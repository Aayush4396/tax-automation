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XIS Aayush Axis Statement 1" sheetId="1" state="visible" r:id="rId1"/>
    <sheet name="HDFC" sheetId="2" state="visible" r:id="rId2"/>
    <sheet name="Jupiter" sheetId="3" state="visible" r:id="rId3"/>
    <sheet name="Kotak_Salary" sheetId="4" state="visible" r:id="rId4"/>
    <sheet name="SBI_PPF" sheetId="5" state="visible" r:id="rId5"/>
    <sheet name="SBI_Savings" sheetId="6" state="visible" r:id="rId6"/>
    <sheet name="For Tally" sheetId="7" state="visible" r:id="rId7"/>
    <sheet name="Conso" sheetId="8" state="visible" r:id="rId8"/>
    <sheet name="Bank Summary" sheetId="9" state="visible" r:id="rId9"/>
    <sheet name="Monthly Pivot" sheetId="10" state="visible" r:id="rId10"/>
    <sheet name="Colour Legend" sheetId="11" state="visible" r:id="rId11"/>
  </sheets>
  <definedNames>
    <definedName name="_xlnm._FilterDatabase" localSheetId="0" hidden="1">'AXIS Aayush Axis Statement 1'!$A$7:$M$35</definedName>
    <definedName name="_xlnm._FilterDatabase" localSheetId="1" hidden="1">'HDFC'!$A$9:$M$795</definedName>
    <definedName name="_xlnm._FilterDatabase" localSheetId="2" hidden="1">'Jupiter'!$A$9:$M$850</definedName>
    <definedName name="_xlnm._FilterDatabase" localSheetId="3" hidden="1">'Kotak_Salary'!$A$6:$M$17</definedName>
    <definedName name="_xlnm._FilterDatabase" localSheetId="4" hidden="1">'SBI_PPF'!$A$5:$M$7</definedName>
    <definedName name="_xlnm._FilterDatabase" localSheetId="5" hidden="1">'SBI_Savings'!$A$12:$M$311</definedName>
    <definedName name="_xlnm._FilterDatabase" localSheetId="6" hidden="1">'For Tally'!$A$1:$M$1964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14">
    <font>
      <name val="Calibri"/>
      <family val="2"/>
      <color theme="1"/>
      <sz val="11"/>
      <scheme val="minor"/>
    </font>
    <font>
      <b val="1"/>
      <color rgb="001A1A2E"/>
      <sz val="12"/>
    </font>
    <font>
      <b val="1"/>
      <color rgb="001F3A60"/>
      <sz val="10"/>
    </font>
    <font>
      <b val="1"/>
      <sz val="9"/>
    </font>
    <font>
      <b val="1"/>
      <color rgb="00FFFFFF"/>
      <sz val="10"/>
    </font>
    <font>
      <b val="1"/>
      <sz val="12"/>
    </font>
    <font>
      <b val="1"/>
    </font>
    <font>
      <b val="1"/>
      <sz val="14"/>
    </font>
    <font>
      <b val="1"/>
      <color rgb="00FFFFFF"/>
    </font>
    <font>
      <b val="1"/>
      <sz val="11"/>
    </font>
    <font>
      <b val="1"/>
      <color rgb="001B4F72"/>
    </font>
    <font>
      <b val="1"/>
      <color rgb="001A1A2E"/>
      <sz val="14"/>
    </font>
    <font>
      <b val="1"/>
      <color rgb="001F3A60"/>
      <sz val="11"/>
    </font>
    <font>
      <color rgb="00000000"/>
      <sz val="9"/>
    </font>
  </fonts>
  <fills count="60">
    <fill>
      <patternFill/>
    </fill>
    <fill>
      <patternFill patternType="gray125"/>
    </fill>
    <fill>
      <patternFill patternType="solid">
        <fgColor rgb="00FFE0B2"/>
      </patternFill>
    </fill>
    <fill>
      <patternFill patternType="solid">
        <fgColor rgb="00F8D7DA"/>
      </patternFill>
    </fill>
    <fill>
      <patternFill patternType="solid">
        <fgColor rgb="00CCF5FF"/>
      </patternFill>
    </fill>
    <fill>
      <patternFill patternType="solid">
        <fgColor rgb="00FFE4C4"/>
      </patternFill>
    </fill>
    <fill>
      <patternFill patternType="solid">
        <fgColor rgb="00D5E8F5"/>
      </patternFill>
    </fill>
    <fill>
      <patternFill patternType="solid">
        <fgColor rgb="00CCECFF"/>
      </patternFill>
    </fill>
    <fill>
      <patternFill patternType="solid">
        <fgColor rgb="00C8F5C8"/>
      </patternFill>
    </fill>
    <fill>
      <patternFill patternType="solid">
        <fgColor rgb="00CCF5E5"/>
      </patternFill>
    </fill>
    <fill>
      <patternFill patternType="solid">
        <fgColor rgb="00CCE5FF"/>
      </patternFill>
    </fill>
    <fill>
      <patternFill patternType="solid">
        <fgColor rgb="00EDE9F6"/>
      </patternFill>
    </fill>
    <fill>
      <patternFill patternType="solid">
        <fgColor rgb="00F5EDD5"/>
      </patternFill>
    </fill>
    <fill>
      <patternFill patternType="solid">
        <fgColor rgb="00FFE8CC"/>
      </patternFill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4EDDA"/>
      </patternFill>
    </fill>
    <fill>
      <patternFill patternType="solid">
        <fgColor rgb="00F5D5E8"/>
      </patternFill>
    </fill>
    <fill>
      <patternFill patternType="solid">
        <fgColor rgb="00D0ECF8"/>
      </patternFill>
    </fill>
    <fill>
      <patternFill patternType="solid">
        <fgColor rgb="00FFF0B3"/>
      </patternFill>
    </fill>
    <fill>
      <patternFill patternType="solid">
        <fgColor rgb="00E8F0D5"/>
      </patternFill>
    </fill>
    <fill>
      <patternFill patternType="solid">
        <fgColor rgb="00C4EBF0"/>
      </patternFill>
    </fill>
    <fill>
      <patternFill patternType="solid">
        <fgColor rgb="00F5C6CB"/>
      </patternFill>
    </fill>
    <fill>
      <patternFill patternType="solid">
        <fgColor rgb="00FDDCB5"/>
      </patternFill>
    </fill>
    <fill>
      <patternFill patternType="solid">
        <fgColor rgb="00D0F5E8"/>
      </patternFill>
    </fill>
    <fill>
      <patternFill patternType="solid">
        <fgColor rgb="00C8DCF5"/>
      </patternFill>
    </fill>
    <fill>
      <patternFill patternType="solid">
        <fgColor rgb="00F0D9C8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CCF0FF"/>
      </patternFill>
    </fill>
    <fill>
      <patternFill patternType="solid">
        <fgColor rgb="00CCE8FF"/>
      </patternFill>
    </fill>
    <fill>
      <patternFill patternType="solid">
        <fgColor rgb="00CCFFEE"/>
      </patternFill>
    </fill>
    <fill>
      <patternFill patternType="solid">
        <fgColor rgb="00D5F5CC"/>
      </patternFill>
    </fill>
    <fill>
      <patternFill patternType="solid">
        <fgColor rgb="00FFE5CC"/>
      </patternFill>
    </fill>
    <fill>
      <patternFill patternType="solid">
        <fgColor rgb="00FFD5CC"/>
      </patternFill>
    </fill>
    <fill>
      <patternFill patternType="solid">
        <fgColor rgb="00D6F5D6"/>
      </patternFill>
    </fill>
    <fill>
      <patternFill patternType="solid">
        <fgColor rgb="00FFFACC"/>
      </patternFill>
    </fill>
    <fill>
      <patternFill patternType="solid">
        <fgColor rgb="00B8F0C4"/>
      </patternFill>
    </fill>
    <fill>
      <patternFill patternType="solid">
        <fgColor rgb="00CCFFE0"/>
      </patternFill>
    </fill>
    <fill>
      <patternFill patternType="solid">
        <fgColor rgb="002C3E50"/>
      </patternFill>
    </fill>
    <fill>
      <patternFill patternType="solid">
        <fgColor rgb="0034495E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1A5276"/>
      </patternFill>
    </fill>
    <fill>
      <patternFill patternType="solid">
        <fgColor rgb="00E8D5F5"/>
      </patternFill>
    </fill>
    <fill>
      <patternFill patternType="solid">
        <fgColor rgb="00D5F5E5"/>
      </patternFill>
    </fill>
    <fill>
      <patternFill patternType="solid">
        <fgColor rgb="00D0F5C8"/>
      </patternFill>
    </fill>
    <fill>
      <patternFill patternType="solid">
        <fgColor rgb="00E8F5CC"/>
      </patternFill>
    </fill>
    <fill>
      <patternFill patternType="solid">
        <fgColor rgb="00FFF5EE"/>
      </patternFill>
    </fill>
    <fill>
      <patternFill patternType="solid">
        <fgColor rgb="00F5E6CC"/>
      </patternFill>
    </fill>
    <fill>
      <patternFill patternType="solid">
        <fgColor rgb="00D5F0E8"/>
      </patternFill>
    </fill>
    <fill>
      <patternFill patternType="solid">
        <fgColor rgb="00F0D5F5"/>
      </patternFill>
    </fill>
    <fill>
      <patternFill patternType="solid">
        <fgColor rgb="00FFCCCC"/>
      </patternFill>
    </fill>
    <fill>
      <patternFill patternType="solid">
        <fgColor rgb="00E8CCFF"/>
      </patternFill>
    </fill>
    <fill>
      <patternFill patternType="solid">
        <fgColor rgb="00D5FFE8"/>
      </patternFill>
    </fill>
    <fill>
      <patternFill patternType="solid">
        <fgColor rgb="00FFE5B4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center" vertical="center" wrapText="1"/>
    </xf>
    <xf numFmtId="164" fontId="0" fillId="2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15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1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164" fontId="0" fillId="9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7" borderId="1" applyAlignment="1" pivotButton="0" quotePrefix="0" xfId="0">
      <alignment vertical="center"/>
    </xf>
    <xf numFmtId="164" fontId="0" fillId="10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164" fontId="0" fillId="11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164" fontId="0" fillId="12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  <xf numFmtId="164" fontId="0" fillId="13" borderId="1" applyAlignment="1" pivotButton="0" quotePrefix="0" xfId="0">
      <alignment vertical="center"/>
    </xf>
    <xf numFmtId="0" fontId="0" fillId="13" borderId="1" applyAlignment="1" pivotButton="0" quotePrefix="0" xfId="0">
      <alignment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164" fontId="0" fillId="18" borderId="1" applyAlignment="1" pivotButton="0" quotePrefix="0" xfId="0">
      <alignment vertical="center"/>
    </xf>
    <xf numFmtId="0" fontId="0" fillId="18" borderId="1" applyAlignment="1" pivotButton="0" quotePrefix="0" xfId="0">
      <alignment vertical="center"/>
    </xf>
    <xf numFmtId="164" fontId="0" fillId="19" borderId="1" applyAlignment="1" pivotButton="0" quotePrefix="0" xfId="0">
      <alignment vertical="center"/>
    </xf>
    <xf numFmtId="0" fontId="0" fillId="19" borderId="1" applyAlignment="1" pivotButton="0" quotePrefix="0" xfId="0">
      <alignment vertical="center"/>
    </xf>
    <xf numFmtId="164" fontId="0" fillId="20" borderId="1" applyAlignment="1" pivotButton="0" quotePrefix="0" xfId="0">
      <alignment vertical="center"/>
    </xf>
    <xf numFmtId="0" fontId="0" fillId="20" borderId="1" applyAlignment="1" pivotButton="0" quotePrefix="0" xfId="0">
      <alignment vertical="center"/>
    </xf>
    <xf numFmtId="164" fontId="0" fillId="21" borderId="1" applyAlignment="1" pivotButton="0" quotePrefix="0" xfId="0">
      <alignment vertical="center"/>
    </xf>
    <xf numFmtId="0" fontId="0" fillId="21" borderId="1" applyAlignment="1" pivotButton="0" quotePrefix="0" xfId="0">
      <alignment vertical="center"/>
    </xf>
    <xf numFmtId="164" fontId="0" fillId="22" borderId="1" applyAlignment="1" pivotButton="0" quotePrefix="0" xfId="0">
      <alignment vertical="center"/>
    </xf>
    <xf numFmtId="0" fontId="0" fillId="22" borderId="1" applyAlignment="1" pivotButton="0" quotePrefix="0" xfId="0">
      <alignment vertical="center"/>
    </xf>
    <xf numFmtId="164" fontId="0" fillId="23" borderId="1" applyAlignment="1" pivotButton="0" quotePrefix="0" xfId="0">
      <alignment vertical="center"/>
    </xf>
    <xf numFmtId="0" fontId="0" fillId="23" borderId="1" applyAlignment="1" pivotButton="0" quotePrefix="0" xfId="0">
      <alignment vertical="center"/>
    </xf>
    <xf numFmtId="164" fontId="0" fillId="24" borderId="1" applyAlignment="1" pivotButton="0" quotePrefix="0" xfId="0">
      <alignment vertical="center"/>
    </xf>
    <xf numFmtId="0" fontId="0" fillId="24" borderId="1" applyAlignment="1" pivotButton="0" quotePrefix="0" xfId="0">
      <alignment vertical="center"/>
    </xf>
    <xf numFmtId="164" fontId="0" fillId="29" borderId="1" applyAlignment="1" pivotButton="0" quotePrefix="0" xfId="0">
      <alignment vertical="center"/>
    </xf>
    <xf numFmtId="0" fontId="0" fillId="29" borderId="1" applyAlignment="1" pivotButton="0" quotePrefix="0" xfId="0">
      <alignment vertical="center"/>
    </xf>
    <xf numFmtId="164" fontId="0" fillId="25" borderId="1" applyAlignment="1" pivotButton="0" quotePrefix="0" xfId="0">
      <alignment vertical="center"/>
    </xf>
    <xf numFmtId="0" fontId="0" fillId="25" borderId="1" applyAlignment="1" pivotButton="0" quotePrefix="0" xfId="0">
      <alignment vertical="center"/>
    </xf>
    <xf numFmtId="164" fontId="0" fillId="26" borderId="1" applyAlignment="1" pivotButton="0" quotePrefix="0" xfId="0">
      <alignment vertical="center"/>
    </xf>
    <xf numFmtId="0" fontId="0" fillId="26" borderId="1" applyAlignment="1" pivotButton="0" quotePrefix="0" xfId="0">
      <alignment vertical="center"/>
    </xf>
    <xf numFmtId="164" fontId="0" fillId="27" borderId="1" applyAlignment="1" pivotButton="0" quotePrefix="0" xfId="0">
      <alignment vertical="center"/>
    </xf>
    <xf numFmtId="0" fontId="0" fillId="27" borderId="1" applyAlignment="1" pivotButton="0" quotePrefix="0" xfId="0">
      <alignment vertical="center"/>
    </xf>
    <xf numFmtId="164" fontId="0" fillId="28" borderId="1" applyAlignment="1" pivotButton="0" quotePrefix="0" xfId="0">
      <alignment vertical="center"/>
    </xf>
    <xf numFmtId="0" fontId="0" fillId="28" borderId="1" applyAlignment="1" pivotButton="0" quotePrefix="0" xfId="0">
      <alignment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164" fontId="0" fillId="30" borderId="1" applyAlignment="1" pivotButton="0" quotePrefix="0" xfId="0">
      <alignment vertical="center"/>
    </xf>
    <xf numFmtId="0" fontId="0" fillId="30" borderId="1" applyAlignment="1" pivotButton="0" quotePrefix="0" xfId="0">
      <alignment vertical="center"/>
    </xf>
    <xf numFmtId="164" fontId="0" fillId="31" borderId="1" applyAlignment="1" pivotButton="0" quotePrefix="0" xfId="0">
      <alignment vertical="center"/>
    </xf>
    <xf numFmtId="0" fontId="0" fillId="31" borderId="1" applyAlignment="1" pivotButton="0" quotePrefix="0" xfId="0">
      <alignment vertical="center"/>
    </xf>
    <xf numFmtId="164" fontId="0" fillId="32" borderId="1" applyAlignment="1" pivotButton="0" quotePrefix="0" xfId="0">
      <alignment vertical="center"/>
    </xf>
    <xf numFmtId="0" fontId="0" fillId="32" borderId="1" applyAlignment="1" pivotButton="0" quotePrefix="0" xfId="0">
      <alignment vertical="center"/>
    </xf>
    <xf numFmtId="164" fontId="0" fillId="33" borderId="1" applyAlignment="1" pivotButton="0" quotePrefix="0" xfId="0">
      <alignment vertical="center"/>
    </xf>
    <xf numFmtId="0" fontId="0" fillId="33" borderId="1" applyAlignment="1" pivotButton="0" quotePrefix="0" xfId="0">
      <alignment vertical="center"/>
    </xf>
    <xf numFmtId="164" fontId="0" fillId="34" borderId="1" applyAlignment="1" pivotButton="0" quotePrefix="0" xfId="0">
      <alignment vertical="center"/>
    </xf>
    <xf numFmtId="0" fontId="0" fillId="34" borderId="1" applyAlignment="1" pivotButton="0" quotePrefix="0" xfId="0">
      <alignment vertical="center"/>
    </xf>
    <xf numFmtId="164" fontId="0" fillId="35" borderId="1" applyAlignment="1" pivotButton="0" quotePrefix="0" xfId="0">
      <alignment vertical="center"/>
    </xf>
    <xf numFmtId="0" fontId="0" fillId="35" borderId="1" applyAlignment="1" pivotButton="0" quotePrefix="0" xfId="0">
      <alignment vertical="center"/>
    </xf>
    <xf numFmtId="164" fontId="0" fillId="36" borderId="1" applyAlignment="1" pivotButton="0" quotePrefix="0" xfId="0">
      <alignment vertical="center"/>
    </xf>
    <xf numFmtId="0" fontId="0" fillId="36" borderId="1" applyAlignment="1" pivotButton="0" quotePrefix="0" xfId="0">
      <alignment vertical="center"/>
    </xf>
    <xf numFmtId="164" fontId="0" fillId="37" borderId="1" applyAlignment="1" pivotButton="0" quotePrefix="0" xfId="0">
      <alignment vertical="center"/>
    </xf>
    <xf numFmtId="0" fontId="0" fillId="37" borderId="1" applyAlignment="1" pivotButton="0" quotePrefix="0" xfId="0">
      <alignment vertical="center"/>
    </xf>
    <xf numFmtId="164" fontId="0" fillId="38" borderId="1" applyAlignment="1" pivotButton="0" quotePrefix="0" xfId="0">
      <alignment vertical="center"/>
    </xf>
    <xf numFmtId="0" fontId="0" fillId="38" borderId="1" applyAlignment="1" pivotButton="0" quotePrefix="0" xfId="0">
      <alignment vertical="center"/>
    </xf>
    <xf numFmtId="0" fontId="3" fillId="39" borderId="1" applyAlignment="1" pivotButton="0" quotePrefix="0" xfId="0">
      <alignment horizontal="center" vertical="center"/>
    </xf>
    <xf numFmtId="164" fontId="0" fillId="39" borderId="1" applyAlignment="1" pivotButton="0" quotePrefix="0" xfId="0">
      <alignment vertical="center"/>
    </xf>
    <xf numFmtId="0" fontId="0" fillId="39" borderId="1" applyAlignment="1" pivotButton="0" quotePrefix="0" xfId="0">
      <alignment vertical="center"/>
    </xf>
    <xf numFmtId="0" fontId="3" fillId="40" borderId="1" applyAlignment="1" pivotButton="0" quotePrefix="0" xfId="0">
      <alignment horizontal="center" vertical="center"/>
    </xf>
    <xf numFmtId="164" fontId="0" fillId="40" borderId="1" applyAlignment="1" pivotButton="0" quotePrefix="0" xfId="0">
      <alignment vertical="center"/>
    </xf>
    <xf numFmtId="0" fontId="0" fillId="4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164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7" fillId="0" borderId="0" pivotButton="0" quotePrefix="0" xfId="0"/>
    <xf numFmtId="0" fontId="8" fillId="41" borderId="0" applyAlignment="1" pivotButton="0" quotePrefix="0" xfId="0">
      <alignment horizontal="center" vertical="center" wrapText="1"/>
    </xf>
    <xf numFmtId="0" fontId="8" fillId="41" borderId="0" applyAlignment="1" pivotButton="0" quotePrefix="0" xfId="0">
      <alignment vertical="center"/>
    </xf>
    <xf numFmtId="0" fontId="9" fillId="0" borderId="0" pivotButton="0" quotePrefix="0" xfId="0"/>
    <xf numFmtId="0" fontId="8" fillId="42" borderId="0" applyAlignment="1" pivotButton="0" quotePrefix="0" xfId="0">
      <alignment horizontal="center" vertical="center" wrapText="1"/>
    </xf>
    <xf numFmtId="0" fontId="8" fillId="42" borderId="0" pivotButton="0" quotePrefix="0" xfId="0"/>
    <xf numFmtId="165" fontId="0" fillId="39" borderId="1" applyAlignment="1" pivotButton="0" quotePrefix="0" xfId="0">
      <alignment vertical="center"/>
    </xf>
    <xf numFmtId="165" fontId="0" fillId="30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0" fontId="6" fillId="0" borderId="0" applyAlignment="1" pivotButton="0" quotePrefix="0" xfId="0">
      <alignment horizontal="right"/>
    </xf>
    <xf numFmtId="0" fontId="6" fillId="43" borderId="2" applyAlignment="1" pivotButton="0" quotePrefix="0" xfId="0">
      <alignment horizontal="center"/>
    </xf>
    <xf numFmtId="0" fontId="10" fillId="44" borderId="2" applyAlignment="1" pivotButton="0" quotePrefix="0" xfId="0">
      <alignment horizontal="center"/>
    </xf>
    <xf numFmtId="0" fontId="8" fillId="45" borderId="1" applyAlignment="1" pivotButton="0" quotePrefix="0" xfId="0">
      <alignment horizontal="center" vertical="center" wrapText="1"/>
    </xf>
    <xf numFmtId="0" fontId="8" fillId="46" borderId="1" pivotButton="0" quotePrefix="0" xfId="0"/>
    <xf numFmtId="0" fontId="8" fillId="47" borderId="1" applyAlignment="1" pivotButton="0" quotePrefix="0" xfId="0">
      <alignment horizontal="center" vertical="center" wrapText="1"/>
    </xf>
    <xf numFmtId="0" fontId="8" fillId="47" borderId="1" pivotButton="0" quotePrefix="0" xfId="0"/>
    <xf numFmtId="0" fontId="11" fillId="0" borderId="0" pivotButton="0" quotePrefix="0" xfId="0"/>
    <xf numFmtId="0" fontId="12" fillId="14" borderId="1" applyAlignment="1" pivotButton="0" quotePrefix="0" xfId="0">
      <alignment horizontal="left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13" fillId="3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13" fillId="8" borderId="1" applyAlignment="1" pivotButton="0" quotePrefix="0" xfId="0">
      <alignment horizontal="center" vertical="center"/>
    </xf>
    <xf numFmtId="0" fontId="13" fillId="23" borderId="1" applyAlignment="1" pivotButton="0" quotePrefix="0" xfId="0">
      <alignment horizontal="center" vertical="center"/>
    </xf>
    <xf numFmtId="0" fontId="13" fillId="48" borderId="1" applyAlignment="1" pivotButton="0" quotePrefix="0" xfId="0">
      <alignment horizontal="center" vertical="center"/>
    </xf>
    <xf numFmtId="0" fontId="13" fillId="49" borderId="1" applyAlignment="1" pivotButton="0" quotePrefix="0" xfId="0">
      <alignment horizontal="center" vertical="center"/>
    </xf>
    <xf numFmtId="0" fontId="13" fillId="27" borderId="1" applyAlignment="1" pivotButton="0" quotePrefix="0" xfId="0">
      <alignment horizontal="center" vertical="center"/>
    </xf>
    <xf numFmtId="0" fontId="13" fillId="50" borderId="1" applyAlignment="1" pivotButton="0" quotePrefix="0" xfId="0">
      <alignment horizontal="center" vertical="center"/>
    </xf>
    <xf numFmtId="0" fontId="13" fillId="51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3" fillId="52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center" vertical="center"/>
    </xf>
    <xf numFmtId="0" fontId="13" fillId="25" borderId="1" applyAlignment="1" pivotButton="0" quotePrefix="0" xfId="0">
      <alignment horizontal="center" vertical="center"/>
    </xf>
    <xf numFmtId="0" fontId="13" fillId="24" borderId="1" applyAlignment="1" pivotButton="0" quotePrefix="0" xfId="0">
      <alignment horizontal="center" vertical="center"/>
    </xf>
    <xf numFmtId="0" fontId="13" fillId="53" borderId="1" applyAlignment="1" pivotButton="0" quotePrefix="0" xfId="0">
      <alignment horizontal="center" vertical="center"/>
    </xf>
    <xf numFmtId="0" fontId="13" fillId="54" borderId="1" applyAlignment="1" pivotButton="0" quotePrefix="0" xfId="0">
      <alignment horizontal="center" vertical="center"/>
    </xf>
    <xf numFmtId="0" fontId="13" fillId="28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55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30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3" fillId="36" borderId="1" applyAlignment="1" pivotButton="0" quotePrefix="0" xfId="0">
      <alignment horizontal="center" vertical="center"/>
    </xf>
    <xf numFmtId="0" fontId="13" fillId="35" borderId="1" applyAlignment="1" pivotButton="0" quotePrefix="0" xfId="0">
      <alignment horizontal="center" vertical="center"/>
    </xf>
    <xf numFmtId="0" fontId="13" fillId="34" borderId="1" applyAlignment="1" pivotButton="0" quotePrefix="0" xfId="0">
      <alignment horizontal="center" vertical="center"/>
    </xf>
    <xf numFmtId="0" fontId="13" fillId="31" borderId="1" applyAlignment="1" pivotButton="0" quotePrefix="0" xfId="0">
      <alignment horizontal="center" vertical="center"/>
    </xf>
    <xf numFmtId="0" fontId="13" fillId="56" borderId="1" applyAlignment="1" pivotButton="0" quotePrefix="0" xfId="0">
      <alignment horizontal="center" vertical="center"/>
    </xf>
    <xf numFmtId="0" fontId="13" fillId="57" borderId="1" applyAlignment="1" pivotButton="0" quotePrefix="0" xfId="0">
      <alignment horizontal="center" vertical="center"/>
    </xf>
    <xf numFmtId="0" fontId="13" fillId="58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3" fillId="59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37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3" customWidth="1" min="3" max="3"/>
    <col hidden="1" width="14" customWidth="1" min="4" max="4"/>
    <col width="11" customWidth="1" min="5" max="5"/>
    <col width="11" customWidth="1" min="6" max="6"/>
    <col hidden="1" width="12" customWidth="1" min="7" max="7"/>
    <col hidden="1" width="15" customWidth="1" min="8" max="8"/>
    <col hidden="1" width="19" customWidth="1" min="9" max="9"/>
    <col width="27" customWidth="1" min="10" max="10"/>
    <col width="17" customWidth="1" min="11" max="11"/>
    <col width="14" customWidth="1" min="12" max="12"/>
    <col width="9" customWidth="1" min="13" max="13"/>
  </cols>
  <sheetData>
    <row r="1">
      <c r="B1" s="1" t="inlineStr">
        <is>
          <t>Axis Bank Narration Sheet</t>
        </is>
      </c>
    </row>
    <row r="2">
      <c r="B2" s="2" t="inlineStr">
        <is>
          <t>Colour Legend of Categories:</t>
        </is>
      </c>
    </row>
    <row r="3">
      <c r="B3" s="3" t="inlineStr">
        <is>
          <t>Contra - HDFC</t>
        </is>
      </c>
      <c r="C3" s="4" t="inlineStr">
        <is>
          <t>Bank Charges</t>
        </is>
      </c>
      <c r="D3" s="5" t="inlineStr">
        <is>
          <t>UPI - IRCTC</t>
        </is>
      </c>
      <c r="E3" s="6" t="inlineStr">
        <is>
          <t>What is this?</t>
        </is>
      </c>
      <c r="F3" s="7" t="inlineStr">
        <is>
          <t>Transfer - Ajay Gupta</t>
        </is>
      </c>
    </row>
    <row r="4">
      <c r="B4" s="7" t="inlineStr">
        <is>
          <t>Received - Ajay Gupta</t>
        </is>
      </c>
      <c r="C4" s="8" t="inlineStr">
        <is>
          <t>UPI - MakeMyTrip</t>
        </is>
      </c>
      <c r="D4" s="9" t="inlineStr">
        <is>
          <t>Bank Interest</t>
        </is>
      </c>
      <c r="E4" s="10" t="inlineStr">
        <is>
          <t>UPI - BharatPe</t>
        </is>
      </c>
      <c r="F4" s="11" t="inlineStr">
        <is>
          <t>UPI - Paytm</t>
        </is>
      </c>
    </row>
    <row r="5">
      <c r="B5" s="12" t="inlineStr">
        <is>
          <t>UPI Payment</t>
        </is>
      </c>
      <c r="C5" s="13" t="inlineStr">
        <is>
          <t>Transfer - Archit Gupta</t>
        </is>
      </c>
      <c r="D5" s="13" t="inlineStr">
        <is>
          <t>Received - Archit Gupta</t>
        </is>
      </c>
      <c r="E5" s="14" t="inlineStr">
        <is>
          <t>Contra - Axis</t>
        </is>
      </c>
    </row>
    <row r="7">
      <c r="A7" s="15" t="inlineStr">
        <is>
          <t>Date</t>
        </is>
      </c>
      <c r="B7" s="15" t="inlineStr">
        <is>
          <t>Particulars</t>
        </is>
      </c>
      <c r="C7" s="15" t="inlineStr">
        <is>
          <t>Ref</t>
        </is>
      </c>
      <c r="D7" s="15" t="inlineStr">
        <is>
          <t>Value_Date</t>
        </is>
      </c>
      <c r="E7" s="15" t="inlineStr">
        <is>
          <t>DR</t>
        </is>
      </c>
      <c r="F7" s="15" t="inlineStr">
        <is>
          <t>CR</t>
        </is>
      </c>
      <c r="G7" s="15" t="inlineStr">
        <is>
          <t>Balance</t>
        </is>
      </c>
      <c r="H7" s="15" t="inlineStr">
        <is>
          <t>Beneficiary</t>
        </is>
      </c>
      <c r="I7" s="15" t="inlineStr">
        <is>
          <t>Human_Narration</t>
        </is>
      </c>
      <c r="J7" s="15" t="inlineStr">
        <is>
          <t>Auto_Narration</t>
        </is>
      </c>
      <c r="K7" s="15" t="inlineStr">
        <is>
          <t>Account_Head</t>
        </is>
      </c>
      <c r="L7" s="15" t="inlineStr">
        <is>
          <t>Confidence</t>
        </is>
      </c>
      <c r="M7" s="15" t="inlineStr">
        <is>
          <t>Match</t>
        </is>
      </c>
    </row>
    <row r="8">
      <c r="A8" s="16" t="n">
        <v>45018</v>
      </c>
      <c r="B8" s="17" t="inlineStr">
        <is>
          <t>NEFT/N091232397833081/AAYUSH KU/HDFC BANK/Transfe</t>
        </is>
      </c>
      <c r="C8" s="17" t="inlineStr">
        <is>
          <t>-</t>
        </is>
      </c>
      <c r="D8" s="16" t="n">
        <v>45018</v>
      </c>
      <c r="E8" s="17" t="n">
        <v>0</v>
      </c>
      <c r="F8" s="17" t="n">
        <v>50000</v>
      </c>
      <c r="G8" s="17" t="n">
        <v>75508.67999999999</v>
      </c>
      <c r="H8" s="17" t="inlineStr"/>
      <c r="I8" s="17" t="inlineStr"/>
      <c r="J8" s="17" t="inlineStr">
        <is>
          <t>Contra - HDFC</t>
        </is>
      </c>
      <c r="K8" s="17" t="inlineStr">
        <is>
          <t>HDFC 5413</t>
        </is>
      </c>
      <c r="L8" s="18" t="n">
        <v>0.9</v>
      </c>
      <c r="M8" s="17" t="inlineStr">
        <is>
          <t>N/A</t>
        </is>
      </c>
    </row>
    <row r="9">
      <c r="A9" s="19" t="n">
        <v>45061</v>
      </c>
      <c r="B9" s="20" t="inlineStr">
        <is>
          <t>Dr Card Charges ISSUE 4616XXXXXXXX8177</t>
        </is>
      </c>
      <c r="C9" s="20" t="inlineStr">
        <is>
          <t>-</t>
        </is>
      </c>
      <c r="D9" s="19" t="n">
        <v>45061</v>
      </c>
      <c r="E9" s="20" t="n">
        <v>590</v>
      </c>
      <c r="F9" s="20" t="n">
        <v>0</v>
      </c>
      <c r="G9" s="20" t="n">
        <v>74918.67999999999</v>
      </c>
      <c r="H9" s="20" t="inlineStr"/>
      <c r="I9" s="20" t="inlineStr"/>
      <c r="J9" s="20" t="inlineStr">
        <is>
          <t>Bank Charges</t>
        </is>
      </c>
      <c r="K9" s="20" t="inlineStr">
        <is>
          <t>Bank Charges</t>
        </is>
      </c>
      <c r="L9" s="18" t="n">
        <v>0.88</v>
      </c>
      <c r="M9" s="20" t="inlineStr">
        <is>
          <t>N/A</t>
        </is>
      </c>
    </row>
    <row r="10">
      <c r="A10" s="21" t="n">
        <v>45061</v>
      </c>
      <c r="B10" s="22" t="inlineStr">
        <is>
          <t>NBSM/12858585/IRCTC(RAZORPAY)/</t>
        </is>
      </c>
      <c r="C10" s="22" t="inlineStr">
        <is>
          <t>-</t>
        </is>
      </c>
      <c r="D10" s="21" t="n">
        <v>45061</v>
      </c>
      <c r="E10" s="22" t="n">
        <v>134.85</v>
      </c>
      <c r="F10" s="22" t="n">
        <v>0</v>
      </c>
      <c r="G10" s="22" t="n">
        <v>74783.83</v>
      </c>
      <c r="H10" s="22" t="inlineStr"/>
      <c r="I10" s="22" t="inlineStr"/>
      <c r="J10" s="22" t="inlineStr">
        <is>
          <t>UPI - IRCTC</t>
        </is>
      </c>
      <c r="K10" s="22" t="inlineStr">
        <is>
          <t>Travel</t>
        </is>
      </c>
      <c r="L10" s="18" t="n">
        <v>0.88</v>
      </c>
      <c r="M10" s="22" t="inlineStr">
        <is>
          <t>N/A</t>
        </is>
      </c>
    </row>
    <row r="11">
      <c r="A11" s="23" t="n">
        <v>45071</v>
      </c>
      <c r="B11" s="24" t="inlineStr">
        <is>
          <t>ICONN REF/12858585/RAZORPAY/DT.25-05-2023</t>
        </is>
      </c>
      <c r="C11" s="24" t="inlineStr">
        <is>
          <t>-</t>
        </is>
      </c>
      <c r="D11" s="23" t="n">
        <v>45071</v>
      </c>
      <c r="E11" s="24" t="n">
        <v>0</v>
      </c>
      <c r="F11" s="24" t="n">
        <v>45.28</v>
      </c>
      <c r="G11" s="24" t="n">
        <v>74829.11</v>
      </c>
      <c r="H11" s="24" t="inlineStr"/>
      <c r="I11" s="24" t="inlineStr"/>
      <c r="J11" s="24" t="inlineStr">
        <is>
          <t>What is this?</t>
        </is>
      </c>
      <c r="K11" s="24" t="inlineStr">
        <is>
          <t>Suspense</t>
        </is>
      </c>
      <c r="L11" s="25" t="n">
        <v>0</v>
      </c>
      <c r="M11" s="24" t="inlineStr">
        <is>
          <t>N/A</t>
        </is>
      </c>
    </row>
    <row r="12">
      <c r="A12" s="16" t="n">
        <v>45082</v>
      </c>
      <c r="B12" s="17" t="inlineStr">
        <is>
          <t>INB/NEFT/AXIR231562638106/Aayush K/HDFC BA/Borrow</t>
        </is>
      </c>
      <c r="C12" s="17" t="inlineStr">
        <is>
          <t>-</t>
        </is>
      </c>
      <c r="D12" s="16" t="n">
        <v>45082</v>
      </c>
      <c r="E12" s="17" t="n">
        <v>20000</v>
      </c>
      <c r="F12" s="17" t="n">
        <v>0</v>
      </c>
      <c r="G12" s="17" t="n">
        <v>54829.11</v>
      </c>
      <c r="H12" s="17" t="inlineStr"/>
      <c r="I12" s="17" t="inlineStr"/>
      <c r="J12" s="17" t="inlineStr">
        <is>
          <t>Contra - HDFC</t>
        </is>
      </c>
      <c r="K12" s="17" t="inlineStr">
        <is>
          <t>HDFC 5413</t>
        </is>
      </c>
      <c r="L12" s="18" t="n">
        <v>0.9</v>
      </c>
      <c r="M12" s="17" t="inlineStr">
        <is>
          <t>N/A</t>
        </is>
      </c>
    </row>
    <row r="13">
      <c r="A13" s="26" t="n">
        <v>45082</v>
      </c>
      <c r="B13" s="27" t="inlineStr">
        <is>
          <t>INB/IFT/Ajay Kumar Gupta/TPARTY TRANSFER</t>
        </is>
      </c>
      <c r="C13" s="27" t="inlineStr">
        <is>
          <t>-</t>
        </is>
      </c>
      <c r="D13" s="26" t="n">
        <v>45082</v>
      </c>
      <c r="E13" s="27" t="n">
        <v>20000</v>
      </c>
      <c r="F13" s="27" t="n">
        <v>0</v>
      </c>
      <c r="G13" s="27" t="n">
        <v>34829.11</v>
      </c>
      <c r="H13" s="27" t="inlineStr"/>
      <c r="I13" s="27" t="inlineStr"/>
      <c r="J13" s="27" t="inlineStr">
        <is>
          <t>Transfer - Ajay Gupta</t>
        </is>
      </c>
      <c r="K13" s="27" t="inlineStr">
        <is>
          <t>Ajay Gupta</t>
        </is>
      </c>
      <c r="L13" s="18" t="n">
        <v>0.88</v>
      </c>
      <c r="M13" s="27" t="inlineStr">
        <is>
          <t>N/A</t>
        </is>
      </c>
    </row>
    <row r="14">
      <c r="A14" s="26" t="n">
        <v>45086</v>
      </c>
      <c r="B14" s="27" t="inlineStr">
        <is>
          <t>INB/IFT/AJAY KUMAR GUPTA/TPARTY TRANSFER</t>
        </is>
      </c>
      <c r="C14" s="27" t="inlineStr">
        <is>
          <t>-</t>
        </is>
      </c>
      <c r="D14" s="26" t="n">
        <v>45086</v>
      </c>
      <c r="E14" s="27" t="n">
        <v>0</v>
      </c>
      <c r="F14" s="27" t="n">
        <v>20000</v>
      </c>
      <c r="G14" s="27" t="n">
        <v>54829.11</v>
      </c>
      <c r="H14" s="27" t="inlineStr"/>
      <c r="I14" s="27" t="inlineStr"/>
      <c r="J14" s="27" t="inlineStr">
        <is>
          <t>Received - Ajay Gupta</t>
        </is>
      </c>
      <c r="K14" s="27" t="inlineStr">
        <is>
          <t>Ajay Gupta</t>
        </is>
      </c>
      <c r="L14" s="18" t="n">
        <v>0.88</v>
      </c>
      <c r="M14" s="27" t="inlineStr">
        <is>
          <t>N/A</t>
        </is>
      </c>
    </row>
    <row r="15">
      <c r="A15" s="28" t="n">
        <v>45091</v>
      </c>
      <c r="B15" s="29" t="inlineStr">
        <is>
          <t>ECOM PUR/MAKEMYTRIP IN/01126521471/140623/09:39</t>
        </is>
      </c>
      <c r="C15" s="29" t="inlineStr">
        <is>
          <t>-</t>
        </is>
      </c>
      <c r="D15" s="28" t="n">
        <v>45091</v>
      </c>
      <c r="E15" s="29" t="n">
        <v>6434</v>
      </c>
      <c r="F15" s="29" t="n">
        <v>0</v>
      </c>
      <c r="G15" s="29" t="n">
        <v>48395.11</v>
      </c>
      <c r="H15" s="29" t="inlineStr"/>
      <c r="I15" s="29" t="inlineStr"/>
      <c r="J15" s="29" t="inlineStr">
        <is>
          <t>UPI - MakeMyTrip</t>
        </is>
      </c>
      <c r="K15" s="29" t="inlineStr">
        <is>
          <t>Travel</t>
        </is>
      </c>
      <c r="L15" s="18" t="n">
        <v>0.88</v>
      </c>
      <c r="M15" s="29" t="inlineStr">
        <is>
          <t>N/A</t>
        </is>
      </c>
    </row>
    <row r="16">
      <c r="A16" s="30" t="n">
        <v>45108</v>
      </c>
      <c r="B16" s="31" t="inlineStr">
        <is>
          <t>915010020334307:Int.Pd:01-04-2023 to 30-06-2023</t>
        </is>
      </c>
      <c r="C16" s="31" t="inlineStr">
        <is>
          <t>-</t>
        </is>
      </c>
      <c r="D16" s="30" t="n">
        <v>45108</v>
      </c>
      <c r="E16" s="31" t="n">
        <v>0</v>
      </c>
      <c r="F16" s="31" t="n">
        <v>504</v>
      </c>
      <c r="G16" s="31" t="n">
        <v>48899.11</v>
      </c>
      <c r="H16" s="31" t="inlineStr"/>
      <c r="I16" s="31" t="inlineStr"/>
      <c r="J16" s="31" t="inlineStr">
        <is>
          <t>Bank Interest</t>
        </is>
      </c>
      <c r="K16" s="31" t="inlineStr">
        <is>
          <t>Bank Interest</t>
        </is>
      </c>
      <c r="L16" s="18" t="n">
        <v>0.93</v>
      </c>
      <c r="M16" s="31" t="inlineStr">
        <is>
          <t>N/A</t>
        </is>
      </c>
    </row>
    <row r="17">
      <c r="A17" s="19" t="n">
        <v>45130</v>
      </c>
      <c r="B17" s="20" t="inlineStr">
        <is>
          <t>GST @18% on Charge</t>
        </is>
      </c>
      <c r="C17" s="20" t="inlineStr">
        <is>
          <t>-</t>
        </is>
      </c>
      <c r="D17" s="19" t="n">
        <v>45130</v>
      </c>
      <c r="E17" s="20" t="n">
        <v>0.54</v>
      </c>
      <c r="F17" s="20" t="n">
        <v>0</v>
      </c>
      <c r="G17" s="20" t="n">
        <v>48898.57</v>
      </c>
      <c r="H17" s="20" t="inlineStr"/>
      <c r="I17" s="20" t="inlineStr"/>
      <c r="J17" s="20" t="inlineStr">
        <is>
          <t>Bank Charges</t>
        </is>
      </c>
      <c r="K17" s="20" t="inlineStr">
        <is>
          <t>Bank Charges</t>
        </is>
      </c>
      <c r="L17" s="18" t="n">
        <v>0.88</v>
      </c>
      <c r="M17" s="20" t="inlineStr">
        <is>
          <t>N/A</t>
        </is>
      </c>
    </row>
    <row r="18">
      <c r="A18" s="19" t="n">
        <v>45130</v>
      </c>
      <c r="B18" s="20" t="inlineStr">
        <is>
          <t>Consolidated Charges for A/c</t>
        </is>
      </c>
      <c r="C18" s="20" t="inlineStr">
        <is>
          <t>-</t>
        </is>
      </c>
      <c r="D18" s="19" t="n">
        <v>45130</v>
      </c>
      <c r="E18" s="20" t="n">
        <v>3</v>
      </c>
      <c r="F18" s="20" t="n">
        <v>0</v>
      </c>
      <c r="G18" s="20" t="n">
        <v>48895.57</v>
      </c>
      <c r="H18" s="20" t="inlineStr"/>
      <c r="I18" s="20" t="inlineStr"/>
      <c r="J18" s="20" t="inlineStr">
        <is>
          <t>Bank Charges</t>
        </is>
      </c>
      <c r="K18" s="20" t="inlineStr">
        <is>
          <t>Bank Charges</t>
        </is>
      </c>
      <c r="L18" s="18" t="n">
        <v>0.88</v>
      </c>
      <c r="M18" s="20" t="inlineStr">
        <is>
          <t>N/A</t>
        </is>
      </c>
    </row>
    <row r="19">
      <c r="A19" s="32" t="n">
        <v>45144</v>
      </c>
      <c r="B19" s="33" t="inlineStr">
        <is>
          <t>UPI/P2M/321834491026/BharatPe /YesBank_Y/Pay to</t>
        </is>
      </c>
      <c r="C19" s="33" t="inlineStr">
        <is>
          <t>-</t>
        </is>
      </c>
      <c r="D19" s="32" t="n">
        <v>45144</v>
      </c>
      <c r="E19" s="33" t="n">
        <v>136</v>
      </c>
      <c r="F19" s="33" t="n">
        <v>0</v>
      </c>
      <c r="G19" s="33" t="n">
        <v>48759.57</v>
      </c>
      <c r="H19" s="33" t="inlineStr"/>
      <c r="I19" s="33" t="inlineStr"/>
      <c r="J19" s="33" t="inlineStr">
        <is>
          <t>UPI - BharatPe</t>
        </is>
      </c>
      <c r="K19" s="33" t="inlineStr">
        <is>
          <t>Personal</t>
        </is>
      </c>
      <c r="L19" s="34" t="n">
        <v>0.65</v>
      </c>
      <c r="M19" s="33" t="inlineStr">
        <is>
          <t>N/A</t>
        </is>
      </c>
    </row>
    <row r="20">
      <c r="A20" s="35" t="n">
        <v>45144</v>
      </c>
      <c r="B20" s="36" t="inlineStr">
        <is>
          <t>UPI/P2M/321834593338/ATUL GARG/Paytm Pay/UPI</t>
        </is>
      </c>
      <c r="C20" s="36" t="inlineStr">
        <is>
          <t>-</t>
        </is>
      </c>
      <c r="D20" s="35" t="n">
        <v>45144</v>
      </c>
      <c r="E20" s="36" t="n">
        <v>2285</v>
      </c>
      <c r="F20" s="36" t="n">
        <v>0</v>
      </c>
      <c r="G20" s="36" t="n">
        <v>46474.57</v>
      </c>
      <c r="H20" s="36" t="inlineStr"/>
      <c r="I20" s="36" t="inlineStr"/>
      <c r="J20" s="36" t="inlineStr">
        <is>
          <t>UPI - Paytm</t>
        </is>
      </c>
      <c r="K20" s="36" t="inlineStr">
        <is>
          <t>Personal</t>
        </is>
      </c>
      <c r="L20" s="34" t="n">
        <v>0.65</v>
      </c>
      <c r="M20" s="36" t="inlineStr">
        <is>
          <t>N/A</t>
        </is>
      </c>
    </row>
    <row r="21">
      <c r="A21" s="35" t="n">
        <v>45144</v>
      </c>
      <c r="B21" s="36" t="inlineStr">
        <is>
          <t>UPI/P2M/321834818560/Mr JITEND/Paytm Pay/UPI</t>
        </is>
      </c>
      <c r="C21" s="36" t="inlineStr">
        <is>
          <t>-</t>
        </is>
      </c>
      <c r="D21" s="35" t="n">
        <v>45144</v>
      </c>
      <c r="E21" s="36" t="n">
        <v>16</v>
      </c>
      <c r="F21" s="36" t="n">
        <v>0</v>
      </c>
      <c r="G21" s="36" t="n">
        <v>46458.57</v>
      </c>
      <c r="H21" s="36" t="inlineStr"/>
      <c r="I21" s="36" t="inlineStr"/>
      <c r="J21" s="36" t="inlineStr">
        <is>
          <t>UPI - Paytm</t>
        </is>
      </c>
      <c r="K21" s="36" t="inlineStr">
        <is>
          <t>Personal</t>
        </is>
      </c>
      <c r="L21" s="34" t="n">
        <v>0.65</v>
      </c>
      <c r="M21" s="36" t="inlineStr">
        <is>
          <t>N/A</t>
        </is>
      </c>
    </row>
    <row r="22">
      <c r="A22" s="37" t="n">
        <v>45144</v>
      </c>
      <c r="B22" s="38" t="inlineStr">
        <is>
          <t>UPI/P2A/321836516129/ADARSH NA/HDFC BANK/UPI</t>
        </is>
      </c>
      <c r="C22" s="38" t="inlineStr">
        <is>
          <t>-</t>
        </is>
      </c>
      <c r="D22" s="37" t="n">
        <v>45144</v>
      </c>
      <c r="E22" s="38" t="n">
        <v>142</v>
      </c>
      <c r="F22" s="38" t="n">
        <v>0</v>
      </c>
      <c r="G22" s="38" t="n">
        <v>46316.57</v>
      </c>
      <c r="H22" s="38" t="inlineStr">
        <is>
          <t>Adarsh Na</t>
        </is>
      </c>
      <c r="I22" s="38" t="inlineStr"/>
      <c r="J22" s="38" t="inlineStr">
        <is>
          <t>UPI Payment</t>
        </is>
      </c>
      <c r="K22" s="38" t="inlineStr">
        <is>
          <t>Personal</t>
        </is>
      </c>
      <c r="L22" s="25" t="n">
        <v>0.55</v>
      </c>
      <c r="M22" s="38" t="inlineStr">
        <is>
          <t>N/A</t>
        </is>
      </c>
    </row>
    <row r="23">
      <c r="A23" s="39" t="n">
        <v>45144</v>
      </c>
      <c r="B23" s="40" t="inlineStr">
        <is>
          <t>UPI/P2A/321842744773/ARCHIT GU/Axis Bank/UPI</t>
        </is>
      </c>
      <c r="C23" s="40" t="inlineStr">
        <is>
          <t>-</t>
        </is>
      </c>
      <c r="D23" s="39" t="n">
        <v>45144</v>
      </c>
      <c r="E23" s="40" t="n">
        <v>130</v>
      </c>
      <c r="F23" s="40" t="n">
        <v>0</v>
      </c>
      <c r="G23" s="40" t="n">
        <v>46186.57</v>
      </c>
      <c r="H23" s="40" t="inlineStr"/>
      <c r="I23" s="40" t="inlineStr"/>
      <c r="J23" s="40" t="inlineStr">
        <is>
          <t>Transfer - Archit Gupta</t>
        </is>
      </c>
      <c r="K23" s="40" t="inlineStr">
        <is>
          <t>Archit Gupta</t>
        </is>
      </c>
      <c r="L23" s="18" t="n">
        <v>0.85</v>
      </c>
      <c r="M23" s="40" t="inlineStr">
        <is>
          <t>N/A</t>
        </is>
      </c>
    </row>
    <row r="24">
      <c r="A24" s="39" t="n">
        <v>45145</v>
      </c>
      <c r="B24" s="40" t="inlineStr">
        <is>
          <t>UPI/P2A/321948620399/Archit  G/State Ban/UPI</t>
        </is>
      </c>
      <c r="C24" s="40" t="inlineStr">
        <is>
          <t>-</t>
        </is>
      </c>
      <c r="D24" s="39" t="n">
        <v>45145</v>
      </c>
      <c r="E24" s="40" t="n">
        <v>0</v>
      </c>
      <c r="F24" s="40" t="n">
        <v>130</v>
      </c>
      <c r="G24" s="40" t="n">
        <v>46316.57</v>
      </c>
      <c r="H24" s="40" t="inlineStr"/>
      <c r="I24" s="40" t="inlineStr"/>
      <c r="J24" s="40" t="inlineStr">
        <is>
          <t>Received - Archit Gupta</t>
        </is>
      </c>
      <c r="K24" s="40" t="inlineStr">
        <is>
          <t>Archit Gupta</t>
        </is>
      </c>
      <c r="L24" s="18" t="n">
        <v>0.85</v>
      </c>
      <c r="M24" s="40" t="inlineStr">
        <is>
          <t>N/A</t>
        </is>
      </c>
    </row>
    <row r="25">
      <c r="A25" s="37" t="n">
        <v>45147</v>
      </c>
      <c r="B25" s="38" t="inlineStr">
        <is>
          <t>UPI/P2A/322159589854/SUSHIL KU/India Pos/UPI</t>
        </is>
      </c>
      <c r="C25" s="38" t="inlineStr">
        <is>
          <t>-</t>
        </is>
      </c>
      <c r="D25" s="37" t="n">
        <v>45147</v>
      </c>
      <c r="E25" s="38" t="n">
        <v>50</v>
      </c>
      <c r="F25" s="38" t="n">
        <v>0</v>
      </c>
      <c r="G25" s="38" t="n">
        <v>46266.57</v>
      </c>
      <c r="H25" s="38" t="inlineStr">
        <is>
          <t>Sushil Ku</t>
        </is>
      </c>
      <c r="I25" s="38" t="inlineStr"/>
      <c r="J25" s="38" t="inlineStr">
        <is>
          <t>UPI Payment</t>
        </is>
      </c>
      <c r="K25" s="38" t="inlineStr">
        <is>
          <t>Personal</t>
        </is>
      </c>
      <c r="L25" s="25" t="n">
        <v>0.55</v>
      </c>
      <c r="M25" s="38" t="inlineStr">
        <is>
          <t>N/A</t>
        </is>
      </c>
    </row>
    <row r="26">
      <c r="A26" s="37" t="n">
        <v>45151</v>
      </c>
      <c r="B26" s="38" t="inlineStr">
        <is>
          <t>UPI/P2M/322597908496/H L DHATR/Yes Bank /tyre</t>
        </is>
      </c>
      <c r="C26" s="38" t="inlineStr">
        <is>
          <t>-</t>
        </is>
      </c>
      <c r="D26" s="37" t="n">
        <v>45151</v>
      </c>
      <c r="E26" s="38" t="n">
        <v>110</v>
      </c>
      <c r="F26" s="38" t="n">
        <v>0</v>
      </c>
      <c r="G26" s="38" t="n">
        <v>46156.57</v>
      </c>
      <c r="H26" s="38" t="inlineStr">
        <is>
          <t>H L Dhatr</t>
        </is>
      </c>
      <c r="I26" s="38" t="inlineStr"/>
      <c r="J26" s="38" t="inlineStr">
        <is>
          <t>UPI Payment</t>
        </is>
      </c>
      <c r="K26" s="38" t="inlineStr">
        <is>
          <t>Personal</t>
        </is>
      </c>
      <c r="L26" s="25" t="n">
        <v>0.55</v>
      </c>
      <c r="M26" s="38" t="inlineStr">
        <is>
          <t>N/A</t>
        </is>
      </c>
    </row>
    <row r="27">
      <c r="A27" s="30" t="n">
        <v>45200</v>
      </c>
      <c r="B27" s="31" t="inlineStr">
        <is>
          <t>915010020334307:Int.Pd:01-07-2023 to 30-09-2023</t>
        </is>
      </c>
      <c r="C27" s="31" t="inlineStr">
        <is>
          <t>-</t>
        </is>
      </c>
      <c r="D27" s="30" t="n">
        <v>45200</v>
      </c>
      <c r="E27" s="31" t="n">
        <v>0</v>
      </c>
      <c r="F27" s="31" t="n">
        <v>357</v>
      </c>
      <c r="G27" s="31" t="n">
        <v>46513.57</v>
      </c>
      <c r="H27" s="31" t="inlineStr"/>
      <c r="I27" s="31" t="inlineStr"/>
      <c r="J27" s="31" t="inlineStr">
        <is>
          <t>Bank Interest</t>
        </is>
      </c>
      <c r="K27" s="31" t="inlineStr">
        <is>
          <t>Bank Interest</t>
        </is>
      </c>
      <c r="L27" s="18" t="n">
        <v>0.93</v>
      </c>
      <c r="M27" s="31" t="inlineStr">
        <is>
          <t>N/A</t>
        </is>
      </c>
    </row>
    <row r="28">
      <c r="A28" s="19" t="n">
        <v>45221</v>
      </c>
      <c r="B28" s="20" t="inlineStr">
        <is>
          <t>SMS Alerts Chrgs Incl GST</t>
        </is>
      </c>
      <c r="C28" s="20" t="inlineStr">
        <is>
          <t>-</t>
        </is>
      </c>
      <c r="D28" s="19" t="n">
        <v>45221</v>
      </c>
      <c r="E28" s="20" t="n">
        <v>1.18</v>
      </c>
      <c r="F28" s="20" t="n">
        <v>0</v>
      </c>
      <c r="G28" s="20" t="n">
        <v>46512.39</v>
      </c>
      <c r="H28" s="20" t="inlineStr"/>
      <c r="I28" s="20" t="inlineStr"/>
      <c r="J28" s="20" t="inlineStr">
        <is>
          <t>Bank Charges</t>
        </is>
      </c>
      <c r="K28" s="20" t="inlineStr">
        <is>
          <t>Bank Charges</t>
        </is>
      </c>
      <c r="L28" s="18" t="n">
        <v>0.88</v>
      </c>
      <c r="M28" s="20" t="inlineStr">
        <is>
          <t>N/A</t>
        </is>
      </c>
    </row>
    <row r="29">
      <c r="A29" s="41" t="n">
        <v>45235</v>
      </c>
      <c r="B29" s="42" t="inlineStr">
        <is>
          <t>NEFT/IR/AXOIR33099676704/Aayush Kumar Gupta/HDFC BANK/Transfer fom Aayush Axis</t>
        </is>
      </c>
      <c r="C29" s="42" t="inlineStr">
        <is>
          <t>-</t>
        </is>
      </c>
      <c r="D29" s="41" t="n">
        <v>45235</v>
      </c>
      <c r="E29" s="42" t="n">
        <v>30000</v>
      </c>
      <c r="F29" s="42" t="n">
        <v>0</v>
      </c>
      <c r="G29" s="42" t="n">
        <v>16512.39</v>
      </c>
      <c r="H29" s="42" t="inlineStr"/>
      <c r="I29" s="42" t="inlineStr"/>
      <c r="J29" s="42" t="inlineStr">
        <is>
          <t>Contra - Axis</t>
        </is>
      </c>
      <c r="K29" s="42" t="inlineStr">
        <is>
          <t>AXIS</t>
        </is>
      </c>
      <c r="L29" s="18" t="n">
        <v>0.9</v>
      </c>
      <c r="M29" s="42" t="inlineStr">
        <is>
          <t>N/A</t>
        </is>
      </c>
    </row>
    <row r="30">
      <c r="A30" s="30" t="n">
        <v>45292</v>
      </c>
      <c r="B30" s="31" t="inlineStr">
        <is>
          <t>915010020334307:Int.Pd:01-10-2023 to 31-12-2023</t>
        </is>
      </c>
      <c r="C30" s="31" t="inlineStr">
        <is>
          <t>-</t>
        </is>
      </c>
      <c r="D30" s="30" t="n">
        <v>45292</v>
      </c>
      <c r="E30" s="31" t="n">
        <v>0</v>
      </c>
      <c r="F30" s="31" t="n">
        <v>211</v>
      </c>
      <c r="G30" s="31" t="n">
        <v>16723.39</v>
      </c>
      <c r="H30" s="31" t="inlineStr"/>
      <c r="I30" s="31" t="inlineStr"/>
      <c r="J30" s="31" t="inlineStr">
        <is>
          <t>Bank Interest</t>
        </is>
      </c>
      <c r="K30" s="31" t="inlineStr">
        <is>
          <t>Bank Interest</t>
        </is>
      </c>
      <c r="L30" s="18" t="n">
        <v>0.93</v>
      </c>
      <c r="M30" s="31" t="inlineStr">
        <is>
          <t>N/A</t>
        </is>
      </c>
    </row>
    <row r="31">
      <c r="A31" s="19" t="n">
        <v>45312</v>
      </c>
      <c r="B31" s="20" t="inlineStr">
        <is>
          <t>SMS Alerts Chrgs Incl GST</t>
        </is>
      </c>
      <c r="C31" s="20" t="inlineStr">
        <is>
          <t>-</t>
        </is>
      </c>
      <c r="D31" s="19" t="n">
        <v>45312</v>
      </c>
      <c r="E31" s="20" t="n">
        <v>1.18</v>
      </c>
      <c r="F31" s="20" t="n">
        <v>0</v>
      </c>
      <c r="G31" s="20" t="n">
        <v>16722.21</v>
      </c>
      <c r="H31" s="20" t="inlineStr"/>
      <c r="I31" s="20" t="inlineStr"/>
      <c r="J31" s="20" t="inlineStr">
        <is>
          <t>Bank Charges</t>
        </is>
      </c>
      <c r="K31" s="20" t="inlineStr">
        <is>
          <t>Bank Charges</t>
        </is>
      </c>
      <c r="L31" s="18" t="n">
        <v>0.88</v>
      </c>
      <c r="M31" s="20" t="inlineStr">
        <is>
          <t>N/A</t>
        </is>
      </c>
    </row>
    <row r="32">
      <c r="A32" s="30" t="n">
        <v>45382</v>
      </c>
      <c r="B32" s="31" t="inlineStr">
        <is>
          <t>SB:915010020334307:Int.Pd:01-01-2024 to 31-03-2024</t>
        </is>
      </c>
      <c r="C32" s="31" t="inlineStr">
        <is>
          <t>-</t>
        </is>
      </c>
      <c r="D32" s="30" t="n">
        <v>45382</v>
      </c>
      <c r="E32" s="31" t="n">
        <v>0</v>
      </c>
      <c r="F32" s="31" t="n">
        <v>125</v>
      </c>
      <c r="G32" s="31" t="n">
        <v>16847.21</v>
      </c>
      <c r="H32" s="31" t="inlineStr"/>
      <c r="I32" s="31" t="inlineStr"/>
      <c r="J32" s="31" t="inlineStr">
        <is>
          <t>Bank Interest</t>
        </is>
      </c>
      <c r="K32" s="31" t="inlineStr">
        <is>
          <t>Bank Interest</t>
        </is>
      </c>
      <c r="L32" s="18" t="n">
        <v>0.93</v>
      </c>
      <c r="M32" s="31" t="inlineStr">
        <is>
          <t>N/A</t>
        </is>
      </c>
    </row>
    <row r="33">
      <c r="A33" s="19" t="n">
        <v>45078</v>
      </c>
      <c r="B33" s="20" t="inlineStr">
        <is>
          <t>SMS Alert Fee</t>
        </is>
      </c>
      <c r="C33" s="19" t="n">
        <v>45130</v>
      </c>
      <c r="D33" s="19" t="n">
        <v>45078</v>
      </c>
      <c r="E33" s="20" t="n">
        <v>3</v>
      </c>
      <c r="F33" s="20" t="n">
        <v>3</v>
      </c>
      <c r="G33" s="20" t="n">
        <v/>
      </c>
      <c r="H33" s="20" t="inlineStr"/>
      <c r="I33" s="20" t="inlineStr"/>
      <c r="J33" s="20" t="inlineStr">
        <is>
          <t>Bank Charges</t>
        </is>
      </c>
      <c r="K33" s="20" t="inlineStr">
        <is>
          <t>Bank Charges</t>
        </is>
      </c>
      <c r="L33" s="18" t="n">
        <v>0.88</v>
      </c>
      <c r="M33" s="20" t="inlineStr">
        <is>
          <t>N/A</t>
        </is>
      </c>
    </row>
    <row r="34">
      <c r="A34" s="19" t="n">
        <v>45170</v>
      </c>
      <c r="B34" s="20" t="inlineStr">
        <is>
          <t>SMS Alert Fee</t>
        </is>
      </c>
      <c r="C34" s="19" t="n">
        <v>45221</v>
      </c>
      <c r="D34" s="19" t="n">
        <v>45170</v>
      </c>
      <c r="E34" s="20" t="n">
        <v>1</v>
      </c>
      <c r="F34" s="20" t="n">
        <v>1</v>
      </c>
      <c r="G34" s="20" t="n">
        <v/>
      </c>
      <c r="H34" s="20" t="inlineStr"/>
      <c r="I34" s="20" t="inlineStr"/>
      <c r="J34" s="20" t="inlineStr">
        <is>
          <t>Bank Charges</t>
        </is>
      </c>
      <c r="K34" s="20" t="inlineStr">
        <is>
          <t>Bank Charges</t>
        </is>
      </c>
      <c r="L34" s="18" t="n">
        <v>0.88</v>
      </c>
      <c r="M34" s="20" t="inlineStr">
        <is>
          <t>N/A</t>
        </is>
      </c>
    </row>
    <row r="35">
      <c r="A35" s="19" t="n">
        <v>45261</v>
      </c>
      <c r="B35" s="20" t="inlineStr">
        <is>
          <t>SMS Alert Fee</t>
        </is>
      </c>
      <c r="C35" s="19" t="n">
        <v>45312</v>
      </c>
      <c r="D35" s="19" t="n">
        <v>45261</v>
      </c>
      <c r="E35" s="20" t="n">
        <v>1</v>
      </c>
      <c r="F35" s="20" t="n">
        <v>1</v>
      </c>
      <c r="G35" s="20" t="n">
        <v/>
      </c>
      <c r="H35" s="20" t="inlineStr"/>
      <c r="I35" s="20" t="inlineStr"/>
      <c r="J35" s="20" t="inlineStr">
        <is>
          <t>Bank Charges</t>
        </is>
      </c>
      <c r="K35" s="20" t="inlineStr">
        <is>
          <t>Bank Charges</t>
        </is>
      </c>
      <c r="L35" s="18" t="n">
        <v>0.88</v>
      </c>
      <c r="M35" s="20" t="inlineStr">
        <is>
          <t>N/A</t>
        </is>
      </c>
    </row>
  </sheetData>
  <autoFilter ref="A7:M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95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20" customWidth="1" min="3" max="3"/>
    <col hidden="1" width="14" customWidth="1" min="4" max="4"/>
    <col width="13" customWidth="1" min="5" max="5"/>
    <col width="13" customWidth="1" min="6" max="6"/>
    <col hidden="1" width="13" customWidth="1" min="7" max="7"/>
    <col hidden="1" width="15" customWidth="1" min="8" max="8"/>
    <col hidden="1" width="19" customWidth="1" min="9" max="9"/>
    <col width="27" customWidth="1" min="10" max="10"/>
    <col width="22" customWidth="1" min="11" max="11"/>
    <col width="14" customWidth="1" min="12" max="12"/>
    <col width="9" customWidth="1" min="13" max="13"/>
  </cols>
  <sheetData>
    <row r="1">
      <c r="B1" s="1" t="inlineStr">
        <is>
          <t>HDFC Bank Narration Sheet</t>
        </is>
      </c>
    </row>
    <row r="2">
      <c r="B2" s="2" t="inlineStr">
        <is>
          <t>Colour Legend of Categories:</t>
        </is>
      </c>
    </row>
    <row r="3">
      <c r="B3" s="14" t="inlineStr">
        <is>
          <t>Contra - Axis</t>
        </is>
      </c>
      <c r="C3" s="14" t="inlineStr">
        <is>
          <t>HDFC Securities - Buy</t>
        </is>
      </c>
      <c r="D3" s="43" t="inlineStr">
        <is>
          <t>HDFC Securities - Sell</t>
        </is>
      </c>
      <c r="E3" s="6" t="inlineStr">
        <is>
          <t>What is this?</t>
        </is>
      </c>
      <c r="F3" s="44" t="inlineStr">
        <is>
          <t>Depository Charges</t>
        </is>
      </c>
    </row>
    <row r="4">
      <c r="B4" s="13" t="inlineStr">
        <is>
          <t>Transfer - Archit Gupta</t>
        </is>
      </c>
      <c r="C4" s="45" t="inlineStr">
        <is>
          <t>MF Investment</t>
        </is>
      </c>
      <c r="D4" s="7" t="inlineStr">
        <is>
          <t>Transfer - Ajay Gupta</t>
        </is>
      </c>
      <c r="E4" s="46" t="inlineStr">
        <is>
          <t>Cash Withdrawal</t>
        </is>
      </c>
      <c r="F4" s="13" t="inlineStr">
        <is>
          <t>Received - Archit Gupta</t>
        </is>
      </c>
    </row>
    <row r="5">
      <c r="B5" s="47" t="inlineStr">
        <is>
          <t>Received - Sunita Gupta</t>
        </is>
      </c>
      <c r="C5" s="4" t="inlineStr">
        <is>
          <t>Bank Charges</t>
        </is>
      </c>
      <c r="D5" s="48" t="inlineStr">
        <is>
          <t>Dividend Income</t>
        </is>
      </c>
      <c r="E5" s="7" t="inlineStr">
        <is>
          <t>Received - Ajay Gupta</t>
        </is>
      </c>
      <c r="F5" s="9" t="inlineStr">
        <is>
          <t>Bank Interest</t>
        </is>
      </c>
    </row>
    <row r="6">
      <c r="B6" s="49" t="inlineStr">
        <is>
          <t>Life Insurance Premium</t>
        </is>
      </c>
      <c r="C6" s="47" t="inlineStr">
        <is>
          <t>Transfer - Sunita Gupta</t>
        </is>
      </c>
      <c r="D6" s="45" t="inlineStr">
        <is>
          <t>SIP</t>
        </is>
      </c>
      <c r="E6" s="50" t="inlineStr">
        <is>
          <t>Health Insurance</t>
        </is>
      </c>
      <c r="F6" s="51" t="inlineStr">
        <is>
          <t>Misc Income</t>
        </is>
      </c>
    </row>
    <row r="7">
      <c r="B7" s="52" t="inlineStr">
        <is>
          <t>MF Redemption</t>
        </is>
      </c>
      <c r="C7" s="53" t="inlineStr">
        <is>
          <t>Advance Tax</t>
        </is>
      </c>
    </row>
    <row r="9">
      <c r="A9" s="15" t="inlineStr">
        <is>
          <t>Date</t>
        </is>
      </c>
      <c r="B9" s="15" t="inlineStr">
        <is>
          <t>Particulars</t>
        </is>
      </c>
      <c r="C9" s="15" t="inlineStr">
        <is>
          <t>Ref</t>
        </is>
      </c>
      <c r="D9" s="15" t="inlineStr">
        <is>
          <t>Value_Date</t>
        </is>
      </c>
      <c r="E9" s="15" t="inlineStr">
        <is>
          <t>DR</t>
        </is>
      </c>
      <c r="F9" s="15" t="inlineStr">
        <is>
          <t>CR</t>
        </is>
      </c>
      <c r="G9" s="15" t="inlineStr">
        <is>
          <t>Balance</t>
        </is>
      </c>
      <c r="H9" s="15" t="inlineStr">
        <is>
          <t>Beneficiary</t>
        </is>
      </c>
      <c r="I9" s="15" t="inlineStr">
        <is>
          <t>Human_Narration</t>
        </is>
      </c>
      <c r="J9" s="15" t="inlineStr">
        <is>
          <t>Auto_Narration</t>
        </is>
      </c>
      <c r="K9" s="15" t="inlineStr">
        <is>
          <t>Account_Head</t>
        </is>
      </c>
      <c r="L9" s="15" t="inlineStr">
        <is>
          <t>Confidence</t>
        </is>
      </c>
      <c r="M9" s="15" t="inlineStr">
        <is>
          <t>Match</t>
        </is>
      </c>
    </row>
    <row r="10">
      <c r="A10" s="41" t="n">
        <v>45017</v>
      </c>
      <c r="B10" s="42" t="inlineStr">
        <is>
          <t>NEFT DR-UTIB0002656-AAYUSH KUMAR GUPTA-NETBANK, MUM-N091232397833081-TRANSFER FROM HDFC</t>
        </is>
      </c>
      <c r="C10" s="42" t="inlineStr">
        <is>
          <t>N091232397833081</t>
        </is>
      </c>
      <c r="D10" s="41" t="n">
        <v>45017</v>
      </c>
      <c r="E10" s="42" t="n">
        <v>50000</v>
      </c>
      <c r="F10" s="42" t="n">
        <v>0</v>
      </c>
      <c r="G10" s="42" t="n">
        <v>33618.17</v>
      </c>
      <c r="H10" s="42" t="inlineStr"/>
      <c r="I10" s="42" t="inlineStr"/>
      <c r="J10" s="42" t="inlineStr">
        <is>
          <t>Contra - Axis</t>
        </is>
      </c>
      <c r="K10" s="42" t="inlineStr">
        <is>
          <t>AXIS</t>
        </is>
      </c>
      <c r="L10" s="18" t="n">
        <v>0.9</v>
      </c>
      <c r="M10" s="42" t="inlineStr">
        <is>
          <t>N/A</t>
        </is>
      </c>
    </row>
    <row r="11">
      <c r="A11" s="41" t="n">
        <v>45019</v>
      </c>
      <c r="B11" s="42" t="inlineStr">
        <is>
          <t>NEFT CR-UTIB0000115-JINDAL SAW LIMITED-AAYUSH KUMAR GUPTA-AXISCN0231261220</t>
        </is>
      </c>
      <c r="C11" s="42" t="inlineStr">
        <is>
          <t>AXISCN0231261220</t>
        </is>
      </c>
      <c r="D11" s="41" t="n">
        <v>45019</v>
      </c>
      <c r="E11" s="42" t="n">
        <v>0</v>
      </c>
      <c r="F11" s="42" t="n">
        <v>57999</v>
      </c>
      <c r="G11" s="42" t="n">
        <v>91617.17</v>
      </c>
      <c r="H11" s="42" t="inlineStr"/>
      <c r="I11" s="42" t="inlineStr"/>
      <c r="J11" s="42" t="inlineStr">
        <is>
          <t>Contra - Axis</t>
        </is>
      </c>
      <c r="K11" s="42" t="inlineStr">
        <is>
          <t>AXIS</t>
        </is>
      </c>
      <c r="L11" s="18" t="n">
        <v>0.9</v>
      </c>
      <c r="M11" s="42" t="inlineStr">
        <is>
          <t>N/A</t>
        </is>
      </c>
    </row>
    <row r="12">
      <c r="A12" s="41" t="n">
        <v>45019</v>
      </c>
      <c r="B12" s="42" t="inlineStr">
        <is>
          <t>NET PI TO HSL SEC A/C 2554606-00602340029427</t>
        </is>
      </c>
      <c r="C12" s="42" t="inlineStr">
        <is>
          <t>0000000399867464</t>
        </is>
      </c>
      <c r="D12" s="41" t="n">
        <v>45019</v>
      </c>
      <c r="E12" s="42" t="n">
        <v>387.51</v>
      </c>
      <c r="F12" s="42" t="n">
        <v>0</v>
      </c>
      <c r="G12" s="42" t="n">
        <v>91229.66</v>
      </c>
      <c r="H12" s="42" t="inlineStr"/>
      <c r="I12" s="42" t="inlineStr"/>
      <c r="J12" s="42" t="inlineStr">
        <is>
          <t>HDFC Securities - Buy</t>
        </is>
      </c>
      <c r="K12" s="42" t="inlineStr">
        <is>
          <t>HDFC Securities</t>
        </is>
      </c>
      <c r="L12" s="18" t="n">
        <v>0.97</v>
      </c>
      <c r="M12" s="42" t="inlineStr">
        <is>
          <t>N/A</t>
        </is>
      </c>
    </row>
    <row r="13">
      <c r="A13" s="54" t="n">
        <v>45019</v>
      </c>
      <c r="B13" s="55" t="inlineStr">
        <is>
          <t>NET PO FROM HSL A/C 2554606-00602340029427</t>
        </is>
      </c>
      <c r="C13" s="55" t="inlineStr">
        <is>
          <t>0000000399979610</t>
        </is>
      </c>
      <c r="D13" s="54" t="n">
        <v>45019</v>
      </c>
      <c r="E13" s="55" t="n">
        <v>0</v>
      </c>
      <c r="F13" s="55" t="n">
        <v>4287.59</v>
      </c>
      <c r="G13" s="55" t="n">
        <v>95517.25</v>
      </c>
      <c r="H13" s="55" t="inlineStr"/>
      <c r="I13" s="55" t="inlineStr"/>
      <c r="J13" s="55" t="inlineStr">
        <is>
          <t>HDFC Securities - Sell</t>
        </is>
      </c>
      <c r="K13" s="55" t="inlineStr">
        <is>
          <t>HDFC Securities</t>
        </is>
      </c>
      <c r="L13" s="18" t="n">
        <v>0.97</v>
      </c>
      <c r="M13" s="55" t="inlineStr">
        <is>
          <t>N/A</t>
        </is>
      </c>
    </row>
    <row r="14">
      <c r="A14" s="41" t="n">
        <v>45021</v>
      </c>
      <c r="B14" s="42" t="inlineStr">
        <is>
          <t>NET PI TO HSL SEC A/C 2554606-00602340029427</t>
        </is>
      </c>
      <c r="C14" s="42" t="inlineStr">
        <is>
          <t>0000000400386064</t>
        </is>
      </c>
      <c r="D14" s="41" t="n">
        <v>45021</v>
      </c>
      <c r="E14" s="42" t="n">
        <v>21810.69</v>
      </c>
      <c r="F14" s="42" t="n">
        <v>0</v>
      </c>
      <c r="G14" s="42" t="n">
        <v>73706.56</v>
      </c>
      <c r="H14" s="42" t="inlineStr"/>
      <c r="I14" s="42" t="inlineStr"/>
      <c r="J14" s="42" t="inlineStr">
        <is>
          <t>HDFC Securities - Buy</t>
        </is>
      </c>
      <c r="K14" s="42" t="inlineStr">
        <is>
          <t>HDFC Securities</t>
        </is>
      </c>
      <c r="L14" s="18" t="n">
        <v>0.97</v>
      </c>
      <c r="M14" s="42" t="inlineStr">
        <is>
          <t>N/A</t>
        </is>
      </c>
    </row>
    <row r="15">
      <c r="A15" s="41" t="n">
        <v>45022</v>
      </c>
      <c r="B15" s="42" t="inlineStr">
        <is>
          <t>NET PI TO HSL SEC A/C 2554606-00602340029427</t>
        </is>
      </c>
      <c r="C15" s="42" t="inlineStr">
        <is>
          <t>0000000400620092</t>
        </is>
      </c>
      <c r="D15" s="41" t="n">
        <v>45022</v>
      </c>
      <c r="E15" s="42" t="n">
        <v>115.7</v>
      </c>
      <c r="F15" s="42" t="n">
        <v>0</v>
      </c>
      <c r="G15" s="42" t="n">
        <v>73590.86</v>
      </c>
      <c r="H15" s="42" t="inlineStr"/>
      <c r="I15" s="42" t="inlineStr"/>
      <c r="J15" s="42" t="inlineStr">
        <is>
          <t>HDFC Securities - Buy</t>
        </is>
      </c>
      <c r="K15" s="42" t="inlineStr">
        <is>
          <t>HDFC Securities</t>
        </is>
      </c>
      <c r="L15" s="18" t="n">
        <v>0.97</v>
      </c>
      <c r="M15" s="42" t="inlineStr">
        <is>
          <t>N/A</t>
        </is>
      </c>
    </row>
    <row r="16">
      <c r="A16" s="54" t="n">
        <v>45022</v>
      </c>
      <c r="B16" s="55" t="inlineStr">
        <is>
          <t>NET PO FROM HSL A/C 2554606-00602340029427</t>
        </is>
      </c>
      <c r="C16" s="55" t="inlineStr">
        <is>
          <t>0000000400730659</t>
        </is>
      </c>
      <c r="D16" s="54" t="n">
        <v>45022</v>
      </c>
      <c r="E16" s="55" t="n">
        <v>0</v>
      </c>
      <c r="F16" s="55" t="n">
        <v>1699.23</v>
      </c>
      <c r="G16" s="55" t="n">
        <v>75290.09</v>
      </c>
      <c r="H16" s="55" t="inlineStr"/>
      <c r="I16" s="55" t="inlineStr"/>
      <c r="J16" s="55" t="inlineStr">
        <is>
          <t>HDFC Securities - Sell</t>
        </is>
      </c>
      <c r="K16" s="55" t="inlineStr">
        <is>
          <t>HDFC Securities</t>
        </is>
      </c>
      <c r="L16" s="18" t="n">
        <v>0.97</v>
      </c>
      <c r="M16" s="55" t="inlineStr">
        <is>
          <t>N/A</t>
        </is>
      </c>
    </row>
    <row r="17">
      <c r="A17" s="23" t="n">
        <v>45023</v>
      </c>
      <c r="B17" s="24" t="inlineStr">
        <is>
          <t>00602300000434-021333684</t>
        </is>
      </c>
      <c r="C17" s="24" t="inlineStr">
        <is>
          <t>0000304077582285</t>
        </is>
      </c>
      <c r="D17" s="23" t="n">
        <v>45023</v>
      </c>
      <c r="E17" s="24" t="n">
        <v>0</v>
      </c>
      <c r="F17" s="24" t="n">
        <v>1880</v>
      </c>
      <c r="G17" s="24" t="n">
        <v>77170.09</v>
      </c>
      <c r="H17" s="24" t="inlineStr"/>
      <c r="I17" s="24" t="inlineStr"/>
      <c r="J17" s="24" t="inlineStr">
        <is>
          <t>What is this?</t>
        </is>
      </c>
      <c r="K17" s="24" t="inlineStr">
        <is>
          <t>Suspense</t>
        </is>
      </c>
      <c r="L17" s="25" t="n">
        <v>0</v>
      </c>
      <c r="M17" s="24" t="inlineStr">
        <is>
          <t>N/A</t>
        </is>
      </c>
    </row>
    <row r="18">
      <c r="A18" s="41" t="n">
        <v>45026</v>
      </c>
      <c r="B18" s="42" t="inlineStr">
        <is>
          <t>NET PI TO HSL SEC A/C 2554606-00602340029427</t>
        </is>
      </c>
      <c r="C18" s="42" t="inlineStr">
        <is>
          <t>0000000401078570</t>
        </is>
      </c>
      <c r="D18" s="41" t="n">
        <v>45026</v>
      </c>
      <c r="E18" s="42" t="n">
        <v>466.16</v>
      </c>
      <c r="F18" s="42" t="n">
        <v>0</v>
      </c>
      <c r="G18" s="42" t="n">
        <v>76703.92999999999</v>
      </c>
      <c r="H18" s="42" t="inlineStr"/>
      <c r="I18" s="42" t="inlineStr"/>
      <c r="J18" s="42" t="inlineStr">
        <is>
          <t>HDFC Securities - Buy</t>
        </is>
      </c>
      <c r="K18" s="42" t="inlineStr">
        <is>
          <t>HDFC Securities</t>
        </is>
      </c>
      <c r="L18" s="18" t="n">
        <v>0.97</v>
      </c>
      <c r="M18" s="42" t="inlineStr">
        <is>
          <t>N/A</t>
        </is>
      </c>
    </row>
    <row r="19">
      <c r="A19" s="54" t="n">
        <v>45026</v>
      </c>
      <c r="B19" s="55" t="inlineStr">
        <is>
          <t>NET PO FROM HSL A/C 2554606-00602340029427</t>
        </is>
      </c>
      <c r="C19" s="55" t="inlineStr">
        <is>
          <t>0000000401189359</t>
        </is>
      </c>
      <c r="D19" s="54" t="n">
        <v>45026</v>
      </c>
      <c r="E19" s="55" t="n">
        <v>0</v>
      </c>
      <c r="F19" s="55" t="n">
        <v>662.12</v>
      </c>
      <c r="G19" s="55" t="n">
        <v>77366.05</v>
      </c>
      <c r="H19" s="55" t="inlineStr"/>
      <c r="I19" s="55" t="inlineStr"/>
      <c r="J19" s="55" t="inlineStr">
        <is>
          <t>HDFC Securities - Sell</t>
        </is>
      </c>
      <c r="K19" s="55" t="inlineStr">
        <is>
          <t>HDFC Securities</t>
        </is>
      </c>
      <c r="L19" s="18" t="n">
        <v>0.97</v>
      </c>
      <c r="M19" s="55" t="inlineStr">
        <is>
          <t>N/A</t>
        </is>
      </c>
    </row>
    <row r="20">
      <c r="A20" s="41" t="n">
        <v>45027</v>
      </c>
      <c r="B20" s="42" t="inlineStr">
        <is>
          <t>NET PI TO HSL SEC A/C 2554606-00602340029427</t>
        </is>
      </c>
      <c r="C20" s="42" t="inlineStr">
        <is>
          <t>0000000401415591</t>
        </is>
      </c>
      <c r="D20" s="41" t="n">
        <v>45027</v>
      </c>
      <c r="E20" s="42" t="n">
        <v>116.86</v>
      </c>
      <c r="F20" s="42" t="n">
        <v>0</v>
      </c>
      <c r="G20" s="42" t="n">
        <v>77249.19</v>
      </c>
      <c r="H20" s="42" t="inlineStr"/>
      <c r="I20" s="42" t="inlineStr"/>
      <c r="J20" s="42" t="inlineStr">
        <is>
          <t>HDFC Securities - Buy</t>
        </is>
      </c>
      <c r="K20" s="42" t="inlineStr">
        <is>
          <t>HDFC Securities</t>
        </is>
      </c>
      <c r="L20" s="18" t="n">
        <v>0.97</v>
      </c>
      <c r="M20" s="42" t="inlineStr">
        <is>
          <t>N/A</t>
        </is>
      </c>
    </row>
    <row r="21">
      <c r="A21" s="54" t="n">
        <v>45027</v>
      </c>
      <c r="B21" s="55" t="inlineStr">
        <is>
          <t>NET PO FROM HSL A/C 2554606-00602340029427</t>
        </is>
      </c>
      <c r="C21" s="55" t="inlineStr">
        <is>
          <t>0000000401522488</t>
        </is>
      </c>
      <c r="D21" s="54" t="n">
        <v>45027</v>
      </c>
      <c r="E21" s="55" t="n">
        <v>0</v>
      </c>
      <c r="F21" s="55" t="n">
        <v>334.27</v>
      </c>
      <c r="G21" s="55" t="n">
        <v>77583.46000000001</v>
      </c>
      <c r="H21" s="55" t="inlineStr"/>
      <c r="I21" s="55" t="inlineStr"/>
      <c r="J21" s="55" t="inlineStr">
        <is>
          <t>HDFC Securities - Sell</t>
        </is>
      </c>
      <c r="K21" s="55" t="inlineStr">
        <is>
          <t>HDFC Securities</t>
        </is>
      </c>
      <c r="L21" s="18" t="n">
        <v>0.97</v>
      </c>
      <c r="M21" s="55" t="inlineStr">
        <is>
          <t>N/A</t>
        </is>
      </c>
    </row>
    <row r="22">
      <c r="A22" s="41" t="n">
        <v>45028</v>
      </c>
      <c r="B22" s="42" t="inlineStr">
        <is>
          <t>NET PI TO HSL SEC A/C 2554606-00602340029427</t>
        </is>
      </c>
      <c r="C22" s="42" t="inlineStr">
        <is>
          <t>0000000401746881</t>
        </is>
      </c>
      <c r="D22" s="41" t="n">
        <v>45028</v>
      </c>
      <c r="E22" s="42" t="n">
        <v>117.03</v>
      </c>
      <c r="F22" s="42" t="n">
        <v>0</v>
      </c>
      <c r="G22" s="42" t="n">
        <v>77466.42999999999</v>
      </c>
      <c r="H22" s="42" t="inlineStr"/>
      <c r="I22" s="42" t="inlineStr"/>
      <c r="J22" s="42" t="inlineStr">
        <is>
          <t>HDFC Securities - Buy</t>
        </is>
      </c>
      <c r="K22" s="42" t="inlineStr">
        <is>
          <t>HDFC Securities</t>
        </is>
      </c>
      <c r="L22" s="18" t="n">
        <v>0.97</v>
      </c>
      <c r="M22" s="42" t="inlineStr">
        <is>
          <t>N/A</t>
        </is>
      </c>
    </row>
    <row r="23">
      <c r="A23" s="54" t="n">
        <v>45028</v>
      </c>
      <c r="B23" s="55" t="inlineStr">
        <is>
          <t>NET PO FROM HSL A/C 2554606-00602340029427</t>
        </is>
      </c>
      <c r="C23" s="55" t="inlineStr">
        <is>
          <t>0000000401852472</t>
        </is>
      </c>
      <c r="D23" s="54" t="n">
        <v>45028</v>
      </c>
      <c r="E23" s="55" t="n">
        <v>0</v>
      </c>
      <c r="F23" s="55" t="n">
        <v>1340.99</v>
      </c>
      <c r="G23" s="55" t="n">
        <v>78807.42</v>
      </c>
      <c r="H23" s="55" t="inlineStr"/>
      <c r="I23" s="55" t="inlineStr"/>
      <c r="J23" s="55" t="inlineStr">
        <is>
          <t>HDFC Securities - Sell</t>
        </is>
      </c>
      <c r="K23" s="55" t="inlineStr">
        <is>
          <t>HDFC Securities</t>
        </is>
      </c>
      <c r="L23" s="18" t="n">
        <v>0.97</v>
      </c>
      <c r="M23" s="55" t="inlineStr">
        <is>
          <t>N/A</t>
        </is>
      </c>
    </row>
    <row r="24">
      <c r="A24" s="56" t="n">
        <v>45029</v>
      </c>
      <c r="B24" s="57" t="inlineStr">
        <is>
          <t>DEPOSITORY CHARGES MAR23 - 52812428</t>
        </is>
      </c>
      <c r="C24" s="57" t="inlineStr">
        <is>
          <t>000000000000000</t>
        </is>
      </c>
      <c r="D24" s="56" t="n">
        <v>45029</v>
      </c>
      <c r="E24" s="57" t="n">
        <v>590</v>
      </c>
      <c r="F24" s="57" t="n">
        <v>0</v>
      </c>
      <c r="G24" s="57" t="n">
        <v>78217.42</v>
      </c>
      <c r="H24" s="57" t="inlineStr"/>
      <c r="I24" s="57" t="inlineStr"/>
      <c r="J24" s="57" t="inlineStr">
        <is>
          <t>Depository Charges</t>
        </is>
      </c>
      <c r="K24" s="57" t="inlineStr">
        <is>
          <t>Depository Charges</t>
        </is>
      </c>
      <c r="L24" s="18" t="n">
        <v>0.93</v>
      </c>
      <c r="M24" s="57" t="inlineStr">
        <is>
          <t>N/A</t>
        </is>
      </c>
    </row>
    <row r="25">
      <c r="A25" s="41" t="n">
        <v>45029</v>
      </c>
      <c r="B25" s="42" t="inlineStr">
        <is>
          <t>NET PI TO HSL SEC A/C 2554606-00602340029427</t>
        </is>
      </c>
      <c r="C25" s="42" t="inlineStr">
        <is>
          <t>0000000402064043</t>
        </is>
      </c>
      <c r="D25" s="41" t="n">
        <v>45029</v>
      </c>
      <c r="E25" s="42" t="n">
        <v>117.69</v>
      </c>
      <c r="F25" s="42" t="n">
        <v>0</v>
      </c>
      <c r="G25" s="42" t="n">
        <v>78099.73</v>
      </c>
      <c r="H25" s="42" t="inlineStr"/>
      <c r="I25" s="42" t="inlineStr"/>
      <c r="J25" s="42" t="inlineStr">
        <is>
          <t>HDFC Securities - Buy</t>
        </is>
      </c>
      <c r="K25" s="42" t="inlineStr">
        <is>
          <t>HDFC Securities</t>
        </is>
      </c>
      <c r="L25" s="18" t="n">
        <v>0.97</v>
      </c>
      <c r="M25" s="42" t="inlineStr">
        <is>
          <t>N/A</t>
        </is>
      </c>
    </row>
    <row r="26">
      <c r="A26" s="54" t="n">
        <v>45030</v>
      </c>
      <c r="B26" s="55" t="inlineStr">
        <is>
          <t>NET PO FROM HSL A/C 2554606-00602340029427</t>
        </is>
      </c>
      <c r="C26" s="55" t="inlineStr">
        <is>
          <t>0000000402179298</t>
        </is>
      </c>
      <c r="D26" s="54" t="n">
        <v>45029</v>
      </c>
      <c r="E26" s="55" t="n">
        <v>0</v>
      </c>
      <c r="F26" s="55" t="n">
        <v>134.43</v>
      </c>
      <c r="G26" s="55" t="n">
        <v>78234.16</v>
      </c>
      <c r="H26" s="55" t="inlineStr"/>
      <c r="I26" s="55" t="inlineStr"/>
      <c r="J26" s="55" t="inlineStr">
        <is>
          <t>HDFC Securities - Sell</t>
        </is>
      </c>
      <c r="K26" s="55" t="inlineStr">
        <is>
          <t>HDFC Securities</t>
        </is>
      </c>
      <c r="L26" s="18" t="n">
        <v>0.97</v>
      </c>
      <c r="M26" s="55" t="inlineStr">
        <is>
          <t>N/A</t>
        </is>
      </c>
    </row>
    <row r="27">
      <c r="A27" s="39" t="n">
        <v>45031</v>
      </c>
      <c r="B27" s="40" t="inlineStr">
        <is>
          <t>50100542230922-TPT-BORROW FROM AAYUSH-ARCHIT GUPTA</t>
        </is>
      </c>
      <c r="C27" s="40" t="inlineStr">
        <is>
          <t>0000000340652822</t>
        </is>
      </c>
      <c r="D27" s="39" t="n">
        <v>45031</v>
      </c>
      <c r="E27" s="40" t="n">
        <v>25000</v>
      </c>
      <c r="F27" s="40" t="n">
        <v>0</v>
      </c>
      <c r="G27" s="40" t="n">
        <v>53234.16</v>
      </c>
      <c r="H27" s="40" t="inlineStr"/>
      <c r="I27" s="40" t="inlineStr"/>
      <c r="J27" s="40" t="inlineStr">
        <is>
          <t>Transfer - Archit Gupta</t>
        </is>
      </c>
      <c r="K27" s="40" t="inlineStr">
        <is>
          <t>Archit Gupta</t>
        </is>
      </c>
      <c r="L27" s="18" t="n">
        <v>0.85</v>
      </c>
      <c r="M27" s="40" t="inlineStr">
        <is>
          <t>N/A</t>
        </is>
      </c>
    </row>
    <row r="28">
      <c r="A28" s="58" t="n">
        <v>45033</v>
      </c>
      <c r="B28" s="59" t="inlineStr">
        <is>
          <t>NET PAYIN TO BSE MF A/C -57500000389146- FROM A/C -50100128155413- UCC -2554606-57500000389146</t>
        </is>
      </c>
      <c r="C28" s="59" t="inlineStr">
        <is>
          <t>0000000402366626</t>
        </is>
      </c>
      <c r="D28" s="58" t="n">
        <v>45033</v>
      </c>
      <c r="E28" s="59" t="n">
        <v>2500</v>
      </c>
      <c r="F28" s="59" t="n">
        <v>0</v>
      </c>
      <c r="G28" s="59" t="n">
        <v>50734.16</v>
      </c>
      <c r="H28" s="59" t="inlineStr"/>
      <c r="I28" s="59" t="inlineStr"/>
      <c r="J28" s="59" t="inlineStr">
        <is>
          <t>MF Investment</t>
        </is>
      </c>
      <c r="K28" s="59" t="inlineStr">
        <is>
          <t>Investments</t>
        </is>
      </c>
      <c r="L28" s="18" t="n">
        <v>0.9</v>
      </c>
      <c r="M28" s="59" t="inlineStr">
        <is>
          <t>N/A</t>
        </is>
      </c>
    </row>
    <row r="29">
      <c r="A29" s="41" t="n">
        <v>45033</v>
      </c>
      <c r="B29" s="42" t="inlineStr">
        <is>
          <t>NET PI TO HSL SEC A/C 2554606-00602340029427</t>
        </is>
      </c>
      <c r="C29" s="42" t="inlineStr">
        <is>
          <t>0000000402463270</t>
        </is>
      </c>
      <c r="D29" s="41" t="n">
        <v>45033</v>
      </c>
      <c r="E29" s="42" t="n">
        <v>471.04</v>
      </c>
      <c r="F29" s="42" t="n">
        <v>0</v>
      </c>
      <c r="G29" s="42" t="n">
        <v>50263.12</v>
      </c>
      <c r="H29" s="42" t="inlineStr"/>
      <c r="I29" s="42" t="inlineStr"/>
      <c r="J29" s="42" t="inlineStr">
        <is>
          <t>HDFC Securities - Buy</t>
        </is>
      </c>
      <c r="K29" s="42" t="inlineStr">
        <is>
          <t>HDFC Securities</t>
        </is>
      </c>
      <c r="L29" s="18" t="n">
        <v>0.97</v>
      </c>
      <c r="M29" s="42" t="inlineStr">
        <is>
          <t>N/A</t>
        </is>
      </c>
    </row>
    <row r="30">
      <c r="A30" s="54" t="n">
        <v>45034</v>
      </c>
      <c r="B30" s="55" t="inlineStr">
        <is>
          <t>NET PO FROM HSL A/C 2554606-00602340029427</t>
        </is>
      </c>
      <c r="C30" s="55" t="inlineStr">
        <is>
          <t>0000000402652721</t>
        </is>
      </c>
      <c r="D30" s="54" t="n">
        <v>45033</v>
      </c>
      <c r="E30" s="55" t="n">
        <v>0</v>
      </c>
      <c r="F30" s="55" t="n">
        <v>2222.79</v>
      </c>
      <c r="G30" s="55" t="n">
        <v>52485.91</v>
      </c>
      <c r="H30" s="55" t="inlineStr"/>
      <c r="I30" s="55" t="inlineStr"/>
      <c r="J30" s="55" t="inlineStr">
        <is>
          <t>HDFC Securities - Sell</t>
        </is>
      </c>
      <c r="K30" s="55" t="inlineStr">
        <is>
          <t>HDFC Securities</t>
        </is>
      </c>
      <c r="L30" s="18" t="n">
        <v>0.97</v>
      </c>
      <c r="M30" s="55" t="inlineStr">
        <is>
          <t>N/A</t>
        </is>
      </c>
    </row>
    <row r="31">
      <c r="A31" s="26" t="n">
        <v>45034</v>
      </c>
      <c r="B31" s="27" t="inlineStr">
        <is>
          <t>01671000085930-TPT-MONEY RETURNED TO AAYUSH-AJAY KUMAR GUPTA</t>
        </is>
      </c>
      <c r="C31" s="27" t="inlineStr">
        <is>
          <t>0000000246549390</t>
        </is>
      </c>
      <c r="D31" s="26" t="n">
        <v>45034</v>
      </c>
      <c r="E31" s="27" t="n">
        <v>25000</v>
      </c>
      <c r="F31" s="27" t="n">
        <v>0</v>
      </c>
      <c r="G31" s="27" t="n">
        <v>27485.91</v>
      </c>
      <c r="H31" s="27" t="inlineStr"/>
      <c r="I31" s="27" t="inlineStr"/>
      <c r="J31" s="27" t="inlineStr">
        <is>
          <t>Transfer - Ajay Gupta</t>
        </is>
      </c>
      <c r="K31" s="27" t="inlineStr">
        <is>
          <t>Ajay Gupta</t>
        </is>
      </c>
      <c r="L31" s="18" t="n">
        <v>0.88</v>
      </c>
      <c r="M31" s="27" t="inlineStr">
        <is>
          <t>N/A</t>
        </is>
      </c>
    </row>
    <row r="32">
      <c r="A32" s="41" t="n">
        <v>45034</v>
      </c>
      <c r="B32" s="42" t="inlineStr">
        <is>
          <t>NET PI TO HSL SEC A/C 2554606-00602340029427</t>
        </is>
      </c>
      <c r="C32" s="42" t="inlineStr">
        <is>
          <t>0000000402898317</t>
        </is>
      </c>
      <c r="D32" s="41" t="n">
        <v>45034</v>
      </c>
      <c r="E32" s="42" t="n">
        <v>118.85</v>
      </c>
      <c r="F32" s="42" t="n">
        <v>0</v>
      </c>
      <c r="G32" s="42" t="n">
        <v>27367.06</v>
      </c>
      <c r="H32" s="42" t="inlineStr"/>
      <c r="I32" s="42" t="inlineStr"/>
      <c r="J32" s="42" t="inlineStr">
        <is>
          <t>HDFC Securities - Buy</t>
        </is>
      </c>
      <c r="K32" s="42" t="inlineStr">
        <is>
          <t>HDFC Securities</t>
        </is>
      </c>
      <c r="L32" s="18" t="n">
        <v>0.97</v>
      </c>
      <c r="M32" s="42" t="inlineStr">
        <is>
          <t>N/A</t>
        </is>
      </c>
    </row>
    <row r="33">
      <c r="A33" s="41" t="n">
        <v>45034</v>
      </c>
      <c r="B33" s="42" t="inlineStr">
        <is>
          <t>NET PI TO HSL SEC A/C 2554606-00602340029427</t>
        </is>
      </c>
      <c r="C33" s="42" t="inlineStr">
        <is>
          <t>0000000402996357</t>
        </is>
      </c>
      <c r="D33" s="41" t="n">
        <v>45034</v>
      </c>
      <c r="E33" s="42" t="n">
        <v>2188.95</v>
      </c>
      <c r="F33" s="42" t="n">
        <v>0</v>
      </c>
      <c r="G33" s="42" t="n">
        <v>25178.11</v>
      </c>
      <c r="H33" s="42" t="inlineStr"/>
      <c r="I33" s="42" t="inlineStr"/>
      <c r="J33" s="42" t="inlineStr">
        <is>
          <t>HDFC Securities - Buy</t>
        </is>
      </c>
      <c r="K33" s="42" t="inlineStr">
        <is>
          <t>HDFC Securities</t>
        </is>
      </c>
      <c r="L33" s="18" t="n">
        <v>0.97</v>
      </c>
      <c r="M33" s="42" t="inlineStr">
        <is>
          <t>N/A</t>
        </is>
      </c>
    </row>
    <row r="34">
      <c r="A34" s="41" t="n">
        <v>45035</v>
      </c>
      <c r="B34" s="42" t="inlineStr">
        <is>
          <t>NET PI TO HSL SEC A/C 2554606-00602340029427</t>
        </is>
      </c>
      <c r="C34" s="42" t="inlineStr">
        <is>
          <t>0000000403233396</t>
        </is>
      </c>
      <c r="D34" s="41" t="n">
        <v>45035</v>
      </c>
      <c r="E34" s="42" t="n">
        <v>117.77</v>
      </c>
      <c r="F34" s="42" t="n">
        <v>0</v>
      </c>
      <c r="G34" s="42" t="n">
        <v>25060.34</v>
      </c>
      <c r="H34" s="42" t="inlineStr"/>
      <c r="I34" s="42" t="inlineStr"/>
      <c r="J34" s="42" t="inlineStr">
        <is>
          <t>HDFC Securities - Buy</t>
        </is>
      </c>
      <c r="K34" s="42" t="inlineStr">
        <is>
          <t>HDFC Securities</t>
        </is>
      </c>
      <c r="L34" s="18" t="n">
        <v>0.97</v>
      </c>
      <c r="M34" s="42" t="inlineStr">
        <is>
          <t>N/A</t>
        </is>
      </c>
    </row>
    <row r="35">
      <c r="A35" s="54" t="n">
        <v>45035</v>
      </c>
      <c r="B35" s="55" t="inlineStr">
        <is>
          <t>NET PO FROM HSL A/C 2554606-00602340029427</t>
        </is>
      </c>
      <c r="C35" s="55" t="inlineStr">
        <is>
          <t>0000000403355107</t>
        </is>
      </c>
      <c r="D35" s="54" t="n">
        <v>45035</v>
      </c>
      <c r="E35" s="55" t="n">
        <v>0</v>
      </c>
      <c r="F35" s="55" t="n">
        <v>1395.14</v>
      </c>
      <c r="G35" s="55" t="n">
        <v>26455.48</v>
      </c>
      <c r="H35" s="55" t="inlineStr"/>
      <c r="I35" s="55" t="inlineStr"/>
      <c r="J35" s="55" t="inlineStr">
        <is>
          <t>HDFC Securities - Sell</t>
        </is>
      </c>
      <c r="K35" s="55" t="inlineStr">
        <is>
          <t>HDFC Securities</t>
        </is>
      </c>
      <c r="L35" s="18" t="n">
        <v>0.97</v>
      </c>
      <c r="M35" s="55" t="inlineStr">
        <is>
          <t>N/A</t>
        </is>
      </c>
    </row>
    <row r="36">
      <c r="A36" s="54" t="n">
        <v>45036</v>
      </c>
      <c r="B36" s="55" t="inlineStr">
        <is>
          <t>NET PO FROM HSL A/C 2554606-00602340029427</t>
        </is>
      </c>
      <c r="C36" s="55" t="inlineStr">
        <is>
          <t>0000000403671610</t>
        </is>
      </c>
      <c r="D36" s="54" t="n">
        <v>45036</v>
      </c>
      <c r="E36" s="55" t="n">
        <v>0</v>
      </c>
      <c r="F36" s="55" t="n">
        <v>6098.61</v>
      </c>
      <c r="G36" s="55" t="n">
        <v>32554.09</v>
      </c>
      <c r="H36" s="55" t="inlineStr"/>
      <c r="I36" s="55" t="inlineStr"/>
      <c r="J36" s="55" t="inlineStr">
        <is>
          <t>HDFC Securities - Sell</t>
        </is>
      </c>
      <c r="K36" s="55" t="inlineStr">
        <is>
          <t>HDFC Securities</t>
        </is>
      </c>
      <c r="L36" s="18" t="n">
        <v>0.97</v>
      </c>
      <c r="M36" s="55" t="inlineStr">
        <is>
          <t>N/A</t>
        </is>
      </c>
    </row>
    <row r="37">
      <c r="A37" s="60" t="n">
        <v>45037</v>
      </c>
      <c r="B37" s="61" t="inlineStr">
        <is>
          <t>ATW-652166XXXXXX8920-CHBDL001-NASHIK</t>
        </is>
      </c>
      <c r="C37" s="61" t="inlineStr">
        <is>
          <t>0000000000003019</t>
        </is>
      </c>
      <c r="D37" s="60" t="n">
        <v>45037</v>
      </c>
      <c r="E37" s="61" t="n">
        <v>10000</v>
      </c>
      <c r="F37" s="61" t="n">
        <v>0</v>
      </c>
      <c r="G37" s="61" t="n">
        <v>22554.09</v>
      </c>
      <c r="H37" s="61" t="inlineStr"/>
      <c r="I37" s="61" t="inlineStr"/>
      <c r="J37" s="61" t="inlineStr">
        <is>
          <t>Cash Withdrawal</t>
        </is>
      </c>
      <c r="K37" s="61" t="inlineStr">
        <is>
          <t>Cash</t>
        </is>
      </c>
      <c r="L37" s="18" t="n">
        <v>0.92</v>
      </c>
      <c r="M37" s="61" t="inlineStr">
        <is>
          <t>N/A</t>
        </is>
      </c>
    </row>
    <row r="38">
      <c r="A38" s="54" t="n">
        <v>45037</v>
      </c>
      <c r="B38" s="55" t="inlineStr">
        <is>
          <t>NET PO FROM HSL A/C 2554606-00602340029427</t>
        </is>
      </c>
      <c r="C38" s="55" t="inlineStr">
        <is>
          <t>0000000404004771</t>
        </is>
      </c>
      <c r="D38" s="54" t="n">
        <v>45037</v>
      </c>
      <c r="E38" s="55" t="n">
        <v>0</v>
      </c>
      <c r="F38" s="55" t="n">
        <v>2364.46</v>
      </c>
      <c r="G38" s="55" t="n">
        <v>24918.55</v>
      </c>
      <c r="H38" s="55" t="inlineStr"/>
      <c r="I38" s="55" t="inlineStr"/>
      <c r="J38" s="55" t="inlineStr">
        <is>
          <t>HDFC Securities - Sell</t>
        </is>
      </c>
      <c r="K38" s="55" t="inlineStr">
        <is>
          <t>HDFC Securities</t>
        </is>
      </c>
      <c r="L38" s="18" t="n">
        <v>0.97</v>
      </c>
      <c r="M38" s="55" t="inlineStr">
        <is>
          <t>N/A</t>
        </is>
      </c>
    </row>
    <row r="39">
      <c r="A39" s="41" t="n">
        <v>45040</v>
      </c>
      <c r="B39" s="42" t="inlineStr">
        <is>
          <t>NET PI TO HSL SEC A/C 2554606-00602340029427</t>
        </is>
      </c>
      <c r="C39" s="42" t="inlineStr">
        <is>
          <t>0000000404232805</t>
        </is>
      </c>
      <c r="D39" s="41" t="n">
        <v>45040</v>
      </c>
      <c r="E39" s="42" t="n">
        <v>333.9</v>
      </c>
      <c r="F39" s="42" t="n">
        <v>0</v>
      </c>
      <c r="G39" s="42" t="n">
        <v>24584.65</v>
      </c>
      <c r="H39" s="42" t="inlineStr"/>
      <c r="I39" s="42" t="inlineStr"/>
      <c r="J39" s="42" t="inlineStr">
        <is>
          <t>HDFC Securities - Buy</t>
        </is>
      </c>
      <c r="K39" s="42" t="inlineStr">
        <is>
          <t>HDFC Securities</t>
        </is>
      </c>
      <c r="L39" s="18" t="n">
        <v>0.97</v>
      </c>
      <c r="M39" s="42" t="inlineStr">
        <is>
          <t>N/A</t>
        </is>
      </c>
    </row>
    <row r="40">
      <c r="A40" s="54" t="n">
        <v>45040</v>
      </c>
      <c r="B40" s="55" t="inlineStr">
        <is>
          <t>NET PO FROM HSL A/C 2554606-00602340029427</t>
        </is>
      </c>
      <c r="C40" s="55" t="inlineStr">
        <is>
          <t>0000000404337813</t>
        </is>
      </c>
      <c r="D40" s="54" t="n">
        <v>45040</v>
      </c>
      <c r="E40" s="55" t="n">
        <v>0</v>
      </c>
      <c r="F40" s="55" t="n">
        <v>1160.53</v>
      </c>
      <c r="G40" s="55" t="n">
        <v>25745.18</v>
      </c>
      <c r="H40" s="55" t="inlineStr"/>
      <c r="I40" s="55" t="inlineStr"/>
      <c r="J40" s="55" t="inlineStr">
        <is>
          <t>HDFC Securities - Sell</t>
        </is>
      </c>
      <c r="K40" s="55" t="inlineStr">
        <is>
          <t>HDFC Securities</t>
        </is>
      </c>
      <c r="L40" s="18" t="n">
        <v>0.97</v>
      </c>
      <c r="M40" s="55" t="inlineStr">
        <is>
          <t>N/A</t>
        </is>
      </c>
    </row>
    <row r="41">
      <c r="A41" s="58" t="n">
        <v>45041</v>
      </c>
      <c r="B41" s="59" t="inlineStr">
        <is>
          <t>NET PAYIN TO BSE MF A/C -57500000389146- FROM A/C -50100128155413- UCC -2554606-57500000389146</t>
        </is>
      </c>
      <c r="C41" s="59" t="inlineStr">
        <is>
          <t>0000000404507370</t>
        </is>
      </c>
      <c r="D41" s="58" t="n">
        <v>45041</v>
      </c>
      <c r="E41" s="59" t="n">
        <v>2500</v>
      </c>
      <c r="F41" s="59" t="n">
        <v>0</v>
      </c>
      <c r="G41" s="59" t="n">
        <v>23245.18</v>
      </c>
      <c r="H41" s="59" t="inlineStr"/>
      <c r="I41" s="59" t="inlineStr"/>
      <c r="J41" s="59" t="inlineStr">
        <is>
          <t>MF Investment</t>
        </is>
      </c>
      <c r="K41" s="59" t="inlineStr">
        <is>
          <t>Investments</t>
        </is>
      </c>
      <c r="L41" s="18" t="n">
        <v>0.9</v>
      </c>
      <c r="M41" s="59" t="inlineStr">
        <is>
          <t>N/A</t>
        </is>
      </c>
    </row>
    <row r="42">
      <c r="A42" s="54" t="n">
        <v>45041</v>
      </c>
      <c r="B42" s="55" t="inlineStr">
        <is>
          <t>NET PO FROM HSL A/C 2554606-00602340029427</t>
        </is>
      </c>
      <c r="C42" s="55" t="inlineStr">
        <is>
          <t>0000000404523814</t>
        </is>
      </c>
      <c r="D42" s="54" t="n">
        <v>45041</v>
      </c>
      <c r="E42" s="55" t="n">
        <v>0</v>
      </c>
      <c r="F42" s="55" t="n">
        <v>3975.3</v>
      </c>
      <c r="G42" s="55" t="n">
        <v>27220.48</v>
      </c>
      <c r="H42" s="55" t="inlineStr"/>
      <c r="I42" s="55" t="inlineStr"/>
      <c r="J42" s="55" t="inlineStr">
        <is>
          <t>HDFC Securities - Sell</t>
        </is>
      </c>
      <c r="K42" s="55" t="inlineStr">
        <is>
          <t>HDFC Securities</t>
        </is>
      </c>
      <c r="L42" s="18" t="n">
        <v>0.97</v>
      </c>
      <c r="M42" s="55" t="inlineStr">
        <is>
          <t>N/A</t>
        </is>
      </c>
    </row>
    <row r="43">
      <c r="A43" s="41" t="n">
        <v>45041</v>
      </c>
      <c r="B43" s="42" t="inlineStr">
        <is>
          <t>NET PI TO HSL SEC A/C 2554606-00602340029427</t>
        </is>
      </c>
      <c r="C43" s="42" t="inlineStr">
        <is>
          <t>0000000404585647</t>
        </is>
      </c>
      <c r="D43" s="41" t="n">
        <v>45041</v>
      </c>
      <c r="E43" s="42" t="n">
        <v>111.87</v>
      </c>
      <c r="F43" s="42" t="n">
        <v>0</v>
      </c>
      <c r="G43" s="42" t="n">
        <v>27108.61</v>
      </c>
      <c r="H43" s="42" t="inlineStr"/>
      <c r="I43" s="42" t="inlineStr"/>
      <c r="J43" s="42" t="inlineStr">
        <is>
          <t>HDFC Securities - Buy</t>
        </is>
      </c>
      <c r="K43" s="42" t="inlineStr">
        <is>
          <t>HDFC Securities</t>
        </is>
      </c>
      <c r="L43" s="18" t="n">
        <v>0.97</v>
      </c>
      <c r="M43" s="42" t="inlineStr">
        <is>
          <t>N/A</t>
        </is>
      </c>
    </row>
    <row r="44">
      <c r="A44" s="54" t="n">
        <v>45041</v>
      </c>
      <c r="B44" s="55" t="inlineStr">
        <is>
          <t>NET PO FROM HSL A/C 2554606-00602340029427</t>
        </is>
      </c>
      <c r="C44" s="55" t="inlineStr">
        <is>
          <t>0000000404680161</t>
        </is>
      </c>
      <c r="D44" s="54" t="n">
        <v>45041</v>
      </c>
      <c r="E44" s="55" t="n">
        <v>0</v>
      </c>
      <c r="F44" s="55" t="n">
        <v>4133.83</v>
      </c>
      <c r="G44" s="55" t="n">
        <v>31242.44</v>
      </c>
      <c r="H44" s="55" t="inlineStr"/>
      <c r="I44" s="55" t="inlineStr"/>
      <c r="J44" s="55" t="inlineStr">
        <is>
          <t>HDFC Securities - Sell</t>
        </is>
      </c>
      <c r="K44" s="55" t="inlineStr">
        <is>
          <t>HDFC Securities</t>
        </is>
      </c>
      <c r="L44" s="18" t="n">
        <v>0.97</v>
      </c>
      <c r="M44" s="55" t="inlineStr">
        <is>
          <t>N/A</t>
        </is>
      </c>
    </row>
    <row r="45">
      <c r="A45" s="54" t="n">
        <v>45041</v>
      </c>
      <c r="B45" s="55" t="inlineStr">
        <is>
          <t>NET PO FROM HSL A/C 2554606-00602340029427</t>
        </is>
      </c>
      <c r="C45" s="55" t="inlineStr">
        <is>
          <t>0000000404739805</t>
        </is>
      </c>
      <c r="D45" s="54" t="n">
        <v>45041</v>
      </c>
      <c r="E45" s="55" t="n">
        <v>0</v>
      </c>
      <c r="F45" s="55" t="n">
        <v>9183.040000000001</v>
      </c>
      <c r="G45" s="55" t="n">
        <v>40425.48</v>
      </c>
      <c r="H45" s="55" t="inlineStr"/>
      <c r="I45" s="55" t="inlineStr"/>
      <c r="J45" s="55" t="inlineStr">
        <is>
          <t>HDFC Securities - Sell</t>
        </is>
      </c>
      <c r="K45" s="55" t="inlineStr">
        <is>
          <t>HDFC Securities</t>
        </is>
      </c>
      <c r="L45" s="18" t="n">
        <v>0.97</v>
      </c>
      <c r="M45" s="55" t="inlineStr">
        <is>
          <t>N/A</t>
        </is>
      </c>
    </row>
    <row r="46">
      <c r="A46" s="41" t="n">
        <v>45042</v>
      </c>
      <c r="B46" s="42" t="inlineStr">
        <is>
          <t>NET PI TO HSL SEC A/C 2554606-00602340029427</t>
        </is>
      </c>
      <c r="C46" s="42" t="inlineStr">
        <is>
          <t>0000000404992876</t>
        </is>
      </c>
      <c r="D46" s="41" t="n">
        <v>45042</v>
      </c>
      <c r="E46" s="42" t="n">
        <v>5928.58</v>
      </c>
      <c r="F46" s="42" t="n">
        <v>0</v>
      </c>
      <c r="G46" s="42" t="n">
        <v>34496.9</v>
      </c>
      <c r="H46" s="42" t="inlineStr"/>
      <c r="I46" s="42" t="inlineStr"/>
      <c r="J46" s="42" t="inlineStr">
        <is>
          <t>HDFC Securities - Buy</t>
        </is>
      </c>
      <c r="K46" s="42" t="inlineStr">
        <is>
          <t>HDFC Securities</t>
        </is>
      </c>
      <c r="L46" s="18" t="n">
        <v>0.97</v>
      </c>
      <c r="M46" s="42" t="inlineStr">
        <is>
          <t>N/A</t>
        </is>
      </c>
    </row>
    <row r="47">
      <c r="A47" s="41" t="n">
        <v>45043</v>
      </c>
      <c r="B47" s="42" t="inlineStr">
        <is>
          <t>NET PI TO HSL SEC A/C 2554606-00602340029427</t>
        </is>
      </c>
      <c r="C47" s="42" t="inlineStr">
        <is>
          <t>0000000405222919</t>
        </is>
      </c>
      <c r="D47" s="41" t="n">
        <v>45043</v>
      </c>
      <c r="E47" s="42" t="n">
        <v>100.39</v>
      </c>
      <c r="F47" s="42" t="n">
        <v>0</v>
      </c>
      <c r="G47" s="42" t="n">
        <v>34396.51</v>
      </c>
      <c r="H47" s="42" t="inlineStr"/>
      <c r="I47" s="42" t="inlineStr"/>
      <c r="J47" s="42" t="inlineStr">
        <is>
          <t>HDFC Securities - Buy</t>
        </is>
      </c>
      <c r="K47" s="42" t="inlineStr">
        <is>
          <t>HDFC Securities</t>
        </is>
      </c>
      <c r="L47" s="18" t="n">
        <v>0.97</v>
      </c>
      <c r="M47" s="42" t="inlineStr">
        <is>
          <t>N/A</t>
        </is>
      </c>
    </row>
    <row r="48">
      <c r="A48" s="54" t="n">
        <v>45043</v>
      </c>
      <c r="B48" s="55" t="inlineStr">
        <is>
          <t>NET PO FROM HSL A/C 2554606-00602340029427</t>
        </is>
      </c>
      <c r="C48" s="55" t="inlineStr">
        <is>
          <t>0000000405321479</t>
        </is>
      </c>
      <c r="D48" s="54" t="n">
        <v>45043</v>
      </c>
      <c r="E48" s="55" t="n">
        <v>0</v>
      </c>
      <c r="F48" s="55" t="n">
        <v>1200.79</v>
      </c>
      <c r="G48" s="55" t="n">
        <v>35597.3</v>
      </c>
      <c r="H48" s="55" t="inlineStr"/>
      <c r="I48" s="55" t="inlineStr"/>
      <c r="J48" s="55" t="inlineStr">
        <is>
          <t>HDFC Securities - Sell</t>
        </is>
      </c>
      <c r="K48" s="55" t="inlineStr">
        <is>
          <t>HDFC Securities</t>
        </is>
      </c>
      <c r="L48" s="18" t="n">
        <v>0.97</v>
      </c>
      <c r="M48" s="55" t="inlineStr">
        <is>
          <t>N/A</t>
        </is>
      </c>
    </row>
    <row r="49">
      <c r="A49" s="41" t="n">
        <v>45044</v>
      </c>
      <c r="B49" s="42" t="inlineStr">
        <is>
          <t>NET PI TO HSL SEC A/C 2554606-00602340029427</t>
        </is>
      </c>
      <c r="C49" s="42" t="inlineStr">
        <is>
          <t>0000000405562924</t>
        </is>
      </c>
      <c r="D49" s="41" t="n">
        <v>45044</v>
      </c>
      <c r="E49" s="42" t="n">
        <v>114.12</v>
      </c>
      <c r="F49" s="42" t="n">
        <v>0</v>
      </c>
      <c r="G49" s="42" t="n">
        <v>35483.18</v>
      </c>
      <c r="H49" s="42" t="inlineStr"/>
      <c r="I49" s="42" t="inlineStr"/>
      <c r="J49" s="42" t="inlineStr">
        <is>
          <t>HDFC Securities - Buy</t>
        </is>
      </c>
      <c r="K49" s="42" t="inlineStr">
        <is>
          <t>HDFC Securities</t>
        </is>
      </c>
      <c r="L49" s="18" t="n">
        <v>0.97</v>
      </c>
      <c r="M49" s="42" t="inlineStr">
        <is>
          <t>N/A</t>
        </is>
      </c>
    </row>
    <row r="50">
      <c r="A50" s="41" t="n">
        <v>45044</v>
      </c>
      <c r="B50" s="42" t="inlineStr">
        <is>
          <t>NET PI TO HSL SEC A/C 2554606-00602340029427</t>
        </is>
      </c>
      <c r="C50" s="42" t="inlineStr">
        <is>
          <t>0000000405606841</t>
        </is>
      </c>
      <c r="D50" s="41" t="n">
        <v>45044</v>
      </c>
      <c r="E50" s="42" t="n">
        <v>15786.08</v>
      </c>
      <c r="F50" s="42" t="n">
        <v>0</v>
      </c>
      <c r="G50" s="42" t="n">
        <v>19697.1</v>
      </c>
      <c r="H50" s="42" t="inlineStr"/>
      <c r="I50" s="42" t="inlineStr"/>
      <c r="J50" s="42" t="inlineStr">
        <is>
          <t>HDFC Securities - Buy</t>
        </is>
      </c>
      <c r="K50" s="42" t="inlineStr">
        <is>
          <t>HDFC Securities</t>
        </is>
      </c>
      <c r="L50" s="18" t="n">
        <v>0.97</v>
      </c>
      <c r="M50" s="42" t="inlineStr">
        <is>
          <t>N/A</t>
        </is>
      </c>
    </row>
    <row r="51">
      <c r="A51" s="41" t="n">
        <v>45044</v>
      </c>
      <c r="B51" s="42" t="inlineStr">
        <is>
          <t>NET PI TO HSL SEC A/C 2554606-00602340029427</t>
        </is>
      </c>
      <c r="C51" s="42" t="inlineStr">
        <is>
          <t>0000000405635367</t>
        </is>
      </c>
      <c r="D51" s="41" t="n">
        <v>45044</v>
      </c>
      <c r="E51" s="42" t="n">
        <v>1940.44</v>
      </c>
      <c r="F51" s="42" t="n">
        <v>0</v>
      </c>
      <c r="G51" s="42" t="n">
        <v>17756.66</v>
      </c>
      <c r="H51" s="42" t="inlineStr"/>
      <c r="I51" s="42" t="inlineStr"/>
      <c r="J51" s="42" t="inlineStr">
        <is>
          <t>HDFC Securities - Buy</t>
        </is>
      </c>
      <c r="K51" s="42" t="inlineStr">
        <is>
          <t>HDFC Securities</t>
        </is>
      </c>
      <c r="L51" s="18" t="n">
        <v>0.97</v>
      </c>
      <c r="M51" s="42" t="inlineStr">
        <is>
          <t>N/A</t>
        </is>
      </c>
    </row>
    <row r="52">
      <c r="A52" s="41" t="n">
        <v>45048</v>
      </c>
      <c r="B52" s="42" t="inlineStr">
        <is>
          <t>NET PI TO HSL SEC A/C 2554606-00602340029427</t>
        </is>
      </c>
      <c r="C52" s="42" t="inlineStr">
        <is>
          <t>0000000405953251</t>
        </is>
      </c>
      <c r="D52" s="41" t="n">
        <v>45048</v>
      </c>
      <c r="E52" s="42" t="n">
        <v>452.64</v>
      </c>
      <c r="F52" s="42" t="n">
        <v>0</v>
      </c>
      <c r="G52" s="42" t="n">
        <v>17304.02</v>
      </c>
      <c r="H52" s="42" t="inlineStr"/>
      <c r="I52" s="42" t="inlineStr"/>
      <c r="J52" s="42" t="inlineStr">
        <is>
          <t>HDFC Securities - Buy</t>
        </is>
      </c>
      <c r="K52" s="42" t="inlineStr">
        <is>
          <t>HDFC Securities</t>
        </is>
      </c>
      <c r="L52" s="18" t="n">
        <v>0.97</v>
      </c>
      <c r="M52" s="42" t="inlineStr">
        <is>
          <t>N/A</t>
        </is>
      </c>
    </row>
    <row r="53">
      <c r="A53" s="54" t="n">
        <v>45049</v>
      </c>
      <c r="B53" s="55" t="inlineStr">
        <is>
          <t>NET PO FROM HSL A/C 2554606-00602340029427</t>
        </is>
      </c>
      <c r="C53" s="55" t="inlineStr">
        <is>
          <t>0000000406080540</t>
        </is>
      </c>
      <c r="D53" s="54" t="n">
        <v>45048</v>
      </c>
      <c r="E53" s="55" t="n">
        <v>0</v>
      </c>
      <c r="F53" s="55" t="n">
        <v>447.14</v>
      </c>
      <c r="G53" s="55" t="n">
        <v>17751.16</v>
      </c>
      <c r="H53" s="55" t="inlineStr"/>
      <c r="I53" s="55" t="inlineStr"/>
      <c r="J53" s="55" t="inlineStr">
        <is>
          <t>HDFC Securities - Sell</t>
        </is>
      </c>
      <c r="K53" s="55" t="inlineStr">
        <is>
          <t>HDFC Securities</t>
        </is>
      </c>
      <c r="L53" s="18" t="n">
        <v>0.97</v>
      </c>
      <c r="M53" s="55" t="inlineStr">
        <is>
          <t>N/A</t>
        </is>
      </c>
    </row>
    <row r="54">
      <c r="A54" s="41" t="n">
        <v>45049</v>
      </c>
      <c r="B54" s="42" t="inlineStr">
        <is>
          <t>NET PI TO HSL SEC A/C 2554606-00602340029427</t>
        </is>
      </c>
      <c r="C54" s="42" t="inlineStr">
        <is>
          <t>0000000406250363</t>
        </is>
      </c>
      <c r="D54" s="41" t="n">
        <v>45049</v>
      </c>
      <c r="E54" s="42" t="n">
        <v>447.14</v>
      </c>
      <c r="F54" s="42" t="n">
        <v>0</v>
      </c>
      <c r="G54" s="42" t="n">
        <v>17304.02</v>
      </c>
      <c r="H54" s="42" t="inlineStr"/>
      <c r="I54" s="42" t="inlineStr"/>
      <c r="J54" s="42" t="inlineStr">
        <is>
          <t>HDFC Securities - Buy</t>
        </is>
      </c>
      <c r="K54" s="42" t="inlineStr">
        <is>
          <t>HDFC Securities</t>
        </is>
      </c>
      <c r="L54" s="18" t="n">
        <v>0.97</v>
      </c>
      <c r="M54" s="42" t="inlineStr">
        <is>
          <t>N/A</t>
        </is>
      </c>
    </row>
    <row r="55">
      <c r="A55" s="54" t="n">
        <v>45049</v>
      </c>
      <c r="B55" s="55" t="inlineStr">
        <is>
          <t>NET PO FROM HSL A/C 2554606-00602340029427</t>
        </is>
      </c>
      <c r="C55" s="55" t="inlineStr">
        <is>
          <t>0000000406306487</t>
        </is>
      </c>
      <c r="D55" s="54" t="n">
        <v>45048</v>
      </c>
      <c r="E55" s="55" t="n">
        <v>0</v>
      </c>
      <c r="F55" s="55" t="n">
        <v>447.14</v>
      </c>
      <c r="G55" s="55" t="n">
        <v>17751.16</v>
      </c>
      <c r="H55" s="55" t="inlineStr"/>
      <c r="I55" s="55" t="inlineStr"/>
      <c r="J55" s="55" t="inlineStr">
        <is>
          <t>HDFC Securities - Sell</t>
        </is>
      </c>
      <c r="K55" s="55" t="inlineStr">
        <is>
          <t>HDFC Securities</t>
        </is>
      </c>
      <c r="L55" s="18" t="n">
        <v>0.97</v>
      </c>
      <c r="M55" s="55" t="inlineStr">
        <is>
          <t>N/A</t>
        </is>
      </c>
    </row>
    <row r="56">
      <c r="A56" s="41" t="n">
        <v>45049</v>
      </c>
      <c r="B56" s="42" t="inlineStr">
        <is>
          <t>NET PI TO HSL SEC A/C 2554606-00602340029427</t>
        </is>
      </c>
      <c r="C56" s="42" t="inlineStr">
        <is>
          <t>0000000406474501</t>
        </is>
      </c>
      <c r="D56" s="41" t="n">
        <v>45049</v>
      </c>
      <c r="E56" s="42" t="n">
        <v>118.19</v>
      </c>
      <c r="F56" s="42" t="n">
        <v>0</v>
      </c>
      <c r="G56" s="42" t="n">
        <v>17632.97</v>
      </c>
      <c r="H56" s="42" t="inlineStr"/>
      <c r="I56" s="42" t="inlineStr"/>
      <c r="J56" s="42" t="inlineStr">
        <is>
          <t>HDFC Securities - Buy</t>
        </is>
      </c>
      <c r="K56" s="42" t="inlineStr">
        <is>
          <t>HDFC Securities</t>
        </is>
      </c>
      <c r="L56" s="18" t="n">
        <v>0.97</v>
      </c>
      <c r="M56" s="42" t="inlineStr">
        <is>
          <t>N/A</t>
        </is>
      </c>
    </row>
    <row r="57">
      <c r="A57" s="54" t="n">
        <v>45049</v>
      </c>
      <c r="B57" s="55" t="inlineStr">
        <is>
          <t>NET PO FROM HSL A/C 2554606-00602340029427</t>
        </is>
      </c>
      <c r="C57" s="55" t="inlineStr">
        <is>
          <t>0000000406585247</t>
        </is>
      </c>
      <c r="D57" s="54" t="n">
        <v>45049</v>
      </c>
      <c r="E57" s="55" t="n">
        <v>0</v>
      </c>
      <c r="F57" s="55" t="n">
        <v>7290.23</v>
      </c>
      <c r="G57" s="55" t="n">
        <v>24923.2</v>
      </c>
      <c r="H57" s="55" t="inlineStr"/>
      <c r="I57" s="55" t="inlineStr"/>
      <c r="J57" s="55" t="inlineStr">
        <is>
          <t>HDFC Securities - Sell</t>
        </is>
      </c>
      <c r="K57" s="55" t="inlineStr">
        <is>
          <t>HDFC Securities</t>
        </is>
      </c>
      <c r="L57" s="18" t="n">
        <v>0.97</v>
      </c>
      <c r="M57" s="55" t="inlineStr">
        <is>
          <t>N/A</t>
        </is>
      </c>
    </row>
    <row r="58">
      <c r="A58" s="41" t="n">
        <v>45049</v>
      </c>
      <c r="B58" s="42" t="inlineStr">
        <is>
          <t>NET PI TO HSL SEC A/C 2554606-00602340029427</t>
        </is>
      </c>
      <c r="C58" s="42" t="inlineStr">
        <is>
          <t>0000000406690737</t>
        </is>
      </c>
      <c r="D58" s="41" t="n">
        <v>45049</v>
      </c>
      <c r="E58" s="42" t="n">
        <v>7290.23</v>
      </c>
      <c r="F58" s="42" t="n">
        <v>0</v>
      </c>
      <c r="G58" s="42" t="n">
        <v>17632.97</v>
      </c>
      <c r="H58" s="42" t="inlineStr"/>
      <c r="I58" s="42" t="inlineStr"/>
      <c r="J58" s="42" t="inlineStr">
        <is>
          <t>HDFC Securities - Buy</t>
        </is>
      </c>
      <c r="K58" s="42" t="inlineStr">
        <is>
          <t>HDFC Securities</t>
        </is>
      </c>
      <c r="L58" s="18" t="n">
        <v>0.97</v>
      </c>
      <c r="M58" s="42" t="inlineStr">
        <is>
          <t>N/A</t>
        </is>
      </c>
    </row>
    <row r="59">
      <c r="A59" s="54" t="n">
        <v>45049</v>
      </c>
      <c r="B59" s="55" t="inlineStr">
        <is>
          <t>NET PO FROM HSL A/C 2554606-00602340029427</t>
        </is>
      </c>
      <c r="C59" s="55" t="inlineStr">
        <is>
          <t>0000000406758943</t>
        </is>
      </c>
      <c r="D59" s="54" t="n">
        <v>45049</v>
      </c>
      <c r="E59" s="55" t="n">
        <v>0</v>
      </c>
      <c r="F59" s="55" t="n">
        <v>7290.23</v>
      </c>
      <c r="G59" s="55" t="n">
        <v>24923.2</v>
      </c>
      <c r="H59" s="55" t="inlineStr"/>
      <c r="I59" s="55" t="inlineStr"/>
      <c r="J59" s="55" t="inlineStr">
        <is>
          <t>HDFC Securities - Sell</t>
        </is>
      </c>
      <c r="K59" s="55" t="inlineStr">
        <is>
          <t>HDFC Securities</t>
        </is>
      </c>
      <c r="L59" s="18" t="n">
        <v>0.97</v>
      </c>
      <c r="M59" s="55" t="inlineStr">
        <is>
          <t>N/A</t>
        </is>
      </c>
    </row>
    <row r="60">
      <c r="A60" s="54" t="n">
        <v>45050</v>
      </c>
      <c r="B60" s="55" t="inlineStr">
        <is>
          <t>NET PO FROM HSL A/C 2554606-00602340029427</t>
        </is>
      </c>
      <c r="C60" s="55" t="inlineStr">
        <is>
          <t>0000000407004401</t>
        </is>
      </c>
      <c r="D60" s="54" t="n">
        <v>45050</v>
      </c>
      <c r="E60" s="55" t="n">
        <v>0</v>
      </c>
      <c r="F60" s="55" t="n">
        <v>1909.02</v>
      </c>
      <c r="G60" s="55" t="n">
        <v>26832.22</v>
      </c>
      <c r="H60" s="55" t="inlineStr"/>
      <c r="I60" s="55" t="inlineStr"/>
      <c r="J60" s="55" t="inlineStr">
        <is>
          <t>HDFC Securities - Sell</t>
        </is>
      </c>
      <c r="K60" s="55" t="inlineStr">
        <is>
          <t>HDFC Securities</t>
        </is>
      </c>
      <c r="L60" s="18" t="n">
        <v>0.97</v>
      </c>
      <c r="M60" s="55" t="inlineStr">
        <is>
          <t>N/A</t>
        </is>
      </c>
    </row>
    <row r="61">
      <c r="A61" s="41" t="n">
        <v>45051</v>
      </c>
      <c r="B61" s="42" t="inlineStr">
        <is>
          <t>NET PI TO HSL SEC A/C 2554606-00602340029427</t>
        </is>
      </c>
      <c r="C61" s="42" t="inlineStr">
        <is>
          <t>0000000407341878</t>
        </is>
      </c>
      <c r="D61" s="41" t="n">
        <v>45051</v>
      </c>
      <c r="E61" s="42" t="n">
        <v>110.91</v>
      </c>
      <c r="F61" s="42" t="n">
        <v>0</v>
      </c>
      <c r="G61" s="42" t="n">
        <v>26721.31</v>
      </c>
      <c r="H61" s="42" t="inlineStr"/>
      <c r="I61" s="42" t="inlineStr"/>
      <c r="J61" s="42" t="inlineStr">
        <is>
          <t>HDFC Securities - Buy</t>
        </is>
      </c>
      <c r="K61" s="42" t="inlineStr">
        <is>
          <t>HDFC Securities</t>
        </is>
      </c>
      <c r="L61" s="18" t="n">
        <v>0.97</v>
      </c>
      <c r="M61" s="42" t="inlineStr">
        <is>
          <t>N/A</t>
        </is>
      </c>
    </row>
    <row r="62">
      <c r="A62" s="41" t="n">
        <v>45051</v>
      </c>
      <c r="B62" s="42" t="inlineStr">
        <is>
          <t>NET PI TO HSL SEC A/C 2554606-00602340029427</t>
        </is>
      </c>
      <c r="C62" s="42" t="inlineStr">
        <is>
          <t>0000000407478003</t>
        </is>
      </c>
      <c r="D62" s="41" t="n">
        <v>45051</v>
      </c>
      <c r="E62" s="42" t="n">
        <v>1185.33</v>
      </c>
      <c r="F62" s="42" t="n">
        <v>0</v>
      </c>
      <c r="G62" s="42" t="n">
        <v>25535.98</v>
      </c>
      <c r="H62" s="42" t="inlineStr"/>
      <c r="I62" s="42" t="inlineStr"/>
      <c r="J62" s="42" t="inlineStr">
        <is>
          <t>HDFC Securities - Buy</t>
        </is>
      </c>
      <c r="K62" s="42" t="inlineStr">
        <is>
          <t>HDFC Securities</t>
        </is>
      </c>
      <c r="L62" s="18" t="n">
        <v>0.97</v>
      </c>
      <c r="M62" s="42" t="inlineStr">
        <is>
          <t>N/A</t>
        </is>
      </c>
    </row>
    <row r="63">
      <c r="A63" s="39" t="n">
        <v>45051</v>
      </c>
      <c r="B63" s="40" t="inlineStr">
        <is>
          <t>50100542230922-TPT-MNY RTRN TO AAYUSH-ARCHIT GUPTA</t>
        </is>
      </c>
      <c r="C63" s="40" t="inlineStr">
        <is>
          <t>0000000206516745</t>
        </is>
      </c>
      <c r="D63" s="39" t="n">
        <v>45051</v>
      </c>
      <c r="E63" s="40" t="n">
        <v>0</v>
      </c>
      <c r="F63" s="40" t="n">
        <v>25000</v>
      </c>
      <c r="G63" s="40" t="n">
        <v>50535.98</v>
      </c>
      <c r="H63" s="40" t="inlineStr"/>
      <c r="I63" s="40" t="inlineStr"/>
      <c r="J63" s="40" t="inlineStr">
        <is>
          <t>Received - Archit Gupta</t>
        </is>
      </c>
      <c r="K63" s="40" t="inlineStr">
        <is>
          <t>Archit Gupta</t>
        </is>
      </c>
      <c r="L63" s="18" t="n">
        <v>0.85</v>
      </c>
      <c r="M63" s="40" t="inlineStr">
        <is>
          <t>N/A</t>
        </is>
      </c>
    </row>
    <row r="64">
      <c r="A64" s="41" t="n">
        <v>45054</v>
      </c>
      <c r="B64" s="42" t="inlineStr">
        <is>
          <t>NET PI TO HSL SEC A/C 2554606-00602340029427</t>
        </is>
      </c>
      <c r="C64" s="42" t="inlineStr">
        <is>
          <t>0000000407862830</t>
        </is>
      </c>
      <c r="D64" s="41" t="n">
        <v>45054</v>
      </c>
      <c r="E64" s="42" t="n">
        <v>330.99</v>
      </c>
      <c r="F64" s="42" t="n">
        <v>0</v>
      </c>
      <c r="G64" s="42" t="n">
        <v>50204.99</v>
      </c>
      <c r="H64" s="42" t="inlineStr"/>
      <c r="I64" s="42" t="inlineStr"/>
      <c r="J64" s="42" t="inlineStr">
        <is>
          <t>HDFC Securities - Buy</t>
        </is>
      </c>
      <c r="K64" s="42" t="inlineStr">
        <is>
          <t>HDFC Securities</t>
        </is>
      </c>
      <c r="L64" s="18" t="n">
        <v>0.97</v>
      </c>
      <c r="M64" s="42" t="inlineStr">
        <is>
          <t>N/A</t>
        </is>
      </c>
    </row>
    <row r="65">
      <c r="A65" s="23" t="n">
        <v>45054</v>
      </c>
      <c r="B65" s="24" t="inlineStr">
        <is>
          <t>00602300000434-021882388</t>
        </is>
      </c>
      <c r="C65" s="24" t="inlineStr">
        <is>
          <t>0000305080489089</t>
        </is>
      </c>
      <c r="D65" s="23" t="n">
        <v>45054</v>
      </c>
      <c r="E65" s="24" t="n">
        <v>0</v>
      </c>
      <c r="F65" s="24" t="n">
        <v>1880</v>
      </c>
      <c r="G65" s="24" t="n">
        <v>52084.99</v>
      </c>
      <c r="H65" s="24" t="inlineStr"/>
      <c r="I65" s="24" t="inlineStr"/>
      <c r="J65" s="24" t="inlineStr">
        <is>
          <t>What is this?</t>
        </is>
      </c>
      <c r="K65" s="24" t="inlineStr">
        <is>
          <t>Suspense</t>
        </is>
      </c>
      <c r="L65" s="25" t="n">
        <v>0</v>
      </c>
      <c r="M65" s="24" t="inlineStr">
        <is>
          <t>N/A</t>
        </is>
      </c>
    </row>
    <row r="66">
      <c r="A66" s="41" t="n">
        <v>45054</v>
      </c>
      <c r="B66" s="42" t="inlineStr">
        <is>
          <t>NET PI TO HSL SEC A/C 2554606-00602340029427</t>
        </is>
      </c>
      <c r="C66" s="42" t="inlineStr">
        <is>
          <t>0000000407948602</t>
        </is>
      </c>
      <c r="D66" s="41" t="n">
        <v>45054</v>
      </c>
      <c r="E66" s="42" t="n">
        <v>949.4</v>
      </c>
      <c r="F66" s="42" t="n">
        <v>0</v>
      </c>
      <c r="G66" s="42" t="n">
        <v>51135.59</v>
      </c>
      <c r="H66" s="42" t="inlineStr"/>
      <c r="I66" s="42" t="inlineStr"/>
      <c r="J66" s="42" t="inlineStr">
        <is>
          <t>HDFC Securities - Buy</t>
        </is>
      </c>
      <c r="K66" s="42" t="inlineStr">
        <is>
          <t>HDFC Securities</t>
        </is>
      </c>
      <c r="L66" s="18" t="n">
        <v>0.97</v>
      </c>
      <c r="M66" s="42" t="inlineStr">
        <is>
          <t>N/A</t>
        </is>
      </c>
    </row>
    <row r="67">
      <c r="A67" s="54" t="n">
        <v>45054</v>
      </c>
      <c r="B67" s="55" t="inlineStr">
        <is>
          <t>NET PO FROM HSL A/C 2554606-00602340029427</t>
        </is>
      </c>
      <c r="C67" s="55" t="inlineStr">
        <is>
          <t>0000000408127832</t>
        </is>
      </c>
      <c r="D67" s="54" t="n">
        <v>45054</v>
      </c>
      <c r="E67" s="55" t="n">
        <v>0</v>
      </c>
      <c r="F67" s="55" t="n">
        <v>26132.84</v>
      </c>
      <c r="G67" s="55" t="n">
        <v>77268.42999999999</v>
      </c>
      <c r="H67" s="55" t="inlineStr"/>
      <c r="I67" s="55" t="inlineStr"/>
      <c r="J67" s="55" t="inlineStr">
        <is>
          <t>HDFC Securities - Sell</t>
        </is>
      </c>
      <c r="K67" s="55" t="inlineStr">
        <is>
          <t>HDFC Securities</t>
        </is>
      </c>
      <c r="L67" s="18" t="n">
        <v>0.97</v>
      </c>
      <c r="M67" s="55" t="inlineStr">
        <is>
          <t>N/A</t>
        </is>
      </c>
    </row>
    <row r="68">
      <c r="A68" s="41" t="n">
        <v>45055</v>
      </c>
      <c r="B68" s="42" t="inlineStr">
        <is>
          <t>NET PI TO HSL SEC A/C 2554606-00602340029427</t>
        </is>
      </c>
      <c r="C68" s="42" t="inlineStr">
        <is>
          <t>0000000408304092</t>
        </is>
      </c>
      <c r="D68" s="41" t="n">
        <v>45055</v>
      </c>
      <c r="E68" s="42" t="n">
        <v>109.86</v>
      </c>
      <c r="F68" s="42" t="n">
        <v>0</v>
      </c>
      <c r="G68" s="42" t="n">
        <v>77158.57000000001</v>
      </c>
      <c r="H68" s="42" t="inlineStr"/>
      <c r="I68" s="42" t="inlineStr"/>
      <c r="J68" s="42" t="inlineStr">
        <is>
          <t>HDFC Securities - Buy</t>
        </is>
      </c>
      <c r="K68" s="42" t="inlineStr">
        <is>
          <t>HDFC Securities</t>
        </is>
      </c>
      <c r="L68" s="18" t="n">
        <v>0.97</v>
      </c>
      <c r="M68" s="42" t="inlineStr">
        <is>
          <t>N/A</t>
        </is>
      </c>
    </row>
    <row r="69">
      <c r="A69" s="62" t="n">
        <v>45055</v>
      </c>
      <c r="B69" s="63" t="inlineStr">
        <is>
          <t>01671000060094-TPT-MNY RTRN TO AAYUSH-SUNITA GUPTA</t>
        </is>
      </c>
      <c r="C69" s="63" t="inlineStr">
        <is>
          <t>0000000209413278</t>
        </is>
      </c>
      <c r="D69" s="62" t="n">
        <v>45055</v>
      </c>
      <c r="E69" s="63" t="n">
        <v>0</v>
      </c>
      <c r="F69" s="63" t="n">
        <v>50000</v>
      </c>
      <c r="G69" s="63" t="n">
        <v>127158.57</v>
      </c>
      <c r="H69" s="63" t="inlineStr"/>
      <c r="I69" s="63" t="inlineStr"/>
      <c r="J69" s="63" t="inlineStr">
        <is>
          <t>Received - Sunita Gupta</t>
        </is>
      </c>
      <c r="K69" s="63" t="inlineStr">
        <is>
          <t>Sunita Gupta</t>
        </is>
      </c>
      <c r="L69" s="18" t="n">
        <v>0.88</v>
      </c>
      <c r="M69" s="63" t="inlineStr">
        <is>
          <t>N/A</t>
        </is>
      </c>
    </row>
    <row r="70">
      <c r="A70" s="41" t="n">
        <v>45055</v>
      </c>
      <c r="B70" s="42" t="inlineStr">
        <is>
          <t>NET PI TO HSL SEC A/C 2554606-00602340029427</t>
        </is>
      </c>
      <c r="C70" s="42" t="inlineStr">
        <is>
          <t>0000000408410264</t>
        </is>
      </c>
      <c r="D70" s="41" t="n">
        <v>45055</v>
      </c>
      <c r="E70" s="42" t="n">
        <v>726.0599999999999</v>
      </c>
      <c r="F70" s="42" t="n">
        <v>0</v>
      </c>
      <c r="G70" s="42" t="n">
        <v>126432.51</v>
      </c>
      <c r="H70" s="42" t="inlineStr"/>
      <c r="I70" s="42" t="inlineStr"/>
      <c r="J70" s="42" t="inlineStr">
        <is>
          <t>HDFC Securities - Buy</t>
        </is>
      </c>
      <c r="K70" s="42" t="inlineStr">
        <is>
          <t>HDFC Securities</t>
        </is>
      </c>
      <c r="L70" s="18" t="n">
        <v>0.97</v>
      </c>
      <c r="M70" s="42" t="inlineStr">
        <is>
          <t>N/A</t>
        </is>
      </c>
    </row>
    <row r="71">
      <c r="A71" s="54" t="n">
        <v>45055</v>
      </c>
      <c r="B71" s="55" t="inlineStr">
        <is>
          <t>NET PO FROM HSL A/C 2554606-00602340029427</t>
        </is>
      </c>
      <c r="C71" s="55" t="inlineStr">
        <is>
          <t>0000000408567888</t>
        </is>
      </c>
      <c r="D71" s="54" t="n">
        <v>45055</v>
      </c>
      <c r="E71" s="55" t="n">
        <v>0</v>
      </c>
      <c r="F71" s="55" t="n">
        <v>9334.18</v>
      </c>
      <c r="G71" s="55" t="n">
        <v>135766.69</v>
      </c>
      <c r="H71" s="55" t="inlineStr"/>
      <c r="I71" s="55" t="inlineStr"/>
      <c r="J71" s="55" t="inlineStr">
        <is>
          <t>HDFC Securities - Sell</t>
        </is>
      </c>
      <c r="K71" s="55" t="inlineStr">
        <is>
          <t>HDFC Securities</t>
        </is>
      </c>
      <c r="L71" s="18" t="n">
        <v>0.97</v>
      </c>
      <c r="M71" s="55" t="inlineStr">
        <is>
          <t>N/A</t>
        </is>
      </c>
    </row>
    <row r="72">
      <c r="A72" s="58" t="n">
        <v>45056</v>
      </c>
      <c r="B72" s="59" t="inlineStr">
        <is>
          <t>NET PAYIN TO NSE MF A/C -00990610005906- FROM A/C -50100128155413- UCC -2554606-00990610005906</t>
        </is>
      </c>
      <c r="C72" s="59" t="inlineStr">
        <is>
          <t>0000000408716232</t>
        </is>
      </c>
      <c r="D72" s="58" t="n">
        <v>45056</v>
      </c>
      <c r="E72" s="59" t="n">
        <v>3000</v>
      </c>
      <c r="F72" s="59" t="n">
        <v>0</v>
      </c>
      <c r="G72" s="59" t="n">
        <v>132766.69</v>
      </c>
      <c r="H72" s="59" t="inlineStr"/>
      <c r="I72" s="59" t="inlineStr"/>
      <c r="J72" s="59" t="inlineStr">
        <is>
          <t>MF Investment</t>
        </is>
      </c>
      <c r="K72" s="59" t="inlineStr">
        <is>
          <t>Investments</t>
        </is>
      </c>
      <c r="L72" s="18" t="n">
        <v>0.9</v>
      </c>
      <c r="M72" s="59" t="inlineStr">
        <is>
          <t>N/A</t>
        </is>
      </c>
    </row>
    <row r="73">
      <c r="A73" s="41" t="n">
        <v>45056</v>
      </c>
      <c r="B73" s="42" t="inlineStr">
        <is>
          <t>NET PI TO HSL SEC A/C 2554606-00602340029427</t>
        </is>
      </c>
      <c r="C73" s="42" t="inlineStr">
        <is>
          <t>0000000408757944</t>
        </is>
      </c>
      <c r="D73" s="41" t="n">
        <v>45056</v>
      </c>
      <c r="E73" s="42" t="n">
        <v>115.13</v>
      </c>
      <c r="F73" s="42" t="n">
        <v>0</v>
      </c>
      <c r="G73" s="42" t="n">
        <v>132651.56</v>
      </c>
      <c r="H73" s="42" t="inlineStr"/>
      <c r="I73" s="42" t="inlineStr"/>
      <c r="J73" s="42" t="inlineStr">
        <is>
          <t>HDFC Securities - Buy</t>
        </is>
      </c>
      <c r="K73" s="42" t="inlineStr">
        <is>
          <t>HDFC Securities</t>
        </is>
      </c>
      <c r="L73" s="18" t="n">
        <v>0.97</v>
      </c>
      <c r="M73" s="42" t="inlineStr">
        <is>
          <t>N/A</t>
        </is>
      </c>
    </row>
    <row r="74">
      <c r="A74" s="41" t="n">
        <v>45056</v>
      </c>
      <c r="B74" s="42" t="inlineStr">
        <is>
          <t>NET PI TO HSL SEC A/C 2554606-00602340029427</t>
        </is>
      </c>
      <c r="C74" s="42" t="inlineStr">
        <is>
          <t>0000000408811748</t>
        </is>
      </c>
      <c r="D74" s="41" t="n">
        <v>45056</v>
      </c>
      <c r="E74" s="42" t="n">
        <v>14400.91</v>
      </c>
      <c r="F74" s="42" t="n">
        <v>0</v>
      </c>
      <c r="G74" s="42" t="n">
        <v>118250.65</v>
      </c>
      <c r="H74" s="42" t="inlineStr"/>
      <c r="I74" s="42" t="inlineStr"/>
      <c r="J74" s="42" t="inlineStr">
        <is>
          <t>HDFC Securities - Buy</t>
        </is>
      </c>
      <c r="K74" s="42" t="inlineStr">
        <is>
          <t>HDFC Securities</t>
        </is>
      </c>
      <c r="L74" s="18" t="n">
        <v>0.97</v>
      </c>
      <c r="M74" s="42" t="inlineStr">
        <is>
          <t>N/A</t>
        </is>
      </c>
    </row>
    <row r="75">
      <c r="A75" s="54" t="n">
        <v>45056</v>
      </c>
      <c r="B75" s="55" t="inlineStr">
        <is>
          <t>NET PO FROM HSL A/C 2554606-00602340029427</t>
        </is>
      </c>
      <c r="C75" s="55" t="inlineStr">
        <is>
          <t>0000000408866988</t>
        </is>
      </c>
      <c r="D75" s="54" t="n">
        <v>45056</v>
      </c>
      <c r="E75" s="55" t="n">
        <v>0</v>
      </c>
      <c r="F75" s="55" t="n">
        <v>3506.31</v>
      </c>
      <c r="G75" s="55" t="n">
        <v>121756.96</v>
      </c>
      <c r="H75" s="55" t="inlineStr"/>
      <c r="I75" s="55" t="inlineStr"/>
      <c r="J75" s="55" t="inlineStr">
        <is>
          <t>HDFC Securities - Sell</t>
        </is>
      </c>
      <c r="K75" s="55" t="inlineStr">
        <is>
          <t>HDFC Securities</t>
        </is>
      </c>
      <c r="L75" s="18" t="n">
        <v>0.97</v>
      </c>
      <c r="M75" s="55" t="inlineStr">
        <is>
          <t>N/A</t>
        </is>
      </c>
    </row>
    <row r="76">
      <c r="A76" s="58" t="n">
        <v>45057</v>
      </c>
      <c r="B76" s="59" t="inlineStr">
        <is>
          <t>NET PAYIN TO BSE MF A/C -57500000389146- FROM A/C -50100128155413- UCC -2554606-57500000389146</t>
        </is>
      </c>
      <c r="C76" s="59" t="inlineStr">
        <is>
          <t>0000000409126323</t>
        </is>
      </c>
      <c r="D76" s="58" t="n">
        <v>45057</v>
      </c>
      <c r="E76" s="59" t="n">
        <v>3000</v>
      </c>
      <c r="F76" s="59" t="n">
        <v>0</v>
      </c>
      <c r="G76" s="59" t="n">
        <v>118756.96</v>
      </c>
      <c r="H76" s="59" t="inlineStr"/>
      <c r="I76" s="59" t="inlineStr"/>
      <c r="J76" s="59" t="inlineStr">
        <is>
          <t>MF Investment</t>
        </is>
      </c>
      <c r="K76" s="59" t="inlineStr">
        <is>
          <t>Investments</t>
        </is>
      </c>
      <c r="L76" s="18" t="n">
        <v>0.9</v>
      </c>
      <c r="M76" s="59" t="inlineStr">
        <is>
          <t>N/A</t>
        </is>
      </c>
    </row>
    <row r="77">
      <c r="A77" s="41" t="n">
        <v>45057</v>
      </c>
      <c r="B77" s="42" t="inlineStr">
        <is>
          <t>NET PI TO HSL SEC A/C 2554606-00602340029427</t>
        </is>
      </c>
      <c r="C77" s="42" t="inlineStr">
        <is>
          <t>0000000409181809</t>
        </is>
      </c>
      <c r="D77" s="41" t="n">
        <v>45057</v>
      </c>
      <c r="E77" s="42" t="n">
        <v>116.86</v>
      </c>
      <c r="F77" s="42" t="n">
        <v>0</v>
      </c>
      <c r="G77" s="42" t="n">
        <v>118640.1</v>
      </c>
      <c r="H77" s="42" t="inlineStr"/>
      <c r="I77" s="42" t="inlineStr"/>
      <c r="J77" s="42" t="inlineStr">
        <is>
          <t>HDFC Securities - Buy</t>
        </is>
      </c>
      <c r="K77" s="42" t="inlineStr">
        <is>
          <t>HDFC Securities</t>
        </is>
      </c>
      <c r="L77" s="18" t="n">
        <v>0.97</v>
      </c>
      <c r="M77" s="42" t="inlineStr">
        <is>
          <t>N/A</t>
        </is>
      </c>
    </row>
    <row r="78">
      <c r="A78" s="19" t="n">
        <v>45057</v>
      </c>
      <c r="B78" s="20" t="inlineStr">
        <is>
          <t>JANMAR23 INSTAALERTCHG 30 SMS 220323-MIR2413016129235</t>
        </is>
      </c>
      <c r="C78" s="20" t="inlineStr">
        <is>
          <t>MIR2413016129235</t>
        </is>
      </c>
      <c r="D78" s="19" t="n">
        <v>45057</v>
      </c>
      <c r="E78" s="20" t="n">
        <v>7.08</v>
      </c>
      <c r="F78" s="20" t="n">
        <v>0</v>
      </c>
      <c r="G78" s="20" t="n">
        <v>118633.02</v>
      </c>
      <c r="H78" s="20" t="inlineStr"/>
      <c r="I78" s="20" t="inlineStr"/>
      <c r="J78" s="20" t="inlineStr">
        <is>
          <t>Bank Charges</t>
        </is>
      </c>
      <c r="K78" s="20" t="inlineStr">
        <is>
          <t>Bank Charges</t>
        </is>
      </c>
      <c r="L78" s="18" t="n">
        <v>0.9</v>
      </c>
      <c r="M78" s="20" t="inlineStr">
        <is>
          <t>N/A</t>
        </is>
      </c>
    </row>
    <row r="79">
      <c r="A79" s="54" t="n">
        <v>45058</v>
      </c>
      <c r="B79" s="55" t="inlineStr">
        <is>
          <t>NET PO FROM HSL A/C 2554606-00602340029427</t>
        </is>
      </c>
      <c r="C79" s="55" t="inlineStr">
        <is>
          <t>0000000409291492</t>
        </is>
      </c>
      <c r="D79" s="54" t="n">
        <v>45057</v>
      </c>
      <c r="E79" s="55" t="n">
        <v>0</v>
      </c>
      <c r="F79" s="55" t="n">
        <v>1247.8</v>
      </c>
      <c r="G79" s="55" t="n">
        <v>119880.82</v>
      </c>
      <c r="H79" s="55" t="inlineStr"/>
      <c r="I79" s="55" t="inlineStr"/>
      <c r="J79" s="55" t="inlineStr">
        <is>
          <t>HDFC Securities - Sell</t>
        </is>
      </c>
      <c r="K79" s="55" t="inlineStr">
        <is>
          <t>HDFC Securities</t>
        </is>
      </c>
      <c r="L79" s="18" t="n">
        <v>0.97</v>
      </c>
      <c r="M79" s="55" t="inlineStr">
        <is>
          <t>N/A</t>
        </is>
      </c>
    </row>
    <row r="80">
      <c r="A80" s="41" t="n">
        <v>45058</v>
      </c>
      <c r="B80" s="42" t="inlineStr">
        <is>
          <t>NET PI TO HSL SEC A/C 2554606-00602340029427</t>
        </is>
      </c>
      <c r="C80" s="42" t="inlineStr">
        <is>
          <t>0000000409609065</t>
        </is>
      </c>
      <c r="D80" s="41" t="n">
        <v>45058</v>
      </c>
      <c r="E80" s="42" t="n">
        <v>113.5</v>
      </c>
      <c r="F80" s="42" t="n">
        <v>0</v>
      </c>
      <c r="G80" s="42" t="n">
        <v>119767.32</v>
      </c>
      <c r="H80" s="42" t="inlineStr"/>
      <c r="I80" s="42" t="inlineStr"/>
      <c r="J80" s="42" t="inlineStr">
        <is>
          <t>HDFC Securities - Buy</t>
        </is>
      </c>
      <c r="K80" s="42" t="inlineStr">
        <is>
          <t>HDFC Securities</t>
        </is>
      </c>
      <c r="L80" s="18" t="n">
        <v>0.97</v>
      </c>
      <c r="M80" s="42" t="inlineStr">
        <is>
          <t>N/A</t>
        </is>
      </c>
    </row>
    <row r="81">
      <c r="A81" s="41" t="n">
        <v>45058</v>
      </c>
      <c r="B81" s="42" t="inlineStr">
        <is>
          <t>NET PI TO HSL SEC A/C 2554606-00602340029427</t>
        </is>
      </c>
      <c r="C81" s="42" t="inlineStr">
        <is>
          <t>0000000409715412</t>
        </is>
      </c>
      <c r="D81" s="41" t="n">
        <v>45058</v>
      </c>
      <c r="E81" s="42" t="n">
        <v>2696.61</v>
      </c>
      <c r="F81" s="42" t="n">
        <v>0</v>
      </c>
      <c r="G81" s="42" t="n">
        <v>117070.71</v>
      </c>
      <c r="H81" s="42" t="inlineStr"/>
      <c r="I81" s="42" t="inlineStr"/>
      <c r="J81" s="42" t="inlineStr">
        <is>
          <t>HDFC Securities - Buy</t>
        </is>
      </c>
      <c r="K81" s="42" t="inlineStr">
        <is>
          <t>HDFC Securities</t>
        </is>
      </c>
      <c r="L81" s="18" t="n">
        <v>0.97</v>
      </c>
      <c r="M81" s="42" t="inlineStr">
        <is>
          <t>N/A</t>
        </is>
      </c>
    </row>
    <row r="82">
      <c r="A82" s="58" t="n">
        <v>45061</v>
      </c>
      <c r="B82" s="59" t="inlineStr">
        <is>
          <t>NET PAYIN TO BSE MF A/C -57500000389146- FROM A/C -50100128155413- UCC -2554606-57500000389146</t>
        </is>
      </c>
      <c r="C82" s="59" t="inlineStr">
        <is>
          <t>0000000410023903</t>
        </is>
      </c>
      <c r="D82" s="58" t="n">
        <v>45061</v>
      </c>
      <c r="E82" s="59" t="n">
        <v>2500</v>
      </c>
      <c r="F82" s="59" t="n">
        <v>0</v>
      </c>
      <c r="G82" s="59" t="n">
        <v>114570.71</v>
      </c>
      <c r="H82" s="59" t="inlineStr"/>
      <c r="I82" s="59" t="inlineStr"/>
      <c r="J82" s="59" t="inlineStr">
        <is>
          <t>MF Investment</t>
        </is>
      </c>
      <c r="K82" s="59" t="inlineStr">
        <is>
          <t>Investments</t>
        </is>
      </c>
      <c r="L82" s="18" t="n">
        <v>0.9</v>
      </c>
      <c r="M82" s="59" t="inlineStr">
        <is>
          <t>N/A</t>
        </is>
      </c>
    </row>
    <row r="83">
      <c r="A83" s="41" t="n">
        <v>45061</v>
      </c>
      <c r="B83" s="42" t="inlineStr">
        <is>
          <t>NET PI TO HSL SEC A/C 2554606-00602340029427</t>
        </is>
      </c>
      <c r="C83" s="42" t="inlineStr">
        <is>
          <t>0000000410075712</t>
        </is>
      </c>
      <c r="D83" s="41" t="n">
        <v>45061</v>
      </c>
      <c r="E83" s="42" t="n">
        <v>336.51</v>
      </c>
      <c r="F83" s="42" t="n">
        <v>0</v>
      </c>
      <c r="G83" s="42" t="n">
        <v>114234.2</v>
      </c>
      <c r="H83" s="42" t="inlineStr"/>
      <c r="I83" s="42" t="inlineStr"/>
      <c r="J83" s="42" t="inlineStr">
        <is>
          <t>HDFC Securities - Buy</t>
        </is>
      </c>
      <c r="K83" s="42" t="inlineStr">
        <is>
          <t>HDFC Securities</t>
        </is>
      </c>
      <c r="L83" s="18" t="n">
        <v>0.97</v>
      </c>
      <c r="M83" s="42" t="inlineStr">
        <is>
          <t>N/A</t>
        </is>
      </c>
    </row>
    <row r="84">
      <c r="A84" s="54" t="n">
        <v>45061</v>
      </c>
      <c r="B84" s="55" t="inlineStr">
        <is>
          <t>NET PO FROM HSL A/C 2554606-00602340029427</t>
        </is>
      </c>
      <c r="C84" s="55" t="inlineStr">
        <is>
          <t>0000000410187661</t>
        </is>
      </c>
      <c r="D84" s="54" t="n">
        <v>45061</v>
      </c>
      <c r="E84" s="55" t="n">
        <v>0</v>
      </c>
      <c r="F84" s="55" t="n">
        <v>47.14</v>
      </c>
      <c r="G84" s="55" t="n">
        <v>114281.34</v>
      </c>
      <c r="H84" s="55" t="inlineStr"/>
      <c r="I84" s="55" t="inlineStr"/>
      <c r="J84" s="55" t="inlineStr">
        <is>
          <t>HDFC Securities - Sell</t>
        </is>
      </c>
      <c r="K84" s="55" t="inlineStr">
        <is>
          <t>HDFC Securities</t>
        </is>
      </c>
      <c r="L84" s="18" t="n">
        <v>0.97</v>
      </c>
      <c r="M84" s="55" t="inlineStr">
        <is>
          <t>N/A</t>
        </is>
      </c>
    </row>
    <row r="85">
      <c r="A85" s="41" t="n">
        <v>45062</v>
      </c>
      <c r="B85" s="42" t="inlineStr">
        <is>
          <t>NET PI TO HSL SEC A/C 2554606-00602340029427</t>
        </is>
      </c>
      <c r="C85" s="42" t="inlineStr">
        <is>
          <t>0000000410532457</t>
        </is>
      </c>
      <c r="D85" s="41" t="n">
        <v>45062</v>
      </c>
      <c r="E85" s="42" t="n">
        <v>118.41</v>
      </c>
      <c r="F85" s="42" t="n">
        <v>0</v>
      </c>
      <c r="G85" s="42" t="n">
        <v>114162.93</v>
      </c>
      <c r="H85" s="42" t="inlineStr"/>
      <c r="I85" s="42" t="inlineStr"/>
      <c r="J85" s="42" t="inlineStr">
        <is>
          <t>HDFC Securities - Buy</t>
        </is>
      </c>
      <c r="K85" s="42" t="inlineStr">
        <is>
          <t>HDFC Securities</t>
        </is>
      </c>
      <c r="L85" s="18" t="n">
        <v>0.97</v>
      </c>
      <c r="M85" s="42" t="inlineStr">
        <is>
          <t>N/A</t>
        </is>
      </c>
    </row>
    <row r="86">
      <c r="A86" s="41" t="n">
        <v>45062</v>
      </c>
      <c r="B86" s="42" t="inlineStr">
        <is>
          <t>NET PI TO HSL SEC A/C 2554606-00602340029427</t>
        </is>
      </c>
      <c r="C86" s="42" t="inlineStr">
        <is>
          <t>0000000410593900</t>
        </is>
      </c>
      <c r="D86" s="41" t="n">
        <v>45062</v>
      </c>
      <c r="E86" s="42" t="n">
        <v>14137.55</v>
      </c>
      <c r="F86" s="42" t="n">
        <v>0</v>
      </c>
      <c r="G86" s="42" t="n">
        <v>100025.38</v>
      </c>
      <c r="H86" s="42" t="inlineStr"/>
      <c r="I86" s="42" t="inlineStr"/>
      <c r="J86" s="42" t="inlineStr">
        <is>
          <t>HDFC Securities - Buy</t>
        </is>
      </c>
      <c r="K86" s="42" t="inlineStr">
        <is>
          <t>HDFC Securities</t>
        </is>
      </c>
      <c r="L86" s="18" t="n">
        <v>0.97</v>
      </c>
      <c r="M86" s="42" t="inlineStr">
        <is>
          <t>N/A</t>
        </is>
      </c>
    </row>
    <row r="87">
      <c r="A87" s="41" t="n">
        <v>45062</v>
      </c>
      <c r="B87" s="42" t="inlineStr">
        <is>
          <t>NET PI TO HSL SEC A/C 2554606-00602340029427</t>
        </is>
      </c>
      <c r="C87" s="42" t="inlineStr">
        <is>
          <t>0000000410627223</t>
        </is>
      </c>
      <c r="D87" s="41" t="n">
        <v>45062</v>
      </c>
      <c r="E87" s="42" t="n">
        <v>220.13</v>
      </c>
      <c r="F87" s="42" t="n">
        <v>0</v>
      </c>
      <c r="G87" s="42" t="n">
        <v>99805.25</v>
      </c>
      <c r="H87" s="42" t="inlineStr"/>
      <c r="I87" s="42" t="inlineStr"/>
      <c r="J87" s="42" t="inlineStr">
        <is>
          <t>HDFC Securities - Buy</t>
        </is>
      </c>
      <c r="K87" s="42" t="inlineStr">
        <is>
          <t>HDFC Securities</t>
        </is>
      </c>
      <c r="L87" s="18" t="n">
        <v>0.97</v>
      </c>
      <c r="M87" s="42" t="inlineStr">
        <is>
          <t>N/A</t>
        </is>
      </c>
    </row>
    <row r="88">
      <c r="A88" s="41" t="n">
        <v>45062</v>
      </c>
      <c r="B88" s="42" t="inlineStr">
        <is>
          <t>NET PI TO HSL SEC A/C 2554606-00602340029427</t>
        </is>
      </c>
      <c r="C88" s="42" t="inlineStr">
        <is>
          <t>0000000410759234</t>
        </is>
      </c>
      <c r="D88" s="41" t="n">
        <v>45062</v>
      </c>
      <c r="E88" s="42" t="n">
        <v>1049.11</v>
      </c>
      <c r="F88" s="42" t="n">
        <v>0</v>
      </c>
      <c r="G88" s="42" t="n">
        <v>98756.14</v>
      </c>
      <c r="H88" s="42" t="inlineStr"/>
      <c r="I88" s="42" t="inlineStr"/>
      <c r="J88" s="42" t="inlineStr">
        <is>
          <t>HDFC Securities - Buy</t>
        </is>
      </c>
      <c r="K88" s="42" t="inlineStr">
        <is>
          <t>HDFC Securities</t>
        </is>
      </c>
      <c r="L88" s="18" t="n">
        <v>0.97</v>
      </c>
      <c r="M88" s="42" t="inlineStr">
        <is>
          <t>N/A</t>
        </is>
      </c>
    </row>
    <row r="89">
      <c r="A89" s="54" t="n">
        <v>45062</v>
      </c>
      <c r="B89" s="55" t="inlineStr">
        <is>
          <t>NET PO FROM HSL A/C 2554606-00602340029427</t>
        </is>
      </c>
      <c r="C89" s="55" t="inlineStr">
        <is>
          <t>0000000410786389</t>
        </is>
      </c>
      <c r="D89" s="54" t="n">
        <v>45062</v>
      </c>
      <c r="E89" s="55" t="n">
        <v>0</v>
      </c>
      <c r="F89" s="55" t="n">
        <v>1049.11</v>
      </c>
      <c r="G89" s="55" t="n">
        <v>99805.25</v>
      </c>
      <c r="H89" s="55" t="inlineStr"/>
      <c r="I89" s="55" t="inlineStr"/>
      <c r="J89" s="55" t="inlineStr">
        <is>
          <t>HDFC Securities - Sell</t>
        </is>
      </c>
      <c r="K89" s="55" t="inlineStr">
        <is>
          <t>HDFC Securities</t>
        </is>
      </c>
      <c r="L89" s="18" t="n">
        <v>0.97</v>
      </c>
      <c r="M89" s="55" t="inlineStr">
        <is>
          <t>N/A</t>
        </is>
      </c>
    </row>
    <row r="90">
      <c r="A90" s="56" t="n">
        <v>45063</v>
      </c>
      <c r="B90" s="57" t="inlineStr">
        <is>
          <t>DEPOSITORY CHARGES APR23 - 52812428</t>
        </is>
      </c>
      <c r="C90" s="57" t="inlineStr">
        <is>
          <t>000000000000000</t>
        </is>
      </c>
      <c r="D90" s="56" t="n">
        <v>45063</v>
      </c>
      <c r="E90" s="57" t="n">
        <v>389.4</v>
      </c>
      <c r="F90" s="57" t="n">
        <v>0</v>
      </c>
      <c r="G90" s="57" t="n">
        <v>99415.85000000001</v>
      </c>
      <c r="H90" s="57" t="inlineStr"/>
      <c r="I90" s="57" t="inlineStr"/>
      <c r="J90" s="57" t="inlineStr">
        <is>
          <t>Depository Charges</t>
        </is>
      </c>
      <c r="K90" s="57" t="inlineStr">
        <is>
          <t>Depository Charges</t>
        </is>
      </c>
      <c r="L90" s="18" t="n">
        <v>0.93</v>
      </c>
      <c r="M90" s="57" t="inlineStr">
        <is>
          <t>N/A</t>
        </is>
      </c>
    </row>
    <row r="91">
      <c r="A91" s="41" t="n">
        <v>45063</v>
      </c>
      <c r="B91" s="42" t="inlineStr">
        <is>
          <t>NET PI TO HSL SEC A/C 2554606-00602340029427</t>
        </is>
      </c>
      <c r="C91" s="42" t="inlineStr">
        <is>
          <t>0000000410944688</t>
        </is>
      </c>
      <c r="D91" s="41" t="n">
        <v>45063</v>
      </c>
      <c r="E91" s="42" t="n">
        <v>118.3</v>
      </c>
      <c r="F91" s="42" t="n">
        <v>0</v>
      </c>
      <c r="G91" s="42" t="n">
        <v>99297.55</v>
      </c>
      <c r="H91" s="42" t="inlineStr"/>
      <c r="I91" s="42" t="inlineStr"/>
      <c r="J91" s="42" t="inlineStr">
        <is>
          <t>HDFC Securities - Buy</t>
        </is>
      </c>
      <c r="K91" s="42" t="inlineStr">
        <is>
          <t>HDFC Securities</t>
        </is>
      </c>
      <c r="L91" s="18" t="n">
        <v>0.97</v>
      </c>
      <c r="M91" s="42" t="inlineStr">
        <is>
          <t>N/A</t>
        </is>
      </c>
    </row>
    <row r="92">
      <c r="A92" s="41" t="n">
        <v>45063</v>
      </c>
      <c r="B92" s="42" t="inlineStr">
        <is>
          <t>NET PI TO HSL SEC A/C 2554606-00602340029427</t>
        </is>
      </c>
      <c r="C92" s="42" t="inlineStr">
        <is>
          <t>0000000411047533</t>
        </is>
      </c>
      <c r="D92" s="41" t="n">
        <v>45063</v>
      </c>
      <c r="E92" s="42" t="n">
        <v>22211.92</v>
      </c>
      <c r="F92" s="42" t="n">
        <v>0</v>
      </c>
      <c r="G92" s="42" t="n">
        <v>77085.63</v>
      </c>
      <c r="H92" s="42" t="inlineStr"/>
      <c r="I92" s="42" t="inlineStr"/>
      <c r="J92" s="42" t="inlineStr">
        <is>
          <t>HDFC Securities - Buy</t>
        </is>
      </c>
      <c r="K92" s="42" t="inlineStr">
        <is>
          <t>HDFC Securities</t>
        </is>
      </c>
      <c r="L92" s="18" t="n">
        <v>0.97</v>
      </c>
      <c r="M92" s="42" t="inlineStr">
        <is>
          <t>N/A</t>
        </is>
      </c>
    </row>
    <row r="93">
      <c r="A93" s="41" t="n">
        <v>45063</v>
      </c>
      <c r="B93" s="42" t="inlineStr">
        <is>
          <t>NET PI TO HSL SEC A/C 2554606-00602340029427</t>
        </is>
      </c>
      <c r="C93" s="42" t="inlineStr">
        <is>
          <t>0000000411170852</t>
        </is>
      </c>
      <c r="D93" s="41" t="n">
        <v>45063</v>
      </c>
      <c r="E93" s="42" t="n">
        <v>338.46</v>
      </c>
      <c r="F93" s="42" t="n">
        <v>0</v>
      </c>
      <c r="G93" s="42" t="n">
        <v>76747.17</v>
      </c>
      <c r="H93" s="42" t="inlineStr"/>
      <c r="I93" s="42" t="inlineStr"/>
      <c r="J93" s="42" t="inlineStr">
        <is>
          <t>HDFC Securities - Buy</t>
        </is>
      </c>
      <c r="K93" s="42" t="inlineStr">
        <is>
          <t>HDFC Securities</t>
        </is>
      </c>
      <c r="L93" s="18" t="n">
        <v>0.97</v>
      </c>
      <c r="M93" s="42" t="inlineStr">
        <is>
          <t>N/A</t>
        </is>
      </c>
    </row>
    <row r="94">
      <c r="A94" s="54" t="n">
        <v>45063</v>
      </c>
      <c r="B94" s="55" t="inlineStr">
        <is>
          <t>NET PO FROM HSL A/C 2554606-00602340029427</t>
        </is>
      </c>
      <c r="C94" s="55" t="inlineStr">
        <is>
          <t>0000000411209357</t>
        </is>
      </c>
      <c r="D94" s="54" t="n">
        <v>45063</v>
      </c>
      <c r="E94" s="55" t="n">
        <v>0</v>
      </c>
      <c r="F94" s="55" t="n">
        <v>338.46</v>
      </c>
      <c r="G94" s="55" t="n">
        <v>77085.63</v>
      </c>
      <c r="H94" s="55" t="inlineStr"/>
      <c r="I94" s="55" t="inlineStr"/>
      <c r="J94" s="55" t="inlineStr">
        <is>
          <t>HDFC Securities - Sell</t>
        </is>
      </c>
      <c r="K94" s="55" t="inlineStr">
        <is>
          <t>HDFC Securities</t>
        </is>
      </c>
      <c r="L94" s="18" t="n">
        <v>0.97</v>
      </c>
      <c r="M94" s="55" t="inlineStr">
        <is>
          <t>N/A</t>
        </is>
      </c>
    </row>
    <row r="95">
      <c r="A95" s="64" t="n">
        <v>45064</v>
      </c>
      <c r="B95" s="65" t="inlineStr">
        <is>
          <t>ACH C- ORACLEFINANCIALSER-00000000000000</t>
        </is>
      </c>
      <c r="C95" s="65" t="inlineStr">
        <is>
          <t>0000007018948138</t>
        </is>
      </c>
      <c r="D95" s="64" t="n">
        <v>45064</v>
      </c>
      <c r="E95" s="65" t="n">
        <v>0</v>
      </c>
      <c r="F95" s="65" t="n">
        <v>2250</v>
      </c>
      <c r="G95" s="65" t="n">
        <v>79335.63</v>
      </c>
      <c r="H95" s="65" t="inlineStr"/>
      <c r="I95" s="65" t="inlineStr"/>
      <c r="J95" s="65" t="inlineStr">
        <is>
          <t>Dividend Income</t>
        </is>
      </c>
      <c r="K95" s="65" t="inlineStr">
        <is>
          <t>Dividend Income</t>
        </is>
      </c>
      <c r="L95" s="18" t="n">
        <v>0.88</v>
      </c>
      <c r="M95" s="65" t="inlineStr">
        <is>
          <t>N/A</t>
        </is>
      </c>
    </row>
    <row r="96">
      <c r="A96" s="41" t="n">
        <v>45064</v>
      </c>
      <c r="B96" s="42" t="inlineStr">
        <is>
          <t>NET PI TO HSL SEC A/C 2554606-00602340029427</t>
        </is>
      </c>
      <c r="C96" s="42" t="inlineStr">
        <is>
          <t>0000000411367958</t>
        </is>
      </c>
      <c r="D96" s="41" t="n">
        <v>45064</v>
      </c>
      <c r="E96" s="42" t="n">
        <v>107.34</v>
      </c>
      <c r="F96" s="42" t="n">
        <v>0</v>
      </c>
      <c r="G96" s="42" t="n">
        <v>79228.28999999999</v>
      </c>
      <c r="H96" s="42" t="inlineStr"/>
      <c r="I96" s="42" t="inlineStr"/>
      <c r="J96" s="42" t="inlineStr">
        <is>
          <t>HDFC Securities - Buy</t>
        </is>
      </c>
      <c r="K96" s="42" t="inlineStr">
        <is>
          <t>HDFC Securities</t>
        </is>
      </c>
      <c r="L96" s="18" t="n">
        <v>0.97</v>
      </c>
      <c r="M96" s="42" t="inlineStr">
        <is>
          <t>N/A</t>
        </is>
      </c>
    </row>
    <row r="97">
      <c r="A97" s="41" t="n">
        <v>45064</v>
      </c>
      <c r="B97" s="42" t="inlineStr">
        <is>
          <t>NET PI TO HSL SEC A/C 2554606-00602340029427</t>
        </is>
      </c>
      <c r="C97" s="42" t="inlineStr">
        <is>
          <t>0000000411416238</t>
        </is>
      </c>
      <c r="D97" s="41" t="n">
        <v>45064</v>
      </c>
      <c r="E97" s="42" t="n">
        <v>5674.48</v>
      </c>
      <c r="F97" s="42" t="n">
        <v>0</v>
      </c>
      <c r="G97" s="42" t="n">
        <v>73553.81</v>
      </c>
      <c r="H97" s="42" t="inlineStr"/>
      <c r="I97" s="42" t="inlineStr"/>
      <c r="J97" s="42" t="inlineStr">
        <is>
          <t>HDFC Securities - Buy</t>
        </is>
      </c>
      <c r="K97" s="42" t="inlineStr">
        <is>
          <t>HDFC Securities</t>
        </is>
      </c>
      <c r="L97" s="18" t="n">
        <v>0.97</v>
      </c>
      <c r="M97" s="42" t="inlineStr">
        <is>
          <t>N/A</t>
        </is>
      </c>
    </row>
    <row r="98">
      <c r="A98" s="41" t="n">
        <v>45064</v>
      </c>
      <c r="B98" s="42" t="inlineStr">
        <is>
          <t>NET PI TO HSL SEC A/C 2554606-00602340029427</t>
        </is>
      </c>
      <c r="C98" s="42" t="inlineStr">
        <is>
          <t>0000000411484496</t>
        </is>
      </c>
      <c r="D98" s="41" t="n">
        <v>45064</v>
      </c>
      <c r="E98" s="42" t="n">
        <v>10768.54</v>
      </c>
      <c r="F98" s="42" t="n">
        <v>0</v>
      </c>
      <c r="G98" s="42" t="n">
        <v>62785.27</v>
      </c>
      <c r="H98" s="42" t="inlineStr"/>
      <c r="I98" s="42" t="inlineStr"/>
      <c r="J98" s="42" t="inlineStr">
        <is>
          <t>HDFC Securities - Buy</t>
        </is>
      </c>
      <c r="K98" s="42" t="inlineStr">
        <is>
          <t>HDFC Securities</t>
        </is>
      </c>
      <c r="L98" s="18" t="n">
        <v>0.97</v>
      </c>
      <c r="M98" s="42" t="inlineStr">
        <is>
          <t>N/A</t>
        </is>
      </c>
    </row>
    <row r="99">
      <c r="A99" s="41" t="n">
        <v>45065</v>
      </c>
      <c r="B99" s="42" t="inlineStr">
        <is>
          <t>NET PI TO HSL SEC A/C 2554606-00602340029427</t>
        </is>
      </c>
      <c r="C99" s="42" t="inlineStr">
        <is>
          <t>0000000411589436</t>
        </is>
      </c>
      <c r="D99" s="41" t="n">
        <v>45065</v>
      </c>
      <c r="E99" s="42" t="n">
        <v>1350.54</v>
      </c>
      <c r="F99" s="42" t="n">
        <v>0</v>
      </c>
      <c r="G99" s="42" t="n">
        <v>61434.73</v>
      </c>
      <c r="H99" s="42" t="inlineStr"/>
      <c r="I99" s="42" t="inlineStr"/>
      <c r="J99" s="42" t="inlineStr">
        <is>
          <t>HDFC Securities - Buy</t>
        </is>
      </c>
      <c r="K99" s="42" t="inlineStr">
        <is>
          <t>HDFC Securities</t>
        </is>
      </c>
      <c r="L99" s="18" t="n">
        <v>0.97</v>
      </c>
      <c r="M99" s="42" t="inlineStr">
        <is>
          <t>N/A</t>
        </is>
      </c>
    </row>
    <row r="100">
      <c r="A100" s="54" t="n">
        <v>45065</v>
      </c>
      <c r="B100" s="55" t="inlineStr">
        <is>
          <t>NET PO FROM HSL A/C 2554606-00602340029427</t>
        </is>
      </c>
      <c r="C100" s="55" t="inlineStr">
        <is>
          <t>0000000411631699</t>
        </is>
      </c>
      <c r="D100" s="54" t="n">
        <v>45064</v>
      </c>
      <c r="E100" s="55" t="n">
        <v>0</v>
      </c>
      <c r="F100" s="55" t="n">
        <v>1350.54</v>
      </c>
      <c r="G100" s="55" t="n">
        <v>62785.27</v>
      </c>
      <c r="H100" s="55" t="inlineStr"/>
      <c r="I100" s="55" t="inlineStr"/>
      <c r="J100" s="55" t="inlineStr">
        <is>
          <t>HDFC Securities - Sell</t>
        </is>
      </c>
      <c r="K100" s="55" t="inlineStr">
        <is>
          <t>HDFC Securities</t>
        </is>
      </c>
      <c r="L100" s="18" t="n">
        <v>0.97</v>
      </c>
      <c r="M100" s="55" t="inlineStr">
        <is>
          <t>N/A</t>
        </is>
      </c>
    </row>
    <row r="101">
      <c r="A101" s="41" t="n">
        <v>45065</v>
      </c>
      <c r="B101" s="42" t="inlineStr">
        <is>
          <t>NET PI TO HSL SEC A/C 2554606-00602340029427</t>
        </is>
      </c>
      <c r="C101" s="42" t="inlineStr">
        <is>
          <t>0000000411784697</t>
        </is>
      </c>
      <c r="D101" s="41" t="n">
        <v>45065</v>
      </c>
      <c r="E101" s="42" t="n">
        <v>130.04</v>
      </c>
      <c r="F101" s="42" t="n">
        <v>0</v>
      </c>
      <c r="G101" s="42" t="n">
        <v>62655.23</v>
      </c>
      <c r="H101" s="42" t="inlineStr"/>
      <c r="I101" s="42" t="inlineStr"/>
      <c r="J101" s="42" t="inlineStr">
        <is>
          <t>HDFC Securities - Buy</t>
        </is>
      </c>
      <c r="K101" s="42" t="inlineStr">
        <is>
          <t>HDFC Securities</t>
        </is>
      </c>
      <c r="L101" s="18" t="n">
        <v>0.97</v>
      </c>
      <c r="M101" s="42" t="inlineStr">
        <is>
          <t>N/A</t>
        </is>
      </c>
    </row>
    <row r="102">
      <c r="A102" s="54" t="n">
        <v>45065</v>
      </c>
      <c r="B102" s="55" t="inlineStr">
        <is>
          <t>NET PO FROM HSL A/C 2554606-00602340029427</t>
        </is>
      </c>
      <c r="C102" s="55" t="inlineStr">
        <is>
          <t>0000000411894102</t>
        </is>
      </c>
      <c r="D102" s="54" t="n">
        <v>45065</v>
      </c>
      <c r="E102" s="55" t="n">
        <v>0</v>
      </c>
      <c r="F102" s="55" t="n">
        <v>486.55</v>
      </c>
      <c r="G102" s="55" t="n">
        <v>63141.78</v>
      </c>
      <c r="H102" s="55" t="inlineStr"/>
      <c r="I102" s="55" t="inlineStr"/>
      <c r="J102" s="55" t="inlineStr">
        <is>
          <t>HDFC Securities - Sell</t>
        </is>
      </c>
      <c r="K102" s="55" t="inlineStr">
        <is>
          <t>HDFC Securities</t>
        </is>
      </c>
      <c r="L102" s="18" t="n">
        <v>0.97</v>
      </c>
      <c r="M102" s="55" t="inlineStr">
        <is>
          <t>N/A</t>
        </is>
      </c>
    </row>
    <row r="103">
      <c r="A103" s="64" t="n">
        <v>45068</v>
      </c>
      <c r="B103" s="65" t="inlineStr">
        <is>
          <t>ACH C- SANOFIINDI DIV PYMT-71PR230518059</t>
        </is>
      </c>
      <c r="C103" s="65" t="inlineStr">
        <is>
          <t>0000001784311260</t>
        </is>
      </c>
      <c r="D103" s="64" t="n">
        <v>45068</v>
      </c>
      <c r="E103" s="65" t="n">
        <v>0</v>
      </c>
      <c r="F103" s="65" t="n">
        <v>1885</v>
      </c>
      <c r="G103" s="65" t="n">
        <v>65026.78</v>
      </c>
      <c r="H103" s="65" t="inlineStr"/>
      <c r="I103" s="65" t="inlineStr"/>
      <c r="J103" s="65" t="inlineStr">
        <is>
          <t>Dividend Income</t>
        </is>
      </c>
      <c r="K103" s="65" t="inlineStr">
        <is>
          <t>Dividend Income</t>
        </is>
      </c>
      <c r="L103" s="18" t="n">
        <v>0.88</v>
      </c>
      <c r="M103" s="65" t="inlineStr">
        <is>
          <t>N/A</t>
        </is>
      </c>
    </row>
    <row r="104">
      <c r="A104" s="41" t="n">
        <v>45068</v>
      </c>
      <c r="B104" s="42" t="inlineStr">
        <is>
          <t>NET PI TO HSL SEC A/C 2554606-00602340029427</t>
        </is>
      </c>
      <c r="C104" s="42" t="inlineStr">
        <is>
          <t>0000000412269129</t>
        </is>
      </c>
      <c r="D104" s="41" t="n">
        <v>45068</v>
      </c>
      <c r="E104" s="42" t="n">
        <v>435.03</v>
      </c>
      <c r="F104" s="42" t="n">
        <v>0</v>
      </c>
      <c r="G104" s="42" t="n">
        <v>64591.75</v>
      </c>
      <c r="H104" s="42" t="inlineStr"/>
      <c r="I104" s="42" t="inlineStr"/>
      <c r="J104" s="42" t="inlineStr">
        <is>
          <t>HDFC Securities - Buy</t>
        </is>
      </c>
      <c r="K104" s="42" t="inlineStr">
        <is>
          <t>HDFC Securities</t>
        </is>
      </c>
      <c r="L104" s="18" t="n">
        <v>0.97</v>
      </c>
      <c r="M104" s="42" t="inlineStr">
        <is>
          <t>N/A</t>
        </is>
      </c>
    </row>
    <row r="105">
      <c r="A105" s="26" t="n">
        <v>45068</v>
      </c>
      <c r="B105" s="27" t="inlineStr">
        <is>
          <t>01671000085930-TPT-BORROW FROM AAYUSH-AJAY KUMAR GUPTA</t>
        </is>
      </c>
      <c r="C105" s="27" t="inlineStr">
        <is>
          <t>0000000352560173</t>
        </is>
      </c>
      <c r="D105" s="26" t="n">
        <v>45068</v>
      </c>
      <c r="E105" s="27" t="n">
        <v>20000</v>
      </c>
      <c r="F105" s="27" t="n">
        <v>0</v>
      </c>
      <c r="G105" s="27" t="n">
        <v>44591.75</v>
      </c>
      <c r="H105" s="27" t="inlineStr"/>
      <c r="I105" s="27" t="inlineStr"/>
      <c r="J105" s="27" t="inlineStr">
        <is>
          <t>Transfer - Ajay Gupta</t>
        </is>
      </c>
      <c r="K105" s="27" t="inlineStr">
        <is>
          <t>Ajay Gupta</t>
        </is>
      </c>
      <c r="L105" s="18" t="n">
        <v>0.88</v>
      </c>
      <c r="M105" s="27" t="inlineStr">
        <is>
          <t>N/A</t>
        </is>
      </c>
    </row>
    <row r="106">
      <c r="A106" s="54" t="n">
        <v>45069</v>
      </c>
      <c r="B106" s="55" t="inlineStr">
        <is>
          <t>NET PO FROM HSL A/C 2554606-00602340029427</t>
        </is>
      </c>
      <c r="C106" s="55" t="inlineStr">
        <is>
          <t>0000000412383967</t>
        </is>
      </c>
      <c r="D106" s="54" t="n">
        <v>45068</v>
      </c>
      <c r="E106" s="55" t="n">
        <v>0</v>
      </c>
      <c r="F106" s="55" t="n">
        <v>359.26</v>
      </c>
      <c r="G106" s="55" t="n">
        <v>44951.01</v>
      </c>
      <c r="H106" s="55" t="inlineStr"/>
      <c r="I106" s="55" t="inlineStr"/>
      <c r="J106" s="55" t="inlineStr">
        <is>
          <t>HDFC Securities - Sell</t>
        </is>
      </c>
      <c r="K106" s="55" t="inlineStr">
        <is>
          <t>HDFC Securities</t>
        </is>
      </c>
      <c r="L106" s="18" t="n">
        <v>0.97</v>
      </c>
      <c r="M106" s="55" t="inlineStr">
        <is>
          <t>N/A</t>
        </is>
      </c>
    </row>
    <row r="107">
      <c r="A107" s="54" t="n">
        <v>45069</v>
      </c>
      <c r="B107" s="55" t="inlineStr">
        <is>
          <t>NET PO FROM HSL A/C 2554606-00602340029427</t>
        </is>
      </c>
      <c r="C107" s="55" t="inlineStr">
        <is>
          <t>0000000412400171</t>
        </is>
      </c>
      <c r="D107" s="54" t="n">
        <v>45068</v>
      </c>
      <c r="E107" s="55" t="n">
        <v>0</v>
      </c>
      <c r="F107" s="55" t="n">
        <v>359.26</v>
      </c>
      <c r="G107" s="55" t="n">
        <v>45310.27</v>
      </c>
      <c r="H107" s="55" t="inlineStr"/>
      <c r="I107" s="55" t="inlineStr"/>
      <c r="J107" s="55" t="inlineStr">
        <is>
          <t>HDFC Securities - Sell</t>
        </is>
      </c>
      <c r="K107" s="55" t="inlineStr">
        <is>
          <t>HDFC Securities</t>
        </is>
      </c>
      <c r="L107" s="18" t="n">
        <v>0.97</v>
      </c>
      <c r="M107" s="55" t="inlineStr">
        <is>
          <t>N/A</t>
        </is>
      </c>
    </row>
    <row r="108">
      <c r="A108" s="41" t="n">
        <v>45069</v>
      </c>
      <c r="B108" s="42" t="inlineStr">
        <is>
          <t>NET PI TO HSL SEC A/C 2554606-00602340029427</t>
        </is>
      </c>
      <c r="C108" s="42" t="inlineStr">
        <is>
          <t>0000000412443027</t>
        </is>
      </c>
      <c r="D108" s="41" t="n">
        <v>45069</v>
      </c>
      <c r="E108" s="42" t="n">
        <v>359.26</v>
      </c>
      <c r="F108" s="42" t="n">
        <v>0</v>
      </c>
      <c r="G108" s="42" t="n">
        <v>44951.01</v>
      </c>
      <c r="H108" s="42" t="inlineStr"/>
      <c r="I108" s="42" t="inlineStr"/>
      <c r="J108" s="42" t="inlineStr">
        <is>
          <t>HDFC Securities - Buy</t>
        </is>
      </c>
      <c r="K108" s="42" t="inlineStr">
        <is>
          <t>HDFC Securities</t>
        </is>
      </c>
      <c r="L108" s="18" t="n">
        <v>0.97</v>
      </c>
      <c r="M108" s="42" t="inlineStr">
        <is>
          <t>N/A</t>
        </is>
      </c>
    </row>
    <row r="109">
      <c r="A109" s="41" t="n">
        <v>45069</v>
      </c>
      <c r="B109" s="42" t="inlineStr">
        <is>
          <t>NET PI TO HSL SEC A/C 2554606-00602340029427</t>
        </is>
      </c>
      <c r="C109" s="42" t="inlineStr">
        <is>
          <t>0000000412566358</t>
        </is>
      </c>
      <c r="D109" s="41" t="n">
        <v>45069</v>
      </c>
      <c r="E109" s="42" t="n">
        <v>145.19</v>
      </c>
      <c r="F109" s="42" t="n">
        <v>0</v>
      </c>
      <c r="G109" s="42" t="n">
        <v>44805.82</v>
      </c>
      <c r="H109" s="42" t="inlineStr"/>
      <c r="I109" s="42" t="inlineStr"/>
      <c r="J109" s="42" t="inlineStr">
        <is>
          <t>HDFC Securities - Buy</t>
        </is>
      </c>
      <c r="K109" s="42" t="inlineStr">
        <is>
          <t>HDFC Securities</t>
        </is>
      </c>
      <c r="L109" s="18" t="n">
        <v>0.97</v>
      </c>
      <c r="M109" s="42" t="inlineStr">
        <is>
          <t>N/A</t>
        </is>
      </c>
    </row>
    <row r="110">
      <c r="A110" s="41" t="n">
        <v>45069</v>
      </c>
      <c r="B110" s="42" t="inlineStr">
        <is>
          <t>NET PI TO HSL SEC A/C 2554606-00602340029427</t>
        </is>
      </c>
      <c r="C110" s="42" t="inlineStr">
        <is>
          <t>0000000412667803</t>
        </is>
      </c>
      <c r="D110" s="41" t="n">
        <v>45069</v>
      </c>
      <c r="E110" s="42" t="n">
        <v>23871.7</v>
      </c>
      <c r="F110" s="42" t="n">
        <v>0</v>
      </c>
      <c r="G110" s="42" t="n">
        <v>20934.12</v>
      </c>
      <c r="H110" s="42" t="inlineStr"/>
      <c r="I110" s="42" t="inlineStr"/>
      <c r="J110" s="42" t="inlineStr">
        <is>
          <t>HDFC Securities - Buy</t>
        </is>
      </c>
      <c r="K110" s="42" t="inlineStr">
        <is>
          <t>HDFC Securities</t>
        </is>
      </c>
      <c r="L110" s="18" t="n">
        <v>0.97</v>
      </c>
      <c r="M110" s="42" t="inlineStr">
        <is>
          <t>N/A</t>
        </is>
      </c>
    </row>
    <row r="111">
      <c r="A111" s="41" t="n">
        <v>45070</v>
      </c>
      <c r="B111" s="42" t="inlineStr">
        <is>
          <t>NET PI TO HSL SEC A/C 2554606-00602340029427</t>
        </is>
      </c>
      <c r="C111" s="42" t="inlineStr">
        <is>
          <t>0000000412836900</t>
        </is>
      </c>
      <c r="D111" s="41" t="n">
        <v>45070</v>
      </c>
      <c r="E111" s="42" t="n">
        <v>133.42</v>
      </c>
      <c r="F111" s="42" t="n">
        <v>0</v>
      </c>
      <c r="G111" s="42" t="n">
        <v>20800.7</v>
      </c>
      <c r="H111" s="42" t="inlineStr"/>
      <c r="I111" s="42" t="inlineStr"/>
      <c r="J111" s="42" t="inlineStr">
        <is>
          <t>HDFC Securities - Buy</t>
        </is>
      </c>
      <c r="K111" s="42" t="inlineStr">
        <is>
          <t>HDFC Securities</t>
        </is>
      </c>
      <c r="L111" s="18" t="n">
        <v>0.97</v>
      </c>
      <c r="M111" s="42" t="inlineStr">
        <is>
          <t>N/A</t>
        </is>
      </c>
    </row>
    <row r="112">
      <c r="A112" s="41" t="n">
        <v>45070</v>
      </c>
      <c r="B112" s="42" t="inlineStr">
        <is>
          <t>NET PI TO HSL SEC A/C 2554606-00602340029427</t>
        </is>
      </c>
      <c r="C112" s="42" t="inlineStr">
        <is>
          <t>0000000412895548</t>
        </is>
      </c>
      <c r="D112" s="41" t="n">
        <v>45070</v>
      </c>
      <c r="E112" s="42" t="n">
        <v>133.42</v>
      </c>
      <c r="F112" s="42" t="n">
        <v>0</v>
      </c>
      <c r="G112" s="42" t="n">
        <v>20667.28</v>
      </c>
      <c r="H112" s="42" t="inlineStr"/>
      <c r="I112" s="42" t="inlineStr"/>
      <c r="J112" s="42" t="inlineStr">
        <is>
          <t>HDFC Securities - Buy</t>
        </is>
      </c>
      <c r="K112" s="42" t="inlineStr">
        <is>
          <t>HDFC Securities</t>
        </is>
      </c>
      <c r="L112" s="18" t="n">
        <v>0.97</v>
      </c>
      <c r="M112" s="42" t="inlineStr">
        <is>
          <t>N/A</t>
        </is>
      </c>
    </row>
    <row r="113">
      <c r="A113" s="54" t="n">
        <v>45070</v>
      </c>
      <c r="B113" s="55" t="inlineStr">
        <is>
          <t>NET PO FROM HSL A/C 2554606-00602340029427</t>
        </is>
      </c>
      <c r="C113" s="55" t="inlineStr">
        <is>
          <t>0000000412996168</t>
        </is>
      </c>
      <c r="D113" s="54" t="n">
        <v>45070</v>
      </c>
      <c r="E113" s="55" t="n">
        <v>0</v>
      </c>
      <c r="F113" s="55" t="n">
        <v>131.24</v>
      </c>
      <c r="G113" s="55" t="n">
        <v>20798.52</v>
      </c>
      <c r="H113" s="55" t="inlineStr"/>
      <c r="I113" s="55" t="inlineStr"/>
      <c r="J113" s="55" t="inlineStr">
        <is>
          <t>HDFC Securities - Sell</t>
        </is>
      </c>
      <c r="K113" s="55" t="inlineStr">
        <is>
          <t>HDFC Securities</t>
        </is>
      </c>
      <c r="L113" s="18" t="n">
        <v>0.97</v>
      </c>
      <c r="M113" s="55" t="inlineStr">
        <is>
          <t>N/A</t>
        </is>
      </c>
    </row>
    <row r="114">
      <c r="A114" s="54" t="n">
        <v>45070</v>
      </c>
      <c r="B114" s="55" t="inlineStr">
        <is>
          <t>NET PO FROM HSL A/C 2554606-00602340029427</t>
        </is>
      </c>
      <c r="C114" s="55" t="inlineStr">
        <is>
          <t>0000000413149556</t>
        </is>
      </c>
      <c r="D114" s="54" t="n">
        <v>45070</v>
      </c>
      <c r="E114" s="55" t="n">
        <v>0</v>
      </c>
      <c r="F114" s="55" t="n">
        <v>133.42</v>
      </c>
      <c r="G114" s="55" t="n">
        <v>20931.94</v>
      </c>
      <c r="H114" s="55" t="inlineStr"/>
      <c r="I114" s="55" t="inlineStr"/>
      <c r="J114" s="55" t="inlineStr">
        <is>
          <t>HDFC Securities - Sell</t>
        </is>
      </c>
      <c r="K114" s="55" t="inlineStr">
        <is>
          <t>HDFC Securities</t>
        </is>
      </c>
      <c r="L114" s="18" t="n">
        <v>0.97</v>
      </c>
      <c r="M114" s="55" t="inlineStr">
        <is>
          <t>N/A</t>
        </is>
      </c>
    </row>
    <row r="115">
      <c r="A115" s="58" t="n">
        <v>45071</v>
      </c>
      <c r="B115" s="59" t="inlineStr">
        <is>
          <t>NET PAYIN TO BSE MF A/C -57500000389146- FROM A/C -50100128155413- UCC -2554606-57500000389146</t>
        </is>
      </c>
      <c r="C115" s="59" t="inlineStr">
        <is>
          <t>0000000413265245</t>
        </is>
      </c>
      <c r="D115" s="58" t="n">
        <v>45071</v>
      </c>
      <c r="E115" s="59" t="n">
        <v>2500</v>
      </c>
      <c r="F115" s="59" t="n">
        <v>0</v>
      </c>
      <c r="G115" s="59" t="n">
        <v>18431.94</v>
      </c>
      <c r="H115" s="59" t="inlineStr"/>
      <c r="I115" s="59" t="inlineStr"/>
      <c r="J115" s="59" t="inlineStr">
        <is>
          <t>MF Investment</t>
        </is>
      </c>
      <c r="K115" s="59" t="inlineStr">
        <is>
          <t>Investments</t>
        </is>
      </c>
      <c r="L115" s="18" t="n">
        <v>0.9</v>
      </c>
      <c r="M115" s="59" t="inlineStr">
        <is>
          <t>N/A</t>
        </is>
      </c>
    </row>
    <row r="116">
      <c r="A116" s="41" t="n">
        <v>45071</v>
      </c>
      <c r="B116" s="42" t="inlineStr">
        <is>
          <t>NET PI TO HSL SEC A/C 2554606-00602340029427</t>
        </is>
      </c>
      <c r="C116" s="42" t="inlineStr">
        <is>
          <t>0000000413320073</t>
        </is>
      </c>
      <c r="D116" s="41" t="n">
        <v>45071</v>
      </c>
      <c r="E116" s="42" t="n">
        <v>140.9</v>
      </c>
      <c r="F116" s="42" t="n">
        <v>0</v>
      </c>
      <c r="G116" s="42" t="n">
        <v>18291.04</v>
      </c>
      <c r="H116" s="42" t="inlineStr"/>
      <c r="I116" s="42" t="inlineStr"/>
      <c r="J116" s="42" t="inlineStr">
        <is>
          <t>HDFC Securities - Buy</t>
        </is>
      </c>
      <c r="K116" s="42" t="inlineStr">
        <is>
          <t>HDFC Securities</t>
        </is>
      </c>
      <c r="L116" s="18" t="n">
        <v>0.97</v>
      </c>
      <c r="M116" s="42" t="inlineStr">
        <is>
          <t>N/A</t>
        </is>
      </c>
    </row>
    <row r="117">
      <c r="A117" s="41" t="n">
        <v>45071</v>
      </c>
      <c r="B117" s="42" t="inlineStr">
        <is>
          <t>NET PI TO HSL SEC A/C 2554606-00602340029427</t>
        </is>
      </c>
      <c r="C117" s="42" t="inlineStr">
        <is>
          <t>0000000413395983</t>
        </is>
      </c>
      <c r="D117" s="41" t="n">
        <v>45071</v>
      </c>
      <c r="E117" s="42" t="n">
        <v>5484.32</v>
      </c>
      <c r="F117" s="42" t="n">
        <v>0</v>
      </c>
      <c r="G117" s="42" t="n">
        <v>12806.72</v>
      </c>
      <c r="H117" s="42" t="inlineStr"/>
      <c r="I117" s="42" t="inlineStr"/>
      <c r="J117" s="42" t="inlineStr">
        <is>
          <t>HDFC Securities - Buy</t>
        </is>
      </c>
      <c r="K117" s="42" t="inlineStr">
        <is>
          <t>HDFC Securities</t>
        </is>
      </c>
      <c r="L117" s="18" t="n">
        <v>0.97</v>
      </c>
      <c r="M117" s="42" t="inlineStr">
        <is>
          <t>N/A</t>
        </is>
      </c>
    </row>
    <row r="118">
      <c r="A118" s="54" t="n">
        <v>45072</v>
      </c>
      <c r="B118" s="55" t="inlineStr">
        <is>
          <t>NET PO FROM HSL A/C 2554606-00602340029427</t>
        </is>
      </c>
      <c r="C118" s="55" t="inlineStr">
        <is>
          <t>0000000413453891</t>
        </is>
      </c>
      <c r="D118" s="54" t="n">
        <v>45071</v>
      </c>
      <c r="E118" s="55" t="n">
        <v>0</v>
      </c>
      <c r="F118" s="55" t="n">
        <v>1244.16</v>
      </c>
      <c r="G118" s="55" t="n">
        <v>14050.88</v>
      </c>
      <c r="H118" s="55" t="inlineStr"/>
      <c r="I118" s="55" t="inlineStr"/>
      <c r="J118" s="55" t="inlineStr">
        <is>
          <t>HDFC Securities - Sell</t>
        </is>
      </c>
      <c r="K118" s="55" t="inlineStr">
        <is>
          <t>HDFC Securities</t>
        </is>
      </c>
      <c r="L118" s="18" t="n">
        <v>0.97</v>
      </c>
      <c r="M118" s="55" t="inlineStr">
        <is>
          <t>N/A</t>
        </is>
      </c>
    </row>
    <row r="119">
      <c r="A119" s="41" t="n">
        <v>45072</v>
      </c>
      <c r="B119" s="42" t="inlineStr">
        <is>
          <t>NET PI TO HSL SEC A/C 2554606-00602340029427</t>
        </is>
      </c>
      <c r="C119" s="42" t="inlineStr">
        <is>
          <t>0000000413589363</t>
        </is>
      </c>
      <c r="D119" s="41" t="n">
        <v>45072</v>
      </c>
      <c r="E119" s="42" t="n">
        <v>12094.93</v>
      </c>
      <c r="F119" s="42" t="n">
        <v>0</v>
      </c>
      <c r="G119" s="42" t="n">
        <v>1955.95</v>
      </c>
      <c r="H119" s="42" t="inlineStr"/>
      <c r="I119" s="42" t="inlineStr"/>
      <c r="J119" s="42" t="inlineStr">
        <is>
          <t>HDFC Securities - Buy</t>
        </is>
      </c>
      <c r="K119" s="42" t="inlineStr">
        <is>
          <t>HDFC Securities</t>
        </is>
      </c>
      <c r="L119" s="18" t="n">
        <v>0.97</v>
      </c>
      <c r="M119" s="42" t="inlineStr">
        <is>
          <t>N/A</t>
        </is>
      </c>
    </row>
    <row r="120">
      <c r="A120" s="54" t="n">
        <v>45072</v>
      </c>
      <c r="B120" s="55" t="inlineStr">
        <is>
          <t>NET PO FROM HSL A/C 2554606-00602340029427</t>
        </is>
      </c>
      <c r="C120" s="55" t="inlineStr">
        <is>
          <t>0000000413612485</t>
        </is>
      </c>
      <c r="D120" s="54" t="n">
        <v>45071</v>
      </c>
      <c r="E120" s="55" t="n">
        <v>0</v>
      </c>
      <c r="F120" s="55" t="n">
        <v>12094.93</v>
      </c>
      <c r="G120" s="55" t="n">
        <v>14050.88</v>
      </c>
      <c r="H120" s="55" t="inlineStr"/>
      <c r="I120" s="55" t="inlineStr"/>
      <c r="J120" s="55" t="inlineStr">
        <is>
          <t>HDFC Securities - Sell</t>
        </is>
      </c>
      <c r="K120" s="55" t="inlineStr">
        <is>
          <t>HDFC Securities</t>
        </is>
      </c>
      <c r="L120" s="18" t="n">
        <v>0.97</v>
      </c>
      <c r="M120" s="55" t="inlineStr">
        <is>
          <t>N/A</t>
        </is>
      </c>
    </row>
    <row r="121">
      <c r="A121" s="41" t="n">
        <v>45072</v>
      </c>
      <c r="B121" s="42" t="inlineStr">
        <is>
          <t>NET PI TO HSL SEC A/C 2554606-00602340029427</t>
        </is>
      </c>
      <c r="C121" s="42" t="inlineStr">
        <is>
          <t>0000000413766698</t>
        </is>
      </c>
      <c r="D121" s="41" t="n">
        <v>45072</v>
      </c>
      <c r="E121" s="42" t="n">
        <v>141.51</v>
      </c>
      <c r="F121" s="42" t="n">
        <v>0</v>
      </c>
      <c r="G121" s="42" t="n">
        <v>13909.37</v>
      </c>
      <c r="H121" s="42" t="inlineStr"/>
      <c r="I121" s="42" t="inlineStr"/>
      <c r="J121" s="42" t="inlineStr">
        <is>
          <t>HDFC Securities - Buy</t>
        </is>
      </c>
      <c r="K121" s="42" t="inlineStr">
        <is>
          <t>HDFC Securities</t>
        </is>
      </c>
      <c r="L121" s="18" t="n">
        <v>0.97</v>
      </c>
      <c r="M121" s="42" t="inlineStr">
        <is>
          <t>N/A</t>
        </is>
      </c>
    </row>
    <row r="122">
      <c r="A122" s="54" t="n">
        <v>45072</v>
      </c>
      <c r="B122" s="55" t="inlineStr">
        <is>
          <t>NET PO FROM HSL A/C 2554606-00602340029427</t>
        </is>
      </c>
      <c r="C122" s="55" t="inlineStr">
        <is>
          <t>0000000413876002</t>
        </is>
      </c>
      <c r="D122" s="54" t="n">
        <v>45072</v>
      </c>
      <c r="E122" s="55" t="n">
        <v>0</v>
      </c>
      <c r="F122" s="55" t="n">
        <v>321.22</v>
      </c>
      <c r="G122" s="55" t="n">
        <v>14230.59</v>
      </c>
      <c r="H122" s="55" t="inlineStr"/>
      <c r="I122" s="55" t="inlineStr"/>
      <c r="J122" s="55" t="inlineStr">
        <is>
          <t>HDFC Securities - Sell</t>
        </is>
      </c>
      <c r="K122" s="55" t="inlineStr">
        <is>
          <t>HDFC Securities</t>
        </is>
      </c>
      <c r="L122" s="18" t="n">
        <v>0.97</v>
      </c>
      <c r="M122" s="55" t="inlineStr">
        <is>
          <t>N/A</t>
        </is>
      </c>
    </row>
    <row r="123">
      <c r="A123" s="41" t="n">
        <v>45075</v>
      </c>
      <c r="B123" s="42" t="inlineStr">
        <is>
          <t>NET PI TO HSL SEC A/C 2554606-00602340029427</t>
        </is>
      </c>
      <c r="C123" s="42" t="inlineStr">
        <is>
          <t>0000000414170271</t>
        </is>
      </c>
      <c r="D123" s="41" t="n">
        <v>45075</v>
      </c>
      <c r="E123" s="42" t="n">
        <v>425.01</v>
      </c>
      <c r="F123" s="42" t="n">
        <v>0</v>
      </c>
      <c r="G123" s="42" t="n">
        <v>13805.58</v>
      </c>
      <c r="H123" s="42" t="inlineStr"/>
      <c r="I123" s="42" t="inlineStr"/>
      <c r="J123" s="42" t="inlineStr">
        <is>
          <t>HDFC Securities - Buy</t>
        </is>
      </c>
      <c r="K123" s="42" t="inlineStr">
        <is>
          <t>HDFC Securities</t>
        </is>
      </c>
      <c r="L123" s="18" t="n">
        <v>0.97</v>
      </c>
      <c r="M123" s="42" t="inlineStr">
        <is>
          <t>N/A</t>
        </is>
      </c>
    </row>
    <row r="124">
      <c r="A124" s="54" t="n">
        <v>45075</v>
      </c>
      <c r="B124" s="55" t="inlineStr">
        <is>
          <t>NET PO FROM HSL A/C 2554606-00602340029427</t>
        </is>
      </c>
      <c r="C124" s="55" t="inlineStr">
        <is>
          <t>0000000414343930</t>
        </is>
      </c>
      <c r="D124" s="54" t="n">
        <v>45075</v>
      </c>
      <c r="E124" s="55" t="n">
        <v>0</v>
      </c>
      <c r="F124" s="55" t="n">
        <v>1274.26</v>
      </c>
      <c r="G124" s="55" t="n">
        <v>15079.84</v>
      </c>
      <c r="H124" s="55" t="inlineStr"/>
      <c r="I124" s="55" t="inlineStr"/>
      <c r="J124" s="55" t="inlineStr">
        <is>
          <t>HDFC Securities - Sell</t>
        </is>
      </c>
      <c r="K124" s="55" t="inlineStr">
        <is>
          <t>HDFC Securities</t>
        </is>
      </c>
      <c r="L124" s="18" t="n">
        <v>0.97</v>
      </c>
      <c r="M124" s="55" t="inlineStr">
        <is>
          <t>N/A</t>
        </is>
      </c>
    </row>
    <row r="125">
      <c r="A125" s="41" t="n">
        <v>45076</v>
      </c>
      <c r="B125" s="42" t="inlineStr">
        <is>
          <t>NET PI TO HSL SEC A/C 2554606-00602340029427</t>
        </is>
      </c>
      <c r="C125" s="42" t="inlineStr">
        <is>
          <t>0000000414659264</t>
        </is>
      </c>
      <c r="D125" s="41" t="n">
        <v>45076</v>
      </c>
      <c r="E125" s="42" t="n">
        <v>142.3</v>
      </c>
      <c r="F125" s="42" t="n">
        <v>0</v>
      </c>
      <c r="G125" s="42" t="n">
        <v>14937.54</v>
      </c>
      <c r="H125" s="42" t="inlineStr"/>
      <c r="I125" s="42" t="inlineStr"/>
      <c r="J125" s="42" t="inlineStr">
        <is>
          <t>HDFC Securities - Buy</t>
        </is>
      </c>
      <c r="K125" s="42" t="inlineStr">
        <is>
          <t>HDFC Securities</t>
        </is>
      </c>
      <c r="L125" s="18" t="n">
        <v>0.97</v>
      </c>
      <c r="M125" s="42" t="inlineStr">
        <is>
          <t>N/A</t>
        </is>
      </c>
    </row>
    <row r="126">
      <c r="A126" s="54" t="n">
        <v>45076</v>
      </c>
      <c r="B126" s="55" t="inlineStr">
        <is>
          <t>NET PO FROM HSL A/C 2554606-00602340029427</t>
        </is>
      </c>
      <c r="C126" s="55" t="inlineStr">
        <is>
          <t>0000000414781920</t>
        </is>
      </c>
      <c r="D126" s="54" t="n">
        <v>45076</v>
      </c>
      <c r="E126" s="55" t="n">
        <v>0</v>
      </c>
      <c r="F126" s="55" t="n">
        <v>857.71</v>
      </c>
      <c r="G126" s="55" t="n">
        <v>15795.25</v>
      </c>
      <c r="H126" s="55" t="inlineStr"/>
      <c r="I126" s="55" t="inlineStr"/>
      <c r="J126" s="55" t="inlineStr">
        <is>
          <t>HDFC Securities - Sell</t>
        </is>
      </c>
      <c r="K126" s="55" t="inlineStr">
        <is>
          <t>HDFC Securities</t>
        </is>
      </c>
      <c r="L126" s="18" t="n">
        <v>0.97</v>
      </c>
      <c r="M126" s="55" t="inlineStr">
        <is>
          <t>N/A</t>
        </is>
      </c>
    </row>
    <row r="127">
      <c r="A127" s="41" t="n">
        <v>45077</v>
      </c>
      <c r="B127" s="42" t="inlineStr">
        <is>
          <t>NET PI TO HSL SEC A/C 2554606-00602340029427</t>
        </is>
      </c>
      <c r="C127" s="42" t="inlineStr">
        <is>
          <t>0000000415058842</t>
        </is>
      </c>
      <c r="D127" s="41" t="n">
        <v>45077</v>
      </c>
      <c r="E127" s="42" t="n">
        <v>142.72</v>
      </c>
      <c r="F127" s="42" t="n">
        <v>0</v>
      </c>
      <c r="G127" s="42" t="n">
        <v>15652.53</v>
      </c>
      <c r="H127" s="42" t="inlineStr"/>
      <c r="I127" s="42" t="inlineStr"/>
      <c r="J127" s="42" t="inlineStr">
        <is>
          <t>HDFC Securities - Buy</t>
        </is>
      </c>
      <c r="K127" s="42" t="inlineStr">
        <is>
          <t>HDFC Securities</t>
        </is>
      </c>
      <c r="L127" s="18" t="n">
        <v>0.97</v>
      </c>
      <c r="M127" s="42" t="inlineStr">
        <is>
          <t>N/A</t>
        </is>
      </c>
    </row>
    <row r="128">
      <c r="A128" s="41" t="n">
        <v>45077</v>
      </c>
      <c r="B128" s="42" t="inlineStr">
        <is>
          <t>NET PI TO HSL SEC A/C 2554606-00602340029427</t>
        </is>
      </c>
      <c r="C128" s="42" t="inlineStr">
        <is>
          <t>0000000415177335</t>
        </is>
      </c>
      <c r="D128" s="41" t="n">
        <v>45077</v>
      </c>
      <c r="E128" s="42" t="n">
        <v>632.73</v>
      </c>
      <c r="F128" s="42" t="n">
        <v>0</v>
      </c>
      <c r="G128" s="42" t="n">
        <v>15019.8</v>
      </c>
      <c r="H128" s="42" t="inlineStr"/>
      <c r="I128" s="42" t="inlineStr"/>
      <c r="J128" s="42" t="inlineStr">
        <is>
          <t>HDFC Securities - Buy</t>
        </is>
      </c>
      <c r="K128" s="42" t="inlineStr">
        <is>
          <t>HDFC Securities</t>
        </is>
      </c>
      <c r="L128" s="18" t="n">
        <v>0.97</v>
      </c>
      <c r="M128" s="42" t="inlineStr">
        <is>
          <t>N/A</t>
        </is>
      </c>
    </row>
    <row r="129">
      <c r="A129" s="41" t="n">
        <v>45078</v>
      </c>
      <c r="B129" s="42" t="inlineStr">
        <is>
          <t>NET PI TO HSL SEC A/C 2554606-00602340029427</t>
        </is>
      </c>
      <c r="C129" s="42" t="inlineStr">
        <is>
          <t>0000000415529071</t>
        </is>
      </c>
      <c r="D129" s="41" t="n">
        <v>45078</v>
      </c>
      <c r="E129" s="42" t="n">
        <v>142.41</v>
      </c>
      <c r="F129" s="42" t="n">
        <v>0</v>
      </c>
      <c r="G129" s="42" t="n">
        <v>14877.39</v>
      </c>
      <c r="H129" s="42" t="inlineStr"/>
      <c r="I129" s="42" t="inlineStr"/>
      <c r="J129" s="42" t="inlineStr">
        <is>
          <t>HDFC Securities - Buy</t>
        </is>
      </c>
      <c r="K129" s="42" t="inlineStr">
        <is>
          <t>HDFC Securities</t>
        </is>
      </c>
      <c r="L129" s="18" t="n">
        <v>0.97</v>
      </c>
      <c r="M129" s="42" t="inlineStr">
        <is>
          <t>N/A</t>
        </is>
      </c>
    </row>
    <row r="130">
      <c r="A130" s="54" t="n">
        <v>45078</v>
      </c>
      <c r="B130" s="55" t="inlineStr">
        <is>
          <t>NET PO FROM HSL A/C 2554606-00602340029427</t>
        </is>
      </c>
      <c r="C130" s="55" t="inlineStr">
        <is>
          <t>0000000415550126</t>
        </is>
      </c>
      <c r="D130" s="54" t="n">
        <v>45078</v>
      </c>
      <c r="E130" s="55" t="n">
        <v>0</v>
      </c>
      <c r="F130" s="55" t="n">
        <v>5257.45</v>
      </c>
      <c r="G130" s="55" t="n">
        <v>20134.84</v>
      </c>
      <c r="H130" s="55" t="inlineStr"/>
      <c r="I130" s="55" t="inlineStr"/>
      <c r="J130" s="55" t="inlineStr">
        <is>
          <t>HDFC Securities - Sell</t>
        </is>
      </c>
      <c r="K130" s="55" t="inlineStr">
        <is>
          <t>HDFC Securities</t>
        </is>
      </c>
      <c r="L130" s="18" t="n">
        <v>0.97</v>
      </c>
      <c r="M130" s="55" t="inlineStr">
        <is>
          <t>N/A</t>
        </is>
      </c>
    </row>
    <row r="131">
      <c r="A131" s="54" t="n">
        <v>45078</v>
      </c>
      <c r="B131" s="55" t="inlineStr">
        <is>
          <t>NET PO FROM HSL A/C 2554606-00602340029427</t>
        </is>
      </c>
      <c r="C131" s="55" t="inlineStr">
        <is>
          <t>0000000415651103</t>
        </is>
      </c>
      <c r="D131" s="54" t="n">
        <v>45078</v>
      </c>
      <c r="E131" s="55" t="n">
        <v>0</v>
      </c>
      <c r="F131" s="55" t="n">
        <v>257.66</v>
      </c>
      <c r="G131" s="55" t="n">
        <v>20392.5</v>
      </c>
      <c r="H131" s="55" t="inlineStr"/>
      <c r="I131" s="55" t="inlineStr"/>
      <c r="J131" s="55" t="inlineStr">
        <is>
          <t>HDFC Securities - Sell</t>
        </is>
      </c>
      <c r="K131" s="55" t="inlineStr">
        <is>
          <t>HDFC Securities</t>
        </is>
      </c>
      <c r="L131" s="18" t="n">
        <v>0.97</v>
      </c>
      <c r="M131" s="55" t="inlineStr">
        <is>
          <t>N/A</t>
        </is>
      </c>
    </row>
    <row r="132">
      <c r="A132" s="41" t="n">
        <v>45079</v>
      </c>
      <c r="B132" s="42" t="inlineStr">
        <is>
          <t>NET PI TO HSL SEC A/C 2554606-00602340029427</t>
        </is>
      </c>
      <c r="C132" s="42" t="inlineStr">
        <is>
          <t>0000000415983942</t>
        </is>
      </c>
      <c r="D132" s="41" t="n">
        <v>45079</v>
      </c>
      <c r="E132" s="42" t="n">
        <v>142.53</v>
      </c>
      <c r="F132" s="42" t="n">
        <v>0</v>
      </c>
      <c r="G132" s="42" t="n">
        <v>20249.97</v>
      </c>
      <c r="H132" s="42" t="inlineStr"/>
      <c r="I132" s="42" t="inlineStr"/>
      <c r="J132" s="42" t="inlineStr">
        <is>
          <t>HDFC Securities - Buy</t>
        </is>
      </c>
      <c r="K132" s="42" t="inlineStr">
        <is>
          <t>HDFC Securities</t>
        </is>
      </c>
      <c r="L132" s="18" t="n">
        <v>0.97</v>
      </c>
      <c r="M132" s="42" t="inlineStr">
        <is>
          <t>N/A</t>
        </is>
      </c>
    </row>
    <row r="133">
      <c r="A133" s="54" t="n">
        <v>45079</v>
      </c>
      <c r="B133" s="55" t="inlineStr">
        <is>
          <t>NET PO FROM HSL A/C 2554606-00602340029427</t>
        </is>
      </c>
      <c r="C133" s="55" t="inlineStr">
        <is>
          <t>0000000416105094</t>
        </is>
      </c>
      <c r="D133" s="54" t="n">
        <v>45079</v>
      </c>
      <c r="E133" s="55" t="n">
        <v>0</v>
      </c>
      <c r="F133" s="55" t="n">
        <v>452.8</v>
      </c>
      <c r="G133" s="55" t="n">
        <v>20702.77</v>
      </c>
      <c r="H133" s="55" t="inlineStr"/>
      <c r="I133" s="55" t="inlineStr"/>
      <c r="J133" s="55" t="inlineStr">
        <is>
          <t>HDFC Securities - Sell</t>
        </is>
      </c>
      <c r="K133" s="55" t="inlineStr">
        <is>
          <t>HDFC Securities</t>
        </is>
      </c>
      <c r="L133" s="18" t="n">
        <v>0.97</v>
      </c>
      <c r="M133" s="55" t="inlineStr">
        <is>
          <t>N/A</t>
        </is>
      </c>
    </row>
    <row r="134">
      <c r="A134" s="41" t="n">
        <v>45082</v>
      </c>
      <c r="B134" s="42" t="inlineStr">
        <is>
          <t>NET PI TO HSL SEC A/C 2554606-00602340029427</t>
        </is>
      </c>
      <c r="C134" s="42" t="inlineStr">
        <is>
          <t>0000000416522059</t>
        </is>
      </c>
      <c r="D134" s="41" t="n">
        <v>45082</v>
      </c>
      <c r="E134" s="42" t="n">
        <v>428.28</v>
      </c>
      <c r="F134" s="42" t="n">
        <v>0</v>
      </c>
      <c r="G134" s="42" t="n">
        <v>20274.49</v>
      </c>
      <c r="H134" s="42" t="inlineStr"/>
      <c r="I134" s="42" t="inlineStr"/>
      <c r="J134" s="42" t="inlineStr">
        <is>
          <t>HDFC Securities - Buy</t>
        </is>
      </c>
      <c r="K134" s="42" t="inlineStr">
        <is>
          <t>HDFC Securities</t>
        </is>
      </c>
      <c r="L134" s="18" t="n">
        <v>0.97</v>
      </c>
      <c r="M134" s="42" t="inlineStr">
        <is>
          <t>N/A</t>
        </is>
      </c>
    </row>
    <row r="135">
      <c r="A135" s="54" t="n">
        <v>45082</v>
      </c>
      <c r="B135" s="55" t="inlineStr">
        <is>
          <t>NET PO FROM HSL A/C 2554606-00602340029427</t>
        </is>
      </c>
      <c r="C135" s="55" t="inlineStr">
        <is>
          <t>0000000416646298</t>
        </is>
      </c>
      <c r="D135" s="54" t="n">
        <v>45082</v>
      </c>
      <c r="E135" s="55" t="n">
        <v>0</v>
      </c>
      <c r="F135" s="55" t="n">
        <v>252.98</v>
      </c>
      <c r="G135" s="55" t="n">
        <v>20527.47</v>
      </c>
      <c r="H135" s="55" t="inlineStr"/>
      <c r="I135" s="55" t="inlineStr"/>
      <c r="J135" s="55" t="inlineStr">
        <is>
          <t>HDFC Securities - Sell</t>
        </is>
      </c>
      <c r="K135" s="55" t="inlineStr">
        <is>
          <t>HDFC Securities</t>
        </is>
      </c>
      <c r="L135" s="18" t="n">
        <v>0.97</v>
      </c>
      <c r="M135" s="55" t="inlineStr">
        <is>
          <t>N/A</t>
        </is>
      </c>
    </row>
    <row r="136">
      <c r="A136" s="41" t="n">
        <v>45082</v>
      </c>
      <c r="B136" s="42" t="inlineStr">
        <is>
          <t>NEFT CR-UTIB0002656-AAYUSH KUMAR GUPTA-AAYUSH KUMAR GUPTA-AXIR231562638106</t>
        </is>
      </c>
      <c r="C136" s="42" t="inlineStr">
        <is>
          <t>AXIR231562638106</t>
        </is>
      </c>
      <c r="D136" s="41" t="n">
        <v>45082</v>
      </c>
      <c r="E136" s="42" t="n">
        <v>0</v>
      </c>
      <c r="F136" s="42" t="n">
        <v>20000</v>
      </c>
      <c r="G136" s="42" t="n">
        <v>40527.47</v>
      </c>
      <c r="H136" s="42" t="inlineStr"/>
      <c r="I136" s="42" t="inlineStr"/>
      <c r="J136" s="42" t="inlineStr">
        <is>
          <t>Contra - Axis</t>
        </is>
      </c>
      <c r="K136" s="42" t="inlineStr">
        <is>
          <t>AXIS</t>
        </is>
      </c>
      <c r="L136" s="18" t="n">
        <v>0.9</v>
      </c>
      <c r="M136" s="42" t="inlineStr">
        <is>
          <t>N/A</t>
        </is>
      </c>
    </row>
    <row r="137">
      <c r="A137" s="41" t="n">
        <v>45083</v>
      </c>
      <c r="B137" s="42" t="inlineStr">
        <is>
          <t>NET PI TO HSL SEC A/C 2554606-00602340029427</t>
        </is>
      </c>
      <c r="C137" s="42" t="inlineStr">
        <is>
          <t>0000000416976129</t>
        </is>
      </c>
      <c r="D137" s="41" t="n">
        <v>45083</v>
      </c>
      <c r="E137" s="42" t="n">
        <v>142.88</v>
      </c>
      <c r="F137" s="42" t="n">
        <v>0</v>
      </c>
      <c r="G137" s="42" t="n">
        <v>40384.59</v>
      </c>
      <c r="H137" s="42" t="inlineStr"/>
      <c r="I137" s="42" t="inlineStr"/>
      <c r="J137" s="42" t="inlineStr">
        <is>
          <t>HDFC Securities - Buy</t>
        </is>
      </c>
      <c r="K137" s="42" t="inlineStr">
        <is>
          <t>HDFC Securities</t>
        </is>
      </c>
      <c r="L137" s="18" t="n">
        <v>0.97</v>
      </c>
      <c r="M137" s="42" t="inlineStr">
        <is>
          <t>N/A</t>
        </is>
      </c>
    </row>
    <row r="138">
      <c r="A138" s="41" t="n">
        <v>45083</v>
      </c>
      <c r="B138" s="42" t="inlineStr">
        <is>
          <t>NET PI TO HSL SEC A/C 2554606-00602340029427</t>
        </is>
      </c>
      <c r="C138" s="42" t="inlineStr">
        <is>
          <t>0000000417110912</t>
        </is>
      </c>
      <c r="D138" s="41" t="n">
        <v>45083</v>
      </c>
      <c r="E138" s="42" t="n">
        <v>529.98</v>
      </c>
      <c r="F138" s="42" t="n">
        <v>0</v>
      </c>
      <c r="G138" s="42" t="n">
        <v>39854.61</v>
      </c>
      <c r="H138" s="42" t="inlineStr"/>
      <c r="I138" s="42" t="inlineStr"/>
      <c r="J138" s="42" t="inlineStr">
        <is>
          <t>HDFC Securities - Buy</t>
        </is>
      </c>
      <c r="K138" s="42" t="inlineStr">
        <is>
          <t>HDFC Securities</t>
        </is>
      </c>
      <c r="L138" s="18" t="n">
        <v>0.97</v>
      </c>
      <c r="M138" s="42" t="inlineStr">
        <is>
          <t>N/A</t>
        </is>
      </c>
    </row>
    <row r="139">
      <c r="A139" s="54" t="n">
        <v>45083</v>
      </c>
      <c r="B139" s="55" t="inlineStr">
        <is>
          <t>NET PO FROM HSL A/C 2554606-00602340029427</t>
        </is>
      </c>
      <c r="C139" s="55" t="inlineStr">
        <is>
          <t>0000000417279713</t>
        </is>
      </c>
      <c r="D139" s="54" t="n">
        <v>45083</v>
      </c>
      <c r="E139" s="55" t="n">
        <v>0</v>
      </c>
      <c r="F139" s="55" t="n">
        <v>9424.639999999999</v>
      </c>
      <c r="G139" s="55" t="n">
        <v>49279.25</v>
      </c>
      <c r="H139" s="55" t="inlineStr"/>
      <c r="I139" s="55" t="inlineStr"/>
      <c r="J139" s="55" t="inlineStr">
        <is>
          <t>HDFC Securities - Sell</t>
        </is>
      </c>
      <c r="K139" s="55" t="inlineStr">
        <is>
          <t>HDFC Securities</t>
        </is>
      </c>
      <c r="L139" s="18" t="n">
        <v>0.97</v>
      </c>
      <c r="M139" s="55" t="inlineStr">
        <is>
          <t>N/A</t>
        </is>
      </c>
    </row>
    <row r="140">
      <c r="A140" s="41" t="n">
        <v>45084</v>
      </c>
      <c r="B140" s="42" t="inlineStr">
        <is>
          <t>NET PI TO HSL SEC A/C 2554606-00602340029427</t>
        </is>
      </c>
      <c r="C140" s="42" t="inlineStr">
        <is>
          <t>0000000417437116</t>
        </is>
      </c>
      <c r="D140" s="41" t="n">
        <v>45084</v>
      </c>
      <c r="E140" s="42" t="n">
        <v>142.62</v>
      </c>
      <c r="F140" s="42" t="n">
        <v>0</v>
      </c>
      <c r="G140" s="42" t="n">
        <v>49136.63</v>
      </c>
      <c r="H140" s="42" t="inlineStr"/>
      <c r="I140" s="42" t="inlineStr"/>
      <c r="J140" s="42" t="inlineStr">
        <is>
          <t>HDFC Securities - Buy</t>
        </is>
      </c>
      <c r="K140" s="42" t="inlineStr">
        <is>
          <t>HDFC Securities</t>
        </is>
      </c>
      <c r="L140" s="18" t="n">
        <v>0.97</v>
      </c>
      <c r="M140" s="42" t="inlineStr">
        <is>
          <t>N/A</t>
        </is>
      </c>
    </row>
    <row r="141">
      <c r="A141" s="23" t="n">
        <v>45084</v>
      </c>
      <c r="B141" s="24" t="inlineStr">
        <is>
          <t>00602300000434-022297043</t>
        </is>
      </c>
      <c r="C141" s="24" t="inlineStr">
        <is>
          <t>0000306073476781</t>
        </is>
      </c>
      <c r="D141" s="23" t="n">
        <v>45084</v>
      </c>
      <c r="E141" s="24" t="n">
        <v>0</v>
      </c>
      <c r="F141" s="24" t="n">
        <v>1880</v>
      </c>
      <c r="G141" s="24" t="n">
        <v>51016.63</v>
      </c>
      <c r="H141" s="24" t="inlineStr"/>
      <c r="I141" s="24" t="inlineStr"/>
      <c r="J141" s="24" t="inlineStr">
        <is>
          <t>What is this?</t>
        </is>
      </c>
      <c r="K141" s="24" t="inlineStr">
        <is>
          <t>Suspense</t>
        </is>
      </c>
      <c r="L141" s="25" t="n">
        <v>0</v>
      </c>
      <c r="M141" s="24" t="inlineStr">
        <is>
          <t>N/A</t>
        </is>
      </c>
    </row>
    <row r="142">
      <c r="A142" s="41" t="n">
        <v>45084</v>
      </c>
      <c r="B142" s="42" t="inlineStr">
        <is>
          <t>NET PI TO HSL SEC A/C 2554606-00602340029427</t>
        </is>
      </c>
      <c r="C142" s="42" t="inlineStr">
        <is>
          <t>0000000417549430</t>
        </is>
      </c>
      <c r="D142" s="41" t="n">
        <v>45084</v>
      </c>
      <c r="E142" s="42" t="n">
        <v>17825.67</v>
      </c>
      <c r="F142" s="42" t="n">
        <v>0</v>
      </c>
      <c r="G142" s="42" t="n">
        <v>33190.96</v>
      </c>
      <c r="H142" s="42" t="inlineStr"/>
      <c r="I142" s="42" t="inlineStr"/>
      <c r="J142" s="42" t="inlineStr">
        <is>
          <t>HDFC Securities - Buy</t>
        </is>
      </c>
      <c r="K142" s="42" t="inlineStr">
        <is>
          <t>HDFC Securities</t>
        </is>
      </c>
      <c r="L142" s="18" t="n">
        <v>0.97</v>
      </c>
      <c r="M142" s="42" t="inlineStr">
        <is>
          <t>N/A</t>
        </is>
      </c>
    </row>
    <row r="143">
      <c r="A143" s="54" t="n">
        <v>45084</v>
      </c>
      <c r="B143" s="55" t="inlineStr">
        <is>
          <t>NET PO FROM HSL A/C 2554606-00602340029427</t>
        </is>
      </c>
      <c r="C143" s="55" t="inlineStr">
        <is>
          <t>0000000417734696</t>
        </is>
      </c>
      <c r="D143" s="54" t="n">
        <v>45084</v>
      </c>
      <c r="E143" s="55" t="n">
        <v>0</v>
      </c>
      <c r="F143" s="55" t="n">
        <v>14433.7</v>
      </c>
      <c r="G143" s="55" t="n">
        <v>47624.66</v>
      </c>
      <c r="H143" s="55" t="inlineStr"/>
      <c r="I143" s="55" t="inlineStr"/>
      <c r="J143" s="55" t="inlineStr">
        <is>
          <t>HDFC Securities - Sell</t>
        </is>
      </c>
      <c r="K143" s="55" t="inlineStr">
        <is>
          <t>HDFC Securities</t>
        </is>
      </c>
      <c r="L143" s="18" t="n">
        <v>0.97</v>
      </c>
      <c r="M143" s="55" t="inlineStr">
        <is>
          <t>N/A</t>
        </is>
      </c>
    </row>
    <row r="144">
      <c r="A144" s="41" t="n">
        <v>45085</v>
      </c>
      <c r="B144" s="42" t="inlineStr">
        <is>
          <t>NET PI TO HSL SEC A/C 2554606-00602340029427</t>
        </is>
      </c>
      <c r="C144" s="42" t="inlineStr">
        <is>
          <t>0000000417901355</t>
        </is>
      </c>
      <c r="D144" s="41" t="n">
        <v>45085</v>
      </c>
      <c r="E144" s="42" t="n">
        <v>133.83</v>
      </c>
      <c r="F144" s="42" t="n">
        <v>0</v>
      </c>
      <c r="G144" s="42" t="n">
        <v>47490.83</v>
      </c>
      <c r="H144" s="42" t="inlineStr"/>
      <c r="I144" s="42" t="inlineStr"/>
      <c r="J144" s="42" t="inlineStr">
        <is>
          <t>HDFC Securities - Buy</t>
        </is>
      </c>
      <c r="K144" s="42" t="inlineStr">
        <is>
          <t>HDFC Securities</t>
        </is>
      </c>
      <c r="L144" s="18" t="n">
        <v>0.97</v>
      </c>
      <c r="M144" s="42" t="inlineStr">
        <is>
          <t>N/A</t>
        </is>
      </c>
    </row>
    <row r="145">
      <c r="A145" s="54" t="n">
        <v>45085</v>
      </c>
      <c r="B145" s="55" t="inlineStr">
        <is>
          <t>NET PO FROM HSL A/C 2554606-00602340029427</t>
        </is>
      </c>
      <c r="C145" s="55" t="inlineStr">
        <is>
          <t>0000000418046757</t>
        </is>
      </c>
      <c r="D145" s="54" t="n">
        <v>45085</v>
      </c>
      <c r="E145" s="55" t="n">
        <v>0</v>
      </c>
      <c r="F145" s="55" t="n">
        <v>1130.33</v>
      </c>
      <c r="G145" s="55" t="n">
        <v>48621.16</v>
      </c>
      <c r="H145" s="55" t="inlineStr"/>
      <c r="I145" s="55" t="inlineStr"/>
      <c r="J145" s="55" t="inlineStr">
        <is>
          <t>HDFC Securities - Sell</t>
        </is>
      </c>
      <c r="K145" s="55" t="inlineStr">
        <is>
          <t>HDFC Securities</t>
        </is>
      </c>
      <c r="L145" s="18" t="n">
        <v>0.97</v>
      </c>
      <c r="M145" s="55" t="inlineStr">
        <is>
          <t>N/A</t>
        </is>
      </c>
    </row>
    <row r="146">
      <c r="A146" s="41" t="n">
        <v>45086</v>
      </c>
      <c r="B146" s="42" t="inlineStr">
        <is>
          <t>NET PI TO HSL SEC A/C 2554606-00602340029427</t>
        </is>
      </c>
      <c r="C146" s="42" t="inlineStr">
        <is>
          <t>0000000418359988</t>
        </is>
      </c>
      <c r="D146" s="41" t="n">
        <v>45086</v>
      </c>
      <c r="E146" s="42" t="n">
        <v>134.39</v>
      </c>
      <c r="F146" s="42" t="n">
        <v>0</v>
      </c>
      <c r="G146" s="42" t="n">
        <v>48486.77</v>
      </c>
      <c r="H146" s="42" t="inlineStr"/>
      <c r="I146" s="42" t="inlineStr"/>
      <c r="J146" s="42" t="inlineStr">
        <is>
          <t>HDFC Securities - Buy</t>
        </is>
      </c>
      <c r="K146" s="42" t="inlineStr">
        <is>
          <t>HDFC Securities</t>
        </is>
      </c>
      <c r="L146" s="18" t="n">
        <v>0.97</v>
      </c>
      <c r="M146" s="42" t="inlineStr">
        <is>
          <t>N/A</t>
        </is>
      </c>
    </row>
    <row r="147">
      <c r="A147" s="26" t="n">
        <v>45086</v>
      </c>
      <c r="B147" s="27" t="inlineStr">
        <is>
          <t>01671000085930-TPT-MONY RTRN TO AAYUSH-AJAY KUMAR GUPTA</t>
        </is>
      </c>
      <c r="C147" s="27" t="inlineStr">
        <is>
          <t>0000000214609310</t>
        </is>
      </c>
      <c r="D147" s="26" t="n">
        <v>45086</v>
      </c>
      <c r="E147" s="27" t="n">
        <v>0</v>
      </c>
      <c r="F147" s="27" t="n">
        <v>20000</v>
      </c>
      <c r="G147" s="27" t="n">
        <v>68486.77</v>
      </c>
      <c r="H147" s="27" t="inlineStr"/>
      <c r="I147" s="27" t="inlineStr"/>
      <c r="J147" s="27" t="inlineStr">
        <is>
          <t>Received - Ajay Gupta</t>
        </is>
      </c>
      <c r="K147" s="27" t="inlineStr">
        <is>
          <t>Ajay Gupta</t>
        </is>
      </c>
      <c r="L147" s="18" t="n">
        <v>0.88</v>
      </c>
      <c r="M147" s="27" t="inlineStr">
        <is>
          <t>N/A</t>
        </is>
      </c>
    </row>
    <row r="148">
      <c r="A148" s="41" t="n">
        <v>45086</v>
      </c>
      <c r="B148" s="42" t="inlineStr">
        <is>
          <t>NET PI TO HSL SEC A/C 2554606-00602340029427</t>
        </is>
      </c>
      <c r="C148" s="42" t="inlineStr">
        <is>
          <t>0000000418491490</t>
        </is>
      </c>
      <c r="D148" s="41" t="n">
        <v>45086</v>
      </c>
      <c r="E148" s="42" t="n">
        <v>1526.13</v>
      </c>
      <c r="F148" s="42" t="n">
        <v>0</v>
      </c>
      <c r="G148" s="42" t="n">
        <v>66960.64</v>
      </c>
      <c r="H148" s="42" t="inlineStr"/>
      <c r="I148" s="42" t="inlineStr"/>
      <c r="J148" s="42" t="inlineStr">
        <is>
          <t>HDFC Securities - Buy</t>
        </is>
      </c>
      <c r="K148" s="42" t="inlineStr">
        <is>
          <t>HDFC Securities</t>
        </is>
      </c>
      <c r="L148" s="18" t="n">
        <v>0.97</v>
      </c>
      <c r="M148" s="42" t="inlineStr">
        <is>
          <t>N/A</t>
        </is>
      </c>
    </row>
    <row r="149">
      <c r="A149" s="58" t="n">
        <v>45089</v>
      </c>
      <c r="B149" s="59" t="inlineStr">
        <is>
          <t>NET PAYIN TO BSE MF A/C -57500000389146- FROM A/C -50100128155413- UCC -2554606-57500000389146</t>
        </is>
      </c>
      <c r="C149" s="59" t="inlineStr">
        <is>
          <t>0000000418790074</t>
        </is>
      </c>
      <c r="D149" s="58" t="n">
        <v>45089</v>
      </c>
      <c r="E149" s="59" t="n">
        <v>3000</v>
      </c>
      <c r="F149" s="59" t="n">
        <v>0</v>
      </c>
      <c r="G149" s="59" t="n">
        <v>63960.64</v>
      </c>
      <c r="H149" s="59" t="inlineStr"/>
      <c r="I149" s="59" t="inlineStr"/>
      <c r="J149" s="59" t="inlineStr">
        <is>
          <t>MF Investment</t>
        </is>
      </c>
      <c r="K149" s="59" t="inlineStr">
        <is>
          <t>Investments</t>
        </is>
      </c>
      <c r="L149" s="18" t="n">
        <v>0.9</v>
      </c>
      <c r="M149" s="59" t="inlineStr">
        <is>
          <t>N/A</t>
        </is>
      </c>
    </row>
    <row r="150">
      <c r="A150" s="41" t="n">
        <v>45089</v>
      </c>
      <c r="B150" s="42" t="inlineStr">
        <is>
          <t>NET PI TO HSL SEC A/C 2554606-00602340029427</t>
        </is>
      </c>
      <c r="C150" s="42" t="inlineStr">
        <is>
          <t>0000000418896963</t>
        </is>
      </c>
      <c r="D150" s="41" t="n">
        <v>45089</v>
      </c>
      <c r="E150" s="42" t="n">
        <v>400.92</v>
      </c>
      <c r="F150" s="42" t="n">
        <v>0</v>
      </c>
      <c r="G150" s="42" t="n">
        <v>63559.72</v>
      </c>
      <c r="H150" s="42" t="inlineStr"/>
      <c r="I150" s="42" t="inlineStr"/>
      <c r="J150" s="42" t="inlineStr">
        <is>
          <t>HDFC Securities - Buy</t>
        </is>
      </c>
      <c r="K150" s="42" t="inlineStr">
        <is>
          <t>HDFC Securities</t>
        </is>
      </c>
      <c r="L150" s="18" t="n">
        <v>0.97</v>
      </c>
      <c r="M150" s="42" t="inlineStr">
        <is>
          <t>N/A</t>
        </is>
      </c>
    </row>
    <row r="151">
      <c r="A151" s="41" t="n">
        <v>45089</v>
      </c>
      <c r="B151" s="42" t="inlineStr">
        <is>
          <t>NET PI TO HSL SEC A/C 2554606-00602340029427</t>
        </is>
      </c>
      <c r="C151" s="42" t="inlineStr">
        <is>
          <t>0000000418991770</t>
        </is>
      </c>
      <c r="D151" s="41" t="n">
        <v>45089</v>
      </c>
      <c r="E151" s="42" t="n">
        <v>8675.139999999999</v>
      </c>
      <c r="F151" s="42" t="n">
        <v>0</v>
      </c>
      <c r="G151" s="42" t="n">
        <v>54884.58</v>
      </c>
      <c r="H151" s="42" t="inlineStr"/>
      <c r="I151" s="42" t="inlineStr"/>
      <c r="J151" s="42" t="inlineStr">
        <is>
          <t>HDFC Securities - Buy</t>
        </is>
      </c>
      <c r="K151" s="42" t="inlineStr">
        <is>
          <t>HDFC Securities</t>
        </is>
      </c>
      <c r="L151" s="18" t="n">
        <v>0.97</v>
      </c>
      <c r="M151" s="42" t="inlineStr">
        <is>
          <t>N/A</t>
        </is>
      </c>
    </row>
    <row r="152">
      <c r="A152" s="41" t="n">
        <v>45089</v>
      </c>
      <c r="B152" s="42" t="inlineStr">
        <is>
          <t>NET PI TO HSL SEC A/C 2554606-00602340029427</t>
        </is>
      </c>
      <c r="C152" s="42" t="inlineStr">
        <is>
          <t>0000000419041445</t>
        </is>
      </c>
      <c r="D152" s="41" t="n">
        <v>45089</v>
      </c>
      <c r="E152" s="42" t="n">
        <v>2305.65</v>
      </c>
      <c r="F152" s="42" t="n">
        <v>0</v>
      </c>
      <c r="G152" s="42" t="n">
        <v>52578.93</v>
      </c>
      <c r="H152" s="42" t="inlineStr"/>
      <c r="I152" s="42" t="inlineStr"/>
      <c r="J152" s="42" t="inlineStr">
        <is>
          <t>HDFC Securities - Buy</t>
        </is>
      </c>
      <c r="K152" s="42" t="inlineStr">
        <is>
          <t>HDFC Securities</t>
        </is>
      </c>
      <c r="L152" s="18" t="n">
        <v>0.97</v>
      </c>
      <c r="M152" s="42" t="inlineStr">
        <is>
          <t>N/A</t>
        </is>
      </c>
    </row>
    <row r="153">
      <c r="A153" s="41" t="n">
        <v>45089</v>
      </c>
      <c r="B153" s="42" t="inlineStr">
        <is>
          <t>NET PI TO HSL SEC A/C 2554606-00602340029427</t>
        </is>
      </c>
      <c r="C153" s="42" t="inlineStr">
        <is>
          <t>0000000419170959</t>
        </is>
      </c>
      <c r="D153" s="41" t="n">
        <v>45089</v>
      </c>
      <c r="E153" s="42" t="n">
        <v>135.62</v>
      </c>
      <c r="F153" s="42" t="n">
        <v>0</v>
      </c>
      <c r="G153" s="42" t="n">
        <v>52443.31</v>
      </c>
      <c r="H153" s="42" t="inlineStr"/>
      <c r="I153" s="42" t="inlineStr"/>
      <c r="J153" s="42" t="inlineStr">
        <is>
          <t>HDFC Securities - Buy</t>
        </is>
      </c>
      <c r="K153" s="42" t="inlineStr">
        <is>
          <t>HDFC Securities</t>
        </is>
      </c>
      <c r="L153" s="18" t="n">
        <v>0.97</v>
      </c>
      <c r="M153" s="42" t="inlineStr">
        <is>
          <t>N/A</t>
        </is>
      </c>
    </row>
    <row r="154">
      <c r="A154" s="54" t="n">
        <v>45089</v>
      </c>
      <c r="B154" s="55" t="inlineStr">
        <is>
          <t>NET PO FROM HSL A/C 2554606-00602340029427</t>
        </is>
      </c>
      <c r="C154" s="55" t="inlineStr">
        <is>
          <t>0000000419236744</t>
        </is>
      </c>
      <c r="D154" s="54" t="n">
        <v>45089</v>
      </c>
      <c r="E154" s="55" t="n">
        <v>0</v>
      </c>
      <c r="F154" s="55" t="n">
        <v>135.62</v>
      </c>
      <c r="G154" s="55" t="n">
        <v>52578.93</v>
      </c>
      <c r="H154" s="55" t="inlineStr"/>
      <c r="I154" s="55" t="inlineStr"/>
      <c r="J154" s="55" t="inlineStr">
        <is>
          <t>HDFC Securities - Sell</t>
        </is>
      </c>
      <c r="K154" s="55" t="inlineStr">
        <is>
          <t>HDFC Securities</t>
        </is>
      </c>
      <c r="L154" s="18" t="n">
        <v>0.97</v>
      </c>
      <c r="M154" s="55" t="inlineStr">
        <is>
          <t>N/A</t>
        </is>
      </c>
    </row>
    <row r="155">
      <c r="A155" s="41" t="n">
        <v>45090</v>
      </c>
      <c r="B155" s="42" t="inlineStr">
        <is>
          <t>NET PI TO HSL SEC A/C 2554606-00602340029427</t>
        </is>
      </c>
      <c r="C155" s="42" t="inlineStr">
        <is>
          <t>0000000419424391</t>
        </is>
      </c>
      <c r="D155" s="41" t="n">
        <v>45090</v>
      </c>
      <c r="E155" s="42" t="n">
        <v>132.5</v>
      </c>
      <c r="F155" s="42" t="n">
        <v>0</v>
      </c>
      <c r="G155" s="42" t="n">
        <v>52446.43</v>
      </c>
      <c r="H155" s="42" t="inlineStr"/>
      <c r="I155" s="42" t="inlineStr"/>
      <c r="J155" s="42" t="inlineStr">
        <is>
          <t>HDFC Securities - Buy</t>
        </is>
      </c>
      <c r="K155" s="42" t="inlineStr">
        <is>
          <t>HDFC Securities</t>
        </is>
      </c>
      <c r="L155" s="18" t="n">
        <v>0.97</v>
      </c>
      <c r="M155" s="42" t="inlineStr">
        <is>
          <t>N/A</t>
        </is>
      </c>
    </row>
    <row r="156">
      <c r="A156" s="54" t="n">
        <v>45090</v>
      </c>
      <c r="B156" s="55" t="inlineStr">
        <is>
          <t>NET PO FROM HSL A/C 2554606-00602340029427</t>
        </is>
      </c>
      <c r="C156" s="55" t="inlineStr">
        <is>
          <t>0000000419531895</t>
        </is>
      </c>
      <c r="D156" s="54" t="n">
        <v>45090</v>
      </c>
      <c r="E156" s="55" t="n">
        <v>0</v>
      </c>
      <c r="F156" s="55" t="n">
        <v>538.99</v>
      </c>
      <c r="G156" s="55" t="n">
        <v>52985.42</v>
      </c>
      <c r="H156" s="55" t="inlineStr"/>
      <c r="I156" s="55" t="inlineStr"/>
      <c r="J156" s="55" t="inlineStr">
        <is>
          <t>HDFC Securities - Sell</t>
        </is>
      </c>
      <c r="K156" s="55" t="inlineStr">
        <is>
          <t>HDFC Securities</t>
        </is>
      </c>
      <c r="L156" s="18" t="n">
        <v>0.97</v>
      </c>
      <c r="M156" s="55" t="inlineStr">
        <is>
          <t>N/A</t>
        </is>
      </c>
    </row>
    <row r="157">
      <c r="A157" s="41" t="n">
        <v>45091</v>
      </c>
      <c r="B157" s="42" t="inlineStr">
        <is>
          <t>NET PI TO HSL SEC A/C 2554606-00602340029427</t>
        </is>
      </c>
      <c r="C157" s="42" t="inlineStr">
        <is>
          <t>0000000419852792</t>
        </is>
      </c>
      <c r="D157" s="41" t="n">
        <v>45091</v>
      </c>
      <c r="E157" s="42" t="n">
        <v>137.7</v>
      </c>
      <c r="F157" s="42" t="n">
        <v>0</v>
      </c>
      <c r="G157" s="42" t="n">
        <v>52847.72</v>
      </c>
      <c r="H157" s="42" t="inlineStr"/>
      <c r="I157" s="42" t="inlineStr"/>
      <c r="J157" s="42" t="inlineStr">
        <is>
          <t>HDFC Securities - Buy</t>
        </is>
      </c>
      <c r="K157" s="42" t="inlineStr">
        <is>
          <t>HDFC Securities</t>
        </is>
      </c>
      <c r="L157" s="18" t="n">
        <v>0.97</v>
      </c>
      <c r="M157" s="42" t="inlineStr">
        <is>
          <t>N/A</t>
        </is>
      </c>
    </row>
    <row r="158">
      <c r="A158" s="58" t="n">
        <v>45091</v>
      </c>
      <c r="B158" s="59" t="inlineStr">
        <is>
          <t>NET PAYIN TO NSE MF A/C -00990610005906- FROM A/C -50100128155413- UCC -2554606-00990610005906</t>
        </is>
      </c>
      <c r="C158" s="59" t="inlineStr">
        <is>
          <t>0000000419889782</t>
        </is>
      </c>
      <c r="D158" s="58" t="n">
        <v>45091</v>
      </c>
      <c r="E158" s="59" t="n">
        <v>3000</v>
      </c>
      <c r="F158" s="59" t="n">
        <v>0</v>
      </c>
      <c r="G158" s="59" t="n">
        <v>49847.72</v>
      </c>
      <c r="H158" s="59" t="inlineStr"/>
      <c r="I158" s="59" t="inlineStr"/>
      <c r="J158" s="59" t="inlineStr">
        <is>
          <t>MF Investment</t>
        </is>
      </c>
      <c r="K158" s="59" t="inlineStr">
        <is>
          <t>Investments</t>
        </is>
      </c>
      <c r="L158" s="18" t="n">
        <v>0.9</v>
      </c>
      <c r="M158" s="59" t="inlineStr">
        <is>
          <t>N/A</t>
        </is>
      </c>
    </row>
    <row r="159">
      <c r="A159" s="64" t="n">
        <v>45091</v>
      </c>
      <c r="B159" s="65" t="inlineStr">
        <is>
          <t>ACH C- STATE BANK OF INDIA-2207855</t>
        </is>
      </c>
      <c r="C159" s="65" t="inlineStr">
        <is>
          <t>0000002499156184</t>
        </is>
      </c>
      <c r="D159" s="64" t="n">
        <v>45091</v>
      </c>
      <c r="E159" s="65" t="n">
        <v>0</v>
      </c>
      <c r="F159" s="65" t="n">
        <v>282.5</v>
      </c>
      <c r="G159" s="65" t="n">
        <v>50130.22</v>
      </c>
      <c r="H159" s="65" t="inlineStr"/>
      <c r="I159" s="65" t="inlineStr"/>
      <c r="J159" s="65" t="inlineStr">
        <is>
          <t>Dividend Income</t>
        </is>
      </c>
      <c r="K159" s="65" t="inlineStr">
        <is>
          <t>Dividend Income</t>
        </is>
      </c>
      <c r="L159" s="18" t="n">
        <v>0.88</v>
      </c>
      <c r="M159" s="65" t="inlineStr">
        <is>
          <t>N/A</t>
        </is>
      </c>
    </row>
    <row r="160">
      <c r="A160" s="41" t="n">
        <v>45091</v>
      </c>
      <c r="B160" s="42" t="inlineStr">
        <is>
          <t>NET PI TO HSL SEC A/C 2554606-00602340029427</t>
        </is>
      </c>
      <c r="C160" s="42" t="inlineStr">
        <is>
          <t>0000000419984100</t>
        </is>
      </c>
      <c r="D160" s="41" t="n">
        <v>45091</v>
      </c>
      <c r="E160" s="42" t="n">
        <v>521.11</v>
      </c>
      <c r="F160" s="42" t="n">
        <v>0</v>
      </c>
      <c r="G160" s="42" t="n">
        <v>49609.11</v>
      </c>
      <c r="H160" s="42" t="inlineStr"/>
      <c r="I160" s="42" t="inlineStr"/>
      <c r="J160" s="42" t="inlineStr">
        <is>
          <t>HDFC Securities - Buy</t>
        </is>
      </c>
      <c r="K160" s="42" t="inlineStr">
        <is>
          <t>HDFC Securities</t>
        </is>
      </c>
      <c r="L160" s="18" t="n">
        <v>0.97</v>
      </c>
      <c r="M160" s="42" t="inlineStr">
        <is>
          <t>N/A</t>
        </is>
      </c>
    </row>
    <row r="161">
      <c r="A161" s="41" t="n">
        <v>45091</v>
      </c>
      <c r="B161" s="42" t="inlineStr">
        <is>
          <t>NET PI TO HSL SEC A/C 2554606-00602340029427</t>
        </is>
      </c>
      <c r="C161" s="42" t="inlineStr">
        <is>
          <t>0000000420105853</t>
        </is>
      </c>
      <c r="D161" s="41" t="n">
        <v>45091</v>
      </c>
      <c r="E161" s="42" t="n">
        <v>265.45</v>
      </c>
      <c r="F161" s="42" t="n">
        <v>0</v>
      </c>
      <c r="G161" s="42" t="n">
        <v>49343.66</v>
      </c>
      <c r="H161" s="42" t="inlineStr"/>
      <c r="I161" s="42" t="inlineStr"/>
      <c r="J161" s="42" t="inlineStr">
        <is>
          <t>HDFC Securities - Buy</t>
        </is>
      </c>
      <c r="K161" s="42" t="inlineStr">
        <is>
          <t>HDFC Securities</t>
        </is>
      </c>
      <c r="L161" s="18" t="n">
        <v>0.97</v>
      </c>
      <c r="M161" s="42" t="inlineStr">
        <is>
          <t>N/A</t>
        </is>
      </c>
    </row>
    <row r="162">
      <c r="A162" s="54" t="n">
        <v>45092</v>
      </c>
      <c r="B162" s="55" t="inlineStr">
        <is>
          <t>NET PO FROM HSL A/C 2554606-00602340029427</t>
        </is>
      </c>
      <c r="C162" s="55" t="inlineStr">
        <is>
          <t>0000000420164098</t>
        </is>
      </c>
      <c r="D162" s="54" t="n">
        <v>45091</v>
      </c>
      <c r="E162" s="55" t="n">
        <v>0</v>
      </c>
      <c r="F162" s="55" t="n">
        <v>265.45</v>
      </c>
      <c r="G162" s="55" t="n">
        <v>49609.11</v>
      </c>
      <c r="H162" s="55" t="inlineStr"/>
      <c r="I162" s="55" t="inlineStr"/>
      <c r="J162" s="55" t="inlineStr">
        <is>
          <t>HDFC Securities - Sell</t>
        </is>
      </c>
      <c r="K162" s="55" t="inlineStr">
        <is>
          <t>HDFC Securities</t>
        </is>
      </c>
      <c r="L162" s="18" t="n">
        <v>0.97</v>
      </c>
      <c r="M162" s="55" t="inlineStr">
        <is>
          <t>N/A</t>
        </is>
      </c>
    </row>
    <row r="163">
      <c r="A163" s="58" t="n">
        <v>45092</v>
      </c>
      <c r="B163" s="59" t="inlineStr">
        <is>
          <t>NET PAYIN TO BSE MF A/C -57500000389146- FROM A/C -50100128155413- UCC -2554606-57500000389146</t>
        </is>
      </c>
      <c r="C163" s="59" t="inlineStr">
        <is>
          <t>0000000420276841</t>
        </is>
      </c>
      <c r="D163" s="58" t="n">
        <v>45092</v>
      </c>
      <c r="E163" s="59" t="n">
        <v>2500</v>
      </c>
      <c r="F163" s="59" t="n">
        <v>0</v>
      </c>
      <c r="G163" s="59" t="n">
        <v>47109.11</v>
      </c>
      <c r="H163" s="59" t="inlineStr"/>
      <c r="I163" s="59" t="inlineStr"/>
      <c r="J163" s="59" t="inlineStr">
        <is>
          <t>MF Investment</t>
        </is>
      </c>
      <c r="K163" s="59" t="inlineStr">
        <is>
          <t>Investments</t>
        </is>
      </c>
      <c r="L163" s="18" t="n">
        <v>0.9</v>
      </c>
      <c r="M163" s="59" t="inlineStr">
        <is>
          <t>N/A</t>
        </is>
      </c>
    </row>
    <row r="164">
      <c r="A164" s="41" t="n">
        <v>45092</v>
      </c>
      <c r="B164" s="42" t="inlineStr">
        <is>
          <t>NET PI TO HSL SEC A/C 2554606-00602340029427</t>
        </is>
      </c>
      <c r="C164" s="42" t="inlineStr">
        <is>
          <t>0000000420337299</t>
        </is>
      </c>
      <c r="D164" s="41" t="n">
        <v>45092</v>
      </c>
      <c r="E164" s="42" t="n">
        <v>137.44</v>
      </c>
      <c r="F164" s="42" t="n">
        <v>0</v>
      </c>
      <c r="G164" s="42" t="n">
        <v>46971.67</v>
      </c>
      <c r="H164" s="42" t="inlineStr"/>
      <c r="I164" s="42" t="inlineStr"/>
      <c r="J164" s="42" t="inlineStr">
        <is>
          <t>HDFC Securities - Buy</t>
        </is>
      </c>
      <c r="K164" s="42" t="inlineStr">
        <is>
          <t>HDFC Securities</t>
        </is>
      </c>
      <c r="L164" s="18" t="n">
        <v>0.97</v>
      </c>
      <c r="M164" s="42" t="inlineStr">
        <is>
          <t>N/A</t>
        </is>
      </c>
    </row>
    <row r="165">
      <c r="A165" s="41" t="n">
        <v>45092</v>
      </c>
      <c r="B165" s="42" t="inlineStr">
        <is>
          <t>NET PI TO HSL SEC A/C 2554606-00602340029427</t>
        </is>
      </c>
      <c r="C165" s="42" t="inlineStr">
        <is>
          <t>0000000420483220</t>
        </is>
      </c>
      <c r="D165" s="41" t="n">
        <v>45092</v>
      </c>
      <c r="E165" s="42" t="n">
        <v>1804.9</v>
      </c>
      <c r="F165" s="42" t="n">
        <v>0</v>
      </c>
      <c r="G165" s="42" t="n">
        <v>45166.77</v>
      </c>
      <c r="H165" s="42" t="inlineStr"/>
      <c r="I165" s="42" t="inlineStr"/>
      <c r="J165" s="42" t="inlineStr">
        <is>
          <t>HDFC Securities - Buy</t>
        </is>
      </c>
      <c r="K165" s="42" t="inlineStr">
        <is>
          <t>HDFC Securities</t>
        </is>
      </c>
      <c r="L165" s="18" t="n">
        <v>0.97</v>
      </c>
      <c r="M165" s="42" t="inlineStr">
        <is>
          <t>N/A</t>
        </is>
      </c>
    </row>
    <row r="166">
      <c r="A166" s="56" t="n">
        <v>45093</v>
      </c>
      <c r="B166" s="57" t="inlineStr">
        <is>
          <t>DEPOSITORY CHARGES MAY23 - 52812428</t>
        </is>
      </c>
      <c r="C166" s="57" t="inlineStr">
        <is>
          <t>000000000000000</t>
        </is>
      </c>
      <c r="D166" s="56" t="n">
        <v>45093</v>
      </c>
      <c r="E166" s="57" t="n">
        <v>495.6</v>
      </c>
      <c r="F166" s="57" t="n">
        <v>0</v>
      </c>
      <c r="G166" s="57" t="n">
        <v>44671.17</v>
      </c>
      <c r="H166" s="57" t="inlineStr"/>
      <c r="I166" s="57" t="inlineStr"/>
      <c r="J166" s="57" t="inlineStr">
        <is>
          <t>Depository Charges</t>
        </is>
      </c>
      <c r="K166" s="57" t="inlineStr">
        <is>
          <t>Depository Charges</t>
        </is>
      </c>
      <c r="L166" s="18" t="n">
        <v>0.93</v>
      </c>
      <c r="M166" s="57" t="inlineStr">
        <is>
          <t>N/A</t>
        </is>
      </c>
    </row>
    <row r="167">
      <c r="A167" s="41" t="n">
        <v>45093</v>
      </c>
      <c r="B167" s="42" t="inlineStr">
        <is>
          <t>NET PI TO HSL SEC A/C 2554606-00602340029427</t>
        </is>
      </c>
      <c r="C167" s="42" t="inlineStr">
        <is>
          <t>0000000420820818</t>
        </is>
      </c>
      <c r="D167" s="41" t="n">
        <v>45093</v>
      </c>
      <c r="E167" s="42" t="n">
        <v>136.55</v>
      </c>
      <c r="F167" s="42" t="n">
        <v>0</v>
      </c>
      <c r="G167" s="42" t="n">
        <v>44534.62</v>
      </c>
      <c r="H167" s="42" t="inlineStr"/>
      <c r="I167" s="42" t="inlineStr"/>
      <c r="J167" s="42" t="inlineStr">
        <is>
          <t>HDFC Securities - Buy</t>
        </is>
      </c>
      <c r="K167" s="42" t="inlineStr">
        <is>
          <t>HDFC Securities</t>
        </is>
      </c>
      <c r="L167" s="18" t="n">
        <v>0.97</v>
      </c>
      <c r="M167" s="42" t="inlineStr">
        <is>
          <t>N/A</t>
        </is>
      </c>
    </row>
    <row r="168">
      <c r="A168" s="64" t="n">
        <v>45093</v>
      </c>
      <c r="B168" s="65" t="inlineStr">
        <is>
          <t>ACH C- IIL FINAL 2022 23-114305</t>
        </is>
      </c>
      <c r="C168" s="65" t="inlineStr">
        <is>
          <t>0000002607076453</t>
        </is>
      </c>
      <c r="D168" s="64" t="n">
        <v>45093</v>
      </c>
      <c r="E168" s="65" t="n">
        <v>0</v>
      </c>
      <c r="F168" s="65" t="n">
        <v>100</v>
      </c>
      <c r="G168" s="65" t="n">
        <v>44634.62</v>
      </c>
      <c r="H168" s="65" t="inlineStr"/>
      <c r="I168" s="65" t="inlineStr"/>
      <c r="J168" s="65" t="inlineStr">
        <is>
          <t>Dividend Income</t>
        </is>
      </c>
      <c r="K168" s="65" t="inlineStr">
        <is>
          <t>Dividend Income</t>
        </is>
      </c>
      <c r="L168" s="18" t="n">
        <v>0.88</v>
      </c>
      <c r="M168" s="65" t="inlineStr">
        <is>
          <t>N/A</t>
        </is>
      </c>
    </row>
    <row r="169">
      <c r="A169" s="41" t="n">
        <v>45094</v>
      </c>
      <c r="B169" s="42" t="inlineStr">
        <is>
          <t>NET PI TO HSL SEC A/C 2554606-00602340029427</t>
        </is>
      </c>
      <c r="C169" s="42" t="inlineStr">
        <is>
          <t>0000000420926097</t>
        </is>
      </c>
      <c r="D169" s="41" t="n">
        <v>45094</v>
      </c>
      <c r="E169" s="42" t="n">
        <v>7695.07</v>
      </c>
      <c r="F169" s="42" t="n">
        <v>0</v>
      </c>
      <c r="G169" s="42" t="n">
        <v>36939.55</v>
      </c>
      <c r="H169" s="42" t="inlineStr"/>
      <c r="I169" s="42" t="inlineStr"/>
      <c r="J169" s="42" t="inlineStr">
        <is>
          <t>HDFC Securities - Buy</t>
        </is>
      </c>
      <c r="K169" s="42" t="inlineStr">
        <is>
          <t>HDFC Securities</t>
        </is>
      </c>
      <c r="L169" s="18" t="n">
        <v>0.97</v>
      </c>
      <c r="M169" s="42" t="inlineStr">
        <is>
          <t>N/A</t>
        </is>
      </c>
    </row>
    <row r="170">
      <c r="A170" s="41" t="n">
        <v>45094</v>
      </c>
      <c r="B170" s="42" t="inlineStr">
        <is>
          <t>NET PI TO HSL SEC A/C 2554606-00602340029427</t>
        </is>
      </c>
      <c r="C170" s="42" t="inlineStr">
        <is>
          <t>0000000421070179</t>
        </is>
      </c>
      <c r="D170" s="41" t="n">
        <v>45094</v>
      </c>
      <c r="E170" s="42" t="n">
        <v>2168.38</v>
      </c>
      <c r="F170" s="42" t="n">
        <v>0</v>
      </c>
      <c r="G170" s="42" t="n">
        <v>34771.17</v>
      </c>
      <c r="H170" s="42" t="inlineStr"/>
      <c r="I170" s="42" t="inlineStr"/>
      <c r="J170" s="42" t="inlineStr">
        <is>
          <t>HDFC Securities - Buy</t>
        </is>
      </c>
      <c r="K170" s="42" t="inlineStr">
        <is>
          <t>HDFC Securities</t>
        </is>
      </c>
      <c r="L170" s="18" t="n">
        <v>0.97</v>
      </c>
      <c r="M170" s="42" t="inlineStr">
        <is>
          <t>N/A</t>
        </is>
      </c>
    </row>
    <row r="171">
      <c r="A171" s="54" t="n">
        <v>45094</v>
      </c>
      <c r="B171" s="55" t="inlineStr">
        <is>
          <t>NET PO FROM HSL A/C 2554606-00602340029427</t>
        </is>
      </c>
      <c r="C171" s="55" t="inlineStr">
        <is>
          <t>0000000421113525</t>
        </is>
      </c>
      <c r="D171" s="54" t="n">
        <v>45093</v>
      </c>
      <c r="E171" s="55" t="n">
        <v>0</v>
      </c>
      <c r="F171" s="55" t="n">
        <v>2168.38</v>
      </c>
      <c r="G171" s="55" t="n">
        <v>36939.55</v>
      </c>
      <c r="H171" s="55" t="inlineStr"/>
      <c r="I171" s="55" t="inlineStr"/>
      <c r="J171" s="55" t="inlineStr">
        <is>
          <t>HDFC Securities - Sell</t>
        </is>
      </c>
      <c r="K171" s="55" t="inlineStr">
        <is>
          <t>HDFC Securities</t>
        </is>
      </c>
      <c r="L171" s="18" t="n">
        <v>0.97</v>
      </c>
      <c r="M171" s="55" t="inlineStr">
        <is>
          <t>N/A</t>
        </is>
      </c>
    </row>
    <row r="172">
      <c r="A172" s="41" t="n">
        <v>45096</v>
      </c>
      <c r="B172" s="42" t="inlineStr">
        <is>
          <t>NET PI TO HSL SEC A/C 2554606-00602340029427</t>
        </is>
      </c>
      <c r="C172" s="42" t="inlineStr">
        <is>
          <t>0000000421307767</t>
        </is>
      </c>
      <c r="D172" s="41" t="n">
        <v>45096</v>
      </c>
      <c r="E172" s="42" t="n">
        <v>398.25</v>
      </c>
      <c r="F172" s="42" t="n">
        <v>0</v>
      </c>
      <c r="G172" s="42" t="n">
        <v>36541.3</v>
      </c>
      <c r="H172" s="42" t="inlineStr"/>
      <c r="I172" s="42" t="inlineStr"/>
      <c r="J172" s="42" t="inlineStr">
        <is>
          <t>HDFC Securities - Buy</t>
        </is>
      </c>
      <c r="K172" s="42" t="inlineStr">
        <is>
          <t>HDFC Securities</t>
        </is>
      </c>
      <c r="L172" s="18" t="n">
        <v>0.97</v>
      </c>
      <c r="M172" s="42" t="inlineStr">
        <is>
          <t>N/A</t>
        </is>
      </c>
    </row>
    <row r="173">
      <c r="A173" s="41" t="n">
        <v>45096</v>
      </c>
      <c r="B173" s="42" t="inlineStr">
        <is>
          <t>NET PI TO HSL SEC A/C 2554606-00602340029427</t>
        </is>
      </c>
      <c r="C173" s="42" t="inlineStr">
        <is>
          <t>0000000421447083</t>
        </is>
      </c>
      <c r="D173" s="41" t="n">
        <v>45096</v>
      </c>
      <c r="E173" s="42" t="n">
        <v>2160.91</v>
      </c>
      <c r="F173" s="42" t="n">
        <v>0</v>
      </c>
      <c r="G173" s="42" t="n">
        <v>34380.39</v>
      </c>
      <c r="H173" s="42" t="inlineStr"/>
      <c r="I173" s="42" t="inlineStr"/>
      <c r="J173" s="42" t="inlineStr">
        <is>
          <t>HDFC Securities - Buy</t>
        </is>
      </c>
      <c r="K173" s="42" t="inlineStr">
        <is>
          <t>HDFC Securities</t>
        </is>
      </c>
      <c r="L173" s="18" t="n">
        <v>0.97</v>
      </c>
      <c r="M173" s="42" t="inlineStr">
        <is>
          <t>N/A</t>
        </is>
      </c>
    </row>
    <row r="174">
      <c r="A174" s="41" t="n">
        <v>45096</v>
      </c>
      <c r="B174" s="42" t="inlineStr">
        <is>
          <t>NET PI TO HSL SEC A/C 2554606-00602340029427</t>
        </is>
      </c>
      <c r="C174" s="42" t="inlineStr">
        <is>
          <t>0000000421582307</t>
        </is>
      </c>
      <c r="D174" s="41" t="n">
        <v>45096</v>
      </c>
      <c r="E174" s="42" t="n">
        <v>635.09</v>
      </c>
      <c r="F174" s="42" t="n">
        <v>0</v>
      </c>
      <c r="G174" s="42" t="n">
        <v>33745.3</v>
      </c>
      <c r="H174" s="42" t="inlineStr"/>
      <c r="I174" s="42" t="inlineStr"/>
      <c r="J174" s="42" t="inlineStr">
        <is>
          <t>HDFC Securities - Buy</t>
        </is>
      </c>
      <c r="K174" s="42" t="inlineStr">
        <is>
          <t>HDFC Securities</t>
        </is>
      </c>
      <c r="L174" s="18" t="n">
        <v>0.97</v>
      </c>
      <c r="M174" s="42" t="inlineStr">
        <is>
          <t>N/A</t>
        </is>
      </c>
    </row>
    <row r="175">
      <c r="A175" s="54" t="n">
        <v>45096</v>
      </c>
      <c r="B175" s="55" t="inlineStr">
        <is>
          <t>NET PO FROM HSL A/C 2554606-00602340029427</t>
        </is>
      </c>
      <c r="C175" s="55" t="inlineStr">
        <is>
          <t>0000000421631189</t>
        </is>
      </c>
      <c r="D175" s="54" t="n">
        <v>45096</v>
      </c>
      <c r="E175" s="55" t="n">
        <v>0</v>
      </c>
      <c r="F175" s="55" t="n">
        <v>635.09</v>
      </c>
      <c r="G175" s="55" t="n">
        <v>34380.39</v>
      </c>
      <c r="H175" s="55" t="inlineStr"/>
      <c r="I175" s="55" t="inlineStr"/>
      <c r="J175" s="55" t="inlineStr">
        <is>
          <t>HDFC Securities - Sell</t>
        </is>
      </c>
      <c r="K175" s="55" t="inlineStr">
        <is>
          <t>HDFC Securities</t>
        </is>
      </c>
      <c r="L175" s="18" t="n">
        <v>0.97</v>
      </c>
      <c r="M175" s="55" t="inlineStr">
        <is>
          <t>N/A</t>
        </is>
      </c>
    </row>
    <row r="176">
      <c r="A176" s="41" t="n">
        <v>45097</v>
      </c>
      <c r="B176" s="42" t="inlineStr">
        <is>
          <t>NET PI TO HSL SEC A/C 2554606-00602340029427</t>
        </is>
      </c>
      <c r="C176" s="42" t="inlineStr">
        <is>
          <t>0000000421823505</t>
        </is>
      </c>
      <c r="D176" s="41" t="n">
        <v>45097</v>
      </c>
      <c r="E176" s="42" t="n">
        <v>136.41</v>
      </c>
      <c r="F176" s="42" t="n">
        <v>0</v>
      </c>
      <c r="G176" s="42" t="n">
        <v>34243.98</v>
      </c>
      <c r="H176" s="42" t="inlineStr"/>
      <c r="I176" s="42" t="inlineStr"/>
      <c r="J176" s="42" t="inlineStr">
        <is>
          <t>HDFC Securities - Buy</t>
        </is>
      </c>
      <c r="K176" s="42" t="inlineStr">
        <is>
          <t>HDFC Securities</t>
        </is>
      </c>
      <c r="L176" s="18" t="n">
        <v>0.97</v>
      </c>
      <c r="M176" s="42" t="inlineStr">
        <is>
          <t>N/A</t>
        </is>
      </c>
    </row>
    <row r="177">
      <c r="A177" s="41" t="n">
        <v>45097</v>
      </c>
      <c r="B177" s="42" t="inlineStr">
        <is>
          <t>NET PI TO HSL SEC A/C 2554606-00602340029427</t>
        </is>
      </c>
      <c r="C177" s="42" t="inlineStr">
        <is>
          <t>0000000421926470</t>
        </is>
      </c>
      <c r="D177" s="41" t="n">
        <v>45097</v>
      </c>
      <c r="E177" s="42" t="n">
        <v>12062.8</v>
      </c>
      <c r="F177" s="42" t="n">
        <v>0</v>
      </c>
      <c r="G177" s="42" t="n">
        <v>22181.18</v>
      </c>
      <c r="H177" s="42" t="inlineStr"/>
      <c r="I177" s="42" t="inlineStr"/>
      <c r="J177" s="42" t="inlineStr">
        <is>
          <t>HDFC Securities - Buy</t>
        </is>
      </c>
      <c r="K177" s="42" t="inlineStr">
        <is>
          <t>HDFC Securities</t>
        </is>
      </c>
      <c r="L177" s="18" t="n">
        <v>0.97</v>
      </c>
      <c r="M177" s="42" t="inlineStr">
        <is>
          <t>N/A</t>
        </is>
      </c>
    </row>
    <row r="178">
      <c r="A178" s="41" t="n">
        <v>45097</v>
      </c>
      <c r="B178" s="42" t="inlineStr">
        <is>
          <t>NET PI TO HSL SEC A/C 2554606-00602340029427</t>
        </is>
      </c>
      <c r="C178" s="42" t="inlineStr">
        <is>
          <t>0000000422064425</t>
        </is>
      </c>
      <c r="D178" s="41" t="n">
        <v>45097</v>
      </c>
      <c r="E178" s="42" t="n">
        <v>2800.79</v>
      </c>
      <c r="F178" s="42" t="n">
        <v>0</v>
      </c>
      <c r="G178" s="42" t="n">
        <v>19380.39</v>
      </c>
      <c r="H178" s="42" t="inlineStr"/>
      <c r="I178" s="42" t="inlineStr"/>
      <c r="J178" s="42" t="inlineStr">
        <is>
          <t>HDFC Securities - Buy</t>
        </is>
      </c>
      <c r="K178" s="42" t="inlineStr">
        <is>
          <t>HDFC Securities</t>
        </is>
      </c>
      <c r="L178" s="18" t="n">
        <v>0.97</v>
      </c>
      <c r="M178" s="42" t="inlineStr">
        <is>
          <t>N/A</t>
        </is>
      </c>
    </row>
    <row r="179">
      <c r="A179" s="54" t="n">
        <v>45097</v>
      </c>
      <c r="B179" s="55" t="inlineStr">
        <is>
          <t>NET PO FROM HSL A/C 2554606-00602340029427</t>
        </is>
      </c>
      <c r="C179" s="55" t="inlineStr">
        <is>
          <t>0000000422114159</t>
        </is>
      </c>
      <c r="D179" s="54" t="n">
        <v>45097</v>
      </c>
      <c r="E179" s="55" t="n">
        <v>0</v>
      </c>
      <c r="F179" s="55" t="n">
        <v>2800.79</v>
      </c>
      <c r="G179" s="55" t="n">
        <v>22181.18</v>
      </c>
      <c r="H179" s="55" t="inlineStr"/>
      <c r="I179" s="55" t="inlineStr"/>
      <c r="J179" s="55" t="inlineStr">
        <is>
          <t>HDFC Securities - Sell</t>
        </is>
      </c>
      <c r="K179" s="55" t="inlineStr">
        <is>
          <t>HDFC Securities</t>
        </is>
      </c>
      <c r="L179" s="18" t="n">
        <v>0.97</v>
      </c>
      <c r="M179" s="55" t="inlineStr">
        <is>
          <t>N/A</t>
        </is>
      </c>
    </row>
    <row r="180">
      <c r="A180" s="41" t="n">
        <v>45098</v>
      </c>
      <c r="B180" s="42" t="inlineStr">
        <is>
          <t>NET PI TO HSL SEC A/C 2554606-00602340029427</t>
        </is>
      </c>
      <c r="C180" s="42" t="inlineStr">
        <is>
          <t>0000000422287077</t>
        </is>
      </c>
      <c r="D180" s="41" t="n">
        <v>45098</v>
      </c>
      <c r="E180" s="42" t="n">
        <v>135.03</v>
      </c>
      <c r="F180" s="42" t="n">
        <v>0</v>
      </c>
      <c r="G180" s="42" t="n">
        <v>22046.15</v>
      </c>
      <c r="H180" s="42" t="inlineStr"/>
      <c r="I180" s="42" t="inlineStr"/>
      <c r="J180" s="42" t="inlineStr">
        <is>
          <t>HDFC Securities - Buy</t>
        </is>
      </c>
      <c r="K180" s="42" t="inlineStr">
        <is>
          <t>HDFC Securities</t>
        </is>
      </c>
      <c r="L180" s="18" t="n">
        <v>0.97</v>
      </c>
      <c r="M180" s="42" t="inlineStr">
        <is>
          <t>N/A</t>
        </is>
      </c>
    </row>
    <row r="181">
      <c r="A181" s="41" t="n">
        <v>45098</v>
      </c>
      <c r="B181" s="42" t="inlineStr">
        <is>
          <t>NET PI TO HSL SEC A/C 2554606-00602340029427</t>
        </is>
      </c>
      <c r="C181" s="42" t="inlineStr">
        <is>
          <t>0000000422374151</t>
        </is>
      </c>
      <c r="D181" s="41" t="n">
        <v>45098</v>
      </c>
      <c r="E181" s="42" t="n">
        <v>6559.57</v>
      </c>
      <c r="F181" s="42" t="n">
        <v>0</v>
      </c>
      <c r="G181" s="42" t="n">
        <v>15486.58</v>
      </c>
      <c r="H181" s="42" t="inlineStr"/>
      <c r="I181" s="42" t="inlineStr"/>
      <c r="J181" s="42" t="inlineStr">
        <is>
          <t>HDFC Securities - Buy</t>
        </is>
      </c>
      <c r="K181" s="42" t="inlineStr">
        <is>
          <t>HDFC Securities</t>
        </is>
      </c>
      <c r="L181" s="18" t="n">
        <v>0.97</v>
      </c>
      <c r="M181" s="42" t="inlineStr">
        <is>
          <t>N/A</t>
        </is>
      </c>
    </row>
    <row r="182">
      <c r="A182" s="41" t="n">
        <v>45098</v>
      </c>
      <c r="B182" s="42" t="inlineStr">
        <is>
          <t>NET PI TO HSL SEC A/C 2554606-00602340029427</t>
        </is>
      </c>
      <c r="C182" s="42" t="inlineStr">
        <is>
          <t>0000000422397796</t>
        </is>
      </c>
      <c r="D182" s="41" t="n">
        <v>45098</v>
      </c>
      <c r="E182" s="42" t="n">
        <v>7428.55</v>
      </c>
      <c r="F182" s="42" t="n">
        <v>0</v>
      </c>
      <c r="G182" s="42" t="n">
        <v>8058.03</v>
      </c>
      <c r="H182" s="42" t="inlineStr"/>
      <c r="I182" s="42" t="inlineStr"/>
      <c r="J182" s="42" t="inlineStr">
        <is>
          <t>HDFC Securities - Buy</t>
        </is>
      </c>
      <c r="K182" s="42" t="inlineStr">
        <is>
          <t>HDFC Securities</t>
        </is>
      </c>
      <c r="L182" s="18" t="n">
        <v>0.97</v>
      </c>
      <c r="M182" s="42" t="inlineStr">
        <is>
          <t>N/A</t>
        </is>
      </c>
    </row>
    <row r="183">
      <c r="A183" s="41" t="n">
        <v>45098</v>
      </c>
      <c r="B183" s="42" t="inlineStr">
        <is>
          <t>NET PI TO HSL SEC A/C 2554606-00602340029427</t>
        </is>
      </c>
      <c r="C183" s="42" t="inlineStr">
        <is>
          <t>0000000422539416</t>
        </is>
      </c>
      <c r="D183" s="41" t="n">
        <v>45098</v>
      </c>
      <c r="E183" s="42" t="n">
        <v>273.59</v>
      </c>
      <c r="F183" s="42" t="n">
        <v>0</v>
      </c>
      <c r="G183" s="42" t="n">
        <v>7784.44</v>
      </c>
      <c r="H183" s="42" t="inlineStr"/>
      <c r="I183" s="42" t="inlineStr"/>
      <c r="J183" s="42" t="inlineStr">
        <is>
          <t>HDFC Securities - Buy</t>
        </is>
      </c>
      <c r="K183" s="42" t="inlineStr">
        <is>
          <t>HDFC Securities</t>
        </is>
      </c>
      <c r="L183" s="18" t="n">
        <v>0.97</v>
      </c>
      <c r="M183" s="42" t="inlineStr">
        <is>
          <t>N/A</t>
        </is>
      </c>
    </row>
    <row r="184">
      <c r="A184" s="54" t="n">
        <v>45098</v>
      </c>
      <c r="B184" s="55" t="inlineStr">
        <is>
          <t>NET PO FROM HSL A/C 2554606-00602340029427</t>
        </is>
      </c>
      <c r="C184" s="55" t="inlineStr">
        <is>
          <t>0000000422577528</t>
        </is>
      </c>
      <c r="D184" s="54" t="n">
        <v>45098</v>
      </c>
      <c r="E184" s="55" t="n">
        <v>0</v>
      </c>
      <c r="F184" s="55" t="n">
        <v>273.59</v>
      </c>
      <c r="G184" s="55" t="n">
        <v>8058.03</v>
      </c>
      <c r="H184" s="55" t="inlineStr"/>
      <c r="I184" s="55" t="inlineStr"/>
      <c r="J184" s="55" t="inlineStr">
        <is>
          <t>HDFC Securities - Sell</t>
        </is>
      </c>
      <c r="K184" s="55" t="inlineStr">
        <is>
          <t>HDFC Securities</t>
        </is>
      </c>
      <c r="L184" s="18" t="n">
        <v>0.97</v>
      </c>
      <c r="M184" s="55" t="inlineStr">
        <is>
          <t>N/A</t>
        </is>
      </c>
    </row>
    <row r="185">
      <c r="A185" s="41" t="n">
        <v>45099</v>
      </c>
      <c r="B185" s="42" t="inlineStr">
        <is>
          <t>NET PI TO HSL SEC A/C 2554606-00602340029427</t>
        </is>
      </c>
      <c r="C185" s="42" t="inlineStr">
        <is>
          <t>0000000422731203</t>
        </is>
      </c>
      <c r="D185" s="41" t="n">
        <v>45099</v>
      </c>
      <c r="E185" s="42" t="n">
        <v>131.37</v>
      </c>
      <c r="F185" s="42" t="n">
        <v>0</v>
      </c>
      <c r="G185" s="42" t="n">
        <v>7926.66</v>
      </c>
      <c r="H185" s="42" t="inlineStr"/>
      <c r="I185" s="42" t="inlineStr"/>
      <c r="J185" s="42" t="inlineStr">
        <is>
          <t>HDFC Securities - Buy</t>
        </is>
      </c>
      <c r="K185" s="42" t="inlineStr">
        <is>
          <t>HDFC Securities</t>
        </is>
      </c>
      <c r="L185" s="18" t="n">
        <v>0.97</v>
      </c>
      <c r="M185" s="42" t="inlineStr">
        <is>
          <t>N/A</t>
        </is>
      </c>
    </row>
    <row r="186">
      <c r="A186" s="41" t="n">
        <v>45099</v>
      </c>
      <c r="B186" s="42" t="inlineStr">
        <is>
          <t>NET PI TO HSL SEC A/C 2554606-00602340029427</t>
        </is>
      </c>
      <c r="C186" s="42" t="inlineStr">
        <is>
          <t>0000000422859113</t>
        </is>
      </c>
      <c r="D186" s="41" t="n">
        <v>45099</v>
      </c>
      <c r="E186" s="42" t="n">
        <v>508.31</v>
      </c>
      <c r="F186" s="42" t="n">
        <v>0</v>
      </c>
      <c r="G186" s="42" t="n">
        <v>7418.35</v>
      </c>
      <c r="H186" s="42" t="inlineStr"/>
      <c r="I186" s="42" t="inlineStr"/>
      <c r="J186" s="42" t="inlineStr">
        <is>
          <t>HDFC Securities - Buy</t>
        </is>
      </c>
      <c r="K186" s="42" t="inlineStr">
        <is>
          <t>HDFC Securities</t>
        </is>
      </c>
      <c r="L186" s="18" t="n">
        <v>0.97</v>
      </c>
      <c r="M186" s="42" t="inlineStr">
        <is>
          <t>N/A</t>
        </is>
      </c>
    </row>
    <row r="187">
      <c r="A187" s="41" t="n">
        <v>45100</v>
      </c>
      <c r="B187" s="42" t="inlineStr">
        <is>
          <t>NET PI TO HSL SEC A/C 2554606-00602340029427</t>
        </is>
      </c>
      <c r="C187" s="42" t="inlineStr">
        <is>
          <t>0000000423189462</t>
        </is>
      </c>
      <c r="D187" s="41" t="n">
        <v>45100</v>
      </c>
      <c r="E187" s="42" t="n">
        <v>131.12</v>
      </c>
      <c r="F187" s="42" t="n">
        <v>0</v>
      </c>
      <c r="G187" s="42" t="n">
        <v>7287.23</v>
      </c>
      <c r="H187" s="42" t="inlineStr"/>
      <c r="I187" s="42" t="inlineStr"/>
      <c r="J187" s="42" t="inlineStr">
        <is>
          <t>HDFC Securities - Buy</t>
        </is>
      </c>
      <c r="K187" s="42" t="inlineStr">
        <is>
          <t>HDFC Securities</t>
        </is>
      </c>
      <c r="L187" s="18" t="n">
        <v>0.97</v>
      </c>
      <c r="M187" s="42" t="inlineStr">
        <is>
          <t>N/A</t>
        </is>
      </c>
    </row>
    <row r="188">
      <c r="A188" s="41" t="n">
        <v>45100</v>
      </c>
      <c r="B188" s="42" t="inlineStr">
        <is>
          <t>NET PI TO HSL SEC A/C 2554606-00602340029427</t>
        </is>
      </c>
      <c r="C188" s="42" t="inlineStr">
        <is>
          <t>0000000423332891</t>
        </is>
      </c>
      <c r="D188" s="41" t="n">
        <v>45100</v>
      </c>
      <c r="E188" s="42" t="n">
        <v>479.8</v>
      </c>
      <c r="F188" s="42" t="n">
        <v>0</v>
      </c>
      <c r="G188" s="42" t="n">
        <v>6807.43</v>
      </c>
      <c r="H188" s="42" t="inlineStr"/>
      <c r="I188" s="42" t="inlineStr"/>
      <c r="J188" s="42" t="inlineStr">
        <is>
          <t>HDFC Securities - Buy</t>
        </is>
      </c>
      <c r="K188" s="42" t="inlineStr">
        <is>
          <t>HDFC Securities</t>
        </is>
      </c>
      <c r="L188" s="18" t="n">
        <v>0.97</v>
      </c>
      <c r="M188" s="42" t="inlineStr">
        <is>
          <t>N/A</t>
        </is>
      </c>
    </row>
    <row r="189">
      <c r="A189" s="58" t="n">
        <v>45103</v>
      </c>
      <c r="B189" s="59" t="inlineStr">
        <is>
          <t>NET PAYIN TO BSE MF A/C -57500000389146- FROM A/C -50100128155413- UCC -2554606-57500000389146</t>
        </is>
      </c>
      <c r="C189" s="59" t="inlineStr">
        <is>
          <t>0000000423629052</t>
        </is>
      </c>
      <c r="D189" s="58" t="n">
        <v>45103</v>
      </c>
      <c r="E189" s="59" t="n">
        <v>2500</v>
      </c>
      <c r="F189" s="59" t="n">
        <v>0</v>
      </c>
      <c r="G189" s="59" t="n">
        <v>4307.43</v>
      </c>
      <c r="H189" s="59" t="inlineStr"/>
      <c r="I189" s="59" t="inlineStr"/>
      <c r="J189" s="59" t="inlineStr">
        <is>
          <t>MF Investment</t>
        </is>
      </c>
      <c r="K189" s="59" t="inlineStr">
        <is>
          <t>Investments</t>
        </is>
      </c>
      <c r="L189" s="18" t="n">
        <v>0.9</v>
      </c>
      <c r="M189" s="59" t="inlineStr">
        <is>
          <t>N/A</t>
        </is>
      </c>
    </row>
    <row r="190">
      <c r="A190" s="41" t="n">
        <v>45103</v>
      </c>
      <c r="B190" s="42" t="inlineStr">
        <is>
          <t>NET PI TO HSL SEC A/C 2554606-00602340029427</t>
        </is>
      </c>
      <c r="C190" s="42" t="inlineStr">
        <is>
          <t>0000000423728383</t>
        </is>
      </c>
      <c r="D190" s="41" t="n">
        <v>45103</v>
      </c>
      <c r="E190" s="42" t="n">
        <v>392.64</v>
      </c>
      <c r="F190" s="42" t="n">
        <v>0</v>
      </c>
      <c r="G190" s="42" t="n">
        <v>3914.79</v>
      </c>
      <c r="H190" s="42" t="inlineStr"/>
      <c r="I190" s="42" t="inlineStr"/>
      <c r="J190" s="42" t="inlineStr">
        <is>
          <t>HDFC Securities - Buy</t>
        </is>
      </c>
      <c r="K190" s="42" t="inlineStr">
        <is>
          <t>HDFC Securities</t>
        </is>
      </c>
      <c r="L190" s="18" t="n">
        <v>0.97</v>
      </c>
      <c r="M190" s="42" t="inlineStr">
        <is>
          <t>N/A</t>
        </is>
      </c>
    </row>
    <row r="191">
      <c r="A191" s="41" t="n">
        <v>45103</v>
      </c>
      <c r="B191" s="42" t="inlineStr">
        <is>
          <t>NET PI TO HSL SEC A/C 2554606-00602340029427</t>
        </is>
      </c>
      <c r="C191" s="42" t="inlineStr">
        <is>
          <t>0000000423837880</t>
        </is>
      </c>
      <c r="D191" s="41" t="n">
        <v>45103</v>
      </c>
      <c r="E191" s="42" t="n">
        <v>457.83</v>
      </c>
      <c r="F191" s="42" t="n">
        <v>0</v>
      </c>
      <c r="G191" s="42" t="n">
        <v>3456.96</v>
      </c>
      <c r="H191" s="42" t="inlineStr"/>
      <c r="I191" s="42" t="inlineStr"/>
      <c r="J191" s="42" t="inlineStr">
        <is>
          <t>HDFC Securities - Buy</t>
        </is>
      </c>
      <c r="K191" s="42" t="inlineStr">
        <is>
          <t>HDFC Securities</t>
        </is>
      </c>
      <c r="L191" s="18" t="n">
        <v>0.97</v>
      </c>
      <c r="M191" s="42" t="inlineStr">
        <is>
          <t>N/A</t>
        </is>
      </c>
    </row>
    <row r="192">
      <c r="A192" s="26" t="n">
        <v>45103</v>
      </c>
      <c r="B192" s="27" t="inlineStr">
        <is>
          <t>01671000085930-TPT-BORROW FROM AKG-AJAY KUMAR GUPTA</t>
        </is>
      </c>
      <c r="C192" s="27" t="inlineStr">
        <is>
          <t>0000000379386192</t>
        </is>
      </c>
      <c r="D192" s="26" t="n">
        <v>45103</v>
      </c>
      <c r="E192" s="27" t="n">
        <v>0</v>
      </c>
      <c r="F192" s="27" t="n">
        <v>10000</v>
      </c>
      <c r="G192" s="27" t="n">
        <v>13456.96</v>
      </c>
      <c r="H192" s="27" t="inlineStr"/>
      <c r="I192" s="27" t="inlineStr"/>
      <c r="J192" s="27" t="inlineStr">
        <is>
          <t>Received - Ajay Gupta</t>
        </is>
      </c>
      <c r="K192" s="27" t="inlineStr">
        <is>
          <t>Ajay Gupta</t>
        </is>
      </c>
      <c r="L192" s="18" t="n">
        <v>0.88</v>
      </c>
      <c r="M192" s="27" t="inlineStr">
        <is>
          <t>N/A</t>
        </is>
      </c>
    </row>
    <row r="193">
      <c r="A193" s="41" t="n">
        <v>45104</v>
      </c>
      <c r="B193" s="42" t="inlineStr">
        <is>
          <t>NET PI TO HSL SEC A/C 2554606-00602340029427</t>
        </is>
      </c>
      <c r="C193" s="42" t="inlineStr">
        <is>
          <t>0000000424186057</t>
        </is>
      </c>
      <c r="D193" s="41" t="n">
        <v>45104</v>
      </c>
      <c r="E193" s="42" t="n">
        <v>130.66</v>
      </c>
      <c r="F193" s="42" t="n">
        <v>0</v>
      </c>
      <c r="G193" s="42" t="n">
        <v>13326.3</v>
      </c>
      <c r="H193" s="42" t="inlineStr"/>
      <c r="I193" s="42" t="inlineStr"/>
      <c r="J193" s="42" t="inlineStr">
        <is>
          <t>HDFC Securities - Buy</t>
        </is>
      </c>
      <c r="K193" s="42" t="inlineStr">
        <is>
          <t>HDFC Securities</t>
        </is>
      </c>
      <c r="L193" s="18" t="n">
        <v>0.97</v>
      </c>
      <c r="M193" s="42" t="inlineStr">
        <is>
          <t>N/A</t>
        </is>
      </c>
    </row>
    <row r="194">
      <c r="A194" s="64" t="n">
        <v>45104</v>
      </c>
      <c r="B194" s="65" t="inlineStr">
        <is>
          <t>HDFC ASSET DIV 22 2300000000000002699441</t>
        </is>
      </c>
      <c r="C194" s="65" t="inlineStr">
        <is>
          <t>0000231778767366</t>
        </is>
      </c>
      <c r="D194" s="64" t="n">
        <v>45104</v>
      </c>
      <c r="E194" s="65" t="n">
        <v>0</v>
      </c>
      <c r="F194" s="65" t="n">
        <v>720</v>
      </c>
      <c r="G194" s="65" t="n">
        <v>14046.3</v>
      </c>
      <c r="H194" s="65" t="inlineStr"/>
      <c r="I194" s="65" t="inlineStr"/>
      <c r="J194" s="65" t="inlineStr">
        <is>
          <t>Dividend Income</t>
        </is>
      </c>
      <c r="K194" s="65" t="inlineStr">
        <is>
          <t>Dividend Income</t>
        </is>
      </c>
      <c r="L194" s="18" t="n">
        <v>0.85</v>
      </c>
      <c r="M194" s="65" t="inlineStr">
        <is>
          <t>N/A</t>
        </is>
      </c>
    </row>
    <row r="195">
      <c r="A195" s="54" t="n">
        <v>45104</v>
      </c>
      <c r="B195" s="55" t="inlineStr">
        <is>
          <t>NET PO FROM HSL A/C 2554606-00602340029427</t>
        </is>
      </c>
      <c r="C195" s="55" t="inlineStr">
        <is>
          <t>0000000424297051</t>
        </is>
      </c>
      <c r="D195" s="54" t="n">
        <v>45104</v>
      </c>
      <c r="E195" s="55" t="n">
        <v>0</v>
      </c>
      <c r="F195" s="55" t="n">
        <v>928.3</v>
      </c>
      <c r="G195" s="55" t="n">
        <v>14974.6</v>
      </c>
      <c r="H195" s="55" t="inlineStr"/>
      <c r="I195" s="55" t="inlineStr"/>
      <c r="J195" s="55" t="inlineStr">
        <is>
          <t>HDFC Securities - Sell</t>
        </is>
      </c>
      <c r="K195" s="55" t="inlineStr">
        <is>
          <t>HDFC Securities</t>
        </is>
      </c>
      <c r="L195" s="18" t="n">
        <v>0.97</v>
      </c>
      <c r="M195" s="55" t="inlineStr">
        <is>
          <t>N/A</t>
        </is>
      </c>
    </row>
    <row r="196">
      <c r="A196" s="41" t="n">
        <v>45105</v>
      </c>
      <c r="B196" s="42" t="inlineStr">
        <is>
          <t>NET PI TO HSL SEC A/C 2554606-00602340029427</t>
        </is>
      </c>
      <c r="C196" s="42" t="inlineStr">
        <is>
          <t>0000000424624946</t>
        </is>
      </c>
      <c r="D196" s="41" t="n">
        <v>45105</v>
      </c>
      <c r="E196" s="42" t="n">
        <v>131.11</v>
      </c>
      <c r="F196" s="42" t="n">
        <v>0</v>
      </c>
      <c r="G196" s="42" t="n">
        <v>14843.49</v>
      </c>
      <c r="H196" s="42" t="inlineStr"/>
      <c r="I196" s="42" t="inlineStr"/>
      <c r="J196" s="42" t="inlineStr">
        <is>
          <t>HDFC Securities - Buy</t>
        </is>
      </c>
      <c r="K196" s="42" t="inlineStr">
        <is>
          <t>HDFC Securities</t>
        </is>
      </c>
      <c r="L196" s="18" t="n">
        <v>0.97</v>
      </c>
      <c r="M196" s="42" t="inlineStr">
        <is>
          <t>N/A</t>
        </is>
      </c>
    </row>
    <row r="197">
      <c r="A197" s="54" t="n">
        <v>45106</v>
      </c>
      <c r="B197" s="55" t="inlineStr">
        <is>
          <t>NET PO FROM HSL A/C 2554606-00602340029427</t>
        </is>
      </c>
      <c r="C197" s="55" t="inlineStr">
        <is>
          <t>0000000424746985</t>
        </is>
      </c>
      <c r="D197" s="54" t="n">
        <v>45105</v>
      </c>
      <c r="E197" s="55" t="n">
        <v>0</v>
      </c>
      <c r="F197" s="55" t="n">
        <v>259.42</v>
      </c>
      <c r="G197" s="55" t="n">
        <v>15102.91</v>
      </c>
      <c r="H197" s="55" t="inlineStr"/>
      <c r="I197" s="55" t="inlineStr"/>
      <c r="J197" s="55" t="inlineStr">
        <is>
          <t>HDFC Securities - Sell</t>
        </is>
      </c>
      <c r="K197" s="55" t="inlineStr">
        <is>
          <t>HDFC Securities</t>
        </is>
      </c>
      <c r="L197" s="18" t="n">
        <v>0.97</v>
      </c>
      <c r="M197" s="55" t="inlineStr">
        <is>
          <t>N/A</t>
        </is>
      </c>
    </row>
    <row r="198">
      <c r="A198" s="41" t="n">
        <v>45107</v>
      </c>
      <c r="B198" s="42" t="inlineStr">
        <is>
          <t>NET PI TO HSL SEC A/C 2554606-00602340029427</t>
        </is>
      </c>
      <c r="C198" s="42" t="inlineStr">
        <is>
          <t>0000000425074683</t>
        </is>
      </c>
      <c r="D198" s="41" t="n">
        <v>45107</v>
      </c>
      <c r="E198" s="42" t="n">
        <v>262.48</v>
      </c>
      <c r="F198" s="42" t="n">
        <v>0</v>
      </c>
      <c r="G198" s="42" t="n">
        <v>14840.43</v>
      </c>
      <c r="H198" s="42" t="inlineStr"/>
      <c r="I198" s="42" t="inlineStr"/>
      <c r="J198" s="42" t="inlineStr">
        <is>
          <t>HDFC Securities - Buy</t>
        </is>
      </c>
      <c r="K198" s="42" t="inlineStr">
        <is>
          <t>HDFC Securities</t>
        </is>
      </c>
      <c r="L198" s="18" t="n">
        <v>0.97</v>
      </c>
      <c r="M198" s="42" t="inlineStr">
        <is>
          <t>N/A</t>
        </is>
      </c>
    </row>
    <row r="199">
      <c r="A199" s="30" t="n">
        <v>45107</v>
      </c>
      <c r="B199" s="31" t="inlineStr">
        <is>
          <t>CREDIT INTEREST CAPITALISED</t>
        </is>
      </c>
      <c r="C199" s="31" t="inlineStr">
        <is>
          <t>000000000000000</t>
        </is>
      </c>
      <c r="D199" s="30" t="n">
        <v>45107</v>
      </c>
      <c r="E199" s="31" t="n">
        <v>0</v>
      </c>
      <c r="F199" s="31" t="n">
        <v>352</v>
      </c>
      <c r="G199" s="31" t="n">
        <v>15192.43</v>
      </c>
      <c r="H199" s="31" t="inlineStr"/>
      <c r="I199" s="31" t="inlineStr"/>
      <c r="J199" s="31" t="inlineStr">
        <is>
          <t>Bank Interest</t>
        </is>
      </c>
      <c r="K199" s="31" t="inlineStr">
        <is>
          <t>Bank Interest</t>
        </is>
      </c>
      <c r="L199" s="18" t="n">
        <v>0.95</v>
      </c>
      <c r="M199" s="31" t="inlineStr">
        <is>
          <t>N/A</t>
        </is>
      </c>
    </row>
    <row r="200">
      <c r="A200" s="54" t="n">
        <v>45108</v>
      </c>
      <c r="B200" s="55" t="inlineStr">
        <is>
          <t>NET PO FROM HSL A/C 2554606-00602340029427</t>
        </is>
      </c>
      <c r="C200" s="55" t="inlineStr">
        <is>
          <t>0000000425185692</t>
        </is>
      </c>
      <c r="D200" s="54" t="n">
        <v>45108</v>
      </c>
      <c r="E200" s="55" t="n">
        <v>0</v>
      </c>
      <c r="F200" s="55" t="n">
        <v>8375.93</v>
      </c>
      <c r="G200" s="55" t="n">
        <v>23568.36</v>
      </c>
      <c r="H200" s="55" t="inlineStr"/>
      <c r="I200" s="55" t="inlineStr"/>
      <c r="J200" s="55" t="inlineStr">
        <is>
          <t>HDFC Securities - Sell</t>
        </is>
      </c>
      <c r="K200" s="55" t="inlineStr">
        <is>
          <t>HDFC Securities</t>
        </is>
      </c>
      <c r="L200" s="18" t="n">
        <v>0.97</v>
      </c>
      <c r="M200" s="55" t="inlineStr">
        <is>
          <t>N/A</t>
        </is>
      </c>
    </row>
    <row r="201">
      <c r="A201" s="54" t="n">
        <v>45110</v>
      </c>
      <c r="B201" s="55" t="inlineStr">
        <is>
          <t>NET PO FROM HSL A/C 2554606-00602340029427</t>
        </is>
      </c>
      <c r="C201" s="55" t="inlineStr">
        <is>
          <t>0000000425643083</t>
        </is>
      </c>
      <c r="D201" s="54" t="n">
        <v>45110</v>
      </c>
      <c r="E201" s="55" t="n">
        <v>0</v>
      </c>
      <c r="F201" s="55" t="n">
        <v>482.44</v>
      </c>
      <c r="G201" s="55" t="n">
        <v>24050.8</v>
      </c>
      <c r="H201" s="55" t="inlineStr"/>
      <c r="I201" s="55" t="inlineStr"/>
      <c r="J201" s="55" t="inlineStr">
        <is>
          <t>HDFC Securities - Sell</t>
        </is>
      </c>
      <c r="K201" s="55" t="inlineStr">
        <is>
          <t>HDFC Securities</t>
        </is>
      </c>
      <c r="L201" s="18" t="n">
        <v>0.97</v>
      </c>
      <c r="M201" s="55" t="inlineStr">
        <is>
          <t>N/A</t>
        </is>
      </c>
    </row>
    <row r="202">
      <c r="A202" s="64" t="n">
        <v>45110</v>
      </c>
      <c r="B202" s="65" t="inlineStr">
        <is>
          <t>ACH C- TCS FINDIV 030723-1808047</t>
        </is>
      </c>
      <c r="C202" s="65" t="inlineStr">
        <is>
          <t>0000002954151336</t>
        </is>
      </c>
      <c r="D202" s="64" t="n">
        <v>45110</v>
      </c>
      <c r="E202" s="65" t="n">
        <v>0</v>
      </c>
      <c r="F202" s="65" t="n">
        <v>576</v>
      </c>
      <c r="G202" s="65" t="n">
        <v>24626.8</v>
      </c>
      <c r="H202" s="65" t="inlineStr"/>
      <c r="I202" s="65" t="inlineStr"/>
      <c r="J202" s="65" t="inlineStr">
        <is>
          <t>Dividend Income</t>
        </is>
      </c>
      <c r="K202" s="65" t="inlineStr">
        <is>
          <t>Dividend Income</t>
        </is>
      </c>
      <c r="L202" s="18" t="n">
        <v>0.88</v>
      </c>
      <c r="M202" s="65" t="inlineStr">
        <is>
          <t>N/A</t>
        </is>
      </c>
    </row>
    <row r="203">
      <c r="A203" s="64" t="n">
        <v>45110</v>
      </c>
      <c r="B203" s="65" t="inlineStr">
        <is>
          <t>ACH C- INFOSYS LIMITED-35114396</t>
        </is>
      </c>
      <c r="C203" s="65" t="inlineStr">
        <is>
          <t>0000002909404863</t>
        </is>
      </c>
      <c r="D203" s="64" t="n">
        <v>45110</v>
      </c>
      <c r="E203" s="65" t="n">
        <v>0</v>
      </c>
      <c r="F203" s="65" t="n">
        <v>350</v>
      </c>
      <c r="G203" s="65" t="n">
        <v>24976.8</v>
      </c>
      <c r="H203" s="65" t="inlineStr"/>
      <c r="I203" s="65" t="inlineStr"/>
      <c r="J203" s="65" t="inlineStr">
        <is>
          <t>Dividend Income</t>
        </is>
      </c>
      <c r="K203" s="65" t="inlineStr">
        <is>
          <t>Dividend Income</t>
        </is>
      </c>
      <c r="L203" s="18" t="n">
        <v>0.88</v>
      </c>
      <c r="M203" s="65" t="inlineStr">
        <is>
          <t>N/A</t>
        </is>
      </c>
    </row>
    <row r="204">
      <c r="A204" s="41" t="n">
        <v>45110</v>
      </c>
      <c r="B204" s="42" t="inlineStr">
        <is>
          <t>NET PI TO HSL SEC A/C 2554606-00602340029427</t>
        </is>
      </c>
      <c r="C204" s="42" t="inlineStr">
        <is>
          <t>0000000425712968</t>
        </is>
      </c>
      <c r="D204" s="41" t="n">
        <v>45110</v>
      </c>
      <c r="E204" s="42" t="n">
        <v>482.44</v>
      </c>
      <c r="F204" s="42" t="n">
        <v>0</v>
      </c>
      <c r="G204" s="42" t="n">
        <v>24494.36</v>
      </c>
      <c r="H204" s="42" t="inlineStr"/>
      <c r="I204" s="42" t="inlineStr"/>
      <c r="J204" s="42" t="inlineStr">
        <is>
          <t>HDFC Securities - Buy</t>
        </is>
      </c>
      <c r="K204" s="42" t="inlineStr">
        <is>
          <t>HDFC Securities</t>
        </is>
      </c>
      <c r="L204" s="18" t="n">
        <v>0.97</v>
      </c>
      <c r="M204" s="42" t="inlineStr">
        <is>
          <t>N/A</t>
        </is>
      </c>
    </row>
    <row r="205">
      <c r="A205" s="54" t="n">
        <v>45110</v>
      </c>
      <c r="B205" s="55" t="inlineStr">
        <is>
          <t>NET PO FROM HSL A/C 2554606-00602340029427</t>
        </is>
      </c>
      <c r="C205" s="55" t="inlineStr">
        <is>
          <t>0000000425764997</t>
        </is>
      </c>
      <c r="D205" s="54" t="n">
        <v>45110</v>
      </c>
      <c r="E205" s="55" t="n">
        <v>0</v>
      </c>
      <c r="F205" s="55" t="n">
        <v>6664.97</v>
      </c>
      <c r="G205" s="55" t="n">
        <v>31159.33</v>
      </c>
      <c r="H205" s="55" t="inlineStr"/>
      <c r="I205" s="55" t="inlineStr"/>
      <c r="J205" s="55" t="inlineStr">
        <is>
          <t>HDFC Securities - Sell</t>
        </is>
      </c>
      <c r="K205" s="55" t="inlineStr">
        <is>
          <t>HDFC Securities</t>
        </is>
      </c>
      <c r="L205" s="18" t="n">
        <v>0.97</v>
      </c>
      <c r="M205" s="55" t="inlineStr">
        <is>
          <t>N/A</t>
        </is>
      </c>
    </row>
    <row r="206">
      <c r="A206" s="41" t="n">
        <v>45110</v>
      </c>
      <c r="B206" s="42" t="inlineStr">
        <is>
          <t>NET PI TO HSL SEC A/C 2554606-00602340029427</t>
        </is>
      </c>
      <c r="C206" s="42" t="inlineStr">
        <is>
          <t>0000000425811881</t>
        </is>
      </c>
      <c r="D206" s="41" t="n">
        <v>45110</v>
      </c>
      <c r="E206" s="42" t="n">
        <v>66.23</v>
      </c>
      <c r="F206" s="42" t="n">
        <v>0</v>
      </c>
      <c r="G206" s="42" t="n">
        <v>31093.1</v>
      </c>
      <c r="H206" s="42" t="inlineStr"/>
      <c r="I206" s="42" t="inlineStr"/>
      <c r="J206" s="42" t="inlineStr">
        <is>
          <t>HDFC Securities - Buy</t>
        </is>
      </c>
      <c r="K206" s="42" t="inlineStr">
        <is>
          <t>HDFC Securities</t>
        </is>
      </c>
      <c r="L206" s="18" t="n">
        <v>0.97</v>
      </c>
      <c r="M206" s="42" t="inlineStr">
        <is>
          <t>N/A</t>
        </is>
      </c>
    </row>
    <row r="207">
      <c r="A207" s="41" t="n">
        <v>45111</v>
      </c>
      <c r="B207" s="42" t="inlineStr">
        <is>
          <t>NET PI TO HSL SEC A/C 2554606-00602340029427</t>
        </is>
      </c>
      <c r="C207" s="42" t="inlineStr">
        <is>
          <t>0000000426265053</t>
        </is>
      </c>
      <c r="D207" s="41" t="n">
        <v>45111</v>
      </c>
      <c r="E207" s="42" t="n">
        <v>14965.4</v>
      </c>
      <c r="F207" s="42" t="n">
        <v>0</v>
      </c>
      <c r="G207" s="42" t="n">
        <v>16127.7</v>
      </c>
      <c r="H207" s="42" t="inlineStr"/>
      <c r="I207" s="42" t="inlineStr"/>
      <c r="J207" s="42" t="inlineStr">
        <is>
          <t>HDFC Securities - Buy</t>
        </is>
      </c>
      <c r="K207" s="42" t="inlineStr">
        <is>
          <t>HDFC Securities</t>
        </is>
      </c>
      <c r="L207" s="18" t="n">
        <v>0.97</v>
      </c>
      <c r="M207" s="42" t="inlineStr">
        <is>
          <t>N/A</t>
        </is>
      </c>
    </row>
    <row r="208">
      <c r="A208" s="41" t="n">
        <v>45112</v>
      </c>
      <c r="B208" s="42" t="inlineStr">
        <is>
          <t>NET PI TO HSL SEC A/C 2554606-00602340029427</t>
        </is>
      </c>
      <c r="C208" s="42" t="inlineStr">
        <is>
          <t>0000000426399763</t>
        </is>
      </c>
      <c r="D208" s="41" t="n">
        <v>45112</v>
      </c>
      <c r="E208" s="42" t="n">
        <v>34.6</v>
      </c>
      <c r="F208" s="42" t="n">
        <v>0</v>
      </c>
      <c r="G208" s="42" t="n">
        <v>16093.1</v>
      </c>
      <c r="H208" s="42" t="inlineStr"/>
      <c r="I208" s="42" t="inlineStr"/>
      <c r="J208" s="42" t="inlineStr">
        <is>
          <t>HDFC Securities - Buy</t>
        </is>
      </c>
      <c r="K208" s="42" t="inlineStr">
        <is>
          <t>HDFC Securities</t>
        </is>
      </c>
      <c r="L208" s="18" t="n">
        <v>0.97</v>
      </c>
      <c r="M208" s="42" t="inlineStr">
        <is>
          <t>N/A</t>
        </is>
      </c>
    </row>
    <row r="209">
      <c r="A209" s="54" t="n">
        <v>45112</v>
      </c>
      <c r="B209" s="55" t="inlineStr">
        <is>
          <t>NET PO FROM HSL A/C 2554606-00602340029427</t>
        </is>
      </c>
      <c r="C209" s="55" t="inlineStr">
        <is>
          <t>0000000426507800</t>
        </is>
      </c>
      <c r="D209" s="54" t="n">
        <v>45111</v>
      </c>
      <c r="E209" s="55" t="n">
        <v>0</v>
      </c>
      <c r="F209" s="55" t="n">
        <v>34.6</v>
      </c>
      <c r="G209" s="55" t="n">
        <v>16127.7</v>
      </c>
      <c r="H209" s="55" t="inlineStr"/>
      <c r="I209" s="55" t="inlineStr"/>
      <c r="J209" s="55" t="inlineStr">
        <is>
          <t>HDFC Securities - Sell</t>
        </is>
      </c>
      <c r="K209" s="55" t="inlineStr">
        <is>
          <t>HDFC Securities</t>
        </is>
      </c>
      <c r="L209" s="18" t="n">
        <v>0.97</v>
      </c>
      <c r="M209" s="55" t="inlineStr">
        <is>
          <t>N/A</t>
        </is>
      </c>
    </row>
    <row r="210">
      <c r="A210" s="54" t="n">
        <v>45112</v>
      </c>
      <c r="B210" s="55" t="inlineStr">
        <is>
          <t>NET PO FROM HSL A/C 2554606-00602340029427</t>
        </is>
      </c>
      <c r="C210" s="55" t="inlineStr">
        <is>
          <t>0000000426507801</t>
        </is>
      </c>
      <c r="D210" s="54" t="n">
        <v>45111</v>
      </c>
      <c r="E210" s="55" t="n">
        <v>0</v>
      </c>
      <c r="F210" s="55" t="n">
        <v>77430</v>
      </c>
      <c r="G210" s="55" t="n">
        <v>93557.7</v>
      </c>
      <c r="H210" s="55" t="inlineStr"/>
      <c r="I210" s="55" t="inlineStr"/>
      <c r="J210" s="55" t="inlineStr">
        <is>
          <t>HDFC Securities - Sell</t>
        </is>
      </c>
      <c r="K210" s="55" t="inlineStr">
        <is>
          <t>HDFC Securities</t>
        </is>
      </c>
      <c r="L210" s="18" t="n">
        <v>0.97</v>
      </c>
      <c r="M210" s="55" t="inlineStr">
        <is>
          <t>N/A</t>
        </is>
      </c>
    </row>
    <row r="211">
      <c r="A211" s="26" t="n">
        <v>45112</v>
      </c>
      <c r="B211" s="27" t="inlineStr">
        <is>
          <t>01671000085930-TPT-RETRUN FROM AAYUSH-AJAY KUMAR GUPTA</t>
        </is>
      </c>
      <c r="C211" s="27" t="inlineStr">
        <is>
          <t>0000000419378611</t>
        </is>
      </c>
      <c r="D211" s="26" t="n">
        <v>45112</v>
      </c>
      <c r="E211" s="27" t="n">
        <v>20000</v>
      </c>
      <c r="F211" s="27" t="n">
        <v>0</v>
      </c>
      <c r="G211" s="27" t="n">
        <v>73557.7</v>
      </c>
      <c r="H211" s="27" t="inlineStr"/>
      <c r="I211" s="27" t="inlineStr"/>
      <c r="J211" s="27" t="inlineStr">
        <is>
          <t>Transfer - Ajay Gupta</t>
        </is>
      </c>
      <c r="K211" s="27" t="inlineStr">
        <is>
          <t>Ajay Gupta</t>
        </is>
      </c>
      <c r="L211" s="18" t="n">
        <v>0.88</v>
      </c>
      <c r="M211" s="27" t="inlineStr">
        <is>
          <t>N/A</t>
        </is>
      </c>
    </row>
    <row r="212">
      <c r="A212" s="41" t="n">
        <v>45112</v>
      </c>
      <c r="B212" s="42" t="inlineStr">
        <is>
          <t>NET PI TO HSL SEC A/C 2554606-00602340029427</t>
        </is>
      </c>
      <c r="C212" s="42" t="inlineStr">
        <is>
          <t>0000000426692846</t>
        </is>
      </c>
      <c r="D212" s="41" t="n">
        <v>45112</v>
      </c>
      <c r="E212" s="42" t="n">
        <v>113.29</v>
      </c>
      <c r="F212" s="42" t="n">
        <v>0</v>
      </c>
      <c r="G212" s="42" t="n">
        <v>73444.41</v>
      </c>
      <c r="H212" s="42" t="inlineStr"/>
      <c r="I212" s="42" t="inlineStr"/>
      <c r="J212" s="42" t="inlineStr">
        <is>
          <t>HDFC Securities - Buy</t>
        </is>
      </c>
      <c r="K212" s="42" t="inlineStr">
        <is>
          <t>HDFC Securities</t>
        </is>
      </c>
      <c r="L212" s="18" t="n">
        <v>0.97</v>
      </c>
      <c r="M212" s="42" t="inlineStr">
        <is>
          <t>N/A</t>
        </is>
      </c>
    </row>
    <row r="213">
      <c r="A213" s="41" t="n">
        <v>45112</v>
      </c>
      <c r="B213" s="42" t="inlineStr">
        <is>
          <t>NET PI TO HSL SEC A/C 2554606-00602340029427</t>
        </is>
      </c>
      <c r="C213" s="42" t="inlineStr">
        <is>
          <t>0000000426769791</t>
        </is>
      </c>
      <c r="D213" s="41" t="n">
        <v>45112</v>
      </c>
      <c r="E213" s="42" t="n">
        <v>11186.15</v>
      </c>
      <c r="F213" s="42" t="n">
        <v>0</v>
      </c>
      <c r="G213" s="42" t="n">
        <v>62258.26</v>
      </c>
      <c r="H213" s="42" t="inlineStr"/>
      <c r="I213" s="42" t="inlineStr"/>
      <c r="J213" s="42" t="inlineStr">
        <is>
          <t>HDFC Securities - Buy</t>
        </is>
      </c>
      <c r="K213" s="42" t="inlineStr">
        <is>
          <t>HDFC Securities</t>
        </is>
      </c>
      <c r="L213" s="18" t="n">
        <v>0.97</v>
      </c>
      <c r="M213" s="42" t="inlineStr">
        <is>
          <t>N/A</t>
        </is>
      </c>
    </row>
    <row r="214">
      <c r="A214" s="41" t="n">
        <v>45112</v>
      </c>
      <c r="B214" s="42" t="inlineStr">
        <is>
          <t>NET PI TO HSL SEC A/C 2554606-00602340029427</t>
        </is>
      </c>
      <c r="C214" s="42" t="inlineStr">
        <is>
          <t>0000000426813934</t>
        </is>
      </c>
      <c r="D214" s="41" t="n">
        <v>45112</v>
      </c>
      <c r="E214" s="42" t="n">
        <v>2415.13</v>
      </c>
      <c r="F214" s="42" t="n">
        <v>0</v>
      </c>
      <c r="G214" s="42" t="n">
        <v>59843.13</v>
      </c>
      <c r="H214" s="42" t="inlineStr"/>
      <c r="I214" s="42" t="inlineStr"/>
      <c r="J214" s="42" t="inlineStr">
        <is>
          <t>HDFC Securities - Buy</t>
        </is>
      </c>
      <c r="K214" s="42" t="inlineStr">
        <is>
          <t>HDFC Securities</t>
        </is>
      </c>
      <c r="L214" s="18" t="n">
        <v>0.97</v>
      </c>
      <c r="M214" s="42" t="inlineStr">
        <is>
          <t>N/A</t>
        </is>
      </c>
    </row>
    <row r="215">
      <c r="A215" s="41" t="n">
        <v>45112</v>
      </c>
      <c r="B215" s="42" t="inlineStr">
        <is>
          <t>NET PI TO HSL SEC A/C 2554606-00602340029427</t>
        </is>
      </c>
      <c r="C215" s="42" t="inlineStr">
        <is>
          <t>0000000426965812</t>
        </is>
      </c>
      <c r="D215" s="41" t="n">
        <v>45112</v>
      </c>
      <c r="E215" s="42" t="n">
        <v>9630.59</v>
      </c>
      <c r="F215" s="42" t="n">
        <v>0</v>
      </c>
      <c r="G215" s="42" t="n">
        <v>50212.54</v>
      </c>
      <c r="H215" s="42" t="inlineStr"/>
      <c r="I215" s="42" t="inlineStr"/>
      <c r="J215" s="42" t="inlineStr">
        <is>
          <t>HDFC Securities - Buy</t>
        </is>
      </c>
      <c r="K215" s="42" t="inlineStr">
        <is>
          <t>HDFC Securities</t>
        </is>
      </c>
      <c r="L215" s="18" t="n">
        <v>0.97</v>
      </c>
      <c r="M215" s="42" t="inlineStr">
        <is>
          <t>N/A</t>
        </is>
      </c>
    </row>
    <row r="216">
      <c r="A216" s="54" t="n">
        <v>45112</v>
      </c>
      <c r="B216" s="55" t="inlineStr">
        <is>
          <t>NET PO FROM HSL A/C 2554606-00602340029427</t>
        </is>
      </c>
      <c r="C216" s="55" t="inlineStr">
        <is>
          <t>0000000427004508</t>
        </is>
      </c>
      <c r="D216" s="54" t="n">
        <v>45112</v>
      </c>
      <c r="E216" s="55" t="n">
        <v>0</v>
      </c>
      <c r="F216" s="55" t="n">
        <v>9630.59</v>
      </c>
      <c r="G216" s="55" t="n">
        <v>59843.13</v>
      </c>
      <c r="H216" s="55" t="inlineStr"/>
      <c r="I216" s="55" t="inlineStr"/>
      <c r="J216" s="55" t="inlineStr">
        <is>
          <t>HDFC Securities - Sell</t>
        </is>
      </c>
      <c r="K216" s="55" t="inlineStr">
        <is>
          <t>HDFC Securities</t>
        </is>
      </c>
      <c r="L216" s="18" t="n">
        <v>0.97</v>
      </c>
      <c r="M216" s="55" t="inlineStr">
        <is>
          <t>N/A</t>
        </is>
      </c>
    </row>
    <row r="217">
      <c r="A217" s="54" t="n">
        <v>45113</v>
      </c>
      <c r="B217" s="55" t="inlineStr">
        <is>
          <t>NET PO FROM HSL A/C 2554606-00602340029427</t>
        </is>
      </c>
      <c r="C217" s="55" t="inlineStr">
        <is>
          <t>0000000427292989</t>
        </is>
      </c>
      <c r="D217" s="54" t="n">
        <v>45113</v>
      </c>
      <c r="E217" s="55" t="n">
        <v>0</v>
      </c>
      <c r="F217" s="55" t="n">
        <v>322.25</v>
      </c>
      <c r="G217" s="55" t="n">
        <v>60165.38</v>
      </c>
      <c r="H217" s="55" t="inlineStr"/>
      <c r="I217" s="55" t="inlineStr"/>
      <c r="J217" s="55" t="inlineStr">
        <is>
          <t>HDFC Securities - Sell</t>
        </is>
      </c>
      <c r="K217" s="55" t="inlineStr">
        <is>
          <t>HDFC Securities</t>
        </is>
      </c>
      <c r="L217" s="18" t="n">
        <v>0.97</v>
      </c>
      <c r="M217" s="55" t="inlineStr">
        <is>
          <t>N/A</t>
        </is>
      </c>
    </row>
    <row r="218">
      <c r="A218" s="41" t="n">
        <v>45114</v>
      </c>
      <c r="B218" s="42" t="inlineStr">
        <is>
          <t>NET PI TO HSL SEC A/C 2554606-00602340029427</t>
        </is>
      </c>
      <c r="C218" s="42" t="inlineStr">
        <is>
          <t>0000000427664789</t>
        </is>
      </c>
      <c r="D218" s="41" t="n">
        <v>45114</v>
      </c>
      <c r="E218" s="42" t="n">
        <v>116.93</v>
      </c>
      <c r="F218" s="42" t="n">
        <v>0</v>
      </c>
      <c r="G218" s="42" t="n">
        <v>60048.45</v>
      </c>
      <c r="H218" s="42" t="inlineStr"/>
      <c r="I218" s="42" t="inlineStr"/>
      <c r="J218" s="42" t="inlineStr">
        <is>
          <t>HDFC Securities - Buy</t>
        </is>
      </c>
      <c r="K218" s="42" t="inlineStr">
        <is>
          <t>HDFC Securities</t>
        </is>
      </c>
      <c r="L218" s="18" t="n">
        <v>0.97</v>
      </c>
      <c r="M218" s="42" t="inlineStr">
        <is>
          <t>N/A</t>
        </is>
      </c>
    </row>
    <row r="219">
      <c r="A219" s="23" t="n">
        <v>45114</v>
      </c>
      <c r="B219" s="24" t="inlineStr">
        <is>
          <t>00602300000434-022673417</t>
        </is>
      </c>
      <c r="C219" s="24" t="inlineStr">
        <is>
          <t>0000307077755984</t>
        </is>
      </c>
      <c r="D219" s="23" t="n">
        <v>45114</v>
      </c>
      <c r="E219" s="24" t="n">
        <v>0</v>
      </c>
      <c r="F219" s="24" t="n">
        <v>1880</v>
      </c>
      <c r="G219" s="24" t="n">
        <v>61928.45</v>
      </c>
      <c r="H219" s="24" t="inlineStr"/>
      <c r="I219" s="24" t="inlineStr"/>
      <c r="J219" s="24" t="inlineStr">
        <is>
          <t>What is this?</t>
        </is>
      </c>
      <c r="K219" s="24" t="inlineStr">
        <is>
          <t>Suspense</t>
        </is>
      </c>
      <c r="L219" s="25" t="n">
        <v>0</v>
      </c>
      <c r="M219" s="24" t="inlineStr">
        <is>
          <t>N/A</t>
        </is>
      </c>
    </row>
    <row r="220">
      <c r="A220" s="41" t="n">
        <v>45114</v>
      </c>
      <c r="B220" s="42" t="inlineStr">
        <is>
          <t>NET PI TO HSL SEC A/C 2554606-00602340029427</t>
        </is>
      </c>
      <c r="C220" s="42" t="inlineStr">
        <is>
          <t>0000000427793164</t>
        </is>
      </c>
      <c r="D220" s="41" t="n">
        <v>45114</v>
      </c>
      <c r="E220" s="42" t="n">
        <v>93.34</v>
      </c>
      <c r="F220" s="42" t="n">
        <v>0</v>
      </c>
      <c r="G220" s="42" t="n">
        <v>61835.11</v>
      </c>
      <c r="H220" s="42" t="inlineStr"/>
      <c r="I220" s="42" t="inlineStr"/>
      <c r="J220" s="42" t="inlineStr">
        <is>
          <t>HDFC Securities - Buy</t>
        </is>
      </c>
      <c r="K220" s="42" t="inlineStr">
        <is>
          <t>HDFC Securities</t>
        </is>
      </c>
      <c r="L220" s="18" t="n">
        <v>0.97</v>
      </c>
      <c r="M220" s="42" t="inlineStr">
        <is>
          <t>N/A</t>
        </is>
      </c>
    </row>
    <row r="221">
      <c r="A221" s="41" t="n">
        <v>45117</v>
      </c>
      <c r="B221" s="42" t="inlineStr">
        <is>
          <t>NET PI TO HSL SEC A/C 2554606-00602340029427</t>
        </is>
      </c>
      <c r="C221" s="42" t="inlineStr">
        <is>
          <t>0000000428237393</t>
        </is>
      </c>
      <c r="D221" s="41" t="n">
        <v>45117</v>
      </c>
      <c r="E221" s="42" t="n">
        <v>350.67</v>
      </c>
      <c r="F221" s="42" t="n">
        <v>0</v>
      </c>
      <c r="G221" s="42" t="n">
        <v>61484.44</v>
      </c>
      <c r="H221" s="42" t="inlineStr"/>
      <c r="I221" s="42" t="inlineStr"/>
      <c r="J221" s="42" t="inlineStr">
        <is>
          <t>HDFC Securities - Buy</t>
        </is>
      </c>
      <c r="K221" s="42" t="inlineStr">
        <is>
          <t>HDFC Securities</t>
        </is>
      </c>
      <c r="L221" s="18" t="n">
        <v>0.97</v>
      </c>
      <c r="M221" s="42" t="inlineStr">
        <is>
          <t>N/A</t>
        </is>
      </c>
    </row>
    <row r="222">
      <c r="A222" s="54" t="n">
        <v>45117</v>
      </c>
      <c r="B222" s="55" t="inlineStr">
        <is>
          <t>NET PO FROM HSL A/C 2554606-00602340029427</t>
        </is>
      </c>
      <c r="C222" s="55" t="inlineStr">
        <is>
          <t>0000000428390107</t>
        </is>
      </c>
      <c r="D222" s="54" t="n">
        <v>45117</v>
      </c>
      <c r="E222" s="55" t="n">
        <v>0</v>
      </c>
      <c r="F222" s="55" t="n">
        <v>46.46</v>
      </c>
      <c r="G222" s="55" t="n">
        <v>61530.9</v>
      </c>
      <c r="H222" s="55" t="inlineStr"/>
      <c r="I222" s="55" t="inlineStr"/>
      <c r="J222" s="55" t="inlineStr">
        <is>
          <t>HDFC Securities - Sell</t>
        </is>
      </c>
      <c r="K222" s="55" t="inlineStr">
        <is>
          <t>HDFC Securities</t>
        </is>
      </c>
      <c r="L222" s="18" t="n">
        <v>0.97</v>
      </c>
      <c r="M222" s="55" t="inlineStr">
        <is>
          <t>N/A</t>
        </is>
      </c>
    </row>
    <row r="223">
      <c r="A223" s="58" t="n">
        <v>45118</v>
      </c>
      <c r="B223" s="59" t="inlineStr">
        <is>
          <t>NET PAYIN TO BSE MF A/C -57500000389146- FROM A/C -50100128155413- UCC -2554606-57500000389146</t>
        </is>
      </c>
      <c r="C223" s="59" t="inlineStr">
        <is>
          <t>0000000428688317</t>
        </is>
      </c>
      <c r="D223" s="58" t="n">
        <v>45118</v>
      </c>
      <c r="E223" s="59" t="n">
        <v>3000</v>
      </c>
      <c r="F223" s="59" t="n">
        <v>0</v>
      </c>
      <c r="G223" s="59" t="n">
        <v>58530.9</v>
      </c>
      <c r="H223" s="59" t="inlineStr"/>
      <c r="I223" s="59" t="inlineStr"/>
      <c r="J223" s="59" t="inlineStr">
        <is>
          <t>MF Investment</t>
        </is>
      </c>
      <c r="K223" s="59" t="inlineStr">
        <is>
          <t>Investments</t>
        </is>
      </c>
      <c r="L223" s="18" t="n">
        <v>0.9</v>
      </c>
      <c r="M223" s="59" t="inlineStr">
        <is>
          <t>N/A</t>
        </is>
      </c>
    </row>
    <row r="224">
      <c r="A224" s="41" t="n">
        <v>45118</v>
      </c>
      <c r="B224" s="42" t="inlineStr">
        <is>
          <t>NET PI TO HSL SEC A/C 2554606-00602340029427</t>
        </is>
      </c>
      <c r="C224" s="42" t="inlineStr">
        <is>
          <t>0000000428757433</t>
        </is>
      </c>
      <c r="D224" s="41" t="n">
        <v>45118</v>
      </c>
      <c r="E224" s="42" t="n">
        <v>116.91</v>
      </c>
      <c r="F224" s="42" t="n">
        <v>0</v>
      </c>
      <c r="G224" s="42" t="n">
        <v>58413.99</v>
      </c>
      <c r="H224" s="42" t="inlineStr"/>
      <c r="I224" s="42" t="inlineStr"/>
      <c r="J224" s="42" t="inlineStr">
        <is>
          <t>HDFC Securities - Buy</t>
        </is>
      </c>
      <c r="K224" s="42" t="inlineStr">
        <is>
          <t>HDFC Securities</t>
        </is>
      </c>
      <c r="L224" s="18" t="n">
        <v>0.97</v>
      </c>
      <c r="M224" s="42" t="inlineStr">
        <is>
          <t>N/A</t>
        </is>
      </c>
    </row>
    <row r="225">
      <c r="A225" s="41" t="n">
        <v>45118</v>
      </c>
      <c r="B225" s="42" t="inlineStr">
        <is>
          <t>NET PI TO HSL SEC A/C 2554606-00602340029427</t>
        </is>
      </c>
      <c r="C225" s="42" t="inlineStr">
        <is>
          <t>0000000428824400</t>
        </is>
      </c>
      <c r="D225" s="41" t="n">
        <v>45118</v>
      </c>
      <c r="E225" s="42" t="n">
        <v>4256.2</v>
      </c>
      <c r="F225" s="42" t="n">
        <v>0</v>
      </c>
      <c r="G225" s="42" t="n">
        <v>54157.79</v>
      </c>
      <c r="H225" s="42" t="inlineStr"/>
      <c r="I225" s="42" t="inlineStr"/>
      <c r="J225" s="42" t="inlineStr">
        <is>
          <t>HDFC Securities - Buy</t>
        </is>
      </c>
      <c r="K225" s="42" t="inlineStr">
        <is>
          <t>HDFC Securities</t>
        </is>
      </c>
      <c r="L225" s="18" t="n">
        <v>0.97</v>
      </c>
      <c r="M225" s="42" t="inlineStr">
        <is>
          <t>N/A</t>
        </is>
      </c>
    </row>
    <row r="226">
      <c r="A226" s="54" t="n">
        <v>45118</v>
      </c>
      <c r="B226" s="55" t="inlineStr">
        <is>
          <t>NET PO FROM HSL A/C 2554606-00602340029427</t>
        </is>
      </c>
      <c r="C226" s="55" t="inlineStr">
        <is>
          <t>0000000428868082</t>
        </is>
      </c>
      <c r="D226" s="54" t="n">
        <v>45118</v>
      </c>
      <c r="E226" s="55" t="n">
        <v>0</v>
      </c>
      <c r="F226" s="55" t="n">
        <v>39.45</v>
      </c>
      <c r="G226" s="55" t="n">
        <v>54197.24</v>
      </c>
      <c r="H226" s="55" t="inlineStr"/>
      <c r="I226" s="55" t="inlineStr"/>
      <c r="J226" s="55" t="inlineStr">
        <is>
          <t>HDFC Securities - Sell</t>
        </is>
      </c>
      <c r="K226" s="55" t="inlineStr">
        <is>
          <t>HDFC Securities</t>
        </is>
      </c>
      <c r="L226" s="18" t="n">
        <v>0.97</v>
      </c>
      <c r="M226" s="55" t="inlineStr">
        <is>
          <t>N/A</t>
        </is>
      </c>
    </row>
    <row r="227">
      <c r="A227" s="41" t="n">
        <v>45118</v>
      </c>
      <c r="B227" s="42" t="inlineStr">
        <is>
          <t>NET PI TO HSL SEC A/C 2554606-00602340029427</t>
        </is>
      </c>
      <c r="C227" s="42" t="inlineStr">
        <is>
          <t>0000000428988590</t>
        </is>
      </c>
      <c r="D227" s="41" t="n">
        <v>45118</v>
      </c>
      <c r="E227" s="42" t="n">
        <v>5462.73</v>
      </c>
      <c r="F227" s="42" t="n">
        <v>0</v>
      </c>
      <c r="G227" s="42" t="n">
        <v>48734.51</v>
      </c>
      <c r="H227" s="42" t="inlineStr"/>
      <c r="I227" s="42" t="inlineStr"/>
      <c r="J227" s="42" t="inlineStr">
        <is>
          <t>HDFC Securities - Buy</t>
        </is>
      </c>
      <c r="K227" s="42" t="inlineStr">
        <is>
          <t>HDFC Securities</t>
        </is>
      </c>
      <c r="L227" s="18" t="n">
        <v>0.97</v>
      </c>
      <c r="M227" s="42" t="inlineStr">
        <is>
          <t>N/A</t>
        </is>
      </c>
    </row>
    <row r="228">
      <c r="A228" s="54" t="n">
        <v>45118</v>
      </c>
      <c r="B228" s="55" t="inlineStr">
        <is>
          <t>NET PO FROM HSL A/C 2554606-00602340029427</t>
        </is>
      </c>
      <c r="C228" s="55" t="inlineStr">
        <is>
          <t>0000000429037098</t>
        </is>
      </c>
      <c r="D228" s="54" t="n">
        <v>45118</v>
      </c>
      <c r="E228" s="55" t="n">
        <v>0</v>
      </c>
      <c r="F228" s="55" t="n">
        <v>5462.73</v>
      </c>
      <c r="G228" s="55" t="n">
        <v>54197.24</v>
      </c>
      <c r="H228" s="55" t="inlineStr"/>
      <c r="I228" s="55" t="inlineStr"/>
      <c r="J228" s="55" t="inlineStr">
        <is>
          <t>HDFC Securities - Sell</t>
        </is>
      </c>
      <c r="K228" s="55" t="inlineStr">
        <is>
          <t>HDFC Securities</t>
        </is>
      </c>
      <c r="L228" s="18" t="n">
        <v>0.97</v>
      </c>
      <c r="M228" s="55" t="inlineStr">
        <is>
          <t>N/A</t>
        </is>
      </c>
    </row>
    <row r="229">
      <c r="A229" s="41" t="n">
        <v>45119</v>
      </c>
      <c r="B229" s="42" t="inlineStr">
        <is>
          <t>NET PI TO HSL SEC A/C 2554606-00602340029427</t>
        </is>
      </c>
      <c r="C229" s="42" t="inlineStr">
        <is>
          <t>0000000429202941</t>
        </is>
      </c>
      <c r="D229" s="41" t="n">
        <v>45119</v>
      </c>
      <c r="E229" s="42" t="n">
        <v>116.93</v>
      </c>
      <c r="F229" s="42" t="n">
        <v>0</v>
      </c>
      <c r="G229" s="42" t="n">
        <v>54080.31</v>
      </c>
      <c r="H229" s="42" t="inlineStr"/>
      <c r="I229" s="42" t="inlineStr"/>
      <c r="J229" s="42" t="inlineStr">
        <is>
          <t>HDFC Securities - Buy</t>
        </is>
      </c>
      <c r="K229" s="42" t="inlineStr">
        <is>
          <t>HDFC Securities</t>
        </is>
      </c>
      <c r="L229" s="18" t="n">
        <v>0.97</v>
      </c>
      <c r="M229" s="42" t="inlineStr">
        <is>
          <t>N/A</t>
        </is>
      </c>
    </row>
    <row r="230">
      <c r="A230" s="41" t="n">
        <v>45119</v>
      </c>
      <c r="B230" s="42" t="inlineStr">
        <is>
          <t>NET PI TO HSL SEC A/C 2554606-00602340029427</t>
        </is>
      </c>
      <c r="C230" s="42" t="inlineStr">
        <is>
          <t>0000000429304496</t>
        </is>
      </c>
      <c r="D230" s="41" t="n">
        <v>45119</v>
      </c>
      <c r="E230" s="42" t="n">
        <v>24846.96</v>
      </c>
      <c r="F230" s="42" t="n">
        <v>0</v>
      </c>
      <c r="G230" s="42" t="n">
        <v>29233.35</v>
      </c>
      <c r="H230" s="42" t="inlineStr"/>
      <c r="I230" s="42" t="inlineStr"/>
      <c r="J230" s="42" t="inlineStr">
        <is>
          <t>HDFC Securities - Buy</t>
        </is>
      </c>
      <c r="K230" s="42" t="inlineStr">
        <is>
          <t>HDFC Securities</t>
        </is>
      </c>
      <c r="L230" s="18" t="n">
        <v>0.97</v>
      </c>
      <c r="M230" s="42" t="inlineStr">
        <is>
          <t>N/A</t>
        </is>
      </c>
    </row>
    <row r="231">
      <c r="A231" s="54" t="n">
        <v>45119</v>
      </c>
      <c r="B231" s="55" t="inlineStr">
        <is>
          <t>NET PO FROM HSL A/C 2554606-00602340029427</t>
        </is>
      </c>
      <c r="C231" s="55" t="inlineStr">
        <is>
          <t>0000000429345877</t>
        </is>
      </c>
      <c r="D231" s="54" t="n">
        <v>45119</v>
      </c>
      <c r="E231" s="55" t="n">
        <v>0</v>
      </c>
      <c r="F231" s="55" t="n">
        <v>31.55</v>
      </c>
      <c r="G231" s="55" t="n">
        <v>29264.9</v>
      </c>
      <c r="H231" s="55" t="inlineStr"/>
      <c r="I231" s="55" t="inlineStr"/>
      <c r="J231" s="55" t="inlineStr">
        <is>
          <t>HDFC Securities - Sell</t>
        </is>
      </c>
      <c r="K231" s="55" t="inlineStr">
        <is>
          <t>HDFC Securities</t>
        </is>
      </c>
      <c r="L231" s="18" t="n">
        <v>0.97</v>
      </c>
      <c r="M231" s="55" t="inlineStr">
        <is>
          <t>N/A</t>
        </is>
      </c>
    </row>
    <row r="232">
      <c r="A232" s="41" t="n">
        <v>45120</v>
      </c>
      <c r="B232" s="42" t="inlineStr">
        <is>
          <t>NET PI TO HSL SEC A/C 2554606-00602340029427</t>
        </is>
      </c>
      <c r="C232" s="42" t="inlineStr">
        <is>
          <t>0000000429696587</t>
        </is>
      </c>
      <c r="D232" s="41" t="n">
        <v>45120</v>
      </c>
      <c r="E232" s="42" t="n">
        <v>116.94</v>
      </c>
      <c r="F232" s="42" t="n">
        <v>0</v>
      </c>
      <c r="G232" s="42" t="n">
        <v>29147.96</v>
      </c>
      <c r="H232" s="42" t="inlineStr"/>
      <c r="I232" s="42" t="inlineStr"/>
      <c r="J232" s="42" t="inlineStr">
        <is>
          <t>HDFC Securities - Buy</t>
        </is>
      </c>
      <c r="K232" s="42" t="inlineStr">
        <is>
          <t>HDFC Securities</t>
        </is>
      </c>
      <c r="L232" s="18" t="n">
        <v>0.97</v>
      </c>
      <c r="M232" s="42" t="inlineStr">
        <is>
          <t>N/A</t>
        </is>
      </c>
    </row>
    <row r="233">
      <c r="A233" s="54" t="n">
        <v>45121</v>
      </c>
      <c r="B233" s="55" t="inlineStr">
        <is>
          <t>NET PO FROM HSL A/C 2554606-00602340029427</t>
        </is>
      </c>
      <c r="C233" s="55" t="inlineStr">
        <is>
          <t>0000000429833164</t>
        </is>
      </c>
      <c r="D233" s="54" t="n">
        <v>45120</v>
      </c>
      <c r="E233" s="55" t="n">
        <v>0</v>
      </c>
      <c r="F233" s="55" t="n">
        <v>0.41</v>
      </c>
      <c r="G233" s="55" t="n">
        <v>29148.37</v>
      </c>
      <c r="H233" s="55" t="inlineStr"/>
      <c r="I233" s="55" t="inlineStr"/>
      <c r="J233" s="55" t="inlineStr">
        <is>
          <t>HDFC Securities - Sell</t>
        </is>
      </c>
      <c r="K233" s="55" t="inlineStr">
        <is>
          <t>HDFC Securities</t>
        </is>
      </c>
      <c r="L233" s="18" t="n">
        <v>0.97</v>
      </c>
      <c r="M233" s="55" t="inlineStr">
        <is>
          <t>N/A</t>
        </is>
      </c>
    </row>
    <row r="234">
      <c r="A234" s="58" t="n">
        <v>45121</v>
      </c>
      <c r="B234" s="59" t="inlineStr">
        <is>
          <t>NET PAYIN TO NSE MF A/C -00990610005906- FROM A/C -50100128155413- UCC -2554606-00990610005906</t>
        </is>
      </c>
      <c r="C234" s="59" t="inlineStr">
        <is>
          <t>0000000430118794</t>
        </is>
      </c>
      <c r="D234" s="58" t="n">
        <v>45121</v>
      </c>
      <c r="E234" s="59" t="n">
        <v>3000</v>
      </c>
      <c r="F234" s="59" t="n">
        <v>0</v>
      </c>
      <c r="G234" s="59" t="n">
        <v>26148.37</v>
      </c>
      <c r="H234" s="59" t="inlineStr"/>
      <c r="I234" s="59" t="inlineStr"/>
      <c r="J234" s="59" t="inlineStr">
        <is>
          <t>MF Investment</t>
        </is>
      </c>
      <c r="K234" s="59" t="inlineStr">
        <is>
          <t>Investments</t>
        </is>
      </c>
      <c r="L234" s="18" t="n">
        <v>0.9</v>
      </c>
      <c r="M234" s="59" t="inlineStr">
        <is>
          <t>N/A</t>
        </is>
      </c>
    </row>
    <row r="235">
      <c r="A235" s="41" t="n">
        <v>45121</v>
      </c>
      <c r="B235" s="42" t="inlineStr">
        <is>
          <t>NET PI TO HSL SEC A/C 2554606-00602340029427</t>
        </is>
      </c>
      <c r="C235" s="42" t="inlineStr">
        <is>
          <t>0000000430163949</t>
        </is>
      </c>
      <c r="D235" s="41" t="n">
        <v>45121</v>
      </c>
      <c r="E235" s="42" t="n">
        <v>116.94</v>
      </c>
      <c r="F235" s="42" t="n">
        <v>0</v>
      </c>
      <c r="G235" s="42" t="n">
        <v>26031.43</v>
      </c>
      <c r="H235" s="42" t="inlineStr"/>
      <c r="I235" s="42" t="inlineStr"/>
      <c r="J235" s="42" t="inlineStr">
        <is>
          <t>HDFC Securities - Buy</t>
        </is>
      </c>
      <c r="K235" s="42" t="inlineStr">
        <is>
          <t>HDFC Securities</t>
        </is>
      </c>
      <c r="L235" s="18" t="n">
        <v>0.97</v>
      </c>
      <c r="M235" s="42" t="inlineStr">
        <is>
          <t>N/A</t>
        </is>
      </c>
    </row>
    <row r="236">
      <c r="A236" s="41" t="n">
        <v>45121</v>
      </c>
      <c r="B236" s="42" t="inlineStr">
        <is>
          <t>NET PI TO HSL SEC A/C 2554606-00602340029427</t>
        </is>
      </c>
      <c r="C236" s="42" t="inlineStr">
        <is>
          <t>0000000430277881</t>
        </is>
      </c>
      <c r="D236" s="41" t="n">
        <v>45121</v>
      </c>
      <c r="E236" s="42" t="n">
        <v>134.57</v>
      </c>
      <c r="F236" s="42" t="n">
        <v>0</v>
      </c>
      <c r="G236" s="42" t="n">
        <v>25896.86</v>
      </c>
      <c r="H236" s="42" t="inlineStr"/>
      <c r="I236" s="42" t="inlineStr"/>
      <c r="J236" s="42" t="inlineStr">
        <is>
          <t>HDFC Securities - Buy</t>
        </is>
      </c>
      <c r="K236" s="42" t="inlineStr">
        <is>
          <t>HDFC Securities</t>
        </is>
      </c>
      <c r="L236" s="18" t="n">
        <v>0.97</v>
      </c>
      <c r="M236" s="42" t="inlineStr">
        <is>
          <t>N/A</t>
        </is>
      </c>
    </row>
    <row r="237">
      <c r="A237" s="58" t="n">
        <v>45124</v>
      </c>
      <c r="B237" s="59" t="inlineStr">
        <is>
          <t>NET PAYIN TO BSE MF A/C -57500000389146- FROM A/C -50100128155413- UCC -2554606-57500000389146</t>
        </is>
      </c>
      <c r="C237" s="59" t="inlineStr">
        <is>
          <t>0000000430612383</t>
        </is>
      </c>
      <c r="D237" s="58" t="n">
        <v>45124</v>
      </c>
      <c r="E237" s="59" t="n">
        <v>2500</v>
      </c>
      <c r="F237" s="59" t="n">
        <v>0</v>
      </c>
      <c r="G237" s="59" t="n">
        <v>23396.86</v>
      </c>
      <c r="H237" s="59" t="inlineStr"/>
      <c r="I237" s="59" t="inlineStr"/>
      <c r="J237" s="59" t="inlineStr">
        <is>
          <t>MF Investment</t>
        </is>
      </c>
      <c r="K237" s="59" t="inlineStr">
        <is>
          <t>Investments</t>
        </is>
      </c>
      <c r="L237" s="18" t="n">
        <v>0.9</v>
      </c>
      <c r="M237" s="59" t="inlineStr">
        <is>
          <t>N/A</t>
        </is>
      </c>
    </row>
    <row r="238">
      <c r="A238" s="41" t="n">
        <v>45124</v>
      </c>
      <c r="B238" s="42" t="inlineStr">
        <is>
          <t>NET PI TO HSL SEC A/C 2554606-00602340029427</t>
        </is>
      </c>
      <c r="C238" s="42" t="inlineStr">
        <is>
          <t>0000000430704708</t>
        </is>
      </c>
      <c r="D238" s="41" t="n">
        <v>45124</v>
      </c>
      <c r="E238" s="42" t="n">
        <v>350.64</v>
      </c>
      <c r="F238" s="42" t="n">
        <v>0</v>
      </c>
      <c r="G238" s="42" t="n">
        <v>23046.22</v>
      </c>
      <c r="H238" s="42" t="inlineStr"/>
      <c r="I238" s="42" t="inlineStr"/>
      <c r="J238" s="42" t="inlineStr">
        <is>
          <t>HDFC Securities - Buy</t>
        </is>
      </c>
      <c r="K238" s="42" t="inlineStr">
        <is>
          <t>HDFC Securities</t>
        </is>
      </c>
      <c r="L238" s="18" t="n">
        <v>0.97</v>
      </c>
      <c r="M238" s="42" t="inlineStr">
        <is>
          <t>N/A</t>
        </is>
      </c>
    </row>
    <row r="239">
      <c r="A239" s="54" t="n">
        <v>45124</v>
      </c>
      <c r="B239" s="55" t="inlineStr">
        <is>
          <t>NET PO FROM HSL A/C 2554606-00602340029427</t>
        </is>
      </c>
      <c r="C239" s="55" t="inlineStr">
        <is>
          <t>0000000430837118</t>
        </is>
      </c>
      <c r="D239" s="54" t="n">
        <v>45124</v>
      </c>
      <c r="E239" s="55" t="n">
        <v>0</v>
      </c>
      <c r="F239" s="55" t="n">
        <v>343.96</v>
      </c>
      <c r="G239" s="55" t="n">
        <v>23390.18</v>
      </c>
      <c r="H239" s="55" t="inlineStr"/>
      <c r="I239" s="55" t="inlineStr"/>
      <c r="J239" s="55" t="inlineStr">
        <is>
          <t>HDFC Securities - Sell</t>
        </is>
      </c>
      <c r="K239" s="55" t="inlineStr">
        <is>
          <t>HDFC Securities</t>
        </is>
      </c>
      <c r="L239" s="18" t="n">
        <v>0.97</v>
      </c>
      <c r="M239" s="55" t="inlineStr">
        <is>
          <t>N/A</t>
        </is>
      </c>
    </row>
    <row r="240">
      <c r="A240" s="54" t="n">
        <v>45124</v>
      </c>
      <c r="B240" s="55" t="inlineStr">
        <is>
          <t>NET PO FROM HSL A/C 2554606-00602340029427</t>
        </is>
      </c>
      <c r="C240" s="55" t="inlineStr">
        <is>
          <t>0000000431029697</t>
        </is>
      </c>
      <c r="D240" s="54" t="n">
        <v>45124</v>
      </c>
      <c r="E240" s="55" t="n">
        <v>0</v>
      </c>
      <c r="F240" s="55" t="n">
        <v>5658.17</v>
      </c>
      <c r="G240" s="55" t="n">
        <v>29048.35</v>
      </c>
      <c r="H240" s="55" t="inlineStr"/>
      <c r="I240" s="55" t="inlineStr"/>
      <c r="J240" s="55" t="inlineStr">
        <is>
          <t>HDFC Securities - Sell</t>
        </is>
      </c>
      <c r="K240" s="55" t="inlineStr">
        <is>
          <t>HDFC Securities</t>
        </is>
      </c>
      <c r="L240" s="18" t="n">
        <v>0.97</v>
      </c>
      <c r="M240" s="55" t="inlineStr">
        <is>
          <t>N/A</t>
        </is>
      </c>
    </row>
    <row r="241">
      <c r="A241" s="41" t="n">
        <v>45125</v>
      </c>
      <c r="B241" s="42" t="inlineStr">
        <is>
          <t>NET PI TO HSL SEC A/C 2554606-00602340029427</t>
        </is>
      </c>
      <c r="C241" s="42" t="inlineStr">
        <is>
          <t>0000000431201029</t>
        </is>
      </c>
      <c r="D241" s="41" t="n">
        <v>45125</v>
      </c>
      <c r="E241" s="42" t="n">
        <v>117.05</v>
      </c>
      <c r="F241" s="42" t="n">
        <v>0</v>
      </c>
      <c r="G241" s="42" t="n">
        <v>28931.3</v>
      </c>
      <c r="H241" s="42" t="inlineStr"/>
      <c r="I241" s="42" t="inlineStr"/>
      <c r="J241" s="42" t="inlineStr">
        <is>
          <t>HDFC Securities - Buy</t>
        </is>
      </c>
      <c r="K241" s="42" t="inlineStr">
        <is>
          <t>HDFC Securities</t>
        </is>
      </c>
      <c r="L241" s="18" t="n">
        <v>0.97</v>
      </c>
      <c r="M241" s="42" t="inlineStr">
        <is>
          <t>N/A</t>
        </is>
      </c>
    </row>
    <row r="242">
      <c r="A242" s="56" t="n">
        <v>45125</v>
      </c>
      <c r="B242" s="57" t="inlineStr">
        <is>
          <t>DEPOSITORY CHARGES JUN23 - 52812428</t>
        </is>
      </c>
      <c r="C242" s="57" t="inlineStr">
        <is>
          <t>000000000000000</t>
        </is>
      </c>
      <c r="D242" s="56" t="n">
        <v>45125</v>
      </c>
      <c r="E242" s="57" t="n">
        <v>406.16</v>
      </c>
      <c r="F242" s="57" t="n">
        <v>0</v>
      </c>
      <c r="G242" s="57" t="n">
        <v>28525.14</v>
      </c>
      <c r="H242" s="57" t="inlineStr"/>
      <c r="I242" s="57" t="inlineStr"/>
      <c r="J242" s="57" t="inlineStr">
        <is>
          <t>Depository Charges</t>
        </is>
      </c>
      <c r="K242" s="57" t="inlineStr">
        <is>
          <t>Depository Charges</t>
        </is>
      </c>
      <c r="L242" s="18" t="n">
        <v>0.93</v>
      </c>
      <c r="M242" s="57" t="inlineStr">
        <is>
          <t>N/A</t>
        </is>
      </c>
    </row>
    <row r="243">
      <c r="A243" s="19" t="n">
        <v>45125</v>
      </c>
      <c r="B243" s="20" t="inlineStr">
        <is>
          <t>APRJUN23 INSTAALERTCHG 30 SMS 220523-MIR2419958622424</t>
        </is>
      </c>
      <c r="C243" s="20" t="inlineStr">
        <is>
          <t>MIR2419958622424</t>
        </is>
      </c>
      <c r="D243" s="19" t="n">
        <v>45125</v>
      </c>
      <c r="E243" s="20" t="n">
        <v>7.08</v>
      </c>
      <c r="F243" s="20" t="n">
        <v>0</v>
      </c>
      <c r="G243" s="20" t="n">
        <v>28518.06</v>
      </c>
      <c r="H243" s="20" t="inlineStr"/>
      <c r="I243" s="20" t="inlineStr"/>
      <c r="J243" s="20" t="inlineStr">
        <is>
          <t>Bank Charges</t>
        </is>
      </c>
      <c r="K243" s="20" t="inlineStr">
        <is>
          <t>Bank Charges</t>
        </is>
      </c>
      <c r="L243" s="18" t="n">
        <v>0.9</v>
      </c>
      <c r="M243" s="20" t="inlineStr">
        <is>
          <t>N/A</t>
        </is>
      </c>
    </row>
    <row r="244">
      <c r="A244" s="54" t="n">
        <v>45126</v>
      </c>
      <c r="B244" s="55" t="inlineStr">
        <is>
          <t>NET PO FROM HSL A/C 2554606-00602340029427</t>
        </is>
      </c>
      <c r="C244" s="55" t="inlineStr">
        <is>
          <t>0000000431347927</t>
        </is>
      </c>
      <c r="D244" s="54" t="n">
        <v>45125</v>
      </c>
      <c r="E244" s="55" t="n">
        <v>0</v>
      </c>
      <c r="F244" s="55" t="n">
        <v>2937.29</v>
      </c>
      <c r="G244" s="55" t="n">
        <v>31455.35</v>
      </c>
      <c r="H244" s="55" t="inlineStr"/>
      <c r="I244" s="55" t="inlineStr"/>
      <c r="J244" s="55" t="inlineStr">
        <is>
          <t>HDFC Securities - Sell</t>
        </is>
      </c>
      <c r="K244" s="55" t="inlineStr">
        <is>
          <t>HDFC Securities</t>
        </is>
      </c>
      <c r="L244" s="18" t="n">
        <v>0.97</v>
      </c>
      <c r="M244" s="55" t="inlineStr">
        <is>
          <t>N/A</t>
        </is>
      </c>
    </row>
    <row r="245">
      <c r="A245" s="54" t="n">
        <v>45126</v>
      </c>
      <c r="B245" s="55" t="inlineStr">
        <is>
          <t>NET PO FROM HSL A/C 2554606-00602340029427</t>
        </is>
      </c>
      <c r="C245" s="55" t="inlineStr">
        <is>
          <t>0000000431595289</t>
        </is>
      </c>
      <c r="D245" s="54" t="n">
        <v>45126</v>
      </c>
      <c r="E245" s="55" t="n">
        <v>0</v>
      </c>
      <c r="F245" s="55" t="n">
        <v>20745.74</v>
      </c>
      <c r="G245" s="55" t="n">
        <v>52201.09</v>
      </c>
      <c r="H245" s="55" t="inlineStr"/>
      <c r="I245" s="55" t="inlineStr"/>
      <c r="J245" s="55" t="inlineStr">
        <is>
          <t>HDFC Securities - Sell</t>
        </is>
      </c>
      <c r="K245" s="55" t="inlineStr">
        <is>
          <t>HDFC Securities</t>
        </is>
      </c>
      <c r="L245" s="18" t="n">
        <v>0.97</v>
      </c>
      <c r="M245" s="55" t="inlineStr">
        <is>
          <t>N/A</t>
        </is>
      </c>
    </row>
    <row r="246">
      <c r="A246" s="64" t="n">
        <v>45126</v>
      </c>
      <c r="B246" s="65" t="inlineStr">
        <is>
          <t>ACH C- BOB DIVDND FY2022-23-9608629</t>
        </is>
      </c>
      <c r="C246" s="65" t="inlineStr">
        <is>
          <t>0000003558278672</t>
        </is>
      </c>
      <c r="D246" s="64" t="n">
        <v>45126</v>
      </c>
      <c r="E246" s="65" t="n">
        <v>0</v>
      </c>
      <c r="F246" s="65" t="n">
        <v>275</v>
      </c>
      <c r="G246" s="65" t="n">
        <v>52476.09</v>
      </c>
      <c r="H246" s="65" t="inlineStr"/>
      <c r="I246" s="65" t="inlineStr"/>
      <c r="J246" s="65" t="inlineStr">
        <is>
          <t>Dividend Income</t>
        </is>
      </c>
      <c r="K246" s="65" t="inlineStr">
        <is>
          <t>Dividend Income</t>
        </is>
      </c>
      <c r="L246" s="18" t="n">
        <v>0.88</v>
      </c>
      <c r="M246" s="65" t="inlineStr">
        <is>
          <t>N/A</t>
        </is>
      </c>
    </row>
    <row r="247">
      <c r="A247" s="41" t="n">
        <v>45126</v>
      </c>
      <c r="B247" s="42" t="inlineStr">
        <is>
          <t>NET PI TO HSL SEC A/C 2554606-00602340029427</t>
        </is>
      </c>
      <c r="C247" s="42" t="inlineStr">
        <is>
          <t>0000000431651063</t>
        </is>
      </c>
      <c r="D247" s="41" t="n">
        <v>45126</v>
      </c>
      <c r="E247" s="42" t="n">
        <v>465.99</v>
      </c>
      <c r="F247" s="42" t="n">
        <v>0</v>
      </c>
      <c r="G247" s="42" t="n">
        <v>52010.1</v>
      </c>
      <c r="H247" s="42" t="inlineStr"/>
      <c r="I247" s="42" t="inlineStr"/>
      <c r="J247" s="42" t="inlineStr">
        <is>
          <t>HDFC Securities - Buy</t>
        </is>
      </c>
      <c r="K247" s="42" t="inlineStr">
        <is>
          <t>HDFC Securities</t>
        </is>
      </c>
      <c r="L247" s="18" t="n">
        <v>0.97</v>
      </c>
      <c r="M247" s="42" t="inlineStr">
        <is>
          <t>N/A</t>
        </is>
      </c>
    </row>
    <row r="248">
      <c r="A248" s="54" t="n">
        <v>45126</v>
      </c>
      <c r="B248" s="55" t="inlineStr">
        <is>
          <t>NET PO FROM HSL A/C 2554606-00602340029427</t>
        </is>
      </c>
      <c r="C248" s="55" t="inlineStr">
        <is>
          <t>0000000431698145</t>
        </is>
      </c>
      <c r="D248" s="54" t="n">
        <v>45126</v>
      </c>
      <c r="E248" s="55" t="n">
        <v>0</v>
      </c>
      <c r="F248" s="55" t="n">
        <v>82.59999999999999</v>
      </c>
      <c r="G248" s="55" t="n">
        <v>52092.7</v>
      </c>
      <c r="H248" s="55" t="inlineStr"/>
      <c r="I248" s="55" t="inlineStr"/>
      <c r="J248" s="55" t="inlineStr">
        <is>
          <t>HDFC Securities - Sell</t>
        </is>
      </c>
      <c r="K248" s="55" t="inlineStr">
        <is>
          <t>HDFC Securities</t>
        </is>
      </c>
      <c r="L248" s="18" t="n">
        <v>0.97</v>
      </c>
      <c r="M248" s="55" t="inlineStr">
        <is>
          <t>N/A</t>
        </is>
      </c>
    </row>
    <row r="249">
      <c r="A249" s="54" t="n">
        <v>45127</v>
      </c>
      <c r="B249" s="55" t="inlineStr">
        <is>
          <t>NET PO FROM HSL A/C 2554606-00602340029427</t>
        </is>
      </c>
      <c r="C249" s="55" t="inlineStr">
        <is>
          <t>0000000431759213</t>
        </is>
      </c>
      <c r="D249" s="54" t="n">
        <v>45126</v>
      </c>
      <c r="E249" s="55" t="n">
        <v>0</v>
      </c>
      <c r="F249" s="55" t="n">
        <v>465.99</v>
      </c>
      <c r="G249" s="55" t="n">
        <v>52558.69</v>
      </c>
      <c r="H249" s="55" t="inlineStr"/>
      <c r="I249" s="55" t="inlineStr"/>
      <c r="J249" s="55" t="inlineStr">
        <is>
          <t>HDFC Securities - Sell</t>
        </is>
      </c>
      <c r="K249" s="55" t="inlineStr">
        <is>
          <t>HDFC Securities</t>
        </is>
      </c>
      <c r="L249" s="18" t="n">
        <v>0.97</v>
      </c>
      <c r="M249" s="55" t="inlineStr">
        <is>
          <t>N/A</t>
        </is>
      </c>
    </row>
    <row r="250">
      <c r="A250" s="41" t="n">
        <v>45127</v>
      </c>
      <c r="B250" s="42" t="inlineStr">
        <is>
          <t>NET PI TO HSL SEC A/C 2554606-00602340029427</t>
        </is>
      </c>
      <c r="C250" s="42" t="inlineStr">
        <is>
          <t>0000000431945263</t>
        </is>
      </c>
      <c r="D250" s="41" t="n">
        <v>45127</v>
      </c>
      <c r="E250" s="42" t="n">
        <v>113.92</v>
      </c>
      <c r="F250" s="42" t="n">
        <v>0</v>
      </c>
      <c r="G250" s="42" t="n">
        <v>52444.77</v>
      </c>
      <c r="H250" s="42" t="inlineStr"/>
      <c r="I250" s="42" t="inlineStr"/>
      <c r="J250" s="42" t="inlineStr">
        <is>
          <t>HDFC Securities - Buy</t>
        </is>
      </c>
      <c r="K250" s="42" t="inlineStr">
        <is>
          <t>HDFC Securities</t>
        </is>
      </c>
      <c r="L250" s="18" t="n">
        <v>0.97</v>
      </c>
      <c r="M250" s="42" t="inlineStr">
        <is>
          <t>N/A</t>
        </is>
      </c>
    </row>
    <row r="251">
      <c r="A251" s="54" t="n">
        <v>45127</v>
      </c>
      <c r="B251" s="55" t="inlineStr">
        <is>
          <t>NET PO FROM HSL A/C 2554606-00602340029427</t>
        </is>
      </c>
      <c r="C251" s="55" t="inlineStr">
        <is>
          <t>0000000431969977</t>
        </is>
      </c>
      <c r="D251" s="54" t="n">
        <v>45127</v>
      </c>
      <c r="E251" s="55" t="n">
        <v>0</v>
      </c>
      <c r="F251" s="55" t="n">
        <v>7180.08</v>
      </c>
      <c r="G251" s="55" t="n">
        <v>59624.85</v>
      </c>
      <c r="H251" s="55" t="inlineStr"/>
      <c r="I251" s="55" t="inlineStr"/>
      <c r="J251" s="55" t="inlineStr">
        <is>
          <t>HDFC Securities - Sell</t>
        </is>
      </c>
      <c r="K251" s="55" t="inlineStr">
        <is>
          <t>HDFC Securities</t>
        </is>
      </c>
      <c r="L251" s="18" t="n">
        <v>0.97</v>
      </c>
      <c r="M251" s="55" t="inlineStr">
        <is>
          <t>N/A</t>
        </is>
      </c>
    </row>
    <row r="252">
      <c r="A252" s="54" t="n">
        <v>45128</v>
      </c>
      <c r="B252" s="55" t="inlineStr">
        <is>
          <t>NET PO FROM HSL A/C 2554606-00602340029427</t>
        </is>
      </c>
      <c r="C252" s="55" t="inlineStr">
        <is>
          <t>0000000432087885</t>
        </is>
      </c>
      <c r="D252" s="54" t="n">
        <v>45127</v>
      </c>
      <c r="E252" s="55" t="n">
        <v>0</v>
      </c>
      <c r="F252" s="55" t="n">
        <v>44.98</v>
      </c>
      <c r="G252" s="55" t="n">
        <v>59669.83</v>
      </c>
      <c r="H252" s="55" t="inlineStr"/>
      <c r="I252" s="55" t="inlineStr"/>
      <c r="J252" s="55" t="inlineStr">
        <is>
          <t>HDFC Securities - Sell</t>
        </is>
      </c>
      <c r="K252" s="55" t="inlineStr">
        <is>
          <t>HDFC Securities</t>
        </is>
      </c>
      <c r="L252" s="18" t="n">
        <v>0.97</v>
      </c>
      <c r="M252" s="55" t="inlineStr">
        <is>
          <t>N/A</t>
        </is>
      </c>
    </row>
    <row r="253">
      <c r="A253" s="41" t="n">
        <v>45128</v>
      </c>
      <c r="B253" s="42" t="inlineStr">
        <is>
          <t>NET PI TO HSL SEC A/C 2554606-00602340029427</t>
        </is>
      </c>
      <c r="C253" s="42" t="inlineStr">
        <is>
          <t>0000000432328175</t>
        </is>
      </c>
      <c r="D253" s="41" t="n">
        <v>45128</v>
      </c>
      <c r="E253" s="42" t="n">
        <v>113.94</v>
      </c>
      <c r="F253" s="42" t="n">
        <v>0</v>
      </c>
      <c r="G253" s="42" t="n">
        <v>59555.89</v>
      </c>
      <c r="H253" s="42" t="inlineStr"/>
      <c r="I253" s="42" t="inlineStr"/>
      <c r="J253" s="42" t="inlineStr">
        <is>
          <t>HDFC Securities - Buy</t>
        </is>
      </c>
      <c r="K253" s="42" t="inlineStr">
        <is>
          <t>HDFC Securities</t>
        </is>
      </c>
      <c r="L253" s="18" t="n">
        <v>0.97</v>
      </c>
      <c r="M253" s="42" t="inlineStr">
        <is>
          <t>N/A</t>
        </is>
      </c>
    </row>
    <row r="254">
      <c r="A254" s="54" t="n">
        <v>45128</v>
      </c>
      <c r="B254" s="55" t="inlineStr">
        <is>
          <t>NET PO FROM HSL A/C 2554606-00602340029427</t>
        </is>
      </c>
      <c r="C254" s="55" t="inlineStr">
        <is>
          <t>0000000432337700</t>
        </is>
      </c>
      <c r="D254" s="54" t="n">
        <v>45128</v>
      </c>
      <c r="E254" s="55" t="n">
        <v>0</v>
      </c>
      <c r="F254" s="55" t="n">
        <v>17375.14</v>
      </c>
      <c r="G254" s="55" t="n">
        <v>76931.03</v>
      </c>
      <c r="H254" s="55" t="inlineStr"/>
      <c r="I254" s="55" t="inlineStr"/>
      <c r="J254" s="55" t="inlineStr">
        <is>
          <t>HDFC Securities - Sell</t>
        </is>
      </c>
      <c r="K254" s="55" t="inlineStr">
        <is>
          <t>HDFC Securities</t>
        </is>
      </c>
      <c r="L254" s="18" t="n">
        <v>0.97</v>
      </c>
      <c r="M254" s="55" t="inlineStr">
        <is>
          <t>N/A</t>
        </is>
      </c>
    </row>
    <row r="255">
      <c r="A255" s="64" t="n">
        <v>45128</v>
      </c>
      <c r="B255" s="65" t="inlineStr">
        <is>
          <t>ACH C- ALUFLUORIDE LIMITED-7556</t>
        </is>
      </c>
      <c r="C255" s="65" t="inlineStr">
        <is>
          <t>0000003615635303</t>
        </is>
      </c>
      <c r="D255" s="64" t="n">
        <v>45128</v>
      </c>
      <c r="E255" s="65" t="n">
        <v>0</v>
      </c>
      <c r="F255" s="65" t="n">
        <v>100</v>
      </c>
      <c r="G255" s="65" t="n">
        <v>77031.03</v>
      </c>
      <c r="H255" s="65" t="inlineStr"/>
      <c r="I255" s="65" t="inlineStr"/>
      <c r="J255" s="65" t="inlineStr">
        <is>
          <t>Dividend Income</t>
        </is>
      </c>
      <c r="K255" s="65" t="inlineStr">
        <is>
          <t>Dividend Income</t>
        </is>
      </c>
      <c r="L255" s="18" t="n">
        <v>0.88</v>
      </c>
      <c r="M255" s="65" t="inlineStr">
        <is>
          <t>N/A</t>
        </is>
      </c>
    </row>
    <row r="256">
      <c r="A256" s="41" t="n">
        <v>45128</v>
      </c>
      <c r="B256" s="42" t="inlineStr">
        <is>
          <t>NET PI TO HSL SEC A/C 2554606-00602340029427</t>
        </is>
      </c>
      <c r="C256" s="42" t="inlineStr">
        <is>
          <t>0000000432464769</t>
        </is>
      </c>
      <c r="D256" s="41" t="n">
        <v>45128</v>
      </c>
      <c r="E256" s="42" t="n">
        <v>108.48</v>
      </c>
      <c r="F256" s="42" t="n">
        <v>0</v>
      </c>
      <c r="G256" s="42" t="n">
        <v>76922.55</v>
      </c>
      <c r="H256" s="42" t="inlineStr"/>
      <c r="I256" s="42" t="inlineStr"/>
      <c r="J256" s="42" t="inlineStr">
        <is>
          <t>HDFC Securities - Buy</t>
        </is>
      </c>
      <c r="K256" s="42" t="inlineStr">
        <is>
          <t>HDFC Securities</t>
        </is>
      </c>
      <c r="L256" s="18" t="n">
        <v>0.97</v>
      </c>
      <c r="M256" s="42" t="inlineStr">
        <is>
          <t>N/A</t>
        </is>
      </c>
    </row>
    <row r="257">
      <c r="A257" s="66" t="n">
        <v>45129</v>
      </c>
      <c r="B257" s="67" t="inlineStr">
        <is>
          <t>84964259/HDFCLIFEULIP</t>
        </is>
      </c>
      <c r="C257" s="67" t="inlineStr">
        <is>
          <t>0002320322920809</t>
        </is>
      </c>
      <c r="D257" s="66" t="n">
        <v>45129</v>
      </c>
      <c r="E257" s="67" t="n">
        <v>50000</v>
      </c>
      <c r="F257" s="67" t="n">
        <v>0</v>
      </c>
      <c r="G257" s="67" t="n">
        <v>26922.55</v>
      </c>
      <c r="H257" s="67" t="inlineStr"/>
      <c r="I257" s="67" t="inlineStr"/>
      <c r="J257" s="67" t="inlineStr">
        <is>
          <t>Life Insurance Premium</t>
        </is>
      </c>
      <c r="K257" s="67" t="inlineStr">
        <is>
          <t>Life Insurance</t>
        </is>
      </c>
      <c r="L257" s="18" t="n">
        <v>0.9</v>
      </c>
      <c r="M257" s="67" t="inlineStr">
        <is>
          <t>N/A</t>
        </is>
      </c>
    </row>
    <row r="258">
      <c r="A258" s="64" t="n">
        <v>45131</v>
      </c>
      <c r="B258" s="65" t="inlineStr">
        <is>
          <t>ACH C- LTIMINDTREE FNL22 23-391050</t>
        </is>
      </c>
      <c r="C258" s="65" t="inlineStr">
        <is>
          <t>0000003651311998</t>
        </is>
      </c>
      <c r="D258" s="64" t="n">
        <v>45131</v>
      </c>
      <c r="E258" s="65" t="n">
        <v>0</v>
      </c>
      <c r="F258" s="65" t="n">
        <v>1160</v>
      </c>
      <c r="G258" s="65" t="n">
        <v>28082.55</v>
      </c>
      <c r="H258" s="65" t="inlineStr"/>
      <c r="I258" s="65" t="inlineStr"/>
      <c r="J258" s="65" t="inlineStr">
        <is>
          <t>Dividend Income</t>
        </is>
      </c>
      <c r="K258" s="65" t="inlineStr">
        <is>
          <t>Dividend Income</t>
        </is>
      </c>
      <c r="L258" s="18" t="n">
        <v>0.88</v>
      </c>
      <c r="M258" s="65" t="inlineStr">
        <is>
          <t>N/A</t>
        </is>
      </c>
    </row>
    <row r="259">
      <c r="A259" s="41" t="n">
        <v>45131</v>
      </c>
      <c r="B259" s="42" t="inlineStr">
        <is>
          <t>NET PI TO HSL SEC A/C 2554606-00602340029427</t>
        </is>
      </c>
      <c r="C259" s="42" t="inlineStr">
        <is>
          <t>0000000432760542</t>
        </is>
      </c>
      <c r="D259" s="41" t="n">
        <v>45131</v>
      </c>
      <c r="E259" s="42" t="n">
        <v>341.67</v>
      </c>
      <c r="F259" s="42" t="n">
        <v>0</v>
      </c>
      <c r="G259" s="42" t="n">
        <v>27740.88</v>
      </c>
      <c r="H259" s="42" t="inlineStr"/>
      <c r="I259" s="42" t="inlineStr"/>
      <c r="J259" s="42" t="inlineStr">
        <is>
          <t>HDFC Securities - Buy</t>
        </is>
      </c>
      <c r="K259" s="42" t="inlineStr">
        <is>
          <t>HDFC Securities</t>
        </is>
      </c>
      <c r="L259" s="18" t="n">
        <v>0.97</v>
      </c>
      <c r="M259" s="42" t="inlineStr">
        <is>
          <t>N/A</t>
        </is>
      </c>
    </row>
    <row r="260">
      <c r="A260" s="54" t="n">
        <v>45131</v>
      </c>
      <c r="B260" s="55" t="inlineStr">
        <is>
          <t>NET PO FROM HSL A/C 2554606-00602340029427</t>
        </is>
      </c>
      <c r="C260" s="55" t="inlineStr">
        <is>
          <t>0000000432906418</t>
        </is>
      </c>
      <c r="D260" s="54" t="n">
        <v>45131</v>
      </c>
      <c r="E260" s="55" t="n">
        <v>0</v>
      </c>
      <c r="F260" s="55" t="n">
        <v>144.55</v>
      </c>
      <c r="G260" s="55" t="n">
        <v>27885.43</v>
      </c>
      <c r="H260" s="55" t="inlineStr"/>
      <c r="I260" s="55" t="inlineStr"/>
      <c r="J260" s="55" t="inlineStr">
        <is>
          <t>HDFC Securities - Sell</t>
        </is>
      </c>
      <c r="K260" s="55" t="inlineStr">
        <is>
          <t>HDFC Securities</t>
        </is>
      </c>
      <c r="L260" s="18" t="n">
        <v>0.97</v>
      </c>
      <c r="M260" s="55" t="inlineStr">
        <is>
          <t>N/A</t>
        </is>
      </c>
    </row>
    <row r="261">
      <c r="A261" s="26" t="n">
        <v>45132</v>
      </c>
      <c r="B261" s="27" t="inlineStr">
        <is>
          <t>UPI-AJAY KUMAR GUPTA-AJAYGUPTANEL@YBL-HDFC0000167-357202875221-BORROW FROM AJAY</t>
        </is>
      </c>
      <c r="C261" s="27" t="inlineStr">
        <is>
          <t>0000357202875221</t>
        </is>
      </c>
      <c r="D261" s="26" t="n">
        <v>45132</v>
      </c>
      <c r="E261" s="27" t="n">
        <v>5000</v>
      </c>
      <c r="F261" s="27" t="n">
        <v>0</v>
      </c>
      <c r="G261" s="27" t="n">
        <v>22885.43</v>
      </c>
      <c r="H261" s="27" t="inlineStr"/>
      <c r="I261" s="27" t="inlineStr"/>
      <c r="J261" s="27" t="inlineStr">
        <is>
          <t>Transfer - Ajay Gupta</t>
        </is>
      </c>
      <c r="K261" s="27" t="inlineStr">
        <is>
          <t>Ajay Gupta</t>
        </is>
      </c>
      <c r="L261" s="18" t="n">
        <v>0.88</v>
      </c>
      <c r="M261" s="27" t="inlineStr">
        <is>
          <t>N/A</t>
        </is>
      </c>
    </row>
    <row r="262">
      <c r="A262" s="58" t="n">
        <v>45132</v>
      </c>
      <c r="B262" s="59" t="inlineStr">
        <is>
          <t>NET PAYIN TO BSE MF A/C -57500000389146- FROM A/C -50100128155413- UCC -2554606-57500000389146</t>
        </is>
      </c>
      <c r="C262" s="59" t="inlineStr">
        <is>
          <t>0000000433097818</t>
        </is>
      </c>
      <c r="D262" s="58" t="n">
        <v>45132</v>
      </c>
      <c r="E262" s="59" t="n">
        <v>2500</v>
      </c>
      <c r="F262" s="59" t="n">
        <v>0</v>
      </c>
      <c r="G262" s="59" t="n">
        <v>20385.43</v>
      </c>
      <c r="H262" s="59" t="inlineStr"/>
      <c r="I262" s="59" t="inlineStr"/>
      <c r="J262" s="59" t="inlineStr">
        <is>
          <t>MF Investment</t>
        </is>
      </c>
      <c r="K262" s="59" t="inlineStr">
        <is>
          <t>Investments</t>
        </is>
      </c>
      <c r="L262" s="18" t="n">
        <v>0.9</v>
      </c>
      <c r="M262" s="59" t="inlineStr">
        <is>
          <t>N/A</t>
        </is>
      </c>
    </row>
    <row r="263">
      <c r="A263" s="41" t="n">
        <v>45132</v>
      </c>
      <c r="B263" s="42" t="inlineStr">
        <is>
          <t>NET PI TO HSL SEC A/C 2554606-00602340029427</t>
        </is>
      </c>
      <c r="C263" s="42" t="inlineStr">
        <is>
          <t>0000000433176610</t>
        </is>
      </c>
      <c r="D263" s="41" t="n">
        <v>45132</v>
      </c>
      <c r="E263" s="42" t="n">
        <v>113.96</v>
      </c>
      <c r="F263" s="42" t="n">
        <v>0</v>
      </c>
      <c r="G263" s="42" t="n">
        <v>20271.47</v>
      </c>
      <c r="H263" s="42" t="inlineStr"/>
      <c r="I263" s="42" t="inlineStr"/>
      <c r="J263" s="42" t="inlineStr">
        <is>
          <t>HDFC Securities - Buy</t>
        </is>
      </c>
      <c r="K263" s="42" t="inlineStr">
        <is>
          <t>HDFC Securities</t>
        </is>
      </c>
      <c r="L263" s="18" t="n">
        <v>0.97</v>
      </c>
      <c r="M263" s="42" t="inlineStr">
        <is>
          <t>N/A</t>
        </is>
      </c>
    </row>
    <row r="264">
      <c r="A264" s="26" t="n">
        <v>45132</v>
      </c>
      <c r="B264" s="27" t="inlineStr">
        <is>
          <t>01671000085930-TPT-MONEY RETURNED-AJAY KUMAR GUPTA</t>
        </is>
      </c>
      <c r="C264" s="27" t="inlineStr">
        <is>
          <t>0000000101391184</t>
        </is>
      </c>
      <c r="D264" s="26" t="n">
        <v>45132</v>
      </c>
      <c r="E264" s="27" t="n">
        <v>0</v>
      </c>
      <c r="F264" s="27" t="n">
        <v>5000</v>
      </c>
      <c r="G264" s="27" t="n">
        <v>25271.47</v>
      </c>
      <c r="H264" s="27" t="inlineStr"/>
      <c r="I264" s="27" t="inlineStr"/>
      <c r="J264" s="27" t="inlineStr">
        <is>
          <t>Received - Ajay Gupta</t>
        </is>
      </c>
      <c r="K264" s="27" t="inlineStr">
        <is>
          <t>Ajay Gupta</t>
        </is>
      </c>
      <c r="L264" s="18" t="n">
        <v>0.88</v>
      </c>
      <c r="M264" s="27" t="inlineStr">
        <is>
          <t>N/A</t>
        </is>
      </c>
    </row>
    <row r="265">
      <c r="A265" s="54" t="n">
        <v>45132</v>
      </c>
      <c r="B265" s="55" t="inlineStr">
        <is>
          <t>NET PO FROM HSL A/C 2554606-00602340029427</t>
        </is>
      </c>
      <c r="C265" s="55" t="inlineStr">
        <is>
          <t>0000000433311841</t>
        </is>
      </c>
      <c r="D265" s="54" t="n">
        <v>45132</v>
      </c>
      <c r="E265" s="55" t="n">
        <v>0</v>
      </c>
      <c r="F265" s="55" t="n">
        <v>243.97</v>
      </c>
      <c r="G265" s="55" t="n">
        <v>25515.44</v>
      </c>
      <c r="H265" s="55" t="inlineStr"/>
      <c r="I265" s="55" t="inlineStr"/>
      <c r="J265" s="55" t="inlineStr">
        <is>
          <t>HDFC Securities - Sell</t>
        </is>
      </c>
      <c r="K265" s="55" t="inlineStr">
        <is>
          <t>HDFC Securities</t>
        </is>
      </c>
      <c r="L265" s="18" t="n">
        <v>0.97</v>
      </c>
      <c r="M265" s="55" t="inlineStr">
        <is>
          <t>N/A</t>
        </is>
      </c>
    </row>
    <row r="266">
      <c r="A266" s="41" t="n">
        <v>45133</v>
      </c>
      <c r="B266" s="42" t="inlineStr">
        <is>
          <t>NET PI TO HSL SEC A/C 2554606-00602340029427</t>
        </is>
      </c>
      <c r="C266" s="42" t="inlineStr">
        <is>
          <t>0000000433549172</t>
        </is>
      </c>
      <c r="D266" s="41" t="n">
        <v>45133</v>
      </c>
      <c r="E266" s="42" t="n">
        <v>114.08</v>
      </c>
      <c r="F266" s="42" t="n">
        <v>0</v>
      </c>
      <c r="G266" s="42" t="n">
        <v>25401.36</v>
      </c>
      <c r="H266" s="42" t="inlineStr"/>
      <c r="I266" s="42" t="inlineStr"/>
      <c r="J266" s="42" t="inlineStr">
        <is>
          <t>HDFC Securities - Buy</t>
        </is>
      </c>
      <c r="K266" s="42" t="inlineStr">
        <is>
          <t>HDFC Securities</t>
        </is>
      </c>
      <c r="L266" s="18" t="n">
        <v>0.97</v>
      </c>
      <c r="M266" s="42" t="inlineStr">
        <is>
          <t>N/A</t>
        </is>
      </c>
    </row>
    <row r="267">
      <c r="A267" s="54" t="n">
        <v>45133</v>
      </c>
      <c r="B267" s="55" t="inlineStr">
        <is>
          <t>NET PO FROM HSL A/C 2554606-00602340029427</t>
        </is>
      </c>
      <c r="C267" s="55" t="inlineStr">
        <is>
          <t>0000000433686174</t>
        </is>
      </c>
      <c r="D267" s="54" t="n">
        <v>45133</v>
      </c>
      <c r="E267" s="55" t="n">
        <v>0</v>
      </c>
      <c r="F267" s="55" t="n">
        <v>1797.08</v>
      </c>
      <c r="G267" s="55" t="n">
        <v>27198.44</v>
      </c>
      <c r="H267" s="55" t="inlineStr"/>
      <c r="I267" s="55" t="inlineStr"/>
      <c r="J267" s="55" t="inlineStr">
        <is>
          <t>HDFC Securities - Sell</t>
        </is>
      </c>
      <c r="K267" s="55" t="inlineStr">
        <is>
          <t>HDFC Securities</t>
        </is>
      </c>
      <c r="L267" s="18" t="n">
        <v>0.97</v>
      </c>
      <c r="M267" s="55" t="inlineStr">
        <is>
          <t>N/A</t>
        </is>
      </c>
    </row>
    <row r="268">
      <c r="A268" s="64" t="n">
        <v>45134</v>
      </c>
      <c r="B268" s="65" t="inlineStr">
        <is>
          <t>ACH C- IDBI BANK LIMITED-13351311</t>
        </is>
      </c>
      <c r="C268" s="65" t="inlineStr">
        <is>
          <t>0000003638347512</t>
        </is>
      </c>
      <c r="D268" s="64" t="n">
        <v>45134</v>
      </c>
      <c r="E268" s="65" t="n">
        <v>0</v>
      </c>
      <c r="F268" s="65" t="n">
        <v>600</v>
      </c>
      <c r="G268" s="65" t="n">
        <v>27798.44</v>
      </c>
      <c r="H268" s="65" t="inlineStr"/>
      <c r="I268" s="65" t="inlineStr"/>
      <c r="J268" s="65" t="inlineStr">
        <is>
          <t>Dividend Income</t>
        </is>
      </c>
      <c r="K268" s="65" t="inlineStr">
        <is>
          <t>Dividend Income</t>
        </is>
      </c>
      <c r="L268" s="18" t="n">
        <v>0.88</v>
      </c>
      <c r="M268" s="65" t="inlineStr">
        <is>
          <t>N/A</t>
        </is>
      </c>
    </row>
    <row r="269">
      <c r="A269" s="41" t="n">
        <v>45135</v>
      </c>
      <c r="B269" s="42" t="inlineStr">
        <is>
          <t>NET PI TO HSL SEC A/C 2554606-00602340029427</t>
        </is>
      </c>
      <c r="C269" s="42" t="inlineStr">
        <is>
          <t>0000000434078429</t>
        </is>
      </c>
      <c r="D269" s="41" t="n">
        <v>45135</v>
      </c>
      <c r="E269" s="42" t="n">
        <v>6724.1</v>
      </c>
      <c r="F269" s="42" t="n">
        <v>0</v>
      </c>
      <c r="G269" s="42" t="n">
        <v>21074.34</v>
      </c>
      <c r="H269" s="42" t="inlineStr"/>
      <c r="I269" s="42" t="inlineStr"/>
      <c r="J269" s="42" t="inlineStr">
        <is>
          <t>HDFC Securities - Buy</t>
        </is>
      </c>
      <c r="K269" s="42" t="inlineStr">
        <is>
          <t>HDFC Securities</t>
        </is>
      </c>
      <c r="L269" s="18" t="n">
        <v>0.97</v>
      </c>
      <c r="M269" s="42" t="inlineStr">
        <is>
          <t>N/A</t>
        </is>
      </c>
    </row>
    <row r="270">
      <c r="A270" s="41" t="n">
        <v>45135</v>
      </c>
      <c r="B270" s="42" t="inlineStr">
        <is>
          <t>NET PI TO HSL SEC A/C 2554606-00602340029427</t>
        </is>
      </c>
      <c r="C270" s="42" t="inlineStr">
        <is>
          <t>0000000434339050</t>
        </is>
      </c>
      <c r="D270" s="41" t="n">
        <v>45135</v>
      </c>
      <c r="E270" s="42" t="n">
        <v>108.2</v>
      </c>
      <c r="F270" s="42" t="n">
        <v>0</v>
      </c>
      <c r="G270" s="42" t="n">
        <v>20966.14</v>
      </c>
      <c r="H270" s="42" t="inlineStr"/>
      <c r="I270" s="42" t="inlineStr"/>
      <c r="J270" s="42" t="inlineStr">
        <is>
          <t>HDFC Securities - Buy</t>
        </is>
      </c>
      <c r="K270" s="42" t="inlineStr">
        <is>
          <t>HDFC Securities</t>
        </is>
      </c>
      <c r="L270" s="18" t="n">
        <v>0.97</v>
      </c>
      <c r="M270" s="42" t="inlineStr">
        <is>
          <t>N/A</t>
        </is>
      </c>
    </row>
    <row r="271">
      <c r="A271" s="41" t="n">
        <v>45136</v>
      </c>
      <c r="B271" s="42" t="inlineStr">
        <is>
          <t>NET PI TO HSL SEC A/C 2554606-00602340029427</t>
        </is>
      </c>
      <c r="C271" s="42" t="inlineStr">
        <is>
          <t>0000000434455804</t>
        </is>
      </c>
      <c r="D271" s="41" t="n">
        <v>45136</v>
      </c>
      <c r="E271" s="42" t="n">
        <v>343.38</v>
      </c>
      <c r="F271" s="42" t="n">
        <v>0</v>
      </c>
      <c r="G271" s="42" t="n">
        <v>20622.76</v>
      </c>
      <c r="H271" s="42" t="inlineStr"/>
      <c r="I271" s="42" t="inlineStr"/>
      <c r="J271" s="42" t="inlineStr">
        <is>
          <t>HDFC Securities - Buy</t>
        </is>
      </c>
      <c r="K271" s="42" t="inlineStr">
        <is>
          <t>HDFC Securities</t>
        </is>
      </c>
      <c r="L271" s="18" t="n">
        <v>0.97</v>
      </c>
      <c r="M271" s="42" t="inlineStr">
        <is>
          <t>N/A</t>
        </is>
      </c>
    </row>
    <row r="272">
      <c r="A272" s="41" t="n">
        <v>45138</v>
      </c>
      <c r="B272" s="42" t="inlineStr">
        <is>
          <t>NET PI TO HSL SEC A/C 2554606-00602340029427</t>
        </is>
      </c>
      <c r="C272" s="42" t="inlineStr">
        <is>
          <t>0000000434716588</t>
        </is>
      </c>
      <c r="D272" s="41" t="n">
        <v>45138</v>
      </c>
      <c r="E272" s="42" t="n">
        <v>360.15</v>
      </c>
      <c r="F272" s="42" t="n">
        <v>0</v>
      </c>
      <c r="G272" s="42" t="n">
        <v>20262.61</v>
      </c>
      <c r="H272" s="42" t="inlineStr"/>
      <c r="I272" s="42" t="inlineStr"/>
      <c r="J272" s="42" t="inlineStr">
        <is>
          <t>HDFC Securities - Buy</t>
        </is>
      </c>
      <c r="K272" s="42" t="inlineStr">
        <is>
          <t>HDFC Securities</t>
        </is>
      </c>
      <c r="L272" s="18" t="n">
        <v>0.97</v>
      </c>
      <c r="M272" s="42" t="inlineStr">
        <is>
          <t>N/A</t>
        </is>
      </c>
    </row>
    <row r="273">
      <c r="A273" s="54" t="n">
        <v>45138</v>
      </c>
      <c r="B273" s="55" t="inlineStr">
        <is>
          <t>NET PO FROM HSL A/C 2554606-00602340029427</t>
        </is>
      </c>
      <c r="C273" s="55" t="inlineStr">
        <is>
          <t>0000000434847368</t>
        </is>
      </c>
      <c r="D273" s="54" t="n">
        <v>45138</v>
      </c>
      <c r="E273" s="55" t="n">
        <v>0</v>
      </c>
      <c r="F273" s="55" t="n">
        <v>38.3</v>
      </c>
      <c r="G273" s="55" t="n">
        <v>20300.91</v>
      </c>
      <c r="H273" s="55" t="inlineStr"/>
      <c r="I273" s="55" t="inlineStr"/>
      <c r="J273" s="55" t="inlineStr">
        <is>
          <t>HDFC Securities - Sell</t>
        </is>
      </c>
      <c r="K273" s="55" t="inlineStr">
        <is>
          <t>HDFC Securities</t>
        </is>
      </c>
      <c r="L273" s="18" t="n">
        <v>0.97</v>
      </c>
      <c r="M273" s="55" t="inlineStr">
        <is>
          <t>N/A</t>
        </is>
      </c>
    </row>
    <row r="274">
      <c r="A274" s="41" t="n">
        <v>45139</v>
      </c>
      <c r="B274" s="42" t="inlineStr">
        <is>
          <t>NET PI TO HSL SEC A/C 2554606-00602340029427</t>
        </is>
      </c>
      <c r="C274" s="42" t="inlineStr">
        <is>
          <t>0000000435132695</t>
        </is>
      </c>
      <c r="D274" s="41" t="n">
        <v>45139</v>
      </c>
      <c r="E274" s="42" t="n">
        <v>120.07</v>
      </c>
      <c r="F274" s="42" t="n">
        <v>0</v>
      </c>
      <c r="G274" s="42" t="n">
        <v>20180.84</v>
      </c>
      <c r="H274" s="42" t="inlineStr"/>
      <c r="I274" s="42" t="inlineStr"/>
      <c r="J274" s="42" t="inlineStr">
        <is>
          <t>HDFC Securities - Buy</t>
        </is>
      </c>
      <c r="K274" s="42" t="inlineStr">
        <is>
          <t>HDFC Securities</t>
        </is>
      </c>
      <c r="L274" s="18" t="n">
        <v>0.97</v>
      </c>
      <c r="M274" s="42" t="inlineStr">
        <is>
          <t>N/A</t>
        </is>
      </c>
    </row>
    <row r="275">
      <c r="A275" s="41" t="n">
        <v>45139</v>
      </c>
      <c r="B275" s="42" t="inlineStr">
        <is>
          <t>NET PI TO HSL SEC A/C 2554606-00602340029427</t>
        </is>
      </c>
      <c r="C275" s="42" t="inlineStr">
        <is>
          <t>0000000435277948</t>
        </is>
      </c>
      <c r="D275" s="41" t="n">
        <v>45139</v>
      </c>
      <c r="E275" s="42" t="n">
        <v>20180.84</v>
      </c>
      <c r="F275" s="42" t="n">
        <v>0</v>
      </c>
      <c r="G275" s="42" t="n">
        <v>0</v>
      </c>
      <c r="H275" s="42" t="inlineStr"/>
      <c r="I275" s="42" t="inlineStr"/>
      <c r="J275" s="42" t="inlineStr">
        <is>
          <t>HDFC Securities - Buy</t>
        </is>
      </c>
      <c r="K275" s="42" t="inlineStr">
        <is>
          <t>HDFC Securities</t>
        </is>
      </c>
      <c r="L275" s="18" t="n">
        <v>0.97</v>
      </c>
      <c r="M275" s="42" t="inlineStr">
        <is>
          <t>N/A</t>
        </is>
      </c>
    </row>
    <row r="276">
      <c r="A276" s="54" t="n">
        <v>45139</v>
      </c>
      <c r="B276" s="55" t="inlineStr">
        <is>
          <t>NET PO FROM HSL A/C 2554606-00602340029427</t>
        </is>
      </c>
      <c r="C276" s="55" t="inlineStr">
        <is>
          <t>0000000435345178</t>
        </is>
      </c>
      <c r="D276" s="54" t="n">
        <v>45139</v>
      </c>
      <c r="E276" s="55" t="n">
        <v>0</v>
      </c>
      <c r="F276" s="55" t="n">
        <v>9827.540000000001</v>
      </c>
      <c r="G276" s="55" t="n">
        <v>9827.540000000001</v>
      </c>
      <c r="H276" s="55" t="inlineStr"/>
      <c r="I276" s="55" t="inlineStr"/>
      <c r="J276" s="55" t="inlineStr">
        <is>
          <t>HDFC Securities - Sell</t>
        </is>
      </c>
      <c r="K276" s="55" t="inlineStr">
        <is>
          <t>HDFC Securities</t>
        </is>
      </c>
      <c r="L276" s="18" t="n">
        <v>0.97</v>
      </c>
      <c r="M276" s="55" t="inlineStr">
        <is>
          <t>N/A</t>
        </is>
      </c>
    </row>
    <row r="277">
      <c r="A277" s="41" t="n">
        <v>45140</v>
      </c>
      <c r="B277" s="42" t="inlineStr">
        <is>
          <t>NET PI TO HSL SEC A/C 2554606-00602340029427</t>
        </is>
      </c>
      <c r="C277" s="42" t="inlineStr">
        <is>
          <t>0000000435699909</t>
        </is>
      </c>
      <c r="D277" s="41" t="n">
        <v>45140</v>
      </c>
      <c r="E277" s="42" t="n">
        <v>1508.23</v>
      </c>
      <c r="F277" s="42" t="n">
        <v>0</v>
      </c>
      <c r="G277" s="42" t="n">
        <v>8319.309999999999</v>
      </c>
      <c r="H277" s="42" t="inlineStr"/>
      <c r="I277" s="42" t="inlineStr"/>
      <c r="J277" s="42" t="inlineStr">
        <is>
          <t>HDFC Securities - Buy</t>
        </is>
      </c>
      <c r="K277" s="42" t="inlineStr">
        <is>
          <t>HDFC Securities</t>
        </is>
      </c>
      <c r="L277" s="18" t="n">
        <v>0.97</v>
      </c>
      <c r="M277" s="42" t="inlineStr">
        <is>
          <t>N/A</t>
        </is>
      </c>
    </row>
    <row r="278">
      <c r="A278" s="41" t="n">
        <v>45141</v>
      </c>
      <c r="B278" s="42" t="inlineStr">
        <is>
          <t>NET PI TO HSL SEC A/C 2554606-00602340029427</t>
        </is>
      </c>
      <c r="C278" s="42" t="inlineStr">
        <is>
          <t>0000000435983244</t>
        </is>
      </c>
      <c r="D278" s="41" t="n">
        <v>45141</v>
      </c>
      <c r="E278" s="42" t="n">
        <v>133.01</v>
      </c>
      <c r="F278" s="42" t="n">
        <v>0</v>
      </c>
      <c r="G278" s="42" t="n">
        <v>8186.3</v>
      </c>
      <c r="H278" s="42" t="inlineStr"/>
      <c r="I278" s="42" t="inlineStr"/>
      <c r="J278" s="42" t="inlineStr">
        <is>
          <t>HDFC Securities - Buy</t>
        </is>
      </c>
      <c r="K278" s="42" t="inlineStr">
        <is>
          <t>HDFC Securities</t>
        </is>
      </c>
      <c r="L278" s="18" t="n">
        <v>0.97</v>
      </c>
      <c r="M278" s="42" t="inlineStr">
        <is>
          <t>N/A</t>
        </is>
      </c>
    </row>
    <row r="279">
      <c r="A279" s="41" t="n">
        <v>45141</v>
      </c>
      <c r="B279" s="42" t="inlineStr">
        <is>
          <t>NET PI TO HSL SEC A/C 2554606-00602340029427</t>
        </is>
      </c>
      <c r="C279" s="42" t="inlineStr">
        <is>
          <t>0000000436263052</t>
        </is>
      </c>
      <c r="D279" s="41" t="n">
        <v>45141</v>
      </c>
      <c r="E279" s="42" t="n">
        <v>967.62</v>
      </c>
      <c r="F279" s="42" t="n">
        <v>0</v>
      </c>
      <c r="G279" s="42" t="n">
        <v>7218.68</v>
      </c>
      <c r="H279" s="42" t="inlineStr"/>
      <c r="I279" s="42" t="inlineStr"/>
      <c r="J279" s="42" t="inlineStr">
        <is>
          <t>HDFC Securities - Buy</t>
        </is>
      </c>
      <c r="K279" s="42" t="inlineStr">
        <is>
          <t>HDFC Securities</t>
        </is>
      </c>
      <c r="L279" s="18" t="n">
        <v>0.97</v>
      </c>
      <c r="M279" s="42" t="inlineStr">
        <is>
          <t>N/A</t>
        </is>
      </c>
    </row>
    <row r="280">
      <c r="A280" s="41" t="n">
        <v>45142</v>
      </c>
      <c r="B280" s="42" t="inlineStr">
        <is>
          <t>NET PI TO HSL SEC A/C 2554606-00602340029427</t>
        </is>
      </c>
      <c r="C280" s="42" t="inlineStr">
        <is>
          <t>0000000436508988</t>
        </is>
      </c>
      <c r="D280" s="41" t="n">
        <v>45142</v>
      </c>
      <c r="E280" s="42" t="n">
        <v>132.53</v>
      </c>
      <c r="F280" s="42" t="n">
        <v>0</v>
      </c>
      <c r="G280" s="42" t="n">
        <v>7086.15</v>
      </c>
      <c r="H280" s="42" t="inlineStr"/>
      <c r="I280" s="42" t="inlineStr"/>
      <c r="J280" s="42" t="inlineStr">
        <is>
          <t>HDFC Securities - Buy</t>
        </is>
      </c>
      <c r="K280" s="42" t="inlineStr">
        <is>
          <t>HDFC Securities</t>
        </is>
      </c>
      <c r="L280" s="18" t="n">
        <v>0.97</v>
      </c>
      <c r="M280" s="42" t="inlineStr">
        <is>
          <t>N/A</t>
        </is>
      </c>
    </row>
    <row r="281">
      <c r="A281" s="41" t="n">
        <v>45142</v>
      </c>
      <c r="B281" s="42" t="inlineStr">
        <is>
          <t>NET PI TO HSL SEC A/C 2554606-00602340029427</t>
        </is>
      </c>
      <c r="C281" s="42" t="inlineStr">
        <is>
          <t>0000000436652647</t>
        </is>
      </c>
      <c r="D281" s="41" t="n">
        <v>45142</v>
      </c>
      <c r="E281" s="42" t="n">
        <v>7086.15</v>
      </c>
      <c r="F281" s="42" t="n">
        <v>0</v>
      </c>
      <c r="G281" s="42" t="n">
        <v>0</v>
      </c>
      <c r="H281" s="42" t="inlineStr"/>
      <c r="I281" s="42" t="inlineStr"/>
      <c r="J281" s="42" t="inlineStr">
        <is>
          <t>HDFC Securities - Buy</t>
        </is>
      </c>
      <c r="K281" s="42" t="inlineStr">
        <is>
          <t>HDFC Securities</t>
        </is>
      </c>
      <c r="L281" s="18" t="n">
        <v>0.97</v>
      </c>
      <c r="M281" s="42" t="inlineStr">
        <is>
          <t>N/A</t>
        </is>
      </c>
    </row>
    <row r="282">
      <c r="A282" s="26" t="n">
        <v>45143</v>
      </c>
      <c r="B282" s="27" t="inlineStr">
        <is>
          <t>01671000085930-TPT-BORW FROM AJAY-AJAY KUMAR GUPTA</t>
        </is>
      </c>
      <c r="C282" s="27" t="inlineStr">
        <is>
          <t>0000000246111258</t>
        </is>
      </c>
      <c r="D282" s="26" t="n">
        <v>45143</v>
      </c>
      <c r="E282" s="27" t="n">
        <v>0</v>
      </c>
      <c r="F282" s="27" t="n">
        <v>25000</v>
      </c>
      <c r="G282" s="27" t="n">
        <v>25000</v>
      </c>
      <c r="H282" s="27" t="inlineStr"/>
      <c r="I282" s="27" t="inlineStr"/>
      <c r="J282" s="27" t="inlineStr">
        <is>
          <t>Received - Ajay Gupta</t>
        </is>
      </c>
      <c r="K282" s="27" t="inlineStr">
        <is>
          <t>Ajay Gupta</t>
        </is>
      </c>
      <c r="L282" s="18" t="n">
        <v>0.88</v>
      </c>
      <c r="M282" s="27" t="inlineStr">
        <is>
          <t>N/A</t>
        </is>
      </c>
    </row>
    <row r="283">
      <c r="A283" s="41" t="n">
        <v>45145</v>
      </c>
      <c r="B283" s="42" t="inlineStr">
        <is>
          <t>NET PI TO HSL SEC A/C 2554606-00602340029427</t>
        </is>
      </c>
      <c r="C283" s="42" t="inlineStr">
        <is>
          <t>0000000436860564</t>
        </is>
      </c>
      <c r="D283" s="41" t="n">
        <v>45145</v>
      </c>
      <c r="E283" s="42" t="n">
        <v>24124.85</v>
      </c>
      <c r="F283" s="42" t="n">
        <v>0</v>
      </c>
      <c r="G283" s="42" t="n">
        <v>875.15</v>
      </c>
      <c r="H283" s="42" t="inlineStr"/>
      <c r="I283" s="42" t="inlineStr"/>
      <c r="J283" s="42" t="inlineStr">
        <is>
          <t>HDFC Securities - Buy</t>
        </is>
      </c>
      <c r="K283" s="42" t="inlineStr">
        <is>
          <t>HDFC Securities</t>
        </is>
      </c>
      <c r="L283" s="18" t="n">
        <v>0.97</v>
      </c>
      <c r="M283" s="42" t="inlineStr">
        <is>
          <t>N/A</t>
        </is>
      </c>
    </row>
    <row r="284">
      <c r="A284" s="26" t="n">
        <v>45145</v>
      </c>
      <c r="B284" s="27" t="inlineStr">
        <is>
          <t>UPI-AJAY KUMAR GUPTA-AJAYGUPTANEL@YBL-HDFC0000167-358542458244-BORROW FROM AKG</t>
        </is>
      </c>
      <c r="C284" s="27" t="inlineStr">
        <is>
          <t>0000358542458244</t>
        </is>
      </c>
      <c r="D284" s="26" t="n">
        <v>45145</v>
      </c>
      <c r="E284" s="27" t="n">
        <v>0</v>
      </c>
      <c r="F284" s="27" t="n">
        <v>10000</v>
      </c>
      <c r="G284" s="27" t="n">
        <v>10875.15</v>
      </c>
      <c r="H284" s="27" t="inlineStr"/>
      <c r="I284" s="27" t="inlineStr"/>
      <c r="J284" s="27" t="inlineStr">
        <is>
          <t>Received - Ajay Gupta</t>
        </is>
      </c>
      <c r="K284" s="27" t="inlineStr">
        <is>
          <t>Ajay Gupta</t>
        </is>
      </c>
      <c r="L284" s="18" t="n">
        <v>0.88</v>
      </c>
      <c r="M284" s="27" t="inlineStr">
        <is>
          <t>N/A</t>
        </is>
      </c>
    </row>
    <row r="285">
      <c r="A285" s="41" t="n">
        <v>45145</v>
      </c>
      <c r="B285" s="42" t="inlineStr">
        <is>
          <t>NET PI TO HSL SEC A/C 2554606-00602340029427</t>
        </is>
      </c>
      <c r="C285" s="42" t="inlineStr">
        <is>
          <t>0000000437015024</t>
        </is>
      </c>
      <c r="D285" s="41" t="n">
        <v>45145</v>
      </c>
      <c r="E285" s="42" t="n">
        <v>10875.15</v>
      </c>
      <c r="F285" s="42" t="n">
        <v>0</v>
      </c>
      <c r="G285" s="42" t="n">
        <v>0</v>
      </c>
      <c r="H285" s="42" t="inlineStr"/>
      <c r="I285" s="42" t="inlineStr"/>
      <c r="J285" s="42" t="inlineStr">
        <is>
          <t>HDFC Securities - Buy</t>
        </is>
      </c>
      <c r="K285" s="42" t="inlineStr">
        <is>
          <t>HDFC Securities</t>
        </is>
      </c>
      <c r="L285" s="18" t="n">
        <v>0.97</v>
      </c>
      <c r="M285" s="42" t="inlineStr">
        <is>
          <t>N/A</t>
        </is>
      </c>
    </row>
    <row r="286">
      <c r="A286" s="64" t="n">
        <v>45145</v>
      </c>
      <c r="B286" s="65" t="inlineStr">
        <is>
          <t>ACH C- MAHINDRA &amp; MAHINDRA-40494263</t>
        </is>
      </c>
      <c r="C286" s="65" t="inlineStr">
        <is>
          <t>0000004261634433</t>
        </is>
      </c>
      <c r="D286" s="64" t="n">
        <v>45145</v>
      </c>
      <c r="E286" s="65" t="n">
        <v>0</v>
      </c>
      <c r="F286" s="65" t="n">
        <v>162.5</v>
      </c>
      <c r="G286" s="65" t="n">
        <v>162.5</v>
      </c>
      <c r="H286" s="65" t="inlineStr"/>
      <c r="I286" s="65" t="inlineStr"/>
      <c r="J286" s="65" t="inlineStr">
        <is>
          <t>Dividend Income</t>
        </is>
      </c>
      <c r="K286" s="65" t="inlineStr">
        <is>
          <t>Dividend Income</t>
        </is>
      </c>
      <c r="L286" s="18" t="n">
        <v>0.88</v>
      </c>
      <c r="M286" s="65" t="inlineStr">
        <is>
          <t>N/A</t>
        </is>
      </c>
    </row>
    <row r="287">
      <c r="A287" s="64" t="n">
        <v>45145</v>
      </c>
      <c r="B287" s="65" t="inlineStr">
        <is>
          <t>ACH C- TCS1STINTDIV070823-1772629</t>
        </is>
      </c>
      <c r="C287" s="65" t="inlineStr">
        <is>
          <t>0000004276696480</t>
        </is>
      </c>
      <c r="D287" s="64" t="n">
        <v>45145</v>
      </c>
      <c r="E287" s="65" t="n">
        <v>0</v>
      </c>
      <c r="F287" s="65" t="n">
        <v>207</v>
      </c>
      <c r="G287" s="65" t="n">
        <v>369.5</v>
      </c>
      <c r="H287" s="65" t="inlineStr"/>
      <c r="I287" s="65" t="inlineStr"/>
      <c r="J287" s="65" t="inlineStr">
        <is>
          <t>Dividend Income</t>
        </is>
      </c>
      <c r="K287" s="65" t="inlineStr">
        <is>
          <t>Dividend Income</t>
        </is>
      </c>
      <c r="L287" s="18" t="n">
        <v>0.88</v>
      </c>
      <c r="M287" s="65" t="inlineStr">
        <is>
          <t>N/A</t>
        </is>
      </c>
    </row>
    <row r="288">
      <c r="A288" s="23" t="n">
        <v>45145</v>
      </c>
      <c r="B288" s="24" t="inlineStr">
        <is>
          <t>00602300000434-023090899</t>
        </is>
      </c>
      <c r="C288" s="24" t="inlineStr">
        <is>
          <t>0000308072555992</t>
        </is>
      </c>
      <c r="D288" s="23" t="n">
        <v>45145</v>
      </c>
      <c r="E288" s="24" t="n">
        <v>0</v>
      </c>
      <c r="F288" s="24" t="n">
        <v>1880</v>
      </c>
      <c r="G288" s="24" t="n">
        <v>2249.5</v>
      </c>
      <c r="H288" s="24" t="inlineStr"/>
      <c r="I288" s="24" t="inlineStr"/>
      <c r="J288" s="24" t="inlineStr">
        <is>
          <t>What is this?</t>
        </is>
      </c>
      <c r="K288" s="24" t="inlineStr">
        <is>
          <t>Suspense</t>
        </is>
      </c>
      <c r="L288" s="25" t="n">
        <v>0</v>
      </c>
      <c r="M288" s="24" t="inlineStr">
        <is>
          <t>N/A</t>
        </is>
      </c>
    </row>
    <row r="289">
      <c r="A289" s="26" t="n">
        <v>45145</v>
      </c>
      <c r="B289" s="27" t="inlineStr">
        <is>
          <t>01671000085930-TPT-BORROW FROM AJAY-AJAY KUMAR GUPTA</t>
        </is>
      </c>
      <c r="C289" s="27" t="inlineStr">
        <is>
          <t>0000000155895867</t>
        </is>
      </c>
      <c r="D289" s="26" t="n">
        <v>45145</v>
      </c>
      <c r="E289" s="27" t="n">
        <v>0</v>
      </c>
      <c r="F289" s="27" t="n">
        <v>25000</v>
      </c>
      <c r="G289" s="27" t="n">
        <v>27249.5</v>
      </c>
      <c r="H289" s="27" t="inlineStr"/>
      <c r="I289" s="27" t="inlineStr"/>
      <c r="J289" s="27" t="inlineStr">
        <is>
          <t>Received - Ajay Gupta</t>
        </is>
      </c>
      <c r="K289" s="27" t="inlineStr">
        <is>
          <t>Ajay Gupta</t>
        </is>
      </c>
      <c r="L289" s="18" t="n">
        <v>0.88</v>
      </c>
      <c r="M289" s="27" t="inlineStr">
        <is>
          <t>N/A</t>
        </is>
      </c>
    </row>
    <row r="290">
      <c r="A290" s="41" t="n">
        <v>45146</v>
      </c>
      <c r="B290" s="42" t="inlineStr">
        <is>
          <t>NET PI TO HSL SEC A/C 2554606-00602340029427</t>
        </is>
      </c>
      <c r="C290" s="42" t="inlineStr">
        <is>
          <t>0000000437149919</t>
        </is>
      </c>
      <c r="D290" s="41" t="n">
        <v>45146</v>
      </c>
      <c r="E290" s="42" t="n">
        <v>13883.68</v>
      </c>
      <c r="F290" s="42" t="n">
        <v>0</v>
      </c>
      <c r="G290" s="42" t="n">
        <v>13365.82</v>
      </c>
      <c r="H290" s="42" t="inlineStr"/>
      <c r="I290" s="42" t="inlineStr"/>
      <c r="J290" s="42" t="inlineStr">
        <is>
          <t>HDFC Securities - Buy</t>
        </is>
      </c>
      <c r="K290" s="42" t="inlineStr">
        <is>
          <t>HDFC Securities</t>
        </is>
      </c>
      <c r="L290" s="18" t="n">
        <v>0.97</v>
      </c>
      <c r="M290" s="42" t="inlineStr">
        <is>
          <t>N/A</t>
        </is>
      </c>
    </row>
    <row r="291">
      <c r="A291" s="54" t="n">
        <v>45146</v>
      </c>
      <c r="B291" s="55" t="inlineStr">
        <is>
          <t>NET PO FROM HSL A/C 2554606-00602340029427</t>
        </is>
      </c>
      <c r="C291" s="55" t="inlineStr">
        <is>
          <t>0000000437225003</t>
        </is>
      </c>
      <c r="D291" s="54" t="n">
        <v>45145</v>
      </c>
      <c r="E291" s="55" t="n">
        <v>0</v>
      </c>
      <c r="F291" s="55" t="n">
        <v>24124.85</v>
      </c>
      <c r="G291" s="55" t="n">
        <v>37490.67</v>
      </c>
      <c r="H291" s="55" t="inlineStr"/>
      <c r="I291" s="55" t="inlineStr"/>
      <c r="J291" s="55" t="inlineStr">
        <is>
          <t>HDFC Securities - Sell</t>
        </is>
      </c>
      <c r="K291" s="55" t="inlineStr">
        <is>
          <t>HDFC Securities</t>
        </is>
      </c>
      <c r="L291" s="18" t="n">
        <v>0.97</v>
      </c>
      <c r="M291" s="55" t="inlineStr">
        <is>
          <t>N/A</t>
        </is>
      </c>
    </row>
    <row r="292">
      <c r="A292" s="41" t="n">
        <v>45146</v>
      </c>
      <c r="B292" s="42" t="inlineStr">
        <is>
          <t>NET PI TO HSL SEC A/C 2554606-00602340029427</t>
        </is>
      </c>
      <c r="C292" s="42" t="inlineStr">
        <is>
          <t>0000000437416555</t>
        </is>
      </c>
      <c r="D292" s="41" t="n">
        <v>45146</v>
      </c>
      <c r="E292" s="42" t="n">
        <v>113.72</v>
      </c>
      <c r="F292" s="42" t="n">
        <v>0</v>
      </c>
      <c r="G292" s="42" t="n">
        <v>37376.95</v>
      </c>
      <c r="H292" s="42" t="inlineStr"/>
      <c r="I292" s="42" t="inlineStr"/>
      <c r="J292" s="42" t="inlineStr">
        <is>
          <t>HDFC Securities - Buy</t>
        </is>
      </c>
      <c r="K292" s="42" t="inlineStr">
        <is>
          <t>HDFC Securities</t>
        </is>
      </c>
      <c r="L292" s="18" t="n">
        <v>0.97</v>
      </c>
      <c r="M292" s="42" t="inlineStr">
        <is>
          <t>N/A</t>
        </is>
      </c>
    </row>
    <row r="293">
      <c r="A293" s="64" t="n">
        <v>45146</v>
      </c>
      <c r="B293" s="65" t="inlineStr">
        <is>
          <t>ALEMBIC PHA DIV22 2300000000000000017339</t>
        </is>
      </c>
      <c r="C293" s="65" t="inlineStr">
        <is>
          <t>0000232190018217</t>
        </is>
      </c>
      <c r="D293" s="64" t="n">
        <v>45146</v>
      </c>
      <c r="E293" s="65" t="n">
        <v>0</v>
      </c>
      <c r="F293" s="65" t="n">
        <v>640</v>
      </c>
      <c r="G293" s="65" t="n">
        <v>38016.95</v>
      </c>
      <c r="H293" s="65" t="inlineStr"/>
      <c r="I293" s="65" t="inlineStr"/>
      <c r="J293" s="65" t="inlineStr">
        <is>
          <t>Dividend Income</t>
        </is>
      </c>
      <c r="K293" s="65" t="inlineStr">
        <is>
          <t>Dividend Income</t>
        </is>
      </c>
      <c r="L293" s="18" t="n">
        <v>0.85</v>
      </c>
      <c r="M293" s="65" t="inlineStr">
        <is>
          <t>N/A</t>
        </is>
      </c>
    </row>
    <row r="294">
      <c r="A294" s="54" t="n">
        <v>45146</v>
      </c>
      <c r="B294" s="55" t="inlineStr">
        <is>
          <t>NET PO FROM HSL A/C 2554606-00602340029427</t>
        </is>
      </c>
      <c r="C294" s="55" t="inlineStr">
        <is>
          <t>0000000437563749</t>
        </is>
      </c>
      <c r="D294" s="54" t="n">
        <v>45146</v>
      </c>
      <c r="E294" s="55" t="n">
        <v>0</v>
      </c>
      <c r="F294" s="55" t="n">
        <v>4.88</v>
      </c>
      <c r="G294" s="55" t="n">
        <v>38021.83</v>
      </c>
      <c r="H294" s="55" t="inlineStr"/>
      <c r="I294" s="55" t="inlineStr"/>
      <c r="J294" s="55" t="inlineStr">
        <is>
          <t>HDFC Securities - Sell</t>
        </is>
      </c>
      <c r="K294" s="55" t="inlineStr">
        <is>
          <t>HDFC Securities</t>
        </is>
      </c>
      <c r="L294" s="18" t="n">
        <v>0.97</v>
      </c>
      <c r="M294" s="55" t="inlineStr">
        <is>
          <t>N/A</t>
        </is>
      </c>
    </row>
    <row r="295">
      <c r="A295" s="41" t="n">
        <v>45147</v>
      </c>
      <c r="B295" s="42" t="inlineStr">
        <is>
          <t>NET PI TO HSL SEC A/C 2554606-00602340029427</t>
        </is>
      </c>
      <c r="C295" s="42" t="inlineStr">
        <is>
          <t>0000000437813804</t>
        </is>
      </c>
      <c r="D295" s="41" t="n">
        <v>45147</v>
      </c>
      <c r="E295" s="42" t="n">
        <v>113.72</v>
      </c>
      <c r="F295" s="42" t="n">
        <v>0</v>
      </c>
      <c r="G295" s="42" t="n">
        <v>37908.11</v>
      </c>
      <c r="H295" s="42" t="inlineStr"/>
      <c r="I295" s="42" t="inlineStr"/>
      <c r="J295" s="42" t="inlineStr">
        <is>
          <t>HDFC Securities - Buy</t>
        </is>
      </c>
      <c r="K295" s="42" t="inlineStr">
        <is>
          <t>HDFC Securities</t>
        </is>
      </c>
      <c r="L295" s="18" t="n">
        <v>0.97</v>
      </c>
      <c r="M295" s="42" t="inlineStr">
        <is>
          <t>N/A</t>
        </is>
      </c>
    </row>
    <row r="296">
      <c r="A296" s="41" t="n">
        <v>45147</v>
      </c>
      <c r="B296" s="42" t="inlineStr">
        <is>
          <t>NET PI TO HSL SEC A/C 2554606-00602340029427</t>
        </is>
      </c>
      <c r="C296" s="42" t="inlineStr">
        <is>
          <t>0000000437941390</t>
        </is>
      </c>
      <c r="D296" s="41" t="n">
        <v>45147</v>
      </c>
      <c r="E296" s="42" t="n">
        <v>34.55</v>
      </c>
      <c r="F296" s="42" t="n">
        <v>0</v>
      </c>
      <c r="G296" s="42" t="n">
        <v>37873.56</v>
      </c>
      <c r="H296" s="42" t="inlineStr"/>
      <c r="I296" s="42" t="inlineStr"/>
      <c r="J296" s="42" t="inlineStr">
        <is>
          <t>HDFC Securities - Buy</t>
        </is>
      </c>
      <c r="K296" s="42" t="inlineStr">
        <is>
          <t>HDFC Securities</t>
        </is>
      </c>
      <c r="L296" s="18" t="n">
        <v>0.97</v>
      </c>
      <c r="M296" s="42" t="inlineStr">
        <is>
          <t>N/A</t>
        </is>
      </c>
    </row>
    <row r="297">
      <c r="A297" s="41" t="n">
        <v>45148</v>
      </c>
      <c r="B297" s="42" t="inlineStr">
        <is>
          <t>NET PI TO HSL SEC A/C 2554606-00602340029427</t>
        </is>
      </c>
      <c r="C297" s="42" t="inlineStr">
        <is>
          <t>0000000438240164</t>
        </is>
      </c>
      <c r="D297" s="41" t="n">
        <v>45148</v>
      </c>
      <c r="E297" s="42" t="n">
        <v>113.7</v>
      </c>
      <c r="F297" s="42" t="n">
        <v>0</v>
      </c>
      <c r="G297" s="42" t="n">
        <v>37759.86</v>
      </c>
      <c r="H297" s="42" t="inlineStr"/>
      <c r="I297" s="42" t="inlineStr"/>
      <c r="J297" s="42" t="inlineStr">
        <is>
          <t>HDFC Securities - Buy</t>
        </is>
      </c>
      <c r="K297" s="42" t="inlineStr">
        <is>
          <t>HDFC Securities</t>
        </is>
      </c>
      <c r="L297" s="18" t="n">
        <v>0.97</v>
      </c>
      <c r="M297" s="42" t="inlineStr">
        <is>
          <t>N/A</t>
        </is>
      </c>
    </row>
    <row r="298">
      <c r="A298" s="41" t="n">
        <v>45149</v>
      </c>
      <c r="B298" s="42" t="inlineStr">
        <is>
          <t>NET PI TO HSL SEC A/C 2554606-00602340029427</t>
        </is>
      </c>
      <c r="C298" s="42" t="inlineStr">
        <is>
          <t>0000000438380114</t>
        </is>
      </c>
      <c r="D298" s="41" t="n">
        <v>45149</v>
      </c>
      <c r="E298" s="42" t="n">
        <v>179.44</v>
      </c>
      <c r="F298" s="42" t="n">
        <v>0</v>
      </c>
      <c r="G298" s="42" t="n">
        <v>37580.42</v>
      </c>
      <c r="H298" s="42" t="inlineStr"/>
      <c r="I298" s="42" t="inlineStr"/>
      <c r="J298" s="42" t="inlineStr">
        <is>
          <t>HDFC Securities - Buy</t>
        </is>
      </c>
      <c r="K298" s="42" t="inlineStr">
        <is>
          <t>HDFC Securities</t>
        </is>
      </c>
      <c r="L298" s="18" t="n">
        <v>0.97</v>
      </c>
      <c r="M298" s="42" t="inlineStr">
        <is>
          <t>N/A</t>
        </is>
      </c>
    </row>
    <row r="299">
      <c r="A299" s="58" t="n">
        <v>45149</v>
      </c>
      <c r="B299" s="59" t="inlineStr">
        <is>
          <t>NET PAYIN TO BSE MF A/C -57500000389146- FROM A/C -50100128155413- UCC -2554606-57500000389146</t>
        </is>
      </c>
      <c r="C299" s="59" t="inlineStr">
        <is>
          <t>0000000438579583</t>
        </is>
      </c>
      <c r="D299" s="58" t="n">
        <v>45149</v>
      </c>
      <c r="E299" s="59" t="n">
        <v>3000</v>
      </c>
      <c r="F299" s="59" t="n">
        <v>0</v>
      </c>
      <c r="G299" s="59" t="n">
        <v>34580.42</v>
      </c>
      <c r="H299" s="59" t="inlineStr"/>
      <c r="I299" s="59" t="inlineStr"/>
      <c r="J299" s="59" t="inlineStr">
        <is>
          <t>MF Investment</t>
        </is>
      </c>
      <c r="K299" s="59" t="inlineStr">
        <is>
          <t>Investments</t>
        </is>
      </c>
      <c r="L299" s="18" t="n">
        <v>0.9</v>
      </c>
      <c r="M299" s="59" t="inlineStr">
        <is>
          <t>N/A</t>
        </is>
      </c>
    </row>
    <row r="300">
      <c r="A300" s="41" t="n">
        <v>45149</v>
      </c>
      <c r="B300" s="42" t="inlineStr">
        <is>
          <t>NET PI TO HSL SEC A/C 2554606-00602340029427</t>
        </is>
      </c>
      <c r="C300" s="42" t="inlineStr">
        <is>
          <t>0000000438653615</t>
        </is>
      </c>
      <c r="D300" s="41" t="n">
        <v>45149</v>
      </c>
      <c r="E300" s="42" t="n">
        <v>113.61</v>
      </c>
      <c r="F300" s="42" t="n">
        <v>0</v>
      </c>
      <c r="G300" s="42" t="n">
        <v>34466.81</v>
      </c>
      <c r="H300" s="42" t="inlineStr"/>
      <c r="I300" s="42" t="inlineStr"/>
      <c r="J300" s="42" t="inlineStr">
        <is>
          <t>HDFC Securities - Buy</t>
        </is>
      </c>
      <c r="K300" s="42" t="inlineStr">
        <is>
          <t>HDFC Securities</t>
        </is>
      </c>
      <c r="L300" s="18" t="n">
        <v>0.97</v>
      </c>
      <c r="M300" s="42" t="inlineStr">
        <is>
          <t>N/A</t>
        </is>
      </c>
    </row>
    <row r="301">
      <c r="A301" s="41" t="n">
        <v>45149</v>
      </c>
      <c r="B301" s="42" t="inlineStr">
        <is>
          <t>NET PI TO HSL SEC A/C 2554606-00602340029427</t>
        </is>
      </c>
      <c r="C301" s="42" t="inlineStr">
        <is>
          <t>0000000438785584</t>
        </is>
      </c>
      <c r="D301" s="41" t="n">
        <v>45149</v>
      </c>
      <c r="E301" s="42" t="n">
        <v>201.59</v>
      </c>
      <c r="F301" s="42" t="n">
        <v>0</v>
      </c>
      <c r="G301" s="42" t="n">
        <v>34265.22</v>
      </c>
      <c r="H301" s="42" t="inlineStr"/>
      <c r="I301" s="42" t="inlineStr"/>
      <c r="J301" s="42" t="inlineStr">
        <is>
          <t>HDFC Securities - Buy</t>
        </is>
      </c>
      <c r="K301" s="42" t="inlineStr">
        <is>
          <t>HDFC Securities</t>
        </is>
      </c>
      <c r="L301" s="18" t="n">
        <v>0.97</v>
      </c>
      <c r="M301" s="42" t="inlineStr">
        <is>
          <t>N/A</t>
        </is>
      </c>
    </row>
    <row r="302">
      <c r="A302" s="64" t="n">
        <v>45152</v>
      </c>
      <c r="B302" s="65" t="inlineStr">
        <is>
          <t>1108486372 HDFC BANK DIVIDEND 2022-2023</t>
        </is>
      </c>
      <c r="C302" s="65" t="inlineStr">
        <is>
          <t>0000110823122514</t>
        </is>
      </c>
      <c r="D302" s="64" t="n">
        <v>45152</v>
      </c>
      <c r="E302" s="65" t="n">
        <v>0</v>
      </c>
      <c r="F302" s="65" t="n">
        <v>285</v>
      </c>
      <c r="G302" s="65" t="n">
        <v>34550.22</v>
      </c>
      <c r="H302" s="65" t="inlineStr"/>
      <c r="I302" s="65" t="inlineStr"/>
      <c r="J302" s="65" t="inlineStr">
        <is>
          <t>Dividend Income</t>
        </is>
      </c>
      <c r="K302" s="65" t="inlineStr">
        <is>
          <t>Dividend Income</t>
        </is>
      </c>
      <c r="L302" s="18" t="n">
        <v>0.85</v>
      </c>
      <c r="M302" s="65" t="inlineStr">
        <is>
          <t>N/A</t>
        </is>
      </c>
    </row>
    <row r="303">
      <c r="A303" s="58" t="n">
        <v>45152</v>
      </c>
      <c r="B303" s="59" t="inlineStr">
        <is>
          <t>NET PAYIN TO NSE MF A/C -00990610005906- FROM A/C -50100128155413- UCC -2554606-00990610005906</t>
        </is>
      </c>
      <c r="C303" s="59" t="inlineStr">
        <is>
          <t>0000000439008880</t>
        </is>
      </c>
      <c r="D303" s="58" t="n">
        <v>45152</v>
      </c>
      <c r="E303" s="59" t="n">
        <v>3000</v>
      </c>
      <c r="F303" s="59" t="n">
        <v>0</v>
      </c>
      <c r="G303" s="59" t="n">
        <v>31550.22</v>
      </c>
      <c r="H303" s="59" t="inlineStr"/>
      <c r="I303" s="59" t="inlineStr"/>
      <c r="J303" s="59" t="inlineStr">
        <is>
          <t>MF Investment</t>
        </is>
      </c>
      <c r="K303" s="59" t="inlineStr">
        <is>
          <t>Investments</t>
        </is>
      </c>
      <c r="L303" s="18" t="n">
        <v>0.9</v>
      </c>
      <c r="M303" s="59" t="inlineStr">
        <is>
          <t>N/A</t>
        </is>
      </c>
    </row>
    <row r="304">
      <c r="A304" s="41" t="n">
        <v>45152</v>
      </c>
      <c r="B304" s="42" t="inlineStr">
        <is>
          <t>NET PI TO HSL SEC A/C 2554606-00602340029427</t>
        </is>
      </c>
      <c r="C304" s="42" t="inlineStr">
        <is>
          <t>0000000439087975</t>
        </is>
      </c>
      <c r="D304" s="41" t="n">
        <v>45152</v>
      </c>
      <c r="E304" s="42" t="n">
        <v>340.53</v>
      </c>
      <c r="F304" s="42" t="n">
        <v>0</v>
      </c>
      <c r="G304" s="42" t="n">
        <v>31209.69</v>
      </c>
      <c r="H304" s="42" t="inlineStr"/>
      <c r="I304" s="42" t="inlineStr"/>
      <c r="J304" s="42" t="inlineStr">
        <is>
          <t>HDFC Securities - Buy</t>
        </is>
      </c>
      <c r="K304" s="42" t="inlineStr">
        <is>
          <t>HDFC Securities</t>
        </is>
      </c>
      <c r="L304" s="18" t="n">
        <v>0.97</v>
      </c>
      <c r="M304" s="42" t="inlineStr">
        <is>
          <t>N/A</t>
        </is>
      </c>
    </row>
    <row r="305">
      <c r="A305" s="41" t="n">
        <v>45152</v>
      </c>
      <c r="B305" s="42" t="inlineStr">
        <is>
          <t>NET PI TO HSL SEC A/C 2554606-00602340029427</t>
        </is>
      </c>
      <c r="C305" s="42" t="inlineStr">
        <is>
          <t>0000000439245920</t>
        </is>
      </c>
      <c r="D305" s="41" t="n">
        <v>45152</v>
      </c>
      <c r="E305" s="42" t="n">
        <v>448.83</v>
      </c>
      <c r="F305" s="42" t="n">
        <v>0</v>
      </c>
      <c r="G305" s="42" t="n">
        <v>30760.86</v>
      </c>
      <c r="H305" s="42" t="inlineStr"/>
      <c r="I305" s="42" t="inlineStr"/>
      <c r="J305" s="42" t="inlineStr">
        <is>
          <t>HDFC Securities - Buy</t>
        </is>
      </c>
      <c r="K305" s="42" t="inlineStr">
        <is>
          <t>HDFC Securities</t>
        </is>
      </c>
      <c r="L305" s="18" t="n">
        <v>0.97</v>
      </c>
      <c r="M305" s="42" t="inlineStr">
        <is>
          <t>N/A</t>
        </is>
      </c>
    </row>
    <row r="306">
      <c r="A306" s="58" t="n">
        <v>45154</v>
      </c>
      <c r="B306" s="59" t="inlineStr">
        <is>
          <t>NET PAYIN TO BSE MF A/C -57500000389146- FROM A/C -50100128155413- UCC -2554606-57500000389146</t>
        </is>
      </c>
      <c r="C306" s="59" t="inlineStr">
        <is>
          <t>0000000439440609</t>
        </is>
      </c>
      <c r="D306" s="58" t="n">
        <v>45154</v>
      </c>
      <c r="E306" s="59" t="n">
        <v>2500</v>
      </c>
      <c r="F306" s="59" t="n">
        <v>0</v>
      </c>
      <c r="G306" s="59" t="n">
        <v>28260.86</v>
      </c>
      <c r="H306" s="59" t="inlineStr"/>
      <c r="I306" s="59" t="inlineStr"/>
      <c r="J306" s="59" t="inlineStr">
        <is>
          <t>MF Investment</t>
        </is>
      </c>
      <c r="K306" s="59" t="inlineStr">
        <is>
          <t>Investments</t>
        </is>
      </c>
      <c r="L306" s="18" t="n">
        <v>0.9</v>
      </c>
      <c r="M306" s="59" t="inlineStr">
        <is>
          <t>N/A</t>
        </is>
      </c>
    </row>
    <row r="307">
      <c r="A307" s="41" t="n">
        <v>45154</v>
      </c>
      <c r="B307" s="42" t="inlineStr">
        <is>
          <t>NET PI TO HSL SEC A/C 2554606-00602340029427</t>
        </is>
      </c>
      <c r="C307" s="42" t="inlineStr">
        <is>
          <t>0000000439538950</t>
        </is>
      </c>
      <c r="D307" s="41" t="n">
        <v>45154</v>
      </c>
      <c r="E307" s="42" t="n">
        <v>226.58</v>
      </c>
      <c r="F307" s="42" t="n">
        <v>0</v>
      </c>
      <c r="G307" s="42" t="n">
        <v>28034.28</v>
      </c>
      <c r="H307" s="42" t="inlineStr"/>
      <c r="I307" s="42" t="inlineStr"/>
      <c r="J307" s="42" t="inlineStr">
        <is>
          <t>HDFC Securities - Buy</t>
        </is>
      </c>
      <c r="K307" s="42" t="inlineStr">
        <is>
          <t>HDFC Securities</t>
        </is>
      </c>
      <c r="L307" s="18" t="n">
        <v>0.97</v>
      </c>
      <c r="M307" s="42" t="inlineStr">
        <is>
          <t>N/A</t>
        </is>
      </c>
    </row>
    <row r="308">
      <c r="A308" s="41" t="n">
        <v>45155</v>
      </c>
      <c r="B308" s="42" t="inlineStr">
        <is>
          <t>NET PI TO HSL SEC A/C 2554606-00602340029427</t>
        </is>
      </c>
      <c r="C308" s="42" t="inlineStr">
        <is>
          <t>0000000439871613</t>
        </is>
      </c>
      <c r="D308" s="41" t="n">
        <v>45155</v>
      </c>
      <c r="E308" s="42" t="n">
        <v>113.31</v>
      </c>
      <c r="F308" s="42" t="n">
        <v>0</v>
      </c>
      <c r="G308" s="42" t="n">
        <v>27920.97</v>
      </c>
      <c r="H308" s="42" t="inlineStr"/>
      <c r="I308" s="42" t="inlineStr"/>
      <c r="J308" s="42" t="inlineStr">
        <is>
          <t>HDFC Securities - Buy</t>
        </is>
      </c>
      <c r="K308" s="42" t="inlineStr">
        <is>
          <t>HDFC Securities</t>
        </is>
      </c>
      <c r="L308" s="18" t="n">
        <v>0.97</v>
      </c>
      <c r="M308" s="42" t="inlineStr">
        <is>
          <t>N/A</t>
        </is>
      </c>
    </row>
    <row r="309">
      <c r="A309" s="54" t="n">
        <v>45155</v>
      </c>
      <c r="B309" s="55" t="inlineStr">
        <is>
          <t>NET PO FROM HSL A/C 2554606-00602340029427</t>
        </is>
      </c>
      <c r="C309" s="55" t="inlineStr">
        <is>
          <t>0000000440021445</t>
        </is>
      </c>
      <c r="D309" s="54" t="n">
        <v>45155</v>
      </c>
      <c r="E309" s="55" t="n">
        <v>0</v>
      </c>
      <c r="F309" s="55" t="n">
        <v>111.15</v>
      </c>
      <c r="G309" s="55" t="n">
        <v>28032.12</v>
      </c>
      <c r="H309" s="55" t="inlineStr"/>
      <c r="I309" s="55" t="inlineStr"/>
      <c r="J309" s="55" t="inlineStr">
        <is>
          <t>HDFC Securities - Sell</t>
        </is>
      </c>
      <c r="K309" s="55" t="inlineStr">
        <is>
          <t>HDFC Securities</t>
        </is>
      </c>
      <c r="L309" s="18" t="n">
        <v>0.97</v>
      </c>
      <c r="M309" s="55" t="inlineStr">
        <is>
          <t>N/A</t>
        </is>
      </c>
    </row>
    <row r="310">
      <c r="A310" s="54" t="n">
        <v>45155</v>
      </c>
      <c r="B310" s="55" t="inlineStr">
        <is>
          <t>NET PO FROM HSL A/C 2554606-00602340029427</t>
        </is>
      </c>
      <c r="C310" s="55" t="inlineStr">
        <is>
          <t>0000000440090517</t>
        </is>
      </c>
      <c r="D310" s="54" t="n">
        <v>45155</v>
      </c>
      <c r="E310" s="55" t="n">
        <v>0</v>
      </c>
      <c r="F310" s="55" t="n">
        <v>44.58</v>
      </c>
      <c r="G310" s="55" t="n">
        <v>28076.7</v>
      </c>
      <c r="H310" s="55" t="inlineStr"/>
      <c r="I310" s="55" t="inlineStr"/>
      <c r="J310" s="55" t="inlineStr">
        <is>
          <t>HDFC Securities - Sell</t>
        </is>
      </c>
      <c r="K310" s="55" t="inlineStr">
        <is>
          <t>HDFC Securities</t>
        </is>
      </c>
      <c r="L310" s="18" t="n">
        <v>0.97</v>
      </c>
      <c r="M310" s="55" t="inlineStr">
        <is>
          <t>N/A</t>
        </is>
      </c>
    </row>
    <row r="311">
      <c r="A311" s="41" t="n">
        <v>45156</v>
      </c>
      <c r="B311" s="42" t="inlineStr">
        <is>
          <t>NET PI TO HSL SEC A/C 2554606-00602340029427</t>
        </is>
      </c>
      <c r="C311" s="42" t="inlineStr">
        <is>
          <t>0000000440304719</t>
        </is>
      </c>
      <c r="D311" s="41" t="n">
        <v>45156</v>
      </c>
      <c r="E311" s="42" t="n">
        <v>113.37</v>
      </c>
      <c r="F311" s="42" t="n">
        <v>0</v>
      </c>
      <c r="G311" s="42" t="n">
        <v>27963.33</v>
      </c>
      <c r="H311" s="42" t="inlineStr"/>
      <c r="I311" s="42" t="inlineStr"/>
      <c r="J311" s="42" t="inlineStr">
        <is>
          <t>HDFC Securities - Buy</t>
        </is>
      </c>
      <c r="K311" s="42" t="inlineStr">
        <is>
          <t>HDFC Securities</t>
        </is>
      </c>
      <c r="L311" s="18" t="n">
        <v>0.97</v>
      </c>
      <c r="M311" s="42" t="inlineStr">
        <is>
          <t>N/A</t>
        </is>
      </c>
    </row>
    <row r="312">
      <c r="A312" s="56" t="n">
        <v>45156</v>
      </c>
      <c r="B312" s="57" t="inlineStr">
        <is>
          <t>DEPOSITORY CHARGES JUL23 - 52812428</t>
        </is>
      </c>
      <c r="C312" s="57" t="inlineStr">
        <is>
          <t>000000000000000</t>
        </is>
      </c>
      <c r="D312" s="56" t="n">
        <v>45156</v>
      </c>
      <c r="E312" s="57" t="n">
        <v>778.8</v>
      </c>
      <c r="F312" s="57" t="n">
        <v>0</v>
      </c>
      <c r="G312" s="57" t="n">
        <v>27184.53</v>
      </c>
      <c r="H312" s="57" t="inlineStr"/>
      <c r="I312" s="57" t="inlineStr"/>
      <c r="J312" s="57" t="inlineStr">
        <is>
          <t>Depository Charges</t>
        </is>
      </c>
      <c r="K312" s="57" t="inlineStr">
        <is>
          <t>Depository Charges</t>
        </is>
      </c>
      <c r="L312" s="18" t="n">
        <v>0.93</v>
      </c>
      <c r="M312" s="57" t="inlineStr">
        <is>
          <t>N/A</t>
        </is>
      </c>
    </row>
    <row r="313">
      <c r="A313" s="41" t="n">
        <v>45156</v>
      </c>
      <c r="B313" s="42" t="inlineStr">
        <is>
          <t>NET PI TO HSL SEC A/C 2554606-00602340029427</t>
        </is>
      </c>
      <c r="C313" s="42" t="inlineStr">
        <is>
          <t>0000000440458462</t>
        </is>
      </c>
      <c r="D313" s="41" t="n">
        <v>45156</v>
      </c>
      <c r="E313" s="42" t="n">
        <v>113.17</v>
      </c>
      <c r="F313" s="42" t="n">
        <v>0</v>
      </c>
      <c r="G313" s="42" t="n">
        <v>27071.36</v>
      </c>
      <c r="H313" s="42" t="inlineStr"/>
      <c r="I313" s="42" t="inlineStr"/>
      <c r="J313" s="42" t="inlineStr">
        <is>
          <t>HDFC Securities - Buy</t>
        </is>
      </c>
      <c r="K313" s="42" t="inlineStr">
        <is>
          <t>HDFC Securities</t>
        </is>
      </c>
      <c r="L313" s="18" t="n">
        <v>0.97</v>
      </c>
      <c r="M313" s="42" t="inlineStr">
        <is>
          <t>N/A</t>
        </is>
      </c>
    </row>
    <row r="314">
      <c r="A314" s="41" t="n">
        <v>45159</v>
      </c>
      <c r="B314" s="42" t="inlineStr">
        <is>
          <t>NET PI TO HSL SEC A/C 2554606-00602340029427</t>
        </is>
      </c>
      <c r="C314" s="42" t="inlineStr">
        <is>
          <t>0000000440746354</t>
        </is>
      </c>
      <c r="D314" s="41" t="n">
        <v>45159</v>
      </c>
      <c r="E314" s="42" t="n">
        <v>339.93</v>
      </c>
      <c r="F314" s="42" t="n">
        <v>0</v>
      </c>
      <c r="G314" s="42" t="n">
        <v>26731.43</v>
      </c>
      <c r="H314" s="42" t="inlineStr"/>
      <c r="I314" s="42" t="inlineStr"/>
      <c r="J314" s="42" t="inlineStr">
        <is>
          <t>HDFC Securities - Buy</t>
        </is>
      </c>
      <c r="K314" s="42" t="inlineStr">
        <is>
          <t>HDFC Securities</t>
        </is>
      </c>
      <c r="L314" s="18" t="n">
        <v>0.97</v>
      </c>
      <c r="M314" s="42" t="inlineStr">
        <is>
          <t>N/A</t>
        </is>
      </c>
    </row>
    <row r="315">
      <c r="A315" s="41" t="n">
        <v>45159</v>
      </c>
      <c r="B315" s="42" t="inlineStr">
        <is>
          <t>NET PI TO HSL SEC A/C 2554606-00602340029427</t>
        </is>
      </c>
      <c r="C315" s="42" t="inlineStr">
        <is>
          <t>0000000440903675</t>
        </is>
      </c>
      <c r="D315" s="41" t="n">
        <v>45159</v>
      </c>
      <c r="E315" s="42" t="n">
        <v>86.56</v>
      </c>
      <c r="F315" s="42" t="n">
        <v>0</v>
      </c>
      <c r="G315" s="42" t="n">
        <v>26644.87</v>
      </c>
      <c r="H315" s="42" t="inlineStr"/>
      <c r="I315" s="42" t="inlineStr"/>
      <c r="J315" s="42" t="inlineStr">
        <is>
          <t>HDFC Securities - Buy</t>
        </is>
      </c>
      <c r="K315" s="42" t="inlineStr">
        <is>
          <t>HDFC Securities</t>
        </is>
      </c>
      <c r="L315" s="18" t="n">
        <v>0.97</v>
      </c>
      <c r="M315" s="42" t="inlineStr">
        <is>
          <t>N/A</t>
        </is>
      </c>
    </row>
    <row r="316">
      <c r="A316" s="41" t="n">
        <v>45160</v>
      </c>
      <c r="B316" s="42" t="inlineStr">
        <is>
          <t>NET PI TO HSL SEC A/C 2554606-00602340029427</t>
        </is>
      </c>
      <c r="C316" s="42" t="inlineStr">
        <is>
          <t>0000000441195793</t>
        </is>
      </c>
      <c r="D316" s="41" t="n">
        <v>45160</v>
      </c>
      <c r="E316" s="42" t="n">
        <v>113.27</v>
      </c>
      <c r="F316" s="42" t="n">
        <v>0</v>
      </c>
      <c r="G316" s="42" t="n">
        <v>26531.6</v>
      </c>
      <c r="H316" s="42" t="inlineStr"/>
      <c r="I316" s="42" t="inlineStr"/>
      <c r="J316" s="42" t="inlineStr">
        <is>
          <t>HDFC Securities - Buy</t>
        </is>
      </c>
      <c r="K316" s="42" t="inlineStr">
        <is>
          <t>HDFC Securities</t>
        </is>
      </c>
      <c r="L316" s="18" t="n">
        <v>0.97</v>
      </c>
      <c r="M316" s="42" t="inlineStr">
        <is>
          <t>N/A</t>
        </is>
      </c>
    </row>
    <row r="317">
      <c r="A317" s="41" t="n">
        <v>45160</v>
      </c>
      <c r="B317" s="42" t="inlineStr">
        <is>
          <t>NET PI TO HSL SEC A/C 2554606-00602340029427</t>
        </is>
      </c>
      <c r="C317" s="42" t="inlineStr">
        <is>
          <t>0000000441321510</t>
        </is>
      </c>
      <c r="D317" s="41" t="n">
        <v>45160</v>
      </c>
      <c r="E317" s="42" t="n">
        <v>118.89</v>
      </c>
      <c r="F317" s="42" t="n">
        <v>0</v>
      </c>
      <c r="G317" s="42" t="n">
        <v>26412.71</v>
      </c>
      <c r="H317" s="42" t="inlineStr"/>
      <c r="I317" s="42" t="inlineStr"/>
      <c r="J317" s="42" t="inlineStr">
        <is>
          <t>HDFC Securities - Buy</t>
        </is>
      </c>
      <c r="K317" s="42" t="inlineStr">
        <is>
          <t>HDFC Securities</t>
        </is>
      </c>
      <c r="L317" s="18" t="n">
        <v>0.97</v>
      </c>
      <c r="M317" s="42" t="inlineStr">
        <is>
          <t>N/A</t>
        </is>
      </c>
    </row>
    <row r="318">
      <c r="A318" s="41" t="n">
        <v>45161</v>
      </c>
      <c r="B318" s="42" t="inlineStr">
        <is>
          <t>NET PI TO HSL SEC A/C 2554606-00602340029427</t>
        </is>
      </c>
      <c r="C318" s="42" t="inlineStr">
        <is>
          <t>0000000441585027</t>
        </is>
      </c>
      <c r="D318" s="41" t="n">
        <v>45161</v>
      </c>
      <c r="E318" s="42" t="n">
        <v>113.21</v>
      </c>
      <c r="F318" s="42" t="n">
        <v>0</v>
      </c>
      <c r="G318" s="42" t="n">
        <v>26299.5</v>
      </c>
      <c r="H318" s="42" t="inlineStr"/>
      <c r="I318" s="42" t="inlineStr"/>
      <c r="J318" s="42" t="inlineStr">
        <is>
          <t>HDFC Securities - Buy</t>
        </is>
      </c>
      <c r="K318" s="42" t="inlineStr">
        <is>
          <t>HDFC Securities</t>
        </is>
      </c>
      <c r="L318" s="18" t="n">
        <v>0.97</v>
      </c>
      <c r="M318" s="42" t="inlineStr">
        <is>
          <t>N/A</t>
        </is>
      </c>
    </row>
    <row r="319">
      <c r="A319" s="58" t="n">
        <v>45161</v>
      </c>
      <c r="B319" s="59" t="inlineStr">
        <is>
          <t>NET PAYIN TO NSE MF A/C -00990610005906- FROM A/C -50100128155413- UCC -2554606-00990610005906</t>
        </is>
      </c>
      <c r="C319" s="59" t="inlineStr">
        <is>
          <t>0000000441609985</t>
        </is>
      </c>
      <c r="D319" s="58" t="n">
        <v>45161</v>
      </c>
      <c r="E319" s="59" t="n">
        <v>5000</v>
      </c>
      <c r="F319" s="59" t="n">
        <v>0</v>
      </c>
      <c r="G319" s="59" t="n">
        <v>21299.5</v>
      </c>
      <c r="H319" s="59" t="inlineStr"/>
      <c r="I319" s="59" t="inlineStr"/>
      <c r="J319" s="59" t="inlineStr">
        <is>
          <t>MF Investment</t>
        </is>
      </c>
      <c r="K319" s="59" t="inlineStr">
        <is>
          <t>Investments</t>
        </is>
      </c>
      <c r="L319" s="18" t="n">
        <v>0.9</v>
      </c>
      <c r="M319" s="59" t="inlineStr">
        <is>
          <t>N/A</t>
        </is>
      </c>
    </row>
    <row r="320">
      <c r="A320" s="41" t="n">
        <v>45161</v>
      </c>
      <c r="B320" s="42" t="inlineStr">
        <is>
          <t>NET PI TO HSL SEC A/C 2554606-00602340029427</t>
        </is>
      </c>
      <c r="C320" s="42" t="inlineStr">
        <is>
          <t>0000000441666920</t>
        </is>
      </c>
      <c r="D320" s="41" t="n">
        <v>45161</v>
      </c>
      <c r="E320" s="42" t="n">
        <v>7991.11</v>
      </c>
      <c r="F320" s="42" t="n">
        <v>0</v>
      </c>
      <c r="G320" s="42" t="n">
        <v>13308.39</v>
      </c>
      <c r="H320" s="42" t="inlineStr"/>
      <c r="I320" s="42" t="inlineStr"/>
      <c r="J320" s="42" t="inlineStr">
        <is>
          <t>HDFC Securities - Buy</t>
        </is>
      </c>
      <c r="K320" s="42" t="inlineStr">
        <is>
          <t>HDFC Securities</t>
        </is>
      </c>
      <c r="L320" s="18" t="n">
        <v>0.97</v>
      </c>
      <c r="M320" s="42" t="inlineStr">
        <is>
          <t>N/A</t>
        </is>
      </c>
    </row>
    <row r="321">
      <c r="A321" s="54" t="n">
        <v>45161</v>
      </c>
      <c r="B321" s="55" t="inlineStr">
        <is>
          <t>NET PO FROM HSL A/C 2554606-00602340029427</t>
        </is>
      </c>
      <c r="C321" s="55" t="inlineStr">
        <is>
          <t>0000000441732080</t>
        </is>
      </c>
      <c r="D321" s="54" t="n">
        <v>45161</v>
      </c>
      <c r="E321" s="55" t="n">
        <v>0</v>
      </c>
      <c r="F321" s="55" t="n">
        <v>109.13</v>
      </c>
      <c r="G321" s="55" t="n">
        <v>13417.52</v>
      </c>
      <c r="H321" s="55" t="inlineStr"/>
      <c r="I321" s="55" t="inlineStr"/>
      <c r="J321" s="55" t="inlineStr">
        <is>
          <t>HDFC Securities - Sell</t>
        </is>
      </c>
      <c r="K321" s="55" t="inlineStr">
        <is>
          <t>HDFC Securities</t>
        </is>
      </c>
      <c r="L321" s="18" t="n">
        <v>0.97</v>
      </c>
      <c r="M321" s="55" t="inlineStr">
        <is>
          <t>N/A</t>
        </is>
      </c>
    </row>
    <row r="322">
      <c r="A322" s="26" t="n">
        <v>45162</v>
      </c>
      <c r="B322" s="27" t="inlineStr">
        <is>
          <t>01671000085930-TPT-BORROW FROM AKG-AJAY KUMAR GUPTA</t>
        </is>
      </c>
      <c r="C322" s="27" t="inlineStr">
        <is>
          <t>0000000219090699</t>
        </is>
      </c>
      <c r="D322" s="26" t="n">
        <v>45162</v>
      </c>
      <c r="E322" s="27" t="n">
        <v>0</v>
      </c>
      <c r="F322" s="27" t="n">
        <v>40000</v>
      </c>
      <c r="G322" s="27" t="n">
        <v>53417.52</v>
      </c>
      <c r="H322" s="27" t="inlineStr"/>
      <c r="I322" s="27" t="inlineStr"/>
      <c r="J322" s="27" t="inlineStr">
        <is>
          <t>Received - Ajay Gupta</t>
        </is>
      </c>
      <c r="K322" s="27" t="inlineStr">
        <is>
          <t>Ajay Gupta</t>
        </is>
      </c>
      <c r="L322" s="18" t="n">
        <v>0.88</v>
      </c>
      <c r="M322" s="27" t="inlineStr">
        <is>
          <t>N/A</t>
        </is>
      </c>
    </row>
    <row r="323">
      <c r="A323" s="58" t="n">
        <v>45162</v>
      </c>
      <c r="B323" s="59" t="inlineStr">
        <is>
          <t>NET PAYIN TO BSE MF A/C -57500000389146- FROM A/C -50100128155413- UCC -2554606-57500000389146</t>
        </is>
      </c>
      <c r="C323" s="59" t="inlineStr">
        <is>
          <t>0000000441939511</t>
        </is>
      </c>
      <c r="D323" s="58" t="n">
        <v>45162</v>
      </c>
      <c r="E323" s="59" t="n">
        <v>10000</v>
      </c>
      <c r="F323" s="59" t="n">
        <v>0</v>
      </c>
      <c r="G323" s="59" t="n">
        <v>43417.52</v>
      </c>
      <c r="H323" s="59" t="inlineStr"/>
      <c r="I323" s="59" t="inlineStr"/>
      <c r="J323" s="59" t="inlineStr">
        <is>
          <t>MF Investment</t>
        </is>
      </c>
      <c r="K323" s="59" t="inlineStr">
        <is>
          <t>Investments</t>
        </is>
      </c>
      <c r="L323" s="18" t="n">
        <v>0.9</v>
      </c>
      <c r="M323" s="59" t="inlineStr">
        <is>
          <t>N/A</t>
        </is>
      </c>
    </row>
    <row r="324">
      <c r="A324" s="41" t="n">
        <v>45162</v>
      </c>
      <c r="B324" s="42" t="inlineStr">
        <is>
          <t>NET PI TO HSL SEC A/C 2554606-00602340029427</t>
        </is>
      </c>
      <c r="C324" s="42" t="inlineStr">
        <is>
          <t>0000000442001502</t>
        </is>
      </c>
      <c r="D324" s="41" t="n">
        <v>45162</v>
      </c>
      <c r="E324" s="42" t="n">
        <v>113.27</v>
      </c>
      <c r="F324" s="42" t="n">
        <v>0</v>
      </c>
      <c r="G324" s="42" t="n">
        <v>43304.25</v>
      </c>
      <c r="H324" s="42" t="inlineStr"/>
      <c r="I324" s="42" t="inlineStr"/>
      <c r="J324" s="42" t="inlineStr">
        <is>
          <t>HDFC Securities - Buy</t>
        </is>
      </c>
      <c r="K324" s="42" t="inlineStr">
        <is>
          <t>HDFC Securities</t>
        </is>
      </c>
      <c r="L324" s="18" t="n">
        <v>0.97</v>
      </c>
      <c r="M324" s="42" t="inlineStr">
        <is>
          <t>N/A</t>
        </is>
      </c>
    </row>
    <row r="325">
      <c r="A325" s="41" t="n">
        <v>45162</v>
      </c>
      <c r="B325" s="42" t="inlineStr">
        <is>
          <t>NET PI TO HSL SEC A/C 2554606-00602340029427</t>
        </is>
      </c>
      <c r="C325" s="42" t="inlineStr">
        <is>
          <t>0000000442139637</t>
        </is>
      </c>
      <c r="D325" s="41" t="n">
        <v>45162</v>
      </c>
      <c r="E325" s="42" t="n">
        <v>98.68000000000001</v>
      </c>
      <c r="F325" s="42" t="n">
        <v>0</v>
      </c>
      <c r="G325" s="42" t="n">
        <v>43205.57</v>
      </c>
      <c r="H325" s="42" t="inlineStr"/>
      <c r="I325" s="42" t="inlineStr"/>
      <c r="J325" s="42" t="inlineStr">
        <is>
          <t>HDFC Securities - Buy</t>
        </is>
      </c>
      <c r="K325" s="42" t="inlineStr">
        <is>
          <t>HDFC Securities</t>
        </is>
      </c>
      <c r="L325" s="18" t="n">
        <v>0.97</v>
      </c>
      <c r="M325" s="42" t="inlineStr">
        <is>
          <t>N/A</t>
        </is>
      </c>
    </row>
    <row r="326">
      <c r="A326" s="58" t="n">
        <v>45163</v>
      </c>
      <c r="B326" s="59" t="inlineStr">
        <is>
          <t>NET PAYIN TO BSE MF A/C -57500000389146- FROM A/C -50100128155413- UCC -2554606-57500000389146</t>
        </is>
      </c>
      <c r="C326" s="59" t="inlineStr">
        <is>
          <t>0000000442343008</t>
        </is>
      </c>
      <c r="D326" s="58" t="n">
        <v>45163</v>
      </c>
      <c r="E326" s="59" t="n">
        <v>2500</v>
      </c>
      <c r="F326" s="59" t="n">
        <v>0</v>
      </c>
      <c r="G326" s="59" t="n">
        <v>40705.57</v>
      </c>
      <c r="H326" s="59" t="inlineStr"/>
      <c r="I326" s="59" t="inlineStr"/>
      <c r="J326" s="59" t="inlineStr">
        <is>
          <t>MF Investment</t>
        </is>
      </c>
      <c r="K326" s="59" t="inlineStr">
        <is>
          <t>Investments</t>
        </is>
      </c>
      <c r="L326" s="18" t="n">
        <v>0.9</v>
      </c>
      <c r="M326" s="59" t="inlineStr">
        <is>
          <t>N/A</t>
        </is>
      </c>
    </row>
    <row r="327">
      <c r="A327" s="41" t="n">
        <v>45163</v>
      </c>
      <c r="B327" s="42" t="inlineStr">
        <is>
          <t>NET PI TO HSL SEC A/C 2554606-00602340029427</t>
        </is>
      </c>
      <c r="C327" s="42" t="inlineStr">
        <is>
          <t>0000000442405520</t>
        </is>
      </c>
      <c r="D327" s="41" t="n">
        <v>45163</v>
      </c>
      <c r="E327" s="42" t="n">
        <v>113.22</v>
      </c>
      <c r="F327" s="42" t="n">
        <v>0</v>
      </c>
      <c r="G327" s="42" t="n">
        <v>40592.35</v>
      </c>
      <c r="H327" s="42" t="inlineStr"/>
      <c r="I327" s="42" t="inlineStr"/>
      <c r="J327" s="42" t="inlineStr">
        <is>
          <t>HDFC Securities - Buy</t>
        </is>
      </c>
      <c r="K327" s="42" t="inlineStr">
        <is>
          <t>HDFC Securities</t>
        </is>
      </c>
      <c r="L327" s="18" t="n">
        <v>0.97</v>
      </c>
      <c r="M327" s="42" t="inlineStr">
        <is>
          <t>N/A</t>
        </is>
      </c>
    </row>
    <row r="328">
      <c r="A328" s="41" t="n">
        <v>45163</v>
      </c>
      <c r="B328" s="42" t="inlineStr">
        <is>
          <t>NET PI TO HSL SEC A/C 2554606-00602340029427</t>
        </is>
      </c>
      <c r="C328" s="42" t="inlineStr">
        <is>
          <t>0000000442576450</t>
        </is>
      </c>
      <c r="D328" s="41" t="n">
        <v>45163</v>
      </c>
      <c r="E328" s="42" t="n">
        <v>241.3</v>
      </c>
      <c r="F328" s="42" t="n">
        <v>0</v>
      </c>
      <c r="G328" s="42" t="n">
        <v>40351.05</v>
      </c>
      <c r="H328" s="42" t="inlineStr"/>
      <c r="I328" s="42" t="inlineStr"/>
      <c r="J328" s="42" t="inlineStr">
        <is>
          <t>HDFC Securities - Buy</t>
        </is>
      </c>
      <c r="K328" s="42" t="inlineStr">
        <is>
          <t>HDFC Securities</t>
        </is>
      </c>
      <c r="L328" s="18" t="n">
        <v>0.97</v>
      </c>
      <c r="M328" s="42" t="inlineStr">
        <is>
          <t>N/A</t>
        </is>
      </c>
    </row>
    <row r="329">
      <c r="A329" s="41" t="n">
        <v>45166</v>
      </c>
      <c r="B329" s="42" t="inlineStr">
        <is>
          <t>NET PI TO HSL SEC A/C 2554606-00602340029427</t>
        </is>
      </c>
      <c r="C329" s="42" t="inlineStr">
        <is>
          <t>0000000442938276</t>
        </is>
      </c>
      <c r="D329" s="41" t="n">
        <v>45166</v>
      </c>
      <c r="E329" s="42" t="n">
        <v>339.3</v>
      </c>
      <c r="F329" s="42" t="n">
        <v>0</v>
      </c>
      <c r="G329" s="42" t="n">
        <v>40011.75</v>
      </c>
      <c r="H329" s="42" t="inlineStr"/>
      <c r="I329" s="42" t="inlineStr"/>
      <c r="J329" s="42" t="inlineStr">
        <is>
          <t>HDFC Securities - Buy</t>
        </is>
      </c>
      <c r="K329" s="42" t="inlineStr">
        <is>
          <t>HDFC Securities</t>
        </is>
      </c>
      <c r="L329" s="18" t="n">
        <v>0.97</v>
      </c>
      <c r="M329" s="42" t="inlineStr">
        <is>
          <t>N/A</t>
        </is>
      </c>
    </row>
    <row r="330">
      <c r="A330" s="64" t="n">
        <v>45166</v>
      </c>
      <c r="B330" s="65" t="inlineStr">
        <is>
          <t>ACH C- RELIANCE INDUSTRIES-232932001</t>
        </is>
      </c>
      <c r="C330" s="65" t="inlineStr">
        <is>
          <t>0000004928593648</t>
        </is>
      </c>
      <c r="D330" s="64" t="n">
        <v>45166</v>
      </c>
      <c r="E330" s="65" t="n">
        <v>0</v>
      </c>
      <c r="F330" s="65" t="n">
        <v>18</v>
      </c>
      <c r="G330" s="65" t="n">
        <v>40029.75</v>
      </c>
      <c r="H330" s="65" t="inlineStr"/>
      <c r="I330" s="65" t="inlineStr"/>
      <c r="J330" s="65" t="inlineStr">
        <is>
          <t>Dividend Income</t>
        </is>
      </c>
      <c r="K330" s="65" t="inlineStr">
        <is>
          <t>Dividend Income</t>
        </is>
      </c>
      <c r="L330" s="18" t="n">
        <v>0.88</v>
      </c>
      <c r="M330" s="65" t="inlineStr">
        <is>
          <t>N/A</t>
        </is>
      </c>
    </row>
    <row r="331">
      <c r="A331" s="54" t="n">
        <v>45167</v>
      </c>
      <c r="B331" s="55" t="inlineStr">
        <is>
          <t>NET PO FROM HSL A/C 2554606-50200085415108</t>
        </is>
      </c>
      <c r="C331" s="55" t="inlineStr">
        <is>
          <t>0000000443188114</t>
        </is>
      </c>
      <c r="D331" s="54" t="n">
        <v>45167</v>
      </c>
      <c r="E331" s="55" t="n">
        <v>0</v>
      </c>
      <c r="F331" s="55" t="n">
        <v>243.25</v>
      </c>
      <c r="G331" s="55" t="n">
        <v>40273</v>
      </c>
      <c r="H331" s="55" t="inlineStr"/>
      <c r="I331" s="55" t="inlineStr"/>
      <c r="J331" s="55" t="inlineStr">
        <is>
          <t>HDFC Securities - Sell</t>
        </is>
      </c>
      <c r="K331" s="55" t="inlineStr">
        <is>
          <t>HDFC Securities</t>
        </is>
      </c>
      <c r="L331" s="18" t="n">
        <v>0.97</v>
      </c>
      <c r="M331" s="55" t="inlineStr">
        <is>
          <t>N/A</t>
        </is>
      </c>
    </row>
    <row r="332">
      <c r="A332" s="41" t="n">
        <v>45167</v>
      </c>
      <c r="B332" s="42" t="inlineStr">
        <is>
          <t>NET PI TO HSL SEC A/C 2554606-00602340029427</t>
        </is>
      </c>
      <c r="C332" s="42" t="inlineStr">
        <is>
          <t>0000000443329520</t>
        </is>
      </c>
      <c r="D332" s="41" t="n">
        <v>45167</v>
      </c>
      <c r="E332" s="42" t="n">
        <v>113.1</v>
      </c>
      <c r="F332" s="42" t="n">
        <v>0</v>
      </c>
      <c r="G332" s="42" t="n">
        <v>40159.9</v>
      </c>
      <c r="H332" s="42" t="inlineStr"/>
      <c r="I332" s="42" t="inlineStr"/>
      <c r="J332" s="42" t="inlineStr">
        <is>
          <t>HDFC Securities - Buy</t>
        </is>
      </c>
      <c r="K332" s="42" t="inlineStr">
        <is>
          <t>HDFC Securities</t>
        </is>
      </c>
      <c r="L332" s="18" t="n">
        <v>0.97</v>
      </c>
      <c r="M332" s="42" t="inlineStr">
        <is>
          <t>N/A</t>
        </is>
      </c>
    </row>
    <row r="333">
      <c r="A333" s="68" t="n">
        <v>45167</v>
      </c>
      <c r="B333" s="69" t="inlineStr">
        <is>
          <t>AEROFLEXG/2400024022124775-50200036338720</t>
        </is>
      </c>
      <c r="C333" s="69" t="inlineStr">
        <is>
          <t>0000000406778677</t>
        </is>
      </c>
      <c r="D333" s="68" t="n">
        <v>45167</v>
      </c>
      <c r="E333" s="69" t="n">
        <v>14040</v>
      </c>
      <c r="F333" s="69" t="n">
        <v>0</v>
      </c>
      <c r="G333" s="69" t="n">
        <v>26119.9</v>
      </c>
      <c r="H333" s="69" t="inlineStr"/>
      <c r="I333" s="69" t="inlineStr"/>
      <c r="J333" s="69" t="inlineStr">
        <is>
          <t>IPO - Aeroflex</t>
        </is>
      </c>
      <c r="K333" s="69" t="inlineStr">
        <is>
          <t>IPO</t>
        </is>
      </c>
      <c r="L333" s="18" t="n">
        <v>0.92</v>
      </c>
      <c r="M333" s="69" t="inlineStr">
        <is>
          <t>N/A</t>
        </is>
      </c>
    </row>
    <row r="334">
      <c r="A334" s="54" t="n">
        <v>45168</v>
      </c>
      <c r="B334" s="55" t="inlineStr">
        <is>
          <t>NET PO FROM HSL A/C 2554606-50200085415108</t>
        </is>
      </c>
      <c r="C334" s="55" t="inlineStr">
        <is>
          <t>0000000443570310</t>
        </is>
      </c>
      <c r="D334" s="54" t="n">
        <v>45168</v>
      </c>
      <c r="E334" s="55" t="n">
        <v>0</v>
      </c>
      <c r="F334" s="55" t="n">
        <v>176.49</v>
      </c>
      <c r="G334" s="55" t="n">
        <v>26296.39</v>
      </c>
      <c r="H334" s="55" t="inlineStr"/>
      <c r="I334" s="55" t="inlineStr"/>
      <c r="J334" s="55" t="inlineStr">
        <is>
          <t>HDFC Securities - Sell</t>
        </is>
      </c>
      <c r="K334" s="55" t="inlineStr">
        <is>
          <t>HDFC Securities</t>
        </is>
      </c>
      <c r="L334" s="18" t="n">
        <v>0.97</v>
      </c>
      <c r="M334" s="55" t="inlineStr">
        <is>
          <t>N/A</t>
        </is>
      </c>
    </row>
    <row r="335">
      <c r="A335" s="41" t="n">
        <v>45168</v>
      </c>
      <c r="B335" s="42" t="inlineStr">
        <is>
          <t>NET PI TO HSL SEC A/C 2554606-00602340029427</t>
        </is>
      </c>
      <c r="C335" s="42" t="inlineStr">
        <is>
          <t>0000000443705023</t>
        </is>
      </c>
      <c r="D335" s="41" t="n">
        <v>45168</v>
      </c>
      <c r="E335" s="42" t="n">
        <v>113.22</v>
      </c>
      <c r="F335" s="42" t="n">
        <v>0</v>
      </c>
      <c r="G335" s="42" t="n">
        <v>26183.17</v>
      </c>
      <c r="H335" s="42" t="inlineStr"/>
      <c r="I335" s="42" t="inlineStr"/>
      <c r="J335" s="42" t="inlineStr">
        <is>
          <t>HDFC Securities - Buy</t>
        </is>
      </c>
      <c r="K335" s="42" t="inlineStr">
        <is>
          <t>HDFC Securities</t>
        </is>
      </c>
      <c r="L335" s="18" t="n">
        <v>0.97</v>
      </c>
      <c r="M335" s="42" t="inlineStr">
        <is>
          <t>N/A</t>
        </is>
      </c>
    </row>
    <row r="336">
      <c r="A336" s="26" t="n">
        <v>45168</v>
      </c>
      <c r="B336" s="27" t="inlineStr">
        <is>
          <t>01671000085930-TPT-FROM AKG-AJAY KUMAR GUPTA</t>
        </is>
      </c>
      <c r="C336" s="27" t="inlineStr">
        <is>
          <t>0000000246853897</t>
        </is>
      </c>
      <c r="D336" s="26" t="n">
        <v>45168</v>
      </c>
      <c r="E336" s="27" t="n">
        <v>0</v>
      </c>
      <c r="F336" s="27" t="n">
        <v>150000</v>
      </c>
      <c r="G336" s="27" t="n">
        <v>176183.17</v>
      </c>
      <c r="H336" s="27" t="inlineStr"/>
      <c r="I336" s="27" t="inlineStr"/>
      <c r="J336" s="27" t="inlineStr">
        <is>
          <t>Received - Ajay Gupta</t>
        </is>
      </c>
      <c r="K336" s="27" t="inlineStr">
        <is>
          <t>Ajay Gupta</t>
        </is>
      </c>
      <c r="L336" s="18" t="n">
        <v>0.88</v>
      </c>
      <c r="M336" s="27" t="inlineStr">
        <is>
          <t>N/A</t>
        </is>
      </c>
    </row>
    <row r="337">
      <c r="A337" s="41" t="n">
        <v>45168</v>
      </c>
      <c r="B337" s="42" t="inlineStr">
        <is>
          <t>NET PI TO HSL SEC A/C 2554606-00602340029427</t>
        </is>
      </c>
      <c r="C337" s="42" t="inlineStr">
        <is>
          <t>0000000443832423</t>
        </is>
      </c>
      <c r="D337" s="41" t="n">
        <v>45168</v>
      </c>
      <c r="E337" s="42" t="n">
        <v>267.58</v>
      </c>
      <c r="F337" s="42" t="n">
        <v>0</v>
      </c>
      <c r="G337" s="42" t="n">
        <v>175915.59</v>
      </c>
      <c r="H337" s="42" t="inlineStr"/>
      <c r="I337" s="42" t="inlineStr"/>
      <c r="J337" s="42" t="inlineStr">
        <is>
          <t>HDFC Securities - Buy</t>
        </is>
      </c>
      <c r="K337" s="42" t="inlineStr">
        <is>
          <t>HDFC Securities</t>
        </is>
      </c>
      <c r="L337" s="18" t="n">
        <v>0.97</v>
      </c>
      <c r="M337" s="42" t="inlineStr">
        <is>
          <t>N/A</t>
        </is>
      </c>
    </row>
    <row r="338">
      <c r="A338" s="41" t="n">
        <v>45169</v>
      </c>
      <c r="B338" s="42" t="inlineStr">
        <is>
          <t>NET PI TO HSL SEC A/C 2554606-00602340029427</t>
        </is>
      </c>
      <c r="C338" s="42" t="inlineStr">
        <is>
          <t>0000000444059719</t>
        </is>
      </c>
      <c r="D338" s="41" t="n">
        <v>45169</v>
      </c>
      <c r="E338" s="42" t="n">
        <v>113.17</v>
      </c>
      <c r="F338" s="42" t="n">
        <v>0</v>
      </c>
      <c r="G338" s="42" t="n">
        <v>175802.42</v>
      </c>
      <c r="H338" s="42" t="inlineStr"/>
      <c r="I338" s="42" t="inlineStr"/>
      <c r="J338" s="42" t="inlineStr">
        <is>
          <t>HDFC Securities - Buy</t>
        </is>
      </c>
      <c r="K338" s="42" t="inlineStr">
        <is>
          <t>HDFC Securities</t>
        </is>
      </c>
      <c r="L338" s="18" t="n">
        <v>0.97</v>
      </c>
      <c r="M338" s="42" t="inlineStr">
        <is>
          <t>N/A</t>
        </is>
      </c>
    </row>
    <row r="339">
      <c r="A339" s="41" t="n">
        <v>45170</v>
      </c>
      <c r="B339" s="42" t="inlineStr">
        <is>
          <t>NET PI TO HSL SEC A/C 2554606-00602340029427</t>
        </is>
      </c>
      <c r="C339" s="42" t="inlineStr">
        <is>
          <t>0000000444239928</t>
        </is>
      </c>
      <c r="D339" s="41" t="n">
        <v>45170</v>
      </c>
      <c r="E339" s="42" t="n">
        <v>23580.75</v>
      </c>
      <c r="F339" s="42" t="n">
        <v>0</v>
      </c>
      <c r="G339" s="42" t="n">
        <v>152221.67</v>
      </c>
      <c r="H339" s="42" t="inlineStr"/>
      <c r="I339" s="42" t="inlineStr"/>
      <c r="J339" s="42" t="inlineStr">
        <is>
          <t>HDFC Securities - Buy</t>
        </is>
      </c>
      <c r="K339" s="42" t="inlineStr">
        <is>
          <t>HDFC Securities</t>
        </is>
      </c>
      <c r="L339" s="18" t="n">
        <v>0.97</v>
      </c>
      <c r="M339" s="42" t="inlineStr">
        <is>
          <t>N/A</t>
        </is>
      </c>
    </row>
    <row r="340">
      <c r="A340" s="41" t="n">
        <v>45170</v>
      </c>
      <c r="B340" s="42" t="inlineStr">
        <is>
          <t>NET PI TO HSL SEC A/C 2554606-00602340029427</t>
        </is>
      </c>
      <c r="C340" s="42" t="inlineStr">
        <is>
          <t>0000000444532295</t>
        </is>
      </c>
      <c r="D340" s="41" t="n">
        <v>45170</v>
      </c>
      <c r="E340" s="42" t="n">
        <v>101.54</v>
      </c>
      <c r="F340" s="42" t="n">
        <v>0</v>
      </c>
      <c r="G340" s="42" t="n">
        <v>152120.13</v>
      </c>
      <c r="H340" s="42" t="inlineStr"/>
      <c r="I340" s="42" t="inlineStr"/>
      <c r="J340" s="42" t="inlineStr">
        <is>
          <t>HDFC Securities - Buy</t>
        </is>
      </c>
      <c r="K340" s="42" t="inlineStr">
        <is>
          <t>HDFC Securities</t>
        </is>
      </c>
      <c r="L340" s="18" t="n">
        <v>0.97</v>
      </c>
      <c r="M340" s="42" t="inlineStr">
        <is>
          <t>N/A</t>
        </is>
      </c>
    </row>
    <row r="341">
      <c r="A341" s="64" t="n">
        <v>45170</v>
      </c>
      <c r="B341" s="65" t="inlineStr">
        <is>
          <t>ACH C- LIFE INSURANCE CORPO-7028328</t>
        </is>
      </c>
      <c r="C341" s="65" t="inlineStr">
        <is>
          <t>0000004829520831</t>
        </is>
      </c>
      <c r="D341" s="64" t="n">
        <v>45170</v>
      </c>
      <c r="E341" s="65" t="n">
        <v>0</v>
      </c>
      <c r="F341" s="65" t="n">
        <v>45</v>
      </c>
      <c r="G341" s="65" t="n">
        <v>152165.13</v>
      </c>
      <c r="H341" s="65" t="inlineStr"/>
      <c r="I341" s="65" t="inlineStr"/>
      <c r="J341" s="65" t="inlineStr">
        <is>
          <t>Dividend Income</t>
        </is>
      </c>
      <c r="K341" s="65" t="inlineStr">
        <is>
          <t>Dividend Income</t>
        </is>
      </c>
      <c r="L341" s="18" t="n">
        <v>0.88</v>
      </c>
      <c r="M341" s="65" t="inlineStr">
        <is>
          <t>N/A</t>
        </is>
      </c>
    </row>
    <row r="342">
      <c r="A342" s="64" t="n">
        <v>45170</v>
      </c>
      <c r="B342" s="65" t="inlineStr">
        <is>
          <t>ACH C- ICICI BANK LTD.-5894416</t>
        </is>
      </c>
      <c r="C342" s="65" t="inlineStr">
        <is>
          <t>0000005017514010</t>
        </is>
      </c>
      <c r="D342" s="64" t="n">
        <v>45170</v>
      </c>
      <c r="E342" s="65" t="n">
        <v>0</v>
      </c>
      <c r="F342" s="65" t="n">
        <v>120</v>
      </c>
      <c r="G342" s="65" t="n">
        <v>152285.13</v>
      </c>
      <c r="H342" s="65" t="inlineStr"/>
      <c r="I342" s="65" t="inlineStr"/>
      <c r="J342" s="65" t="inlineStr">
        <is>
          <t>Dividend Income</t>
        </is>
      </c>
      <c r="K342" s="65" t="inlineStr">
        <is>
          <t>Dividend Income</t>
        </is>
      </c>
      <c r="L342" s="18" t="n">
        <v>0.88</v>
      </c>
      <c r="M342" s="65" t="inlineStr">
        <is>
          <t>N/A</t>
        </is>
      </c>
    </row>
    <row r="343">
      <c r="A343" s="64" t="n">
        <v>45170</v>
      </c>
      <c r="B343" s="65" t="inlineStr">
        <is>
          <t>ACH C- NGLFINECHEMLIMITE-0000IN301549528</t>
        </is>
      </c>
      <c r="C343" s="65" t="inlineStr">
        <is>
          <t>0000007062470244</t>
        </is>
      </c>
      <c r="D343" s="64" t="n">
        <v>45170</v>
      </c>
      <c r="E343" s="65" t="n">
        <v>0</v>
      </c>
      <c r="F343" s="65" t="n">
        <v>140</v>
      </c>
      <c r="G343" s="65" t="n">
        <v>152425.13</v>
      </c>
      <c r="H343" s="65" t="inlineStr"/>
      <c r="I343" s="65" t="inlineStr"/>
      <c r="J343" s="65" t="inlineStr">
        <is>
          <t>Dividend Income</t>
        </is>
      </c>
      <c r="K343" s="65" t="inlineStr">
        <is>
          <t>Dividend Income</t>
        </is>
      </c>
      <c r="L343" s="18" t="n">
        <v>0.88</v>
      </c>
      <c r="M343" s="65" t="inlineStr">
        <is>
          <t>N/A</t>
        </is>
      </c>
    </row>
    <row r="344">
      <c r="A344" s="54" t="n">
        <v>45170</v>
      </c>
      <c r="B344" s="55" t="inlineStr">
        <is>
          <t>NET PO FROM HSL A/C 2554606-50200085415108</t>
        </is>
      </c>
      <c r="C344" s="55" t="inlineStr">
        <is>
          <t>0000000444699660</t>
        </is>
      </c>
      <c r="D344" s="54" t="n">
        <v>45170</v>
      </c>
      <c r="E344" s="55" t="n">
        <v>0</v>
      </c>
      <c r="F344" s="55" t="n">
        <v>156.86</v>
      </c>
      <c r="G344" s="55" t="n">
        <v>152581.99</v>
      </c>
      <c r="H344" s="55" t="inlineStr"/>
      <c r="I344" s="55" t="inlineStr"/>
      <c r="J344" s="55" t="inlineStr">
        <is>
          <t>HDFC Securities - Sell</t>
        </is>
      </c>
      <c r="K344" s="55" t="inlineStr">
        <is>
          <t>HDFC Securities</t>
        </is>
      </c>
      <c r="L344" s="18" t="n">
        <v>0.97</v>
      </c>
      <c r="M344" s="55" t="inlineStr">
        <is>
          <t>N/A</t>
        </is>
      </c>
    </row>
    <row r="345">
      <c r="A345" s="41" t="n">
        <v>45173</v>
      </c>
      <c r="B345" s="42" t="inlineStr">
        <is>
          <t>NET PI TO HSL SEC A/C 2554606-00602340029427</t>
        </is>
      </c>
      <c r="C345" s="42" t="inlineStr">
        <is>
          <t>0000000445158486</t>
        </is>
      </c>
      <c r="D345" s="41" t="n">
        <v>45173</v>
      </c>
      <c r="E345" s="42" t="n">
        <v>304.86</v>
      </c>
      <c r="F345" s="42" t="n">
        <v>0</v>
      </c>
      <c r="G345" s="42" t="n">
        <v>152277.13</v>
      </c>
      <c r="H345" s="42" t="inlineStr"/>
      <c r="I345" s="42" t="inlineStr"/>
      <c r="J345" s="42" t="inlineStr">
        <is>
          <t>HDFC Securities - Buy</t>
        </is>
      </c>
      <c r="K345" s="42" t="inlineStr">
        <is>
          <t>HDFC Securities</t>
        </is>
      </c>
      <c r="L345" s="18" t="n">
        <v>0.97</v>
      </c>
      <c r="M345" s="42" t="inlineStr">
        <is>
          <t>N/A</t>
        </is>
      </c>
    </row>
    <row r="346">
      <c r="A346" s="64" t="n">
        <v>45173</v>
      </c>
      <c r="B346" s="65" t="inlineStr">
        <is>
          <t>ACH C- DIVISLABORATORIES-000000000000030</t>
        </is>
      </c>
      <c r="C346" s="65" t="inlineStr">
        <is>
          <t>0000007066994247</t>
        </is>
      </c>
      <c r="D346" s="64" t="n">
        <v>45173</v>
      </c>
      <c r="E346" s="65" t="n">
        <v>0</v>
      </c>
      <c r="F346" s="65" t="n">
        <v>60</v>
      </c>
      <c r="G346" s="65" t="n">
        <v>152337.13</v>
      </c>
      <c r="H346" s="65" t="inlineStr"/>
      <c r="I346" s="65" t="inlineStr"/>
      <c r="J346" s="65" t="inlineStr">
        <is>
          <t>Dividend Income</t>
        </is>
      </c>
      <c r="K346" s="65" t="inlineStr">
        <is>
          <t>Dividend Income</t>
        </is>
      </c>
      <c r="L346" s="18" t="n">
        <v>0.88</v>
      </c>
      <c r="M346" s="65" t="inlineStr">
        <is>
          <t>N/A</t>
        </is>
      </c>
    </row>
    <row r="347">
      <c r="A347" s="54" t="n">
        <v>45174</v>
      </c>
      <c r="B347" s="55" t="inlineStr">
        <is>
          <t>NET PO FROM HSL A/C 2554606-50200085415108</t>
        </is>
      </c>
      <c r="C347" s="55" t="inlineStr">
        <is>
          <t>0000000445480746</t>
        </is>
      </c>
      <c r="D347" s="54" t="n">
        <v>45174</v>
      </c>
      <c r="E347" s="55" t="n">
        <v>0</v>
      </c>
      <c r="F347" s="55" t="n">
        <v>3251.46</v>
      </c>
      <c r="G347" s="55" t="n">
        <v>155588.59</v>
      </c>
      <c r="H347" s="55" t="inlineStr"/>
      <c r="I347" s="55" t="inlineStr"/>
      <c r="J347" s="55" t="inlineStr">
        <is>
          <t>HDFC Securities - Sell</t>
        </is>
      </c>
      <c r="K347" s="55" t="inlineStr">
        <is>
          <t>HDFC Securities</t>
        </is>
      </c>
      <c r="L347" s="18" t="n">
        <v>0.97</v>
      </c>
      <c r="M347" s="55" t="inlineStr">
        <is>
          <t>N/A</t>
        </is>
      </c>
    </row>
    <row r="348">
      <c r="A348" s="41" t="n">
        <v>45174</v>
      </c>
      <c r="B348" s="42" t="inlineStr">
        <is>
          <t>NET PI TO HSL SEC A/C 2554606-00602340029427</t>
        </is>
      </c>
      <c r="C348" s="42" t="inlineStr">
        <is>
          <t>0000000445668824</t>
        </is>
      </c>
      <c r="D348" s="41" t="n">
        <v>45174</v>
      </c>
      <c r="E348" s="42" t="n">
        <v>101.62</v>
      </c>
      <c r="F348" s="42" t="n">
        <v>0</v>
      </c>
      <c r="G348" s="42" t="n">
        <v>155486.97</v>
      </c>
      <c r="H348" s="42" t="inlineStr"/>
      <c r="I348" s="42" t="inlineStr"/>
      <c r="J348" s="42" t="inlineStr">
        <is>
          <t>HDFC Securities - Buy</t>
        </is>
      </c>
      <c r="K348" s="42" t="inlineStr">
        <is>
          <t>HDFC Securities</t>
        </is>
      </c>
      <c r="L348" s="18" t="n">
        <v>0.97</v>
      </c>
      <c r="M348" s="42" t="inlineStr">
        <is>
          <t>N/A</t>
        </is>
      </c>
    </row>
    <row r="349">
      <c r="A349" s="64" t="n">
        <v>45174</v>
      </c>
      <c r="B349" s="65" t="inlineStr">
        <is>
          <t>INFO EDGE DIV22 2300000000000000038172</t>
        </is>
      </c>
      <c r="C349" s="65" t="inlineStr">
        <is>
          <t>0000232475321837</t>
        </is>
      </c>
      <c r="D349" s="64" t="n">
        <v>45174</v>
      </c>
      <c r="E349" s="65" t="n">
        <v>0</v>
      </c>
      <c r="F349" s="65" t="n">
        <v>459</v>
      </c>
      <c r="G349" s="65" t="n">
        <v>155945.97</v>
      </c>
      <c r="H349" s="65" t="inlineStr"/>
      <c r="I349" s="65" t="inlineStr"/>
      <c r="J349" s="65" t="inlineStr">
        <is>
          <t>Dividend Income</t>
        </is>
      </c>
      <c r="K349" s="65" t="inlineStr">
        <is>
          <t>Dividend Income</t>
        </is>
      </c>
      <c r="L349" s="18" t="n">
        <v>0.85</v>
      </c>
      <c r="M349" s="65" t="inlineStr">
        <is>
          <t>N/A</t>
        </is>
      </c>
    </row>
    <row r="350">
      <c r="A350" s="64" t="n">
        <v>45174</v>
      </c>
      <c r="B350" s="65" t="inlineStr">
        <is>
          <t>ACH C- BHARAT PETROLEUM COR-BPCLIN301549</t>
        </is>
      </c>
      <c r="C350" s="65" t="inlineStr">
        <is>
          <t>0000005071732950</t>
        </is>
      </c>
      <c r="D350" s="64" t="n">
        <v>45174</v>
      </c>
      <c r="E350" s="65" t="n">
        <v>0</v>
      </c>
      <c r="F350" s="65" t="n">
        <v>80</v>
      </c>
      <c r="G350" s="65" t="n">
        <v>156025.97</v>
      </c>
      <c r="H350" s="65" t="inlineStr"/>
      <c r="I350" s="65" t="inlineStr"/>
      <c r="J350" s="65" t="inlineStr">
        <is>
          <t>Dividend Income</t>
        </is>
      </c>
      <c r="K350" s="65" t="inlineStr">
        <is>
          <t>Dividend Income</t>
        </is>
      </c>
      <c r="L350" s="18" t="n">
        <v>0.88</v>
      </c>
      <c r="M350" s="65" t="inlineStr">
        <is>
          <t>N/A</t>
        </is>
      </c>
    </row>
    <row r="351">
      <c r="A351" s="54" t="n">
        <v>45175</v>
      </c>
      <c r="B351" s="55" t="inlineStr">
        <is>
          <t>NET PO FROM HSL A/C 2554606-50200085415108</t>
        </is>
      </c>
      <c r="C351" s="55" t="inlineStr">
        <is>
          <t>0000000445953755</t>
        </is>
      </c>
      <c r="D351" s="54" t="n">
        <v>45175</v>
      </c>
      <c r="E351" s="55" t="n">
        <v>0</v>
      </c>
      <c r="F351" s="55" t="n">
        <v>3377.75</v>
      </c>
      <c r="G351" s="55" t="n">
        <v>159403.72</v>
      </c>
      <c r="H351" s="55" t="inlineStr"/>
      <c r="I351" s="55" t="inlineStr"/>
      <c r="J351" s="55" t="inlineStr">
        <is>
          <t>HDFC Securities - Sell</t>
        </is>
      </c>
      <c r="K351" s="55" t="inlineStr">
        <is>
          <t>HDFC Securities</t>
        </is>
      </c>
      <c r="L351" s="18" t="n">
        <v>0.97</v>
      </c>
      <c r="M351" s="55" t="inlineStr">
        <is>
          <t>N/A</t>
        </is>
      </c>
    </row>
    <row r="352">
      <c r="A352" s="41" t="n">
        <v>45175</v>
      </c>
      <c r="B352" s="42" t="inlineStr">
        <is>
          <t>NET PI TO HSL SEC A/C 2554606-00602340029427</t>
        </is>
      </c>
      <c r="C352" s="42" t="inlineStr">
        <is>
          <t>0000000446101600</t>
        </is>
      </c>
      <c r="D352" s="41" t="n">
        <v>45175</v>
      </c>
      <c r="E352" s="42" t="n">
        <v>100.05</v>
      </c>
      <c r="F352" s="42" t="n">
        <v>0</v>
      </c>
      <c r="G352" s="42" t="n">
        <v>159303.67</v>
      </c>
      <c r="H352" s="42" t="inlineStr"/>
      <c r="I352" s="42" t="inlineStr"/>
      <c r="J352" s="42" t="inlineStr">
        <is>
          <t>HDFC Securities - Buy</t>
        </is>
      </c>
      <c r="K352" s="42" t="inlineStr">
        <is>
          <t>HDFC Securities</t>
        </is>
      </c>
      <c r="L352" s="18" t="n">
        <v>0.97</v>
      </c>
      <c r="M352" s="42" t="inlineStr">
        <is>
          <t>N/A</t>
        </is>
      </c>
    </row>
    <row r="353">
      <c r="A353" s="41" t="n">
        <v>45175</v>
      </c>
      <c r="B353" s="42" t="inlineStr">
        <is>
          <t>NET PI TO HSL SEC A/C 2554606-00602340029427</t>
        </is>
      </c>
      <c r="C353" s="42" t="inlineStr">
        <is>
          <t>0000000446256007</t>
        </is>
      </c>
      <c r="D353" s="41" t="n">
        <v>45175</v>
      </c>
      <c r="E353" s="42" t="n">
        <v>9173.620000000001</v>
      </c>
      <c r="F353" s="42" t="n">
        <v>0</v>
      </c>
      <c r="G353" s="42" t="n">
        <v>150130.05</v>
      </c>
      <c r="H353" s="42" t="inlineStr"/>
      <c r="I353" s="42" t="inlineStr"/>
      <c r="J353" s="42" t="inlineStr">
        <is>
          <t>HDFC Securities - Buy</t>
        </is>
      </c>
      <c r="K353" s="42" t="inlineStr">
        <is>
          <t>HDFC Securities</t>
        </is>
      </c>
      <c r="L353" s="18" t="n">
        <v>0.97</v>
      </c>
      <c r="M353" s="42" t="inlineStr">
        <is>
          <t>N/A</t>
        </is>
      </c>
    </row>
    <row r="354">
      <c r="A354" s="41" t="n">
        <v>45176</v>
      </c>
      <c r="B354" s="42" t="inlineStr">
        <is>
          <t>NET PI TO HSL SEC A/C 2554606-00602340029427</t>
        </is>
      </c>
      <c r="C354" s="42" t="inlineStr">
        <is>
          <t>0000000446516292</t>
        </is>
      </c>
      <c r="D354" s="41" t="n">
        <v>45176</v>
      </c>
      <c r="E354" s="42" t="n">
        <v>93.76000000000001</v>
      </c>
      <c r="F354" s="42" t="n">
        <v>0</v>
      </c>
      <c r="G354" s="42" t="n">
        <v>150036.29</v>
      </c>
      <c r="H354" s="42" t="inlineStr"/>
      <c r="I354" s="42" t="inlineStr"/>
      <c r="J354" s="42" t="inlineStr">
        <is>
          <t>HDFC Securities - Buy</t>
        </is>
      </c>
      <c r="K354" s="42" t="inlineStr">
        <is>
          <t>HDFC Securities</t>
        </is>
      </c>
      <c r="L354" s="18" t="n">
        <v>0.97</v>
      </c>
      <c r="M354" s="42" t="inlineStr">
        <is>
          <t>N/A</t>
        </is>
      </c>
    </row>
    <row r="355">
      <c r="A355" s="64" t="n">
        <v>45176</v>
      </c>
      <c r="B355" s="65" t="inlineStr">
        <is>
          <t>ACH C- INDIANENERGYEXCHAN-00000000000005</t>
        </is>
      </c>
      <c r="C355" s="65" t="inlineStr">
        <is>
          <t>0000007173635250</t>
        </is>
      </c>
      <c r="D355" s="64" t="n">
        <v>45176</v>
      </c>
      <c r="E355" s="65" t="n">
        <v>0</v>
      </c>
      <c r="F355" s="65" t="n">
        <v>100</v>
      </c>
      <c r="G355" s="65" t="n">
        <v>150136.29</v>
      </c>
      <c r="H355" s="65" t="inlineStr"/>
      <c r="I355" s="65" t="inlineStr"/>
      <c r="J355" s="65" t="inlineStr">
        <is>
          <t>Dividend Income</t>
        </is>
      </c>
      <c r="K355" s="65" t="inlineStr">
        <is>
          <t>Dividend Income</t>
        </is>
      </c>
      <c r="L355" s="18" t="n">
        <v>0.88</v>
      </c>
      <c r="M355" s="65" t="inlineStr">
        <is>
          <t>N/A</t>
        </is>
      </c>
    </row>
    <row r="356">
      <c r="A356" s="23" t="n">
        <v>45176</v>
      </c>
      <c r="B356" s="24" t="inlineStr">
        <is>
          <t>00602300000434-023562798</t>
        </is>
      </c>
      <c r="C356" s="24" t="inlineStr">
        <is>
          <t>0000309078182222</t>
        </is>
      </c>
      <c r="D356" s="23" t="n">
        <v>45176</v>
      </c>
      <c r="E356" s="24" t="n">
        <v>0</v>
      </c>
      <c r="F356" s="24" t="n">
        <v>1880</v>
      </c>
      <c r="G356" s="24" t="n">
        <v>152016.29</v>
      </c>
      <c r="H356" s="24" t="inlineStr"/>
      <c r="I356" s="24" t="inlineStr"/>
      <c r="J356" s="24" t="inlineStr">
        <is>
          <t>What is this?</t>
        </is>
      </c>
      <c r="K356" s="24" t="inlineStr">
        <is>
          <t>Suspense</t>
        </is>
      </c>
      <c r="L356" s="25" t="n">
        <v>0</v>
      </c>
      <c r="M356" s="24" t="inlineStr">
        <is>
          <t>N/A</t>
        </is>
      </c>
    </row>
    <row r="357">
      <c r="A357" s="54" t="n">
        <v>45177</v>
      </c>
      <c r="B357" s="55" t="inlineStr">
        <is>
          <t>NET PO FROM HSL A/C 2554606-50200085415108</t>
        </is>
      </c>
      <c r="C357" s="55" t="inlineStr">
        <is>
          <t>0000000446792665</t>
        </is>
      </c>
      <c r="D357" s="54" t="n">
        <v>45177</v>
      </c>
      <c r="E357" s="55" t="n">
        <v>0</v>
      </c>
      <c r="F357" s="55" t="n">
        <v>281.98</v>
      </c>
      <c r="G357" s="55" t="n">
        <v>152298.27</v>
      </c>
      <c r="H357" s="55" t="inlineStr"/>
      <c r="I357" s="55" t="inlineStr"/>
      <c r="J357" s="55" t="inlineStr">
        <is>
          <t>HDFC Securities - Sell</t>
        </is>
      </c>
      <c r="K357" s="55" t="inlineStr">
        <is>
          <t>HDFC Securities</t>
        </is>
      </c>
      <c r="L357" s="18" t="n">
        <v>0.97</v>
      </c>
      <c r="M357" s="55" t="inlineStr">
        <is>
          <t>N/A</t>
        </is>
      </c>
    </row>
    <row r="358">
      <c r="A358" s="41" t="n">
        <v>45177</v>
      </c>
      <c r="B358" s="42" t="inlineStr">
        <is>
          <t>NET PI TO HSL SEC A/C 2554606-00602340029427</t>
        </is>
      </c>
      <c r="C358" s="42" t="inlineStr">
        <is>
          <t>0000000446933380</t>
        </is>
      </c>
      <c r="D358" s="41" t="n">
        <v>45177</v>
      </c>
      <c r="E358" s="42" t="n">
        <v>93.76000000000001</v>
      </c>
      <c r="F358" s="42" t="n">
        <v>0</v>
      </c>
      <c r="G358" s="42" t="n">
        <v>152204.51</v>
      </c>
      <c r="H358" s="42" t="inlineStr"/>
      <c r="I358" s="42" t="inlineStr"/>
      <c r="J358" s="42" t="inlineStr">
        <is>
          <t>HDFC Securities - Buy</t>
        </is>
      </c>
      <c r="K358" s="42" t="inlineStr">
        <is>
          <t>HDFC Securities</t>
        </is>
      </c>
      <c r="L358" s="18" t="n">
        <v>0.97</v>
      </c>
      <c r="M358" s="42" t="inlineStr">
        <is>
          <t>N/A</t>
        </is>
      </c>
    </row>
    <row r="359">
      <c r="A359" s="54" t="n">
        <v>45180</v>
      </c>
      <c r="B359" s="55" t="inlineStr">
        <is>
          <t>NET PO FROM HSL A/C 2554606-50200085415108</t>
        </is>
      </c>
      <c r="C359" s="55" t="inlineStr">
        <is>
          <t>0000000447205575</t>
        </is>
      </c>
      <c r="D359" s="54" t="n">
        <v>45180</v>
      </c>
      <c r="E359" s="55" t="n">
        <v>0</v>
      </c>
      <c r="F359" s="55" t="n">
        <v>160.02</v>
      </c>
      <c r="G359" s="55" t="n">
        <v>152364.53</v>
      </c>
      <c r="H359" s="55" t="inlineStr"/>
      <c r="I359" s="55" t="inlineStr"/>
      <c r="J359" s="55" t="inlineStr">
        <is>
          <t>HDFC Securities - Sell</t>
        </is>
      </c>
      <c r="K359" s="55" t="inlineStr">
        <is>
          <t>HDFC Securities</t>
        </is>
      </c>
      <c r="L359" s="18" t="n">
        <v>0.97</v>
      </c>
      <c r="M359" s="55" t="inlineStr">
        <is>
          <t>N/A</t>
        </is>
      </c>
    </row>
    <row r="360">
      <c r="A360" s="58" t="n">
        <v>45180</v>
      </c>
      <c r="B360" s="59" t="inlineStr">
        <is>
          <t>NET PAYIN TO BSE MF A/C -57500000389146- FROM A/C -50100128155413- UCC -2554606-57500000389146</t>
        </is>
      </c>
      <c r="C360" s="59" t="inlineStr">
        <is>
          <t>0000000447314572</t>
        </is>
      </c>
      <c r="D360" s="58" t="n">
        <v>45180</v>
      </c>
      <c r="E360" s="59" t="n">
        <v>3000</v>
      </c>
      <c r="F360" s="59" t="n">
        <v>0</v>
      </c>
      <c r="G360" s="59" t="n">
        <v>149364.53</v>
      </c>
      <c r="H360" s="59" t="inlineStr"/>
      <c r="I360" s="59" t="inlineStr"/>
      <c r="J360" s="59" t="inlineStr">
        <is>
          <t>MF Investment</t>
        </is>
      </c>
      <c r="K360" s="59" t="inlineStr">
        <is>
          <t>Investments</t>
        </is>
      </c>
      <c r="L360" s="18" t="n">
        <v>0.9</v>
      </c>
      <c r="M360" s="59" t="inlineStr">
        <is>
          <t>N/A</t>
        </is>
      </c>
    </row>
    <row r="361">
      <c r="A361" s="41" t="n">
        <v>45180</v>
      </c>
      <c r="B361" s="42" t="inlineStr">
        <is>
          <t>NET PI TO HSL SEC A/C 2554606-00602340029427</t>
        </is>
      </c>
      <c r="C361" s="42" t="inlineStr">
        <is>
          <t>0000000447444530</t>
        </is>
      </c>
      <c r="D361" s="41" t="n">
        <v>45180</v>
      </c>
      <c r="E361" s="42" t="n">
        <v>281.7</v>
      </c>
      <c r="F361" s="42" t="n">
        <v>0</v>
      </c>
      <c r="G361" s="42" t="n">
        <v>149082.83</v>
      </c>
      <c r="H361" s="42" t="inlineStr"/>
      <c r="I361" s="42" t="inlineStr"/>
      <c r="J361" s="42" t="inlineStr">
        <is>
          <t>HDFC Securities - Buy</t>
        </is>
      </c>
      <c r="K361" s="42" t="inlineStr">
        <is>
          <t>HDFC Securities</t>
        </is>
      </c>
      <c r="L361" s="18" t="n">
        <v>0.97</v>
      </c>
      <c r="M361" s="42" t="inlineStr">
        <is>
          <t>N/A</t>
        </is>
      </c>
    </row>
    <row r="362">
      <c r="A362" s="19" t="n">
        <v>45180</v>
      </c>
      <c r="B362" s="20" t="inlineStr">
        <is>
          <t>ISAQMC-JAN-MAR23-417944 310723-MIR2425184892270</t>
        </is>
      </c>
      <c r="C362" s="20" t="inlineStr">
        <is>
          <t>MIR2425184892270</t>
        </is>
      </c>
      <c r="D362" s="19" t="n">
        <v>45180</v>
      </c>
      <c r="E362" s="20" t="n">
        <v>295</v>
      </c>
      <c r="F362" s="20" t="n">
        <v>0</v>
      </c>
      <c r="G362" s="20" t="n">
        <v>148787.83</v>
      </c>
      <c r="H362" s="20" t="inlineStr"/>
      <c r="I362" s="20" t="inlineStr"/>
      <c r="J362" s="20" t="inlineStr">
        <is>
          <t>Bank Charges</t>
        </is>
      </c>
      <c r="K362" s="20" t="inlineStr">
        <is>
          <t>Bank Charges</t>
        </is>
      </c>
      <c r="L362" s="18" t="n">
        <v>0.9</v>
      </c>
      <c r="M362" s="20" t="inlineStr">
        <is>
          <t>N/A</t>
        </is>
      </c>
    </row>
    <row r="363">
      <c r="A363" s="41" t="n">
        <v>45180</v>
      </c>
      <c r="B363" s="42" t="inlineStr">
        <is>
          <t>NET PI TO HSL SEC A/C 2554606-00602340029427</t>
        </is>
      </c>
      <c r="C363" s="42" t="inlineStr">
        <is>
          <t>0000000447524535</t>
        </is>
      </c>
      <c r="D363" s="41" t="n">
        <v>45180</v>
      </c>
      <c r="E363" s="42" t="n">
        <v>32347.65</v>
      </c>
      <c r="F363" s="42" t="n">
        <v>0</v>
      </c>
      <c r="G363" s="42" t="n">
        <v>116440.18</v>
      </c>
      <c r="H363" s="42" t="inlineStr"/>
      <c r="I363" s="42" t="inlineStr"/>
      <c r="J363" s="42" t="inlineStr">
        <is>
          <t>HDFC Securities - Buy</t>
        </is>
      </c>
      <c r="K363" s="42" t="inlineStr">
        <is>
          <t>HDFC Securities</t>
        </is>
      </c>
      <c r="L363" s="18" t="n">
        <v>0.97</v>
      </c>
      <c r="M363" s="42" t="inlineStr">
        <is>
          <t>N/A</t>
        </is>
      </c>
    </row>
    <row r="364">
      <c r="A364" s="41" t="n">
        <v>45180</v>
      </c>
      <c r="B364" s="42" t="inlineStr">
        <is>
          <t>NET PI TO HSL SEC A/C 2554606-00602340029427</t>
        </is>
      </c>
      <c r="C364" s="42" t="inlineStr">
        <is>
          <t>0000000447598176</t>
        </is>
      </c>
      <c r="D364" s="41" t="n">
        <v>45180</v>
      </c>
      <c r="E364" s="42" t="n">
        <v>50678.87</v>
      </c>
      <c r="F364" s="42" t="n">
        <v>0</v>
      </c>
      <c r="G364" s="42" t="n">
        <v>65761.31</v>
      </c>
      <c r="H364" s="42" t="inlineStr"/>
      <c r="I364" s="42" t="inlineStr"/>
      <c r="J364" s="42" t="inlineStr">
        <is>
          <t>HDFC Securities - Buy</t>
        </is>
      </c>
      <c r="K364" s="42" t="inlineStr">
        <is>
          <t>HDFC Securities</t>
        </is>
      </c>
      <c r="L364" s="18" t="n">
        <v>0.97</v>
      </c>
      <c r="M364" s="42" t="inlineStr">
        <is>
          <t>N/A</t>
        </is>
      </c>
    </row>
    <row r="365">
      <c r="A365" s="41" t="n">
        <v>45181</v>
      </c>
      <c r="B365" s="42" t="inlineStr">
        <is>
          <t>NET PI TO HSL SEC A/C 2554606-00602340029427</t>
        </is>
      </c>
      <c r="C365" s="42" t="inlineStr">
        <is>
          <t>0000000447626853</t>
        </is>
      </c>
      <c r="D365" s="41" t="n">
        <v>45181</v>
      </c>
      <c r="E365" s="42" t="n">
        <v>56.49</v>
      </c>
      <c r="F365" s="42" t="n">
        <v>0</v>
      </c>
      <c r="G365" s="42" t="n">
        <v>65704.82000000001</v>
      </c>
      <c r="H365" s="42" t="inlineStr"/>
      <c r="I365" s="42" t="inlineStr"/>
      <c r="J365" s="42" t="inlineStr">
        <is>
          <t>HDFC Securities - Buy</t>
        </is>
      </c>
      <c r="K365" s="42" t="inlineStr">
        <is>
          <t>HDFC Securities</t>
        </is>
      </c>
      <c r="L365" s="18" t="n">
        <v>0.97</v>
      </c>
      <c r="M365" s="42" t="inlineStr">
        <is>
          <t>N/A</t>
        </is>
      </c>
    </row>
    <row r="366">
      <c r="A366" s="41" t="n">
        <v>45181</v>
      </c>
      <c r="B366" s="42" t="inlineStr">
        <is>
          <t>NET PI TO HSL SEC A/C 2554606-00602340029427</t>
        </is>
      </c>
      <c r="C366" s="42" t="inlineStr">
        <is>
          <t>0000000447888197</t>
        </is>
      </c>
      <c r="D366" s="41" t="n">
        <v>45181</v>
      </c>
      <c r="E366" s="42" t="n">
        <v>68.98999999999999</v>
      </c>
      <c r="F366" s="42" t="n">
        <v>0</v>
      </c>
      <c r="G366" s="42" t="n">
        <v>65635.83</v>
      </c>
      <c r="H366" s="42" t="inlineStr"/>
      <c r="I366" s="42" t="inlineStr"/>
      <c r="J366" s="42" t="inlineStr">
        <is>
          <t>HDFC Securities - Buy</t>
        </is>
      </c>
      <c r="K366" s="42" t="inlineStr">
        <is>
          <t>HDFC Securities</t>
        </is>
      </c>
      <c r="L366" s="18" t="n">
        <v>0.97</v>
      </c>
      <c r="M366" s="42" t="inlineStr">
        <is>
          <t>N/A</t>
        </is>
      </c>
    </row>
    <row r="367">
      <c r="A367" s="41" t="n">
        <v>45181</v>
      </c>
      <c r="B367" s="42" t="inlineStr">
        <is>
          <t>NET PI TO HSL SEC A/C 2554606-00602340029427</t>
        </is>
      </c>
      <c r="C367" s="42" t="inlineStr">
        <is>
          <t>0000000448011995</t>
        </is>
      </c>
      <c r="D367" s="41" t="n">
        <v>45181</v>
      </c>
      <c r="E367" s="42" t="n">
        <v>18742.47</v>
      </c>
      <c r="F367" s="42" t="n">
        <v>0</v>
      </c>
      <c r="G367" s="42" t="n">
        <v>46893.36</v>
      </c>
      <c r="H367" s="42" t="inlineStr"/>
      <c r="I367" s="42" t="inlineStr"/>
      <c r="J367" s="42" t="inlineStr">
        <is>
          <t>HDFC Securities - Buy</t>
        </is>
      </c>
      <c r="K367" s="42" t="inlineStr">
        <is>
          <t>HDFC Securities</t>
        </is>
      </c>
      <c r="L367" s="18" t="n">
        <v>0.97</v>
      </c>
      <c r="M367" s="42" t="inlineStr">
        <is>
          <t>N/A</t>
        </is>
      </c>
    </row>
    <row r="368">
      <c r="A368" s="41" t="n">
        <v>45181</v>
      </c>
      <c r="B368" s="42" t="inlineStr">
        <is>
          <t>NET PI TO HSL SEC A/C 2554606-00602340029427</t>
        </is>
      </c>
      <c r="C368" s="42" t="inlineStr">
        <is>
          <t>0000000448105318</t>
        </is>
      </c>
      <c r="D368" s="41" t="n">
        <v>45181</v>
      </c>
      <c r="E368" s="42" t="n">
        <v>8141.8</v>
      </c>
      <c r="F368" s="42" t="n">
        <v>0</v>
      </c>
      <c r="G368" s="42" t="n">
        <v>38751.56</v>
      </c>
      <c r="H368" s="42" t="inlineStr"/>
      <c r="I368" s="42" t="inlineStr"/>
      <c r="J368" s="42" t="inlineStr">
        <is>
          <t>HDFC Securities - Buy</t>
        </is>
      </c>
      <c r="K368" s="42" t="inlineStr">
        <is>
          <t>HDFC Securities</t>
        </is>
      </c>
      <c r="L368" s="18" t="n">
        <v>0.97</v>
      </c>
      <c r="M368" s="42" t="inlineStr">
        <is>
          <t>N/A</t>
        </is>
      </c>
    </row>
    <row r="369">
      <c r="A369" s="26" t="n">
        <v>45182</v>
      </c>
      <c r="B369" s="27" t="inlineStr">
        <is>
          <t>01671000085930-TPT-FROM AKG-AJAY KUMAR GUPTA</t>
        </is>
      </c>
      <c r="C369" s="27" t="inlineStr">
        <is>
          <t>0000000410810213</t>
        </is>
      </c>
      <c r="D369" s="26" t="n">
        <v>45182</v>
      </c>
      <c r="E369" s="27" t="n">
        <v>0</v>
      </c>
      <c r="F369" s="27" t="n">
        <v>200000</v>
      </c>
      <c r="G369" s="27" t="n">
        <v>238751.56</v>
      </c>
      <c r="H369" s="27" t="inlineStr"/>
      <c r="I369" s="27" t="inlineStr"/>
      <c r="J369" s="27" t="inlineStr">
        <is>
          <t>Received - Ajay Gupta</t>
        </is>
      </c>
      <c r="K369" s="27" t="inlineStr">
        <is>
          <t>Ajay Gupta</t>
        </is>
      </c>
      <c r="L369" s="18" t="n">
        <v>0.88</v>
      </c>
      <c r="M369" s="27" t="inlineStr">
        <is>
          <t>N/A</t>
        </is>
      </c>
    </row>
    <row r="370">
      <c r="A370" s="41" t="n">
        <v>45182</v>
      </c>
      <c r="B370" s="42" t="inlineStr">
        <is>
          <t>NET PI TO HSL SEC A/C 2554606-00602340029427</t>
        </is>
      </c>
      <c r="C370" s="42" t="inlineStr">
        <is>
          <t>0000000448384431</t>
        </is>
      </c>
      <c r="D370" s="41" t="n">
        <v>45182</v>
      </c>
      <c r="E370" s="42" t="n">
        <v>79.7</v>
      </c>
      <c r="F370" s="42" t="n">
        <v>0</v>
      </c>
      <c r="G370" s="42" t="n">
        <v>238671.86</v>
      </c>
      <c r="H370" s="42" t="inlineStr"/>
      <c r="I370" s="42" t="inlineStr"/>
      <c r="J370" s="42" t="inlineStr">
        <is>
          <t>HDFC Securities - Buy</t>
        </is>
      </c>
      <c r="K370" s="42" t="inlineStr">
        <is>
          <t>HDFC Securities</t>
        </is>
      </c>
      <c r="L370" s="18" t="n">
        <v>0.97</v>
      </c>
      <c r="M370" s="42" t="inlineStr">
        <is>
          <t>N/A</t>
        </is>
      </c>
    </row>
    <row r="371">
      <c r="A371" s="41" t="n">
        <v>45182</v>
      </c>
      <c r="B371" s="42" t="inlineStr">
        <is>
          <t>NET PI TO HSL SEC A/C 2554606-00602340029427</t>
        </is>
      </c>
      <c r="C371" s="42" t="inlineStr">
        <is>
          <t>0000000448514122</t>
        </is>
      </c>
      <c r="D371" s="41" t="n">
        <v>45182</v>
      </c>
      <c r="E371" s="42" t="n">
        <v>99405.5</v>
      </c>
      <c r="F371" s="42" t="n">
        <v>0</v>
      </c>
      <c r="G371" s="42" t="n">
        <v>139266.36</v>
      </c>
      <c r="H371" s="42" t="inlineStr"/>
      <c r="I371" s="42" t="inlineStr"/>
      <c r="J371" s="42" t="inlineStr">
        <is>
          <t>HDFC Securities - Buy</t>
        </is>
      </c>
      <c r="K371" s="42" t="inlineStr">
        <is>
          <t>HDFC Securities</t>
        </is>
      </c>
      <c r="L371" s="18" t="n">
        <v>0.97</v>
      </c>
      <c r="M371" s="42" t="inlineStr">
        <is>
          <t>N/A</t>
        </is>
      </c>
    </row>
    <row r="372">
      <c r="A372" s="58" t="n">
        <v>45183</v>
      </c>
      <c r="B372" s="59" t="inlineStr">
        <is>
          <t>NET PAYIN TO NSE MF A/C -00990610005906- FROM A/C -50100128155413- UCC -2554606-00990610005906</t>
        </is>
      </c>
      <c r="C372" s="59" t="inlineStr">
        <is>
          <t>0000000448712606</t>
        </is>
      </c>
      <c r="D372" s="58" t="n">
        <v>45183</v>
      </c>
      <c r="E372" s="59" t="n">
        <v>3000</v>
      </c>
      <c r="F372" s="59" t="n">
        <v>0</v>
      </c>
      <c r="G372" s="59" t="n">
        <v>136266.36</v>
      </c>
      <c r="H372" s="59" t="inlineStr"/>
      <c r="I372" s="59" t="inlineStr"/>
      <c r="J372" s="59" t="inlineStr">
        <is>
          <t>MF Investment</t>
        </is>
      </c>
      <c r="K372" s="59" t="inlineStr">
        <is>
          <t>Investments</t>
        </is>
      </c>
      <c r="L372" s="18" t="n">
        <v>0.9</v>
      </c>
      <c r="M372" s="59" t="inlineStr">
        <is>
          <t>N/A</t>
        </is>
      </c>
    </row>
    <row r="373">
      <c r="A373" s="41" t="n">
        <v>45183</v>
      </c>
      <c r="B373" s="42" t="inlineStr">
        <is>
          <t>NET PI TO HSL SEC A/C 2554606-00602340029427</t>
        </is>
      </c>
      <c r="C373" s="42" t="inlineStr">
        <is>
          <t>0000000448772252</t>
        </is>
      </c>
      <c r="D373" s="41" t="n">
        <v>45183</v>
      </c>
      <c r="E373" s="42" t="n">
        <v>41.67</v>
      </c>
      <c r="F373" s="42" t="n">
        <v>0</v>
      </c>
      <c r="G373" s="42" t="n">
        <v>136224.69</v>
      </c>
      <c r="H373" s="42" t="inlineStr"/>
      <c r="I373" s="42" t="inlineStr"/>
      <c r="J373" s="42" t="inlineStr">
        <is>
          <t>HDFC Securities - Buy</t>
        </is>
      </c>
      <c r="K373" s="42" t="inlineStr">
        <is>
          <t>HDFC Securities</t>
        </is>
      </c>
      <c r="L373" s="18" t="n">
        <v>0.97</v>
      </c>
      <c r="M373" s="42" t="inlineStr">
        <is>
          <t>N/A</t>
        </is>
      </c>
    </row>
    <row r="374">
      <c r="A374" s="41" t="n">
        <v>45183</v>
      </c>
      <c r="B374" s="42" t="inlineStr">
        <is>
          <t>NET PI TO HSL SEC A/C 2554606-00602340029427</t>
        </is>
      </c>
      <c r="C374" s="42" t="inlineStr">
        <is>
          <t>0000000448909899</t>
        </is>
      </c>
      <c r="D374" s="41" t="n">
        <v>45183</v>
      </c>
      <c r="E374" s="42" t="n">
        <v>338.47</v>
      </c>
      <c r="F374" s="42" t="n">
        <v>0</v>
      </c>
      <c r="G374" s="42" t="n">
        <v>135886.22</v>
      </c>
      <c r="H374" s="42" t="inlineStr"/>
      <c r="I374" s="42" t="inlineStr"/>
      <c r="J374" s="42" t="inlineStr">
        <is>
          <t>HDFC Securities - Buy</t>
        </is>
      </c>
      <c r="K374" s="42" t="inlineStr">
        <is>
          <t>HDFC Securities</t>
        </is>
      </c>
      <c r="L374" s="18" t="n">
        <v>0.97</v>
      </c>
      <c r="M374" s="42" t="inlineStr">
        <is>
          <t>N/A</t>
        </is>
      </c>
    </row>
    <row r="375">
      <c r="A375" s="58" t="n">
        <v>45184</v>
      </c>
      <c r="B375" s="59" t="inlineStr">
        <is>
          <t>NET PAYIN TO BSE MF A/C -57500000389146- FROM A/C -50100128155413- UCC -2554606-57500000389146</t>
        </is>
      </c>
      <c r="C375" s="59" t="inlineStr">
        <is>
          <t>0000000449097549</t>
        </is>
      </c>
      <c r="D375" s="58" t="n">
        <v>45184</v>
      </c>
      <c r="E375" s="59" t="n">
        <v>2500</v>
      </c>
      <c r="F375" s="59" t="n">
        <v>0</v>
      </c>
      <c r="G375" s="59" t="n">
        <v>133386.22</v>
      </c>
      <c r="H375" s="59" t="inlineStr"/>
      <c r="I375" s="59" t="inlineStr"/>
      <c r="J375" s="59" t="inlineStr">
        <is>
          <t>MF Investment</t>
        </is>
      </c>
      <c r="K375" s="59" t="inlineStr">
        <is>
          <t>Investments</t>
        </is>
      </c>
      <c r="L375" s="18" t="n">
        <v>0.9</v>
      </c>
      <c r="M375" s="59" t="inlineStr">
        <is>
          <t>N/A</t>
        </is>
      </c>
    </row>
    <row r="376">
      <c r="A376" s="60" t="n">
        <v>45185</v>
      </c>
      <c r="B376" s="61" t="inlineStr">
        <is>
          <t>ATW-652166XXXXXX8920-S1ANMN04-NASHIK</t>
        </is>
      </c>
      <c r="C376" s="61" t="inlineStr">
        <is>
          <t>0000000000009912</t>
        </is>
      </c>
      <c r="D376" s="60" t="n">
        <v>45185</v>
      </c>
      <c r="E376" s="61" t="n">
        <v>500</v>
      </c>
      <c r="F376" s="61" t="n">
        <v>0</v>
      </c>
      <c r="G376" s="61" t="n">
        <v>132886.22</v>
      </c>
      <c r="H376" s="61" t="inlineStr"/>
      <c r="I376" s="61" t="inlineStr"/>
      <c r="J376" s="61" t="inlineStr">
        <is>
          <t>Cash Withdrawal</t>
        </is>
      </c>
      <c r="K376" s="61" t="inlineStr">
        <is>
          <t>Cash</t>
        </is>
      </c>
      <c r="L376" s="18" t="n">
        <v>0.92</v>
      </c>
      <c r="M376" s="61" t="inlineStr">
        <is>
          <t>N/A</t>
        </is>
      </c>
    </row>
    <row r="377">
      <c r="A377" s="54" t="n">
        <v>45187</v>
      </c>
      <c r="B377" s="55" t="inlineStr">
        <is>
          <t>NET PO FROM HSL A/C 2554606-50200085415108</t>
        </is>
      </c>
      <c r="C377" s="55" t="inlineStr">
        <is>
          <t>0000000449382786</t>
        </is>
      </c>
      <c r="D377" s="54" t="n">
        <v>45187</v>
      </c>
      <c r="E377" s="55" t="n">
        <v>0</v>
      </c>
      <c r="F377" s="55" t="n">
        <v>751.91</v>
      </c>
      <c r="G377" s="55" t="n">
        <v>133638.13</v>
      </c>
      <c r="H377" s="55" t="inlineStr"/>
      <c r="I377" s="55" t="inlineStr"/>
      <c r="J377" s="55" t="inlineStr">
        <is>
          <t>HDFC Securities - Sell</t>
        </is>
      </c>
      <c r="K377" s="55" t="inlineStr">
        <is>
          <t>HDFC Securities</t>
        </is>
      </c>
      <c r="L377" s="18" t="n">
        <v>0.97</v>
      </c>
      <c r="M377" s="55" t="inlineStr">
        <is>
          <t>N/A</t>
        </is>
      </c>
    </row>
    <row r="378">
      <c r="A378" s="41" t="n">
        <v>45187</v>
      </c>
      <c r="B378" s="42" t="inlineStr">
        <is>
          <t>NET PI TO HSL SEC A/C 2554606-00602340029427</t>
        </is>
      </c>
      <c r="C378" s="42" t="inlineStr">
        <is>
          <t>0000000449573083</t>
        </is>
      </c>
      <c r="D378" s="41" t="n">
        <v>45187</v>
      </c>
      <c r="E378" s="42" t="n">
        <v>136.08</v>
      </c>
      <c r="F378" s="42" t="n">
        <v>0</v>
      </c>
      <c r="G378" s="42" t="n">
        <v>133502.05</v>
      </c>
      <c r="H378" s="42" t="inlineStr"/>
      <c r="I378" s="42" t="inlineStr"/>
      <c r="J378" s="42" t="inlineStr">
        <is>
          <t>HDFC Securities - Buy</t>
        </is>
      </c>
      <c r="K378" s="42" t="inlineStr">
        <is>
          <t>HDFC Securities</t>
        </is>
      </c>
      <c r="L378" s="18" t="n">
        <v>0.97</v>
      </c>
      <c r="M378" s="42" t="inlineStr">
        <is>
          <t>N/A</t>
        </is>
      </c>
    </row>
    <row r="379">
      <c r="A379" s="56" t="n">
        <v>45187</v>
      </c>
      <c r="B379" s="57" t="inlineStr">
        <is>
          <t>DEPOSITORY CHARGES AUG23 - 52812428</t>
        </is>
      </c>
      <c r="C379" s="57" t="inlineStr">
        <is>
          <t>000000000000000</t>
        </is>
      </c>
      <c r="D379" s="56" t="n">
        <v>45187</v>
      </c>
      <c r="E379" s="57" t="n">
        <v>224.2</v>
      </c>
      <c r="F379" s="57" t="n">
        <v>0</v>
      </c>
      <c r="G379" s="57" t="n">
        <v>133277.85</v>
      </c>
      <c r="H379" s="57" t="inlineStr"/>
      <c r="I379" s="57" t="inlineStr"/>
      <c r="J379" s="57" t="inlineStr">
        <is>
          <t>Depository Charges</t>
        </is>
      </c>
      <c r="K379" s="57" t="inlineStr">
        <is>
          <t>Depository Charges</t>
        </is>
      </c>
      <c r="L379" s="18" t="n">
        <v>0.93</v>
      </c>
      <c r="M379" s="57" t="inlineStr">
        <is>
          <t>N/A</t>
        </is>
      </c>
    </row>
    <row r="380">
      <c r="A380" s="41" t="n">
        <v>45187</v>
      </c>
      <c r="B380" s="42" t="inlineStr">
        <is>
          <t>NET PI TO HSL SEC A/C 2554606-00602340029427</t>
        </is>
      </c>
      <c r="C380" s="42" t="inlineStr">
        <is>
          <t>0000000449717053</t>
        </is>
      </c>
      <c r="D380" s="41" t="n">
        <v>45187</v>
      </c>
      <c r="E380" s="42" t="n">
        <v>15243.18</v>
      </c>
      <c r="F380" s="42" t="n">
        <v>0</v>
      </c>
      <c r="G380" s="42" t="n">
        <v>118034.67</v>
      </c>
      <c r="H380" s="42" t="inlineStr"/>
      <c r="I380" s="42" t="inlineStr"/>
      <c r="J380" s="42" t="inlineStr">
        <is>
          <t>HDFC Securities - Buy</t>
        </is>
      </c>
      <c r="K380" s="42" t="inlineStr">
        <is>
          <t>HDFC Securities</t>
        </is>
      </c>
      <c r="L380" s="18" t="n">
        <v>0.97</v>
      </c>
      <c r="M380" s="42" t="inlineStr">
        <is>
          <t>N/A</t>
        </is>
      </c>
    </row>
    <row r="381">
      <c r="A381" s="54" t="n">
        <v>45189</v>
      </c>
      <c r="B381" s="55" t="inlineStr">
        <is>
          <t>NET PO FROM HSL A/C 2554606-50200085415108</t>
        </is>
      </c>
      <c r="C381" s="55" t="inlineStr">
        <is>
          <t>0000000449858140</t>
        </is>
      </c>
      <c r="D381" s="54" t="n">
        <v>45189</v>
      </c>
      <c r="E381" s="55" t="n">
        <v>0</v>
      </c>
      <c r="F381" s="55" t="n">
        <v>8000</v>
      </c>
      <c r="G381" s="55" t="n">
        <v>126034.67</v>
      </c>
      <c r="H381" s="55" t="inlineStr"/>
      <c r="I381" s="55" t="inlineStr"/>
      <c r="J381" s="55" t="inlineStr">
        <is>
          <t>HDFC Securities - Sell</t>
        </is>
      </c>
      <c r="K381" s="55" t="inlineStr">
        <is>
          <t>HDFC Securities</t>
        </is>
      </c>
      <c r="L381" s="18" t="n">
        <v>0.97</v>
      </c>
      <c r="M381" s="55" t="inlineStr">
        <is>
          <t>N/A</t>
        </is>
      </c>
    </row>
    <row r="382">
      <c r="A382" s="41" t="n">
        <v>45189</v>
      </c>
      <c r="B382" s="42" t="inlineStr">
        <is>
          <t>NET PI TO HSL SEC A/C 2554606-00602340029427</t>
        </is>
      </c>
      <c r="C382" s="42" t="inlineStr">
        <is>
          <t>0000000450001205</t>
        </is>
      </c>
      <c r="D382" s="41" t="n">
        <v>45189</v>
      </c>
      <c r="E382" s="42" t="n">
        <v>76.42</v>
      </c>
      <c r="F382" s="42" t="n">
        <v>0</v>
      </c>
      <c r="G382" s="42" t="n">
        <v>125958.25</v>
      </c>
      <c r="H382" s="42" t="inlineStr"/>
      <c r="I382" s="42" t="inlineStr"/>
      <c r="J382" s="42" t="inlineStr">
        <is>
          <t>HDFC Securities - Buy</t>
        </is>
      </c>
      <c r="K382" s="42" t="inlineStr">
        <is>
          <t>HDFC Securities</t>
        </is>
      </c>
      <c r="L382" s="18" t="n">
        <v>0.97</v>
      </c>
      <c r="M382" s="42" t="inlineStr">
        <is>
          <t>N/A</t>
        </is>
      </c>
    </row>
    <row r="383">
      <c r="A383" s="41" t="n">
        <v>45189</v>
      </c>
      <c r="B383" s="42" t="inlineStr">
        <is>
          <t>NET PI TO HSL SEC A/C 2554606-00602340029427</t>
        </is>
      </c>
      <c r="C383" s="42" t="inlineStr">
        <is>
          <t>0000000450116852</t>
        </is>
      </c>
      <c r="D383" s="41" t="n">
        <v>45189</v>
      </c>
      <c r="E383" s="42" t="n">
        <v>13410.04</v>
      </c>
      <c r="F383" s="42" t="n">
        <v>0</v>
      </c>
      <c r="G383" s="42" t="n">
        <v>112548.21</v>
      </c>
      <c r="H383" s="42" t="inlineStr"/>
      <c r="I383" s="42" t="inlineStr"/>
      <c r="J383" s="42" t="inlineStr">
        <is>
          <t>HDFC Securities - Buy</t>
        </is>
      </c>
      <c r="K383" s="42" t="inlineStr">
        <is>
          <t>HDFC Securities</t>
        </is>
      </c>
      <c r="L383" s="18" t="n">
        <v>0.97</v>
      </c>
      <c r="M383" s="42" t="inlineStr">
        <is>
          <t>N/A</t>
        </is>
      </c>
    </row>
    <row r="384">
      <c r="A384" s="41" t="n">
        <v>45189</v>
      </c>
      <c r="B384" s="42" t="inlineStr">
        <is>
          <t>NET PI TO HSL SEC A/C 2554606-00602340029427</t>
        </is>
      </c>
      <c r="C384" s="42" t="inlineStr">
        <is>
          <t>0000000450190827</t>
        </is>
      </c>
      <c r="D384" s="41" t="n">
        <v>45189</v>
      </c>
      <c r="E384" s="42" t="n">
        <v>9742.309999999999</v>
      </c>
      <c r="F384" s="42" t="n">
        <v>0</v>
      </c>
      <c r="G384" s="42" t="n">
        <v>102805.9</v>
      </c>
      <c r="H384" s="42" t="inlineStr"/>
      <c r="I384" s="42" t="inlineStr"/>
      <c r="J384" s="42" t="inlineStr">
        <is>
          <t>HDFC Securities - Buy</t>
        </is>
      </c>
      <c r="K384" s="42" t="inlineStr">
        <is>
          <t>HDFC Securities</t>
        </is>
      </c>
      <c r="L384" s="18" t="n">
        <v>0.97</v>
      </c>
      <c r="M384" s="42" t="inlineStr">
        <is>
          <t>N/A</t>
        </is>
      </c>
    </row>
    <row r="385">
      <c r="A385" s="41" t="n">
        <v>45190</v>
      </c>
      <c r="B385" s="42" t="inlineStr">
        <is>
          <t>NET PI TO HSL SEC A/C 2554606-00602340029427</t>
        </is>
      </c>
      <c r="C385" s="42" t="inlineStr">
        <is>
          <t>0000000450458070</t>
        </is>
      </c>
      <c r="D385" s="41" t="n">
        <v>45190</v>
      </c>
      <c r="E385" s="42" t="n">
        <v>57.69</v>
      </c>
      <c r="F385" s="42" t="n">
        <v>0</v>
      </c>
      <c r="G385" s="42" t="n">
        <v>102748.21</v>
      </c>
      <c r="H385" s="42" t="inlineStr"/>
      <c r="I385" s="42" t="inlineStr"/>
      <c r="J385" s="42" t="inlineStr">
        <is>
          <t>HDFC Securities - Buy</t>
        </is>
      </c>
      <c r="K385" s="42" t="inlineStr">
        <is>
          <t>HDFC Securities</t>
        </is>
      </c>
      <c r="L385" s="18" t="n">
        <v>0.97</v>
      </c>
      <c r="M385" s="42" t="inlineStr">
        <is>
          <t>N/A</t>
        </is>
      </c>
    </row>
    <row r="386">
      <c r="A386" s="41" t="n">
        <v>45190</v>
      </c>
      <c r="B386" s="42" t="inlineStr">
        <is>
          <t>NET PI TO HSL SEC A/C 2554606-00602340029427</t>
        </is>
      </c>
      <c r="C386" s="42" t="inlineStr">
        <is>
          <t>0000000450646400</t>
        </is>
      </c>
      <c r="D386" s="41" t="n">
        <v>45190</v>
      </c>
      <c r="E386" s="42" t="n">
        <v>10280.45</v>
      </c>
      <c r="F386" s="42" t="n">
        <v>0</v>
      </c>
      <c r="G386" s="42" t="n">
        <v>92467.75999999999</v>
      </c>
      <c r="H386" s="42" t="inlineStr"/>
      <c r="I386" s="42" t="inlineStr"/>
      <c r="J386" s="42" t="inlineStr">
        <is>
          <t>HDFC Securities - Buy</t>
        </is>
      </c>
      <c r="K386" s="42" t="inlineStr">
        <is>
          <t>HDFC Securities</t>
        </is>
      </c>
      <c r="L386" s="18" t="n">
        <v>0.97</v>
      </c>
      <c r="M386" s="42" t="inlineStr">
        <is>
          <t>N/A</t>
        </is>
      </c>
    </row>
    <row r="387">
      <c r="A387" s="62" t="n">
        <v>45190</v>
      </c>
      <c r="B387" s="63" t="inlineStr">
        <is>
          <t>01671000060094-TPT-FROM AAYUSH-SUNITA GUPTA</t>
        </is>
      </c>
      <c r="C387" s="63" t="inlineStr">
        <is>
          <t>0000000442259920</t>
        </is>
      </c>
      <c r="D387" s="62" t="n">
        <v>45190</v>
      </c>
      <c r="E387" s="63" t="n">
        <v>30000</v>
      </c>
      <c r="F387" s="63" t="n">
        <v>0</v>
      </c>
      <c r="G387" s="63" t="n">
        <v>62467.76</v>
      </c>
      <c r="H387" s="63" t="inlineStr"/>
      <c r="I387" s="63" t="inlineStr"/>
      <c r="J387" s="63" t="inlineStr">
        <is>
          <t>Transfer - Sunita Gupta</t>
        </is>
      </c>
      <c r="K387" s="63" t="inlineStr">
        <is>
          <t>Sunita Gupta</t>
        </is>
      </c>
      <c r="L387" s="18" t="n">
        <v>0.88</v>
      </c>
      <c r="M387" s="63" t="inlineStr">
        <is>
          <t>N/A</t>
        </is>
      </c>
    </row>
    <row r="388">
      <c r="A388" s="41" t="n">
        <v>45191</v>
      </c>
      <c r="B388" s="42" t="inlineStr">
        <is>
          <t>NET PI TO HSL SEC A/C 2554606-00602340029427</t>
        </is>
      </c>
      <c r="C388" s="42" t="inlineStr">
        <is>
          <t>0000000450879713</t>
        </is>
      </c>
      <c r="D388" s="41" t="n">
        <v>45191</v>
      </c>
      <c r="E388" s="42" t="n">
        <v>65.56999999999999</v>
      </c>
      <c r="F388" s="42" t="n">
        <v>0</v>
      </c>
      <c r="G388" s="42" t="n">
        <v>62402.19</v>
      </c>
      <c r="H388" s="42" t="inlineStr"/>
      <c r="I388" s="42" t="inlineStr"/>
      <c r="J388" s="42" t="inlineStr">
        <is>
          <t>HDFC Securities - Buy</t>
        </is>
      </c>
      <c r="K388" s="42" t="inlineStr">
        <is>
          <t>HDFC Securities</t>
        </is>
      </c>
      <c r="L388" s="18" t="n">
        <v>0.97</v>
      </c>
      <c r="M388" s="42" t="inlineStr">
        <is>
          <t>N/A</t>
        </is>
      </c>
    </row>
    <row r="389">
      <c r="A389" s="41" t="n">
        <v>45191</v>
      </c>
      <c r="B389" s="42" t="inlineStr">
        <is>
          <t>NET PI TO HSL SEC A/C 2554606-00602340029427</t>
        </is>
      </c>
      <c r="C389" s="42" t="inlineStr">
        <is>
          <t>0000000451052598</t>
        </is>
      </c>
      <c r="D389" s="41" t="n">
        <v>45191</v>
      </c>
      <c r="E389" s="42" t="n">
        <v>8145.09</v>
      </c>
      <c r="F389" s="42" t="n">
        <v>0</v>
      </c>
      <c r="G389" s="42" t="n">
        <v>54257.1</v>
      </c>
      <c r="H389" s="42" t="inlineStr"/>
      <c r="I389" s="42" t="inlineStr"/>
      <c r="J389" s="42" t="inlineStr">
        <is>
          <t>HDFC Securities - Buy</t>
        </is>
      </c>
      <c r="K389" s="42" t="inlineStr">
        <is>
          <t>HDFC Securities</t>
        </is>
      </c>
      <c r="L389" s="18" t="n">
        <v>0.97</v>
      </c>
      <c r="M389" s="42" t="inlineStr">
        <is>
          <t>N/A</t>
        </is>
      </c>
    </row>
    <row r="390">
      <c r="A390" s="54" t="n">
        <v>45194</v>
      </c>
      <c r="B390" s="55" t="inlineStr">
        <is>
          <t>NET PO FROM HSL A/C 2554606-50200085415108</t>
        </is>
      </c>
      <c r="C390" s="55" t="inlineStr">
        <is>
          <t>0000000451187549</t>
        </is>
      </c>
      <c r="D390" s="54" t="n">
        <v>45194</v>
      </c>
      <c r="E390" s="55" t="n">
        <v>0</v>
      </c>
      <c r="F390" s="55" t="n">
        <v>36925.73</v>
      </c>
      <c r="G390" s="55" t="n">
        <v>91182.83</v>
      </c>
      <c r="H390" s="55" t="inlineStr"/>
      <c r="I390" s="55" t="inlineStr"/>
      <c r="J390" s="55" t="inlineStr">
        <is>
          <t>HDFC Securities - Sell</t>
        </is>
      </c>
      <c r="K390" s="55" t="inlineStr">
        <is>
          <t>HDFC Securities</t>
        </is>
      </c>
      <c r="L390" s="18" t="n">
        <v>0.97</v>
      </c>
      <c r="M390" s="55" t="inlineStr">
        <is>
          <t>N/A</t>
        </is>
      </c>
    </row>
    <row r="391">
      <c r="A391" s="58" t="n">
        <v>45194</v>
      </c>
      <c r="B391" s="59" t="inlineStr">
        <is>
          <t>NET PAYIN TO BSE MF A/C -57500000389146- FROM A/C -50100128155413- UCC -2554606-57500000389146</t>
        </is>
      </c>
      <c r="C391" s="59" t="inlineStr">
        <is>
          <t>0000000451250593</t>
        </is>
      </c>
      <c r="D391" s="58" t="n">
        <v>45194</v>
      </c>
      <c r="E391" s="59" t="n">
        <v>2500</v>
      </c>
      <c r="F391" s="59" t="n">
        <v>0</v>
      </c>
      <c r="G391" s="59" t="n">
        <v>88682.83</v>
      </c>
      <c r="H391" s="59" t="inlineStr"/>
      <c r="I391" s="59" t="inlineStr"/>
      <c r="J391" s="59" t="inlineStr">
        <is>
          <t>MF Investment</t>
        </is>
      </c>
      <c r="K391" s="59" t="inlineStr">
        <is>
          <t>Investments</t>
        </is>
      </c>
      <c r="L391" s="18" t="n">
        <v>0.9</v>
      </c>
      <c r="M391" s="59" t="inlineStr">
        <is>
          <t>N/A</t>
        </is>
      </c>
    </row>
    <row r="392">
      <c r="A392" s="41" t="n">
        <v>45194</v>
      </c>
      <c r="B392" s="42" t="inlineStr">
        <is>
          <t>NET PI TO HSL SEC A/C 2554606-00602340029427</t>
        </is>
      </c>
      <c r="C392" s="42" t="inlineStr">
        <is>
          <t>0000000451329829</t>
        </is>
      </c>
      <c r="D392" s="41" t="n">
        <v>45194</v>
      </c>
      <c r="E392" s="42" t="n">
        <v>222.63</v>
      </c>
      <c r="F392" s="42" t="n">
        <v>0</v>
      </c>
      <c r="G392" s="42" t="n">
        <v>88460.2</v>
      </c>
      <c r="H392" s="42" t="inlineStr"/>
      <c r="I392" s="42" t="inlineStr"/>
      <c r="J392" s="42" t="inlineStr">
        <is>
          <t>HDFC Securities - Buy</t>
        </is>
      </c>
      <c r="K392" s="42" t="inlineStr">
        <is>
          <t>HDFC Securities</t>
        </is>
      </c>
      <c r="L392" s="18" t="n">
        <v>0.97</v>
      </c>
      <c r="M392" s="42" t="inlineStr">
        <is>
          <t>N/A</t>
        </is>
      </c>
    </row>
    <row r="393">
      <c r="A393" s="41" t="n">
        <v>45194</v>
      </c>
      <c r="B393" s="42" t="inlineStr">
        <is>
          <t>NET PI TO HSL SEC A/C 2554606-00602340029427</t>
        </is>
      </c>
      <c r="C393" s="42" t="inlineStr">
        <is>
          <t>0000000451498485</t>
        </is>
      </c>
      <c r="D393" s="41" t="n">
        <v>45194</v>
      </c>
      <c r="E393" s="42" t="n">
        <v>240.57</v>
      </c>
      <c r="F393" s="42" t="n">
        <v>0</v>
      </c>
      <c r="G393" s="42" t="n">
        <v>88219.63</v>
      </c>
      <c r="H393" s="42" t="inlineStr"/>
      <c r="I393" s="42" t="inlineStr"/>
      <c r="J393" s="42" t="inlineStr">
        <is>
          <t>HDFC Securities - Buy</t>
        </is>
      </c>
      <c r="K393" s="42" t="inlineStr">
        <is>
          <t>HDFC Securities</t>
        </is>
      </c>
      <c r="L393" s="18" t="n">
        <v>0.97</v>
      </c>
      <c r="M393" s="42" t="inlineStr">
        <is>
          <t>N/A</t>
        </is>
      </c>
    </row>
    <row r="394">
      <c r="A394" s="41" t="n">
        <v>45195</v>
      </c>
      <c r="B394" s="42" t="inlineStr">
        <is>
          <t>NET PI TO HSL SEC A/C 2554606-00602340029427</t>
        </is>
      </c>
      <c r="C394" s="42" t="inlineStr">
        <is>
          <t>0000000451736852</t>
        </is>
      </c>
      <c r="D394" s="41" t="n">
        <v>45195</v>
      </c>
      <c r="E394" s="42" t="n">
        <v>85.62</v>
      </c>
      <c r="F394" s="42" t="n">
        <v>0</v>
      </c>
      <c r="G394" s="42" t="n">
        <v>88134.00999999999</v>
      </c>
      <c r="H394" s="42" t="inlineStr"/>
      <c r="I394" s="42" t="inlineStr"/>
      <c r="J394" s="42" t="inlineStr">
        <is>
          <t>HDFC Securities - Buy</t>
        </is>
      </c>
      <c r="K394" s="42" t="inlineStr">
        <is>
          <t>HDFC Securities</t>
        </is>
      </c>
      <c r="L394" s="18" t="n">
        <v>0.97</v>
      </c>
      <c r="M394" s="42" t="inlineStr">
        <is>
          <t>N/A</t>
        </is>
      </c>
    </row>
    <row r="395">
      <c r="A395" s="54" t="n">
        <v>45196</v>
      </c>
      <c r="B395" s="55" t="inlineStr">
        <is>
          <t>NET PO FROM HSL A/C 2554606-50200085415108</t>
        </is>
      </c>
      <c r="C395" s="55" t="inlineStr">
        <is>
          <t>0000000451997133</t>
        </is>
      </c>
      <c r="D395" s="54" t="n">
        <v>45196</v>
      </c>
      <c r="E395" s="55" t="n">
        <v>0</v>
      </c>
      <c r="F395" s="55" t="n">
        <v>15791.65</v>
      </c>
      <c r="G395" s="55" t="n">
        <v>103925.66</v>
      </c>
      <c r="H395" s="55" t="inlineStr"/>
      <c r="I395" s="55" t="inlineStr"/>
      <c r="J395" s="55" t="inlineStr">
        <is>
          <t>HDFC Securities - Sell</t>
        </is>
      </c>
      <c r="K395" s="55" t="inlineStr">
        <is>
          <t>HDFC Securities</t>
        </is>
      </c>
      <c r="L395" s="18" t="n">
        <v>0.97</v>
      </c>
      <c r="M395" s="55" t="inlineStr">
        <is>
          <t>N/A</t>
        </is>
      </c>
    </row>
    <row r="396">
      <c r="A396" s="41" t="n">
        <v>45196</v>
      </c>
      <c r="B396" s="42" t="inlineStr">
        <is>
          <t>NET PI TO HSL SEC A/C 2554606-00602340029427</t>
        </is>
      </c>
      <c r="C396" s="42" t="inlineStr">
        <is>
          <t>0000000452123977</t>
        </is>
      </c>
      <c r="D396" s="41" t="n">
        <v>45196</v>
      </c>
      <c r="E396" s="42" t="n">
        <v>85.62</v>
      </c>
      <c r="F396" s="42" t="n">
        <v>0</v>
      </c>
      <c r="G396" s="42" t="n">
        <v>103840.04</v>
      </c>
      <c r="H396" s="42" t="inlineStr"/>
      <c r="I396" s="42" t="inlineStr"/>
      <c r="J396" s="42" t="inlineStr">
        <is>
          <t>HDFC Securities - Buy</t>
        </is>
      </c>
      <c r="K396" s="42" t="inlineStr">
        <is>
          <t>HDFC Securities</t>
        </is>
      </c>
      <c r="L396" s="18" t="n">
        <v>0.97</v>
      </c>
      <c r="M396" s="42" t="inlineStr">
        <is>
          <t>N/A</t>
        </is>
      </c>
    </row>
    <row r="397">
      <c r="A397" s="58" t="n">
        <v>45196</v>
      </c>
      <c r="B397" s="59" t="inlineStr">
        <is>
          <t>YHDF2090683091/BILLDKINDIANCLEARING</t>
        </is>
      </c>
      <c r="C397" s="59" t="inlineStr">
        <is>
          <t>0002327028554507</t>
        </is>
      </c>
      <c r="D397" s="58" t="n">
        <v>45196</v>
      </c>
      <c r="E397" s="59" t="n">
        <v>10000</v>
      </c>
      <c r="F397" s="59" t="n">
        <v>0</v>
      </c>
      <c r="G397" s="59" t="n">
        <v>93840.03999999999</v>
      </c>
      <c r="H397" s="59" t="inlineStr"/>
      <c r="I397" s="59" t="inlineStr"/>
      <c r="J397" s="59" t="inlineStr">
        <is>
          <t>SIP</t>
        </is>
      </c>
      <c r="K397" s="59" t="inlineStr">
        <is>
          <t>SIP</t>
        </is>
      </c>
      <c r="L397" s="18" t="n">
        <v>0.9</v>
      </c>
      <c r="M397" s="59" t="inlineStr">
        <is>
          <t>N/A</t>
        </is>
      </c>
    </row>
    <row r="398">
      <c r="A398" s="41" t="n">
        <v>45197</v>
      </c>
      <c r="B398" s="42" t="inlineStr">
        <is>
          <t>NET PI TO HSL SEC A/C 2554606-00602340029427</t>
        </is>
      </c>
      <c r="C398" s="42" t="inlineStr">
        <is>
          <t>0000000452258424</t>
        </is>
      </c>
      <c r="D398" s="41" t="n">
        <v>45197</v>
      </c>
      <c r="E398" s="42" t="n">
        <v>98.13</v>
      </c>
      <c r="F398" s="42" t="n">
        <v>0</v>
      </c>
      <c r="G398" s="42" t="n">
        <v>93741.91</v>
      </c>
      <c r="H398" s="42" t="inlineStr"/>
      <c r="I398" s="42" t="inlineStr"/>
      <c r="J398" s="42" t="inlineStr">
        <is>
          <t>HDFC Securities - Buy</t>
        </is>
      </c>
      <c r="K398" s="42" t="inlineStr">
        <is>
          <t>HDFC Securities</t>
        </is>
      </c>
      <c r="L398" s="18" t="n">
        <v>0.97</v>
      </c>
      <c r="M398" s="42" t="inlineStr">
        <is>
          <t>N/A</t>
        </is>
      </c>
    </row>
    <row r="399">
      <c r="A399" s="54" t="n">
        <v>45197</v>
      </c>
      <c r="B399" s="55" t="inlineStr">
        <is>
          <t>NET PO FROM HSL A/C 2554606-50200085415108</t>
        </is>
      </c>
      <c r="C399" s="55" t="inlineStr">
        <is>
          <t>0000000452409342</t>
        </is>
      </c>
      <c r="D399" s="54" t="n">
        <v>45197</v>
      </c>
      <c r="E399" s="55" t="n">
        <v>0</v>
      </c>
      <c r="F399" s="55" t="n">
        <v>11623.62</v>
      </c>
      <c r="G399" s="55" t="n">
        <v>105365.53</v>
      </c>
      <c r="H399" s="55" t="inlineStr"/>
      <c r="I399" s="55" t="inlineStr"/>
      <c r="J399" s="55" t="inlineStr">
        <is>
          <t>HDFC Securities - Sell</t>
        </is>
      </c>
      <c r="K399" s="55" t="inlineStr">
        <is>
          <t>HDFC Securities</t>
        </is>
      </c>
      <c r="L399" s="18" t="n">
        <v>0.97</v>
      </c>
      <c r="M399" s="55" t="inlineStr">
        <is>
          <t>N/A</t>
        </is>
      </c>
    </row>
    <row r="400">
      <c r="A400" s="41" t="n">
        <v>45197</v>
      </c>
      <c r="B400" s="42" t="inlineStr">
        <is>
          <t>NET PI TO HSL SEC A/C 2554606-00602340029427</t>
        </is>
      </c>
      <c r="C400" s="42" t="inlineStr">
        <is>
          <t>0000000452536820</t>
        </is>
      </c>
      <c r="D400" s="41" t="n">
        <v>45197</v>
      </c>
      <c r="E400" s="42" t="n">
        <v>71.40000000000001</v>
      </c>
      <c r="F400" s="42" t="n">
        <v>0</v>
      </c>
      <c r="G400" s="42" t="n">
        <v>105294.13</v>
      </c>
      <c r="H400" s="42" t="inlineStr"/>
      <c r="I400" s="42" t="inlineStr"/>
      <c r="J400" s="42" t="inlineStr">
        <is>
          <t>HDFC Securities - Buy</t>
        </is>
      </c>
      <c r="K400" s="42" t="inlineStr">
        <is>
          <t>HDFC Securities</t>
        </is>
      </c>
      <c r="L400" s="18" t="n">
        <v>0.97</v>
      </c>
      <c r="M400" s="42" t="inlineStr">
        <is>
          <t>N/A</t>
        </is>
      </c>
    </row>
    <row r="401">
      <c r="A401" s="41" t="n">
        <v>45197</v>
      </c>
      <c r="B401" s="42" t="inlineStr">
        <is>
          <t>NET PI TO HSL SEC A/C 2554606-00602340029427</t>
        </is>
      </c>
      <c r="C401" s="42" t="inlineStr">
        <is>
          <t>0000000452610921</t>
        </is>
      </c>
      <c r="D401" s="41" t="n">
        <v>45197</v>
      </c>
      <c r="E401" s="42" t="n">
        <v>5105.12</v>
      </c>
      <c r="F401" s="42" t="n">
        <v>0</v>
      </c>
      <c r="G401" s="42" t="n">
        <v>100189.01</v>
      </c>
      <c r="H401" s="42" t="inlineStr"/>
      <c r="I401" s="42" t="inlineStr"/>
      <c r="J401" s="42" t="inlineStr">
        <is>
          <t>HDFC Securities - Buy</t>
        </is>
      </c>
      <c r="K401" s="42" t="inlineStr">
        <is>
          <t>HDFC Securities</t>
        </is>
      </c>
      <c r="L401" s="18" t="n">
        <v>0.97</v>
      </c>
      <c r="M401" s="42" t="inlineStr">
        <is>
          <t>N/A</t>
        </is>
      </c>
    </row>
    <row r="402">
      <c r="A402" s="41" t="n">
        <v>45198</v>
      </c>
      <c r="B402" s="42" t="inlineStr">
        <is>
          <t>NET PI TO HSL SEC A/C 2554606-00602340029427</t>
        </is>
      </c>
      <c r="C402" s="42" t="inlineStr">
        <is>
          <t>0000000452686340</t>
        </is>
      </c>
      <c r="D402" s="41" t="n">
        <v>45198</v>
      </c>
      <c r="E402" s="42" t="n">
        <v>10971.38</v>
      </c>
      <c r="F402" s="42" t="n">
        <v>0</v>
      </c>
      <c r="G402" s="42" t="n">
        <v>89217.63</v>
      </c>
      <c r="H402" s="42" t="inlineStr"/>
      <c r="I402" s="42" t="inlineStr"/>
      <c r="J402" s="42" t="inlineStr">
        <is>
          <t>HDFC Securities - Buy</t>
        </is>
      </c>
      <c r="K402" s="42" t="inlineStr">
        <is>
          <t>HDFC Securities</t>
        </is>
      </c>
      <c r="L402" s="18" t="n">
        <v>0.97</v>
      </c>
      <c r="M402" s="42" t="inlineStr">
        <is>
          <t>N/A</t>
        </is>
      </c>
    </row>
    <row r="403">
      <c r="A403" s="68" t="n">
        <v>45198</v>
      </c>
      <c r="B403" s="69" t="inlineStr">
        <is>
          <t>JSINFRA/2400024055226136-50200036338720</t>
        </is>
      </c>
      <c r="C403" s="69" t="inlineStr">
        <is>
          <t>0000000406925147</t>
        </is>
      </c>
      <c r="D403" s="68" t="n">
        <v>45198</v>
      </c>
      <c r="E403" s="69" t="n">
        <v>14994</v>
      </c>
      <c r="F403" s="69" t="n">
        <v>0</v>
      </c>
      <c r="G403" s="69" t="n">
        <v>74223.63</v>
      </c>
      <c r="H403" s="69" t="inlineStr"/>
      <c r="I403" s="69" t="inlineStr"/>
      <c r="J403" s="69" t="inlineStr">
        <is>
          <t>IPO - JSW Infra</t>
        </is>
      </c>
      <c r="K403" s="69" t="inlineStr">
        <is>
          <t>IPO</t>
        </is>
      </c>
      <c r="L403" s="18" t="n">
        <v>0.92</v>
      </c>
      <c r="M403" s="69" t="inlineStr">
        <is>
          <t>N/A</t>
        </is>
      </c>
    </row>
    <row r="404">
      <c r="A404" s="41" t="n">
        <v>45198</v>
      </c>
      <c r="B404" s="42" t="inlineStr">
        <is>
          <t>NET PI TO HSL SEC A/C 2554606-00602340029427</t>
        </is>
      </c>
      <c r="C404" s="42" t="inlineStr">
        <is>
          <t>0000000452866921</t>
        </is>
      </c>
      <c r="D404" s="41" t="n">
        <v>45198</v>
      </c>
      <c r="E404" s="42" t="n">
        <v>65.98999999999999</v>
      </c>
      <c r="F404" s="42" t="n">
        <v>0</v>
      </c>
      <c r="G404" s="42" t="n">
        <v>74157.64</v>
      </c>
      <c r="H404" s="42" t="inlineStr"/>
      <c r="I404" s="42" t="inlineStr"/>
      <c r="J404" s="42" t="inlineStr">
        <is>
          <t>HDFC Securities - Buy</t>
        </is>
      </c>
      <c r="K404" s="42" t="inlineStr">
        <is>
          <t>HDFC Securities</t>
        </is>
      </c>
      <c r="L404" s="18" t="n">
        <v>0.97</v>
      </c>
      <c r="M404" s="42" t="inlineStr">
        <is>
          <t>N/A</t>
        </is>
      </c>
    </row>
    <row r="405">
      <c r="A405" s="64" t="n">
        <v>45198</v>
      </c>
      <c r="B405" s="65" t="inlineStr">
        <is>
          <t>GARWARE TEC DIV22 2300000000000000007972</t>
        </is>
      </c>
      <c r="C405" s="65" t="inlineStr">
        <is>
          <t>0000232714176900</t>
        </is>
      </c>
      <c r="D405" s="64" t="n">
        <v>45198</v>
      </c>
      <c r="E405" s="65" t="n">
        <v>0</v>
      </c>
      <c r="F405" s="65" t="n">
        <v>186</v>
      </c>
      <c r="G405" s="65" t="n">
        <v>74343.64</v>
      </c>
      <c r="H405" s="65" t="inlineStr"/>
      <c r="I405" s="65" t="inlineStr"/>
      <c r="J405" s="65" t="inlineStr">
        <is>
          <t>Dividend Income</t>
        </is>
      </c>
      <c r="K405" s="65" t="inlineStr">
        <is>
          <t>Dividend Income</t>
        </is>
      </c>
      <c r="L405" s="18" t="n">
        <v>0.85</v>
      </c>
      <c r="M405" s="65" t="inlineStr">
        <is>
          <t>N/A</t>
        </is>
      </c>
    </row>
    <row r="406">
      <c r="A406" s="30" t="n">
        <v>45200</v>
      </c>
      <c r="B406" s="31" t="inlineStr">
        <is>
          <t>CREDIT INTEREST CAPITALISED</t>
        </is>
      </c>
      <c r="C406" s="31" t="inlineStr">
        <is>
          <t>000000000000000</t>
        </is>
      </c>
      <c r="D406" s="30" t="n">
        <v>45199</v>
      </c>
      <c r="E406" s="31" t="n">
        <v>0</v>
      </c>
      <c r="F406" s="31" t="n">
        <v>478</v>
      </c>
      <c r="G406" s="31" t="n">
        <v>74821.64</v>
      </c>
      <c r="H406" s="31" t="inlineStr"/>
      <c r="I406" s="31" t="inlineStr"/>
      <c r="J406" s="31" t="inlineStr">
        <is>
          <t>Bank Interest</t>
        </is>
      </c>
      <c r="K406" s="31" t="inlineStr">
        <is>
          <t>Bank Interest</t>
        </is>
      </c>
      <c r="L406" s="18" t="n">
        <v>0.95</v>
      </c>
      <c r="M406" s="31" t="inlineStr">
        <is>
          <t>N/A</t>
        </is>
      </c>
    </row>
    <row r="407">
      <c r="A407" s="54" t="n">
        <v>45202</v>
      </c>
      <c r="B407" s="55" t="inlineStr">
        <is>
          <t>NET PO FROM HSL A/C 2554606-50200085415108</t>
        </is>
      </c>
      <c r="C407" s="55" t="inlineStr">
        <is>
          <t>0000000453081088</t>
        </is>
      </c>
      <c r="D407" s="54" t="n">
        <v>45202</v>
      </c>
      <c r="E407" s="55" t="n">
        <v>0</v>
      </c>
      <c r="F407" s="55" t="n">
        <v>398.69</v>
      </c>
      <c r="G407" s="55" t="n">
        <v>75220.33</v>
      </c>
      <c r="H407" s="55" t="inlineStr"/>
      <c r="I407" s="55" t="inlineStr"/>
      <c r="J407" s="55" t="inlineStr">
        <is>
          <t>HDFC Securities - Sell</t>
        </is>
      </c>
      <c r="K407" s="55" t="inlineStr">
        <is>
          <t>HDFC Securities</t>
        </is>
      </c>
      <c r="L407" s="18" t="n">
        <v>0.97</v>
      </c>
      <c r="M407" s="55" t="inlineStr">
        <is>
          <t>N/A</t>
        </is>
      </c>
    </row>
    <row r="408">
      <c r="A408" s="70" t="n">
        <v>45202</v>
      </c>
      <c r="B408" s="71" t="inlineStr">
        <is>
          <t>MJIRQYQBRH5ISB/RAZPMAXBUPAHEALTHINS</t>
        </is>
      </c>
      <c r="C408" s="71" t="inlineStr">
        <is>
          <t>0002327629120600</t>
        </is>
      </c>
      <c r="D408" s="70" t="n">
        <v>45202</v>
      </c>
      <c r="E408" s="71" t="n">
        <v>5114</v>
      </c>
      <c r="F408" s="71" t="n">
        <v>0</v>
      </c>
      <c r="G408" s="71" t="n">
        <v>70106.33</v>
      </c>
      <c r="H408" s="71" t="inlineStr"/>
      <c r="I408" s="71" t="inlineStr"/>
      <c r="J408" s="71" t="inlineStr">
        <is>
          <t>Health Insurance</t>
        </is>
      </c>
      <c r="K408" s="71" t="inlineStr">
        <is>
          <t>Health Insurance</t>
        </is>
      </c>
      <c r="L408" s="18" t="n">
        <v>0.92</v>
      </c>
      <c r="M408" s="71" t="inlineStr">
        <is>
          <t>N/A</t>
        </is>
      </c>
    </row>
    <row r="409">
      <c r="A409" s="41" t="n">
        <v>45203</v>
      </c>
      <c r="B409" s="42" t="inlineStr">
        <is>
          <t>NET PI TO HSL SEC A/C 2554606-00602340029427</t>
        </is>
      </c>
      <c r="C409" s="42" t="inlineStr">
        <is>
          <t>0000000453452419</t>
        </is>
      </c>
      <c r="D409" s="41" t="n">
        <v>45203</v>
      </c>
      <c r="E409" s="42" t="n">
        <v>17886.74</v>
      </c>
      <c r="F409" s="42" t="n">
        <v>0</v>
      </c>
      <c r="G409" s="42" t="n">
        <v>52219.59</v>
      </c>
      <c r="H409" s="42" t="inlineStr"/>
      <c r="I409" s="42" t="inlineStr"/>
      <c r="J409" s="42" t="inlineStr">
        <is>
          <t>HDFC Securities - Buy</t>
        </is>
      </c>
      <c r="K409" s="42" t="inlineStr">
        <is>
          <t>HDFC Securities</t>
        </is>
      </c>
      <c r="L409" s="18" t="n">
        <v>0.97</v>
      </c>
      <c r="M409" s="42" t="inlineStr">
        <is>
          <t>N/A</t>
        </is>
      </c>
    </row>
    <row r="410">
      <c r="A410" s="58" t="n">
        <v>45203</v>
      </c>
      <c r="B410" s="59" t="inlineStr">
        <is>
          <t>NET PAYIN TO NSE MF A/C -00990610005906- FROM A/C -50100128155413- UCC -2554606-00990610005906</t>
        </is>
      </c>
      <c r="C410" s="59" t="inlineStr">
        <is>
          <t>0000000453666328</t>
        </is>
      </c>
      <c r="D410" s="58" t="n">
        <v>45203</v>
      </c>
      <c r="E410" s="59" t="n">
        <v>5000</v>
      </c>
      <c r="F410" s="59" t="n">
        <v>0</v>
      </c>
      <c r="G410" s="59" t="n">
        <v>47219.59</v>
      </c>
      <c r="H410" s="59" t="inlineStr"/>
      <c r="I410" s="59" t="inlineStr"/>
      <c r="J410" s="59" t="inlineStr">
        <is>
          <t>MF Investment</t>
        </is>
      </c>
      <c r="K410" s="59" t="inlineStr">
        <is>
          <t>Investments</t>
        </is>
      </c>
      <c r="L410" s="18" t="n">
        <v>0.9</v>
      </c>
      <c r="M410" s="59" t="inlineStr">
        <is>
          <t>N/A</t>
        </is>
      </c>
    </row>
    <row r="411">
      <c r="A411" s="41" t="n">
        <v>45203</v>
      </c>
      <c r="B411" s="42" t="inlineStr">
        <is>
          <t>NET PI TO HSL SEC A/C 2554606-00602340029427</t>
        </is>
      </c>
      <c r="C411" s="42" t="inlineStr">
        <is>
          <t>0000000453725692</t>
        </is>
      </c>
      <c r="D411" s="41" t="n">
        <v>45203</v>
      </c>
      <c r="E411" s="42" t="n">
        <v>73.19</v>
      </c>
      <c r="F411" s="42" t="n">
        <v>0</v>
      </c>
      <c r="G411" s="42" t="n">
        <v>47146.4</v>
      </c>
      <c r="H411" s="42" t="inlineStr"/>
      <c r="I411" s="42" t="inlineStr"/>
      <c r="J411" s="42" t="inlineStr">
        <is>
          <t>HDFC Securities - Buy</t>
        </is>
      </c>
      <c r="K411" s="42" t="inlineStr">
        <is>
          <t>HDFC Securities</t>
        </is>
      </c>
      <c r="L411" s="18" t="n">
        <v>0.97</v>
      </c>
      <c r="M411" s="42" t="inlineStr">
        <is>
          <t>N/A</t>
        </is>
      </c>
    </row>
    <row r="412">
      <c r="A412" s="41" t="n">
        <v>45203</v>
      </c>
      <c r="B412" s="42" t="inlineStr">
        <is>
          <t>NET PI TO HSL SEC A/C 2554606-00602340029427</t>
        </is>
      </c>
      <c r="C412" s="42" t="inlineStr">
        <is>
          <t>0000000453927536</t>
        </is>
      </c>
      <c r="D412" s="41" t="n">
        <v>45203</v>
      </c>
      <c r="E412" s="42" t="n">
        <v>153.15</v>
      </c>
      <c r="F412" s="42" t="n">
        <v>0</v>
      </c>
      <c r="G412" s="42" t="n">
        <v>46993.25</v>
      </c>
      <c r="H412" s="42" t="inlineStr"/>
      <c r="I412" s="42" t="inlineStr"/>
      <c r="J412" s="42" t="inlineStr">
        <is>
          <t>HDFC Securities - Buy</t>
        </is>
      </c>
      <c r="K412" s="42" t="inlineStr">
        <is>
          <t>HDFC Securities</t>
        </is>
      </c>
      <c r="L412" s="18" t="n">
        <v>0.97</v>
      </c>
      <c r="M412" s="42" t="inlineStr">
        <is>
          <t>N/A</t>
        </is>
      </c>
    </row>
    <row r="413">
      <c r="A413" s="41" t="n">
        <v>45204</v>
      </c>
      <c r="B413" s="42" t="inlineStr">
        <is>
          <t>NET PI TO HSL SEC A/C 2554606-00602340029427</t>
        </is>
      </c>
      <c r="C413" s="42" t="inlineStr">
        <is>
          <t>0000000454208285</t>
        </is>
      </c>
      <c r="D413" s="41" t="n">
        <v>45204</v>
      </c>
      <c r="E413" s="42" t="n">
        <v>73.11</v>
      </c>
      <c r="F413" s="42" t="n">
        <v>0</v>
      </c>
      <c r="G413" s="42" t="n">
        <v>46920.14</v>
      </c>
      <c r="H413" s="42" t="inlineStr"/>
      <c r="I413" s="42" t="inlineStr"/>
      <c r="J413" s="42" t="inlineStr">
        <is>
          <t>HDFC Securities - Buy</t>
        </is>
      </c>
      <c r="K413" s="42" t="inlineStr">
        <is>
          <t>HDFC Securities</t>
        </is>
      </c>
      <c r="L413" s="18" t="n">
        <v>0.97</v>
      </c>
      <c r="M413" s="42" t="inlineStr">
        <is>
          <t>N/A</t>
        </is>
      </c>
    </row>
    <row r="414">
      <c r="A414" s="54" t="n">
        <v>45205</v>
      </c>
      <c r="B414" s="55" t="inlineStr">
        <is>
          <t>NET PO FROM HSL A/C 2554606-50200085415108</t>
        </is>
      </c>
      <c r="C414" s="55" t="inlineStr">
        <is>
          <t>0000000454452140</t>
        </is>
      </c>
      <c r="D414" s="54" t="n">
        <v>45205</v>
      </c>
      <c r="E414" s="55" t="n">
        <v>0</v>
      </c>
      <c r="F414" s="55" t="n">
        <v>974.64</v>
      </c>
      <c r="G414" s="55" t="n">
        <v>47894.78</v>
      </c>
      <c r="H414" s="55" t="inlineStr"/>
      <c r="I414" s="55" t="inlineStr"/>
      <c r="J414" s="55" t="inlineStr">
        <is>
          <t>HDFC Securities - Sell</t>
        </is>
      </c>
      <c r="K414" s="55" t="inlineStr">
        <is>
          <t>HDFC Securities</t>
        </is>
      </c>
      <c r="L414" s="18" t="n">
        <v>0.97</v>
      </c>
      <c r="M414" s="55" t="inlineStr">
        <is>
          <t>N/A</t>
        </is>
      </c>
    </row>
    <row r="415">
      <c r="A415" s="54" t="n">
        <v>45205</v>
      </c>
      <c r="B415" s="55" t="inlineStr">
        <is>
          <t>NET PO FROM HSL A/C 2554606-50200085415108</t>
        </is>
      </c>
      <c r="C415" s="55" t="inlineStr">
        <is>
          <t>0000000454474841</t>
        </is>
      </c>
      <c r="D415" s="54" t="n">
        <v>45205</v>
      </c>
      <c r="E415" s="55" t="n">
        <v>0</v>
      </c>
      <c r="F415" s="55" t="n">
        <v>54620.56</v>
      </c>
      <c r="G415" s="55" t="n">
        <v>102515.34</v>
      </c>
      <c r="H415" s="55" t="inlineStr"/>
      <c r="I415" s="55" t="inlineStr"/>
      <c r="J415" s="55" t="inlineStr">
        <is>
          <t>HDFC Securities - Sell</t>
        </is>
      </c>
      <c r="K415" s="55" t="inlineStr">
        <is>
          <t>HDFC Securities</t>
        </is>
      </c>
      <c r="L415" s="18" t="n">
        <v>0.97</v>
      </c>
      <c r="M415" s="55" t="inlineStr">
        <is>
          <t>N/A</t>
        </is>
      </c>
    </row>
    <row r="416">
      <c r="A416" s="41" t="n">
        <v>45205</v>
      </c>
      <c r="B416" s="42" t="inlineStr">
        <is>
          <t>NET PI TO HSL SEC A/C 2554606-00602340029427</t>
        </is>
      </c>
      <c r="C416" s="42" t="inlineStr">
        <is>
          <t>0000000454582859</t>
        </is>
      </c>
      <c r="D416" s="41" t="n">
        <v>45205</v>
      </c>
      <c r="E416" s="42" t="n">
        <v>73.11</v>
      </c>
      <c r="F416" s="42" t="n">
        <v>0</v>
      </c>
      <c r="G416" s="42" t="n">
        <v>102442.23</v>
      </c>
      <c r="H416" s="42" t="inlineStr"/>
      <c r="I416" s="42" t="inlineStr"/>
      <c r="J416" s="42" t="inlineStr">
        <is>
          <t>HDFC Securities - Buy</t>
        </is>
      </c>
      <c r="K416" s="42" t="inlineStr">
        <is>
          <t>HDFC Securities</t>
        </is>
      </c>
      <c r="L416" s="18" t="n">
        <v>0.97</v>
      </c>
      <c r="M416" s="42" t="inlineStr">
        <is>
          <t>N/A</t>
        </is>
      </c>
    </row>
    <row r="417">
      <c r="A417" s="41" t="n">
        <v>45205</v>
      </c>
      <c r="B417" s="42" t="inlineStr">
        <is>
          <t>NET PI TO HSL SEC A/C 2554606-00602340029427</t>
        </is>
      </c>
      <c r="C417" s="42" t="inlineStr">
        <is>
          <t>0000000454714397</t>
        </is>
      </c>
      <c r="D417" s="41" t="n">
        <v>45205</v>
      </c>
      <c r="E417" s="42" t="n">
        <v>22193.64</v>
      </c>
      <c r="F417" s="42" t="n">
        <v>0</v>
      </c>
      <c r="G417" s="42" t="n">
        <v>80248.59</v>
      </c>
      <c r="H417" s="42" t="inlineStr"/>
      <c r="I417" s="42" t="inlineStr"/>
      <c r="J417" s="42" t="inlineStr">
        <is>
          <t>HDFC Securities - Buy</t>
        </is>
      </c>
      <c r="K417" s="42" t="inlineStr">
        <is>
          <t>HDFC Securities</t>
        </is>
      </c>
      <c r="L417" s="18" t="n">
        <v>0.97</v>
      </c>
      <c r="M417" s="42" t="inlineStr">
        <is>
          <t>N/A</t>
        </is>
      </c>
    </row>
    <row r="418">
      <c r="A418" s="23" t="n">
        <v>45206</v>
      </c>
      <c r="B418" s="24" t="inlineStr">
        <is>
          <t>00602300000434-024052645</t>
        </is>
      </c>
      <c r="C418" s="24" t="inlineStr">
        <is>
          <t>0000310072403205</t>
        </is>
      </c>
      <c r="D418" s="23" t="n">
        <v>45206</v>
      </c>
      <c r="E418" s="24" t="n">
        <v>0</v>
      </c>
      <c r="F418" s="24" t="n">
        <v>1880</v>
      </c>
      <c r="G418" s="24" t="n">
        <v>82128.59</v>
      </c>
      <c r="H418" s="24" t="inlineStr"/>
      <c r="I418" s="24" t="inlineStr"/>
      <c r="J418" s="24" t="inlineStr">
        <is>
          <t>What is this?</t>
        </is>
      </c>
      <c r="K418" s="24" t="inlineStr">
        <is>
          <t>Suspense</t>
        </is>
      </c>
      <c r="L418" s="25" t="n">
        <v>0</v>
      </c>
      <c r="M418" s="24" t="inlineStr">
        <is>
          <t>N/A</t>
        </is>
      </c>
    </row>
    <row r="419">
      <c r="A419" s="41" t="n">
        <v>45208</v>
      </c>
      <c r="B419" s="42" t="inlineStr">
        <is>
          <t>NET PI TO HSL SEC A/C 2554606-00602340029427</t>
        </is>
      </c>
      <c r="C419" s="42" t="inlineStr">
        <is>
          <t>0000000455061889</t>
        </is>
      </c>
      <c r="D419" s="41" t="n">
        <v>45208</v>
      </c>
      <c r="E419" s="42" t="n">
        <v>187.95</v>
      </c>
      <c r="F419" s="42" t="n">
        <v>0</v>
      </c>
      <c r="G419" s="42" t="n">
        <v>81940.64</v>
      </c>
      <c r="H419" s="42" t="inlineStr"/>
      <c r="I419" s="42" t="inlineStr"/>
      <c r="J419" s="42" t="inlineStr">
        <is>
          <t>HDFC Securities - Buy</t>
        </is>
      </c>
      <c r="K419" s="42" t="inlineStr">
        <is>
          <t>HDFC Securities</t>
        </is>
      </c>
      <c r="L419" s="18" t="n">
        <v>0.97</v>
      </c>
      <c r="M419" s="42" t="inlineStr">
        <is>
          <t>N/A</t>
        </is>
      </c>
    </row>
    <row r="420">
      <c r="A420" s="41" t="n">
        <v>45208</v>
      </c>
      <c r="B420" s="42" t="inlineStr">
        <is>
          <t>NET PI TO HSL SEC A/C 2554606-00602340029427</t>
        </is>
      </c>
      <c r="C420" s="42" t="inlineStr">
        <is>
          <t>0000000455255076</t>
        </is>
      </c>
      <c r="D420" s="41" t="n">
        <v>45208</v>
      </c>
      <c r="E420" s="42" t="n">
        <v>5614.82</v>
      </c>
      <c r="F420" s="42" t="n">
        <v>0</v>
      </c>
      <c r="G420" s="42" t="n">
        <v>76325.82000000001</v>
      </c>
      <c r="H420" s="42" t="inlineStr"/>
      <c r="I420" s="42" t="inlineStr"/>
      <c r="J420" s="42" t="inlineStr">
        <is>
          <t>HDFC Securities - Buy</t>
        </is>
      </c>
      <c r="K420" s="42" t="inlineStr">
        <is>
          <t>HDFC Securities</t>
        </is>
      </c>
      <c r="L420" s="18" t="n">
        <v>0.97</v>
      </c>
      <c r="M420" s="42" t="inlineStr">
        <is>
          <t>N/A</t>
        </is>
      </c>
    </row>
    <row r="421">
      <c r="A421" s="41" t="n">
        <v>45209</v>
      </c>
      <c r="B421" s="42" t="inlineStr">
        <is>
          <t>NET PI TO HSL SEC A/C 2554606-00602340029427</t>
        </is>
      </c>
      <c r="C421" s="42" t="inlineStr">
        <is>
          <t>0000000455544381</t>
        </is>
      </c>
      <c r="D421" s="41" t="n">
        <v>45209</v>
      </c>
      <c r="E421" s="42" t="n">
        <v>59.88</v>
      </c>
      <c r="F421" s="42" t="n">
        <v>0</v>
      </c>
      <c r="G421" s="42" t="n">
        <v>76265.94</v>
      </c>
      <c r="H421" s="42" t="inlineStr"/>
      <c r="I421" s="42" t="inlineStr"/>
      <c r="J421" s="42" t="inlineStr">
        <is>
          <t>HDFC Securities - Buy</t>
        </is>
      </c>
      <c r="K421" s="42" t="inlineStr">
        <is>
          <t>HDFC Securities</t>
        </is>
      </c>
      <c r="L421" s="18" t="n">
        <v>0.97</v>
      </c>
      <c r="M421" s="42" t="inlineStr">
        <is>
          <t>N/A</t>
        </is>
      </c>
    </row>
    <row r="422">
      <c r="A422" s="54" t="n">
        <v>45210</v>
      </c>
      <c r="B422" s="55" t="inlineStr">
        <is>
          <t>NET PO FROM HSL A/C 2554606-50200085415108</t>
        </is>
      </c>
      <c r="C422" s="55" t="inlineStr">
        <is>
          <t>0000000455758819</t>
        </is>
      </c>
      <c r="D422" s="54" t="n">
        <v>45210</v>
      </c>
      <c r="E422" s="55" t="n">
        <v>0</v>
      </c>
      <c r="F422" s="55" t="n">
        <v>349.91</v>
      </c>
      <c r="G422" s="55" t="n">
        <v>76615.85000000001</v>
      </c>
      <c r="H422" s="55" t="inlineStr"/>
      <c r="I422" s="55" t="inlineStr"/>
      <c r="J422" s="55" t="inlineStr">
        <is>
          <t>HDFC Securities - Sell</t>
        </is>
      </c>
      <c r="K422" s="55" t="inlineStr">
        <is>
          <t>HDFC Securities</t>
        </is>
      </c>
      <c r="L422" s="18" t="n">
        <v>0.97</v>
      </c>
      <c r="M422" s="55" t="inlineStr">
        <is>
          <t>N/A</t>
        </is>
      </c>
    </row>
    <row r="423">
      <c r="A423" s="58" t="n">
        <v>45210</v>
      </c>
      <c r="B423" s="59" t="inlineStr">
        <is>
          <t>NET PAYIN TO BSE MF A/C -57500000389146- FROM A/C -50100128155413- UCC -2554606-57500000389146</t>
        </is>
      </c>
      <c r="C423" s="59" t="inlineStr">
        <is>
          <t>0000000455833766</t>
        </is>
      </c>
      <c r="D423" s="58" t="n">
        <v>45210</v>
      </c>
      <c r="E423" s="59" t="n">
        <v>3000</v>
      </c>
      <c r="F423" s="59" t="n">
        <v>0</v>
      </c>
      <c r="G423" s="59" t="n">
        <v>73615.85000000001</v>
      </c>
      <c r="H423" s="59" t="inlineStr"/>
      <c r="I423" s="59" t="inlineStr"/>
      <c r="J423" s="59" t="inlineStr">
        <is>
          <t>MF Investment</t>
        </is>
      </c>
      <c r="K423" s="59" t="inlineStr">
        <is>
          <t>Investments</t>
        </is>
      </c>
      <c r="L423" s="18" t="n">
        <v>0.9</v>
      </c>
      <c r="M423" s="59" t="inlineStr">
        <is>
          <t>N/A</t>
        </is>
      </c>
    </row>
    <row r="424">
      <c r="A424" s="41" t="n">
        <v>45210</v>
      </c>
      <c r="B424" s="42" t="inlineStr">
        <is>
          <t>NET PI TO HSL SEC A/C 2554606-00602340029427</t>
        </is>
      </c>
      <c r="C424" s="42" t="inlineStr">
        <is>
          <t>0000000455919749</t>
        </is>
      </c>
      <c r="D424" s="41" t="n">
        <v>45210</v>
      </c>
      <c r="E424" s="42" t="n">
        <v>69.08</v>
      </c>
      <c r="F424" s="42" t="n">
        <v>0</v>
      </c>
      <c r="G424" s="42" t="n">
        <v>73546.77</v>
      </c>
      <c r="H424" s="42" t="inlineStr"/>
      <c r="I424" s="42" t="inlineStr"/>
      <c r="J424" s="42" t="inlineStr">
        <is>
          <t>HDFC Securities - Buy</t>
        </is>
      </c>
      <c r="K424" s="42" t="inlineStr">
        <is>
          <t>HDFC Securities</t>
        </is>
      </c>
      <c r="L424" s="18" t="n">
        <v>0.97</v>
      </c>
      <c r="M424" s="42" t="inlineStr">
        <is>
          <t>N/A</t>
        </is>
      </c>
    </row>
    <row r="425">
      <c r="A425" s="54" t="n">
        <v>45211</v>
      </c>
      <c r="B425" s="55" t="inlineStr">
        <is>
          <t>NET PO FROM HSL A/C 2554606-50200085415108</t>
        </is>
      </c>
      <c r="C425" s="55" t="inlineStr">
        <is>
          <t>0000000456133580</t>
        </is>
      </c>
      <c r="D425" s="54" t="n">
        <v>45211</v>
      </c>
      <c r="E425" s="55" t="n">
        <v>0</v>
      </c>
      <c r="F425" s="55" t="n">
        <v>184.48</v>
      </c>
      <c r="G425" s="55" t="n">
        <v>73731.25</v>
      </c>
      <c r="H425" s="55" t="inlineStr"/>
      <c r="I425" s="55" t="inlineStr"/>
      <c r="J425" s="55" t="inlineStr">
        <is>
          <t>HDFC Securities - Sell</t>
        </is>
      </c>
      <c r="K425" s="55" t="inlineStr">
        <is>
          <t>HDFC Securities</t>
        </is>
      </c>
      <c r="L425" s="18" t="n">
        <v>0.97</v>
      </c>
      <c r="M425" s="55" t="inlineStr">
        <is>
          <t>N/A</t>
        </is>
      </c>
    </row>
    <row r="426">
      <c r="A426" s="41" t="n">
        <v>45211</v>
      </c>
      <c r="B426" s="42" t="inlineStr">
        <is>
          <t>NET PI TO HSL SEC A/C 2554606-00602340029427</t>
        </is>
      </c>
      <c r="C426" s="42" t="inlineStr">
        <is>
          <t>0000000456284882</t>
        </is>
      </c>
      <c r="D426" s="41" t="n">
        <v>45211</v>
      </c>
      <c r="E426" s="42" t="n">
        <v>69.25</v>
      </c>
      <c r="F426" s="42" t="n">
        <v>0</v>
      </c>
      <c r="G426" s="42" t="n">
        <v>73662</v>
      </c>
      <c r="H426" s="42" t="inlineStr"/>
      <c r="I426" s="42" t="inlineStr"/>
      <c r="J426" s="42" t="inlineStr">
        <is>
          <t>HDFC Securities - Buy</t>
        </is>
      </c>
      <c r="K426" s="42" t="inlineStr">
        <is>
          <t>HDFC Securities</t>
        </is>
      </c>
      <c r="L426" s="18" t="n">
        <v>0.97</v>
      </c>
      <c r="M426" s="42" t="inlineStr">
        <is>
          <t>N/A</t>
        </is>
      </c>
    </row>
    <row r="427">
      <c r="A427" s="56" t="n">
        <v>45211</v>
      </c>
      <c r="B427" s="57" t="inlineStr">
        <is>
          <t>DEPOSITORY CHARGES SEP23 - 52812428</t>
        </is>
      </c>
      <c r="C427" s="57" t="inlineStr">
        <is>
          <t>000000000000000</t>
        </is>
      </c>
      <c r="D427" s="56" t="n">
        <v>45211</v>
      </c>
      <c r="E427" s="57" t="n">
        <v>1144.6</v>
      </c>
      <c r="F427" s="57" t="n">
        <v>0</v>
      </c>
      <c r="G427" s="57" t="n">
        <v>72517.39999999999</v>
      </c>
      <c r="H427" s="57" t="inlineStr"/>
      <c r="I427" s="57" t="inlineStr"/>
      <c r="J427" s="57" t="inlineStr">
        <is>
          <t>Depository Charges</t>
        </is>
      </c>
      <c r="K427" s="57" t="inlineStr">
        <is>
          <t>Depository Charges</t>
        </is>
      </c>
      <c r="L427" s="18" t="n">
        <v>0.93</v>
      </c>
      <c r="M427" s="57" t="inlineStr">
        <is>
          <t>N/A</t>
        </is>
      </c>
    </row>
    <row r="428">
      <c r="A428" s="64" t="n">
        <v>45211</v>
      </c>
      <c r="B428" s="65" t="inlineStr">
        <is>
          <t>ACH C- POWER MECH PROJECTS-715399</t>
        </is>
      </c>
      <c r="C428" s="65" t="inlineStr">
        <is>
          <t>0000006414479535</t>
        </is>
      </c>
      <c r="D428" s="64" t="n">
        <v>45211</v>
      </c>
      <c r="E428" s="65" t="n">
        <v>0</v>
      </c>
      <c r="F428" s="65" t="n">
        <v>90</v>
      </c>
      <c r="G428" s="65" t="n">
        <v>72607.39999999999</v>
      </c>
      <c r="H428" s="65" t="inlineStr"/>
      <c r="I428" s="65" t="inlineStr"/>
      <c r="J428" s="65" t="inlineStr">
        <is>
          <t>Dividend Income</t>
        </is>
      </c>
      <c r="K428" s="65" t="inlineStr">
        <is>
          <t>Dividend Income</t>
        </is>
      </c>
      <c r="L428" s="18" t="n">
        <v>0.88</v>
      </c>
      <c r="M428" s="65" t="inlineStr">
        <is>
          <t>N/A</t>
        </is>
      </c>
    </row>
    <row r="429">
      <c r="A429" s="41" t="n">
        <v>45211</v>
      </c>
      <c r="B429" s="42" t="inlineStr">
        <is>
          <t>NET PI TO HSL SEC A/C 2554606-00602340029427</t>
        </is>
      </c>
      <c r="C429" s="42" t="inlineStr">
        <is>
          <t>0000000456404952</t>
        </is>
      </c>
      <c r="D429" s="41" t="n">
        <v>45211</v>
      </c>
      <c r="E429" s="42" t="n">
        <v>7309.53</v>
      </c>
      <c r="F429" s="42" t="n">
        <v>0</v>
      </c>
      <c r="G429" s="42" t="n">
        <v>65297.87</v>
      </c>
      <c r="H429" s="42" t="inlineStr"/>
      <c r="I429" s="42" t="inlineStr"/>
      <c r="J429" s="42" t="inlineStr">
        <is>
          <t>HDFC Securities - Buy</t>
        </is>
      </c>
      <c r="K429" s="42" t="inlineStr">
        <is>
          <t>HDFC Securities</t>
        </is>
      </c>
      <c r="L429" s="18" t="n">
        <v>0.97</v>
      </c>
      <c r="M429" s="42" t="inlineStr">
        <is>
          <t>N/A</t>
        </is>
      </c>
    </row>
    <row r="430">
      <c r="A430" s="54" t="n">
        <v>45212</v>
      </c>
      <c r="B430" s="55" t="inlineStr">
        <is>
          <t>NET PO FROM HSL A/C 2554606-50200085415108</t>
        </is>
      </c>
      <c r="C430" s="55" t="inlineStr">
        <is>
          <t>0000000456530408</t>
        </is>
      </c>
      <c r="D430" s="54" t="n">
        <v>45212</v>
      </c>
      <c r="E430" s="55" t="n">
        <v>0</v>
      </c>
      <c r="F430" s="55" t="n">
        <v>20649.04</v>
      </c>
      <c r="G430" s="55" t="n">
        <v>85946.91</v>
      </c>
      <c r="H430" s="55" t="inlineStr"/>
      <c r="I430" s="55" t="inlineStr"/>
      <c r="J430" s="55" t="inlineStr">
        <is>
          <t>HDFC Securities - Sell</t>
        </is>
      </c>
      <c r="K430" s="55" t="inlineStr">
        <is>
          <t>HDFC Securities</t>
        </is>
      </c>
      <c r="L430" s="18" t="n">
        <v>0.97</v>
      </c>
      <c r="M430" s="55" t="inlineStr">
        <is>
          <t>N/A</t>
        </is>
      </c>
    </row>
    <row r="431">
      <c r="A431" s="41" t="n">
        <v>45212</v>
      </c>
      <c r="B431" s="42" t="inlineStr">
        <is>
          <t>NET PI TO HSL SEC A/C 2554606-00602340029427</t>
        </is>
      </c>
      <c r="C431" s="42" t="inlineStr">
        <is>
          <t>0000000456637637</t>
        </is>
      </c>
      <c r="D431" s="41" t="n">
        <v>45212</v>
      </c>
      <c r="E431" s="42" t="n">
        <v>65.73999999999999</v>
      </c>
      <c r="F431" s="42" t="n">
        <v>0</v>
      </c>
      <c r="G431" s="42" t="n">
        <v>85881.17</v>
      </c>
      <c r="H431" s="42" t="inlineStr"/>
      <c r="I431" s="42" t="inlineStr"/>
      <c r="J431" s="42" t="inlineStr">
        <is>
          <t>HDFC Securities - Buy</t>
        </is>
      </c>
      <c r="K431" s="42" t="inlineStr">
        <is>
          <t>HDFC Securities</t>
        </is>
      </c>
      <c r="L431" s="18" t="n">
        <v>0.97</v>
      </c>
      <c r="M431" s="42" t="inlineStr">
        <is>
          <t>N/A</t>
        </is>
      </c>
    </row>
    <row r="432">
      <c r="A432" s="41" t="n">
        <v>45212</v>
      </c>
      <c r="B432" s="42" t="inlineStr">
        <is>
          <t>NET PI TO HSL SEC A/C 2554606-00602340029427</t>
        </is>
      </c>
      <c r="C432" s="42" t="inlineStr">
        <is>
          <t>0000000456727280</t>
        </is>
      </c>
      <c r="D432" s="41" t="n">
        <v>45212</v>
      </c>
      <c r="E432" s="42" t="n">
        <v>6551.64</v>
      </c>
      <c r="F432" s="42" t="n">
        <v>0</v>
      </c>
      <c r="G432" s="42" t="n">
        <v>79329.53</v>
      </c>
      <c r="H432" s="42" t="inlineStr"/>
      <c r="I432" s="42" t="inlineStr"/>
      <c r="J432" s="42" t="inlineStr">
        <is>
          <t>HDFC Securities - Buy</t>
        </is>
      </c>
      <c r="K432" s="42" t="inlineStr">
        <is>
          <t>HDFC Securities</t>
        </is>
      </c>
      <c r="L432" s="18" t="n">
        <v>0.97</v>
      </c>
      <c r="M432" s="42" t="inlineStr">
        <is>
          <t>N/A</t>
        </is>
      </c>
    </row>
    <row r="433">
      <c r="A433" s="41" t="n">
        <v>45212</v>
      </c>
      <c r="B433" s="42" t="inlineStr">
        <is>
          <t>NET PI TO HSL SEC A/C 2554606-00602340029427</t>
        </is>
      </c>
      <c r="C433" s="42" t="inlineStr">
        <is>
          <t>0000000456780830</t>
        </is>
      </c>
      <c r="D433" s="41" t="n">
        <v>45212</v>
      </c>
      <c r="E433" s="42" t="n">
        <v>647.8099999999999</v>
      </c>
      <c r="F433" s="42" t="n">
        <v>0</v>
      </c>
      <c r="G433" s="42" t="n">
        <v>78681.72</v>
      </c>
      <c r="H433" s="42" t="inlineStr"/>
      <c r="I433" s="42" t="inlineStr"/>
      <c r="J433" s="42" t="inlineStr">
        <is>
          <t>HDFC Securities - Buy</t>
        </is>
      </c>
      <c r="K433" s="42" t="inlineStr">
        <is>
          <t>HDFC Securities</t>
        </is>
      </c>
      <c r="L433" s="18" t="n">
        <v>0.97</v>
      </c>
      <c r="M433" s="42" t="inlineStr">
        <is>
          <t>N/A</t>
        </is>
      </c>
    </row>
    <row r="434">
      <c r="A434" s="41" t="n">
        <v>45215</v>
      </c>
      <c r="B434" s="42" t="inlineStr">
        <is>
          <t>NET PI TO HSL SEC A/C 2554606-00602340029427</t>
        </is>
      </c>
      <c r="C434" s="42" t="inlineStr">
        <is>
          <t>0000000457083132</t>
        </is>
      </c>
      <c r="D434" s="41" t="n">
        <v>45215</v>
      </c>
      <c r="E434" s="42" t="n">
        <v>227.46</v>
      </c>
      <c r="F434" s="42" t="n">
        <v>0</v>
      </c>
      <c r="G434" s="42" t="n">
        <v>78454.25999999999</v>
      </c>
      <c r="H434" s="42" t="inlineStr"/>
      <c r="I434" s="42" t="inlineStr"/>
      <c r="J434" s="42" t="inlineStr">
        <is>
          <t>HDFC Securities - Buy</t>
        </is>
      </c>
      <c r="K434" s="42" t="inlineStr">
        <is>
          <t>HDFC Securities</t>
        </is>
      </c>
      <c r="L434" s="18" t="n">
        <v>0.97</v>
      </c>
      <c r="M434" s="42" t="inlineStr">
        <is>
          <t>N/A</t>
        </is>
      </c>
    </row>
    <row r="435">
      <c r="A435" s="64" t="n">
        <v>45215</v>
      </c>
      <c r="B435" s="65" t="inlineStr">
        <is>
          <t>ACH C- TEXMACO RAIL &amp; ENGIN-1388123</t>
        </is>
      </c>
      <c r="C435" s="65" t="inlineStr">
        <is>
          <t>0000006530918789</t>
        </is>
      </c>
      <c r="D435" s="64" t="n">
        <v>45215</v>
      </c>
      <c r="E435" s="65" t="n">
        <v>0</v>
      </c>
      <c r="F435" s="65" t="n">
        <v>30</v>
      </c>
      <c r="G435" s="65" t="n">
        <v>78484.25999999999</v>
      </c>
      <c r="H435" s="65" t="inlineStr"/>
      <c r="I435" s="65" t="inlineStr"/>
      <c r="J435" s="65" t="inlineStr">
        <is>
          <t>Dividend Income</t>
        </is>
      </c>
      <c r="K435" s="65" t="inlineStr">
        <is>
          <t>Dividend Income</t>
        </is>
      </c>
      <c r="L435" s="18" t="n">
        <v>0.88</v>
      </c>
      <c r="M435" s="65" t="inlineStr">
        <is>
          <t>N/A</t>
        </is>
      </c>
    </row>
    <row r="436">
      <c r="A436" s="41" t="n">
        <v>45215</v>
      </c>
      <c r="B436" s="42" t="inlineStr">
        <is>
          <t>NET PI TO HSL SEC A/C 2554606-00602340029427</t>
        </is>
      </c>
      <c r="C436" s="42" t="inlineStr">
        <is>
          <t>0000000457223504</t>
        </is>
      </c>
      <c r="D436" s="41" t="n">
        <v>45215</v>
      </c>
      <c r="E436" s="42" t="n">
        <v>319.22</v>
      </c>
      <c r="F436" s="42" t="n">
        <v>0</v>
      </c>
      <c r="G436" s="42" t="n">
        <v>78165.03999999999</v>
      </c>
      <c r="H436" s="42" t="inlineStr"/>
      <c r="I436" s="42" t="inlineStr"/>
      <c r="J436" s="42" t="inlineStr">
        <is>
          <t>HDFC Securities - Buy</t>
        </is>
      </c>
      <c r="K436" s="42" t="inlineStr">
        <is>
          <t>HDFC Securities</t>
        </is>
      </c>
      <c r="L436" s="18" t="n">
        <v>0.97</v>
      </c>
      <c r="M436" s="42" t="inlineStr">
        <is>
          <t>N/A</t>
        </is>
      </c>
    </row>
    <row r="437">
      <c r="A437" s="41" t="n">
        <v>45216</v>
      </c>
      <c r="B437" s="42" t="inlineStr">
        <is>
          <t>NET PI TO HSL SEC A/C 2554606-00602340029427</t>
        </is>
      </c>
      <c r="C437" s="42" t="inlineStr">
        <is>
          <t>0000000457464696</t>
        </is>
      </c>
      <c r="D437" s="41" t="n">
        <v>45216</v>
      </c>
      <c r="E437" s="42" t="n">
        <v>75.66</v>
      </c>
      <c r="F437" s="42" t="n">
        <v>0</v>
      </c>
      <c r="G437" s="42" t="n">
        <v>78089.38</v>
      </c>
      <c r="H437" s="42" t="inlineStr"/>
      <c r="I437" s="42" t="inlineStr"/>
      <c r="J437" s="42" t="inlineStr">
        <is>
          <t>HDFC Securities - Buy</t>
        </is>
      </c>
      <c r="K437" s="42" t="inlineStr">
        <is>
          <t>HDFC Securities</t>
        </is>
      </c>
      <c r="L437" s="18" t="n">
        <v>0.97</v>
      </c>
      <c r="M437" s="42" t="inlineStr">
        <is>
          <t>N/A</t>
        </is>
      </c>
    </row>
    <row r="438">
      <c r="A438" s="41" t="n">
        <v>45216</v>
      </c>
      <c r="B438" s="42" t="inlineStr">
        <is>
          <t>NET PI TO HSL SEC A/C 2554606-00602340029427</t>
        </is>
      </c>
      <c r="C438" s="42" t="inlineStr">
        <is>
          <t>0000000457598817</t>
        </is>
      </c>
      <c r="D438" s="41" t="n">
        <v>45216</v>
      </c>
      <c r="E438" s="42" t="n">
        <v>26216.46</v>
      </c>
      <c r="F438" s="42" t="n">
        <v>0</v>
      </c>
      <c r="G438" s="42" t="n">
        <v>51872.92</v>
      </c>
      <c r="H438" s="42" t="inlineStr"/>
      <c r="I438" s="42" t="inlineStr"/>
      <c r="J438" s="42" t="inlineStr">
        <is>
          <t>HDFC Securities - Buy</t>
        </is>
      </c>
      <c r="K438" s="42" t="inlineStr">
        <is>
          <t>HDFC Securities</t>
        </is>
      </c>
      <c r="L438" s="18" t="n">
        <v>0.97</v>
      </c>
      <c r="M438" s="42" t="inlineStr">
        <is>
          <t>N/A</t>
        </is>
      </c>
    </row>
    <row r="439">
      <c r="A439" s="54" t="n">
        <v>45217</v>
      </c>
      <c r="B439" s="55" t="inlineStr">
        <is>
          <t>NET PO FROM HSL A/C 2554606-50200085415108</t>
        </is>
      </c>
      <c r="C439" s="55" t="inlineStr">
        <is>
          <t>0000000457725062</t>
        </is>
      </c>
      <c r="D439" s="54" t="n">
        <v>45217</v>
      </c>
      <c r="E439" s="55" t="n">
        <v>0</v>
      </c>
      <c r="F439" s="55" t="n">
        <v>60857.97</v>
      </c>
      <c r="G439" s="55" t="n">
        <v>112730.89</v>
      </c>
      <c r="H439" s="55" t="inlineStr"/>
      <c r="I439" s="55" t="inlineStr"/>
      <c r="J439" s="55" t="inlineStr">
        <is>
          <t>HDFC Securities - Sell</t>
        </is>
      </c>
      <c r="K439" s="55" t="inlineStr">
        <is>
          <t>HDFC Securities</t>
        </is>
      </c>
      <c r="L439" s="18" t="n">
        <v>0.97</v>
      </c>
      <c r="M439" s="55" t="inlineStr">
        <is>
          <t>N/A</t>
        </is>
      </c>
    </row>
    <row r="440">
      <c r="A440" s="41" t="n">
        <v>45217</v>
      </c>
      <c r="B440" s="42" t="inlineStr">
        <is>
          <t>NET PI TO HSL SEC A/C 2554606-00602340029427</t>
        </is>
      </c>
      <c r="C440" s="42" t="inlineStr">
        <is>
          <t>0000000457857495</t>
        </is>
      </c>
      <c r="D440" s="41" t="n">
        <v>45217</v>
      </c>
      <c r="E440" s="42" t="n">
        <v>62.73</v>
      </c>
      <c r="F440" s="42" t="n">
        <v>0</v>
      </c>
      <c r="G440" s="42" t="n">
        <v>112668.16</v>
      </c>
      <c r="H440" s="42" t="inlineStr"/>
      <c r="I440" s="42" t="inlineStr"/>
      <c r="J440" s="42" t="inlineStr">
        <is>
          <t>HDFC Securities - Buy</t>
        </is>
      </c>
      <c r="K440" s="42" t="inlineStr">
        <is>
          <t>HDFC Securities</t>
        </is>
      </c>
      <c r="L440" s="18" t="n">
        <v>0.97</v>
      </c>
      <c r="M440" s="42" t="inlineStr">
        <is>
          <t>N/A</t>
        </is>
      </c>
    </row>
    <row r="441">
      <c r="A441" s="41" t="n">
        <v>45217</v>
      </c>
      <c r="B441" s="42" t="inlineStr">
        <is>
          <t>NET PI TO HSL SEC A/C 2554606-00602340029427</t>
        </is>
      </c>
      <c r="C441" s="42" t="inlineStr">
        <is>
          <t>0000000458010512</t>
        </is>
      </c>
      <c r="D441" s="41" t="n">
        <v>45217</v>
      </c>
      <c r="E441" s="42" t="n">
        <v>2873.28</v>
      </c>
      <c r="F441" s="42" t="n">
        <v>0</v>
      </c>
      <c r="G441" s="42" t="n">
        <v>109794.88</v>
      </c>
      <c r="H441" s="42" t="inlineStr"/>
      <c r="I441" s="42" t="inlineStr"/>
      <c r="J441" s="42" t="inlineStr">
        <is>
          <t>HDFC Securities - Buy</t>
        </is>
      </c>
      <c r="K441" s="42" t="inlineStr">
        <is>
          <t>HDFC Securities</t>
        </is>
      </c>
      <c r="L441" s="18" t="n">
        <v>0.97</v>
      </c>
      <c r="M441" s="42" t="inlineStr">
        <is>
          <t>N/A</t>
        </is>
      </c>
    </row>
    <row r="442">
      <c r="A442" s="41" t="n">
        <v>45218</v>
      </c>
      <c r="B442" s="42" t="inlineStr">
        <is>
          <t>NET PI TO HSL SEC A/C 2554606-00602340029427</t>
        </is>
      </c>
      <c r="C442" s="42" t="inlineStr">
        <is>
          <t>0000000458248864</t>
        </is>
      </c>
      <c r="D442" s="41" t="n">
        <v>45218</v>
      </c>
      <c r="E442" s="42" t="n">
        <v>61.32</v>
      </c>
      <c r="F442" s="42" t="n">
        <v>0</v>
      </c>
      <c r="G442" s="42" t="n">
        <v>109733.56</v>
      </c>
      <c r="H442" s="42" t="inlineStr"/>
      <c r="I442" s="42" t="inlineStr"/>
      <c r="J442" s="42" t="inlineStr">
        <is>
          <t>HDFC Securities - Buy</t>
        </is>
      </c>
      <c r="K442" s="42" t="inlineStr">
        <is>
          <t>HDFC Securities</t>
        </is>
      </c>
      <c r="L442" s="18" t="n">
        <v>0.97</v>
      </c>
      <c r="M442" s="42" t="inlineStr">
        <is>
          <t>N/A</t>
        </is>
      </c>
    </row>
    <row r="443">
      <c r="A443" s="41" t="n">
        <v>45218</v>
      </c>
      <c r="B443" s="42" t="inlineStr">
        <is>
          <t>NET PI TO HSL SEC A/C 2554606-00602340029427</t>
        </is>
      </c>
      <c r="C443" s="42" t="inlineStr">
        <is>
          <t>0000000458400705</t>
        </is>
      </c>
      <c r="D443" s="41" t="n">
        <v>45218</v>
      </c>
      <c r="E443" s="42" t="n">
        <v>31771.79</v>
      </c>
      <c r="F443" s="42" t="n">
        <v>0</v>
      </c>
      <c r="G443" s="42" t="n">
        <v>77961.77</v>
      </c>
      <c r="H443" s="42" t="inlineStr"/>
      <c r="I443" s="42" t="inlineStr"/>
      <c r="J443" s="42" t="inlineStr">
        <is>
          <t>HDFC Securities - Buy</t>
        </is>
      </c>
      <c r="K443" s="42" t="inlineStr">
        <is>
          <t>HDFC Securities</t>
        </is>
      </c>
      <c r="L443" s="18" t="n">
        <v>0.97</v>
      </c>
      <c r="M443" s="42" t="inlineStr">
        <is>
          <t>N/A</t>
        </is>
      </c>
    </row>
    <row r="444">
      <c r="A444" s="54" t="n">
        <v>45219</v>
      </c>
      <c r="B444" s="55" t="inlineStr">
        <is>
          <t>NET PO FROM HSL A/C 2554606-50200085415108</t>
        </is>
      </c>
      <c r="C444" s="55" t="inlineStr">
        <is>
          <t>0000000458515842</t>
        </is>
      </c>
      <c r="D444" s="54" t="n">
        <v>45219</v>
      </c>
      <c r="E444" s="55" t="n">
        <v>0</v>
      </c>
      <c r="F444" s="55" t="n">
        <v>1460.8</v>
      </c>
      <c r="G444" s="55" t="n">
        <v>79422.57000000001</v>
      </c>
      <c r="H444" s="55" t="inlineStr"/>
      <c r="I444" s="55" t="inlineStr"/>
      <c r="J444" s="55" t="inlineStr">
        <is>
          <t>HDFC Securities - Sell</t>
        </is>
      </c>
      <c r="K444" s="55" t="inlineStr">
        <is>
          <t>HDFC Securities</t>
        </is>
      </c>
      <c r="L444" s="18" t="n">
        <v>0.97</v>
      </c>
      <c r="M444" s="55" t="inlineStr">
        <is>
          <t>N/A</t>
        </is>
      </c>
    </row>
    <row r="445">
      <c r="A445" s="41" t="n">
        <v>45219</v>
      </c>
      <c r="B445" s="42" t="inlineStr">
        <is>
          <t>NET PI TO HSL SEC A/C 2554606-00602340029427</t>
        </is>
      </c>
      <c r="C445" s="42" t="inlineStr">
        <is>
          <t>0000000458653511</t>
        </is>
      </c>
      <c r="D445" s="41" t="n">
        <v>45219</v>
      </c>
      <c r="E445" s="42" t="n">
        <v>49.6</v>
      </c>
      <c r="F445" s="42" t="n">
        <v>0</v>
      </c>
      <c r="G445" s="42" t="n">
        <v>79372.97</v>
      </c>
      <c r="H445" s="42" t="inlineStr"/>
      <c r="I445" s="42" t="inlineStr"/>
      <c r="J445" s="42" t="inlineStr">
        <is>
          <t>HDFC Securities - Buy</t>
        </is>
      </c>
      <c r="K445" s="42" t="inlineStr">
        <is>
          <t>HDFC Securities</t>
        </is>
      </c>
      <c r="L445" s="18" t="n">
        <v>0.97</v>
      </c>
      <c r="M445" s="42" t="inlineStr">
        <is>
          <t>N/A</t>
        </is>
      </c>
    </row>
    <row r="446">
      <c r="A446" s="41" t="n">
        <v>45219</v>
      </c>
      <c r="B446" s="42" t="inlineStr">
        <is>
          <t>NET PI TO HSL SEC A/C 2554606-00602340029427</t>
        </is>
      </c>
      <c r="C446" s="42" t="inlineStr">
        <is>
          <t>0000000458768595</t>
        </is>
      </c>
      <c r="D446" s="41" t="n">
        <v>45219</v>
      </c>
      <c r="E446" s="42" t="n">
        <v>17985.04</v>
      </c>
      <c r="F446" s="42" t="n">
        <v>0</v>
      </c>
      <c r="G446" s="42" t="n">
        <v>61387.93</v>
      </c>
      <c r="H446" s="42" t="inlineStr"/>
      <c r="I446" s="42" t="inlineStr"/>
      <c r="J446" s="42" t="inlineStr">
        <is>
          <t>HDFC Securities - Buy</t>
        </is>
      </c>
      <c r="K446" s="42" t="inlineStr">
        <is>
          <t>HDFC Securities</t>
        </is>
      </c>
      <c r="L446" s="18" t="n">
        <v>0.97</v>
      </c>
      <c r="M446" s="42" t="inlineStr">
        <is>
          <t>N/A</t>
        </is>
      </c>
    </row>
    <row r="447">
      <c r="A447" s="41" t="n">
        <v>45219</v>
      </c>
      <c r="B447" s="42" t="inlineStr">
        <is>
          <t>NET PI TO HSL SEC A/C 2554606-00602340029427</t>
        </is>
      </c>
      <c r="C447" s="42" t="inlineStr">
        <is>
          <t>0000000458826031</t>
        </is>
      </c>
      <c r="D447" s="41" t="n">
        <v>45219</v>
      </c>
      <c r="E447" s="42" t="n">
        <v>9016.77</v>
      </c>
      <c r="F447" s="42" t="n">
        <v>0</v>
      </c>
      <c r="G447" s="42" t="n">
        <v>52371.16</v>
      </c>
      <c r="H447" s="42" t="inlineStr"/>
      <c r="I447" s="42" t="inlineStr"/>
      <c r="J447" s="42" t="inlineStr">
        <is>
          <t>HDFC Securities - Buy</t>
        </is>
      </c>
      <c r="K447" s="42" t="inlineStr">
        <is>
          <t>HDFC Securities</t>
        </is>
      </c>
      <c r="L447" s="18" t="n">
        <v>0.97</v>
      </c>
      <c r="M447" s="42" t="inlineStr">
        <is>
          <t>N/A</t>
        </is>
      </c>
    </row>
    <row r="448">
      <c r="A448" s="62" t="n">
        <v>45221</v>
      </c>
      <c r="B448" s="63" t="inlineStr">
        <is>
          <t>01671000060094-TPT-RETURN TO AAYUSH-SUNITA GUPTA</t>
        </is>
      </c>
      <c r="C448" s="63" t="inlineStr">
        <is>
          <t>0000000356648625</t>
        </is>
      </c>
      <c r="D448" s="62" t="n">
        <v>45221</v>
      </c>
      <c r="E448" s="63" t="n">
        <v>0</v>
      </c>
      <c r="F448" s="63" t="n">
        <v>30000</v>
      </c>
      <c r="G448" s="63" t="n">
        <v>82371.16</v>
      </c>
      <c r="H448" s="63" t="inlineStr"/>
      <c r="I448" s="63" t="inlineStr"/>
      <c r="J448" s="63" t="inlineStr">
        <is>
          <t>Received - Sunita Gupta</t>
        </is>
      </c>
      <c r="K448" s="63" t="inlineStr">
        <is>
          <t>Sunita Gupta</t>
        </is>
      </c>
      <c r="L448" s="18" t="n">
        <v>0.88</v>
      </c>
      <c r="M448" s="63" t="inlineStr">
        <is>
          <t>N/A</t>
        </is>
      </c>
    </row>
    <row r="449">
      <c r="A449" s="41" t="n">
        <v>45222</v>
      </c>
      <c r="B449" s="42" t="inlineStr">
        <is>
          <t>NET PI TO HSL SEC A/C 2554606-00602340029427</t>
        </is>
      </c>
      <c r="C449" s="42" t="inlineStr">
        <is>
          <t>0000000459109165</t>
        </is>
      </c>
      <c r="D449" s="41" t="n">
        <v>45222</v>
      </c>
      <c r="E449" s="42" t="n">
        <v>263.1</v>
      </c>
      <c r="F449" s="42" t="n">
        <v>0</v>
      </c>
      <c r="G449" s="42" t="n">
        <v>82108.06</v>
      </c>
      <c r="H449" s="42" t="inlineStr"/>
      <c r="I449" s="42" t="inlineStr"/>
      <c r="J449" s="42" t="inlineStr">
        <is>
          <t>HDFC Securities - Buy</t>
        </is>
      </c>
      <c r="K449" s="42" t="inlineStr">
        <is>
          <t>HDFC Securities</t>
        </is>
      </c>
      <c r="L449" s="18" t="n">
        <v>0.97</v>
      </c>
      <c r="M449" s="42" t="inlineStr">
        <is>
          <t>N/A</t>
        </is>
      </c>
    </row>
    <row r="450">
      <c r="A450" s="41" t="n">
        <v>45222</v>
      </c>
      <c r="B450" s="42" t="inlineStr">
        <is>
          <t>NET PI TO HSL SEC A/C 2554606-00602340029427</t>
        </is>
      </c>
      <c r="C450" s="42" t="inlineStr">
        <is>
          <t>0000000459310004</t>
        </is>
      </c>
      <c r="D450" s="41" t="n">
        <v>45222</v>
      </c>
      <c r="E450" s="42" t="n">
        <v>21590.34</v>
      </c>
      <c r="F450" s="42" t="n">
        <v>0</v>
      </c>
      <c r="G450" s="42" t="n">
        <v>60517.72</v>
      </c>
      <c r="H450" s="42" t="inlineStr"/>
      <c r="I450" s="42" t="inlineStr"/>
      <c r="J450" s="42" t="inlineStr">
        <is>
          <t>HDFC Securities - Buy</t>
        </is>
      </c>
      <c r="K450" s="42" t="inlineStr">
        <is>
          <t>HDFC Securities</t>
        </is>
      </c>
      <c r="L450" s="18" t="n">
        <v>0.97</v>
      </c>
      <c r="M450" s="42" t="inlineStr">
        <is>
          <t>N/A</t>
        </is>
      </c>
    </row>
    <row r="451">
      <c r="A451" s="72" t="n">
        <v>45223</v>
      </c>
      <c r="B451" s="73" t="inlineStr">
        <is>
          <t>IMPS-329711427436-TAPITS TECHNOLOGIES-ICIC-XXXXXXXX8888-HDFCLIFENB</t>
        </is>
      </c>
      <c r="C451" s="73" t="inlineStr">
        <is>
          <t>0000329711427436</t>
        </is>
      </c>
      <c r="D451" s="72" t="n">
        <v>45223</v>
      </c>
      <c r="E451" s="73" t="n">
        <v>0</v>
      </c>
      <c r="F451" s="73" t="n">
        <v>1</v>
      </c>
      <c r="G451" s="73" t="n">
        <v>60518.72</v>
      </c>
      <c r="H451" s="73" t="inlineStr"/>
      <c r="I451" s="73" t="inlineStr"/>
      <c r="J451" s="73" t="inlineStr">
        <is>
          <t>Misc Income</t>
        </is>
      </c>
      <c r="K451" s="73" t="inlineStr">
        <is>
          <t>Misc Income</t>
        </is>
      </c>
      <c r="L451" s="25" t="n">
        <v>0.55</v>
      </c>
      <c r="M451" s="73" t="inlineStr">
        <is>
          <t>N/A</t>
        </is>
      </c>
    </row>
    <row r="452">
      <c r="A452" s="26" t="n">
        <v>45223</v>
      </c>
      <c r="B452" s="27" t="inlineStr">
        <is>
          <t>01671000085930-TPT-GIFT TO AAYUSH-AJAY KUMAR GUPTA</t>
        </is>
      </c>
      <c r="C452" s="27" t="inlineStr">
        <is>
          <t>0000000661291273</t>
        </is>
      </c>
      <c r="D452" s="26" t="n">
        <v>45223</v>
      </c>
      <c r="E452" s="27" t="n">
        <v>0</v>
      </c>
      <c r="F452" s="27" t="n">
        <v>250000</v>
      </c>
      <c r="G452" s="27" t="n">
        <v>310518.72</v>
      </c>
      <c r="H452" s="27" t="inlineStr"/>
      <c r="I452" s="27" t="inlineStr"/>
      <c r="J452" s="27" t="inlineStr">
        <is>
          <t>Received - Ajay Gupta</t>
        </is>
      </c>
      <c r="K452" s="27" t="inlineStr">
        <is>
          <t>Ajay Gupta</t>
        </is>
      </c>
      <c r="L452" s="18" t="n">
        <v>0.88</v>
      </c>
      <c r="M452" s="27" t="inlineStr">
        <is>
          <t>N/A</t>
        </is>
      </c>
    </row>
    <row r="453">
      <c r="A453" s="66" t="n">
        <v>45223</v>
      </c>
      <c r="B453" s="67" t="inlineStr">
        <is>
          <t>MS3A0W4CLCQX9H/RAZPHDFCLIFEINSURANC</t>
        </is>
      </c>
      <c r="C453" s="67" t="inlineStr">
        <is>
          <t>0002329731172589</t>
        </is>
      </c>
      <c r="D453" s="66" t="n">
        <v>45223</v>
      </c>
      <c r="E453" s="67" t="n">
        <v>256000</v>
      </c>
      <c r="F453" s="67" t="n">
        <v>0</v>
      </c>
      <c r="G453" s="67" t="n">
        <v>54518.72</v>
      </c>
      <c r="H453" s="67" t="inlineStr"/>
      <c r="I453" s="67" t="inlineStr"/>
      <c r="J453" s="67" t="inlineStr">
        <is>
          <t>Life Insurance Premium</t>
        </is>
      </c>
      <c r="K453" s="67" t="inlineStr">
        <is>
          <t>Life Insurance</t>
        </is>
      </c>
      <c r="L453" s="18" t="n">
        <v>0.9</v>
      </c>
      <c r="M453" s="67" t="inlineStr">
        <is>
          <t>N/A</t>
        </is>
      </c>
    </row>
    <row r="454">
      <c r="A454" s="54" t="n">
        <v>45224</v>
      </c>
      <c r="B454" s="55" t="inlineStr">
        <is>
          <t>NET PO FROM HSL A/C 2554606-50200085415108</t>
        </is>
      </c>
      <c r="C454" s="55" t="inlineStr">
        <is>
          <t>0000000459441188</t>
        </is>
      </c>
      <c r="D454" s="54" t="n">
        <v>45224</v>
      </c>
      <c r="E454" s="55" t="n">
        <v>0</v>
      </c>
      <c r="F454" s="55" t="n">
        <v>12403.87</v>
      </c>
      <c r="G454" s="55" t="n">
        <v>66922.59</v>
      </c>
      <c r="H454" s="55" t="inlineStr"/>
      <c r="I454" s="55" t="inlineStr"/>
      <c r="J454" s="55" t="inlineStr">
        <is>
          <t>HDFC Securities - Sell</t>
        </is>
      </c>
      <c r="K454" s="55" t="inlineStr">
        <is>
          <t>HDFC Securities</t>
        </is>
      </c>
      <c r="L454" s="18" t="n">
        <v>0.97</v>
      </c>
      <c r="M454" s="55" t="inlineStr">
        <is>
          <t>N/A</t>
        </is>
      </c>
    </row>
    <row r="455">
      <c r="A455" s="41" t="n">
        <v>45224</v>
      </c>
      <c r="B455" s="42" t="inlineStr">
        <is>
          <t>NET PI TO HSL SEC A/C 2554606-00602340029427</t>
        </is>
      </c>
      <c r="C455" s="42" t="inlineStr">
        <is>
          <t>0000000459598764</t>
        </is>
      </c>
      <c r="D455" s="41" t="n">
        <v>45224</v>
      </c>
      <c r="E455" s="42" t="n">
        <v>128.96</v>
      </c>
      <c r="F455" s="42" t="n">
        <v>0</v>
      </c>
      <c r="G455" s="42" t="n">
        <v>66793.63</v>
      </c>
      <c r="H455" s="42" t="inlineStr"/>
      <c r="I455" s="42" t="inlineStr"/>
      <c r="J455" s="42" t="inlineStr">
        <is>
          <t>HDFC Securities - Buy</t>
        </is>
      </c>
      <c r="K455" s="42" t="inlineStr">
        <is>
          <t>HDFC Securities</t>
        </is>
      </c>
      <c r="L455" s="18" t="n">
        <v>0.97</v>
      </c>
      <c r="M455" s="42" t="inlineStr">
        <is>
          <t>N/A</t>
        </is>
      </c>
    </row>
    <row r="456">
      <c r="A456" s="41" t="n">
        <v>45224</v>
      </c>
      <c r="B456" s="42" t="inlineStr">
        <is>
          <t>NET PI TO HSL SEC A/C 2554606-00602340029427</t>
        </is>
      </c>
      <c r="C456" s="42" t="inlineStr">
        <is>
          <t>0000000459726648</t>
        </is>
      </c>
      <c r="D456" s="41" t="n">
        <v>45224</v>
      </c>
      <c r="E456" s="42" t="n">
        <v>7555.81</v>
      </c>
      <c r="F456" s="42" t="n">
        <v>0</v>
      </c>
      <c r="G456" s="42" t="n">
        <v>59237.82</v>
      </c>
      <c r="H456" s="42" t="inlineStr"/>
      <c r="I456" s="42" t="inlineStr"/>
      <c r="J456" s="42" t="inlineStr">
        <is>
          <t>HDFC Securities - Buy</t>
        </is>
      </c>
      <c r="K456" s="42" t="inlineStr">
        <is>
          <t>HDFC Securities</t>
        </is>
      </c>
      <c r="L456" s="18" t="n">
        <v>0.97</v>
      </c>
      <c r="M456" s="42" t="inlineStr">
        <is>
          <t>N/A</t>
        </is>
      </c>
    </row>
    <row r="457">
      <c r="A457" s="41" t="n">
        <v>45224</v>
      </c>
      <c r="B457" s="42" t="inlineStr">
        <is>
          <t>NET PI TO HSL SEC A/C 2554606-00602340029427</t>
        </is>
      </c>
      <c r="C457" s="42" t="inlineStr">
        <is>
          <t>0000000459775677</t>
        </is>
      </c>
      <c r="D457" s="41" t="n">
        <v>45224</v>
      </c>
      <c r="E457" s="42" t="n">
        <v>9150.030000000001</v>
      </c>
      <c r="F457" s="42" t="n">
        <v>0</v>
      </c>
      <c r="G457" s="42" t="n">
        <v>50087.79</v>
      </c>
      <c r="H457" s="42" t="inlineStr"/>
      <c r="I457" s="42" t="inlineStr"/>
      <c r="J457" s="42" t="inlineStr">
        <is>
          <t>HDFC Securities - Buy</t>
        </is>
      </c>
      <c r="K457" s="42" t="inlineStr">
        <is>
          <t>HDFC Securities</t>
        </is>
      </c>
      <c r="L457" s="18" t="n">
        <v>0.97</v>
      </c>
      <c r="M457" s="42" t="inlineStr">
        <is>
          <t>N/A</t>
        </is>
      </c>
    </row>
    <row r="458">
      <c r="A458" s="41" t="n">
        <v>45225</v>
      </c>
      <c r="B458" s="42" t="inlineStr">
        <is>
          <t>NET PI TO HSL SEC A/C 2554606-00602340029427</t>
        </is>
      </c>
      <c r="C458" s="42" t="inlineStr">
        <is>
          <t>0000000460024759</t>
        </is>
      </c>
      <c r="D458" s="41" t="n">
        <v>45225</v>
      </c>
      <c r="E458" s="42" t="n">
        <v>37.34</v>
      </c>
      <c r="F458" s="42" t="n">
        <v>0</v>
      </c>
      <c r="G458" s="42" t="n">
        <v>50050.45</v>
      </c>
      <c r="H458" s="42" t="inlineStr"/>
      <c r="I458" s="42" t="inlineStr"/>
      <c r="J458" s="42" t="inlineStr">
        <is>
          <t>HDFC Securities - Buy</t>
        </is>
      </c>
      <c r="K458" s="42" t="inlineStr">
        <is>
          <t>HDFC Securities</t>
        </is>
      </c>
      <c r="L458" s="18" t="n">
        <v>0.97</v>
      </c>
      <c r="M458" s="42" t="inlineStr">
        <is>
          <t>N/A</t>
        </is>
      </c>
    </row>
    <row r="459">
      <c r="A459" s="41" t="n">
        <v>45225</v>
      </c>
      <c r="B459" s="42" t="inlineStr">
        <is>
          <t>NET PI TO HSL SEC A/C 2554606-00602340029427</t>
        </is>
      </c>
      <c r="C459" s="42" t="inlineStr">
        <is>
          <t>0000000460213552</t>
        </is>
      </c>
      <c r="D459" s="41" t="n">
        <v>45225</v>
      </c>
      <c r="E459" s="42" t="n">
        <v>289.73</v>
      </c>
      <c r="F459" s="42" t="n">
        <v>0</v>
      </c>
      <c r="G459" s="42" t="n">
        <v>49760.72</v>
      </c>
      <c r="H459" s="42" t="inlineStr"/>
      <c r="I459" s="42" t="inlineStr"/>
      <c r="J459" s="42" t="inlineStr">
        <is>
          <t>HDFC Securities - Buy</t>
        </is>
      </c>
      <c r="K459" s="42" t="inlineStr">
        <is>
          <t>HDFC Securities</t>
        </is>
      </c>
      <c r="L459" s="18" t="n">
        <v>0.97</v>
      </c>
      <c r="M459" s="42" t="inlineStr">
        <is>
          <t>N/A</t>
        </is>
      </c>
    </row>
    <row r="460">
      <c r="A460" s="41" t="n">
        <v>45226</v>
      </c>
      <c r="B460" s="42" t="inlineStr">
        <is>
          <t>NET PI TO HSL SEC A/C 2554606-00602340029427</t>
        </is>
      </c>
      <c r="C460" s="42" t="inlineStr">
        <is>
          <t>0000000460487967</t>
        </is>
      </c>
      <c r="D460" s="41" t="n">
        <v>45226</v>
      </c>
      <c r="E460" s="42" t="n">
        <v>43.52</v>
      </c>
      <c r="F460" s="42" t="n">
        <v>0</v>
      </c>
      <c r="G460" s="42" t="n">
        <v>49717.2</v>
      </c>
      <c r="H460" s="42" t="inlineStr"/>
      <c r="I460" s="42" t="inlineStr"/>
      <c r="J460" s="42" t="inlineStr">
        <is>
          <t>HDFC Securities - Buy</t>
        </is>
      </c>
      <c r="K460" s="42" t="inlineStr">
        <is>
          <t>HDFC Securities</t>
        </is>
      </c>
      <c r="L460" s="18" t="n">
        <v>0.97</v>
      </c>
      <c r="M460" s="42" t="inlineStr">
        <is>
          <t>N/A</t>
        </is>
      </c>
    </row>
    <row r="461">
      <c r="A461" s="41" t="n">
        <v>45226</v>
      </c>
      <c r="B461" s="42" t="inlineStr">
        <is>
          <t>NET PI TO HSL SEC A/C 2554606-00602340029427</t>
        </is>
      </c>
      <c r="C461" s="42" t="inlineStr">
        <is>
          <t>0000000460584247</t>
        </is>
      </c>
      <c r="D461" s="41" t="n">
        <v>45226</v>
      </c>
      <c r="E461" s="42" t="n">
        <v>7392.07</v>
      </c>
      <c r="F461" s="42" t="n">
        <v>0</v>
      </c>
      <c r="G461" s="42" t="n">
        <v>42325.13</v>
      </c>
      <c r="H461" s="42" t="inlineStr"/>
      <c r="I461" s="42" t="inlineStr"/>
      <c r="J461" s="42" t="inlineStr">
        <is>
          <t>HDFC Securities - Buy</t>
        </is>
      </c>
      <c r="K461" s="42" t="inlineStr">
        <is>
          <t>HDFC Securities</t>
        </is>
      </c>
      <c r="L461" s="18" t="n">
        <v>0.97</v>
      </c>
      <c r="M461" s="42" t="inlineStr">
        <is>
          <t>N/A</t>
        </is>
      </c>
    </row>
    <row r="462">
      <c r="A462" s="54" t="n">
        <v>45229</v>
      </c>
      <c r="B462" s="55" t="inlineStr">
        <is>
          <t>NET PO FROM HSL A/C 2554606-50200085415108</t>
        </is>
      </c>
      <c r="C462" s="55" t="inlineStr">
        <is>
          <t>0000000460721197</t>
        </is>
      </c>
      <c r="D462" s="54" t="n">
        <v>45229</v>
      </c>
      <c r="E462" s="55" t="n">
        <v>0</v>
      </c>
      <c r="F462" s="55" t="n">
        <v>1729.24</v>
      </c>
      <c r="G462" s="55" t="n">
        <v>44054.37</v>
      </c>
      <c r="H462" s="55" t="inlineStr"/>
      <c r="I462" s="55" t="inlineStr"/>
      <c r="J462" s="55" t="inlineStr">
        <is>
          <t>HDFC Securities - Sell</t>
        </is>
      </c>
      <c r="K462" s="55" t="inlineStr">
        <is>
          <t>HDFC Securities</t>
        </is>
      </c>
      <c r="L462" s="18" t="n">
        <v>0.97</v>
      </c>
      <c r="M462" s="55" t="inlineStr">
        <is>
          <t>N/A</t>
        </is>
      </c>
    </row>
    <row r="463">
      <c r="A463" s="58" t="n">
        <v>45229</v>
      </c>
      <c r="B463" s="59" t="inlineStr">
        <is>
          <t>ACH D- INDIAN CLEARING CORP-P25847674X05</t>
        </is>
      </c>
      <c r="C463" s="59" t="inlineStr">
        <is>
          <t>0000006795333205</t>
        </is>
      </c>
      <c r="D463" s="58" t="n">
        <v>45229</v>
      </c>
      <c r="E463" s="59" t="n">
        <v>5000</v>
      </c>
      <c r="F463" s="59" t="n">
        <v>0</v>
      </c>
      <c r="G463" s="59" t="n">
        <v>39054.37</v>
      </c>
      <c r="H463" s="59" t="inlineStr"/>
      <c r="I463" s="59" t="inlineStr"/>
      <c r="J463" s="59" t="inlineStr">
        <is>
          <t>MF Investment</t>
        </is>
      </c>
      <c r="K463" s="59" t="inlineStr">
        <is>
          <t>Investments</t>
        </is>
      </c>
      <c r="L463" s="18" t="n">
        <v>0.9</v>
      </c>
      <c r="M463" s="59" t="inlineStr">
        <is>
          <t>N/A</t>
        </is>
      </c>
    </row>
    <row r="464">
      <c r="A464" s="58" t="n">
        <v>45229</v>
      </c>
      <c r="B464" s="59" t="inlineStr">
        <is>
          <t>ACH D- INDIAN CLEARING CORP-P25847674X05</t>
        </is>
      </c>
      <c r="C464" s="59" t="inlineStr">
        <is>
          <t>0000006795335397</t>
        </is>
      </c>
      <c r="D464" s="58" t="n">
        <v>45229</v>
      </c>
      <c r="E464" s="59" t="n">
        <v>5000</v>
      </c>
      <c r="F464" s="59" t="n">
        <v>0</v>
      </c>
      <c r="G464" s="59" t="n">
        <v>34054.37</v>
      </c>
      <c r="H464" s="59" t="inlineStr"/>
      <c r="I464" s="59" t="inlineStr"/>
      <c r="J464" s="59" t="inlineStr">
        <is>
          <t>MF Investment</t>
        </is>
      </c>
      <c r="K464" s="59" t="inlineStr">
        <is>
          <t>Investments</t>
        </is>
      </c>
      <c r="L464" s="18" t="n">
        <v>0.9</v>
      </c>
      <c r="M464" s="59" t="inlineStr">
        <is>
          <t>N/A</t>
        </is>
      </c>
    </row>
    <row r="465">
      <c r="A465" s="41" t="n">
        <v>45229</v>
      </c>
      <c r="B465" s="42" t="inlineStr">
        <is>
          <t>NET PI TO HSL SEC A/C 2554606-00602340029427</t>
        </is>
      </c>
      <c r="C465" s="42" t="inlineStr">
        <is>
          <t>0000000460872159</t>
        </is>
      </c>
      <c r="D465" s="41" t="n">
        <v>45229</v>
      </c>
      <c r="E465" s="42" t="n">
        <v>130.56</v>
      </c>
      <c r="F465" s="42" t="n">
        <v>0</v>
      </c>
      <c r="G465" s="42" t="n">
        <v>33923.81</v>
      </c>
      <c r="H465" s="42" t="inlineStr"/>
      <c r="I465" s="42" t="inlineStr"/>
      <c r="J465" s="42" t="inlineStr">
        <is>
          <t>HDFC Securities - Buy</t>
        </is>
      </c>
      <c r="K465" s="42" t="inlineStr">
        <is>
          <t>HDFC Securities</t>
        </is>
      </c>
      <c r="L465" s="18" t="n">
        <v>0.97</v>
      </c>
      <c r="M465" s="42" t="inlineStr">
        <is>
          <t>N/A</t>
        </is>
      </c>
    </row>
    <row r="466">
      <c r="A466" s="41" t="n">
        <v>45229</v>
      </c>
      <c r="B466" s="42" t="inlineStr">
        <is>
          <t>NET PI TO HSL SEC A/C 2554606-00602340029427</t>
        </is>
      </c>
      <c r="C466" s="42" t="inlineStr">
        <is>
          <t>0000000461028126</t>
        </is>
      </c>
      <c r="D466" s="41" t="n">
        <v>45229</v>
      </c>
      <c r="E466" s="42" t="n">
        <v>6269.96</v>
      </c>
      <c r="F466" s="42" t="n">
        <v>0</v>
      </c>
      <c r="G466" s="42" t="n">
        <v>27653.85</v>
      </c>
      <c r="H466" s="42" t="inlineStr"/>
      <c r="I466" s="42" t="inlineStr"/>
      <c r="J466" s="42" t="inlineStr">
        <is>
          <t>HDFC Securities - Buy</t>
        </is>
      </c>
      <c r="K466" s="42" t="inlineStr">
        <is>
          <t>HDFC Securities</t>
        </is>
      </c>
      <c r="L466" s="18" t="n">
        <v>0.97</v>
      </c>
      <c r="M466" s="42" t="inlineStr">
        <is>
          <t>N/A</t>
        </is>
      </c>
    </row>
    <row r="467">
      <c r="A467" s="54" t="n">
        <v>45230</v>
      </c>
      <c r="B467" s="55" t="inlineStr">
        <is>
          <t>NET PO FROM HSL A/C 2554606-50200085415108</t>
        </is>
      </c>
      <c r="C467" s="55" t="inlineStr">
        <is>
          <t>0000000461144827</t>
        </is>
      </c>
      <c r="D467" s="54" t="n">
        <v>45230</v>
      </c>
      <c r="E467" s="55" t="n">
        <v>0</v>
      </c>
      <c r="F467" s="55" t="n">
        <v>12214.38</v>
      </c>
      <c r="G467" s="55" t="n">
        <v>39868.23</v>
      </c>
      <c r="H467" s="55" t="inlineStr"/>
      <c r="I467" s="55" t="inlineStr"/>
      <c r="J467" s="55" t="inlineStr">
        <is>
          <t>HDFC Securities - Sell</t>
        </is>
      </c>
      <c r="K467" s="55" t="inlineStr">
        <is>
          <t>HDFC Securities</t>
        </is>
      </c>
      <c r="L467" s="18" t="n">
        <v>0.97</v>
      </c>
      <c r="M467" s="55" t="inlineStr">
        <is>
          <t>N/A</t>
        </is>
      </c>
    </row>
    <row r="468">
      <c r="A468" s="41" t="n">
        <v>45230</v>
      </c>
      <c r="B468" s="42" t="inlineStr">
        <is>
          <t>NET PI TO HSL SEC A/C 2554606-00602340029427</t>
        </is>
      </c>
      <c r="C468" s="42" t="inlineStr">
        <is>
          <t>0000000461229344</t>
        </is>
      </c>
      <c r="D468" s="41" t="n">
        <v>45230</v>
      </c>
      <c r="E468" s="42" t="n">
        <v>41.91</v>
      </c>
      <c r="F468" s="42" t="n">
        <v>0</v>
      </c>
      <c r="G468" s="42" t="n">
        <v>39826.32</v>
      </c>
      <c r="H468" s="42" t="inlineStr"/>
      <c r="I468" s="42" t="inlineStr"/>
      <c r="J468" s="42" t="inlineStr">
        <is>
          <t>HDFC Securities - Buy</t>
        </is>
      </c>
      <c r="K468" s="42" t="inlineStr">
        <is>
          <t>HDFC Securities</t>
        </is>
      </c>
      <c r="L468" s="18" t="n">
        <v>0.97</v>
      </c>
      <c r="M468" s="42" t="inlineStr">
        <is>
          <t>N/A</t>
        </is>
      </c>
    </row>
    <row r="469">
      <c r="A469" s="41" t="n">
        <v>45230</v>
      </c>
      <c r="B469" s="42" t="inlineStr">
        <is>
          <t>NET PI TO HSL SEC A/C 2554606-00602340029427</t>
        </is>
      </c>
      <c r="C469" s="42" t="inlineStr">
        <is>
          <t>0000000461365849</t>
        </is>
      </c>
      <c r="D469" s="41" t="n">
        <v>45230</v>
      </c>
      <c r="E469" s="42" t="n">
        <v>2122.55</v>
      </c>
      <c r="F469" s="42" t="n">
        <v>0</v>
      </c>
      <c r="G469" s="42" t="n">
        <v>37703.77</v>
      </c>
      <c r="H469" s="42" t="inlineStr"/>
      <c r="I469" s="42" t="inlineStr"/>
      <c r="J469" s="42" t="inlineStr">
        <is>
          <t>HDFC Securities - Buy</t>
        </is>
      </c>
      <c r="K469" s="42" t="inlineStr">
        <is>
          <t>HDFC Securities</t>
        </is>
      </c>
      <c r="L469" s="18" t="n">
        <v>0.97</v>
      </c>
      <c r="M469" s="42" t="inlineStr">
        <is>
          <t>N/A</t>
        </is>
      </c>
    </row>
    <row r="470">
      <c r="A470" s="54" t="n">
        <v>45231</v>
      </c>
      <c r="B470" s="55" t="inlineStr">
        <is>
          <t>NET PO FROM HSL A/C 2554606-50200085415108</t>
        </is>
      </c>
      <c r="C470" s="55" t="inlineStr">
        <is>
          <t>0000000461492336</t>
        </is>
      </c>
      <c r="D470" s="54" t="n">
        <v>45231</v>
      </c>
      <c r="E470" s="55" t="n">
        <v>0</v>
      </c>
      <c r="F470" s="55" t="n">
        <v>18367.21</v>
      </c>
      <c r="G470" s="55" t="n">
        <v>56070.98</v>
      </c>
      <c r="H470" s="55" t="inlineStr"/>
      <c r="I470" s="55" t="inlineStr"/>
      <c r="J470" s="55" t="inlineStr">
        <is>
          <t>HDFC Securities - Sell</t>
        </is>
      </c>
      <c r="K470" s="55" t="inlineStr">
        <is>
          <t>HDFC Securities</t>
        </is>
      </c>
      <c r="L470" s="18" t="n">
        <v>0.97</v>
      </c>
      <c r="M470" s="55" t="inlineStr">
        <is>
          <t>N/A</t>
        </is>
      </c>
    </row>
    <row r="471">
      <c r="A471" s="41" t="n">
        <v>45231</v>
      </c>
      <c r="B471" s="42" t="inlineStr">
        <is>
          <t>NET PI TO HSL SEC A/C 2554606-00602340029427</t>
        </is>
      </c>
      <c r="C471" s="42" t="inlineStr">
        <is>
          <t>0000000461636407</t>
        </is>
      </c>
      <c r="D471" s="41" t="n">
        <v>45231</v>
      </c>
      <c r="E471" s="42" t="n">
        <v>47.48</v>
      </c>
      <c r="F471" s="42" t="n">
        <v>0</v>
      </c>
      <c r="G471" s="42" t="n">
        <v>56023.5</v>
      </c>
      <c r="H471" s="42" t="inlineStr"/>
      <c r="I471" s="42" t="inlineStr"/>
      <c r="J471" s="42" t="inlineStr">
        <is>
          <t>HDFC Securities - Buy</t>
        </is>
      </c>
      <c r="K471" s="42" t="inlineStr">
        <is>
          <t>HDFC Securities</t>
        </is>
      </c>
      <c r="L471" s="18" t="n">
        <v>0.97</v>
      </c>
      <c r="M471" s="42" t="inlineStr">
        <is>
          <t>N/A</t>
        </is>
      </c>
    </row>
    <row r="472">
      <c r="A472" s="41" t="n">
        <v>45231</v>
      </c>
      <c r="B472" s="42" t="inlineStr">
        <is>
          <t>NET PI TO HSL SEC A/C 2554606-00602340029427</t>
        </is>
      </c>
      <c r="C472" s="42" t="inlineStr">
        <is>
          <t>0000000461798751</t>
        </is>
      </c>
      <c r="D472" s="41" t="n">
        <v>45231</v>
      </c>
      <c r="E472" s="42" t="n">
        <v>29121.75</v>
      </c>
      <c r="F472" s="42" t="n">
        <v>0</v>
      </c>
      <c r="G472" s="42" t="n">
        <v>26901.75</v>
      </c>
      <c r="H472" s="42" t="inlineStr"/>
      <c r="I472" s="42" t="inlineStr"/>
      <c r="J472" s="42" t="inlineStr">
        <is>
          <t>HDFC Securities - Buy</t>
        </is>
      </c>
      <c r="K472" s="42" t="inlineStr">
        <is>
          <t>HDFC Securities</t>
        </is>
      </c>
      <c r="L472" s="18" t="n">
        <v>0.97</v>
      </c>
      <c r="M472" s="42" t="inlineStr">
        <is>
          <t>N/A</t>
        </is>
      </c>
    </row>
    <row r="473">
      <c r="A473" s="41" t="n">
        <v>45232</v>
      </c>
      <c r="B473" s="42" t="inlineStr">
        <is>
          <t>NET PI TO HSL SEC A/C 2554606-00602340029427</t>
        </is>
      </c>
      <c r="C473" s="42" t="inlineStr">
        <is>
          <t>0000000462018478</t>
        </is>
      </c>
      <c r="D473" s="41" t="n">
        <v>45232</v>
      </c>
      <c r="E473" s="42" t="n">
        <v>39.53</v>
      </c>
      <c r="F473" s="42" t="n">
        <v>0</v>
      </c>
      <c r="G473" s="42" t="n">
        <v>26862.22</v>
      </c>
      <c r="H473" s="42" t="inlineStr"/>
      <c r="I473" s="42" t="inlineStr"/>
      <c r="J473" s="42" t="inlineStr">
        <is>
          <t>HDFC Securities - Buy</t>
        </is>
      </c>
      <c r="K473" s="42" t="inlineStr">
        <is>
          <t>HDFC Securities</t>
        </is>
      </c>
      <c r="L473" s="18" t="n">
        <v>0.97</v>
      </c>
      <c r="M473" s="42" t="inlineStr">
        <is>
          <t>N/A</t>
        </is>
      </c>
    </row>
    <row r="474">
      <c r="A474" s="41" t="n">
        <v>45232</v>
      </c>
      <c r="B474" s="42" t="inlineStr">
        <is>
          <t>NET PI TO HSL SEC A/C 2554606-00602340029427</t>
        </is>
      </c>
      <c r="C474" s="42" t="inlineStr">
        <is>
          <t>0000000462124852</t>
        </is>
      </c>
      <c r="D474" s="41" t="n">
        <v>45232</v>
      </c>
      <c r="E474" s="42" t="n">
        <v>5685.38</v>
      </c>
      <c r="F474" s="42" t="n">
        <v>0</v>
      </c>
      <c r="G474" s="42" t="n">
        <v>21176.84</v>
      </c>
      <c r="H474" s="42" t="inlineStr"/>
      <c r="I474" s="42" t="inlineStr"/>
      <c r="J474" s="42" t="inlineStr">
        <is>
          <t>HDFC Securities - Buy</t>
        </is>
      </c>
      <c r="K474" s="42" t="inlineStr">
        <is>
          <t>HDFC Securities</t>
        </is>
      </c>
      <c r="L474" s="18" t="n">
        <v>0.97</v>
      </c>
      <c r="M474" s="42" t="inlineStr">
        <is>
          <t>N/A</t>
        </is>
      </c>
    </row>
    <row r="475">
      <c r="A475" s="54" t="n">
        <v>45233</v>
      </c>
      <c r="B475" s="55" t="inlineStr">
        <is>
          <t>NET PO FROM HSL A/C 2554606-50200085415108</t>
        </is>
      </c>
      <c r="C475" s="55" t="inlineStr">
        <is>
          <t>0000000462238404</t>
        </is>
      </c>
      <c r="D475" s="54" t="n">
        <v>45233</v>
      </c>
      <c r="E475" s="55" t="n">
        <v>0</v>
      </c>
      <c r="F475" s="55" t="n">
        <v>2837.4</v>
      </c>
      <c r="G475" s="55" t="n">
        <v>24014.24</v>
      </c>
      <c r="H475" s="55" t="inlineStr"/>
      <c r="I475" s="55" t="inlineStr"/>
      <c r="J475" s="55" t="inlineStr">
        <is>
          <t>HDFC Securities - Sell</t>
        </is>
      </c>
      <c r="K475" s="55" t="inlineStr">
        <is>
          <t>HDFC Securities</t>
        </is>
      </c>
      <c r="L475" s="18" t="n">
        <v>0.97</v>
      </c>
      <c r="M475" s="55" t="inlineStr">
        <is>
          <t>N/A</t>
        </is>
      </c>
    </row>
    <row r="476">
      <c r="A476" s="41" t="n">
        <v>45233</v>
      </c>
      <c r="B476" s="42" t="inlineStr">
        <is>
          <t>NET PI TO HSL SEC A/C 2554606-00602340029427</t>
        </is>
      </c>
      <c r="C476" s="42" t="inlineStr">
        <is>
          <t>0000000462406032</t>
        </is>
      </c>
      <c r="D476" s="41" t="n">
        <v>45233</v>
      </c>
      <c r="E476" s="42" t="n">
        <v>68.67</v>
      </c>
      <c r="F476" s="42" t="n">
        <v>0</v>
      </c>
      <c r="G476" s="42" t="n">
        <v>23945.57</v>
      </c>
      <c r="H476" s="42" t="inlineStr"/>
      <c r="I476" s="42" t="inlineStr"/>
      <c r="J476" s="42" t="inlineStr">
        <is>
          <t>HDFC Securities - Buy</t>
        </is>
      </c>
      <c r="K476" s="42" t="inlineStr">
        <is>
          <t>HDFC Securities</t>
        </is>
      </c>
      <c r="L476" s="18" t="n">
        <v>0.97</v>
      </c>
      <c r="M476" s="42" t="inlineStr">
        <is>
          <t>N/A</t>
        </is>
      </c>
    </row>
    <row r="477">
      <c r="A477" s="54" t="n">
        <v>45233</v>
      </c>
      <c r="B477" s="55" t="inlineStr">
        <is>
          <t>NET PO FROM HSL A/C 2554606-50200085415108</t>
        </is>
      </c>
      <c r="C477" s="55" t="inlineStr">
        <is>
          <t>0000000462523201</t>
        </is>
      </c>
      <c r="D477" s="54" t="n">
        <v>45233</v>
      </c>
      <c r="E477" s="55" t="n">
        <v>0</v>
      </c>
      <c r="F477" s="55" t="n">
        <v>14987.68</v>
      </c>
      <c r="G477" s="55" t="n">
        <v>38933.25</v>
      </c>
      <c r="H477" s="55" t="inlineStr"/>
      <c r="I477" s="55" t="inlineStr"/>
      <c r="J477" s="55" t="inlineStr">
        <is>
          <t>HDFC Securities - Sell</t>
        </is>
      </c>
      <c r="K477" s="55" t="inlineStr">
        <is>
          <t>HDFC Securities</t>
        </is>
      </c>
      <c r="L477" s="18" t="n">
        <v>0.97</v>
      </c>
      <c r="M477" s="55" t="inlineStr">
        <is>
          <t>N/A</t>
        </is>
      </c>
    </row>
    <row r="478">
      <c r="A478" s="41" t="n">
        <v>45235</v>
      </c>
      <c r="B478" s="42" t="inlineStr">
        <is>
          <t>NEFT CR-UTIB0002656-AAYUSH KUMAR GUPTA-AAYUSH KUMAR GUPTA-AXOIR33099676704</t>
        </is>
      </c>
      <c r="C478" s="42" t="inlineStr">
        <is>
          <t>AXOIR33099676704</t>
        </is>
      </c>
      <c r="D478" s="41" t="n">
        <v>45235</v>
      </c>
      <c r="E478" s="42" t="n">
        <v>0</v>
      </c>
      <c r="F478" s="42" t="n">
        <v>30000</v>
      </c>
      <c r="G478" s="42" t="n">
        <v>68933.25</v>
      </c>
      <c r="H478" s="42" t="inlineStr"/>
      <c r="I478" s="42" t="inlineStr"/>
      <c r="J478" s="42" t="inlineStr">
        <is>
          <t>Contra - Axis</t>
        </is>
      </c>
      <c r="K478" s="42" t="inlineStr">
        <is>
          <t>AXIS</t>
        </is>
      </c>
      <c r="L478" s="18" t="n">
        <v>0.9</v>
      </c>
      <c r="M478" s="42" t="inlineStr">
        <is>
          <t>N/A</t>
        </is>
      </c>
    </row>
    <row r="479">
      <c r="A479" s="54" t="n">
        <v>45236</v>
      </c>
      <c r="B479" s="55" t="inlineStr">
        <is>
          <t>NET PO FROM HSL A/C 2554606-50200085415108</t>
        </is>
      </c>
      <c r="C479" s="55" t="inlineStr">
        <is>
          <t>0000000462649867</t>
        </is>
      </c>
      <c r="D479" s="54" t="n">
        <v>45236</v>
      </c>
      <c r="E479" s="55" t="n">
        <v>0</v>
      </c>
      <c r="F479" s="55" t="n">
        <v>1324.43</v>
      </c>
      <c r="G479" s="55" t="n">
        <v>70257.67999999999</v>
      </c>
      <c r="H479" s="55" t="inlineStr"/>
      <c r="I479" s="55" t="inlineStr"/>
      <c r="J479" s="55" t="inlineStr">
        <is>
          <t>HDFC Securities - Sell</t>
        </is>
      </c>
      <c r="K479" s="55" t="inlineStr">
        <is>
          <t>HDFC Securities</t>
        </is>
      </c>
      <c r="L479" s="18" t="n">
        <v>0.97</v>
      </c>
      <c r="M479" s="55" t="inlineStr">
        <is>
          <t>N/A</t>
        </is>
      </c>
    </row>
    <row r="480">
      <c r="A480" s="54" t="n">
        <v>45236</v>
      </c>
      <c r="B480" s="55" t="inlineStr">
        <is>
          <t>NET PO FROM HSL A/C 2554606-50200085415108</t>
        </is>
      </c>
      <c r="C480" s="55" t="inlineStr">
        <is>
          <t>0000000462660082</t>
        </is>
      </c>
      <c r="D480" s="54" t="n">
        <v>45236</v>
      </c>
      <c r="E480" s="55" t="n">
        <v>0</v>
      </c>
      <c r="F480" s="55" t="n">
        <v>9526.77</v>
      </c>
      <c r="G480" s="55" t="n">
        <v>79784.45</v>
      </c>
      <c r="H480" s="55" t="inlineStr"/>
      <c r="I480" s="55" t="inlineStr"/>
      <c r="J480" s="55" t="inlineStr">
        <is>
          <t>HDFC Securities - Sell</t>
        </is>
      </c>
      <c r="K480" s="55" t="inlineStr">
        <is>
          <t>HDFC Securities</t>
        </is>
      </c>
      <c r="L480" s="18" t="n">
        <v>0.97</v>
      </c>
      <c r="M480" s="55" t="inlineStr">
        <is>
          <t>N/A</t>
        </is>
      </c>
    </row>
    <row r="481">
      <c r="A481" s="41" t="n">
        <v>45236</v>
      </c>
      <c r="B481" s="42" t="inlineStr">
        <is>
          <t>NET PI TO HSL SEC A/C 2554606-00602340029427</t>
        </is>
      </c>
      <c r="C481" s="42" t="inlineStr">
        <is>
          <t>0000000462832659</t>
        </is>
      </c>
      <c r="D481" s="41" t="n">
        <v>45236</v>
      </c>
      <c r="E481" s="42" t="n">
        <v>225.45</v>
      </c>
      <c r="F481" s="42" t="n">
        <v>0</v>
      </c>
      <c r="G481" s="42" t="n">
        <v>79559</v>
      </c>
      <c r="H481" s="42" t="inlineStr"/>
      <c r="I481" s="42" t="inlineStr"/>
      <c r="J481" s="42" t="inlineStr">
        <is>
          <t>HDFC Securities - Buy</t>
        </is>
      </c>
      <c r="K481" s="42" t="inlineStr">
        <is>
          <t>HDFC Securities</t>
        </is>
      </c>
      <c r="L481" s="18" t="n">
        <v>0.97</v>
      </c>
      <c r="M481" s="42" t="inlineStr">
        <is>
          <t>N/A</t>
        </is>
      </c>
    </row>
    <row r="482">
      <c r="A482" s="64" t="n">
        <v>45236</v>
      </c>
      <c r="B482" s="65" t="inlineStr">
        <is>
          <t>0611104786 LTIMINDTREE LIMITED INT DIV 2</t>
        </is>
      </c>
      <c r="C482" s="65" t="inlineStr">
        <is>
          <t>0000061123124866</t>
        </is>
      </c>
      <c r="D482" s="64" t="n">
        <v>45236</v>
      </c>
      <c r="E482" s="65" t="n">
        <v>0</v>
      </c>
      <c r="F482" s="65" t="n">
        <v>660</v>
      </c>
      <c r="G482" s="65" t="n">
        <v>80219</v>
      </c>
      <c r="H482" s="65" t="inlineStr"/>
      <c r="I482" s="65" t="inlineStr"/>
      <c r="J482" s="65" t="inlineStr">
        <is>
          <t>Dividend Income</t>
        </is>
      </c>
      <c r="K482" s="65" t="inlineStr">
        <is>
          <t>Dividend Income</t>
        </is>
      </c>
      <c r="L482" s="18" t="n">
        <v>0.85</v>
      </c>
      <c r="M482" s="65" t="inlineStr">
        <is>
          <t>N/A</t>
        </is>
      </c>
    </row>
    <row r="483">
      <c r="A483" s="64" t="n">
        <v>45236</v>
      </c>
      <c r="B483" s="65" t="inlineStr">
        <is>
          <t>ACH C- INFOSYS LIMITED-38356468</t>
        </is>
      </c>
      <c r="C483" s="65" t="inlineStr">
        <is>
          <t>0000007026608299</t>
        </is>
      </c>
      <c r="D483" s="64" t="n">
        <v>45236</v>
      </c>
      <c r="E483" s="65" t="n">
        <v>0</v>
      </c>
      <c r="F483" s="65" t="n">
        <v>450</v>
      </c>
      <c r="G483" s="65" t="n">
        <v>80669</v>
      </c>
      <c r="H483" s="65" t="inlineStr"/>
      <c r="I483" s="65" t="inlineStr"/>
      <c r="J483" s="65" t="inlineStr">
        <is>
          <t>Dividend Income</t>
        </is>
      </c>
      <c r="K483" s="65" t="inlineStr">
        <is>
          <t>Dividend Income</t>
        </is>
      </c>
      <c r="L483" s="18" t="n">
        <v>0.88</v>
      </c>
      <c r="M483" s="65" t="inlineStr">
        <is>
          <t>N/A</t>
        </is>
      </c>
    </row>
    <row r="484">
      <c r="A484" s="41" t="n">
        <v>45236</v>
      </c>
      <c r="B484" s="42" t="inlineStr">
        <is>
          <t>NET PI TO HSL SEC A/C 2554606-00602340029427</t>
        </is>
      </c>
      <c r="C484" s="42" t="inlineStr">
        <is>
          <t>0000000462920638</t>
        </is>
      </c>
      <c r="D484" s="41" t="n">
        <v>45236</v>
      </c>
      <c r="E484" s="42" t="n">
        <v>42899.1</v>
      </c>
      <c r="F484" s="42" t="n">
        <v>0</v>
      </c>
      <c r="G484" s="42" t="n">
        <v>37769.9</v>
      </c>
      <c r="H484" s="42" t="inlineStr"/>
      <c r="I484" s="42" t="inlineStr"/>
      <c r="J484" s="42" t="inlineStr">
        <is>
          <t>HDFC Securities - Buy</t>
        </is>
      </c>
      <c r="K484" s="42" t="inlineStr">
        <is>
          <t>HDFC Securities</t>
        </is>
      </c>
      <c r="L484" s="18" t="n">
        <v>0.97</v>
      </c>
      <c r="M484" s="42" t="inlineStr">
        <is>
          <t>N/A</t>
        </is>
      </c>
    </row>
    <row r="485">
      <c r="A485" s="54" t="n">
        <v>45237</v>
      </c>
      <c r="B485" s="55" t="inlineStr">
        <is>
          <t>NET PO FROM HSL A/C 2554606-50200085415108</t>
        </is>
      </c>
      <c r="C485" s="55" t="inlineStr">
        <is>
          <t>0000000463072182</t>
        </is>
      </c>
      <c r="D485" s="54" t="n">
        <v>45237</v>
      </c>
      <c r="E485" s="55" t="n">
        <v>0</v>
      </c>
      <c r="F485" s="55" t="n">
        <v>6342.6</v>
      </c>
      <c r="G485" s="55" t="n">
        <v>44112.5</v>
      </c>
      <c r="H485" s="55" t="inlineStr"/>
      <c r="I485" s="55" t="inlineStr"/>
      <c r="J485" s="55" t="inlineStr">
        <is>
          <t>HDFC Securities - Sell</t>
        </is>
      </c>
      <c r="K485" s="55" t="inlineStr">
        <is>
          <t>HDFC Securities</t>
        </is>
      </c>
      <c r="L485" s="18" t="n">
        <v>0.97</v>
      </c>
      <c r="M485" s="55" t="inlineStr">
        <is>
          <t>N/A</t>
        </is>
      </c>
    </row>
    <row r="486">
      <c r="A486" s="41" t="n">
        <v>45237</v>
      </c>
      <c r="B486" s="42" t="inlineStr">
        <is>
          <t>NET PI TO HSL SEC A/C 2554606-00602340029427</t>
        </is>
      </c>
      <c r="C486" s="42" t="inlineStr">
        <is>
          <t>0000000463246733</t>
        </is>
      </c>
      <c r="D486" s="41" t="n">
        <v>45237</v>
      </c>
      <c r="E486" s="42" t="n">
        <v>60.78</v>
      </c>
      <c r="F486" s="42" t="n">
        <v>0</v>
      </c>
      <c r="G486" s="42" t="n">
        <v>44051.72</v>
      </c>
      <c r="H486" s="42" t="inlineStr"/>
      <c r="I486" s="42" t="inlineStr"/>
      <c r="J486" s="42" t="inlineStr">
        <is>
          <t>HDFC Securities - Buy</t>
        </is>
      </c>
      <c r="K486" s="42" t="inlineStr">
        <is>
          <t>HDFC Securities</t>
        </is>
      </c>
      <c r="L486" s="18" t="n">
        <v>0.97</v>
      </c>
      <c r="M486" s="42" t="inlineStr">
        <is>
          <t>N/A</t>
        </is>
      </c>
    </row>
    <row r="487">
      <c r="A487" s="64" t="n">
        <v>45237</v>
      </c>
      <c r="B487" s="65" t="inlineStr">
        <is>
          <t>ACH C- TCS2NDINTDIV071123-1911711</t>
        </is>
      </c>
      <c r="C487" s="65" t="inlineStr">
        <is>
          <t>0000006962985637</t>
        </is>
      </c>
      <c r="D487" s="64" t="n">
        <v>45237</v>
      </c>
      <c r="E487" s="65" t="n">
        <v>0</v>
      </c>
      <c r="F487" s="65" t="n">
        <v>189</v>
      </c>
      <c r="G487" s="65" t="n">
        <v>44240.72</v>
      </c>
      <c r="H487" s="65" t="inlineStr"/>
      <c r="I487" s="65" t="inlineStr"/>
      <c r="J487" s="65" t="inlineStr">
        <is>
          <t>Dividend Income</t>
        </is>
      </c>
      <c r="K487" s="65" t="inlineStr">
        <is>
          <t>Dividend Income</t>
        </is>
      </c>
      <c r="L487" s="18" t="n">
        <v>0.88</v>
      </c>
      <c r="M487" s="65" t="inlineStr">
        <is>
          <t>N/A</t>
        </is>
      </c>
    </row>
    <row r="488">
      <c r="A488" s="41" t="n">
        <v>45237</v>
      </c>
      <c r="B488" s="42" t="inlineStr">
        <is>
          <t>NET PI TO HSL SEC A/C 2554606-00602340029427</t>
        </is>
      </c>
      <c r="C488" s="42" t="inlineStr">
        <is>
          <t>0000000463309725</t>
        </is>
      </c>
      <c r="D488" s="41" t="n">
        <v>45237</v>
      </c>
      <c r="E488" s="42" t="n">
        <v>8223.719999999999</v>
      </c>
      <c r="F488" s="42" t="n">
        <v>0</v>
      </c>
      <c r="G488" s="42" t="n">
        <v>36017</v>
      </c>
      <c r="H488" s="42" t="inlineStr"/>
      <c r="I488" s="42" t="inlineStr"/>
      <c r="J488" s="42" t="inlineStr">
        <is>
          <t>HDFC Securities - Buy</t>
        </is>
      </c>
      <c r="K488" s="42" t="inlineStr">
        <is>
          <t>HDFC Securities</t>
        </is>
      </c>
      <c r="L488" s="18" t="n">
        <v>0.97</v>
      </c>
      <c r="M488" s="42" t="inlineStr">
        <is>
          <t>N/A</t>
        </is>
      </c>
    </row>
    <row r="489">
      <c r="A489" s="23" t="n">
        <v>45237</v>
      </c>
      <c r="B489" s="24" t="inlineStr">
        <is>
          <t>00602300000434-024470371</t>
        </is>
      </c>
      <c r="C489" s="24" t="inlineStr">
        <is>
          <t>0000311076717944</t>
        </is>
      </c>
      <c r="D489" s="23" t="n">
        <v>45237</v>
      </c>
      <c r="E489" s="24" t="n">
        <v>0</v>
      </c>
      <c r="F489" s="24" t="n">
        <v>1880</v>
      </c>
      <c r="G489" s="24" t="n">
        <v>37897</v>
      </c>
      <c r="H489" s="24" t="inlineStr"/>
      <c r="I489" s="24" t="inlineStr"/>
      <c r="J489" s="24" t="inlineStr">
        <is>
          <t>What is this?</t>
        </is>
      </c>
      <c r="K489" s="24" t="inlineStr">
        <is>
          <t>Suspense</t>
        </is>
      </c>
      <c r="L489" s="25" t="n">
        <v>0</v>
      </c>
      <c r="M489" s="24" t="inlineStr">
        <is>
          <t>N/A</t>
        </is>
      </c>
    </row>
    <row r="490">
      <c r="A490" s="41" t="n">
        <v>45237</v>
      </c>
      <c r="B490" s="42" t="inlineStr">
        <is>
          <t>NET PI TO HSL SEC A/C 2554606-00602340029427</t>
        </is>
      </c>
      <c r="C490" s="42" t="inlineStr">
        <is>
          <t>0000000463364058</t>
        </is>
      </c>
      <c r="D490" s="41" t="n">
        <v>45237</v>
      </c>
      <c r="E490" s="42" t="n">
        <v>414.74</v>
      </c>
      <c r="F490" s="42" t="n">
        <v>0</v>
      </c>
      <c r="G490" s="42" t="n">
        <v>37482.26</v>
      </c>
      <c r="H490" s="42" t="inlineStr"/>
      <c r="I490" s="42" t="inlineStr"/>
      <c r="J490" s="42" t="inlineStr">
        <is>
          <t>HDFC Securities - Buy</t>
        </is>
      </c>
      <c r="K490" s="42" t="inlineStr">
        <is>
          <t>HDFC Securities</t>
        </is>
      </c>
      <c r="L490" s="18" t="n">
        <v>0.97</v>
      </c>
      <c r="M490" s="42" t="inlineStr">
        <is>
          <t>N/A</t>
        </is>
      </c>
    </row>
    <row r="491">
      <c r="A491" s="41" t="n">
        <v>45238</v>
      </c>
      <c r="B491" s="42" t="inlineStr">
        <is>
          <t>NET PI TO HSL SEC A/C 2554606-00602340029427</t>
        </is>
      </c>
      <c r="C491" s="42" t="inlineStr">
        <is>
          <t>0000000463599308</t>
        </is>
      </c>
      <c r="D491" s="41" t="n">
        <v>45238</v>
      </c>
      <c r="E491" s="42" t="n">
        <v>56.74</v>
      </c>
      <c r="F491" s="42" t="n">
        <v>0</v>
      </c>
      <c r="G491" s="42" t="n">
        <v>37425.52</v>
      </c>
      <c r="H491" s="42" t="inlineStr"/>
      <c r="I491" s="42" t="inlineStr"/>
      <c r="J491" s="42" t="inlineStr">
        <is>
          <t>HDFC Securities - Buy</t>
        </is>
      </c>
      <c r="K491" s="42" t="inlineStr">
        <is>
          <t>HDFC Securities</t>
        </is>
      </c>
      <c r="L491" s="18" t="n">
        <v>0.97</v>
      </c>
      <c r="M491" s="42" t="inlineStr">
        <is>
          <t>N/A</t>
        </is>
      </c>
    </row>
    <row r="492">
      <c r="A492" s="41" t="n">
        <v>45238</v>
      </c>
      <c r="B492" s="42" t="inlineStr">
        <is>
          <t>NET PI TO HSL SEC A/C 2554606-00602340029427</t>
        </is>
      </c>
      <c r="C492" s="42" t="inlineStr">
        <is>
          <t>0000000463736783</t>
        </is>
      </c>
      <c r="D492" s="41" t="n">
        <v>45238</v>
      </c>
      <c r="E492" s="42" t="n">
        <v>17091.83</v>
      </c>
      <c r="F492" s="42" t="n">
        <v>0</v>
      </c>
      <c r="G492" s="42" t="n">
        <v>20333.69</v>
      </c>
      <c r="H492" s="42" t="inlineStr"/>
      <c r="I492" s="42" t="inlineStr"/>
      <c r="J492" s="42" t="inlineStr">
        <is>
          <t>HDFC Securities - Buy</t>
        </is>
      </c>
      <c r="K492" s="42" t="inlineStr">
        <is>
          <t>HDFC Securities</t>
        </is>
      </c>
      <c r="L492" s="18" t="n">
        <v>0.97</v>
      </c>
      <c r="M492" s="42" t="inlineStr">
        <is>
          <t>N/A</t>
        </is>
      </c>
    </row>
    <row r="493">
      <c r="A493" s="54" t="n">
        <v>45239</v>
      </c>
      <c r="B493" s="55" t="inlineStr">
        <is>
          <t>NET PO FROM HSL A/C 2554606-50200085415108</t>
        </is>
      </c>
      <c r="C493" s="55" t="inlineStr">
        <is>
          <t>0000000463859853</t>
        </is>
      </c>
      <c r="D493" s="54" t="n">
        <v>45239</v>
      </c>
      <c r="E493" s="55" t="n">
        <v>0</v>
      </c>
      <c r="F493" s="55" t="n">
        <v>13493.54</v>
      </c>
      <c r="G493" s="55" t="n">
        <v>33827.23</v>
      </c>
      <c r="H493" s="55" t="inlineStr"/>
      <c r="I493" s="55" t="inlineStr"/>
      <c r="J493" s="55" t="inlineStr">
        <is>
          <t>HDFC Securities - Sell</t>
        </is>
      </c>
      <c r="K493" s="55" t="inlineStr">
        <is>
          <t>HDFC Securities</t>
        </is>
      </c>
      <c r="L493" s="18" t="n">
        <v>0.97</v>
      </c>
      <c r="M493" s="55" t="inlineStr">
        <is>
          <t>N/A</t>
        </is>
      </c>
    </row>
    <row r="494">
      <c r="A494" s="41" t="n">
        <v>45239</v>
      </c>
      <c r="B494" s="42" t="inlineStr">
        <is>
          <t>NET PI TO HSL SEC A/C 2554606-00602340029427</t>
        </is>
      </c>
      <c r="C494" s="42" t="inlineStr">
        <is>
          <t>0000000463964969</t>
        </is>
      </c>
      <c r="D494" s="41" t="n">
        <v>45239</v>
      </c>
      <c r="E494" s="42" t="n">
        <v>50.65</v>
      </c>
      <c r="F494" s="42" t="n">
        <v>0</v>
      </c>
      <c r="G494" s="42" t="n">
        <v>33776.58</v>
      </c>
      <c r="H494" s="42" t="inlineStr"/>
      <c r="I494" s="42" t="inlineStr"/>
      <c r="J494" s="42" t="inlineStr">
        <is>
          <t>HDFC Securities - Buy</t>
        </is>
      </c>
      <c r="K494" s="42" t="inlineStr">
        <is>
          <t>HDFC Securities</t>
        </is>
      </c>
      <c r="L494" s="18" t="n">
        <v>0.97</v>
      </c>
      <c r="M494" s="42" t="inlineStr">
        <is>
          <t>N/A</t>
        </is>
      </c>
    </row>
    <row r="495">
      <c r="A495" s="41" t="n">
        <v>45239</v>
      </c>
      <c r="B495" s="42" t="inlineStr">
        <is>
          <t>NET PI TO HSL SEC A/C 2554606-00602340029427</t>
        </is>
      </c>
      <c r="C495" s="42" t="inlineStr">
        <is>
          <t>0000000464114886</t>
        </is>
      </c>
      <c r="D495" s="41" t="n">
        <v>45239</v>
      </c>
      <c r="E495" s="42" t="n">
        <v>1653.99</v>
      </c>
      <c r="F495" s="42" t="n">
        <v>0</v>
      </c>
      <c r="G495" s="42" t="n">
        <v>32122.59</v>
      </c>
      <c r="H495" s="42" t="inlineStr"/>
      <c r="I495" s="42" t="inlineStr"/>
      <c r="J495" s="42" t="inlineStr">
        <is>
          <t>HDFC Securities - Buy</t>
        </is>
      </c>
      <c r="K495" s="42" t="inlineStr">
        <is>
          <t>HDFC Securities</t>
        </is>
      </c>
      <c r="L495" s="18" t="n">
        <v>0.97</v>
      </c>
      <c r="M495" s="42" t="inlineStr">
        <is>
          <t>N/A</t>
        </is>
      </c>
    </row>
    <row r="496">
      <c r="A496" s="54" t="n">
        <v>45240</v>
      </c>
      <c r="B496" s="55" t="inlineStr">
        <is>
          <t>NET PO FROM HSL A/C 2554606-50200085415108</t>
        </is>
      </c>
      <c r="C496" s="55" t="inlineStr">
        <is>
          <t>0000000464234597</t>
        </is>
      </c>
      <c r="D496" s="54" t="n">
        <v>45240</v>
      </c>
      <c r="E496" s="55" t="n">
        <v>0</v>
      </c>
      <c r="F496" s="55" t="n">
        <v>21125.9</v>
      </c>
      <c r="G496" s="55" t="n">
        <v>53248.49</v>
      </c>
      <c r="H496" s="55" t="inlineStr"/>
      <c r="I496" s="55" t="inlineStr"/>
      <c r="J496" s="55" t="inlineStr">
        <is>
          <t>HDFC Securities - Sell</t>
        </is>
      </c>
      <c r="K496" s="55" t="inlineStr">
        <is>
          <t>HDFC Securities</t>
        </is>
      </c>
      <c r="L496" s="18" t="n">
        <v>0.97</v>
      </c>
      <c r="M496" s="55" t="inlineStr">
        <is>
          <t>N/A</t>
        </is>
      </c>
    </row>
    <row r="497">
      <c r="A497" s="19" t="n">
        <v>45240</v>
      </c>
      <c r="B497" s="20" t="inlineStr">
        <is>
          <t>ISAQMC-APR-JUN23-417944 031023-MIR2431348541703</t>
        </is>
      </c>
      <c r="C497" s="20" t="inlineStr">
        <is>
          <t>MIR2431348541703</t>
        </is>
      </c>
      <c r="D497" s="19" t="n">
        <v>45240</v>
      </c>
      <c r="E497" s="20" t="n">
        <v>295</v>
      </c>
      <c r="F497" s="20" t="n">
        <v>0</v>
      </c>
      <c r="G497" s="20" t="n">
        <v>52953.49</v>
      </c>
      <c r="H497" s="20" t="inlineStr"/>
      <c r="I497" s="20" t="inlineStr"/>
      <c r="J497" s="20" t="inlineStr">
        <is>
          <t>Bank Charges</t>
        </is>
      </c>
      <c r="K497" s="20" t="inlineStr">
        <is>
          <t>Bank Charges</t>
        </is>
      </c>
      <c r="L497" s="18" t="n">
        <v>0.9</v>
      </c>
      <c r="M497" s="20" t="inlineStr">
        <is>
          <t>N/A</t>
        </is>
      </c>
    </row>
    <row r="498">
      <c r="A498" s="19" t="n">
        <v>45240</v>
      </c>
      <c r="B498" s="20" t="inlineStr">
        <is>
          <t>JULSEP23 INSTAALERTCHG 52 SMS 031023-MIR2431348541726</t>
        </is>
      </c>
      <c r="C498" s="20" t="inlineStr">
        <is>
          <t>MIR2431348541726</t>
        </is>
      </c>
      <c r="D498" s="19" t="n">
        <v>45240</v>
      </c>
      <c r="E498" s="20" t="n">
        <v>12.28</v>
      </c>
      <c r="F498" s="20" t="n">
        <v>0</v>
      </c>
      <c r="G498" s="20" t="n">
        <v>52941.21</v>
      </c>
      <c r="H498" s="20" t="inlineStr"/>
      <c r="I498" s="20" t="inlineStr"/>
      <c r="J498" s="20" t="inlineStr">
        <is>
          <t>Bank Charges</t>
        </is>
      </c>
      <c r="K498" s="20" t="inlineStr">
        <is>
          <t>Bank Charges</t>
        </is>
      </c>
      <c r="L498" s="18" t="n">
        <v>0.9</v>
      </c>
      <c r="M498" s="20" t="inlineStr">
        <is>
          <t>N/A</t>
        </is>
      </c>
    </row>
    <row r="499">
      <c r="A499" s="41" t="n">
        <v>45240</v>
      </c>
      <c r="B499" s="42" t="inlineStr">
        <is>
          <t>NET PI TO HSL SEC A/C 2554606-00602340029427</t>
        </is>
      </c>
      <c r="C499" s="42" t="inlineStr">
        <is>
          <t>0000000464377073</t>
        </is>
      </c>
      <c r="D499" s="41" t="n">
        <v>45240</v>
      </c>
      <c r="E499" s="42" t="n">
        <v>63.78</v>
      </c>
      <c r="F499" s="42" t="n">
        <v>0</v>
      </c>
      <c r="G499" s="42" t="n">
        <v>52877.43</v>
      </c>
      <c r="H499" s="42" t="inlineStr"/>
      <c r="I499" s="42" t="inlineStr"/>
      <c r="J499" s="42" t="inlineStr">
        <is>
          <t>HDFC Securities - Buy</t>
        </is>
      </c>
      <c r="K499" s="42" t="inlineStr">
        <is>
          <t>HDFC Securities</t>
        </is>
      </c>
      <c r="L499" s="18" t="n">
        <v>0.97</v>
      </c>
      <c r="M499" s="42" t="inlineStr">
        <is>
          <t>N/A</t>
        </is>
      </c>
    </row>
    <row r="500">
      <c r="A500" s="41" t="n">
        <v>45240</v>
      </c>
      <c r="B500" s="42" t="inlineStr">
        <is>
          <t>NET PI TO HSL SEC A/C 2554606-00602340029427</t>
        </is>
      </c>
      <c r="C500" s="42" t="inlineStr">
        <is>
          <t>0000000464520315</t>
        </is>
      </c>
      <c r="D500" s="41" t="n">
        <v>45240</v>
      </c>
      <c r="E500" s="42" t="n">
        <v>464.7</v>
      </c>
      <c r="F500" s="42" t="n">
        <v>0</v>
      </c>
      <c r="G500" s="42" t="n">
        <v>52412.73</v>
      </c>
      <c r="H500" s="42" t="inlineStr"/>
      <c r="I500" s="42" t="inlineStr"/>
      <c r="J500" s="42" t="inlineStr">
        <is>
          <t>HDFC Securities - Buy</t>
        </is>
      </c>
      <c r="K500" s="42" t="inlineStr">
        <is>
          <t>HDFC Securities</t>
        </is>
      </c>
      <c r="L500" s="18" t="n">
        <v>0.97</v>
      </c>
      <c r="M500" s="42" t="inlineStr">
        <is>
          <t>N/A</t>
        </is>
      </c>
    </row>
    <row r="501">
      <c r="A501" s="41" t="n">
        <v>45243</v>
      </c>
      <c r="B501" s="42" t="inlineStr">
        <is>
          <t>NET PI TO HSL SEC A/C 2554606-00602340029427</t>
        </is>
      </c>
      <c r="C501" s="42" t="inlineStr">
        <is>
          <t>0000000464780823</t>
        </is>
      </c>
      <c r="D501" s="41" t="n">
        <v>45243</v>
      </c>
      <c r="E501" s="42" t="n">
        <v>5332.47</v>
      </c>
      <c r="F501" s="42" t="n">
        <v>0</v>
      </c>
      <c r="G501" s="42" t="n">
        <v>47080.26</v>
      </c>
      <c r="H501" s="42" t="inlineStr"/>
      <c r="I501" s="42" t="inlineStr"/>
      <c r="J501" s="42" t="inlineStr">
        <is>
          <t>HDFC Securities - Buy</t>
        </is>
      </c>
      <c r="K501" s="42" t="inlineStr">
        <is>
          <t>HDFC Securities</t>
        </is>
      </c>
      <c r="L501" s="18" t="n">
        <v>0.97</v>
      </c>
      <c r="M501" s="42" t="inlineStr">
        <is>
          <t>N/A</t>
        </is>
      </c>
    </row>
    <row r="502">
      <c r="A502" s="54" t="n">
        <v>45243</v>
      </c>
      <c r="B502" s="55" t="inlineStr">
        <is>
          <t>NET PO FROM HSL A/C 2554606-50200085415108</t>
        </is>
      </c>
      <c r="C502" s="55" t="inlineStr">
        <is>
          <t>0000000464886758</t>
        </is>
      </c>
      <c r="D502" s="54" t="n">
        <v>45243</v>
      </c>
      <c r="E502" s="55" t="n">
        <v>0</v>
      </c>
      <c r="F502" s="55" t="n">
        <v>1693.79</v>
      </c>
      <c r="G502" s="55" t="n">
        <v>48774.05</v>
      </c>
      <c r="H502" s="55" t="inlineStr"/>
      <c r="I502" s="55" t="inlineStr"/>
      <c r="J502" s="55" t="inlineStr">
        <is>
          <t>HDFC Securities - Sell</t>
        </is>
      </c>
      <c r="K502" s="55" t="inlineStr">
        <is>
          <t>HDFC Securities</t>
        </is>
      </c>
      <c r="L502" s="18" t="n">
        <v>0.97</v>
      </c>
      <c r="M502" s="55" t="inlineStr">
        <is>
          <t>N/A</t>
        </is>
      </c>
    </row>
    <row r="503">
      <c r="A503" s="41" t="n">
        <v>45243</v>
      </c>
      <c r="B503" s="42" t="inlineStr">
        <is>
          <t>NET PI TO HSL SEC A/C 2554606-00602340029427</t>
        </is>
      </c>
      <c r="C503" s="42" t="inlineStr">
        <is>
          <t>0000000465176424</t>
        </is>
      </c>
      <c r="D503" s="41" t="n">
        <v>45243</v>
      </c>
      <c r="E503" s="42" t="n">
        <v>730.22</v>
      </c>
      <c r="F503" s="42" t="n">
        <v>0</v>
      </c>
      <c r="G503" s="42" t="n">
        <v>48043.83</v>
      </c>
      <c r="H503" s="42" t="inlineStr"/>
      <c r="I503" s="42" t="inlineStr"/>
      <c r="J503" s="42" t="inlineStr">
        <is>
          <t>HDFC Securities - Buy</t>
        </is>
      </c>
      <c r="K503" s="42" t="inlineStr">
        <is>
          <t>HDFC Securities</t>
        </is>
      </c>
      <c r="L503" s="18" t="n">
        <v>0.97</v>
      </c>
      <c r="M503" s="42" t="inlineStr">
        <is>
          <t>N/A</t>
        </is>
      </c>
    </row>
    <row r="504">
      <c r="A504" s="62" t="n">
        <v>45244</v>
      </c>
      <c r="B504" s="63" t="inlineStr">
        <is>
          <t>01671000060094-TPT-BORROW FROM AAYUSH-SUNITA GUPTA</t>
        </is>
      </c>
      <c r="C504" s="63" t="inlineStr">
        <is>
          <t>0000000241451617</t>
        </is>
      </c>
      <c r="D504" s="62" t="n">
        <v>45244</v>
      </c>
      <c r="E504" s="63" t="n">
        <v>30000</v>
      </c>
      <c r="F504" s="63" t="n">
        <v>0</v>
      </c>
      <c r="G504" s="63" t="n">
        <v>18043.83</v>
      </c>
      <c r="H504" s="63" t="inlineStr"/>
      <c r="I504" s="63" t="inlineStr"/>
      <c r="J504" s="63" t="inlineStr">
        <is>
          <t>Transfer - Sunita Gupta</t>
        </is>
      </c>
      <c r="K504" s="63" t="inlineStr">
        <is>
          <t>Sunita Gupta</t>
        </is>
      </c>
      <c r="L504" s="18" t="n">
        <v>0.88</v>
      </c>
      <c r="M504" s="63" t="inlineStr">
        <is>
          <t>N/A</t>
        </is>
      </c>
    </row>
    <row r="505">
      <c r="A505" s="54" t="n">
        <v>45245</v>
      </c>
      <c r="B505" s="55" t="inlineStr">
        <is>
          <t>NET PO FROM HSL A/C 2554606-50200085415108</t>
        </is>
      </c>
      <c r="C505" s="55" t="inlineStr">
        <is>
          <t>0000000465290310</t>
        </is>
      </c>
      <c r="D505" s="54" t="n">
        <v>45245</v>
      </c>
      <c r="E505" s="55" t="n">
        <v>0</v>
      </c>
      <c r="F505" s="55" t="n">
        <v>16142.02</v>
      </c>
      <c r="G505" s="55" t="n">
        <v>34185.85</v>
      </c>
      <c r="H505" s="55" t="inlineStr"/>
      <c r="I505" s="55" t="inlineStr"/>
      <c r="J505" s="55" t="inlineStr">
        <is>
          <t>HDFC Securities - Sell</t>
        </is>
      </c>
      <c r="K505" s="55" t="inlineStr">
        <is>
          <t>HDFC Securities</t>
        </is>
      </c>
      <c r="L505" s="18" t="n">
        <v>0.97</v>
      </c>
      <c r="M505" s="55" t="inlineStr">
        <is>
          <t>N/A</t>
        </is>
      </c>
    </row>
    <row r="506">
      <c r="A506" s="41" t="n">
        <v>45245</v>
      </c>
      <c r="B506" s="42" t="inlineStr">
        <is>
          <t>NET PI TO HSL SEC A/C 2554606-00602340029427</t>
        </is>
      </c>
      <c r="C506" s="42" t="inlineStr">
        <is>
          <t>0000000465440884</t>
        </is>
      </c>
      <c r="D506" s="41" t="n">
        <v>45245</v>
      </c>
      <c r="E506" s="42" t="n">
        <v>128.06</v>
      </c>
      <c r="F506" s="42" t="n">
        <v>0</v>
      </c>
      <c r="G506" s="42" t="n">
        <v>34057.79</v>
      </c>
      <c r="H506" s="42" t="inlineStr"/>
      <c r="I506" s="42" t="inlineStr"/>
      <c r="J506" s="42" t="inlineStr">
        <is>
          <t>HDFC Securities - Buy</t>
        </is>
      </c>
      <c r="K506" s="42" t="inlineStr">
        <is>
          <t>HDFC Securities</t>
        </is>
      </c>
      <c r="L506" s="18" t="n">
        <v>0.97</v>
      </c>
      <c r="M506" s="42" t="inlineStr">
        <is>
          <t>N/A</t>
        </is>
      </c>
    </row>
    <row r="507">
      <c r="A507" s="56" t="n">
        <v>45245</v>
      </c>
      <c r="B507" s="57" t="inlineStr">
        <is>
          <t>DEPOSITORY CHARGES OCT23 - 52812428</t>
        </is>
      </c>
      <c r="C507" s="57" t="inlineStr">
        <is>
          <t>000000000000000</t>
        </is>
      </c>
      <c r="D507" s="56" t="n">
        <v>45245</v>
      </c>
      <c r="E507" s="57" t="n">
        <v>2147.6</v>
      </c>
      <c r="F507" s="57" t="n">
        <v>0</v>
      </c>
      <c r="G507" s="57" t="n">
        <v>31910.19</v>
      </c>
      <c r="H507" s="57" t="inlineStr"/>
      <c r="I507" s="57" t="inlineStr"/>
      <c r="J507" s="57" t="inlineStr">
        <is>
          <t>Depository Charges</t>
        </is>
      </c>
      <c r="K507" s="57" t="inlineStr">
        <is>
          <t>Depository Charges</t>
        </is>
      </c>
      <c r="L507" s="18" t="n">
        <v>0.93</v>
      </c>
      <c r="M507" s="57" t="inlineStr">
        <is>
          <t>N/A</t>
        </is>
      </c>
    </row>
    <row r="508">
      <c r="A508" s="41" t="n">
        <v>45245</v>
      </c>
      <c r="B508" s="42" t="inlineStr">
        <is>
          <t>NET PI TO HSL SEC A/C 2554606-00602340029427</t>
        </is>
      </c>
      <c r="C508" s="42" t="inlineStr">
        <is>
          <t>0000000465580487</t>
        </is>
      </c>
      <c r="D508" s="41" t="n">
        <v>45245</v>
      </c>
      <c r="E508" s="42" t="n">
        <v>4344.39</v>
      </c>
      <c r="F508" s="42" t="n">
        <v>0</v>
      </c>
      <c r="G508" s="42" t="n">
        <v>27565.8</v>
      </c>
      <c r="H508" s="42" t="inlineStr"/>
      <c r="I508" s="42" t="inlineStr"/>
      <c r="J508" s="42" t="inlineStr">
        <is>
          <t>HDFC Securities - Buy</t>
        </is>
      </c>
      <c r="K508" s="42" t="inlineStr">
        <is>
          <t>HDFC Securities</t>
        </is>
      </c>
      <c r="L508" s="18" t="n">
        <v>0.97</v>
      </c>
      <c r="M508" s="42" t="inlineStr">
        <is>
          <t>N/A</t>
        </is>
      </c>
    </row>
    <row r="509">
      <c r="A509" s="41" t="n">
        <v>45246</v>
      </c>
      <c r="B509" s="42" t="inlineStr">
        <is>
          <t>NET PI TO HSL SEC A/C 2554606-00602340029427</t>
        </is>
      </c>
      <c r="C509" s="42" t="inlineStr">
        <is>
          <t>0000000465824649</t>
        </is>
      </c>
      <c r="D509" s="41" t="n">
        <v>45246</v>
      </c>
      <c r="E509" s="42" t="n">
        <v>62.48</v>
      </c>
      <c r="F509" s="42" t="n">
        <v>0</v>
      </c>
      <c r="G509" s="42" t="n">
        <v>27503.32</v>
      </c>
      <c r="H509" s="42" t="inlineStr"/>
      <c r="I509" s="42" t="inlineStr"/>
      <c r="J509" s="42" t="inlineStr">
        <is>
          <t>HDFC Securities - Buy</t>
        </is>
      </c>
      <c r="K509" s="42" t="inlineStr">
        <is>
          <t>HDFC Securities</t>
        </is>
      </c>
      <c r="L509" s="18" t="n">
        <v>0.97</v>
      </c>
      <c r="M509" s="42" t="inlineStr">
        <is>
          <t>N/A</t>
        </is>
      </c>
    </row>
    <row r="510">
      <c r="A510" s="62" t="n">
        <v>45246</v>
      </c>
      <c r="B510" s="63" t="inlineStr">
        <is>
          <t>01671000060094-TPT-MONEY RETURN TO AAYUSH-SUNITA GUPTA</t>
        </is>
      </c>
      <c r="C510" s="63" t="inlineStr">
        <is>
          <t>0000000547886248</t>
        </is>
      </c>
      <c r="D510" s="62" t="n">
        <v>45246</v>
      </c>
      <c r="E510" s="63" t="n">
        <v>0</v>
      </c>
      <c r="F510" s="63" t="n">
        <v>30000</v>
      </c>
      <c r="G510" s="63" t="n">
        <v>57503.32</v>
      </c>
      <c r="H510" s="63" t="inlineStr"/>
      <c r="I510" s="63" t="inlineStr"/>
      <c r="J510" s="63" t="inlineStr">
        <is>
          <t>Received - Sunita Gupta</t>
        </is>
      </c>
      <c r="K510" s="63" t="inlineStr">
        <is>
          <t>Sunita Gupta</t>
        </is>
      </c>
      <c r="L510" s="18" t="n">
        <v>0.88</v>
      </c>
      <c r="M510" s="63" t="inlineStr">
        <is>
          <t>N/A</t>
        </is>
      </c>
    </row>
    <row r="511">
      <c r="A511" s="54" t="n">
        <v>45247</v>
      </c>
      <c r="B511" s="55" t="inlineStr">
        <is>
          <t>NET PO FROM HSL A/C 2554606-50200085415108</t>
        </is>
      </c>
      <c r="C511" s="55" t="inlineStr">
        <is>
          <t>0000000466066745</t>
        </is>
      </c>
      <c r="D511" s="54" t="n">
        <v>45247</v>
      </c>
      <c r="E511" s="55" t="n">
        <v>0</v>
      </c>
      <c r="F511" s="55" t="n">
        <v>487.28</v>
      </c>
      <c r="G511" s="55" t="n">
        <v>57990.6</v>
      </c>
      <c r="H511" s="55" t="inlineStr"/>
      <c r="I511" s="55" t="inlineStr"/>
      <c r="J511" s="55" t="inlineStr">
        <is>
          <t>HDFC Securities - Sell</t>
        </is>
      </c>
      <c r="K511" s="55" t="inlineStr">
        <is>
          <t>HDFC Securities</t>
        </is>
      </c>
      <c r="L511" s="18" t="n">
        <v>0.97</v>
      </c>
      <c r="M511" s="55" t="inlineStr">
        <is>
          <t>N/A</t>
        </is>
      </c>
    </row>
    <row r="512">
      <c r="A512" s="54" t="n">
        <v>45247</v>
      </c>
      <c r="B512" s="55" t="inlineStr">
        <is>
          <t>NET PO FROM HSL A/C 2554606-50200085415108</t>
        </is>
      </c>
      <c r="C512" s="55" t="inlineStr">
        <is>
          <t>0000000466090484</t>
        </is>
      </c>
      <c r="D512" s="54" t="n">
        <v>45247</v>
      </c>
      <c r="E512" s="55" t="n">
        <v>0</v>
      </c>
      <c r="F512" s="55" t="n">
        <v>14895.95</v>
      </c>
      <c r="G512" s="55" t="n">
        <v>72886.55</v>
      </c>
      <c r="H512" s="55" t="inlineStr"/>
      <c r="I512" s="55" t="inlineStr"/>
      <c r="J512" s="55" t="inlineStr">
        <is>
          <t>HDFC Securities - Sell</t>
        </is>
      </c>
      <c r="K512" s="55" t="inlineStr">
        <is>
          <t>HDFC Securities</t>
        </is>
      </c>
      <c r="L512" s="18" t="n">
        <v>0.97</v>
      </c>
      <c r="M512" s="55" t="inlineStr">
        <is>
          <t>N/A</t>
        </is>
      </c>
    </row>
    <row r="513">
      <c r="A513" s="41" t="n">
        <v>45247</v>
      </c>
      <c r="B513" s="42" t="inlineStr">
        <is>
          <t>NET PI TO HSL SEC A/C 2554606-00602340029427</t>
        </is>
      </c>
      <c r="C513" s="42" t="inlineStr">
        <is>
          <t>0000000466204136</t>
        </is>
      </c>
      <c r="D513" s="41" t="n">
        <v>45247</v>
      </c>
      <c r="E513" s="42" t="n">
        <v>67.79000000000001</v>
      </c>
      <c r="F513" s="42" t="n">
        <v>0</v>
      </c>
      <c r="G513" s="42" t="n">
        <v>72818.75999999999</v>
      </c>
      <c r="H513" s="42" t="inlineStr"/>
      <c r="I513" s="42" t="inlineStr"/>
      <c r="J513" s="42" t="inlineStr">
        <is>
          <t>HDFC Securities - Buy</t>
        </is>
      </c>
      <c r="K513" s="42" t="inlineStr">
        <is>
          <t>HDFC Securities</t>
        </is>
      </c>
      <c r="L513" s="18" t="n">
        <v>0.97</v>
      </c>
      <c r="M513" s="42" t="inlineStr">
        <is>
          <t>N/A</t>
        </is>
      </c>
    </row>
    <row r="514">
      <c r="A514" s="41" t="n">
        <v>45247</v>
      </c>
      <c r="B514" s="42" t="inlineStr">
        <is>
          <t>NET PI TO HSL SEC A/C 2554606-00602340029427</t>
        </is>
      </c>
      <c r="C514" s="42" t="inlineStr">
        <is>
          <t>0000000466362530</t>
        </is>
      </c>
      <c r="D514" s="41" t="n">
        <v>45247</v>
      </c>
      <c r="E514" s="42" t="n">
        <v>32348.32</v>
      </c>
      <c r="F514" s="42" t="n">
        <v>0</v>
      </c>
      <c r="G514" s="42" t="n">
        <v>40470.44</v>
      </c>
      <c r="H514" s="42" t="inlineStr"/>
      <c r="I514" s="42" t="inlineStr"/>
      <c r="J514" s="42" t="inlineStr">
        <is>
          <t>HDFC Securities - Buy</t>
        </is>
      </c>
      <c r="K514" s="42" t="inlineStr">
        <is>
          <t>HDFC Securities</t>
        </is>
      </c>
      <c r="L514" s="18" t="n">
        <v>0.97</v>
      </c>
      <c r="M514" s="42" t="inlineStr">
        <is>
          <t>N/A</t>
        </is>
      </c>
    </row>
    <row r="515">
      <c r="A515" s="41" t="n">
        <v>45250</v>
      </c>
      <c r="B515" s="42" t="inlineStr">
        <is>
          <t>NET PI TO HSL SEC A/C 2554606-00602340029427</t>
        </is>
      </c>
      <c r="C515" s="42" t="inlineStr">
        <is>
          <t>0000000466671851</t>
        </is>
      </c>
      <c r="D515" s="41" t="n">
        <v>45250</v>
      </c>
      <c r="E515" s="42" t="n">
        <v>169.32</v>
      </c>
      <c r="F515" s="42" t="n">
        <v>0</v>
      </c>
      <c r="G515" s="42" t="n">
        <v>40301.12</v>
      </c>
      <c r="H515" s="42" t="inlineStr"/>
      <c r="I515" s="42" t="inlineStr"/>
      <c r="J515" s="42" t="inlineStr">
        <is>
          <t>HDFC Securities - Buy</t>
        </is>
      </c>
      <c r="K515" s="42" t="inlineStr">
        <is>
          <t>HDFC Securities</t>
        </is>
      </c>
      <c r="L515" s="18" t="n">
        <v>0.97</v>
      </c>
      <c r="M515" s="42" t="inlineStr">
        <is>
          <t>N/A</t>
        </is>
      </c>
    </row>
    <row r="516">
      <c r="A516" s="54" t="n">
        <v>45251</v>
      </c>
      <c r="B516" s="55" t="inlineStr">
        <is>
          <t>NET PO FROM HSL A/C 2554606-50200085415108</t>
        </is>
      </c>
      <c r="C516" s="55" t="inlineStr">
        <is>
          <t>0000000466935494</t>
        </is>
      </c>
      <c r="D516" s="54" t="n">
        <v>45251</v>
      </c>
      <c r="E516" s="55" t="n">
        <v>0</v>
      </c>
      <c r="F516" s="55" t="n">
        <v>235.17</v>
      </c>
      <c r="G516" s="55" t="n">
        <v>40536.29</v>
      </c>
      <c r="H516" s="55" t="inlineStr"/>
      <c r="I516" s="55" t="inlineStr"/>
      <c r="J516" s="55" t="inlineStr">
        <is>
          <t>HDFC Securities - Sell</t>
        </is>
      </c>
      <c r="K516" s="55" t="inlineStr">
        <is>
          <t>HDFC Securities</t>
        </is>
      </c>
      <c r="L516" s="18" t="n">
        <v>0.97</v>
      </c>
      <c r="M516" s="55" t="inlineStr">
        <is>
          <t>N/A</t>
        </is>
      </c>
    </row>
    <row r="517">
      <c r="A517" s="54" t="n">
        <v>45251</v>
      </c>
      <c r="B517" s="55" t="inlineStr">
        <is>
          <t>NET PO FROM HSL A/C 2554606-50200085415108</t>
        </is>
      </c>
      <c r="C517" s="55" t="inlineStr">
        <is>
          <t>0000000466954477</t>
        </is>
      </c>
      <c r="D517" s="54" t="n">
        <v>45251</v>
      </c>
      <c r="E517" s="55" t="n">
        <v>0</v>
      </c>
      <c r="F517" s="55" t="n">
        <v>33194.83</v>
      </c>
      <c r="G517" s="55" t="n">
        <v>73731.12</v>
      </c>
      <c r="H517" s="55" t="inlineStr"/>
      <c r="I517" s="55" t="inlineStr"/>
      <c r="J517" s="55" t="inlineStr">
        <is>
          <t>HDFC Securities - Sell</t>
        </is>
      </c>
      <c r="K517" s="55" t="inlineStr">
        <is>
          <t>HDFC Securities</t>
        </is>
      </c>
      <c r="L517" s="18" t="n">
        <v>0.97</v>
      </c>
      <c r="M517" s="55" t="inlineStr">
        <is>
          <t>N/A</t>
        </is>
      </c>
    </row>
    <row r="518">
      <c r="A518" s="41" t="n">
        <v>45251</v>
      </c>
      <c r="B518" s="42" t="inlineStr">
        <is>
          <t>NET PI TO HSL SEC A/C 2554606-00602340029427</t>
        </is>
      </c>
      <c r="C518" s="42" t="inlineStr">
        <is>
          <t>0000000467056442</t>
        </is>
      </c>
      <c r="D518" s="41" t="n">
        <v>45251</v>
      </c>
      <c r="E518" s="42" t="n">
        <v>73.68000000000001</v>
      </c>
      <c r="F518" s="42" t="n">
        <v>0</v>
      </c>
      <c r="G518" s="42" t="n">
        <v>73657.44</v>
      </c>
      <c r="H518" s="42" t="inlineStr"/>
      <c r="I518" s="42" t="inlineStr"/>
      <c r="J518" s="42" t="inlineStr">
        <is>
          <t>HDFC Securities - Buy</t>
        </is>
      </c>
      <c r="K518" s="42" t="inlineStr">
        <is>
          <t>HDFC Securities</t>
        </is>
      </c>
      <c r="L518" s="18" t="n">
        <v>0.97</v>
      </c>
      <c r="M518" s="42" t="inlineStr">
        <is>
          <t>N/A</t>
        </is>
      </c>
    </row>
    <row r="519">
      <c r="A519" s="54" t="n">
        <v>45252</v>
      </c>
      <c r="B519" s="55" t="inlineStr">
        <is>
          <t>NET PO FROM HSL A/C 2554606-50200085415108</t>
        </is>
      </c>
      <c r="C519" s="55" t="inlineStr">
        <is>
          <t>0000000467296388</t>
        </is>
      </c>
      <c r="D519" s="54" t="n">
        <v>45252</v>
      </c>
      <c r="E519" s="55" t="n">
        <v>0</v>
      </c>
      <c r="F519" s="55" t="n">
        <v>147.43</v>
      </c>
      <c r="G519" s="55" t="n">
        <v>73804.87</v>
      </c>
      <c r="H519" s="55" t="inlineStr"/>
      <c r="I519" s="55" t="inlineStr"/>
      <c r="J519" s="55" t="inlineStr">
        <is>
          <t>HDFC Securities - Sell</t>
        </is>
      </c>
      <c r="K519" s="55" t="inlineStr">
        <is>
          <t>HDFC Securities</t>
        </is>
      </c>
      <c r="L519" s="18" t="n">
        <v>0.97</v>
      </c>
      <c r="M519" s="55" t="inlineStr">
        <is>
          <t>N/A</t>
        </is>
      </c>
    </row>
    <row r="520">
      <c r="A520" s="54" t="n">
        <v>45252</v>
      </c>
      <c r="B520" s="55" t="inlineStr">
        <is>
          <t>NET PO FROM HSL A/C 2554606-50200085415108</t>
        </is>
      </c>
      <c r="C520" s="55" t="inlineStr">
        <is>
          <t>0000000467321009</t>
        </is>
      </c>
      <c r="D520" s="54" t="n">
        <v>45252</v>
      </c>
      <c r="E520" s="55" t="n">
        <v>0</v>
      </c>
      <c r="F520" s="55" t="n">
        <v>14746.87</v>
      </c>
      <c r="G520" s="55" t="n">
        <v>88551.74000000001</v>
      </c>
      <c r="H520" s="55" t="inlineStr"/>
      <c r="I520" s="55" t="inlineStr"/>
      <c r="J520" s="55" t="inlineStr">
        <is>
          <t>HDFC Securities - Sell</t>
        </is>
      </c>
      <c r="K520" s="55" t="inlineStr">
        <is>
          <t>HDFC Securities</t>
        </is>
      </c>
      <c r="L520" s="18" t="n">
        <v>0.97</v>
      </c>
      <c r="M520" s="55" t="inlineStr">
        <is>
          <t>N/A</t>
        </is>
      </c>
    </row>
    <row r="521">
      <c r="A521" s="41" t="n">
        <v>45252</v>
      </c>
      <c r="B521" s="42" t="inlineStr">
        <is>
          <t>NET PI TO HSL SEC A/C 2554606-00602340029427</t>
        </is>
      </c>
      <c r="C521" s="42" t="inlineStr">
        <is>
          <t>0000000467444534</t>
        </is>
      </c>
      <c r="D521" s="41" t="n">
        <v>45252</v>
      </c>
      <c r="E521" s="42" t="n">
        <v>73.77</v>
      </c>
      <c r="F521" s="42" t="n">
        <v>0</v>
      </c>
      <c r="G521" s="42" t="n">
        <v>88477.97</v>
      </c>
      <c r="H521" s="42" t="inlineStr"/>
      <c r="I521" s="42" t="inlineStr"/>
      <c r="J521" s="42" t="inlineStr">
        <is>
          <t>HDFC Securities - Buy</t>
        </is>
      </c>
      <c r="K521" s="42" t="inlineStr">
        <is>
          <t>HDFC Securities</t>
        </is>
      </c>
      <c r="L521" s="18" t="n">
        <v>0.97</v>
      </c>
      <c r="M521" s="42" t="inlineStr">
        <is>
          <t>N/A</t>
        </is>
      </c>
    </row>
    <row r="522">
      <c r="A522" s="41" t="n">
        <v>45252</v>
      </c>
      <c r="B522" s="42" t="inlineStr">
        <is>
          <t>NET PI TO HSL SEC A/C 2554606-00602340029427</t>
        </is>
      </c>
      <c r="C522" s="42" t="inlineStr">
        <is>
          <t>0000000467533314</t>
        </is>
      </c>
      <c r="D522" s="41" t="n">
        <v>45252</v>
      </c>
      <c r="E522" s="42" t="n">
        <v>9623.809999999999</v>
      </c>
      <c r="F522" s="42" t="n">
        <v>0</v>
      </c>
      <c r="G522" s="42" t="n">
        <v>78854.16</v>
      </c>
      <c r="H522" s="42" t="inlineStr"/>
      <c r="I522" s="42" t="inlineStr"/>
      <c r="J522" s="42" t="inlineStr">
        <is>
          <t>HDFC Securities - Buy</t>
        </is>
      </c>
      <c r="K522" s="42" t="inlineStr">
        <is>
          <t>HDFC Securities</t>
        </is>
      </c>
      <c r="L522" s="18" t="n">
        <v>0.97</v>
      </c>
      <c r="M522" s="42" t="inlineStr">
        <is>
          <t>N/A</t>
        </is>
      </c>
    </row>
    <row r="523">
      <c r="A523" s="41" t="n">
        <v>45252</v>
      </c>
      <c r="B523" s="42" t="inlineStr">
        <is>
          <t>NET PI TO HSL SEC A/C 2554606-00602340029427</t>
        </is>
      </c>
      <c r="C523" s="42" t="inlineStr">
        <is>
          <t>0000000467570713</t>
        </is>
      </c>
      <c r="D523" s="41" t="n">
        <v>45252</v>
      </c>
      <c r="E523" s="42" t="n">
        <v>10582.64</v>
      </c>
      <c r="F523" s="42" t="n">
        <v>0</v>
      </c>
      <c r="G523" s="42" t="n">
        <v>68271.52</v>
      </c>
      <c r="H523" s="42" t="inlineStr"/>
      <c r="I523" s="42" t="inlineStr"/>
      <c r="J523" s="42" t="inlineStr">
        <is>
          <t>HDFC Securities - Buy</t>
        </is>
      </c>
      <c r="K523" s="42" t="inlineStr">
        <is>
          <t>HDFC Securities</t>
        </is>
      </c>
      <c r="L523" s="18" t="n">
        <v>0.97</v>
      </c>
      <c r="M523" s="42" t="inlineStr">
        <is>
          <t>N/A</t>
        </is>
      </c>
    </row>
    <row r="524">
      <c r="A524" s="41" t="n">
        <v>45253</v>
      </c>
      <c r="B524" s="42" t="inlineStr">
        <is>
          <t>NET PI TO HSL SEC A/C 2554606-00602340029427</t>
        </is>
      </c>
      <c r="C524" s="42" t="inlineStr">
        <is>
          <t>0000000467814380</t>
        </is>
      </c>
      <c r="D524" s="41" t="n">
        <v>45253</v>
      </c>
      <c r="E524" s="42" t="n">
        <v>70.05</v>
      </c>
      <c r="F524" s="42" t="n">
        <v>0</v>
      </c>
      <c r="G524" s="42" t="n">
        <v>68201.47</v>
      </c>
      <c r="H524" s="42" t="inlineStr"/>
      <c r="I524" s="42" t="inlineStr"/>
      <c r="J524" s="42" t="inlineStr">
        <is>
          <t>HDFC Securities - Buy</t>
        </is>
      </c>
      <c r="K524" s="42" t="inlineStr">
        <is>
          <t>HDFC Securities</t>
        </is>
      </c>
      <c r="L524" s="18" t="n">
        <v>0.97</v>
      </c>
      <c r="M524" s="42" t="inlineStr">
        <is>
          <t>N/A</t>
        </is>
      </c>
    </row>
    <row r="525">
      <c r="A525" s="64" t="n">
        <v>45253</v>
      </c>
      <c r="B525" s="65" t="inlineStr">
        <is>
          <t>BIRLASOFT DIV 23 2400000000000000038702</t>
        </is>
      </c>
      <c r="C525" s="65" t="inlineStr">
        <is>
          <t>0000233266717959</t>
        </is>
      </c>
      <c r="D525" s="64" t="n">
        <v>45253</v>
      </c>
      <c r="E525" s="65" t="n">
        <v>0</v>
      </c>
      <c r="F525" s="65" t="n">
        <v>100</v>
      </c>
      <c r="G525" s="65" t="n">
        <v>68301.47</v>
      </c>
      <c r="H525" s="65" t="inlineStr"/>
      <c r="I525" s="65" t="inlineStr"/>
      <c r="J525" s="65" t="inlineStr">
        <is>
          <t>Dividend Income</t>
        </is>
      </c>
      <c r="K525" s="65" t="inlineStr">
        <is>
          <t>Dividend Income</t>
        </is>
      </c>
      <c r="L525" s="18" t="n">
        <v>0.85</v>
      </c>
      <c r="M525" s="65" t="inlineStr">
        <is>
          <t>N/A</t>
        </is>
      </c>
    </row>
    <row r="526">
      <c r="A526" s="41" t="n">
        <v>45253</v>
      </c>
      <c r="B526" s="42" t="inlineStr">
        <is>
          <t>NET PI TO HSL SEC A/C 2554606-00602340029427</t>
        </is>
      </c>
      <c r="C526" s="42" t="inlineStr">
        <is>
          <t>0000000467876604</t>
        </is>
      </c>
      <c r="D526" s="41" t="n">
        <v>45253</v>
      </c>
      <c r="E526" s="42" t="n">
        <v>1</v>
      </c>
      <c r="F526" s="42" t="n">
        <v>0</v>
      </c>
      <c r="G526" s="42" t="n">
        <v>68300.47</v>
      </c>
      <c r="H526" s="42" t="inlineStr"/>
      <c r="I526" s="42" t="inlineStr"/>
      <c r="J526" s="42" t="inlineStr">
        <is>
          <t>HDFC Securities - Buy</t>
        </is>
      </c>
      <c r="K526" s="42" t="inlineStr">
        <is>
          <t>HDFC Securities</t>
        </is>
      </c>
      <c r="L526" s="18" t="n">
        <v>0.97</v>
      </c>
      <c r="M526" s="42" t="inlineStr">
        <is>
          <t>N/A</t>
        </is>
      </c>
    </row>
    <row r="527">
      <c r="A527" s="41" t="n">
        <v>45253</v>
      </c>
      <c r="B527" s="42" t="inlineStr">
        <is>
          <t>NET PI TO HSL SEC A/C 2554606-00602340029427</t>
        </is>
      </c>
      <c r="C527" s="42" t="inlineStr">
        <is>
          <t>0000000467922716</t>
        </is>
      </c>
      <c r="D527" s="41" t="n">
        <v>45253</v>
      </c>
      <c r="E527" s="42" t="n">
        <v>656.5</v>
      </c>
      <c r="F527" s="42" t="n">
        <v>0</v>
      </c>
      <c r="G527" s="42" t="n">
        <v>67643.97</v>
      </c>
      <c r="H527" s="42" t="inlineStr"/>
      <c r="I527" s="42" t="inlineStr"/>
      <c r="J527" s="42" t="inlineStr">
        <is>
          <t>HDFC Securities - Buy</t>
        </is>
      </c>
      <c r="K527" s="42" t="inlineStr">
        <is>
          <t>HDFC Securities</t>
        </is>
      </c>
      <c r="L527" s="18" t="n">
        <v>0.97</v>
      </c>
      <c r="M527" s="42" t="inlineStr">
        <is>
          <t>N/A</t>
        </is>
      </c>
    </row>
    <row r="528">
      <c r="A528" s="41" t="n">
        <v>45254</v>
      </c>
      <c r="B528" s="42" t="inlineStr">
        <is>
          <t>NET PI TO HSL SEC A/C 2554606-00602340029427</t>
        </is>
      </c>
      <c r="C528" s="42" t="inlineStr">
        <is>
          <t>0000000468151053</t>
        </is>
      </c>
      <c r="D528" s="41" t="n">
        <v>45254</v>
      </c>
      <c r="E528" s="42" t="n">
        <v>82.93000000000001</v>
      </c>
      <c r="F528" s="42" t="n">
        <v>0</v>
      </c>
      <c r="G528" s="42" t="n">
        <v>67561.03999999999</v>
      </c>
      <c r="H528" s="42" t="inlineStr"/>
      <c r="I528" s="42" t="inlineStr"/>
      <c r="J528" s="42" t="inlineStr">
        <is>
          <t>HDFC Securities - Buy</t>
        </is>
      </c>
      <c r="K528" s="42" t="inlineStr">
        <is>
          <t>HDFC Securities</t>
        </is>
      </c>
      <c r="L528" s="18" t="n">
        <v>0.97</v>
      </c>
      <c r="M528" s="42" t="inlineStr">
        <is>
          <t>N/A</t>
        </is>
      </c>
    </row>
    <row r="529">
      <c r="A529" s="64" t="n">
        <v>45254</v>
      </c>
      <c r="B529" s="65" t="inlineStr">
        <is>
          <t>ACH C- MPS INT1DIV2024-WN003447CLIN30154</t>
        </is>
      </c>
      <c r="C529" s="65" t="inlineStr">
        <is>
          <t>0000007990578472</t>
        </is>
      </c>
      <c r="D529" s="64" t="n">
        <v>45254</v>
      </c>
      <c r="E529" s="65" t="n">
        <v>0</v>
      </c>
      <c r="F529" s="65" t="n">
        <v>300</v>
      </c>
      <c r="G529" s="65" t="n">
        <v>67861.03999999999</v>
      </c>
      <c r="H529" s="65" t="inlineStr"/>
      <c r="I529" s="65" t="inlineStr"/>
      <c r="J529" s="65" t="inlineStr">
        <is>
          <t>Dividend Income</t>
        </is>
      </c>
      <c r="K529" s="65" t="inlineStr">
        <is>
          <t>Dividend Income</t>
        </is>
      </c>
      <c r="L529" s="18" t="n">
        <v>0.88</v>
      </c>
      <c r="M529" s="65" t="inlineStr">
        <is>
          <t>N/A</t>
        </is>
      </c>
    </row>
    <row r="530">
      <c r="A530" s="54" t="n">
        <v>45254</v>
      </c>
      <c r="B530" s="55" t="inlineStr">
        <is>
          <t>NET PO FROM HSL A/C 2554606-50200085415108</t>
        </is>
      </c>
      <c r="C530" s="55" t="inlineStr">
        <is>
          <t>0000000468297308</t>
        </is>
      </c>
      <c r="D530" s="54" t="n">
        <v>45254</v>
      </c>
      <c r="E530" s="55" t="n">
        <v>0</v>
      </c>
      <c r="F530" s="55" t="n">
        <v>2668.78</v>
      </c>
      <c r="G530" s="55" t="n">
        <v>70529.82000000001</v>
      </c>
      <c r="H530" s="55" t="inlineStr"/>
      <c r="I530" s="55" t="inlineStr"/>
      <c r="J530" s="55" t="inlineStr">
        <is>
          <t>HDFC Securities - Sell</t>
        </is>
      </c>
      <c r="K530" s="55" t="inlineStr">
        <is>
          <t>HDFC Securities</t>
        </is>
      </c>
      <c r="L530" s="18" t="n">
        <v>0.97</v>
      </c>
      <c r="M530" s="55" t="inlineStr">
        <is>
          <t>N/A</t>
        </is>
      </c>
    </row>
    <row r="531">
      <c r="A531" s="58" t="n">
        <v>45258</v>
      </c>
      <c r="B531" s="59" t="inlineStr">
        <is>
          <t>ACH D- INDIAN CLEARING CORP-P25847674X05</t>
        </is>
      </c>
      <c r="C531" s="59" t="inlineStr">
        <is>
          <t>0000007976432319</t>
        </is>
      </c>
      <c r="D531" s="58" t="n">
        <v>45258</v>
      </c>
      <c r="E531" s="59" t="n">
        <v>5000</v>
      </c>
      <c r="F531" s="59" t="n">
        <v>0</v>
      </c>
      <c r="G531" s="59" t="n">
        <v>65529.82</v>
      </c>
      <c r="H531" s="59" t="inlineStr"/>
      <c r="I531" s="59" t="inlineStr"/>
      <c r="J531" s="59" t="inlineStr">
        <is>
          <t>MF Investment</t>
        </is>
      </c>
      <c r="K531" s="59" t="inlineStr">
        <is>
          <t>Investments</t>
        </is>
      </c>
      <c r="L531" s="18" t="n">
        <v>0.9</v>
      </c>
      <c r="M531" s="59" t="inlineStr">
        <is>
          <t>N/A</t>
        </is>
      </c>
    </row>
    <row r="532">
      <c r="A532" s="41" t="n">
        <v>45258</v>
      </c>
      <c r="B532" s="42" t="inlineStr">
        <is>
          <t>NET PI TO HSL SEC A/C 2554606-00602340029427</t>
        </is>
      </c>
      <c r="C532" s="42" t="inlineStr">
        <is>
          <t>0000000468604924</t>
        </is>
      </c>
      <c r="D532" s="41" t="n">
        <v>45258</v>
      </c>
      <c r="E532" s="42" t="n">
        <v>335.52</v>
      </c>
      <c r="F532" s="42" t="n">
        <v>0</v>
      </c>
      <c r="G532" s="42" t="n">
        <v>65194.3</v>
      </c>
      <c r="H532" s="42" t="inlineStr"/>
      <c r="I532" s="42" t="inlineStr"/>
      <c r="J532" s="42" t="inlineStr">
        <is>
          <t>HDFC Securities - Buy</t>
        </is>
      </c>
      <c r="K532" s="42" t="inlineStr">
        <is>
          <t>HDFC Securities</t>
        </is>
      </c>
      <c r="L532" s="18" t="n">
        <v>0.97</v>
      </c>
      <c r="M532" s="42" t="inlineStr">
        <is>
          <t>N/A</t>
        </is>
      </c>
    </row>
    <row r="533">
      <c r="A533" s="54" t="n">
        <v>45259</v>
      </c>
      <c r="B533" s="55" t="inlineStr">
        <is>
          <t>NET PO FROM HSL A/C 2554606-50200085415108</t>
        </is>
      </c>
      <c r="C533" s="55" t="inlineStr">
        <is>
          <t>0000000468864848</t>
        </is>
      </c>
      <c r="D533" s="54" t="n">
        <v>45259</v>
      </c>
      <c r="E533" s="55" t="n">
        <v>0</v>
      </c>
      <c r="F533" s="55" t="n">
        <v>8847.290000000001</v>
      </c>
      <c r="G533" s="55" t="n">
        <v>74041.59</v>
      </c>
      <c r="H533" s="55" t="inlineStr"/>
      <c r="I533" s="55" t="inlineStr"/>
      <c r="J533" s="55" t="inlineStr">
        <is>
          <t>HDFC Securities - Sell</t>
        </is>
      </c>
      <c r="K533" s="55" t="inlineStr">
        <is>
          <t>HDFC Securities</t>
        </is>
      </c>
      <c r="L533" s="18" t="n">
        <v>0.97</v>
      </c>
      <c r="M533" s="55" t="inlineStr">
        <is>
          <t>N/A</t>
        </is>
      </c>
    </row>
    <row r="534">
      <c r="A534" s="41" t="n">
        <v>45259</v>
      </c>
      <c r="B534" s="42" t="inlineStr">
        <is>
          <t>NET PI TO HSL SEC A/C 2554606-00602340029427</t>
        </is>
      </c>
      <c r="C534" s="42" t="inlineStr">
        <is>
          <t>0000000469010399</t>
        </is>
      </c>
      <c r="D534" s="41" t="n">
        <v>45259</v>
      </c>
      <c r="E534" s="42" t="n">
        <v>83.88</v>
      </c>
      <c r="F534" s="42" t="n">
        <v>0</v>
      </c>
      <c r="G534" s="42" t="n">
        <v>73957.71000000001</v>
      </c>
      <c r="H534" s="42" t="inlineStr"/>
      <c r="I534" s="42" t="inlineStr"/>
      <c r="J534" s="42" t="inlineStr">
        <is>
          <t>HDFC Securities - Buy</t>
        </is>
      </c>
      <c r="K534" s="42" t="inlineStr">
        <is>
          <t>HDFC Securities</t>
        </is>
      </c>
      <c r="L534" s="18" t="n">
        <v>0.97</v>
      </c>
      <c r="M534" s="42" t="inlineStr">
        <is>
          <t>N/A</t>
        </is>
      </c>
    </row>
    <row r="535">
      <c r="A535" s="64" t="n">
        <v>45259</v>
      </c>
      <c r="B535" s="65" t="inlineStr">
        <is>
          <t>INFO EDGE DIV 23 2400000000000000035206</t>
        </is>
      </c>
      <c r="C535" s="65" t="inlineStr">
        <is>
          <t>0000233327930425</t>
        </is>
      </c>
      <c r="D535" s="64" t="n">
        <v>45259</v>
      </c>
      <c r="E535" s="65" t="n">
        <v>0</v>
      </c>
      <c r="F535" s="65" t="n">
        <v>470</v>
      </c>
      <c r="G535" s="65" t="n">
        <v>74427.71000000001</v>
      </c>
      <c r="H535" s="65" t="inlineStr"/>
      <c r="I535" s="65" t="inlineStr"/>
      <c r="J535" s="65" t="inlineStr">
        <is>
          <t>Dividend Income</t>
        </is>
      </c>
      <c r="K535" s="65" t="inlineStr">
        <is>
          <t>Dividend Income</t>
        </is>
      </c>
      <c r="L535" s="18" t="n">
        <v>0.85</v>
      </c>
      <c r="M535" s="65" t="inlineStr">
        <is>
          <t>N/A</t>
        </is>
      </c>
    </row>
    <row r="536">
      <c r="A536" s="68" t="n">
        <v>45259</v>
      </c>
      <c r="B536" s="69" t="inlineStr">
        <is>
          <t>TATAG/2400024058112269-50200036338720</t>
        </is>
      </c>
      <c r="C536" s="69" t="inlineStr">
        <is>
          <t>0000000407177444</t>
        </is>
      </c>
      <c r="D536" s="68" t="n">
        <v>45259</v>
      </c>
      <c r="E536" s="69" t="n">
        <v>15000</v>
      </c>
      <c r="F536" s="69" t="n">
        <v>0</v>
      </c>
      <c r="G536" s="69" t="n">
        <v>59427.71</v>
      </c>
      <c r="H536" s="69" t="inlineStr"/>
      <c r="I536" s="69" t="inlineStr"/>
      <c r="J536" s="69" t="inlineStr">
        <is>
          <t>IPO - Tata Tech</t>
        </is>
      </c>
      <c r="K536" s="69" t="inlineStr">
        <is>
          <t>IPO</t>
        </is>
      </c>
      <c r="L536" s="18" t="n">
        <v>0.92</v>
      </c>
      <c r="M536" s="69" t="inlineStr">
        <is>
          <t>N/A</t>
        </is>
      </c>
    </row>
    <row r="537">
      <c r="A537" s="54" t="n">
        <v>45260</v>
      </c>
      <c r="B537" s="55" t="inlineStr">
        <is>
          <t>NET PO FROM HSL A/C 2554606-50200085415108</t>
        </is>
      </c>
      <c r="C537" s="55" t="inlineStr">
        <is>
          <t>0000000469236778</t>
        </is>
      </c>
      <c r="D537" s="54" t="n">
        <v>45260</v>
      </c>
      <c r="E537" s="55" t="n">
        <v>0</v>
      </c>
      <c r="F537" s="55" t="n">
        <v>1316.94</v>
      </c>
      <c r="G537" s="55" t="n">
        <v>60744.65</v>
      </c>
      <c r="H537" s="55" t="inlineStr"/>
      <c r="I537" s="55" t="inlineStr"/>
      <c r="J537" s="55" t="inlineStr">
        <is>
          <t>HDFC Securities - Sell</t>
        </is>
      </c>
      <c r="K537" s="55" t="inlineStr">
        <is>
          <t>HDFC Securities</t>
        </is>
      </c>
      <c r="L537" s="18" t="n">
        <v>0.97</v>
      </c>
      <c r="M537" s="55" t="inlineStr">
        <is>
          <t>N/A</t>
        </is>
      </c>
    </row>
    <row r="538">
      <c r="A538" s="54" t="n">
        <v>45260</v>
      </c>
      <c r="B538" s="55" t="inlineStr">
        <is>
          <t>NET PO FROM HSL A/C 2554606-50200085415108</t>
        </is>
      </c>
      <c r="C538" s="55" t="inlineStr">
        <is>
          <t>0000000469263647</t>
        </is>
      </c>
      <c r="D538" s="54" t="n">
        <v>45260</v>
      </c>
      <c r="E538" s="55" t="n">
        <v>0</v>
      </c>
      <c r="F538" s="55" t="n">
        <v>82752.33</v>
      </c>
      <c r="G538" s="55" t="n">
        <v>143496.98</v>
      </c>
      <c r="H538" s="55" t="inlineStr"/>
      <c r="I538" s="55" t="inlineStr"/>
      <c r="J538" s="55" t="inlineStr">
        <is>
          <t>HDFC Securities - Sell</t>
        </is>
      </c>
      <c r="K538" s="55" t="inlineStr">
        <is>
          <t>HDFC Securities</t>
        </is>
      </c>
      <c r="L538" s="18" t="n">
        <v>0.97</v>
      </c>
      <c r="M538" s="55" t="inlineStr">
        <is>
          <t>N/A</t>
        </is>
      </c>
    </row>
    <row r="539">
      <c r="A539" s="58" t="n">
        <v>45260</v>
      </c>
      <c r="B539" s="59" t="inlineStr">
        <is>
          <t>ACH D- INDIAN CLEARING CORP-P25847674X05</t>
        </is>
      </c>
      <c r="C539" s="59" t="inlineStr">
        <is>
          <t>0000008068089377</t>
        </is>
      </c>
      <c r="D539" s="58" t="n">
        <v>45260</v>
      </c>
      <c r="E539" s="59" t="n">
        <v>5000</v>
      </c>
      <c r="F539" s="59" t="n">
        <v>0</v>
      </c>
      <c r="G539" s="59" t="n">
        <v>138496.98</v>
      </c>
      <c r="H539" s="59" t="inlineStr"/>
      <c r="I539" s="59" t="inlineStr"/>
      <c r="J539" s="59" t="inlineStr">
        <is>
          <t>MF Investment</t>
        </is>
      </c>
      <c r="K539" s="59" t="inlineStr">
        <is>
          <t>Investments</t>
        </is>
      </c>
      <c r="L539" s="18" t="n">
        <v>0.9</v>
      </c>
      <c r="M539" s="59" t="inlineStr">
        <is>
          <t>N/A</t>
        </is>
      </c>
    </row>
    <row r="540">
      <c r="A540" s="41" t="n">
        <v>45260</v>
      </c>
      <c r="B540" s="42" t="inlineStr">
        <is>
          <t>NET PI TO HSL SEC A/C 2554606-00602340029427</t>
        </is>
      </c>
      <c r="C540" s="42" t="inlineStr">
        <is>
          <t>0000000469389988</t>
        </is>
      </c>
      <c r="D540" s="41" t="n">
        <v>45260</v>
      </c>
      <c r="E540" s="42" t="n">
        <v>78.90000000000001</v>
      </c>
      <c r="F540" s="42" t="n">
        <v>0</v>
      </c>
      <c r="G540" s="42" t="n">
        <v>138418.08</v>
      </c>
      <c r="H540" s="42" t="inlineStr"/>
      <c r="I540" s="42" t="inlineStr"/>
      <c r="J540" s="42" t="inlineStr">
        <is>
          <t>HDFC Securities - Buy</t>
        </is>
      </c>
      <c r="K540" s="42" t="inlineStr">
        <is>
          <t>HDFC Securities</t>
        </is>
      </c>
      <c r="L540" s="18" t="n">
        <v>0.97</v>
      </c>
      <c r="M540" s="42" t="inlineStr">
        <is>
          <t>N/A</t>
        </is>
      </c>
    </row>
    <row r="541">
      <c r="A541" s="64" t="n">
        <v>45260</v>
      </c>
      <c r="B541" s="65" t="inlineStr">
        <is>
          <t>STYLAM IND DIV22 2300000000000000006009</t>
        </is>
      </c>
      <c r="C541" s="65" t="inlineStr">
        <is>
          <t>0000233348425679</t>
        </is>
      </c>
      <c r="D541" s="64" t="n">
        <v>45260</v>
      </c>
      <c r="E541" s="65" t="n">
        <v>0</v>
      </c>
      <c r="F541" s="65" t="n">
        <v>75</v>
      </c>
      <c r="G541" s="65" t="n">
        <v>138493.08</v>
      </c>
      <c r="H541" s="65" t="inlineStr"/>
      <c r="I541" s="65" t="inlineStr"/>
      <c r="J541" s="65" t="inlineStr">
        <is>
          <t>Dividend Income</t>
        </is>
      </c>
      <c r="K541" s="65" t="inlineStr">
        <is>
          <t>Dividend Income</t>
        </is>
      </c>
      <c r="L541" s="18" t="n">
        <v>0.85</v>
      </c>
      <c r="M541" s="65" t="inlineStr">
        <is>
          <t>N/A</t>
        </is>
      </c>
    </row>
    <row r="542">
      <c r="A542" s="41" t="n">
        <v>45260</v>
      </c>
      <c r="B542" s="42" t="inlineStr">
        <is>
          <t>NET PI TO HSL SEC A/C 2554606-00602340029427</t>
        </is>
      </c>
      <c r="C542" s="42" t="inlineStr">
        <is>
          <t>0000000469543605</t>
        </is>
      </c>
      <c r="D542" s="41" t="n">
        <v>45261</v>
      </c>
      <c r="E542" s="42" t="n">
        <v>11211.63</v>
      </c>
      <c r="F542" s="42" t="n">
        <v>0</v>
      </c>
      <c r="G542" s="42" t="n">
        <v>127281.45</v>
      </c>
      <c r="H542" s="42" t="inlineStr"/>
      <c r="I542" s="42" t="inlineStr"/>
      <c r="J542" s="42" t="inlineStr">
        <is>
          <t>HDFC Securities - Buy</t>
        </is>
      </c>
      <c r="K542" s="42" t="inlineStr">
        <is>
          <t>HDFC Securities</t>
        </is>
      </c>
      <c r="L542" s="18" t="n">
        <v>0.97</v>
      </c>
      <c r="M542" s="42" t="inlineStr">
        <is>
          <t>N/A</t>
        </is>
      </c>
    </row>
    <row r="543">
      <c r="A543" s="41" t="n">
        <v>45261</v>
      </c>
      <c r="B543" s="42" t="inlineStr">
        <is>
          <t>NET PI TO HSL SEC A/C 2554606-00602340029427</t>
        </is>
      </c>
      <c r="C543" s="42" t="inlineStr">
        <is>
          <t>0000000469857121</t>
        </is>
      </c>
      <c r="D543" s="41" t="n">
        <v>45261</v>
      </c>
      <c r="E543" s="42" t="n">
        <v>75.38</v>
      </c>
      <c r="F543" s="42" t="n">
        <v>0</v>
      </c>
      <c r="G543" s="42" t="n">
        <v>127206.07</v>
      </c>
      <c r="H543" s="42" t="inlineStr"/>
      <c r="I543" s="42" t="inlineStr"/>
      <c r="J543" s="42" t="inlineStr">
        <is>
          <t>HDFC Securities - Buy</t>
        </is>
      </c>
      <c r="K543" s="42" t="inlineStr">
        <is>
          <t>HDFC Securities</t>
        </is>
      </c>
      <c r="L543" s="18" t="n">
        <v>0.97</v>
      </c>
      <c r="M543" s="42" t="inlineStr">
        <is>
          <t>N/A</t>
        </is>
      </c>
    </row>
    <row r="544">
      <c r="A544" s="19" t="n">
        <v>45261</v>
      </c>
      <c r="B544" s="20" t="inlineStr">
        <is>
          <t>ISAQMC-JUL-SEP23-417944 261023-MIR2433506603891</t>
        </is>
      </c>
      <c r="C544" s="20" t="inlineStr">
        <is>
          <t>MIR2433506603891</t>
        </is>
      </c>
      <c r="D544" s="19" t="n">
        <v>45261</v>
      </c>
      <c r="E544" s="20" t="n">
        <v>295</v>
      </c>
      <c r="F544" s="20" t="n">
        <v>0</v>
      </c>
      <c r="G544" s="20" t="n">
        <v>126911.07</v>
      </c>
      <c r="H544" s="20" t="inlineStr"/>
      <c r="I544" s="20" t="inlineStr"/>
      <c r="J544" s="20" t="inlineStr">
        <is>
          <t>Bank Charges</t>
        </is>
      </c>
      <c r="K544" s="20" t="inlineStr">
        <is>
          <t>Bank Charges</t>
        </is>
      </c>
      <c r="L544" s="18" t="n">
        <v>0.9</v>
      </c>
      <c r="M544" s="20" t="inlineStr">
        <is>
          <t>N/A</t>
        </is>
      </c>
    </row>
    <row r="545">
      <c r="A545" s="26" t="n">
        <v>45261</v>
      </c>
      <c r="B545" s="27" t="inlineStr">
        <is>
          <t>01671000085930-TPT-BORROW FROM AAYUSH TO AKG-AJAY KUMAR GUPTA</t>
        </is>
      </c>
      <c r="C545" s="27" t="inlineStr">
        <is>
          <t>0000000399738223</t>
        </is>
      </c>
      <c r="D545" s="26" t="n">
        <v>45261</v>
      </c>
      <c r="E545" s="27" t="n">
        <v>75000</v>
      </c>
      <c r="F545" s="27" t="n">
        <v>0</v>
      </c>
      <c r="G545" s="27" t="n">
        <v>51911.07</v>
      </c>
      <c r="H545" s="27" t="inlineStr"/>
      <c r="I545" s="27" t="inlineStr"/>
      <c r="J545" s="27" t="inlineStr">
        <is>
          <t>Transfer - Ajay Gupta</t>
        </is>
      </c>
      <c r="K545" s="27" t="inlineStr">
        <is>
          <t>Ajay Gupta</t>
        </is>
      </c>
      <c r="L545" s="18" t="n">
        <v>0.88</v>
      </c>
      <c r="M545" s="27" t="inlineStr">
        <is>
          <t>N/A</t>
        </is>
      </c>
    </row>
    <row r="546">
      <c r="A546" s="54" t="n">
        <v>45261</v>
      </c>
      <c r="B546" s="55" t="inlineStr">
        <is>
          <t>NET PO FROM HSL A/C 2554606-50200085415108</t>
        </is>
      </c>
      <c r="C546" s="55" t="inlineStr">
        <is>
          <t>0000000470034943</t>
        </is>
      </c>
      <c r="D546" s="54" t="n">
        <v>45261</v>
      </c>
      <c r="E546" s="55" t="n">
        <v>0</v>
      </c>
      <c r="F546" s="55" t="n">
        <v>520.5599999999999</v>
      </c>
      <c r="G546" s="55" t="n">
        <v>52431.63</v>
      </c>
      <c r="H546" s="55" t="inlineStr"/>
      <c r="I546" s="55" t="inlineStr"/>
      <c r="J546" s="55" t="inlineStr">
        <is>
          <t>HDFC Securities - Sell</t>
        </is>
      </c>
      <c r="K546" s="55" t="inlineStr">
        <is>
          <t>HDFC Securities</t>
        </is>
      </c>
      <c r="L546" s="18" t="n">
        <v>0.97</v>
      </c>
      <c r="M546" s="55" t="inlineStr">
        <is>
          <t>N/A</t>
        </is>
      </c>
    </row>
    <row r="547">
      <c r="A547" s="54" t="n">
        <v>45264</v>
      </c>
      <c r="B547" s="55" t="inlineStr">
        <is>
          <t>NET PO FROM HSL A/C 2554606-50200085415108</t>
        </is>
      </c>
      <c r="C547" s="55" t="inlineStr">
        <is>
          <t>0000000470228870</t>
        </is>
      </c>
      <c r="D547" s="54" t="n">
        <v>45264</v>
      </c>
      <c r="E547" s="55" t="n">
        <v>0</v>
      </c>
      <c r="F547" s="55" t="n">
        <v>36344.18</v>
      </c>
      <c r="G547" s="55" t="n">
        <v>88775.81</v>
      </c>
      <c r="H547" s="55" t="inlineStr"/>
      <c r="I547" s="55" t="inlineStr"/>
      <c r="J547" s="55" t="inlineStr">
        <is>
          <t>HDFC Securities - Sell</t>
        </is>
      </c>
      <c r="K547" s="55" t="inlineStr">
        <is>
          <t>HDFC Securities</t>
        </is>
      </c>
      <c r="L547" s="18" t="n">
        <v>0.97</v>
      </c>
      <c r="M547" s="55" t="inlineStr">
        <is>
          <t>N/A</t>
        </is>
      </c>
    </row>
    <row r="548">
      <c r="A548" s="41" t="n">
        <v>45264</v>
      </c>
      <c r="B548" s="42" t="inlineStr">
        <is>
          <t>NET PI TO HSL SEC A/C 2554606-00602340029427</t>
        </is>
      </c>
      <c r="C548" s="42" t="inlineStr">
        <is>
          <t>0000000470404128</t>
        </is>
      </c>
      <c r="D548" s="41" t="n">
        <v>45264</v>
      </c>
      <c r="E548" s="42" t="n">
        <v>267.6</v>
      </c>
      <c r="F548" s="42" t="n">
        <v>0</v>
      </c>
      <c r="G548" s="42" t="n">
        <v>88508.21000000001</v>
      </c>
      <c r="H548" s="42" t="inlineStr"/>
      <c r="I548" s="42" t="inlineStr"/>
      <c r="J548" s="42" t="inlineStr">
        <is>
          <t>HDFC Securities - Buy</t>
        </is>
      </c>
      <c r="K548" s="42" t="inlineStr">
        <is>
          <t>HDFC Securities</t>
        </is>
      </c>
      <c r="L548" s="18" t="n">
        <v>0.97</v>
      </c>
      <c r="M548" s="42" t="inlineStr">
        <is>
          <t>N/A</t>
        </is>
      </c>
    </row>
    <row r="549">
      <c r="A549" s="41" t="n">
        <v>45264</v>
      </c>
      <c r="B549" s="42" t="inlineStr">
        <is>
          <t>NET PI TO HSL SEC A/C 2554606-00602340029427</t>
        </is>
      </c>
      <c r="C549" s="42" t="inlineStr">
        <is>
          <t>0000000470501993</t>
        </is>
      </c>
      <c r="D549" s="41" t="n">
        <v>45264</v>
      </c>
      <c r="E549" s="42" t="n">
        <v>16222.68</v>
      </c>
      <c r="F549" s="42" t="n">
        <v>0</v>
      </c>
      <c r="G549" s="42" t="n">
        <v>72285.53</v>
      </c>
      <c r="H549" s="42" t="inlineStr"/>
      <c r="I549" s="42" t="inlineStr"/>
      <c r="J549" s="42" t="inlineStr">
        <is>
          <t>HDFC Securities - Buy</t>
        </is>
      </c>
      <c r="K549" s="42" t="inlineStr">
        <is>
          <t>HDFC Securities</t>
        </is>
      </c>
      <c r="L549" s="18" t="n">
        <v>0.97</v>
      </c>
      <c r="M549" s="42" t="inlineStr">
        <is>
          <t>N/A</t>
        </is>
      </c>
    </row>
    <row r="550">
      <c r="A550" s="41" t="n">
        <v>45264</v>
      </c>
      <c r="B550" s="42" t="inlineStr">
        <is>
          <t>NET PI TO HSL SEC A/C 2554606-00602340029427</t>
        </is>
      </c>
      <c r="C550" s="42" t="inlineStr">
        <is>
          <t>0000000470552832</t>
        </is>
      </c>
      <c r="D550" s="41" t="n">
        <v>45264</v>
      </c>
      <c r="E550" s="42" t="n">
        <v>9331.790000000001</v>
      </c>
      <c r="F550" s="42" t="n">
        <v>0</v>
      </c>
      <c r="G550" s="42" t="n">
        <v>62953.74</v>
      </c>
      <c r="H550" s="42" t="inlineStr"/>
      <c r="I550" s="42" t="inlineStr"/>
      <c r="J550" s="42" t="inlineStr">
        <is>
          <t>HDFC Securities - Buy</t>
        </is>
      </c>
      <c r="K550" s="42" t="inlineStr">
        <is>
          <t>HDFC Securities</t>
        </is>
      </c>
      <c r="L550" s="18" t="n">
        <v>0.97</v>
      </c>
      <c r="M550" s="42" t="inlineStr">
        <is>
          <t>N/A</t>
        </is>
      </c>
    </row>
    <row r="551">
      <c r="A551" s="41" t="n">
        <v>45265</v>
      </c>
      <c r="B551" s="42" t="inlineStr">
        <is>
          <t>NET PI TO HSL SEC A/C 2554606-00602340029427</t>
        </is>
      </c>
      <c r="C551" s="42" t="inlineStr">
        <is>
          <t>0000000470861877</t>
        </is>
      </c>
      <c r="D551" s="41" t="n">
        <v>45265</v>
      </c>
      <c r="E551" s="42" t="n">
        <v>85.87</v>
      </c>
      <c r="F551" s="42" t="n">
        <v>0</v>
      </c>
      <c r="G551" s="42" t="n">
        <v>62867.87</v>
      </c>
      <c r="H551" s="42" t="inlineStr"/>
      <c r="I551" s="42" t="inlineStr"/>
      <c r="J551" s="42" t="inlineStr">
        <is>
          <t>HDFC Securities - Buy</t>
        </is>
      </c>
      <c r="K551" s="42" t="inlineStr">
        <is>
          <t>HDFC Securities</t>
        </is>
      </c>
      <c r="L551" s="18" t="n">
        <v>0.97</v>
      </c>
      <c r="M551" s="42" t="inlineStr">
        <is>
          <t>N/A</t>
        </is>
      </c>
    </row>
    <row r="552">
      <c r="A552" s="60" t="n">
        <v>45265</v>
      </c>
      <c r="B552" s="61" t="inlineStr">
        <is>
          <t>ATW-652166XXXXXX7402-S1ANMN04-NASHIK</t>
        </is>
      </c>
      <c r="C552" s="61" t="inlineStr">
        <is>
          <t>0000000000007680</t>
        </is>
      </c>
      <c r="D552" s="60" t="n">
        <v>45265</v>
      </c>
      <c r="E552" s="61" t="n">
        <v>2000</v>
      </c>
      <c r="F552" s="61" t="n">
        <v>0</v>
      </c>
      <c r="G552" s="61" t="n">
        <v>60867.87</v>
      </c>
      <c r="H552" s="61" t="inlineStr"/>
      <c r="I552" s="61" t="inlineStr"/>
      <c r="J552" s="61" t="inlineStr">
        <is>
          <t>Cash Withdrawal</t>
        </is>
      </c>
      <c r="K552" s="61" t="inlineStr">
        <is>
          <t>Cash</t>
        </is>
      </c>
      <c r="L552" s="18" t="n">
        <v>0.92</v>
      </c>
      <c r="M552" s="61" t="inlineStr">
        <is>
          <t>N/A</t>
        </is>
      </c>
    </row>
    <row r="553">
      <c r="A553" s="41" t="n">
        <v>45265</v>
      </c>
      <c r="B553" s="42" t="inlineStr">
        <is>
          <t>NET PI TO HSL SEC A/C 2554606-00602340029427</t>
        </is>
      </c>
      <c r="C553" s="42" t="inlineStr">
        <is>
          <t>0000000471023214</t>
        </is>
      </c>
      <c r="D553" s="41" t="n">
        <v>45265</v>
      </c>
      <c r="E553" s="42" t="n">
        <v>7773.14</v>
      </c>
      <c r="F553" s="42" t="n">
        <v>0</v>
      </c>
      <c r="G553" s="42" t="n">
        <v>53094.73</v>
      </c>
      <c r="H553" s="42" t="inlineStr"/>
      <c r="I553" s="42" t="inlineStr"/>
      <c r="J553" s="42" t="inlineStr">
        <is>
          <t>HDFC Securities - Buy</t>
        </is>
      </c>
      <c r="K553" s="42" t="inlineStr">
        <is>
          <t>HDFC Securities</t>
        </is>
      </c>
      <c r="L553" s="18" t="n">
        <v>0.97</v>
      </c>
      <c r="M553" s="42" t="inlineStr">
        <is>
          <t>N/A</t>
        </is>
      </c>
    </row>
    <row r="554">
      <c r="A554" s="54" t="n">
        <v>45266</v>
      </c>
      <c r="B554" s="55" t="inlineStr">
        <is>
          <t>NET PO FROM HSL A/C 2554606-50200085415108</t>
        </is>
      </c>
      <c r="C554" s="55" t="inlineStr">
        <is>
          <t>0000000471164284</t>
        </is>
      </c>
      <c r="D554" s="54" t="n">
        <v>45266</v>
      </c>
      <c r="E554" s="55" t="n">
        <v>0</v>
      </c>
      <c r="F554" s="55" t="n">
        <v>46569.07</v>
      </c>
      <c r="G554" s="55" t="n">
        <v>99663.8</v>
      </c>
      <c r="H554" s="55" t="inlineStr"/>
      <c r="I554" s="55" t="inlineStr"/>
      <c r="J554" s="55" t="inlineStr">
        <is>
          <t>HDFC Securities - Sell</t>
        </is>
      </c>
      <c r="K554" s="55" t="inlineStr">
        <is>
          <t>HDFC Securities</t>
        </is>
      </c>
      <c r="L554" s="18" t="n">
        <v>0.97</v>
      </c>
      <c r="M554" s="55" t="inlineStr">
        <is>
          <t>N/A</t>
        </is>
      </c>
    </row>
    <row r="555">
      <c r="A555" s="41" t="n">
        <v>45266</v>
      </c>
      <c r="B555" s="42" t="inlineStr">
        <is>
          <t>NET PI TO HSL SEC A/C 2554606-00602340029427</t>
        </is>
      </c>
      <c r="C555" s="42" t="inlineStr">
        <is>
          <t>0000000471284712</t>
        </is>
      </c>
      <c r="D555" s="41" t="n">
        <v>45266</v>
      </c>
      <c r="E555" s="42" t="n">
        <v>94.98999999999999</v>
      </c>
      <c r="F555" s="42" t="n">
        <v>0</v>
      </c>
      <c r="G555" s="42" t="n">
        <v>99568.81</v>
      </c>
      <c r="H555" s="42" t="inlineStr"/>
      <c r="I555" s="42" t="inlineStr"/>
      <c r="J555" s="42" t="inlineStr">
        <is>
          <t>HDFC Securities - Buy</t>
        </is>
      </c>
      <c r="K555" s="42" t="inlineStr">
        <is>
          <t>HDFC Securities</t>
        </is>
      </c>
      <c r="L555" s="18" t="n">
        <v>0.97</v>
      </c>
      <c r="M555" s="42" t="inlineStr">
        <is>
          <t>N/A</t>
        </is>
      </c>
    </row>
    <row r="556">
      <c r="A556" s="41" t="n">
        <v>45266</v>
      </c>
      <c r="B556" s="42" t="inlineStr">
        <is>
          <t>NET PI TO HSL SEC A/C 2554606-00602340029427</t>
        </is>
      </c>
      <c r="C556" s="42" t="inlineStr">
        <is>
          <t>0000000471458687</t>
        </is>
      </c>
      <c r="D556" s="41" t="n">
        <v>45266</v>
      </c>
      <c r="E556" s="42" t="n">
        <v>83125.39999999999</v>
      </c>
      <c r="F556" s="42" t="n">
        <v>0</v>
      </c>
      <c r="G556" s="42" t="n">
        <v>16443.41</v>
      </c>
      <c r="H556" s="42" t="inlineStr"/>
      <c r="I556" s="42" t="inlineStr"/>
      <c r="J556" s="42" t="inlineStr">
        <is>
          <t>HDFC Securities - Buy</t>
        </is>
      </c>
      <c r="K556" s="42" t="inlineStr">
        <is>
          <t>HDFC Securities</t>
        </is>
      </c>
      <c r="L556" s="18" t="n">
        <v>0.97</v>
      </c>
      <c r="M556" s="42" t="inlineStr">
        <is>
          <t>N/A</t>
        </is>
      </c>
    </row>
    <row r="557">
      <c r="A557" s="54" t="n">
        <v>45267</v>
      </c>
      <c r="B557" s="55" t="inlineStr">
        <is>
          <t>NET PO FROM HSL A/C 2554606-50200085415108</t>
        </is>
      </c>
      <c r="C557" s="55" t="inlineStr">
        <is>
          <t>0000000471607853</t>
        </is>
      </c>
      <c r="D557" s="54" t="n">
        <v>45267</v>
      </c>
      <c r="E557" s="55" t="n">
        <v>0</v>
      </c>
      <c r="F557" s="55" t="n">
        <v>45687.85</v>
      </c>
      <c r="G557" s="55" t="n">
        <v>62131.26</v>
      </c>
      <c r="H557" s="55" t="inlineStr"/>
      <c r="I557" s="55" t="inlineStr"/>
      <c r="J557" s="55" t="inlineStr">
        <is>
          <t>HDFC Securities - Sell</t>
        </is>
      </c>
      <c r="K557" s="55" t="inlineStr">
        <is>
          <t>HDFC Securities</t>
        </is>
      </c>
      <c r="L557" s="18" t="n">
        <v>0.97</v>
      </c>
      <c r="M557" s="55" t="inlineStr">
        <is>
          <t>N/A</t>
        </is>
      </c>
    </row>
    <row r="558">
      <c r="A558" s="74" t="n">
        <v>45267</v>
      </c>
      <c r="B558" s="75" t="inlineStr">
        <is>
          <t>FT- ADITYA BSLMF-POOL RED A/C - BIRLA MF-RED-DC-F NO.  1040257989- 16</t>
        </is>
      </c>
      <c r="C558" s="75" t="inlineStr">
        <is>
          <t>0000000508316072</t>
        </is>
      </c>
      <c r="D558" s="74" t="n">
        <v>45267</v>
      </c>
      <c r="E558" s="75" t="n">
        <v>0</v>
      </c>
      <c r="F558" s="75" t="n">
        <v>118595.14</v>
      </c>
      <c r="G558" s="75" t="n">
        <v>180726.4</v>
      </c>
      <c r="H558" s="75" t="inlineStr"/>
      <c r="I558" s="75" t="inlineStr"/>
      <c r="J558" s="75" t="inlineStr">
        <is>
          <t>MF Redemption</t>
        </is>
      </c>
      <c r="K558" s="75" t="inlineStr">
        <is>
          <t>Mutual Funds</t>
        </is>
      </c>
      <c r="L558" s="18" t="n">
        <v>0.85</v>
      </c>
      <c r="M558" s="75" t="inlineStr">
        <is>
          <t>N/A</t>
        </is>
      </c>
    </row>
    <row r="559">
      <c r="A559" s="41" t="n">
        <v>45267</v>
      </c>
      <c r="B559" s="42" t="inlineStr">
        <is>
          <t>NET PI TO HSL SEC A/C 2554606-00602340029427</t>
        </is>
      </c>
      <c r="C559" s="42" t="inlineStr">
        <is>
          <t>0000000471737942</t>
        </is>
      </c>
      <c r="D559" s="41" t="n">
        <v>45267</v>
      </c>
      <c r="E559" s="42" t="n">
        <v>72.64</v>
      </c>
      <c r="F559" s="42" t="n">
        <v>0</v>
      </c>
      <c r="G559" s="42" t="n">
        <v>180653.76</v>
      </c>
      <c r="H559" s="42" t="inlineStr"/>
      <c r="I559" s="42" t="inlineStr"/>
      <c r="J559" s="42" t="inlineStr">
        <is>
          <t>HDFC Securities - Buy</t>
        </is>
      </c>
      <c r="K559" s="42" t="inlineStr">
        <is>
          <t>HDFC Securities</t>
        </is>
      </c>
      <c r="L559" s="18" t="n">
        <v>0.97</v>
      </c>
      <c r="M559" s="42" t="inlineStr">
        <is>
          <t>N/A</t>
        </is>
      </c>
    </row>
    <row r="560">
      <c r="A560" s="58" t="n">
        <v>45267</v>
      </c>
      <c r="B560" s="59" t="inlineStr">
        <is>
          <t>YHDF2165733280/BILLDKINDIANCLEARING</t>
        </is>
      </c>
      <c r="C560" s="59" t="inlineStr">
        <is>
          <t>0002334135667698</t>
        </is>
      </c>
      <c r="D560" s="58" t="n">
        <v>45267</v>
      </c>
      <c r="E560" s="59" t="n">
        <v>120000</v>
      </c>
      <c r="F560" s="59" t="n">
        <v>0</v>
      </c>
      <c r="G560" s="59" t="n">
        <v>60653.76</v>
      </c>
      <c r="H560" s="59" t="inlineStr"/>
      <c r="I560" s="59" t="inlineStr"/>
      <c r="J560" s="59" t="inlineStr">
        <is>
          <t>SIP</t>
        </is>
      </c>
      <c r="K560" s="59" t="inlineStr">
        <is>
          <t>SIP</t>
        </is>
      </c>
      <c r="L560" s="18" t="n">
        <v>0.9</v>
      </c>
      <c r="M560" s="59" t="inlineStr">
        <is>
          <t>N/A</t>
        </is>
      </c>
    </row>
    <row r="561">
      <c r="A561" s="64" t="n">
        <v>45267</v>
      </c>
      <c r="B561" s="65" t="inlineStr">
        <is>
          <t>ACH C- POWER FINANCE CORPOR-12156202</t>
        </is>
      </c>
      <c r="C561" s="65" t="inlineStr">
        <is>
          <t>0000008349801515</t>
        </is>
      </c>
      <c r="D561" s="64" t="n">
        <v>45267</v>
      </c>
      <c r="E561" s="65" t="n">
        <v>0</v>
      </c>
      <c r="F561" s="65" t="n">
        <v>81</v>
      </c>
      <c r="G561" s="65" t="n">
        <v>60734.76</v>
      </c>
      <c r="H561" s="65" t="inlineStr"/>
      <c r="I561" s="65" t="inlineStr"/>
      <c r="J561" s="65" t="inlineStr">
        <is>
          <t>Dividend Income</t>
        </is>
      </c>
      <c r="K561" s="65" t="inlineStr">
        <is>
          <t>Dividend Income</t>
        </is>
      </c>
      <c r="L561" s="18" t="n">
        <v>0.88</v>
      </c>
      <c r="M561" s="65" t="inlineStr">
        <is>
          <t>N/A</t>
        </is>
      </c>
    </row>
    <row r="562">
      <c r="A562" s="23" t="n">
        <v>45267</v>
      </c>
      <c r="B562" s="24" t="inlineStr">
        <is>
          <t>00602300000434-024929018</t>
        </is>
      </c>
      <c r="C562" s="24" t="inlineStr">
        <is>
          <t>0000312073084366</t>
        </is>
      </c>
      <c r="D562" s="23" t="n">
        <v>45267</v>
      </c>
      <c r="E562" s="24" t="n">
        <v>0</v>
      </c>
      <c r="F562" s="24" t="n">
        <v>1880</v>
      </c>
      <c r="G562" s="24" t="n">
        <v>62614.76</v>
      </c>
      <c r="H562" s="24" t="inlineStr"/>
      <c r="I562" s="24" t="inlineStr"/>
      <c r="J562" s="24" t="inlineStr">
        <is>
          <t>What is this?</t>
        </is>
      </c>
      <c r="K562" s="24" t="inlineStr">
        <is>
          <t>Suspense</t>
        </is>
      </c>
      <c r="L562" s="25" t="n">
        <v>0</v>
      </c>
      <c r="M562" s="24" t="inlineStr">
        <is>
          <t>N/A</t>
        </is>
      </c>
    </row>
    <row r="563">
      <c r="A563" s="41" t="n">
        <v>45267</v>
      </c>
      <c r="B563" s="42" t="inlineStr">
        <is>
          <t>NET PI TO HSL SEC A/C 2554606-00602340029427</t>
        </is>
      </c>
      <c r="C563" s="42" t="inlineStr">
        <is>
          <t>0000000471906737</t>
        </is>
      </c>
      <c r="D563" s="41" t="n">
        <v>45267</v>
      </c>
      <c r="E563" s="42" t="n">
        <v>22187.2</v>
      </c>
      <c r="F563" s="42" t="n">
        <v>0</v>
      </c>
      <c r="G563" s="42" t="n">
        <v>40427.56</v>
      </c>
      <c r="H563" s="42" t="inlineStr"/>
      <c r="I563" s="42" t="inlineStr"/>
      <c r="J563" s="42" t="inlineStr">
        <is>
          <t>HDFC Securities - Buy</t>
        </is>
      </c>
      <c r="K563" s="42" t="inlineStr">
        <is>
          <t>HDFC Securities</t>
        </is>
      </c>
      <c r="L563" s="18" t="n">
        <v>0.97</v>
      </c>
      <c r="M563" s="42" t="inlineStr">
        <is>
          <t>N/A</t>
        </is>
      </c>
    </row>
    <row r="564">
      <c r="A564" s="41" t="n">
        <v>45268</v>
      </c>
      <c r="B564" s="42" t="inlineStr">
        <is>
          <t>NET PI TO HSL SEC A/C 2554606-00602340029427</t>
        </is>
      </c>
      <c r="C564" s="42" t="inlineStr">
        <is>
          <t>0000000472177992</t>
        </is>
      </c>
      <c r="D564" s="41" t="n">
        <v>45268</v>
      </c>
      <c r="E564" s="42" t="n">
        <v>101.43</v>
      </c>
      <c r="F564" s="42" t="n">
        <v>0</v>
      </c>
      <c r="G564" s="42" t="n">
        <v>40326.13</v>
      </c>
      <c r="H564" s="42" t="inlineStr"/>
      <c r="I564" s="42" t="inlineStr"/>
      <c r="J564" s="42" t="inlineStr">
        <is>
          <t>HDFC Securities - Buy</t>
        </is>
      </c>
      <c r="K564" s="42" t="inlineStr">
        <is>
          <t>HDFC Securities</t>
        </is>
      </c>
      <c r="L564" s="18" t="n">
        <v>0.97</v>
      </c>
      <c r="M564" s="42" t="inlineStr">
        <is>
          <t>N/A</t>
        </is>
      </c>
    </row>
    <row r="565">
      <c r="A565" s="56" t="n">
        <v>45268</v>
      </c>
      <c r="B565" s="57" t="inlineStr">
        <is>
          <t>DEPOSITORY CHARGES NOV23 - 52812428</t>
        </is>
      </c>
      <c r="C565" s="57" t="inlineStr">
        <is>
          <t>000000000000000</t>
        </is>
      </c>
      <c r="D565" s="56" t="n">
        <v>45268</v>
      </c>
      <c r="E565" s="57" t="n">
        <v>1101.32</v>
      </c>
      <c r="F565" s="57" t="n">
        <v>0</v>
      </c>
      <c r="G565" s="57" t="n">
        <v>39224.81</v>
      </c>
      <c r="H565" s="57" t="inlineStr"/>
      <c r="I565" s="57" t="inlineStr"/>
      <c r="J565" s="57" t="inlineStr">
        <is>
          <t>Depository Charges</t>
        </is>
      </c>
      <c r="K565" s="57" t="inlineStr">
        <is>
          <t>Depository Charges</t>
        </is>
      </c>
      <c r="L565" s="18" t="n">
        <v>0.93</v>
      </c>
      <c r="M565" s="57" t="inlineStr">
        <is>
          <t>N/A</t>
        </is>
      </c>
    </row>
    <row r="566">
      <c r="A566" s="41" t="n">
        <v>45268</v>
      </c>
      <c r="B566" s="42" t="inlineStr">
        <is>
          <t>NET PI TO HSL SEC A/C 2554606-00602340029427</t>
        </is>
      </c>
      <c r="C566" s="42" t="inlineStr">
        <is>
          <t>0000000472361797</t>
        </is>
      </c>
      <c r="D566" s="41" t="n">
        <v>45268</v>
      </c>
      <c r="E566" s="42" t="n">
        <v>1117.75</v>
      </c>
      <c r="F566" s="42" t="n">
        <v>0</v>
      </c>
      <c r="G566" s="42" t="n">
        <v>38107.06</v>
      </c>
      <c r="H566" s="42" t="inlineStr"/>
      <c r="I566" s="42" t="inlineStr"/>
      <c r="J566" s="42" t="inlineStr">
        <is>
          <t>HDFC Securities - Buy</t>
        </is>
      </c>
      <c r="K566" s="42" t="inlineStr">
        <is>
          <t>HDFC Securities</t>
        </is>
      </c>
      <c r="L566" s="18" t="n">
        <v>0.97</v>
      </c>
      <c r="M566" s="42" t="inlineStr">
        <is>
          <t>N/A</t>
        </is>
      </c>
    </row>
    <row r="567">
      <c r="A567" s="41" t="n">
        <v>45271</v>
      </c>
      <c r="B567" s="42" t="inlineStr">
        <is>
          <t>NET PI TO HSL SEC A/C 2554606-00602340029427</t>
        </is>
      </c>
      <c r="C567" s="42" t="inlineStr">
        <is>
          <t>0000000472720682</t>
        </is>
      </c>
      <c r="D567" s="41" t="n">
        <v>45271</v>
      </c>
      <c r="E567" s="42" t="n">
        <v>366.69</v>
      </c>
      <c r="F567" s="42" t="n">
        <v>0</v>
      </c>
      <c r="G567" s="42" t="n">
        <v>37740.37</v>
      </c>
      <c r="H567" s="42" t="inlineStr"/>
      <c r="I567" s="42" t="inlineStr"/>
      <c r="J567" s="42" t="inlineStr">
        <is>
          <t>HDFC Securities - Buy</t>
        </is>
      </c>
      <c r="K567" s="42" t="inlineStr">
        <is>
          <t>HDFC Securities</t>
        </is>
      </c>
      <c r="L567" s="18" t="n">
        <v>0.97</v>
      </c>
      <c r="M567" s="42" t="inlineStr">
        <is>
          <t>N/A</t>
        </is>
      </c>
    </row>
    <row r="568">
      <c r="A568" s="26" t="n">
        <v>45271</v>
      </c>
      <c r="B568" s="27" t="inlineStr">
        <is>
          <t>UPI-AJAY KUMAR GUPTA-AJAYGUPTANEL@AXL-HDFC0000167-371131486874-TRANSFER FROM AAYU</t>
        </is>
      </c>
      <c r="C568" s="27" t="inlineStr">
        <is>
          <t>0000371131486874</t>
        </is>
      </c>
      <c r="D568" s="26" t="n">
        <v>45271</v>
      </c>
      <c r="E568" s="27" t="n">
        <v>10000</v>
      </c>
      <c r="F568" s="27" t="n">
        <v>0</v>
      </c>
      <c r="G568" s="27" t="n">
        <v>27740.37</v>
      </c>
      <c r="H568" s="27" t="inlineStr"/>
      <c r="I568" s="27" t="inlineStr"/>
      <c r="J568" s="27" t="inlineStr">
        <is>
          <t>Transfer - Ajay Gupta</t>
        </is>
      </c>
      <c r="K568" s="27" t="inlineStr">
        <is>
          <t>Ajay Gupta</t>
        </is>
      </c>
      <c r="L568" s="18" t="n">
        <v>0.88</v>
      </c>
      <c r="M568" s="27" t="inlineStr">
        <is>
          <t>N/A</t>
        </is>
      </c>
    </row>
    <row r="569">
      <c r="A569" s="54" t="n">
        <v>45272</v>
      </c>
      <c r="B569" s="55" t="inlineStr">
        <is>
          <t>NET PO FROM HSL A/C 2554606-50200085415108</t>
        </is>
      </c>
      <c r="C569" s="55" t="inlineStr">
        <is>
          <t>0000000473063224</t>
        </is>
      </c>
      <c r="D569" s="54" t="n">
        <v>45272</v>
      </c>
      <c r="E569" s="55" t="n">
        <v>0</v>
      </c>
      <c r="F569" s="55" t="n">
        <v>1448.7</v>
      </c>
      <c r="G569" s="55" t="n">
        <v>29189.07</v>
      </c>
      <c r="H569" s="55" t="inlineStr"/>
      <c r="I569" s="55" t="inlineStr"/>
      <c r="J569" s="55" t="inlineStr">
        <is>
          <t>HDFC Securities - Sell</t>
        </is>
      </c>
      <c r="K569" s="55" t="inlineStr">
        <is>
          <t>HDFC Securities</t>
        </is>
      </c>
      <c r="L569" s="18" t="n">
        <v>0.97</v>
      </c>
      <c r="M569" s="55" t="inlineStr">
        <is>
          <t>N/A</t>
        </is>
      </c>
    </row>
    <row r="570">
      <c r="A570" s="54" t="n">
        <v>45272</v>
      </c>
      <c r="B570" s="55" t="inlineStr">
        <is>
          <t>NET PO FROM HSL A/C 2554606-50200085415108</t>
        </is>
      </c>
      <c r="C570" s="55" t="inlineStr">
        <is>
          <t>0000000473087245</t>
        </is>
      </c>
      <c r="D570" s="54" t="n">
        <v>45272</v>
      </c>
      <c r="E570" s="55" t="n">
        <v>0</v>
      </c>
      <c r="F570" s="55" t="n">
        <v>24070.43</v>
      </c>
      <c r="G570" s="55" t="n">
        <v>53259.5</v>
      </c>
      <c r="H570" s="55" t="inlineStr"/>
      <c r="I570" s="55" t="inlineStr"/>
      <c r="J570" s="55" t="inlineStr">
        <is>
          <t>HDFC Securities - Sell</t>
        </is>
      </c>
      <c r="K570" s="55" t="inlineStr">
        <is>
          <t>HDFC Securities</t>
        </is>
      </c>
      <c r="L570" s="18" t="n">
        <v>0.97</v>
      </c>
      <c r="M570" s="55" t="inlineStr">
        <is>
          <t>N/A</t>
        </is>
      </c>
    </row>
    <row r="571">
      <c r="A571" s="26" t="n">
        <v>45272</v>
      </c>
      <c r="B571" s="27" t="inlineStr">
        <is>
          <t>UPI-AJAY KUMAR GUPTA-AJAYGUPTANEL@YBL-HDFC0000167-371248964667-RETURNED TO AAYUSH</t>
        </is>
      </c>
      <c r="C571" s="27" t="inlineStr">
        <is>
          <t>0000371248964667</t>
        </is>
      </c>
      <c r="D571" s="26" t="n">
        <v>45272</v>
      </c>
      <c r="E571" s="27" t="n">
        <v>0</v>
      </c>
      <c r="F571" s="27" t="n">
        <v>10000</v>
      </c>
      <c r="G571" s="27" t="n">
        <v>63259.5</v>
      </c>
      <c r="H571" s="27" t="inlineStr"/>
      <c r="I571" s="27" t="inlineStr"/>
      <c r="J571" s="27" t="inlineStr">
        <is>
          <t>Received - Ajay Gupta</t>
        </is>
      </c>
      <c r="K571" s="27" t="inlineStr">
        <is>
          <t>Ajay Gupta</t>
        </is>
      </c>
      <c r="L571" s="18" t="n">
        <v>0.88</v>
      </c>
      <c r="M571" s="27" t="inlineStr">
        <is>
          <t>N/A</t>
        </is>
      </c>
    </row>
    <row r="572">
      <c r="A572" s="41" t="n">
        <v>45272</v>
      </c>
      <c r="B572" s="42" t="inlineStr">
        <is>
          <t>NET PI TO HSL SEC A/C 2554606-00602340029427</t>
        </is>
      </c>
      <c r="C572" s="42" t="inlineStr">
        <is>
          <t>0000000473206037</t>
        </is>
      </c>
      <c r="D572" s="41" t="n">
        <v>45272</v>
      </c>
      <c r="E572" s="42" t="n">
        <v>122.23</v>
      </c>
      <c r="F572" s="42" t="n">
        <v>0</v>
      </c>
      <c r="G572" s="42" t="n">
        <v>63137.27</v>
      </c>
      <c r="H572" s="42" t="inlineStr"/>
      <c r="I572" s="42" t="inlineStr"/>
      <c r="J572" s="42" t="inlineStr">
        <is>
          <t>HDFC Securities - Buy</t>
        </is>
      </c>
      <c r="K572" s="42" t="inlineStr">
        <is>
          <t>HDFC Securities</t>
        </is>
      </c>
      <c r="L572" s="18" t="n">
        <v>0.97</v>
      </c>
      <c r="M572" s="42" t="inlineStr">
        <is>
          <t>N/A</t>
        </is>
      </c>
    </row>
    <row r="573">
      <c r="A573" s="41" t="n">
        <v>45272</v>
      </c>
      <c r="B573" s="42" t="inlineStr">
        <is>
          <t>NET PI TO HSL SEC A/C 2554606-00602340029427</t>
        </is>
      </c>
      <c r="C573" s="42" t="inlineStr">
        <is>
          <t>0000000473387884</t>
        </is>
      </c>
      <c r="D573" s="41" t="n">
        <v>45272</v>
      </c>
      <c r="E573" s="42" t="n">
        <v>1555.7</v>
      </c>
      <c r="F573" s="42" t="n">
        <v>0</v>
      </c>
      <c r="G573" s="42" t="n">
        <v>61581.57</v>
      </c>
      <c r="H573" s="42" t="inlineStr"/>
      <c r="I573" s="42" t="inlineStr"/>
      <c r="J573" s="42" t="inlineStr">
        <is>
          <t>HDFC Securities - Buy</t>
        </is>
      </c>
      <c r="K573" s="42" t="inlineStr">
        <is>
          <t>HDFC Securities</t>
        </is>
      </c>
      <c r="L573" s="18" t="n">
        <v>0.97</v>
      </c>
      <c r="M573" s="42" t="inlineStr">
        <is>
          <t>N/A</t>
        </is>
      </c>
    </row>
    <row r="574">
      <c r="A574" s="54" t="n">
        <v>45273</v>
      </c>
      <c r="B574" s="55" t="inlineStr">
        <is>
          <t>NET PO FROM HSL A/C 2554606-50200085415108</t>
        </is>
      </c>
      <c r="C574" s="55" t="inlineStr">
        <is>
          <t>0000000473533593</t>
        </is>
      </c>
      <c r="D574" s="54" t="n">
        <v>45273</v>
      </c>
      <c r="E574" s="55" t="n">
        <v>0</v>
      </c>
      <c r="F574" s="55" t="n">
        <v>29050</v>
      </c>
      <c r="G574" s="55" t="n">
        <v>90631.57000000001</v>
      </c>
      <c r="H574" s="55" t="inlineStr"/>
      <c r="I574" s="55" t="inlineStr"/>
      <c r="J574" s="55" t="inlineStr">
        <is>
          <t>HDFC Securities - Sell</t>
        </is>
      </c>
      <c r="K574" s="55" t="inlineStr">
        <is>
          <t>HDFC Securities</t>
        </is>
      </c>
      <c r="L574" s="18" t="n">
        <v>0.97</v>
      </c>
      <c r="M574" s="55" t="inlineStr">
        <is>
          <t>N/A</t>
        </is>
      </c>
    </row>
    <row r="575">
      <c r="A575" s="41" t="n">
        <v>45273</v>
      </c>
      <c r="B575" s="42" t="inlineStr">
        <is>
          <t>NET PI TO HSL SEC A/C 2554606-00602340029427</t>
        </is>
      </c>
      <c r="C575" s="42" t="inlineStr">
        <is>
          <t>0000000473642390</t>
        </is>
      </c>
      <c r="D575" s="41" t="n">
        <v>45273</v>
      </c>
      <c r="E575" s="42" t="n">
        <v>122.19</v>
      </c>
      <c r="F575" s="42" t="n">
        <v>0</v>
      </c>
      <c r="G575" s="42" t="n">
        <v>90509.38</v>
      </c>
      <c r="H575" s="42" t="inlineStr"/>
      <c r="I575" s="42" t="inlineStr"/>
      <c r="J575" s="42" t="inlineStr">
        <is>
          <t>HDFC Securities - Buy</t>
        </is>
      </c>
      <c r="K575" s="42" t="inlineStr">
        <is>
          <t>HDFC Securities</t>
        </is>
      </c>
      <c r="L575" s="18" t="n">
        <v>0.97</v>
      </c>
      <c r="M575" s="42" t="inlineStr">
        <is>
          <t>N/A</t>
        </is>
      </c>
    </row>
    <row r="576">
      <c r="A576" s="41" t="n">
        <v>45273</v>
      </c>
      <c r="B576" s="42" t="inlineStr">
        <is>
          <t>NET PI TO HSL SEC A/C 2554606-00602340029427</t>
        </is>
      </c>
      <c r="C576" s="42" t="inlineStr">
        <is>
          <t>0000000473809710</t>
        </is>
      </c>
      <c r="D576" s="41" t="n">
        <v>45273</v>
      </c>
      <c r="E576" s="42" t="n">
        <v>44091.23</v>
      </c>
      <c r="F576" s="42" t="n">
        <v>0</v>
      </c>
      <c r="G576" s="42" t="n">
        <v>46418.15</v>
      </c>
      <c r="H576" s="42" t="inlineStr"/>
      <c r="I576" s="42" t="inlineStr"/>
      <c r="J576" s="42" t="inlineStr">
        <is>
          <t>HDFC Securities - Buy</t>
        </is>
      </c>
      <c r="K576" s="42" t="inlineStr">
        <is>
          <t>HDFC Securities</t>
        </is>
      </c>
      <c r="L576" s="18" t="n">
        <v>0.97</v>
      </c>
      <c r="M576" s="42" t="inlineStr">
        <is>
          <t>N/A</t>
        </is>
      </c>
    </row>
    <row r="577">
      <c r="A577" s="26" t="n">
        <v>45274</v>
      </c>
      <c r="B577" s="27" t="inlineStr">
        <is>
          <t>01671000085930-TPT-TRANSFER FROM AJAY HDFC-AJAY KUMAR GUPTA</t>
        </is>
      </c>
      <c r="C577" s="27" t="inlineStr">
        <is>
          <t>0000000350320214</t>
        </is>
      </c>
      <c r="D577" s="26" t="n">
        <v>45274</v>
      </c>
      <c r="E577" s="27" t="n">
        <v>0</v>
      </c>
      <c r="F577" s="27" t="n">
        <v>100000</v>
      </c>
      <c r="G577" s="27" t="n">
        <v>146418.15</v>
      </c>
      <c r="H577" s="27" t="inlineStr"/>
      <c r="I577" s="27" t="inlineStr"/>
      <c r="J577" s="27" t="inlineStr">
        <is>
          <t>Received - Ajay Gupta</t>
        </is>
      </c>
      <c r="K577" s="27" t="inlineStr">
        <is>
          <t>Ajay Gupta</t>
        </is>
      </c>
      <c r="L577" s="18" t="n">
        <v>0.88</v>
      </c>
      <c r="M577" s="27" t="inlineStr">
        <is>
          <t>N/A</t>
        </is>
      </c>
    </row>
    <row r="578">
      <c r="A578" s="41" t="n">
        <v>45274</v>
      </c>
      <c r="B578" s="42" t="inlineStr">
        <is>
          <t>NET PI TO HSL SEC A/C 2554606-00602340029427</t>
        </is>
      </c>
      <c r="C578" s="42" t="inlineStr">
        <is>
          <t>0000000474064670</t>
        </is>
      </c>
      <c r="D578" s="41" t="n">
        <v>45274</v>
      </c>
      <c r="E578" s="42" t="n">
        <v>106.49</v>
      </c>
      <c r="F578" s="42" t="n">
        <v>0</v>
      </c>
      <c r="G578" s="42" t="n">
        <v>146311.66</v>
      </c>
      <c r="H578" s="42" t="inlineStr"/>
      <c r="I578" s="42" t="inlineStr"/>
      <c r="J578" s="42" t="inlineStr">
        <is>
          <t>HDFC Securities - Buy</t>
        </is>
      </c>
      <c r="K578" s="42" t="inlineStr">
        <is>
          <t>HDFC Securities</t>
        </is>
      </c>
      <c r="L578" s="18" t="n">
        <v>0.97</v>
      </c>
      <c r="M578" s="42" t="inlineStr">
        <is>
          <t>N/A</t>
        </is>
      </c>
    </row>
    <row r="579">
      <c r="A579" s="26" t="n">
        <v>45274</v>
      </c>
      <c r="B579" s="27" t="inlineStr">
        <is>
          <t>01671000085930-TPT-FROM HDFC AKG-AJAY KUMAR GUPTA</t>
        </is>
      </c>
      <c r="C579" s="27" t="inlineStr">
        <is>
          <t>0000000353788029</t>
        </is>
      </c>
      <c r="D579" s="26" t="n">
        <v>45274</v>
      </c>
      <c r="E579" s="27" t="n">
        <v>0</v>
      </c>
      <c r="F579" s="27" t="n">
        <v>30000</v>
      </c>
      <c r="G579" s="27" t="n">
        <v>176311.66</v>
      </c>
      <c r="H579" s="27" t="inlineStr"/>
      <c r="I579" s="27" t="inlineStr"/>
      <c r="J579" s="27" t="inlineStr">
        <is>
          <t>Received - Ajay Gupta</t>
        </is>
      </c>
      <c r="K579" s="27" t="inlineStr">
        <is>
          <t>Ajay Gupta</t>
        </is>
      </c>
      <c r="L579" s="18" t="n">
        <v>0.88</v>
      </c>
      <c r="M579" s="27" t="inlineStr">
        <is>
          <t>N/A</t>
        </is>
      </c>
    </row>
    <row r="580">
      <c r="A580" s="41" t="n">
        <v>45275</v>
      </c>
      <c r="B580" s="42" t="inlineStr">
        <is>
          <t>NET PI TO HSL SEC A/C 2554606-00602340029427</t>
        </is>
      </c>
      <c r="C580" s="42" t="inlineStr">
        <is>
          <t>0000000474220571</t>
        </is>
      </c>
      <c r="D580" s="41" t="n">
        <v>45275</v>
      </c>
      <c r="E580" s="42" t="n">
        <v>115366.85</v>
      </c>
      <c r="F580" s="42" t="n">
        <v>0</v>
      </c>
      <c r="G580" s="42" t="n">
        <v>60944.81</v>
      </c>
      <c r="H580" s="42" t="inlineStr"/>
      <c r="I580" s="42" t="inlineStr"/>
      <c r="J580" s="42" t="inlineStr">
        <is>
          <t>HDFC Securities - Buy</t>
        </is>
      </c>
      <c r="K580" s="42" t="inlineStr">
        <is>
          <t>HDFC Securities</t>
        </is>
      </c>
      <c r="L580" s="18" t="n">
        <v>0.97</v>
      </c>
      <c r="M580" s="42" t="inlineStr">
        <is>
          <t>N/A</t>
        </is>
      </c>
    </row>
    <row r="581">
      <c r="A581" s="54" t="n">
        <v>45275</v>
      </c>
      <c r="B581" s="55" t="inlineStr">
        <is>
          <t>NET PO FROM HSL A/C 2554606-50200085415108</t>
        </is>
      </c>
      <c r="C581" s="55" t="inlineStr">
        <is>
          <t>0000000474362870</t>
        </is>
      </c>
      <c r="D581" s="54" t="n">
        <v>45275</v>
      </c>
      <c r="E581" s="55" t="n">
        <v>0</v>
      </c>
      <c r="F581" s="55" t="n">
        <v>16614.38</v>
      </c>
      <c r="G581" s="55" t="n">
        <v>77559.19</v>
      </c>
      <c r="H581" s="55" t="inlineStr"/>
      <c r="I581" s="55" t="inlineStr"/>
      <c r="J581" s="55" t="inlineStr">
        <is>
          <t>HDFC Securities - Sell</t>
        </is>
      </c>
      <c r="K581" s="55" t="inlineStr">
        <is>
          <t>HDFC Securities</t>
        </is>
      </c>
      <c r="L581" s="18" t="n">
        <v>0.97</v>
      </c>
      <c r="M581" s="55" t="inlineStr">
        <is>
          <t>N/A</t>
        </is>
      </c>
    </row>
    <row r="582">
      <c r="A582" s="41" t="n">
        <v>45275</v>
      </c>
      <c r="B582" s="42" t="inlineStr">
        <is>
          <t>NET PI TO HSL SEC A/C 2554606-00602340029427</t>
        </is>
      </c>
      <c r="C582" s="42" t="inlineStr">
        <is>
          <t>0000000474504051</t>
        </is>
      </c>
      <c r="D582" s="41" t="n">
        <v>45275</v>
      </c>
      <c r="E582" s="42" t="n">
        <v>65.40000000000001</v>
      </c>
      <c r="F582" s="42" t="n">
        <v>0</v>
      </c>
      <c r="G582" s="42" t="n">
        <v>77493.78999999999</v>
      </c>
      <c r="H582" s="42" t="inlineStr"/>
      <c r="I582" s="42" t="inlineStr"/>
      <c r="J582" s="42" t="inlineStr">
        <is>
          <t>HDFC Securities - Buy</t>
        </is>
      </c>
      <c r="K582" s="42" t="inlineStr">
        <is>
          <t>HDFC Securities</t>
        </is>
      </c>
      <c r="L582" s="18" t="n">
        <v>0.97</v>
      </c>
      <c r="M582" s="42" t="inlineStr">
        <is>
          <t>N/A</t>
        </is>
      </c>
    </row>
    <row r="583">
      <c r="A583" s="62" t="n">
        <v>45277</v>
      </c>
      <c r="B583" s="63" t="inlineStr">
        <is>
          <t>01671000060094-TPT-FROM AAYUSH-SUNITA GUPTA</t>
        </is>
      </c>
      <c r="C583" s="63" t="inlineStr">
        <is>
          <t>0000000762824930</t>
        </is>
      </c>
      <c r="D583" s="62" t="n">
        <v>45277</v>
      </c>
      <c r="E583" s="63" t="n">
        <v>10000</v>
      </c>
      <c r="F583" s="63" t="n">
        <v>0</v>
      </c>
      <c r="G583" s="63" t="n">
        <v>67493.78999999999</v>
      </c>
      <c r="H583" s="63" t="inlineStr"/>
      <c r="I583" s="63" t="inlineStr"/>
      <c r="J583" s="63" t="inlineStr">
        <is>
          <t>Transfer - Sunita Gupta</t>
        </is>
      </c>
      <c r="K583" s="63" t="inlineStr">
        <is>
          <t>Sunita Gupta</t>
        </is>
      </c>
      <c r="L583" s="18" t="n">
        <v>0.88</v>
      </c>
      <c r="M583" s="63" t="inlineStr">
        <is>
          <t>N/A</t>
        </is>
      </c>
    </row>
    <row r="584">
      <c r="A584" s="54" t="n">
        <v>45278</v>
      </c>
      <c r="B584" s="55" t="inlineStr">
        <is>
          <t>NET PO FROM HSL A/C 2554606-50200085415108</t>
        </is>
      </c>
      <c r="C584" s="55" t="inlineStr">
        <is>
          <t>0000000474779537</t>
        </is>
      </c>
      <c r="D584" s="54" t="n">
        <v>45278</v>
      </c>
      <c r="E584" s="55" t="n">
        <v>0</v>
      </c>
      <c r="F584" s="55" t="n">
        <v>547.2</v>
      </c>
      <c r="G584" s="55" t="n">
        <v>68040.99000000001</v>
      </c>
      <c r="H584" s="55" t="inlineStr"/>
      <c r="I584" s="55" t="inlineStr"/>
      <c r="J584" s="55" t="inlineStr">
        <is>
          <t>HDFC Securities - Sell</t>
        </is>
      </c>
      <c r="K584" s="55" t="inlineStr">
        <is>
          <t>HDFC Securities</t>
        </is>
      </c>
      <c r="L584" s="18" t="n">
        <v>0.97</v>
      </c>
      <c r="M584" s="55" t="inlineStr">
        <is>
          <t>N/A</t>
        </is>
      </c>
    </row>
    <row r="585">
      <c r="A585" s="41" t="n">
        <v>45278</v>
      </c>
      <c r="B585" s="42" t="inlineStr">
        <is>
          <t>NET PI TO HSL SEC A/C 2554606-00602340029427</t>
        </is>
      </c>
      <c r="C585" s="42" t="inlineStr">
        <is>
          <t>0000000474965024</t>
        </is>
      </c>
      <c r="D585" s="41" t="n">
        <v>45278</v>
      </c>
      <c r="E585" s="42" t="n">
        <v>564.99</v>
      </c>
      <c r="F585" s="42" t="n">
        <v>0</v>
      </c>
      <c r="G585" s="42" t="n">
        <v>67476</v>
      </c>
      <c r="H585" s="42" t="inlineStr"/>
      <c r="I585" s="42" t="inlineStr"/>
      <c r="J585" s="42" t="inlineStr">
        <is>
          <t>HDFC Securities - Buy</t>
        </is>
      </c>
      <c r="K585" s="42" t="inlineStr">
        <is>
          <t>HDFC Securities</t>
        </is>
      </c>
      <c r="L585" s="18" t="n">
        <v>0.97</v>
      </c>
      <c r="M585" s="42" t="inlineStr">
        <is>
          <t>N/A</t>
        </is>
      </c>
    </row>
    <row r="586">
      <c r="A586" s="54" t="n">
        <v>45279</v>
      </c>
      <c r="B586" s="55" t="inlineStr">
        <is>
          <t>NET PO FROM HSL A/C 2554606-50200085415108</t>
        </is>
      </c>
      <c r="C586" s="55" t="inlineStr">
        <is>
          <t>0000000475240023</t>
        </is>
      </c>
      <c r="D586" s="54" t="n">
        <v>45279</v>
      </c>
      <c r="E586" s="55" t="n">
        <v>0</v>
      </c>
      <c r="F586" s="55" t="n">
        <v>22577.66</v>
      </c>
      <c r="G586" s="55" t="n">
        <v>90053.66</v>
      </c>
      <c r="H586" s="55" t="inlineStr"/>
      <c r="I586" s="55" t="inlineStr"/>
      <c r="J586" s="55" t="inlineStr">
        <is>
          <t>HDFC Securities - Sell</t>
        </is>
      </c>
      <c r="K586" s="55" t="inlineStr">
        <is>
          <t>HDFC Securities</t>
        </is>
      </c>
      <c r="L586" s="18" t="n">
        <v>0.97</v>
      </c>
      <c r="M586" s="55" t="inlineStr">
        <is>
          <t>N/A</t>
        </is>
      </c>
    </row>
    <row r="587">
      <c r="A587" s="41" t="n">
        <v>45279</v>
      </c>
      <c r="B587" s="42" t="inlineStr">
        <is>
          <t>NET PI TO HSL SEC A/C 2554606-00602340029427</t>
        </is>
      </c>
      <c r="C587" s="42" t="inlineStr">
        <is>
          <t>0000000475384792</t>
        </is>
      </c>
      <c r="D587" s="41" t="n">
        <v>45279</v>
      </c>
      <c r="E587" s="42" t="n">
        <v>188.52</v>
      </c>
      <c r="F587" s="42" t="n">
        <v>0</v>
      </c>
      <c r="G587" s="42" t="n">
        <v>89865.14</v>
      </c>
      <c r="H587" s="42" t="inlineStr"/>
      <c r="I587" s="42" t="inlineStr"/>
      <c r="J587" s="42" t="inlineStr">
        <is>
          <t>HDFC Securities - Buy</t>
        </is>
      </c>
      <c r="K587" s="42" t="inlineStr">
        <is>
          <t>HDFC Securities</t>
        </is>
      </c>
      <c r="L587" s="18" t="n">
        <v>0.97</v>
      </c>
      <c r="M587" s="42" t="inlineStr">
        <is>
          <t>N/A</t>
        </is>
      </c>
    </row>
    <row r="588">
      <c r="A588" s="54" t="n">
        <v>45280</v>
      </c>
      <c r="B588" s="55" t="inlineStr">
        <is>
          <t>NET PO FROM HSL A/C 2554606-50200085415108</t>
        </is>
      </c>
      <c r="C588" s="55" t="inlineStr">
        <is>
          <t>0000000475649263</t>
        </is>
      </c>
      <c r="D588" s="54" t="n">
        <v>45280</v>
      </c>
      <c r="E588" s="55" t="n">
        <v>0</v>
      </c>
      <c r="F588" s="55" t="n">
        <v>12168.37</v>
      </c>
      <c r="G588" s="55" t="n">
        <v>102033.51</v>
      </c>
      <c r="H588" s="55" t="inlineStr"/>
      <c r="I588" s="55" t="inlineStr"/>
      <c r="J588" s="55" t="inlineStr">
        <is>
          <t>HDFC Securities - Sell</t>
        </is>
      </c>
      <c r="K588" s="55" t="inlineStr">
        <is>
          <t>HDFC Securities</t>
        </is>
      </c>
      <c r="L588" s="18" t="n">
        <v>0.97</v>
      </c>
      <c r="M588" s="55" t="inlineStr">
        <is>
          <t>N/A</t>
        </is>
      </c>
    </row>
    <row r="589">
      <c r="A589" s="54" t="n">
        <v>45280</v>
      </c>
      <c r="B589" s="55" t="inlineStr">
        <is>
          <t>NET PO FROM HSL A/C 2554606-50200085415108</t>
        </is>
      </c>
      <c r="C589" s="55" t="inlineStr">
        <is>
          <t>0000000475670286</t>
        </is>
      </c>
      <c r="D589" s="54" t="n">
        <v>45280</v>
      </c>
      <c r="E589" s="55" t="n">
        <v>0</v>
      </c>
      <c r="F589" s="55" t="n">
        <v>52195.67</v>
      </c>
      <c r="G589" s="55" t="n">
        <v>154229.18</v>
      </c>
      <c r="H589" s="55" t="inlineStr"/>
      <c r="I589" s="55" t="inlineStr"/>
      <c r="J589" s="55" t="inlineStr">
        <is>
          <t>HDFC Securities - Sell</t>
        </is>
      </c>
      <c r="K589" s="55" t="inlineStr">
        <is>
          <t>HDFC Securities</t>
        </is>
      </c>
      <c r="L589" s="18" t="n">
        <v>0.97</v>
      </c>
      <c r="M589" s="55" t="inlineStr">
        <is>
          <t>N/A</t>
        </is>
      </c>
    </row>
    <row r="590">
      <c r="A590" s="41" t="n">
        <v>45280</v>
      </c>
      <c r="B590" s="42" t="inlineStr">
        <is>
          <t>NET PI TO HSL SEC A/C 2554606-00602340029427</t>
        </is>
      </c>
      <c r="C590" s="42" t="inlineStr">
        <is>
          <t>0000000475790271</t>
        </is>
      </c>
      <c r="D590" s="41" t="n">
        <v>45280</v>
      </c>
      <c r="E590" s="42" t="n">
        <v>174.49</v>
      </c>
      <c r="F590" s="42" t="n">
        <v>0</v>
      </c>
      <c r="G590" s="42" t="n">
        <v>154054.69</v>
      </c>
      <c r="H590" s="42" t="inlineStr"/>
      <c r="I590" s="42" t="inlineStr"/>
      <c r="J590" s="42" t="inlineStr">
        <is>
          <t>HDFC Securities - Buy</t>
        </is>
      </c>
      <c r="K590" s="42" t="inlineStr">
        <is>
          <t>HDFC Securities</t>
        </is>
      </c>
      <c r="L590" s="18" t="n">
        <v>0.97</v>
      </c>
      <c r="M590" s="42" t="inlineStr">
        <is>
          <t>N/A</t>
        </is>
      </c>
    </row>
    <row r="591">
      <c r="A591" s="54" t="n">
        <v>45281</v>
      </c>
      <c r="B591" s="55" t="inlineStr">
        <is>
          <t>NET PO FROM HSL A/C 2554606-50200085415108</t>
        </is>
      </c>
      <c r="C591" s="55" t="inlineStr">
        <is>
          <t>0000000476135115</t>
        </is>
      </c>
      <c r="D591" s="54" t="n">
        <v>45281</v>
      </c>
      <c r="E591" s="55" t="n">
        <v>0</v>
      </c>
      <c r="F591" s="55" t="n">
        <v>47174.26</v>
      </c>
      <c r="G591" s="55" t="n">
        <v>201228.95</v>
      </c>
      <c r="H591" s="55" t="inlineStr"/>
      <c r="I591" s="55" t="inlineStr"/>
      <c r="J591" s="55" t="inlineStr">
        <is>
          <t>HDFC Securities - Sell</t>
        </is>
      </c>
      <c r="K591" s="55" t="inlineStr">
        <is>
          <t>HDFC Securities</t>
        </is>
      </c>
      <c r="L591" s="18" t="n">
        <v>0.97</v>
      </c>
      <c r="M591" s="55" t="inlineStr">
        <is>
          <t>N/A</t>
        </is>
      </c>
    </row>
    <row r="592">
      <c r="A592" s="54" t="n">
        <v>45281</v>
      </c>
      <c r="B592" s="55" t="inlineStr">
        <is>
          <t>NET PO FROM HSL A/C 2554606-50200085415108</t>
        </is>
      </c>
      <c r="C592" s="55" t="inlineStr">
        <is>
          <t>0000000476151579</t>
        </is>
      </c>
      <c r="D592" s="54" t="n">
        <v>45281</v>
      </c>
      <c r="E592" s="55" t="n">
        <v>0</v>
      </c>
      <c r="F592" s="55" t="n">
        <v>38358.06</v>
      </c>
      <c r="G592" s="55" t="n">
        <v>239587.01</v>
      </c>
      <c r="H592" s="55" t="inlineStr"/>
      <c r="I592" s="55" t="inlineStr"/>
      <c r="J592" s="55" t="inlineStr">
        <is>
          <t>HDFC Securities - Sell</t>
        </is>
      </c>
      <c r="K592" s="55" t="inlineStr">
        <is>
          <t>HDFC Securities</t>
        </is>
      </c>
      <c r="L592" s="18" t="n">
        <v>0.97</v>
      </c>
      <c r="M592" s="55" t="inlineStr">
        <is>
          <t>N/A</t>
        </is>
      </c>
    </row>
    <row r="593">
      <c r="A593" s="41" t="n">
        <v>45281</v>
      </c>
      <c r="B593" s="42" t="inlineStr">
        <is>
          <t>NET PI TO HSL SEC A/C 2554606-00602340029427</t>
        </is>
      </c>
      <c r="C593" s="42" t="inlineStr">
        <is>
          <t>0000000476292448</t>
        </is>
      </c>
      <c r="D593" s="41" t="n">
        <v>45281</v>
      </c>
      <c r="E593" s="42" t="n">
        <v>167.69</v>
      </c>
      <c r="F593" s="42" t="n">
        <v>0</v>
      </c>
      <c r="G593" s="42" t="n">
        <v>239419.32</v>
      </c>
      <c r="H593" s="42" t="inlineStr"/>
      <c r="I593" s="42" t="inlineStr"/>
      <c r="J593" s="42" t="inlineStr">
        <is>
          <t>HDFC Securities - Buy</t>
        </is>
      </c>
      <c r="K593" s="42" t="inlineStr">
        <is>
          <t>HDFC Securities</t>
        </is>
      </c>
      <c r="L593" s="18" t="n">
        <v>0.97</v>
      </c>
      <c r="M593" s="42" t="inlineStr">
        <is>
          <t>N/A</t>
        </is>
      </c>
    </row>
    <row r="594">
      <c r="A594" s="41" t="n">
        <v>45281</v>
      </c>
      <c r="B594" s="42" t="inlineStr">
        <is>
          <t>NET PI TO HSL SEC A/C 2554606-00602340029427</t>
        </is>
      </c>
      <c r="C594" s="42" t="inlineStr">
        <is>
          <t>0000000476431559</t>
        </is>
      </c>
      <c r="D594" s="41" t="n">
        <v>45281</v>
      </c>
      <c r="E594" s="42" t="n">
        <v>1624.73</v>
      </c>
      <c r="F594" s="42" t="n">
        <v>0</v>
      </c>
      <c r="G594" s="42" t="n">
        <v>237794.59</v>
      </c>
      <c r="H594" s="42" t="inlineStr"/>
      <c r="I594" s="42" t="inlineStr"/>
      <c r="J594" s="42" t="inlineStr">
        <is>
          <t>HDFC Securities - Buy</t>
        </is>
      </c>
      <c r="K594" s="42" t="inlineStr">
        <is>
          <t>HDFC Securities</t>
        </is>
      </c>
      <c r="L594" s="18" t="n">
        <v>0.97</v>
      </c>
      <c r="M594" s="42" t="inlineStr">
        <is>
          <t>N/A</t>
        </is>
      </c>
    </row>
    <row r="595">
      <c r="A595" s="41" t="n">
        <v>45282</v>
      </c>
      <c r="B595" s="42" t="inlineStr">
        <is>
          <t>NET PI TO HSL SEC A/C 2554606-00602340029427</t>
        </is>
      </c>
      <c r="C595" s="42" t="inlineStr">
        <is>
          <t>0000000476709095</t>
        </is>
      </c>
      <c r="D595" s="41" t="n">
        <v>45282</v>
      </c>
      <c r="E595" s="42" t="n">
        <v>137.1</v>
      </c>
      <c r="F595" s="42" t="n">
        <v>0</v>
      </c>
      <c r="G595" s="42" t="n">
        <v>237657.49</v>
      </c>
      <c r="H595" s="42" t="inlineStr"/>
      <c r="I595" s="42" t="inlineStr"/>
      <c r="J595" s="42" t="inlineStr">
        <is>
          <t>HDFC Securities - Buy</t>
        </is>
      </c>
      <c r="K595" s="42" t="inlineStr">
        <is>
          <t>HDFC Securities</t>
        </is>
      </c>
      <c r="L595" s="18" t="n">
        <v>0.97</v>
      </c>
      <c r="M595" s="42" t="inlineStr">
        <is>
          <t>N/A</t>
        </is>
      </c>
    </row>
    <row r="596">
      <c r="A596" s="41" t="n">
        <v>45282</v>
      </c>
      <c r="B596" s="42" t="inlineStr">
        <is>
          <t>NET PI TO HSL SEC A/C 2554606-00602340029427</t>
        </is>
      </c>
      <c r="C596" s="42" t="inlineStr">
        <is>
          <t>0000000476835565</t>
        </is>
      </c>
      <c r="D596" s="41" t="n">
        <v>45282</v>
      </c>
      <c r="E596" s="42" t="n">
        <v>43088.45</v>
      </c>
      <c r="F596" s="42" t="n">
        <v>0</v>
      </c>
      <c r="G596" s="42" t="n">
        <v>194569.04</v>
      </c>
      <c r="H596" s="42" t="inlineStr"/>
      <c r="I596" s="42" t="inlineStr"/>
      <c r="J596" s="42" t="inlineStr">
        <is>
          <t>HDFC Securities - Buy</t>
        </is>
      </c>
      <c r="K596" s="42" t="inlineStr">
        <is>
          <t>HDFC Securities</t>
        </is>
      </c>
      <c r="L596" s="18" t="n">
        <v>0.97</v>
      </c>
      <c r="M596" s="42" t="inlineStr">
        <is>
          <t>N/A</t>
        </is>
      </c>
    </row>
    <row r="597">
      <c r="A597" s="41" t="n">
        <v>45286</v>
      </c>
      <c r="B597" s="42" t="inlineStr">
        <is>
          <t>NET PI TO HSL SEC A/C 2554606-00602340029427</t>
        </is>
      </c>
      <c r="C597" s="42" t="inlineStr">
        <is>
          <t>0000000477186573</t>
        </is>
      </c>
      <c r="D597" s="41" t="n">
        <v>45286</v>
      </c>
      <c r="E597" s="42" t="n">
        <v>508.32</v>
      </c>
      <c r="F597" s="42" t="n">
        <v>0</v>
      </c>
      <c r="G597" s="42" t="n">
        <v>194060.72</v>
      </c>
      <c r="H597" s="42" t="inlineStr"/>
      <c r="I597" s="42" t="inlineStr"/>
      <c r="J597" s="42" t="inlineStr">
        <is>
          <t>HDFC Securities - Buy</t>
        </is>
      </c>
      <c r="K597" s="42" t="inlineStr">
        <is>
          <t>HDFC Securities</t>
        </is>
      </c>
      <c r="L597" s="18" t="n">
        <v>0.97</v>
      </c>
      <c r="M597" s="42" t="inlineStr">
        <is>
          <t>N/A</t>
        </is>
      </c>
    </row>
    <row r="598">
      <c r="A598" s="41" t="n">
        <v>45286</v>
      </c>
      <c r="B598" s="42" t="inlineStr">
        <is>
          <t>NET PI TO HSL SEC A/C 2554606-00602340029427</t>
        </is>
      </c>
      <c r="C598" s="42" t="inlineStr">
        <is>
          <t>0000000477340133</t>
        </is>
      </c>
      <c r="D598" s="41" t="n">
        <v>45286</v>
      </c>
      <c r="E598" s="42" t="n">
        <v>60341.51</v>
      </c>
      <c r="F598" s="42" t="n">
        <v>0</v>
      </c>
      <c r="G598" s="42" t="n">
        <v>133719.21</v>
      </c>
      <c r="H598" s="42" t="inlineStr"/>
      <c r="I598" s="42" t="inlineStr"/>
      <c r="J598" s="42" t="inlineStr">
        <is>
          <t>HDFC Securities - Buy</t>
        </is>
      </c>
      <c r="K598" s="42" t="inlineStr">
        <is>
          <t>HDFC Securities</t>
        </is>
      </c>
      <c r="L598" s="18" t="n">
        <v>0.97</v>
      </c>
      <c r="M598" s="42" t="inlineStr">
        <is>
          <t>N/A</t>
        </is>
      </c>
    </row>
    <row r="599">
      <c r="A599" s="41" t="n">
        <v>45287</v>
      </c>
      <c r="B599" s="42" t="inlineStr">
        <is>
          <t>NET PI TO HSL SEC A/C 2554606-00602340029427</t>
        </is>
      </c>
      <c r="C599" s="42" t="inlineStr">
        <is>
          <t>0000000477597932</t>
        </is>
      </c>
      <c r="D599" s="41" t="n">
        <v>45287</v>
      </c>
      <c r="E599" s="42" t="n">
        <v>153.84</v>
      </c>
      <c r="F599" s="42" t="n">
        <v>0</v>
      </c>
      <c r="G599" s="42" t="n">
        <v>133565.37</v>
      </c>
      <c r="H599" s="42" t="inlineStr"/>
      <c r="I599" s="42" t="inlineStr"/>
      <c r="J599" s="42" t="inlineStr">
        <is>
          <t>HDFC Securities - Buy</t>
        </is>
      </c>
      <c r="K599" s="42" t="inlineStr">
        <is>
          <t>HDFC Securities</t>
        </is>
      </c>
      <c r="L599" s="18" t="n">
        <v>0.97</v>
      </c>
      <c r="M599" s="42" t="inlineStr">
        <is>
          <t>N/A</t>
        </is>
      </c>
    </row>
    <row r="600">
      <c r="A600" s="41" t="n">
        <v>45288</v>
      </c>
      <c r="B600" s="42" t="inlineStr">
        <is>
          <t>NET PI TO HSL SEC A/C 2554606-00602340029427</t>
        </is>
      </c>
      <c r="C600" s="42" t="inlineStr">
        <is>
          <t>0000000477744263</t>
        </is>
      </c>
      <c r="D600" s="41" t="n">
        <v>45288</v>
      </c>
      <c r="E600" s="42" t="n">
        <v>18479.92</v>
      </c>
      <c r="F600" s="42" t="n">
        <v>0</v>
      </c>
      <c r="G600" s="42" t="n">
        <v>115085.45</v>
      </c>
      <c r="H600" s="42" t="inlineStr"/>
      <c r="I600" s="42" t="inlineStr"/>
      <c r="J600" s="42" t="inlineStr">
        <is>
          <t>HDFC Securities - Buy</t>
        </is>
      </c>
      <c r="K600" s="42" t="inlineStr">
        <is>
          <t>HDFC Securities</t>
        </is>
      </c>
      <c r="L600" s="18" t="n">
        <v>0.97</v>
      </c>
      <c r="M600" s="42" t="inlineStr">
        <is>
          <t>N/A</t>
        </is>
      </c>
    </row>
    <row r="601">
      <c r="A601" s="58" t="n">
        <v>45288</v>
      </c>
      <c r="B601" s="59" t="inlineStr">
        <is>
          <t>ACH D- TP ACH INDIANESIGN-1322787437</t>
        </is>
      </c>
      <c r="C601" s="59" t="inlineStr">
        <is>
          <t>0000008905687513</t>
        </is>
      </c>
      <c r="D601" s="58" t="n">
        <v>45288</v>
      </c>
      <c r="E601" s="59" t="n">
        <v>5000</v>
      </c>
      <c r="F601" s="59" t="n">
        <v>0</v>
      </c>
      <c r="G601" s="59" t="n">
        <v>110085.45</v>
      </c>
      <c r="H601" s="59" t="inlineStr"/>
      <c r="I601" s="59" t="inlineStr"/>
      <c r="J601" s="59" t="inlineStr">
        <is>
          <t>SIP</t>
        </is>
      </c>
      <c r="K601" s="59" t="inlineStr">
        <is>
          <t>SIP</t>
        </is>
      </c>
      <c r="L601" s="18" t="n">
        <v>0.95</v>
      </c>
      <c r="M601" s="59" t="inlineStr">
        <is>
          <t>N/A</t>
        </is>
      </c>
    </row>
    <row r="602">
      <c r="A602" s="41" t="n">
        <v>45288</v>
      </c>
      <c r="B602" s="42" t="inlineStr">
        <is>
          <t>NET PI TO HSL SEC A/C 2554606-00602340029427</t>
        </is>
      </c>
      <c r="C602" s="42" t="inlineStr">
        <is>
          <t>0000000478002383</t>
        </is>
      </c>
      <c r="D602" s="41" t="n">
        <v>45288</v>
      </c>
      <c r="E602" s="42" t="n">
        <v>147.26</v>
      </c>
      <c r="F602" s="42" t="n">
        <v>0</v>
      </c>
      <c r="G602" s="42" t="n">
        <v>109938.19</v>
      </c>
      <c r="H602" s="42" t="inlineStr"/>
      <c r="I602" s="42" t="inlineStr"/>
      <c r="J602" s="42" t="inlineStr">
        <is>
          <t>HDFC Securities - Buy</t>
        </is>
      </c>
      <c r="K602" s="42" t="inlineStr">
        <is>
          <t>HDFC Securities</t>
        </is>
      </c>
      <c r="L602" s="18" t="n">
        <v>0.97</v>
      </c>
      <c r="M602" s="42" t="inlineStr">
        <is>
          <t>N/A</t>
        </is>
      </c>
    </row>
    <row r="603">
      <c r="A603" s="54" t="n">
        <v>45289</v>
      </c>
      <c r="B603" s="55" t="inlineStr">
        <is>
          <t>NET PO FROM HSL A/C 2554606-50200085415108</t>
        </is>
      </c>
      <c r="C603" s="55" t="inlineStr">
        <is>
          <t>0000000478288317</t>
        </is>
      </c>
      <c r="D603" s="54" t="n">
        <v>45289</v>
      </c>
      <c r="E603" s="55" t="n">
        <v>0</v>
      </c>
      <c r="F603" s="55" t="n">
        <v>321.45</v>
      </c>
      <c r="G603" s="55" t="n">
        <v>110259.64</v>
      </c>
      <c r="H603" s="55" t="inlineStr"/>
      <c r="I603" s="55" t="inlineStr"/>
      <c r="J603" s="55" t="inlineStr">
        <is>
          <t>HDFC Securities - Sell</t>
        </is>
      </c>
      <c r="K603" s="55" t="inlineStr">
        <is>
          <t>HDFC Securities</t>
        </is>
      </c>
      <c r="L603" s="18" t="n">
        <v>0.97</v>
      </c>
      <c r="M603" s="55" t="inlineStr">
        <is>
          <t>N/A</t>
        </is>
      </c>
    </row>
    <row r="604">
      <c r="A604" s="41" t="n">
        <v>45289</v>
      </c>
      <c r="B604" s="42" t="inlineStr">
        <is>
          <t>NET PI TO HSL SEC A/C 2554606-00602340029427</t>
        </is>
      </c>
      <c r="C604" s="42" t="inlineStr">
        <is>
          <t>0000000478413971</t>
        </is>
      </c>
      <c r="D604" s="41" t="n">
        <v>45289</v>
      </c>
      <c r="E604" s="42" t="n">
        <v>170.11</v>
      </c>
      <c r="F604" s="42" t="n">
        <v>0</v>
      </c>
      <c r="G604" s="42" t="n">
        <v>110089.53</v>
      </c>
      <c r="H604" s="42" t="inlineStr"/>
      <c r="I604" s="42" t="inlineStr"/>
      <c r="J604" s="42" t="inlineStr">
        <is>
          <t>HDFC Securities - Buy</t>
        </is>
      </c>
      <c r="K604" s="42" t="inlineStr">
        <is>
          <t>HDFC Securities</t>
        </is>
      </c>
      <c r="L604" s="18" t="n">
        <v>0.97</v>
      </c>
      <c r="M604" s="42" t="inlineStr">
        <is>
          <t>N/A</t>
        </is>
      </c>
    </row>
    <row r="605">
      <c r="A605" s="41" t="n">
        <v>45289</v>
      </c>
      <c r="B605" s="42" t="inlineStr">
        <is>
          <t>NET PI TO HSL SEC A/C 2554606-00602340029427</t>
        </is>
      </c>
      <c r="C605" s="42" t="inlineStr">
        <is>
          <t>0000000478578118</t>
        </is>
      </c>
      <c r="D605" s="41" t="n">
        <v>45289</v>
      </c>
      <c r="E605" s="42" t="n">
        <v>65206.15</v>
      </c>
      <c r="F605" s="42" t="n">
        <v>0</v>
      </c>
      <c r="G605" s="42" t="n">
        <v>44883.38</v>
      </c>
      <c r="H605" s="42" t="inlineStr"/>
      <c r="I605" s="42" t="inlineStr"/>
      <c r="J605" s="42" t="inlineStr">
        <is>
          <t>HDFC Securities - Buy</t>
        </is>
      </c>
      <c r="K605" s="42" t="inlineStr">
        <is>
          <t>HDFC Securities</t>
        </is>
      </c>
      <c r="L605" s="18" t="n">
        <v>0.97</v>
      </c>
      <c r="M605" s="42" t="inlineStr">
        <is>
          <t>N/A</t>
        </is>
      </c>
    </row>
    <row r="606">
      <c r="A606" s="62" t="n">
        <v>45291</v>
      </c>
      <c r="B606" s="63" t="inlineStr">
        <is>
          <t>01671000060094-TPT-MONEY RETURNED FROM AAYUSH TO SUNITA-SUNITA GUPTA</t>
        </is>
      </c>
      <c r="C606" s="63" t="inlineStr">
        <is>
          <t>0000000314565761</t>
        </is>
      </c>
      <c r="D606" s="62" t="n">
        <v>45291</v>
      </c>
      <c r="E606" s="63" t="n">
        <v>0</v>
      </c>
      <c r="F606" s="63" t="n">
        <v>10000</v>
      </c>
      <c r="G606" s="63" t="n">
        <v>54883.38</v>
      </c>
      <c r="H606" s="63" t="inlineStr"/>
      <c r="I606" s="63" t="inlineStr"/>
      <c r="J606" s="63" t="inlineStr">
        <is>
          <t>Received - Sunita Gupta</t>
        </is>
      </c>
      <c r="K606" s="63" t="inlineStr">
        <is>
          <t>Sunita Gupta</t>
        </is>
      </c>
      <c r="L606" s="18" t="n">
        <v>0.88</v>
      </c>
      <c r="M606" s="63" t="inlineStr">
        <is>
          <t>N/A</t>
        </is>
      </c>
    </row>
    <row r="607">
      <c r="A607" s="30" t="n">
        <v>45292</v>
      </c>
      <c r="B607" s="31" t="inlineStr">
        <is>
          <t>CREDIT INTEREST CAPITALISED</t>
        </is>
      </c>
      <c r="C607" s="31" t="inlineStr">
        <is>
          <t>000000000000000</t>
        </is>
      </c>
      <c r="D607" s="30" t="n">
        <v>45291</v>
      </c>
      <c r="E607" s="31" t="n">
        <v>0</v>
      </c>
      <c r="F607" s="31" t="n">
        <v>524</v>
      </c>
      <c r="G607" s="31" t="n">
        <v>55407.38</v>
      </c>
      <c r="H607" s="31" t="inlineStr"/>
      <c r="I607" s="31" t="inlineStr"/>
      <c r="J607" s="31" t="inlineStr">
        <is>
          <t>Bank Interest</t>
        </is>
      </c>
      <c r="K607" s="31" t="inlineStr">
        <is>
          <t>Bank Interest</t>
        </is>
      </c>
      <c r="L607" s="18" t="n">
        <v>0.95</v>
      </c>
      <c r="M607" s="31" t="inlineStr">
        <is>
          <t>N/A</t>
        </is>
      </c>
    </row>
    <row r="608">
      <c r="A608" s="58" t="n">
        <v>45292</v>
      </c>
      <c r="B608" s="59" t="inlineStr">
        <is>
          <t>ACH D- TP ACH INDIANESIGN-1325427826</t>
        </is>
      </c>
      <c r="C608" s="59" t="inlineStr">
        <is>
          <t>0000008979329207</t>
        </is>
      </c>
      <c r="D608" s="58" t="n">
        <v>45292</v>
      </c>
      <c r="E608" s="59" t="n">
        <v>5000</v>
      </c>
      <c r="F608" s="59" t="n">
        <v>0</v>
      </c>
      <c r="G608" s="59" t="n">
        <v>50407.38</v>
      </c>
      <c r="H608" s="59" t="inlineStr"/>
      <c r="I608" s="59" t="inlineStr"/>
      <c r="J608" s="59" t="inlineStr">
        <is>
          <t>SIP</t>
        </is>
      </c>
      <c r="K608" s="59" t="inlineStr">
        <is>
          <t>SIP</t>
        </is>
      </c>
      <c r="L608" s="18" t="n">
        <v>0.95</v>
      </c>
      <c r="M608" s="59" t="inlineStr">
        <is>
          <t>N/A</t>
        </is>
      </c>
    </row>
    <row r="609">
      <c r="A609" s="41" t="n">
        <v>45292</v>
      </c>
      <c r="B609" s="42" t="inlineStr">
        <is>
          <t>NET PI TO HSL SEC A/C 2554606-00602340029427</t>
        </is>
      </c>
      <c r="C609" s="42" t="inlineStr">
        <is>
          <t>0000000478919237</t>
        </is>
      </c>
      <c r="D609" s="41" t="n">
        <v>45292</v>
      </c>
      <c r="E609" s="42" t="n">
        <v>441</v>
      </c>
      <c r="F609" s="42" t="n">
        <v>0</v>
      </c>
      <c r="G609" s="42" t="n">
        <v>49966.38</v>
      </c>
      <c r="H609" s="42" t="inlineStr"/>
      <c r="I609" s="42" t="inlineStr"/>
      <c r="J609" s="42" t="inlineStr">
        <is>
          <t>HDFC Securities - Buy</t>
        </is>
      </c>
      <c r="K609" s="42" t="inlineStr">
        <is>
          <t>HDFC Securities</t>
        </is>
      </c>
      <c r="L609" s="18" t="n">
        <v>0.97</v>
      </c>
      <c r="M609" s="42" t="inlineStr">
        <is>
          <t>N/A</t>
        </is>
      </c>
    </row>
    <row r="610">
      <c r="A610" s="41" t="n">
        <v>45292</v>
      </c>
      <c r="B610" s="42" t="inlineStr">
        <is>
          <t>NET PI TO HSL SEC A/C 2554606-00602340029427</t>
        </is>
      </c>
      <c r="C610" s="42" t="inlineStr">
        <is>
          <t>0000000479096520</t>
        </is>
      </c>
      <c r="D610" s="41" t="n">
        <v>45292</v>
      </c>
      <c r="E610" s="42" t="n">
        <v>41407.31</v>
      </c>
      <c r="F610" s="42" t="n">
        <v>0</v>
      </c>
      <c r="G610" s="42" t="n">
        <v>8559.07</v>
      </c>
      <c r="H610" s="42" t="inlineStr"/>
      <c r="I610" s="42" t="inlineStr"/>
      <c r="J610" s="42" t="inlineStr">
        <is>
          <t>HDFC Securities - Buy</t>
        </is>
      </c>
      <c r="K610" s="42" t="inlineStr">
        <is>
          <t>HDFC Securities</t>
        </is>
      </c>
      <c r="L610" s="18" t="n">
        <v>0.97</v>
      </c>
      <c r="M610" s="42" t="inlineStr">
        <is>
          <t>N/A</t>
        </is>
      </c>
    </row>
    <row r="611">
      <c r="A611" s="41" t="n">
        <v>45293</v>
      </c>
      <c r="B611" s="42" t="inlineStr">
        <is>
          <t>NET PI TO HSL SEC A/C 2554606-00602340029427</t>
        </is>
      </c>
      <c r="C611" s="42" t="inlineStr">
        <is>
          <t>0000000479359348</t>
        </is>
      </c>
      <c r="D611" s="41" t="n">
        <v>45293</v>
      </c>
      <c r="E611" s="42" t="n">
        <v>132.25</v>
      </c>
      <c r="F611" s="42" t="n">
        <v>0</v>
      </c>
      <c r="G611" s="42" t="n">
        <v>8426.82</v>
      </c>
      <c r="H611" s="42" t="inlineStr"/>
      <c r="I611" s="42" t="inlineStr"/>
      <c r="J611" s="42" t="inlineStr">
        <is>
          <t>HDFC Securities - Buy</t>
        </is>
      </c>
      <c r="K611" s="42" t="inlineStr">
        <is>
          <t>HDFC Securities</t>
        </is>
      </c>
      <c r="L611" s="18" t="n">
        <v>0.97</v>
      </c>
      <c r="M611" s="42" t="inlineStr">
        <is>
          <t>N/A</t>
        </is>
      </c>
    </row>
    <row r="612">
      <c r="A612" s="62" t="n">
        <v>45293</v>
      </c>
      <c r="B612" s="63" t="inlineStr">
        <is>
          <t>01671000060094-TPT-BORROW FROM SUNITA TO AAYUSH-SUNITA GUPTA</t>
        </is>
      </c>
      <c r="C612" s="63" t="inlineStr">
        <is>
          <t>0000000121852334</t>
        </is>
      </c>
      <c r="D612" s="62" t="n">
        <v>45293</v>
      </c>
      <c r="E612" s="63" t="n">
        <v>0</v>
      </c>
      <c r="F612" s="63" t="n">
        <v>30000</v>
      </c>
      <c r="G612" s="63" t="n">
        <v>38426.82</v>
      </c>
      <c r="H612" s="63" t="inlineStr"/>
      <c r="I612" s="63" t="inlineStr"/>
      <c r="J612" s="63" t="inlineStr">
        <is>
          <t>Received - Sunita Gupta</t>
        </is>
      </c>
      <c r="K612" s="63" t="inlineStr">
        <is>
          <t>Sunita Gupta</t>
        </is>
      </c>
      <c r="L612" s="18" t="n">
        <v>0.88</v>
      </c>
      <c r="M612" s="63" t="inlineStr">
        <is>
          <t>N/A</t>
        </is>
      </c>
    </row>
    <row r="613">
      <c r="A613" s="41" t="n">
        <v>45293</v>
      </c>
      <c r="B613" s="42" t="inlineStr">
        <is>
          <t>NET PI TO HSL SEC A/C 2554606-00602340029427</t>
        </is>
      </c>
      <c r="C613" s="42" t="inlineStr">
        <is>
          <t>0000000479522255</t>
        </is>
      </c>
      <c r="D613" s="41" t="n">
        <v>45293</v>
      </c>
      <c r="E613" s="42" t="n">
        <v>16611.3</v>
      </c>
      <c r="F613" s="42" t="n">
        <v>0</v>
      </c>
      <c r="G613" s="42" t="n">
        <v>21815.52</v>
      </c>
      <c r="H613" s="42" t="inlineStr"/>
      <c r="I613" s="42" t="inlineStr"/>
      <c r="J613" s="42" t="inlineStr">
        <is>
          <t>HDFC Securities - Buy</t>
        </is>
      </c>
      <c r="K613" s="42" t="inlineStr">
        <is>
          <t>HDFC Securities</t>
        </is>
      </c>
      <c r="L613" s="18" t="n">
        <v>0.97</v>
      </c>
      <c r="M613" s="42" t="inlineStr">
        <is>
          <t>N/A</t>
        </is>
      </c>
    </row>
    <row r="614">
      <c r="A614" s="41" t="n">
        <v>45294</v>
      </c>
      <c r="B614" s="42" t="inlineStr">
        <is>
          <t>NET PI TO HSL SEC A/C 2554606-00602340029427</t>
        </is>
      </c>
      <c r="C614" s="42" t="inlineStr">
        <is>
          <t>0000000479800546</t>
        </is>
      </c>
      <c r="D614" s="41" t="n">
        <v>45294</v>
      </c>
      <c r="E614" s="42" t="n">
        <v>175.25</v>
      </c>
      <c r="F614" s="42" t="n">
        <v>0</v>
      </c>
      <c r="G614" s="42" t="n">
        <v>21640.27</v>
      </c>
      <c r="H614" s="42" t="inlineStr"/>
      <c r="I614" s="42" t="inlineStr"/>
      <c r="J614" s="42" t="inlineStr">
        <is>
          <t>HDFC Securities - Buy</t>
        </is>
      </c>
      <c r="K614" s="42" t="inlineStr">
        <is>
          <t>HDFC Securities</t>
        </is>
      </c>
      <c r="L614" s="18" t="n">
        <v>0.97</v>
      </c>
      <c r="M614" s="42" t="inlineStr">
        <is>
          <t>N/A</t>
        </is>
      </c>
    </row>
    <row r="615">
      <c r="A615" s="41" t="n">
        <v>45294</v>
      </c>
      <c r="B615" s="42" t="inlineStr">
        <is>
          <t>NET PI TO HSL SEC A/C 2554606-00602340029427</t>
        </is>
      </c>
      <c r="C615" s="42" t="inlineStr">
        <is>
          <t>0000000479963225</t>
        </is>
      </c>
      <c r="D615" s="41" t="n">
        <v>45294</v>
      </c>
      <c r="E615" s="42" t="n">
        <v>12535.13</v>
      </c>
      <c r="F615" s="42" t="n">
        <v>0</v>
      </c>
      <c r="G615" s="42" t="n">
        <v>9105.139999999999</v>
      </c>
      <c r="H615" s="42" t="inlineStr"/>
      <c r="I615" s="42" t="inlineStr"/>
      <c r="J615" s="42" t="inlineStr">
        <is>
          <t>HDFC Securities - Buy</t>
        </is>
      </c>
      <c r="K615" s="42" t="inlineStr">
        <is>
          <t>HDFC Securities</t>
        </is>
      </c>
      <c r="L615" s="18" t="n">
        <v>0.97</v>
      </c>
      <c r="M615" s="42" t="inlineStr">
        <is>
          <t>N/A</t>
        </is>
      </c>
    </row>
    <row r="616">
      <c r="A616" s="41" t="n">
        <v>45295</v>
      </c>
      <c r="B616" s="42" t="inlineStr">
        <is>
          <t>NET PI TO HSL SEC A/C 2554606-00602340029427</t>
        </is>
      </c>
      <c r="C616" s="42" t="inlineStr">
        <is>
          <t>0000000480248337</t>
        </is>
      </c>
      <c r="D616" s="41" t="n">
        <v>45295</v>
      </c>
      <c r="E616" s="42" t="n">
        <v>195.72</v>
      </c>
      <c r="F616" s="42" t="n">
        <v>0</v>
      </c>
      <c r="G616" s="42" t="n">
        <v>8909.42</v>
      </c>
      <c r="H616" s="42" t="inlineStr"/>
      <c r="I616" s="42" t="inlineStr"/>
      <c r="J616" s="42" t="inlineStr">
        <is>
          <t>HDFC Securities - Buy</t>
        </is>
      </c>
      <c r="K616" s="42" t="inlineStr">
        <is>
          <t>HDFC Securities</t>
        </is>
      </c>
      <c r="L616" s="18" t="n">
        <v>0.97</v>
      </c>
      <c r="M616" s="42" t="inlineStr">
        <is>
          <t>N/A</t>
        </is>
      </c>
    </row>
    <row r="617">
      <c r="A617" s="54" t="n">
        <v>45296</v>
      </c>
      <c r="B617" s="55" t="inlineStr">
        <is>
          <t>NET PO FROM HSL A/C 2554606-50200085415108</t>
        </is>
      </c>
      <c r="C617" s="55" t="inlineStr">
        <is>
          <t>0000000480532279</t>
        </is>
      </c>
      <c r="D617" s="54" t="n">
        <v>45296</v>
      </c>
      <c r="E617" s="55" t="n">
        <v>0</v>
      </c>
      <c r="F617" s="55" t="n">
        <v>10025.81</v>
      </c>
      <c r="G617" s="55" t="n">
        <v>18935.23</v>
      </c>
      <c r="H617" s="55" t="inlineStr"/>
      <c r="I617" s="55" t="inlineStr"/>
      <c r="J617" s="55" t="inlineStr">
        <is>
          <t>HDFC Securities - Sell</t>
        </is>
      </c>
      <c r="K617" s="55" t="inlineStr">
        <is>
          <t>HDFC Securities</t>
        </is>
      </c>
      <c r="L617" s="18" t="n">
        <v>0.97</v>
      </c>
      <c r="M617" s="55" t="inlineStr">
        <is>
          <t>N/A</t>
        </is>
      </c>
    </row>
    <row r="618">
      <c r="A618" s="41" t="n">
        <v>45296</v>
      </c>
      <c r="B618" s="42" t="inlineStr">
        <is>
          <t>NET PI TO HSL SEC A/C 2554606-00602340029427</t>
        </is>
      </c>
      <c r="C618" s="42" t="inlineStr">
        <is>
          <t>0000000480843159</t>
        </is>
      </c>
      <c r="D618" s="41" t="n">
        <v>45296</v>
      </c>
      <c r="E618" s="42" t="n">
        <v>824.52</v>
      </c>
      <c r="F618" s="42" t="n">
        <v>0</v>
      </c>
      <c r="G618" s="42" t="n">
        <v>18110.71</v>
      </c>
      <c r="H618" s="42" t="inlineStr"/>
      <c r="I618" s="42" t="inlineStr"/>
      <c r="J618" s="42" t="inlineStr">
        <is>
          <t>HDFC Securities - Buy</t>
        </is>
      </c>
      <c r="K618" s="42" t="inlineStr">
        <is>
          <t>HDFC Securities</t>
        </is>
      </c>
      <c r="L618" s="18" t="n">
        <v>0.97</v>
      </c>
      <c r="M618" s="42" t="inlineStr">
        <is>
          <t>N/A</t>
        </is>
      </c>
    </row>
    <row r="619">
      <c r="A619" s="23" t="n">
        <v>45299</v>
      </c>
      <c r="B619" s="24" t="inlineStr">
        <is>
          <t>00602300000434-025399570</t>
        </is>
      </c>
      <c r="C619" s="24" t="inlineStr">
        <is>
          <t>0000401083570231</t>
        </is>
      </c>
      <c r="D619" s="23" t="n">
        <v>45299</v>
      </c>
      <c r="E619" s="24" t="n">
        <v>0</v>
      </c>
      <c r="F619" s="24" t="n">
        <v>1880</v>
      </c>
      <c r="G619" s="24" t="n">
        <v>19990.71</v>
      </c>
      <c r="H619" s="24" t="inlineStr"/>
      <c r="I619" s="24" t="inlineStr"/>
      <c r="J619" s="24" t="inlineStr">
        <is>
          <t>What is this?</t>
        </is>
      </c>
      <c r="K619" s="24" t="inlineStr">
        <is>
          <t>Suspense</t>
        </is>
      </c>
      <c r="L619" s="25" t="n">
        <v>0</v>
      </c>
      <c r="M619" s="24" t="inlineStr">
        <is>
          <t>N/A</t>
        </is>
      </c>
    </row>
    <row r="620">
      <c r="A620" s="41" t="n">
        <v>45299</v>
      </c>
      <c r="B620" s="42" t="inlineStr">
        <is>
          <t>NET PI TO HSL SEC A/C 2554606-00602340029427</t>
        </is>
      </c>
      <c r="C620" s="42" t="inlineStr">
        <is>
          <t>0000000481367127</t>
        </is>
      </c>
      <c r="D620" s="41" t="n">
        <v>45299</v>
      </c>
      <c r="E620" s="42" t="n">
        <v>2764.57</v>
      </c>
      <c r="F620" s="42" t="n">
        <v>0</v>
      </c>
      <c r="G620" s="42" t="n">
        <v>17226.14</v>
      </c>
      <c r="H620" s="42" t="inlineStr"/>
      <c r="I620" s="42" t="inlineStr"/>
      <c r="J620" s="42" t="inlineStr">
        <is>
          <t>HDFC Securities - Buy</t>
        </is>
      </c>
      <c r="K620" s="42" t="inlineStr">
        <is>
          <t>HDFC Securities</t>
        </is>
      </c>
      <c r="L620" s="18" t="n">
        <v>0.97</v>
      </c>
      <c r="M620" s="42" t="inlineStr">
        <is>
          <t>N/A</t>
        </is>
      </c>
    </row>
    <row r="621">
      <c r="A621" s="54" t="n">
        <v>45300</v>
      </c>
      <c r="B621" s="55" t="inlineStr">
        <is>
          <t>NET PO FROM HSL A/C 2554606-50200085415108</t>
        </is>
      </c>
      <c r="C621" s="55" t="inlineStr">
        <is>
          <t>0000000481542941</t>
        </is>
      </c>
      <c r="D621" s="54" t="n">
        <v>45300</v>
      </c>
      <c r="E621" s="55" t="n">
        <v>0</v>
      </c>
      <c r="F621" s="55" t="n">
        <v>40963.52</v>
      </c>
      <c r="G621" s="55" t="n">
        <v>58189.66</v>
      </c>
      <c r="H621" s="55" t="inlineStr"/>
      <c r="I621" s="55" t="inlineStr"/>
      <c r="J621" s="55" t="inlineStr">
        <is>
          <t>HDFC Securities - Sell</t>
        </is>
      </c>
      <c r="K621" s="55" t="inlineStr">
        <is>
          <t>HDFC Securities</t>
        </is>
      </c>
      <c r="L621" s="18" t="n">
        <v>0.97</v>
      </c>
      <c r="M621" s="55" t="inlineStr">
        <is>
          <t>N/A</t>
        </is>
      </c>
    </row>
    <row r="622">
      <c r="A622" s="41" t="n">
        <v>45300</v>
      </c>
      <c r="B622" s="42" t="inlineStr">
        <is>
          <t>NET PI TO HSL SEC A/C 2554606-00602340029427</t>
        </is>
      </c>
      <c r="C622" s="42" t="inlineStr">
        <is>
          <t>0000000481644045</t>
        </is>
      </c>
      <c r="D622" s="41" t="n">
        <v>45300</v>
      </c>
      <c r="E622" s="42" t="n">
        <v>204.72</v>
      </c>
      <c r="F622" s="42" t="n">
        <v>0</v>
      </c>
      <c r="G622" s="42" t="n">
        <v>57984.94</v>
      </c>
      <c r="H622" s="42" t="inlineStr"/>
      <c r="I622" s="42" t="inlineStr"/>
      <c r="J622" s="42" t="inlineStr">
        <is>
          <t>HDFC Securities - Buy</t>
        </is>
      </c>
      <c r="K622" s="42" t="inlineStr">
        <is>
          <t>HDFC Securities</t>
        </is>
      </c>
      <c r="L622" s="18" t="n">
        <v>0.97</v>
      </c>
      <c r="M622" s="42" t="inlineStr">
        <is>
          <t>N/A</t>
        </is>
      </c>
    </row>
    <row r="623">
      <c r="A623" s="54" t="n">
        <v>45301</v>
      </c>
      <c r="B623" s="55" t="inlineStr">
        <is>
          <t>NET PO FROM HSL A/C 2554606-50200085415108</t>
        </is>
      </c>
      <c r="C623" s="55" t="inlineStr">
        <is>
          <t>0000000481971200</t>
        </is>
      </c>
      <c r="D623" s="54" t="n">
        <v>45301</v>
      </c>
      <c r="E623" s="55" t="n">
        <v>0</v>
      </c>
      <c r="F623" s="55" t="n">
        <v>40931.08</v>
      </c>
      <c r="G623" s="55" t="n">
        <v>98916.02</v>
      </c>
      <c r="H623" s="55" t="inlineStr"/>
      <c r="I623" s="55" t="inlineStr"/>
      <c r="J623" s="55" t="inlineStr">
        <is>
          <t>HDFC Securities - Sell</t>
        </is>
      </c>
      <c r="K623" s="55" t="inlineStr">
        <is>
          <t>HDFC Securities</t>
        </is>
      </c>
      <c r="L623" s="18" t="n">
        <v>0.97</v>
      </c>
      <c r="M623" s="55" t="inlineStr">
        <is>
          <t>N/A</t>
        </is>
      </c>
    </row>
    <row r="624">
      <c r="A624" s="54" t="n">
        <v>45301</v>
      </c>
      <c r="B624" s="55" t="inlineStr">
        <is>
          <t>NET PO FROM HSL A/C 2554606-50200085415108</t>
        </is>
      </c>
      <c r="C624" s="55" t="inlineStr">
        <is>
          <t>0000000481992059</t>
        </is>
      </c>
      <c r="D624" s="54" t="n">
        <v>45301</v>
      </c>
      <c r="E624" s="55" t="n">
        <v>0</v>
      </c>
      <c r="F624" s="55" t="n">
        <v>18461.61</v>
      </c>
      <c r="G624" s="55" t="n">
        <v>117377.63</v>
      </c>
      <c r="H624" s="55" t="inlineStr"/>
      <c r="I624" s="55" t="inlineStr"/>
      <c r="J624" s="55" t="inlineStr">
        <is>
          <t>HDFC Securities - Sell</t>
        </is>
      </c>
      <c r="K624" s="55" t="inlineStr">
        <is>
          <t>HDFC Securities</t>
        </is>
      </c>
      <c r="L624" s="18" t="n">
        <v>0.97</v>
      </c>
      <c r="M624" s="55" t="inlineStr">
        <is>
          <t>N/A</t>
        </is>
      </c>
    </row>
    <row r="625">
      <c r="A625" s="41" t="n">
        <v>45301</v>
      </c>
      <c r="B625" s="42" t="inlineStr">
        <is>
          <t>NET PI TO HSL SEC A/C 2554606-00602340029427</t>
        </is>
      </c>
      <c r="C625" s="42" t="inlineStr">
        <is>
          <t>0000000482163796</t>
        </is>
      </c>
      <c r="D625" s="41" t="n">
        <v>45301</v>
      </c>
      <c r="E625" s="42" t="n">
        <v>204.72</v>
      </c>
      <c r="F625" s="42" t="n">
        <v>0</v>
      </c>
      <c r="G625" s="42" t="n">
        <v>117172.91</v>
      </c>
      <c r="H625" s="42" t="inlineStr"/>
      <c r="I625" s="42" t="inlineStr"/>
      <c r="J625" s="42" t="inlineStr">
        <is>
          <t>HDFC Securities - Buy</t>
        </is>
      </c>
      <c r="K625" s="42" t="inlineStr">
        <is>
          <t>HDFC Securities</t>
        </is>
      </c>
      <c r="L625" s="18" t="n">
        <v>0.97</v>
      </c>
      <c r="M625" s="42" t="inlineStr">
        <is>
          <t>N/A</t>
        </is>
      </c>
    </row>
    <row r="626">
      <c r="A626" s="41" t="n">
        <v>45301</v>
      </c>
      <c r="B626" s="42" t="inlineStr">
        <is>
          <t>NET PI TO HSL SEC A/C 2554606-00602340029427</t>
        </is>
      </c>
      <c r="C626" s="42" t="inlineStr">
        <is>
          <t>0000000482326754</t>
        </is>
      </c>
      <c r="D626" s="41" t="n">
        <v>45301</v>
      </c>
      <c r="E626" s="42" t="n">
        <v>72572.81</v>
      </c>
      <c r="F626" s="42" t="n">
        <v>0</v>
      </c>
      <c r="G626" s="42" t="n">
        <v>44600.1</v>
      </c>
      <c r="H626" s="42" t="inlineStr"/>
      <c r="I626" s="42" t="inlineStr"/>
      <c r="J626" s="42" t="inlineStr">
        <is>
          <t>HDFC Securities - Buy</t>
        </is>
      </c>
      <c r="K626" s="42" t="inlineStr">
        <is>
          <t>HDFC Securities</t>
        </is>
      </c>
      <c r="L626" s="18" t="n">
        <v>0.97</v>
      </c>
      <c r="M626" s="42" t="inlineStr">
        <is>
          <t>N/A</t>
        </is>
      </c>
    </row>
    <row r="627">
      <c r="A627" s="54" t="n">
        <v>45302</v>
      </c>
      <c r="B627" s="55" t="inlineStr">
        <is>
          <t>NET PO FROM HSL A/C 2554606-50200085415108</t>
        </is>
      </c>
      <c r="C627" s="55" t="inlineStr">
        <is>
          <t>0000000482476600</t>
        </is>
      </c>
      <c r="D627" s="54" t="n">
        <v>45302</v>
      </c>
      <c r="E627" s="55" t="n">
        <v>0</v>
      </c>
      <c r="F627" s="55" t="n">
        <v>36828.8</v>
      </c>
      <c r="G627" s="55" t="n">
        <v>81428.89999999999</v>
      </c>
      <c r="H627" s="55" t="inlineStr"/>
      <c r="I627" s="55" t="inlineStr"/>
      <c r="J627" s="55" t="inlineStr">
        <is>
          <t>HDFC Securities - Sell</t>
        </is>
      </c>
      <c r="K627" s="55" t="inlineStr">
        <is>
          <t>HDFC Securities</t>
        </is>
      </c>
      <c r="L627" s="18" t="n">
        <v>0.97</v>
      </c>
      <c r="M627" s="55" t="inlineStr">
        <is>
          <t>N/A</t>
        </is>
      </c>
    </row>
    <row r="628">
      <c r="A628" s="41" t="n">
        <v>45302</v>
      </c>
      <c r="B628" s="42" t="inlineStr">
        <is>
          <t>NET PI TO HSL SEC A/C 2554606-00602340029427</t>
        </is>
      </c>
      <c r="C628" s="42" t="inlineStr">
        <is>
          <t>0000000482614428</t>
        </is>
      </c>
      <c r="D628" s="41" t="n">
        <v>45302</v>
      </c>
      <c r="E628" s="42" t="n">
        <v>173.41</v>
      </c>
      <c r="F628" s="42" t="n">
        <v>0</v>
      </c>
      <c r="G628" s="42" t="n">
        <v>81255.49000000001</v>
      </c>
      <c r="H628" s="42" t="inlineStr"/>
      <c r="I628" s="42" t="inlineStr"/>
      <c r="J628" s="42" t="inlineStr">
        <is>
          <t>HDFC Securities - Buy</t>
        </is>
      </c>
      <c r="K628" s="42" t="inlineStr">
        <is>
          <t>HDFC Securities</t>
        </is>
      </c>
      <c r="L628" s="18" t="n">
        <v>0.97</v>
      </c>
      <c r="M628" s="42" t="inlineStr">
        <is>
          <t>N/A</t>
        </is>
      </c>
    </row>
    <row r="629">
      <c r="A629" s="56" t="n">
        <v>45302</v>
      </c>
      <c r="B629" s="57" t="inlineStr">
        <is>
          <t>DEPOSITORY CHARGES DEC23 - 52812428</t>
        </is>
      </c>
      <c r="C629" s="57" t="inlineStr">
        <is>
          <t>000000000000000</t>
        </is>
      </c>
      <c r="D629" s="56" t="n">
        <v>45302</v>
      </c>
      <c r="E629" s="57" t="n">
        <v>1617.67</v>
      </c>
      <c r="F629" s="57" t="n">
        <v>0</v>
      </c>
      <c r="G629" s="57" t="n">
        <v>79637.82000000001</v>
      </c>
      <c r="H629" s="57" t="inlineStr"/>
      <c r="I629" s="57" t="inlineStr"/>
      <c r="J629" s="57" t="inlineStr">
        <is>
          <t>Depository Charges</t>
        </is>
      </c>
      <c r="K629" s="57" t="inlineStr">
        <is>
          <t>Depository Charges</t>
        </is>
      </c>
      <c r="L629" s="18" t="n">
        <v>0.93</v>
      </c>
      <c r="M629" s="57" t="inlineStr">
        <is>
          <t>N/A</t>
        </is>
      </c>
    </row>
    <row r="630">
      <c r="A630" s="41" t="n">
        <v>45302</v>
      </c>
      <c r="B630" s="42" t="inlineStr">
        <is>
          <t>NET PI TO HSL SEC A/C 2554606-00602340029427</t>
        </is>
      </c>
      <c r="C630" s="42" t="inlineStr">
        <is>
          <t>0000000482779377</t>
        </is>
      </c>
      <c r="D630" s="41" t="n">
        <v>45302</v>
      </c>
      <c r="E630" s="42" t="n">
        <v>6897</v>
      </c>
      <c r="F630" s="42" t="n">
        <v>0</v>
      </c>
      <c r="G630" s="42" t="n">
        <v>72740.82000000001</v>
      </c>
      <c r="H630" s="42" t="inlineStr"/>
      <c r="I630" s="42" t="inlineStr"/>
      <c r="J630" s="42" t="inlineStr">
        <is>
          <t>HDFC Securities - Buy</t>
        </is>
      </c>
      <c r="K630" s="42" t="inlineStr">
        <is>
          <t>HDFC Securities</t>
        </is>
      </c>
      <c r="L630" s="18" t="n">
        <v>0.97</v>
      </c>
      <c r="M630" s="42" t="inlineStr">
        <is>
          <t>N/A</t>
        </is>
      </c>
    </row>
    <row r="631">
      <c r="A631" s="54" t="n">
        <v>45303</v>
      </c>
      <c r="B631" s="55" t="inlineStr">
        <is>
          <t>NET PO FROM HSL A/C 2554606-50200085415108</t>
        </is>
      </c>
      <c r="C631" s="55" t="inlineStr">
        <is>
          <t>0000000482911491</t>
        </is>
      </c>
      <c r="D631" s="54" t="n">
        <v>45303</v>
      </c>
      <c r="E631" s="55" t="n">
        <v>0</v>
      </c>
      <c r="F631" s="55" t="n">
        <v>1681</v>
      </c>
      <c r="G631" s="55" t="n">
        <v>74421.82000000001</v>
      </c>
      <c r="H631" s="55" t="inlineStr"/>
      <c r="I631" s="55" t="inlineStr"/>
      <c r="J631" s="55" t="inlineStr">
        <is>
          <t>HDFC Securities - Sell</t>
        </is>
      </c>
      <c r="K631" s="55" t="inlineStr">
        <is>
          <t>HDFC Securities</t>
        </is>
      </c>
      <c r="L631" s="18" t="n">
        <v>0.97</v>
      </c>
      <c r="M631" s="55" t="inlineStr">
        <is>
          <t>N/A</t>
        </is>
      </c>
    </row>
    <row r="632">
      <c r="A632" s="54" t="n">
        <v>45303</v>
      </c>
      <c r="B632" s="55" t="inlineStr">
        <is>
          <t>NET PO FROM HSL A/C 2554606-50200085415108</t>
        </is>
      </c>
      <c r="C632" s="55" t="inlineStr">
        <is>
          <t>0000000482935582</t>
        </is>
      </c>
      <c r="D632" s="54" t="n">
        <v>45303</v>
      </c>
      <c r="E632" s="55" t="n">
        <v>0</v>
      </c>
      <c r="F632" s="55" t="n">
        <v>28606.73</v>
      </c>
      <c r="G632" s="55" t="n">
        <v>103028.55</v>
      </c>
      <c r="H632" s="55" t="inlineStr"/>
      <c r="I632" s="55" t="inlineStr"/>
      <c r="J632" s="55" t="inlineStr">
        <is>
          <t>HDFC Securities - Sell</t>
        </is>
      </c>
      <c r="K632" s="55" t="inlineStr">
        <is>
          <t>HDFC Securities</t>
        </is>
      </c>
      <c r="L632" s="18" t="n">
        <v>0.97</v>
      </c>
      <c r="M632" s="55" t="inlineStr">
        <is>
          <t>N/A</t>
        </is>
      </c>
    </row>
    <row r="633">
      <c r="A633" s="41" t="n">
        <v>45303</v>
      </c>
      <c r="B633" s="42" t="inlineStr">
        <is>
          <t>NET PI TO HSL SEC A/C 2554606-00602340029427</t>
        </is>
      </c>
      <c r="C633" s="42" t="inlineStr">
        <is>
          <t>0000000483068767</t>
        </is>
      </c>
      <c r="D633" s="41" t="n">
        <v>45303</v>
      </c>
      <c r="E633" s="42" t="n">
        <v>191.9</v>
      </c>
      <c r="F633" s="42" t="n">
        <v>0</v>
      </c>
      <c r="G633" s="42" t="n">
        <v>102836.65</v>
      </c>
      <c r="H633" s="42" t="inlineStr"/>
      <c r="I633" s="42" t="inlineStr"/>
      <c r="J633" s="42" t="inlineStr">
        <is>
          <t>HDFC Securities - Buy</t>
        </is>
      </c>
      <c r="K633" s="42" t="inlineStr">
        <is>
          <t>HDFC Securities</t>
        </is>
      </c>
      <c r="L633" s="18" t="n">
        <v>0.97</v>
      </c>
      <c r="M633" s="42" t="inlineStr">
        <is>
          <t>N/A</t>
        </is>
      </c>
    </row>
    <row r="634">
      <c r="A634" s="41" t="n">
        <v>45303</v>
      </c>
      <c r="B634" s="42" t="inlineStr">
        <is>
          <t>NET PI TO HSL SEC A/C 2554606-00602340029427</t>
        </is>
      </c>
      <c r="C634" s="42" t="inlineStr">
        <is>
          <t>0000000483232991</t>
        </is>
      </c>
      <c r="D634" s="41" t="n">
        <v>45303</v>
      </c>
      <c r="E634" s="42" t="n">
        <v>30998.58</v>
      </c>
      <c r="F634" s="42" t="n">
        <v>0</v>
      </c>
      <c r="G634" s="42" t="n">
        <v>71838.07000000001</v>
      </c>
      <c r="H634" s="42" t="inlineStr"/>
      <c r="I634" s="42" t="inlineStr"/>
      <c r="J634" s="42" t="inlineStr">
        <is>
          <t>HDFC Securities - Buy</t>
        </is>
      </c>
      <c r="K634" s="42" t="inlineStr">
        <is>
          <t>HDFC Securities</t>
        </is>
      </c>
      <c r="L634" s="18" t="n">
        <v>0.97</v>
      </c>
      <c r="M634" s="42" t="inlineStr">
        <is>
          <t>N/A</t>
        </is>
      </c>
    </row>
    <row r="635">
      <c r="A635" s="54" t="n">
        <v>45306</v>
      </c>
      <c r="B635" s="55" t="inlineStr">
        <is>
          <t>NET PO FROM HSL A/C 2554606-50200085415108</t>
        </is>
      </c>
      <c r="C635" s="55" t="inlineStr">
        <is>
          <t>0000000483499892</t>
        </is>
      </c>
      <c r="D635" s="54" t="n">
        <v>45306</v>
      </c>
      <c r="E635" s="55" t="n">
        <v>0</v>
      </c>
      <c r="F635" s="55" t="n">
        <v>1431.43</v>
      </c>
      <c r="G635" s="55" t="n">
        <v>73269.5</v>
      </c>
      <c r="H635" s="55" t="inlineStr"/>
      <c r="I635" s="55" t="inlineStr"/>
      <c r="J635" s="55" t="inlineStr">
        <is>
          <t>HDFC Securities - Sell</t>
        </is>
      </c>
      <c r="K635" s="55" t="inlineStr">
        <is>
          <t>HDFC Securities</t>
        </is>
      </c>
      <c r="L635" s="18" t="n">
        <v>0.97</v>
      </c>
      <c r="M635" s="55" t="inlineStr">
        <is>
          <t>N/A</t>
        </is>
      </c>
    </row>
    <row r="636">
      <c r="A636" s="41" t="n">
        <v>45306</v>
      </c>
      <c r="B636" s="42" t="inlineStr">
        <is>
          <t>NET PI TO HSL SEC A/C 2554606-00602340029427</t>
        </is>
      </c>
      <c r="C636" s="42" t="inlineStr">
        <is>
          <t>0000000483700742</t>
        </is>
      </c>
      <c r="D636" s="41" t="n">
        <v>45306</v>
      </c>
      <c r="E636" s="42" t="n">
        <v>568.41</v>
      </c>
      <c r="F636" s="42" t="n">
        <v>0</v>
      </c>
      <c r="G636" s="42" t="n">
        <v>72701.09</v>
      </c>
      <c r="H636" s="42" t="inlineStr"/>
      <c r="I636" s="42" t="inlineStr"/>
      <c r="J636" s="42" t="inlineStr">
        <is>
          <t>HDFC Securities - Buy</t>
        </is>
      </c>
      <c r="K636" s="42" t="inlineStr">
        <is>
          <t>HDFC Securities</t>
        </is>
      </c>
      <c r="L636" s="18" t="n">
        <v>0.97</v>
      </c>
      <c r="M636" s="42" t="inlineStr">
        <is>
          <t>N/A</t>
        </is>
      </c>
    </row>
    <row r="637">
      <c r="A637" s="41" t="n">
        <v>45306</v>
      </c>
      <c r="B637" s="42" t="inlineStr">
        <is>
          <t>NET PI TO HSL SEC A/C 2554606-00602340029427</t>
        </is>
      </c>
      <c r="C637" s="42" t="inlineStr">
        <is>
          <t>0000000483880631</t>
        </is>
      </c>
      <c r="D637" s="41" t="n">
        <v>45306</v>
      </c>
      <c r="E637" s="42" t="n">
        <v>8950.17</v>
      </c>
      <c r="F637" s="42" t="n">
        <v>0</v>
      </c>
      <c r="G637" s="42" t="n">
        <v>63750.92</v>
      </c>
      <c r="H637" s="42" t="inlineStr"/>
      <c r="I637" s="42" t="inlineStr"/>
      <c r="J637" s="42" t="inlineStr">
        <is>
          <t>HDFC Securities - Buy</t>
        </is>
      </c>
      <c r="K637" s="42" t="inlineStr">
        <is>
          <t>HDFC Securities</t>
        </is>
      </c>
      <c r="L637" s="18" t="n">
        <v>0.97</v>
      </c>
      <c r="M637" s="42" t="inlineStr">
        <is>
          <t>N/A</t>
        </is>
      </c>
    </row>
    <row r="638">
      <c r="A638" s="54" t="n">
        <v>45307</v>
      </c>
      <c r="B638" s="55" t="inlineStr">
        <is>
          <t>NET PO FROM HSL A/C 2554606-50200085415108</t>
        </is>
      </c>
      <c r="C638" s="55" t="inlineStr">
        <is>
          <t>0000000484015725</t>
        </is>
      </c>
      <c r="D638" s="54" t="n">
        <v>45307</v>
      </c>
      <c r="E638" s="55" t="n">
        <v>0</v>
      </c>
      <c r="F638" s="55" t="n">
        <v>301.03</v>
      </c>
      <c r="G638" s="55" t="n">
        <v>64051.95</v>
      </c>
      <c r="H638" s="55" t="inlineStr"/>
      <c r="I638" s="55" t="inlineStr"/>
      <c r="J638" s="55" t="inlineStr">
        <is>
          <t>HDFC Securities - Sell</t>
        </is>
      </c>
      <c r="K638" s="55" t="inlineStr">
        <is>
          <t>HDFC Securities</t>
        </is>
      </c>
      <c r="L638" s="18" t="n">
        <v>0.97</v>
      </c>
      <c r="M638" s="55" t="inlineStr">
        <is>
          <t>N/A</t>
        </is>
      </c>
    </row>
    <row r="639">
      <c r="A639" s="41" t="n">
        <v>45307</v>
      </c>
      <c r="B639" s="42" t="inlineStr">
        <is>
          <t>NET PI TO HSL SEC A/C 2554606-00602340029427</t>
        </is>
      </c>
      <c r="C639" s="42" t="inlineStr">
        <is>
          <t>0000000484176504</t>
        </is>
      </c>
      <c r="D639" s="41" t="n">
        <v>45307</v>
      </c>
      <c r="E639" s="42" t="n">
        <v>216.37</v>
      </c>
      <c r="F639" s="42" t="n">
        <v>0</v>
      </c>
      <c r="G639" s="42" t="n">
        <v>63835.58</v>
      </c>
      <c r="H639" s="42" t="inlineStr"/>
      <c r="I639" s="42" t="inlineStr"/>
      <c r="J639" s="42" t="inlineStr">
        <is>
          <t>HDFC Securities - Buy</t>
        </is>
      </c>
      <c r="K639" s="42" t="inlineStr">
        <is>
          <t>HDFC Securities</t>
        </is>
      </c>
      <c r="L639" s="18" t="n">
        <v>0.97</v>
      </c>
      <c r="M639" s="42" t="inlineStr">
        <is>
          <t>N/A</t>
        </is>
      </c>
    </row>
    <row r="640">
      <c r="A640" s="41" t="n">
        <v>45307</v>
      </c>
      <c r="B640" s="42" t="inlineStr">
        <is>
          <t>NET PI TO HSL SEC A/C 2554606-00602340029427</t>
        </is>
      </c>
      <c r="C640" s="42" t="inlineStr">
        <is>
          <t>0000000484351024</t>
        </is>
      </c>
      <c r="D640" s="41" t="n">
        <v>45307</v>
      </c>
      <c r="E640" s="42" t="n">
        <v>35367.75</v>
      </c>
      <c r="F640" s="42" t="n">
        <v>0</v>
      </c>
      <c r="G640" s="42" t="n">
        <v>28467.83</v>
      </c>
      <c r="H640" s="42" t="inlineStr"/>
      <c r="I640" s="42" t="inlineStr"/>
      <c r="J640" s="42" t="inlineStr">
        <is>
          <t>HDFC Securities - Buy</t>
        </is>
      </c>
      <c r="K640" s="42" t="inlineStr">
        <is>
          <t>HDFC Securities</t>
        </is>
      </c>
      <c r="L640" s="18" t="n">
        <v>0.97</v>
      </c>
      <c r="M640" s="42" t="inlineStr">
        <is>
          <t>N/A</t>
        </is>
      </c>
    </row>
    <row r="641">
      <c r="A641" s="41" t="n">
        <v>45308</v>
      </c>
      <c r="B641" s="42" t="inlineStr">
        <is>
          <t>NET PI TO HSL SEC A/C 2554606-00602340029427</t>
        </is>
      </c>
      <c r="C641" s="42" t="inlineStr">
        <is>
          <t>0000000484617157</t>
        </is>
      </c>
      <c r="D641" s="41" t="n">
        <v>45308</v>
      </c>
      <c r="E641" s="42" t="n">
        <v>197.24</v>
      </c>
      <c r="F641" s="42" t="n">
        <v>0</v>
      </c>
      <c r="G641" s="42" t="n">
        <v>28270.59</v>
      </c>
      <c r="H641" s="42" t="inlineStr"/>
      <c r="I641" s="42" t="inlineStr"/>
      <c r="J641" s="42" t="inlineStr">
        <is>
          <t>HDFC Securities - Buy</t>
        </is>
      </c>
      <c r="K641" s="42" t="inlineStr">
        <is>
          <t>HDFC Securities</t>
        </is>
      </c>
      <c r="L641" s="18" t="n">
        <v>0.97</v>
      </c>
      <c r="M641" s="42" t="inlineStr">
        <is>
          <t>N/A</t>
        </is>
      </c>
    </row>
    <row r="642">
      <c r="A642" s="41" t="n">
        <v>45309</v>
      </c>
      <c r="B642" s="42" t="inlineStr">
        <is>
          <t>NET PI TO HSL SEC A/C 2554606-00602340029427</t>
        </is>
      </c>
      <c r="C642" s="42" t="inlineStr">
        <is>
          <t>0000000484868036</t>
        </is>
      </c>
      <c r="D642" s="41" t="n">
        <v>45309</v>
      </c>
      <c r="E642" s="42" t="n">
        <v>11949.82</v>
      </c>
      <c r="F642" s="42" t="n">
        <v>0</v>
      </c>
      <c r="G642" s="42" t="n">
        <v>16320.77</v>
      </c>
      <c r="H642" s="42" t="inlineStr"/>
      <c r="I642" s="42" t="inlineStr"/>
      <c r="J642" s="42" t="inlineStr">
        <is>
          <t>HDFC Securities - Buy</t>
        </is>
      </c>
      <c r="K642" s="42" t="inlineStr">
        <is>
          <t>HDFC Securities</t>
        </is>
      </c>
      <c r="L642" s="18" t="n">
        <v>0.97</v>
      </c>
      <c r="M642" s="42" t="inlineStr">
        <is>
          <t>N/A</t>
        </is>
      </c>
    </row>
    <row r="643">
      <c r="A643" s="54" t="n">
        <v>45309</v>
      </c>
      <c r="B643" s="55" t="inlineStr">
        <is>
          <t>NET PO FROM HSL A/C 2554606-50200085415108</t>
        </is>
      </c>
      <c r="C643" s="55" t="inlineStr">
        <is>
          <t>0000000485032850</t>
        </is>
      </c>
      <c r="D643" s="54" t="n">
        <v>45309</v>
      </c>
      <c r="E643" s="55" t="n">
        <v>0</v>
      </c>
      <c r="F643" s="55" t="n">
        <v>36868.81</v>
      </c>
      <c r="G643" s="55" t="n">
        <v>53189.58</v>
      </c>
      <c r="H643" s="55" t="inlineStr"/>
      <c r="I643" s="55" t="inlineStr"/>
      <c r="J643" s="55" t="inlineStr">
        <is>
          <t>HDFC Securities - Sell</t>
        </is>
      </c>
      <c r="K643" s="55" t="inlineStr">
        <is>
          <t>HDFC Securities</t>
        </is>
      </c>
      <c r="L643" s="18" t="n">
        <v>0.97</v>
      </c>
      <c r="M643" s="55" t="inlineStr">
        <is>
          <t>N/A</t>
        </is>
      </c>
    </row>
    <row r="644">
      <c r="A644" s="41" t="n">
        <v>45309</v>
      </c>
      <c r="B644" s="42" t="inlineStr">
        <is>
          <t>NET PI TO HSL SEC A/C 2554606-00602340029427</t>
        </is>
      </c>
      <c r="C644" s="42" t="inlineStr">
        <is>
          <t>0000000485166715</t>
        </is>
      </c>
      <c r="D644" s="41" t="n">
        <v>45309</v>
      </c>
      <c r="E644" s="42" t="n">
        <v>192.98</v>
      </c>
      <c r="F644" s="42" t="n">
        <v>0</v>
      </c>
      <c r="G644" s="42" t="n">
        <v>52996.6</v>
      </c>
      <c r="H644" s="42" t="inlineStr"/>
      <c r="I644" s="42" t="inlineStr"/>
      <c r="J644" s="42" t="inlineStr">
        <is>
          <t>HDFC Securities - Buy</t>
        </is>
      </c>
      <c r="K644" s="42" t="inlineStr">
        <is>
          <t>HDFC Securities</t>
        </is>
      </c>
      <c r="L644" s="18" t="n">
        <v>0.97</v>
      </c>
      <c r="M644" s="42" t="inlineStr">
        <is>
          <t>N/A</t>
        </is>
      </c>
    </row>
    <row r="645">
      <c r="A645" s="41" t="n">
        <v>45309</v>
      </c>
      <c r="B645" s="42" t="inlineStr">
        <is>
          <t>NET PI TO HSL SEC A/C 2554606-00602340029427</t>
        </is>
      </c>
      <c r="C645" s="42" t="inlineStr">
        <is>
          <t>0000000485368995</t>
        </is>
      </c>
      <c r="D645" s="41" t="n">
        <v>45309</v>
      </c>
      <c r="E645" s="42" t="n">
        <v>2791.46</v>
      </c>
      <c r="F645" s="42" t="n">
        <v>0</v>
      </c>
      <c r="G645" s="42" t="n">
        <v>50205.14</v>
      </c>
      <c r="H645" s="42" t="inlineStr"/>
      <c r="I645" s="42" t="inlineStr"/>
      <c r="J645" s="42" t="inlineStr">
        <is>
          <t>HDFC Securities - Buy</t>
        </is>
      </c>
      <c r="K645" s="42" t="inlineStr">
        <is>
          <t>HDFC Securities</t>
        </is>
      </c>
      <c r="L645" s="18" t="n">
        <v>0.97</v>
      </c>
      <c r="M645" s="42" t="inlineStr">
        <is>
          <t>N/A</t>
        </is>
      </c>
    </row>
    <row r="646">
      <c r="A646" s="41" t="n">
        <v>45310</v>
      </c>
      <c r="B646" s="42" t="inlineStr">
        <is>
          <t>NET PI TO HSL SEC A/C 2554606-00602340029427</t>
        </is>
      </c>
      <c r="C646" s="42" t="inlineStr">
        <is>
          <t>0000000485671917</t>
        </is>
      </c>
      <c r="D646" s="41" t="n">
        <v>45310</v>
      </c>
      <c r="E646" s="42" t="n">
        <v>200.49</v>
      </c>
      <c r="F646" s="42" t="n">
        <v>0</v>
      </c>
      <c r="G646" s="42" t="n">
        <v>50004.65</v>
      </c>
      <c r="H646" s="42" t="inlineStr"/>
      <c r="I646" s="42" t="inlineStr"/>
      <c r="J646" s="42" t="inlineStr">
        <is>
          <t>HDFC Securities - Buy</t>
        </is>
      </c>
      <c r="K646" s="42" t="inlineStr">
        <is>
          <t>HDFC Securities</t>
        </is>
      </c>
      <c r="L646" s="18" t="n">
        <v>0.97</v>
      </c>
      <c r="M646" s="42" t="inlineStr">
        <is>
          <t>N/A</t>
        </is>
      </c>
    </row>
    <row r="647">
      <c r="A647" s="41" t="n">
        <v>45310</v>
      </c>
      <c r="B647" s="42" t="inlineStr">
        <is>
          <t>NET PI TO HSL SEC A/C 2554606-00602340029427</t>
        </is>
      </c>
      <c r="C647" s="42" t="inlineStr">
        <is>
          <t>0000000485701510</t>
        </is>
      </c>
      <c r="D647" s="41" t="n">
        <v>45310</v>
      </c>
      <c r="E647" s="42" t="n">
        <v>34795.31</v>
      </c>
      <c r="F647" s="42" t="n">
        <v>0</v>
      </c>
      <c r="G647" s="42" t="n">
        <v>15209.34</v>
      </c>
      <c r="H647" s="42" t="inlineStr"/>
      <c r="I647" s="42" t="inlineStr"/>
      <c r="J647" s="42" t="inlineStr">
        <is>
          <t>HDFC Securities - Buy</t>
        </is>
      </c>
      <c r="K647" s="42" t="inlineStr">
        <is>
          <t>HDFC Securities</t>
        </is>
      </c>
      <c r="L647" s="18" t="n">
        <v>0.97</v>
      </c>
      <c r="M647" s="42" t="inlineStr">
        <is>
          <t>N/A</t>
        </is>
      </c>
    </row>
    <row r="648">
      <c r="A648" s="54" t="n">
        <v>45311</v>
      </c>
      <c r="B648" s="55" t="inlineStr">
        <is>
          <t>NET PO FROM HSL A/C 2554606-50200085415108</t>
        </is>
      </c>
      <c r="C648" s="55" t="inlineStr">
        <is>
          <t>0000000485862487</t>
        </is>
      </c>
      <c r="D648" s="54" t="n">
        <v>45311</v>
      </c>
      <c r="E648" s="55" t="n">
        <v>0</v>
      </c>
      <c r="F648" s="55" t="n">
        <v>24264.54</v>
      </c>
      <c r="G648" s="55" t="n">
        <v>39473.88</v>
      </c>
      <c r="H648" s="55" t="inlineStr"/>
      <c r="I648" s="55" t="inlineStr"/>
      <c r="J648" s="55" t="inlineStr">
        <is>
          <t>HDFC Securities - Sell</t>
        </is>
      </c>
      <c r="K648" s="55" t="inlineStr">
        <is>
          <t>HDFC Securities</t>
        </is>
      </c>
      <c r="L648" s="18" t="n">
        <v>0.97</v>
      </c>
      <c r="M648" s="55" t="inlineStr">
        <is>
          <t>N/A</t>
        </is>
      </c>
    </row>
    <row r="649">
      <c r="A649" s="54" t="n">
        <v>45311</v>
      </c>
      <c r="B649" s="55" t="inlineStr">
        <is>
          <t>NET PO FROM HSL A/C 2554606-50200085415108</t>
        </is>
      </c>
      <c r="C649" s="55" t="inlineStr">
        <is>
          <t>0000000485927124</t>
        </is>
      </c>
      <c r="D649" s="54" t="n">
        <v>45311</v>
      </c>
      <c r="E649" s="55" t="n">
        <v>0</v>
      </c>
      <c r="F649" s="55" t="n">
        <v>34795.31</v>
      </c>
      <c r="G649" s="55" t="n">
        <v>74269.19</v>
      </c>
      <c r="H649" s="55" t="inlineStr"/>
      <c r="I649" s="55" t="inlineStr"/>
      <c r="J649" s="55" t="inlineStr">
        <is>
          <t>HDFC Securities - Sell</t>
        </is>
      </c>
      <c r="K649" s="55" t="inlineStr">
        <is>
          <t>HDFC Securities</t>
        </is>
      </c>
      <c r="L649" s="18" t="n">
        <v>0.97</v>
      </c>
      <c r="M649" s="55" t="inlineStr">
        <is>
          <t>N/A</t>
        </is>
      </c>
    </row>
    <row r="650">
      <c r="A650" s="41" t="n">
        <v>45311</v>
      </c>
      <c r="B650" s="42" t="inlineStr">
        <is>
          <t>NET PI TO HSL SEC A/C 2554606-00602340029427</t>
        </is>
      </c>
      <c r="C650" s="42" t="inlineStr">
        <is>
          <t>0000000486122449</t>
        </is>
      </c>
      <c r="D650" s="41" t="n">
        <v>45311</v>
      </c>
      <c r="E650" s="42" t="n">
        <v>209.13</v>
      </c>
      <c r="F650" s="42" t="n">
        <v>0</v>
      </c>
      <c r="G650" s="42" t="n">
        <v>74060.06</v>
      </c>
      <c r="H650" s="42" t="inlineStr"/>
      <c r="I650" s="42" t="inlineStr"/>
      <c r="J650" s="42" t="inlineStr">
        <is>
          <t>HDFC Securities - Buy</t>
        </is>
      </c>
      <c r="K650" s="42" t="inlineStr">
        <is>
          <t>HDFC Securities</t>
        </is>
      </c>
      <c r="L650" s="18" t="n">
        <v>0.97</v>
      </c>
      <c r="M650" s="42" t="inlineStr">
        <is>
          <t>N/A</t>
        </is>
      </c>
    </row>
    <row r="651">
      <c r="A651" s="19" t="n">
        <v>45311</v>
      </c>
      <c r="B651" s="20" t="inlineStr">
        <is>
          <t>OCTDEC23 INSTAALERTCHG 27 SMS 050124-MIR2401935428412</t>
        </is>
      </c>
      <c r="C651" s="20" t="inlineStr">
        <is>
          <t>MIR2401935428412</t>
        </is>
      </c>
      <c r="D651" s="19" t="n">
        <v>45311</v>
      </c>
      <c r="E651" s="20" t="n">
        <v>6.38</v>
      </c>
      <c r="F651" s="20" t="n">
        <v>0</v>
      </c>
      <c r="G651" s="20" t="n">
        <v>74053.67999999999</v>
      </c>
      <c r="H651" s="20" t="inlineStr"/>
      <c r="I651" s="20" t="inlineStr"/>
      <c r="J651" s="20" t="inlineStr">
        <is>
          <t>Bank Charges</t>
        </is>
      </c>
      <c r="K651" s="20" t="inlineStr">
        <is>
          <t>Bank Charges</t>
        </is>
      </c>
      <c r="L651" s="18" t="n">
        <v>0.9</v>
      </c>
      <c r="M651" s="20" t="inlineStr">
        <is>
          <t>N/A</t>
        </is>
      </c>
    </row>
    <row r="652">
      <c r="A652" s="41" t="n">
        <v>45311</v>
      </c>
      <c r="B652" s="42" t="inlineStr">
        <is>
          <t>NET PI TO HSL SEC A/C 2554606-00602340029427</t>
        </is>
      </c>
      <c r="C652" s="42" t="inlineStr">
        <is>
          <t>0000000486249249</t>
        </is>
      </c>
      <c r="D652" s="41" t="n">
        <v>45311</v>
      </c>
      <c r="E652" s="42" t="n">
        <v>25340.33</v>
      </c>
      <c r="F652" s="42" t="n">
        <v>0</v>
      </c>
      <c r="G652" s="42" t="n">
        <v>48713.35</v>
      </c>
      <c r="H652" s="42" t="inlineStr"/>
      <c r="I652" s="42" t="inlineStr"/>
      <c r="J652" s="42" t="inlineStr">
        <is>
          <t>HDFC Securities - Buy</t>
        </is>
      </c>
      <c r="K652" s="42" t="inlineStr">
        <is>
          <t>HDFC Securities</t>
        </is>
      </c>
      <c r="L652" s="18" t="n">
        <v>0.97</v>
      </c>
      <c r="M652" s="42" t="inlineStr">
        <is>
          <t>N/A</t>
        </is>
      </c>
    </row>
    <row r="653">
      <c r="A653" s="54" t="n">
        <v>45314</v>
      </c>
      <c r="B653" s="55" t="inlineStr">
        <is>
          <t>NET PO FROM HSL A/C 2554606-50200085415108</t>
        </is>
      </c>
      <c r="C653" s="55" t="inlineStr">
        <is>
          <t>0000000486358679</t>
        </is>
      </c>
      <c r="D653" s="54" t="n">
        <v>45314</v>
      </c>
      <c r="E653" s="55" t="n">
        <v>0</v>
      </c>
      <c r="F653" s="55" t="n">
        <v>4184.24</v>
      </c>
      <c r="G653" s="55" t="n">
        <v>52897.59</v>
      </c>
      <c r="H653" s="55" t="inlineStr"/>
      <c r="I653" s="55" t="inlineStr"/>
      <c r="J653" s="55" t="inlineStr">
        <is>
          <t>HDFC Securities - Sell</t>
        </is>
      </c>
      <c r="K653" s="55" t="inlineStr">
        <is>
          <t>HDFC Securities</t>
        </is>
      </c>
      <c r="L653" s="18" t="n">
        <v>0.97</v>
      </c>
      <c r="M653" s="55" t="inlineStr">
        <is>
          <t>N/A</t>
        </is>
      </c>
    </row>
    <row r="654">
      <c r="A654" s="41" t="n">
        <v>45314</v>
      </c>
      <c r="B654" s="42" t="inlineStr">
        <is>
          <t>NET PI TO HSL SEC A/C 2554606-00602340029427</t>
        </is>
      </c>
      <c r="C654" s="42" t="inlineStr">
        <is>
          <t>0000000486598654</t>
        </is>
      </c>
      <c r="D654" s="41" t="n">
        <v>45314</v>
      </c>
      <c r="E654" s="42" t="n">
        <v>600.33</v>
      </c>
      <c r="F654" s="42" t="n">
        <v>0</v>
      </c>
      <c r="G654" s="42" t="n">
        <v>52297.26</v>
      </c>
      <c r="H654" s="42" t="inlineStr"/>
      <c r="I654" s="42" t="inlineStr"/>
      <c r="J654" s="42" t="inlineStr">
        <is>
          <t>HDFC Securities - Buy</t>
        </is>
      </c>
      <c r="K654" s="42" t="inlineStr">
        <is>
          <t>HDFC Securities</t>
        </is>
      </c>
      <c r="L654" s="18" t="n">
        <v>0.97</v>
      </c>
      <c r="M654" s="42" t="inlineStr">
        <is>
          <t>N/A</t>
        </is>
      </c>
    </row>
    <row r="655">
      <c r="A655" s="41" t="n">
        <v>45315</v>
      </c>
      <c r="B655" s="42" t="inlineStr">
        <is>
          <t>NET PI TO HSL SEC A/C 2554606-00602340029427</t>
        </is>
      </c>
      <c r="C655" s="42" t="inlineStr">
        <is>
          <t>0000000486873257</t>
        </is>
      </c>
      <c r="D655" s="41" t="n">
        <v>45315</v>
      </c>
      <c r="E655" s="42" t="n">
        <v>8592.98</v>
      </c>
      <c r="F655" s="42" t="n">
        <v>0</v>
      </c>
      <c r="G655" s="42" t="n">
        <v>43704.28</v>
      </c>
      <c r="H655" s="42" t="inlineStr"/>
      <c r="I655" s="42" t="inlineStr"/>
      <c r="J655" s="42" t="inlineStr">
        <is>
          <t>HDFC Securities - Buy</t>
        </is>
      </c>
      <c r="K655" s="42" t="inlineStr">
        <is>
          <t>HDFC Securities</t>
        </is>
      </c>
      <c r="L655" s="18" t="n">
        <v>0.97</v>
      </c>
      <c r="M655" s="42" t="inlineStr">
        <is>
          <t>N/A</t>
        </is>
      </c>
    </row>
    <row r="656">
      <c r="A656" s="41" t="n">
        <v>45315</v>
      </c>
      <c r="B656" s="42" t="inlineStr">
        <is>
          <t>NET PI TO HSL SEC A/C 2554606-00602340029427</t>
        </is>
      </c>
      <c r="C656" s="42" t="inlineStr">
        <is>
          <t>0000000487173033</t>
        </is>
      </c>
      <c r="D656" s="41" t="n">
        <v>45315</v>
      </c>
      <c r="E656" s="42" t="n">
        <v>197.93</v>
      </c>
      <c r="F656" s="42" t="n">
        <v>0</v>
      </c>
      <c r="G656" s="42" t="n">
        <v>43506.35</v>
      </c>
      <c r="H656" s="42" t="inlineStr"/>
      <c r="I656" s="42" t="inlineStr"/>
      <c r="J656" s="42" t="inlineStr">
        <is>
          <t>HDFC Securities - Buy</t>
        </is>
      </c>
      <c r="K656" s="42" t="inlineStr">
        <is>
          <t>HDFC Securities</t>
        </is>
      </c>
      <c r="L656" s="18" t="n">
        <v>0.97</v>
      </c>
      <c r="M656" s="42" t="inlineStr">
        <is>
          <t>N/A</t>
        </is>
      </c>
    </row>
    <row r="657">
      <c r="A657" s="54" t="n">
        <v>45316</v>
      </c>
      <c r="B657" s="55" t="inlineStr">
        <is>
          <t>NET PO FROM HSL A/C 2554606-50200085415108</t>
        </is>
      </c>
      <c r="C657" s="55" t="inlineStr">
        <is>
          <t>0000000487473509</t>
        </is>
      </c>
      <c r="D657" s="54" t="n">
        <v>45316</v>
      </c>
      <c r="E657" s="55" t="n">
        <v>0</v>
      </c>
      <c r="F657" s="55" t="n">
        <v>61708.6</v>
      </c>
      <c r="G657" s="55" t="n">
        <v>105214.95</v>
      </c>
      <c r="H657" s="55" t="inlineStr"/>
      <c r="I657" s="55" t="inlineStr"/>
      <c r="J657" s="55" t="inlineStr">
        <is>
          <t>HDFC Securities - Sell</t>
        </is>
      </c>
      <c r="K657" s="55" t="inlineStr">
        <is>
          <t>HDFC Securities</t>
        </is>
      </c>
      <c r="L657" s="18" t="n">
        <v>0.97</v>
      </c>
      <c r="M657" s="55" t="inlineStr">
        <is>
          <t>N/A</t>
        </is>
      </c>
    </row>
    <row r="658">
      <c r="A658" s="41" t="n">
        <v>45316</v>
      </c>
      <c r="B658" s="42" t="inlineStr">
        <is>
          <t>NET PI TO HSL SEC A/C 2554606-00602340029427</t>
        </is>
      </c>
      <c r="C658" s="42" t="inlineStr">
        <is>
          <t>0000000487619615</t>
        </is>
      </c>
      <c r="D658" s="41" t="n">
        <v>45316</v>
      </c>
      <c r="E658" s="42" t="n">
        <v>197.93</v>
      </c>
      <c r="F658" s="42" t="n">
        <v>0</v>
      </c>
      <c r="G658" s="42" t="n">
        <v>105017.02</v>
      </c>
      <c r="H658" s="42" t="inlineStr"/>
      <c r="I658" s="42" t="inlineStr"/>
      <c r="J658" s="42" t="inlineStr">
        <is>
          <t>HDFC Securities - Buy</t>
        </is>
      </c>
      <c r="K658" s="42" t="inlineStr">
        <is>
          <t>HDFC Securities</t>
        </is>
      </c>
      <c r="L658" s="18" t="n">
        <v>0.97</v>
      </c>
      <c r="M658" s="42" t="inlineStr">
        <is>
          <t>N/A</t>
        </is>
      </c>
    </row>
    <row r="659">
      <c r="A659" s="41" t="n">
        <v>45317</v>
      </c>
      <c r="B659" s="42" t="inlineStr">
        <is>
          <t>NET PI TO HSL SEC A/C 2554606-00602340029427</t>
        </is>
      </c>
      <c r="C659" s="42" t="inlineStr">
        <is>
          <t>0000000487808035</t>
        </is>
      </c>
      <c r="D659" s="41" t="n">
        <v>45317</v>
      </c>
      <c r="E659" s="42" t="n">
        <v>73510.92999999999</v>
      </c>
      <c r="F659" s="42" t="n">
        <v>0</v>
      </c>
      <c r="G659" s="42" t="n">
        <v>31506.09</v>
      </c>
      <c r="H659" s="42" t="inlineStr"/>
      <c r="I659" s="42" t="inlineStr"/>
      <c r="J659" s="42" t="inlineStr">
        <is>
          <t>HDFC Securities - Buy</t>
        </is>
      </c>
      <c r="K659" s="42" t="inlineStr">
        <is>
          <t>HDFC Securities</t>
        </is>
      </c>
      <c r="L659" s="18" t="n">
        <v>0.97</v>
      </c>
      <c r="M659" s="42" t="inlineStr">
        <is>
          <t>N/A</t>
        </is>
      </c>
    </row>
    <row r="660">
      <c r="A660" s="62" t="n">
        <v>45317</v>
      </c>
      <c r="B660" s="63" t="inlineStr">
        <is>
          <t>01671000060094-TPT-MONEY RETURNED BY AAYUSH TO SUNITA-SUNITA GUPTA</t>
        </is>
      </c>
      <c r="C660" s="63" t="inlineStr">
        <is>
          <t>0000000618740593</t>
        </is>
      </c>
      <c r="D660" s="62" t="n">
        <v>45317</v>
      </c>
      <c r="E660" s="63" t="n">
        <v>20000</v>
      </c>
      <c r="F660" s="63" t="n">
        <v>0</v>
      </c>
      <c r="G660" s="63" t="n">
        <v>11506.09</v>
      </c>
      <c r="H660" s="63" t="inlineStr"/>
      <c r="I660" s="63" t="inlineStr"/>
      <c r="J660" s="63" t="inlineStr">
        <is>
          <t>Transfer - Sunita Gupta</t>
        </is>
      </c>
      <c r="K660" s="63" t="inlineStr">
        <is>
          <t>Sunita Gupta</t>
        </is>
      </c>
      <c r="L660" s="18" t="n">
        <v>0.88</v>
      </c>
      <c r="M660" s="63" t="inlineStr">
        <is>
          <t>N/A</t>
        </is>
      </c>
    </row>
    <row r="661">
      <c r="A661" s="58" t="n">
        <v>45320</v>
      </c>
      <c r="B661" s="59" t="inlineStr">
        <is>
          <t>ACH D- TP ACH INDIANESIGN-1346368480</t>
        </is>
      </c>
      <c r="C661" s="59" t="inlineStr">
        <is>
          <t>0000009809927850</t>
        </is>
      </c>
      <c r="D661" s="58" t="n">
        <v>45320</v>
      </c>
      <c r="E661" s="59" t="n">
        <v>5000</v>
      </c>
      <c r="F661" s="59" t="n">
        <v>0</v>
      </c>
      <c r="G661" s="59" t="n">
        <v>6506.09</v>
      </c>
      <c r="H661" s="59" t="inlineStr"/>
      <c r="I661" s="59" t="inlineStr"/>
      <c r="J661" s="59" t="inlineStr">
        <is>
          <t>SIP</t>
        </is>
      </c>
      <c r="K661" s="59" t="inlineStr">
        <is>
          <t>SIP</t>
        </is>
      </c>
      <c r="L661" s="18" t="n">
        <v>0.95</v>
      </c>
      <c r="M661" s="59" t="inlineStr">
        <is>
          <t>N/A</t>
        </is>
      </c>
    </row>
    <row r="662">
      <c r="A662" s="41" t="n">
        <v>45320</v>
      </c>
      <c r="B662" s="42" t="inlineStr">
        <is>
          <t>NET PI TO HSL SEC A/C 2554606-00602340029427</t>
        </is>
      </c>
      <c r="C662" s="42" t="inlineStr">
        <is>
          <t>0000000488176629</t>
        </is>
      </c>
      <c r="D662" s="41" t="n">
        <v>45320</v>
      </c>
      <c r="E662" s="42" t="n">
        <v>577.36</v>
      </c>
      <c r="F662" s="42" t="n">
        <v>0</v>
      </c>
      <c r="G662" s="42" t="n">
        <v>5928.73</v>
      </c>
      <c r="H662" s="42" t="inlineStr"/>
      <c r="I662" s="42" t="inlineStr"/>
      <c r="J662" s="42" t="inlineStr">
        <is>
          <t>HDFC Securities - Buy</t>
        </is>
      </c>
      <c r="K662" s="42" t="inlineStr">
        <is>
          <t>HDFC Securities</t>
        </is>
      </c>
      <c r="L662" s="18" t="n">
        <v>0.97</v>
      </c>
      <c r="M662" s="42" t="inlineStr">
        <is>
          <t>N/A</t>
        </is>
      </c>
    </row>
    <row r="663">
      <c r="A663" s="54" t="n">
        <v>45321</v>
      </c>
      <c r="B663" s="55" t="inlineStr">
        <is>
          <t>NET PO FROM HSL A/C 2554606-50200085415108</t>
        </is>
      </c>
      <c r="C663" s="55" t="inlineStr">
        <is>
          <t>0000000488510488</t>
        </is>
      </c>
      <c r="D663" s="54" t="n">
        <v>45321</v>
      </c>
      <c r="E663" s="55" t="n">
        <v>0</v>
      </c>
      <c r="F663" s="55" t="n">
        <v>3426.38</v>
      </c>
      <c r="G663" s="55" t="n">
        <v>9355.110000000001</v>
      </c>
      <c r="H663" s="55" t="inlineStr"/>
      <c r="I663" s="55" t="inlineStr"/>
      <c r="J663" s="55" t="inlineStr">
        <is>
          <t>HDFC Securities - Sell</t>
        </is>
      </c>
      <c r="K663" s="55" t="inlineStr">
        <is>
          <t>HDFC Securities</t>
        </is>
      </c>
      <c r="L663" s="18" t="n">
        <v>0.97</v>
      </c>
      <c r="M663" s="55" t="inlineStr">
        <is>
          <t>N/A</t>
        </is>
      </c>
    </row>
    <row r="664">
      <c r="A664" s="58" t="n">
        <v>45321</v>
      </c>
      <c r="B664" s="59" t="inlineStr">
        <is>
          <t>ACH D- TP ACH INDIANESIGN-1349137374</t>
        </is>
      </c>
      <c r="C664" s="59" t="inlineStr">
        <is>
          <t>0000009834809464</t>
        </is>
      </c>
      <c r="D664" s="58" t="n">
        <v>45321</v>
      </c>
      <c r="E664" s="59" t="n">
        <v>5000</v>
      </c>
      <c r="F664" s="59" t="n">
        <v>0</v>
      </c>
      <c r="G664" s="59" t="n">
        <v>4355.11</v>
      </c>
      <c r="H664" s="59" t="inlineStr"/>
      <c r="I664" s="59" t="inlineStr"/>
      <c r="J664" s="59" t="inlineStr">
        <is>
          <t>SIP</t>
        </is>
      </c>
      <c r="K664" s="59" t="inlineStr">
        <is>
          <t>SIP</t>
        </is>
      </c>
      <c r="L664" s="18" t="n">
        <v>0.95</v>
      </c>
      <c r="M664" s="59" t="inlineStr">
        <is>
          <t>N/A</t>
        </is>
      </c>
    </row>
    <row r="665">
      <c r="A665" s="19" t="n">
        <v>45321</v>
      </c>
      <c r="B665" s="20" t="inlineStr">
        <is>
          <t>ISAQMC-OCT-DEC23-417944 250124-MIR2403065287373</t>
        </is>
      </c>
      <c r="C665" s="20" t="inlineStr">
        <is>
          <t>MIR2403065287373</t>
        </is>
      </c>
      <c r="D665" s="19" t="n">
        <v>45321</v>
      </c>
      <c r="E665" s="20" t="n">
        <v>295</v>
      </c>
      <c r="F665" s="20" t="n">
        <v>0</v>
      </c>
      <c r="G665" s="20" t="n">
        <v>4060.11</v>
      </c>
      <c r="H665" s="20" t="inlineStr"/>
      <c r="I665" s="20" t="inlineStr"/>
      <c r="J665" s="20" t="inlineStr">
        <is>
          <t>Bank Charges</t>
        </is>
      </c>
      <c r="K665" s="20" t="inlineStr">
        <is>
          <t>Bank Charges</t>
        </is>
      </c>
      <c r="L665" s="18" t="n">
        <v>0.9</v>
      </c>
      <c r="M665" s="20" t="inlineStr">
        <is>
          <t>N/A</t>
        </is>
      </c>
    </row>
    <row r="666">
      <c r="A666" s="19" t="n">
        <v>45321</v>
      </c>
      <c r="B666" s="20" t="inlineStr">
        <is>
          <t>DEBIT CARD ANNUAL FEE-JAN-2024 190124-MIR2403064274725</t>
        </is>
      </c>
      <c r="C666" s="20" t="inlineStr">
        <is>
          <t>MIR2403064274725</t>
        </is>
      </c>
      <c r="D666" s="19" t="n">
        <v>45321</v>
      </c>
      <c r="E666" s="20" t="n">
        <v>236</v>
      </c>
      <c r="F666" s="20" t="n">
        <v>0</v>
      </c>
      <c r="G666" s="20" t="n">
        <v>3824.11</v>
      </c>
      <c r="H666" s="20" t="inlineStr"/>
      <c r="I666" s="20" t="inlineStr"/>
      <c r="J666" s="20" t="inlineStr">
        <is>
          <t>Bank Charges</t>
        </is>
      </c>
      <c r="K666" s="20" t="inlineStr">
        <is>
          <t>Bank Charges</t>
        </is>
      </c>
      <c r="L666" s="18" t="n">
        <v>0.9</v>
      </c>
      <c r="M666" s="20" t="inlineStr">
        <is>
          <t>N/A</t>
        </is>
      </c>
    </row>
    <row r="667">
      <c r="A667" s="41" t="n">
        <v>45321</v>
      </c>
      <c r="B667" s="42" t="inlineStr">
        <is>
          <t>NET PI TO HSL SEC A/C 2554606-00602340029427</t>
        </is>
      </c>
      <c r="C667" s="42" t="inlineStr">
        <is>
          <t>0000000488659769</t>
        </is>
      </c>
      <c r="D667" s="41" t="n">
        <v>45321</v>
      </c>
      <c r="E667" s="42" t="n">
        <v>180.33</v>
      </c>
      <c r="F667" s="42" t="n">
        <v>0</v>
      </c>
      <c r="G667" s="42" t="n">
        <v>3643.78</v>
      </c>
      <c r="H667" s="42" t="inlineStr"/>
      <c r="I667" s="42" t="inlineStr"/>
      <c r="J667" s="42" t="inlineStr">
        <is>
          <t>HDFC Securities - Buy</t>
        </is>
      </c>
      <c r="K667" s="42" t="inlineStr">
        <is>
          <t>HDFC Securities</t>
        </is>
      </c>
      <c r="L667" s="18" t="n">
        <v>0.97</v>
      </c>
      <c r="M667" s="42" t="inlineStr">
        <is>
          <t>N/A</t>
        </is>
      </c>
    </row>
    <row r="668">
      <c r="A668" s="54" t="n">
        <v>45322</v>
      </c>
      <c r="B668" s="55" t="inlineStr">
        <is>
          <t>NET PO FROM HSL A/C 2554606-50200085415108</t>
        </is>
      </c>
      <c r="C668" s="55" t="inlineStr">
        <is>
          <t>0000000489025036</t>
        </is>
      </c>
      <c r="D668" s="54" t="n">
        <v>45322</v>
      </c>
      <c r="E668" s="55" t="n">
        <v>0</v>
      </c>
      <c r="F668" s="55" t="n">
        <v>11450.46</v>
      </c>
      <c r="G668" s="55" t="n">
        <v>15094.24</v>
      </c>
      <c r="H668" s="55" t="inlineStr"/>
      <c r="I668" s="55" t="inlineStr"/>
      <c r="J668" s="55" t="inlineStr">
        <is>
          <t>HDFC Securities - Sell</t>
        </is>
      </c>
      <c r="K668" s="55" t="inlineStr">
        <is>
          <t>HDFC Securities</t>
        </is>
      </c>
      <c r="L668" s="18" t="n">
        <v>0.97</v>
      </c>
      <c r="M668" s="55" t="inlineStr">
        <is>
          <t>N/A</t>
        </is>
      </c>
    </row>
    <row r="669">
      <c r="A669" s="41" t="n">
        <v>45322</v>
      </c>
      <c r="B669" s="42" t="inlineStr">
        <is>
          <t>NET PI TO HSL SEC A/C 2554606-00602340029427</t>
        </is>
      </c>
      <c r="C669" s="42" t="inlineStr">
        <is>
          <t>0000000489157497</t>
        </is>
      </c>
      <c r="D669" s="41" t="n">
        <v>45322</v>
      </c>
      <c r="E669" s="42" t="n">
        <v>181.55</v>
      </c>
      <c r="F669" s="42" t="n">
        <v>0</v>
      </c>
      <c r="G669" s="42" t="n">
        <v>14912.69</v>
      </c>
      <c r="H669" s="42" t="inlineStr"/>
      <c r="I669" s="42" t="inlineStr"/>
      <c r="J669" s="42" t="inlineStr">
        <is>
          <t>HDFC Securities - Buy</t>
        </is>
      </c>
      <c r="K669" s="42" t="inlineStr">
        <is>
          <t>HDFC Securities</t>
        </is>
      </c>
      <c r="L669" s="18" t="n">
        <v>0.97</v>
      </c>
      <c r="M669" s="42" t="inlineStr">
        <is>
          <t>N/A</t>
        </is>
      </c>
    </row>
    <row r="670">
      <c r="A670" s="54" t="n">
        <v>45323</v>
      </c>
      <c r="B670" s="55" t="inlineStr">
        <is>
          <t>NET PO FROM HSL A/C 2554606-50200085415108</t>
        </is>
      </c>
      <c r="C670" s="55" t="inlineStr">
        <is>
          <t>0000000489501854</t>
        </is>
      </c>
      <c r="D670" s="54" t="n">
        <v>45323</v>
      </c>
      <c r="E670" s="55" t="n">
        <v>0</v>
      </c>
      <c r="F670" s="55" t="n">
        <v>17235.04</v>
      </c>
      <c r="G670" s="55" t="n">
        <v>32147.73</v>
      </c>
      <c r="H670" s="55" t="inlineStr"/>
      <c r="I670" s="55" t="inlineStr"/>
      <c r="J670" s="55" t="inlineStr">
        <is>
          <t>HDFC Securities - Sell</t>
        </is>
      </c>
      <c r="K670" s="55" t="inlineStr">
        <is>
          <t>HDFC Securities</t>
        </is>
      </c>
      <c r="L670" s="18" t="n">
        <v>0.97</v>
      </c>
      <c r="M670" s="55" t="inlineStr">
        <is>
          <t>N/A</t>
        </is>
      </c>
    </row>
    <row r="671">
      <c r="A671" s="54" t="n">
        <v>45323</v>
      </c>
      <c r="B671" s="55" t="inlineStr">
        <is>
          <t>NET PO FROM HSL A/C 2554606-50200085415108</t>
        </is>
      </c>
      <c r="C671" s="55" t="inlineStr">
        <is>
          <t>0000000489530404</t>
        </is>
      </c>
      <c r="D671" s="54" t="n">
        <v>45323</v>
      </c>
      <c r="E671" s="55" t="n">
        <v>0</v>
      </c>
      <c r="F671" s="55" t="n">
        <v>43496.53</v>
      </c>
      <c r="G671" s="55" t="n">
        <v>75644.25999999999</v>
      </c>
      <c r="H671" s="55" t="inlineStr"/>
      <c r="I671" s="55" t="inlineStr"/>
      <c r="J671" s="55" t="inlineStr">
        <is>
          <t>HDFC Securities - Sell</t>
        </is>
      </c>
      <c r="K671" s="55" t="inlineStr">
        <is>
          <t>HDFC Securities</t>
        </is>
      </c>
      <c r="L671" s="18" t="n">
        <v>0.97</v>
      </c>
      <c r="M671" s="55" t="inlineStr">
        <is>
          <t>N/A</t>
        </is>
      </c>
    </row>
    <row r="672">
      <c r="A672" s="41" t="n">
        <v>45323</v>
      </c>
      <c r="B672" s="42" t="inlineStr">
        <is>
          <t>NET PI TO HSL SEC A/C 2554606-00602340029427</t>
        </is>
      </c>
      <c r="C672" s="42" t="inlineStr">
        <is>
          <t>0000000489694139</t>
        </is>
      </c>
      <c r="D672" s="41" t="n">
        <v>45323</v>
      </c>
      <c r="E672" s="42" t="n">
        <v>177.06</v>
      </c>
      <c r="F672" s="42" t="n">
        <v>0</v>
      </c>
      <c r="G672" s="42" t="n">
        <v>75467.2</v>
      </c>
      <c r="H672" s="42" t="inlineStr"/>
      <c r="I672" s="42" t="inlineStr"/>
      <c r="J672" s="42" t="inlineStr">
        <is>
          <t>HDFC Securities - Buy</t>
        </is>
      </c>
      <c r="K672" s="42" t="inlineStr">
        <is>
          <t>HDFC Securities</t>
        </is>
      </c>
      <c r="L672" s="18" t="n">
        <v>0.97</v>
      </c>
      <c r="M672" s="42" t="inlineStr">
        <is>
          <t>N/A</t>
        </is>
      </c>
    </row>
    <row r="673">
      <c r="A673" s="41" t="n">
        <v>45323</v>
      </c>
      <c r="B673" s="42" t="inlineStr">
        <is>
          <t>NET PI TO HSL SEC A/C 2554606-00602340029427</t>
        </is>
      </c>
      <c r="C673" s="42" t="inlineStr">
        <is>
          <t>0000000489890964</t>
        </is>
      </c>
      <c r="D673" s="41" t="n">
        <v>45323</v>
      </c>
      <c r="E673" s="42" t="n">
        <v>37574.6</v>
      </c>
      <c r="F673" s="42" t="n">
        <v>0</v>
      </c>
      <c r="G673" s="42" t="n">
        <v>37892.6</v>
      </c>
      <c r="H673" s="42" t="inlineStr"/>
      <c r="I673" s="42" t="inlineStr"/>
      <c r="J673" s="42" t="inlineStr">
        <is>
          <t>HDFC Securities - Buy</t>
        </is>
      </c>
      <c r="K673" s="42" t="inlineStr">
        <is>
          <t>HDFC Securities</t>
        </is>
      </c>
      <c r="L673" s="18" t="n">
        <v>0.97</v>
      </c>
      <c r="M673" s="42" t="inlineStr">
        <is>
          <t>N/A</t>
        </is>
      </c>
    </row>
    <row r="674">
      <c r="A674" s="41" t="n">
        <v>45323</v>
      </c>
      <c r="B674" s="42" t="inlineStr">
        <is>
          <t>NET PI TO HSL SEC A/C 2554606-00602340029427</t>
        </is>
      </c>
      <c r="C674" s="42" t="inlineStr">
        <is>
          <t>0000000489944868</t>
        </is>
      </c>
      <c r="D674" s="41" t="n">
        <v>45323</v>
      </c>
      <c r="E674" s="42" t="n">
        <v>15263.75</v>
      </c>
      <c r="F674" s="42" t="n">
        <v>0</v>
      </c>
      <c r="G674" s="42" t="n">
        <v>22628.85</v>
      </c>
      <c r="H674" s="42" t="inlineStr"/>
      <c r="I674" s="42" t="inlineStr"/>
      <c r="J674" s="42" t="inlineStr">
        <is>
          <t>HDFC Securities - Buy</t>
        </is>
      </c>
      <c r="K674" s="42" t="inlineStr">
        <is>
          <t>HDFC Securities</t>
        </is>
      </c>
      <c r="L674" s="18" t="n">
        <v>0.97</v>
      </c>
      <c r="M674" s="42" t="inlineStr">
        <is>
          <t>N/A</t>
        </is>
      </c>
    </row>
    <row r="675">
      <c r="A675" s="41" t="n">
        <v>45324</v>
      </c>
      <c r="B675" s="42" t="inlineStr">
        <is>
          <t>NET PI TO HSL SEC A/C 2554606-00602340029427</t>
        </is>
      </c>
      <c r="C675" s="42" t="inlineStr">
        <is>
          <t>0000000490233454</t>
        </is>
      </c>
      <c r="D675" s="41" t="n">
        <v>45324</v>
      </c>
      <c r="E675" s="42" t="n">
        <v>166.79</v>
      </c>
      <c r="F675" s="42" t="n">
        <v>0</v>
      </c>
      <c r="G675" s="42" t="n">
        <v>22462.06</v>
      </c>
      <c r="H675" s="42" t="inlineStr"/>
      <c r="I675" s="42" t="inlineStr"/>
      <c r="J675" s="42" t="inlineStr">
        <is>
          <t>HDFC Securities - Buy</t>
        </is>
      </c>
      <c r="K675" s="42" t="inlineStr">
        <is>
          <t>HDFC Securities</t>
        </is>
      </c>
      <c r="L675" s="18" t="n">
        <v>0.97</v>
      </c>
      <c r="M675" s="42" t="inlineStr">
        <is>
          <t>N/A</t>
        </is>
      </c>
    </row>
    <row r="676">
      <c r="A676" s="54" t="n">
        <v>45324</v>
      </c>
      <c r="B676" s="55" t="inlineStr">
        <is>
          <t>NET PO FROM HSL A/C 2554606-50200085415108</t>
        </is>
      </c>
      <c r="C676" s="55" t="inlineStr">
        <is>
          <t>0000000490482304</t>
        </is>
      </c>
      <c r="D676" s="54" t="n">
        <v>45324</v>
      </c>
      <c r="E676" s="55" t="n">
        <v>0</v>
      </c>
      <c r="F676" s="55" t="n">
        <v>7492.75</v>
      </c>
      <c r="G676" s="55" t="n">
        <v>29954.81</v>
      </c>
      <c r="H676" s="55" t="inlineStr"/>
      <c r="I676" s="55" t="inlineStr"/>
      <c r="J676" s="55" t="inlineStr">
        <is>
          <t>HDFC Securities - Sell</t>
        </is>
      </c>
      <c r="K676" s="55" t="inlineStr">
        <is>
          <t>HDFC Securities</t>
        </is>
      </c>
      <c r="L676" s="18" t="n">
        <v>0.97</v>
      </c>
      <c r="M676" s="55" t="inlineStr">
        <is>
          <t>N/A</t>
        </is>
      </c>
    </row>
    <row r="677">
      <c r="A677" s="54" t="n">
        <v>45327</v>
      </c>
      <c r="B677" s="55" t="inlineStr">
        <is>
          <t>NET PO FROM HSL A/C 2554606-50200085415108</t>
        </is>
      </c>
      <c r="C677" s="55" t="inlineStr">
        <is>
          <t>0000000490688323</t>
        </is>
      </c>
      <c r="D677" s="54" t="n">
        <v>45327</v>
      </c>
      <c r="E677" s="55" t="n">
        <v>0</v>
      </c>
      <c r="F677" s="55" t="n">
        <v>300.77</v>
      </c>
      <c r="G677" s="55" t="n">
        <v>30255.58</v>
      </c>
      <c r="H677" s="55" t="inlineStr"/>
      <c r="I677" s="55" t="inlineStr"/>
      <c r="J677" s="55" t="inlineStr">
        <is>
          <t>HDFC Securities - Sell</t>
        </is>
      </c>
      <c r="K677" s="55" t="inlineStr">
        <is>
          <t>HDFC Securities</t>
        </is>
      </c>
      <c r="L677" s="18" t="n">
        <v>0.97</v>
      </c>
      <c r="M677" s="55" t="inlineStr">
        <is>
          <t>N/A</t>
        </is>
      </c>
    </row>
    <row r="678">
      <c r="A678" s="64" t="n">
        <v>45327</v>
      </c>
      <c r="B678" s="65" t="inlineStr">
        <is>
          <t>ACH C- TCS3RDINTDIV050224-1765778</t>
        </is>
      </c>
      <c r="C678" s="65" t="inlineStr">
        <is>
          <t>0000009963701270</t>
        </is>
      </c>
      <c r="D678" s="64" t="n">
        <v>45327</v>
      </c>
      <c r="E678" s="65" t="n">
        <v>0</v>
      </c>
      <c r="F678" s="65" t="n">
        <v>432</v>
      </c>
      <c r="G678" s="65" t="n">
        <v>30687.58</v>
      </c>
      <c r="H678" s="65" t="inlineStr"/>
      <c r="I678" s="65" t="inlineStr"/>
      <c r="J678" s="65" t="inlineStr">
        <is>
          <t>Dividend Income</t>
        </is>
      </c>
      <c r="K678" s="65" t="inlineStr">
        <is>
          <t>Dividend Income</t>
        </is>
      </c>
      <c r="L678" s="18" t="n">
        <v>0.88</v>
      </c>
      <c r="M678" s="65" t="inlineStr">
        <is>
          <t>N/A</t>
        </is>
      </c>
    </row>
    <row r="679">
      <c r="A679" s="54" t="n">
        <v>45328</v>
      </c>
      <c r="B679" s="55" t="inlineStr">
        <is>
          <t>NET PO FROM HSL A/C 2554606-50200085415108</t>
        </is>
      </c>
      <c r="C679" s="55" t="inlineStr">
        <is>
          <t>0000000491268972</t>
        </is>
      </c>
      <c r="D679" s="54" t="n">
        <v>45328</v>
      </c>
      <c r="E679" s="55" t="n">
        <v>0</v>
      </c>
      <c r="F679" s="55" t="n">
        <v>9327.370000000001</v>
      </c>
      <c r="G679" s="55" t="n">
        <v>40014.95</v>
      </c>
      <c r="H679" s="55" t="inlineStr"/>
      <c r="I679" s="55" t="inlineStr"/>
      <c r="J679" s="55" t="inlineStr">
        <is>
          <t>HDFC Securities - Sell</t>
        </is>
      </c>
      <c r="K679" s="55" t="inlineStr">
        <is>
          <t>HDFC Securities</t>
        </is>
      </c>
      <c r="L679" s="18" t="n">
        <v>0.97</v>
      </c>
      <c r="M679" s="55" t="inlineStr">
        <is>
          <t>N/A</t>
        </is>
      </c>
    </row>
    <row r="680">
      <c r="A680" s="41" t="n">
        <v>45328</v>
      </c>
      <c r="B680" s="42" t="inlineStr">
        <is>
          <t>NET PI TO HSL SEC A/C 2554606-00602340029427</t>
        </is>
      </c>
      <c r="C680" s="42" t="inlineStr">
        <is>
          <t>0000000491424396</t>
        </is>
      </c>
      <c r="D680" s="41" t="n">
        <v>45328</v>
      </c>
      <c r="E680" s="42" t="n">
        <v>178.43</v>
      </c>
      <c r="F680" s="42" t="n">
        <v>0</v>
      </c>
      <c r="G680" s="42" t="n">
        <v>39836.52</v>
      </c>
      <c r="H680" s="42" t="inlineStr"/>
      <c r="I680" s="42" t="inlineStr"/>
      <c r="J680" s="42" t="inlineStr">
        <is>
          <t>HDFC Securities - Buy</t>
        </is>
      </c>
      <c r="K680" s="42" t="inlineStr">
        <is>
          <t>HDFC Securities</t>
        </is>
      </c>
      <c r="L680" s="18" t="n">
        <v>0.97</v>
      </c>
      <c r="M680" s="42" t="inlineStr">
        <is>
          <t>N/A</t>
        </is>
      </c>
    </row>
    <row r="681">
      <c r="A681" s="41" t="n">
        <v>45328</v>
      </c>
      <c r="B681" s="42" t="inlineStr">
        <is>
          <t>NET PI TO HSL SEC A/C 2554606-00602340029427</t>
        </is>
      </c>
      <c r="C681" s="42" t="inlineStr">
        <is>
          <t>0000000491630877</t>
        </is>
      </c>
      <c r="D681" s="41" t="n">
        <v>45328</v>
      </c>
      <c r="E681" s="42" t="n">
        <v>12313.45</v>
      </c>
      <c r="F681" s="42" t="n">
        <v>0</v>
      </c>
      <c r="G681" s="42" t="n">
        <v>27523.07</v>
      </c>
      <c r="H681" s="42" t="inlineStr"/>
      <c r="I681" s="42" t="inlineStr"/>
      <c r="J681" s="42" t="inlineStr">
        <is>
          <t>HDFC Securities - Buy</t>
        </is>
      </c>
      <c r="K681" s="42" t="inlineStr">
        <is>
          <t>HDFC Securities</t>
        </is>
      </c>
      <c r="L681" s="18" t="n">
        <v>0.97</v>
      </c>
      <c r="M681" s="42" t="inlineStr">
        <is>
          <t>N/A</t>
        </is>
      </c>
    </row>
    <row r="682">
      <c r="A682" s="54" t="n">
        <v>45329</v>
      </c>
      <c r="B682" s="55" t="inlineStr">
        <is>
          <t>NET PO FROM HSL A/C 2554606-50200085415108</t>
        </is>
      </c>
      <c r="C682" s="55" t="inlineStr">
        <is>
          <t>0000000491783342</t>
        </is>
      </c>
      <c r="D682" s="54" t="n">
        <v>45329</v>
      </c>
      <c r="E682" s="55" t="n">
        <v>0</v>
      </c>
      <c r="F682" s="55" t="n">
        <v>2364.11</v>
      </c>
      <c r="G682" s="55" t="n">
        <v>29887.18</v>
      </c>
      <c r="H682" s="55" t="inlineStr"/>
      <c r="I682" s="55" t="inlineStr"/>
      <c r="J682" s="55" t="inlineStr">
        <is>
          <t>HDFC Securities - Sell</t>
        </is>
      </c>
      <c r="K682" s="55" t="inlineStr">
        <is>
          <t>HDFC Securities</t>
        </is>
      </c>
      <c r="L682" s="18" t="n">
        <v>0.97</v>
      </c>
      <c r="M682" s="55" t="inlineStr">
        <is>
          <t>N/A</t>
        </is>
      </c>
    </row>
    <row r="683">
      <c r="A683" s="54" t="n">
        <v>45329</v>
      </c>
      <c r="B683" s="55" t="inlineStr">
        <is>
          <t>NET PO FROM HSL A/C 2554606-50200085415108</t>
        </is>
      </c>
      <c r="C683" s="55" t="inlineStr">
        <is>
          <t>0000000491809841</t>
        </is>
      </c>
      <c r="D683" s="54" t="n">
        <v>45329</v>
      </c>
      <c r="E683" s="55" t="n">
        <v>0</v>
      </c>
      <c r="F683" s="55" t="n">
        <v>68498.41</v>
      </c>
      <c r="G683" s="55" t="n">
        <v>98385.59</v>
      </c>
      <c r="H683" s="55" t="inlineStr"/>
      <c r="I683" s="55" t="inlineStr"/>
      <c r="J683" s="55" t="inlineStr">
        <is>
          <t>HDFC Securities - Sell</t>
        </is>
      </c>
      <c r="K683" s="55" t="inlineStr">
        <is>
          <t>HDFC Securities</t>
        </is>
      </c>
      <c r="L683" s="18" t="n">
        <v>0.97</v>
      </c>
      <c r="M683" s="55" t="inlineStr">
        <is>
          <t>N/A</t>
        </is>
      </c>
    </row>
    <row r="684">
      <c r="A684" s="41" t="n">
        <v>45329</v>
      </c>
      <c r="B684" s="42" t="inlineStr">
        <is>
          <t>NET PI TO HSL SEC A/C 2554606-00602340029427</t>
        </is>
      </c>
      <c r="C684" s="42" t="inlineStr">
        <is>
          <t>0000000491957789</t>
        </is>
      </c>
      <c r="D684" s="41" t="n">
        <v>45329</v>
      </c>
      <c r="E684" s="42" t="n">
        <v>171.34</v>
      </c>
      <c r="F684" s="42" t="n">
        <v>0</v>
      </c>
      <c r="G684" s="42" t="n">
        <v>98214.25</v>
      </c>
      <c r="H684" s="42" t="inlineStr"/>
      <c r="I684" s="42" t="inlineStr"/>
      <c r="J684" s="42" t="inlineStr">
        <is>
          <t>HDFC Securities - Buy</t>
        </is>
      </c>
      <c r="K684" s="42" t="inlineStr">
        <is>
          <t>HDFC Securities</t>
        </is>
      </c>
      <c r="L684" s="18" t="n">
        <v>0.97</v>
      </c>
      <c r="M684" s="42" t="inlineStr">
        <is>
          <t>N/A</t>
        </is>
      </c>
    </row>
    <row r="685">
      <c r="A685" s="23" t="n">
        <v>45329</v>
      </c>
      <c r="B685" s="24" t="inlineStr">
        <is>
          <t>00602300000434-025891325</t>
        </is>
      </c>
      <c r="C685" s="24" t="inlineStr">
        <is>
          <t>0000402071935708</t>
        </is>
      </c>
      <c r="D685" s="23" t="n">
        <v>45329</v>
      </c>
      <c r="E685" s="24" t="n">
        <v>0</v>
      </c>
      <c r="F685" s="24" t="n">
        <v>1880</v>
      </c>
      <c r="G685" s="24" t="n">
        <v>100094.25</v>
      </c>
      <c r="H685" s="24" t="inlineStr"/>
      <c r="I685" s="24" t="inlineStr"/>
      <c r="J685" s="24" t="inlineStr">
        <is>
          <t>What is this?</t>
        </is>
      </c>
      <c r="K685" s="24" t="inlineStr">
        <is>
          <t>Suspense</t>
        </is>
      </c>
      <c r="L685" s="25" t="n">
        <v>0</v>
      </c>
      <c r="M685" s="24" t="inlineStr">
        <is>
          <t>N/A</t>
        </is>
      </c>
    </row>
    <row r="686">
      <c r="A686" s="41" t="n">
        <v>45329</v>
      </c>
      <c r="B686" s="42" t="inlineStr">
        <is>
          <t>NET PI TO HSL SEC A/C 2554606-00602340029427</t>
        </is>
      </c>
      <c r="C686" s="42" t="inlineStr">
        <is>
          <t>0000000492201709</t>
        </is>
      </c>
      <c r="D686" s="41" t="n">
        <v>45329</v>
      </c>
      <c r="E686" s="42" t="n">
        <v>72149.03</v>
      </c>
      <c r="F686" s="42" t="n">
        <v>0</v>
      </c>
      <c r="G686" s="42" t="n">
        <v>27945.22</v>
      </c>
      <c r="H686" s="42" t="inlineStr"/>
      <c r="I686" s="42" t="inlineStr"/>
      <c r="J686" s="42" t="inlineStr">
        <is>
          <t>HDFC Securities - Buy</t>
        </is>
      </c>
      <c r="K686" s="42" t="inlineStr">
        <is>
          <t>HDFC Securities</t>
        </is>
      </c>
      <c r="L686" s="18" t="n">
        <v>0.97</v>
      </c>
      <c r="M686" s="42" t="inlineStr">
        <is>
          <t>N/A</t>
        </is>
      </c>
    </row>
    <row r="687">
      <c r="A687" s="41" t="n">
        <v>45330</v>
      </c>
      <c r="B687" s="42" t="inlineStr">
        <is>
          <t>NET PI TO HSL SEC A/C 2554606-00602340029427</t>
        </is>
      </c>
      <c r="C687" s="42" t="inlineStr">
        <is>
          <t>0000000492522137</t>
        </is>
      </c>
      <c r="D687" s="41" t="n">
        <v>45330</v>
      </c>
      <c r="E687" s="42" t="n">
        <v>159.99</v>
      </c>
      <c r="F687" s="42" t="n">
        <v>0</v>
      </c>
      <c r="G687" s="42" t="n">
        <v>27785.23</v>
      </c>
      <c r="H687" s="42" t="inlineStr"/>
      <c r="I687" s="42" t="inlineStr"/>
      <c r="J687" s="42" t="inlineStr">
        <is>
          <t>HDFC Securities - Buy</t>
        </is>
      </c>
      <c r="K687" s="42" t="inlineStr">
        <is>
          <t>HDFC Securities</t>
        </is>
      </c>
      <c r="L687" s="18" t="n">
        <v>0.97</v>
      </c>
      <c r="M687" s="42" t="inlineStr">
        <is>
          <t>N/A</t>
        </is>
      </c>
    </row>
    <row r="688">
      <c r="A688" s="41" t="n">
        <v>45330</v>
      </c>
      <c r="B688" s="42" t="inlineStr">
        <is>
          <t>NET PI TO HSL SEC A/C 2554606-00602340029427</t>
        </is>
      </c>
      <c r="C688" s="42" t="inlineStr">
        <is>
          <t>0000000492788095</t>
        </is>
      </c>
      <c r="D688" s="41" t="n">
        <v>45330</v>
      </c>
      <c r="E688" s="42" t="n">
        <v>5756.81</v>
      </c>
      <c r="F688" s="42" t="n">
        <v>0</v>
      </c>
      <c r="G688" s="42" t="n">
        <v>22028.42</v>
      </c>
      <c r="H688" s="42" t="inlineStr"/>
      <c r="I688" s="42" t="inlineStr"/>
      <c r="J688" s="42" t="inlineStr">
        <is>
          <t>HDFC Securities - Buy</t>
        </is>
      </c>
      <c r="K688" s="42" t="inlineStr">
        <is>
          <t>HDFC Securities</t>
        </is>
      </c>
      <c r="L688" s="18" t="n">
        <v>0.97</v>
      </c>
      <c r="M688" s="42" t="inlineStr">
        <is>
          <t>N/A</t>
        </is>
      </c>
    </row>
    <row r="689">
      <c r="A689" s="41" t="n">
        <v>45331</v>
      </c>
      <c r="B689" s="42" t="inlineStr">
        <is>
          <t>NET PI TO HSL SEC A/C 2554606-00602340029427</t>
        </is>
      </c>
      <c r="C689" s="42" t="inlineStr">
        <is>
          <t>0000000493110178</t>
        </is>
      </c>
      <c r="D689" s="41" t="n">
        <v>45331</v>
      </c>
      <c r="E689" s="42" t="n">
        <v>186.47</v>
      </c>
      <c r="F689" s="42" t="n">
        <v>0</v>
      </c>
      <c r="G689" s="42" t="n">
        <v>21841.95</v>
      </c>
      <c r="H689" s="42" t="inlineStr"/>
      <c r="I689" s="42" t="inlineStr"/>
      <c r="J689" s="42" t="inlineStr">
        <is>
          <t>HDFC Securities - Buy</t>
        </is>
      </c>
      <c r="K689" s="42" t="inlineStr">
        <is>
          <t>HDFC Securities</t>
        </is>
      </c>
      <c r="L689" s="18" t="n">
        <v>0.97</v>
      </c>
      <c r="M689" s="42" t="inlineStr">
        <is>
          <t>N/A</t>
        </is>
      </c>
    </row>
    <row r="690">
      <c r="A690" s="54" t="n">
        <v>45331</v>
      </c>
      <c r="B690" s="55" t="inlineStr">
        <is>
          <t>NET PO FROM HSL A/C 2554606-50200085415108</t>
        </is>
      </c>
      <c r="C690" s="55" t="inlineStr">
        <is>
          <t>0000000493379334</t>
        </is>
      </c>
      <c r="D690" s="54" t="n">
        <v>45331</v>
      </c>
      <c r="E690" s="55" t="n">
        <v>0</v>
      </c>
      <c r="F690" s="55" t="n">
        <v>10311.6</v>
      </c>
      <c r="G690" s="55" t="n">
        <v>32153.55</v>
      </c>
      <c r="H690" s="55" t="inlineStr"/>
      <c r="I690" s="55" t="inlineStr"/>
      <c r="J690" s="55" t="inlineStr">
        <is>
          <t>HDFC Securities - Sell</t>
        </is>
      </c>
      <c r="K690" s="55" t="inlineStr">
        <is>
          <t>HDFC Securities</t>
        </is>
      </c>
      <c r="L690" s="18" t="n">
        <v>0.97</v>
      </c>
      <c r="M690" s="55" t="inlineStr">
        <is>
          <t>N/A</t>
        </is>
      </c>
    </row>
    <row r="691">
      <c r="A691" s="41" t="n">
        <v>45334</v>
      </c>
      <c r="B691" s="42" t="inlineStr">
        <is>
          <t>NET PI TO HSL SEC A/C 2554606-00602340029427</t>
        </is>
      </c>
      <c r="C691" s="42" t="inlineStr">
        <is>
          <t>0000000493743356</t>
        </is>
      </c>
      <c r="D691" s="41" t="n">
        <v>45334</v>
      </c>
      <c r="E691" s="42" t="n">
        <v>589.26</v>
      </c>
      <c r="F691" s="42" t="n">
        <v>0</v>
      </c>
      <c r="G691" s="42" t="n">
        <v>31564.29</v>
      </c>
      <c r="H691" s="42" t="inlineStr"/>
      <c r="I691" s="42" t="inlineStr"/>
      <c r="J691" s="42" t="inlineStr">
        <is>
          <t>HDFC Securities - Buy</t>
        </is>
      </c>
      <c r="K691" s="42" t="inlineStr">
        <is>
          <t>HDFC Securities</t>
        </is>
      </c>
      <c r="L691" s="18" t="n">
        <v>0.97</v>
      </c>
      <c r="M691" s="42" t="inlineStr">
        <is>
          <t>N/A</t>
        </is>
      </c>
    </row>
    <row r="692">
      <c r="A692" s="41" t="n">
        <v>45334</v>
      </c>
      <c r="B692" s="42" t="inlineStr">
        <is>
          <t>NET PI TO HSL SEC A/C 2554606-00602340029427</t>
        </is>
      </c>
      <c r="C692" s="42" t="inlineStr">
        <is>
          <t>0000000494041038</t>
        </is>
      </c>
      <c r="D692" s="41" t="n">
        <v>45334</v>
      </c>
      <c r="E692" s="42" t="n">
        <v>19464.98</v>
      </c>
      <c r="F692" s="42" t="n">
        <v>0</v>
      </c>
      <c r="G692" s="42" t="n">
        <v>12099.31</v>
      </c>
      <c r="H692" s="42" t="inlineStr"/>
      <c r="I692" s="42" t="inlineStr"/>
      <c r="J692" s="42" t="inlineStr">
        <is>
          <t>HDFC Securities - Buy</t>
        </is>
      </c>
      <c r="K692" s="42" t="inlineStr">
        <is>
          <t>HDFC Securities</t>
        </is>
      </c>
      <c r="L692" s="18" t="n">
        <v>0.97</v>
      </c>
      <c r="M692" s="42" t="inlineStr">
        <is>
          <t>N/A</t>
        </is>
      </c>
    </row>
    <row r="693">
      <c r="A693" s="56" t="n">
        <v>45335</v>
      </c>
      <c r="B693" s="57" t="inlineStr">
        <is>
          <t>DEPOSITORY CHARGES JAN24 - 52812428</t>
        </is>
      </c>
      <c r="C693" s="57" t="inlineStr">
        <is>
          <t>000000000000000</t>
        </is>
      </c>
      <c r="D693" s="56" t="n">
        <v>45335</v>
      </c>
      <c r="E693" s="57" t="n">
        <v>1817.2</v>
      </c>
      <c r="F693" s="57" t="n">
        <v>0</v>
      </c>
      <c r="G693" s="57" t="n">
        <v>10282.11</v>
      </c>
      <c r="H693" s="57" t="inlineStr"/>
      <c r="I693" s="57" t="inlineStr"/>
      <c r="J693" s="57" t="inlineStr">
        <is>
          <t>Depository Charges</t>
        </is>
      </c>
      <c r="K693" s="57" t="inlineStr">
        <is>
          <t>Depository Charges</t>
        </is>
      </c>
      <c r="L693" s="18" t="n">
        <v>0.93</v>
      </c>
      <c r="M693" s="57" t="inlineStr">
        <is>
          <t>N/A</t>
        </is>
      </c>
    </row>
    <row r="694">
      <c r="A694" s="54" t="n">
        <v>45336</v>
      </c>
      <c r="B694" s="55" t="inlineStr">
        <is>
          <t>NET PO FROM HSL A/C 2554606-50200085415108</t>
        </is>
      </c>
      <c r="C694" s="55" t="inlineStr">
        <is>
          <t>0000000494603561</t>
        </is>
      </c>
      <c r="D694" s="54" t="n">
        <v>45336</v>
      </c>
      <c r="E694" s="55" t="n">
        <v>0</v>
      </c>
      <c r="F694" s="55" t="n">
        <v>31633.27</v>
      </c>
      <c r="G694" s="55" t="n">
        <v>41915.38</v>
      </c>
      <c r="H694" s="55" t="inlineStr"/>
      <c r="I694" s="55" t="inlineStr"/>
      <c r="J694" s="55" t="inlineStr">
        <is>
          <t>HDFC Securities - Sell</t>
        </is>
      </c>
      <c r="K694" s="55" t="inlineStr">
        <is>
          <t>HDFC Securities</t>
        </is>
      </c>
      <c r="L694" s="18" t="n">
        <v>0.97</v>
      </c>
      <c r="M694" s="55" t="inlineStr">
        <is>
          <t>N/A</t>
        </is>
      </c>
    </row>
    <row r="695">
      <c r="A695" s="54" t="n">
        <v>45336</v>
      </c>
      <c r="B695" s="55" t="inlineStr">
        <is>
          <t>NET PO FROM HSL A/C 2554606-50200085415108</t>
        </is>
      </c>
      <c r="C695" s="55" t="inlineStr">
        <is>
          <t>0000000494628387</t>
        </is>
      </c>
      <c r="D695" s="54" t="n">
        <v>45336</v>
      </c>
      <c r="E695" s="55" t="n">
        <v>0</v>
      </c>
      <c r="F695" s="55" t="n">
        <v>53119.4</v>
      </c>
      <c r="G695" s="55" t="n">
        <v>95034.78</v>
      </c>
      <c r="H695" s="55" t="inlineStr"/>
      <c r="I695" s="55" t="inlineStr"/>
      <c r="J695" s="55" t="inlineStr">
        <is>
          <t>HDFC Securities - Sell</t>
        </is>
      </c>
      <c r="K695" s="55" t="inlineStr">
        <is>
          <t>HDFC Securities</t>
        </is>
      </c>
      <c r="L695" s="18" t="n">
        <v>0.97</v>
      </c>
      <c r="M695" s="55" t="inlineStr">
        <is>
          <t>N/A</t>
        </is>
      </c>
    </row>
    <row r="696">
      <c r="A696" s="41" t="n">
        <v>45336</v>
      </c>
      <c r="B696" s="42" t="inlineStr">
        <is>
          <t>NET PI TO HSL SEC A/C 2554606-00602340029427</t>
        </is>
      </c>
      <c r="C696" s="42" t="inlineStr">
        <is>
          <t>0000000494743022</t>
        </is>
      </c>
      <c r="D696" s="41" t="n">
        <v>45336</v>
      </c>
      <c r="E696" s="42" t="n">
        <v>166.17</v>
      </c>
      <c r="F696" s="42" t="n">
        <v>0</v>
      </c>
      <c r="G696" s="42" t="n">
        <v>94868.61</v>
      </c>
      <c r="H696" s="42" t="inlineStr"/>
      <c r="I696" s="42" t="inlineStr"/>
      <c r="J696" s="42" t="inlineStr">
        <is>
          <t>HDFC Securities - Buy</t>
        </is>
      </c>
      <c r="K696" s="42" t="inlineStr">
        <is>
          <t>HDFC Securities</t>
        </is>
      </c>
      <c r="L696" s="18" t="n">
        <v>0.97</v>
      </c>
      <c r="M696" s="42" t="inlineStr">
        <is>
          <t>N/A</t>
        </is>
      </c>
    </row>
    <row r="697">
      <c r="A697" s="41" t="n">
        <v>45336</v>
      </c>
      <c r="B697" s="42" t="inlineStr">
        <is>
          <t>NET PI TO HSL SEC A/C 2554606-00602340029427</t>
        </is>
      </c>
      <c r="C697" s="42" t="inlineStr">
        <is>
          <t>0000000494966556</t>
        </is>
      </c>
      <c r="D697" s="41" t="n">
        <v>45336</v>
      </c>
      <c r="E697" s="42" t="n">
        <v>45350.64</v>
      </c>
      <c r="F697" s="42" t="n">
        <v>0</v>
      </c>
      <c r="G697" s="42" t="n">
        <v>49517.97</v>
      </c>
      <c r="H697" s="42" t="inlineStr"/>
      <c r="I697" s="42" t="inlineStr"/>
      <c r="J697" s="42" t="inlineStr">
        <is>
          <t>HDFC Securities - Buy</t>
        </is>
      </c>
      <c r="K697" s="42" t="inlineStr">
        <is>
          <t>HDFC Securities</t>
        </is>
      </c>
      <c r="L697" s="18" t="n">
        <v>0.97</v>
      </c>
      <c r="M697" s="42" t="inlineStr">
        <is>
          <t>N/A</t>
        </is>
      </c>
    </row>
    <row r="698">
      <c r="A698" s="41" t="n">
        <v>45337</v>
      </c>
      <c r="B698" s="42" t="inlineStr">
        <is>
          <t>NET PI TO HSL SEC A/C 2554606-00602340029427</t>
        </is>
      </c>
      <c r="C698" s="42" t="inlineStr">
        <is>
          <t>0000000495265893</t>
        </is>
      </c>
      <c r="D698" s="41" t="n">
        <v>45337</v>
      </c>
      <c r="E698" s="42" t="n">
        <v>137.31</v>
      </c>
      <c r="F698" s="42" t="n">
        <v>0</v>
      </c>
      <c r="G698" s="42" t="n">
        <v>49380.66</v>
      </c>
      <c r="H698" s="42" t="inlineStr"/>
      <c r="I698" s="42" t="inlineStr"/>
      <c r="J698" s="42" t="inlineStr">
        <is>
          <t>HDFC Securities - Buy</t>
        </is>
      </c>
      <c r="K698" s="42" t="inlineStr">
        <is>
          <t>HDFC Securities</t>
        </is>
      </c>
      <c r="L698" s="18" t="n">
        <v>0.97</v>
      </c>
      <c r="M698" s="42" t="inlineStr">
        <is>
          <t>N/A</t>
        </is>
      </c>
    </row>
    <row r="699">
      <c r="A699" s="64" t="n">
        <v>45337</v>
      </c>
      <c r="B699" s="65" t="inlineStr">
        <is>
          <t>ACH C- SONABLWPRECISION-0000000000000236</t>
        </is>
      </c>
      <c r="C699" s="65" t="inlineStr">
        <is>
          <t>0000007064668046</t>
        </is>
      </c>
      <c r="D699" s="64" t="n">
        <v>45337</v>
      </c>
      <c r="E699" s="65" t="n">
        <v>0</v>
      </c>
      <c r="F699" s="65" t="n">
        <v>107.1</v>
      </c>
      <c r="G699" s="65" t="n">
        <v>49487.76</v>
      </c>
      <c r="H699" s="65" t="inlineStr"/>
      <c r="I699" s="65" t="inlineStr"/>
      <c r="J699" s="65" t="inlineStr">
        <is>
          <t>Dividend Income</t>
        </is>
      </c>
      <c r="K699" s="65" t="inlineStr">
        <is>
          <t>Dividend Income</t>
        </is>
      </c>
      <c r="L699" s="18" t="n">
        <v>0.88</v>
      </c>
      <c r="M699" s="65" t="inlineStr">
        <is>
          <t>N/A</t>
        </is>
      </c>
    </row>
    <row r="700">
      <c r="A700" s="54" t="n">
        <v>45338</v>
      </c>
      <c r="B700" s="55" t="inlineStr">
        <is>
          <t>NET PO FROM HSL A/C 2554606-50200085415108</t>
        </is>
      </c>
      <c r="C700" s="55" t="inlineStr">
        <is>
          <t>0000000495565915</t>
        </is>
      </c>
      <c r="D700" s="54" t="n">
        <v>45338</v>
      </c>
      <c r="E700" s="55" t="n">
        <v>0</v>
      </c>
      <c r="F700" s="55" t="n">
        <v>32534.16</v>
      </c>
      <c r="G700" s="55" t="n">
        <v>82021.92</v>
      </c>
      <c r="H700" s="55" t="inlineStr"/>
      <c r="I700" s="55" t="inlineStr"/>
      <c r="J700" s="55" t="inlineStr">
        <is>
          <t>HDFC Securities - Sell</t>
        </is>
      </c>
      <c r="K700" s="55" t="inlineStr">
        <is>
          <t>HDFC Securities</t>
        </is>
      </c>
      <c r="L700" s="18" t="n">
        <v>0.97</v>
      </c>
      <c r="M700" s="55" t="inlineStr">
        <is>
          <t>N/A</t>
        </is>
      </c>
    </row>
    <row r="701">
      <c r="A701" s="41" t="n">
        <v>45338</v>
      </c>
      <c r="B701" s="42" t="inlineStr">
        <is>
          <t>NET PI TO HSL SEC A/C 2554606-00602340029427</t>
        </is>
      </c>
      <c r="C701" s="42" t="inlineStr">
        <is>
          <t>0000000495708883</t>
        </is>
      </c>
      <c r="D701" s="41" t="n">
        <v>45338</v>
      </c>
      <c r="E701" s="42" t="n">
        <v>159.31</v>
      </c>
      <c r="F701" s="42" t="n">
        <v>0</v>
      </c>
      <c r="G701" s="42" t="n">
        <v>81862.61</v>
      </c>
      <c r="H701" s="42" t="inlineStr"/>
      <c r="I701" s="42" t="inlineStr"/>
      <c r="J701" s="42" t="inlineStr">
        <is>
          <t>HDFC Securities - Buy</t>
        </is>
      </c>
      <c r="K701" s="42" t="inlineStr">
        <is>
          <t>HDFC Securities</t>
        </is>
      </c>
      <c r="L701" s="18" t="n">
        <v>0.97</v>
      </c>
      <c r="M701" s="42" t="inlineStr">
        <is>
          <t>N/A</t>
        </is>
      </c>
    </row>
    <row r="702">
      <c r="A702" s="54" t="n">
        <v>45338</v>
      </c>
      <c r="B702" s="55" t="inlineStr">
        <is>
          <t>NET PO FROM HSL A/C 2554606-50200085415108</t>
        </is>
      </c>
      <c r="C702" s="55" t="inlineStr">
        <is>
          <t>0000000495892980</t>
        </is>
      </c>
      <c r="D702" s="54" t="n">
        <v>45338</v>
      </c>
      <c r="E702" s="55" t="n">
        <v>0</v>
      </c>
      <c r="F702" s="55" t="n">
        <v>1447.36</v>
      </c>
      <c r="G702" s="55" t="n">
        <v>83309.97</v>
      </c>
      <c r="H702" s="55" t="inlineStr"/>
      <c r="I702" s="55" t="inlineStr"/>
      <c r="J702" s="55" t="inlineStr">
        <is>
          <t>HDFC Securities - Sell</t>
        </is>
      </c>
      <c r="K702" s="55" t="inlineStr">
        <is>
          <t>HDFC Securities</t>
        </is>
      </c>
      <c r="L702" s="18" t="n">
        <v>0.97</v>
      </c>
      <c r="M702" s="55" t="inlineStr">
        <is>
          <t>N/A</t>
        </is>
      </c>
    </row>
    <row r="703">
      <c r="A703" s="41" t="n">
        <v>45341</v>
      </c>
      <c r="B703" s="42" t="inlineStr">
        <is>
          <t>NET PI TO HSL SEC A/C 2554606-00602340029427</t>
        </is>
      </c>
      <c r="C703" s="42" t="inlineStr">
        <is>
          <t>0000000496159843</t>
        </is>
      </c>
      <c r="D703" s="41" t="n">
        <v>45341</v>
      </c>
      <c r="E703" s="42" t="n">
        <v>435.18</v>
      </c>
      <c r="F703" s="42" t="n">
        <v>0</v>
      </c>
      <c r="G703" s="42" t="n">
        <v>82874.78999999999</v>
      </c>
      <c r="H703" s="42" t="inlineStr"/>
      <c r="I703" s="42" t="inlineStr"/>
      <c r="J703" s="42" t="inlineStr">
        <is>
          <t>HDFC Securities - Buy</t>
        </is>
      </c>
      <c r="K703" s="42" t="inlineStr">
        <is>
          <t>HDFC Securities</t>
        </is>
      </c>
      <c r="L703" s="18" t="n">
        <v>0.97</v>
      </c>
      <c r="M703" s="42" t="inlineStr">
        <is>
          <t>N/A</t>
        </is>
      </c>
    </row>
    <row r="704">
      <c r="A704" s="54" t="n">
        <v>45342</v>
      </c>
      <c r="B704" s="55" t="inlineStr">
        <is>
          <t>NET PO FROM HSL A/C 2554606-50200085415108</t>
        </is>
      </c>
      <c r="C704" s="55" t="inlineStr">
        <is>
          <t>0000000496450423</t>
        </is>
      </c>
      <c r="D704" s="54" t="n">
        <v>45342</v>
      </c>
      <c r="E704" s="55" t="n">
        <v>0</v>
      </c>
      <c r="F704" s="55" t="n">
        <v>7216.93</v>
      </c>
      <c r="G704" s="55" t="n">
        <v>90091.72</v>
      </c>
      <c r="H704" s="55" t="inlineStr"/>
      <c r="I704" s="55" t="inlineStr"/>
      <c r="J704" s="55" t="inlineStr">
        <is>
          <t>HDFC Securities - Sell</t>
        </is>
      </c>
      <c r="K704" s="55" t="inlineStr">
        <is>
          <t>HDFC Securities</t>
        </is>
      </c>
      <c r="L704" s="18" t="n">
        <v>0.97</v>
      </c>
      <c r="M704" s="55" t="inlineStr">
        <is>
          <t>N/A</t>
        </is>
      </c>
    </row>
    <row r="705">
      <c r="A705" s="54" t="n">
        <v>45342</v>
      </c>
      <c r="B705" s="55" t="inlineStr">
        <is>
          <t>NET PO FROM HSL A/C 2554606-50200085415108</t>
        </is>
      </c>
      <c r="C705" s="55" t="inlineStr">
        <is>
          <t>0000000496483089</t>
        </is>
      </c>
      <c r="D705" s="54" t="n">
        <v>45342</v>
      </c>
      <c r="E705" s="55" t="n">
        <v>0</v>
      </c>
      <c r="F705" s="55" t="n">
        <v>23823.55</v>
      </c>
      <c r="G705" s="55" t="n">
        <v>113915.27</v>
      </c>
      <c r="H705" s="55" t="inlineStr"/>
      <c r="I705" s="55" t="inlineStr"/>
      <c r="J705" s="55" t="inlineStr">
        <is>
          <t>HDFC Securities - Sell</t>
        </is>
      </c>
      <c r="K705" s="55" t="inlineStr">
        <is>
          <t>HDFC Securities</t>
        </is>
      </c>
      <c r="L705" s="18" t="n">
        <v>0.97</v>
      </c>
      <c r="M705" s="55" t="inlineStr">
        <is>
          <t>N/A</t>
        </is>
      </c>
    </row>
    <row r="706">
      <c r="A706" s="41" t="n">
        <v>45342</v>
      </c>
      <c r="B706" s="42" t="inlineStr">
        <is>
          <t>NET PI TO HSL SEC A/C 2554606-00602340029427</t>
        </is>
      </c>
      <c r="C706" s="42" t="inlineStr">
        <is>
          <t>0000000496643881</t>
        </is>
      </c>
      <c r="D706" s="41" t="n">
        <v>45342</v>
      </c>
      <c r="E706" s="42" t="n">
        <v>145.06</v>
      </c>
      <c r="F706" s="42" t="n">
        <v>0</v>
      </c>
      <c r="G706" s="42" t="n">
        <v>113770.21</v>
      </c>
      <c r="H706" s="42" t="inlineStr"/>
      <c r="I706" s="42" t="inlineStr"/>
      <c r="J706" s="42" t="inlineStr">
        <is>
          <t>HDFC Securities - Buy</t>
        </is>
      </c>
      <c r="K706" s="42" t="inlineStr">
        <is>
          <t>HDFC Securities</t>
        </is>
      </c>
      <c r="L706" s="18" t="n">
        <v>0.97</v>
      </c>
      <c r="M706" s="42" t="inlineStr">
        <is>
          <t>N/A</t>
        </is>
      </c>
    </row>
    <row r="707">
      <c r="A707" s="54" t="n">
        <v>45343</v>
      </c>
      <c r="B707" s="55" t="inlineStr">
        <is>
          <t>NET PO FROM HSL A/C 2554606-50200085415108</t>
        </is>
      </c>
      <c r="C707" s="55" t="inlineStr">
        <is>
          <t>0000000496947747</t>
        </is>
      </c>
      <c r="D707" s="54" t="n">
        <v>45343</v>
      </c>
      <c r="E707" s="55" t="n">
        <v>0</v>
      </c>
      <c r="F707" s="55" t="n">
        <v>1837.18</v>
      </c>
      <c r="G707" s="55" t="n">
        <v>115607.39</v>
      </c>
      <c r="H707" s="55" t="inlineStr"/>
      <c r="I707" s="55" t="inlineStr"/>
      <c r="J707" s="55" t="inlineStr">
        <is>
          <t>HDFC Securities - Sell</t>
        </is>
      </c>
      <c r="K707" s="55" t="inlineStr">
        <is>
          <t>HDFC Securities</t>
        </is>
      </c>
      <c r="L707" s="18" t="n">
        <v>0.97</v>
      </c>
      <c r="M707" s="55" t="inlineStr">
        <is>
          <t>N/A</t>
        </is>
      </c>
    </row>
    <row r="708">
      <c r="A708" s="41" t="n">
        <v>45343</v>
      </c>
      <c r="B708" s="42" t="inlineStr">
        <is>
          <t>NET PI TO HSL SEC A/C 2554606-00602340029427</t>
        </is>
      </c>
      <c r="C708" s="42" t="inlineStr">
        <is>
          <t>0000000497094621</t>
        </is>
      </c>
      <c r="D708" s="41" t="n">
        <v>45343</v>
      </c>
      <c r="E708" s="42" t="n">
        <v>139.5</v>
      </c>
      <c r="F708" s="42" t="n">
        <v>0</v>
      </c>
      <c r="G708" s="42" t="n">
        <v>115467.89</v>
      </c>
      <c r="H708" s="42" t="inlineStr"/>
      <c r="I708" s="42" t="inlineStr"/>
      <c r="J708" s="42" t="inlineStr">
        <is>
          <t>HDFC Securities - Buy</t>
        </is>
      </c>
      <c r="K708" s="42" t="inlineStr">
        <is>
          <t>HDFC Securities</t>
        </is>
      </c>
      <c r="L708" s="18" t="n">
        <v>0.97</v>
      </c>
      <c r="M708" s="42" t="inlineStr">
        <is>
          <t>N/A</t>
        </is>
      </c>
    </row>
    <row r="709">
      <c r="A709" s="41" t="n">
        <v>45343</v>
      </c>
      <c r="B709" s="42" t="inlineStr">
        <is>
          <t>NET PI TO HSL SEC A/C 2554606-00602340029427</t>
        </is>
      </c>
      <c r="C709" s="42" t="inlineStr">
        <is>
          <t>0000000497275920</t>
        </is>
      </c>
      <c r="D709" s="41" t="n">
        <v>45343</v>
      </c>
      <c r="E709" s="42" t="n">
        <v>2183.3</v>
      </c>
      <c r="F709" s="42" t="n">
        <v>0</v>
      </c>
      <c r="G709" s="42" t="n">
        <v>113284.59</v>
      </c>
      <c r="H709" s="42" t="inlineStr"/>
      <c r="I709" s="42" t="inlineStr"/>
      <c r="J709" s="42" t="inlineStr">
        <is>
          <t>HDFC Securities - Buy</t>
        </is>
      </c>
      <c r="K709" s="42" t="inlineStr">
        <is>
          <t>HDFC Securities</t>
        </is>
      </c>
      <c r="L709" s="18" t="n">
        <v>0.97</v>
      </c>
      <c r="M709" s="42" t="inlineStr">
        <is>
          <t>N/A</t>
        </is>
      </c>
    </row>
    <row r="710">
      <c r="A710" s="41" t="n">
        <v>45344</v>
      </c>
      <c r="B710" s="42" t="inlineStr">
        <is>
          <t>NET PI TO HSL SEC A/C 2554606-00602340029427</t>
        </is>
      </c>
      <c r="C710" s="42" t="inlineStr">
        <is>
          <t>0000000497547067</t>
        </is>
      </c>
      <c r="D710" s="41" t="n">
        <v>45344</v>
      </c>
      <c r="E710" s="42" t="n">
        <v>139.38</v>
      </c>
      <c r="F710" s="42" t="n">
        <v>0</v>
      </c>
      <c r="G710" s="42" t="n">
        <v>113145.21</v>
      </c>
      <c r="H710" s="42" t="inlineStr"/>
      <c r="I710" s="42" t="inlineStr"/>
      <c r="J710" s="42" t="inlineStr">
        <is>
          <t>HDFC Securities - Buy</t>
        </is>
      </c>
      <c r="K710" s="42" t="inlineStr">
        <is>
          <t>HDFC Securities</t>
        </is>
      </c>
      <c r="L710" s="18" t="n">
        <v>0.97</v>
      </c>
      <c r="M710" s="42" t="inlineStr">
        <is>
          <t>N/A</t>
        </is>
      </c>
    </row>
    <row r="711">
      <c r="A711" s="64" t="n">
        <v>45344</v>
      </c>
      <c r="B711" s="65" t="inlineStr">
        <is>
          <t>ACH C- KPIT TECHNOLOGIES-3082623</t>
        </is>
      </c>
      <c r="C711" s="65" t="inlineStr">
        <is>
          <t>0000000655901329</t>
        </is>
      </c>
      <c r="D711" s="64" t="n">
        <v>45344</v>
      </c>
      <c r="E711" s="65" t="n">
        <v>0</v>
      </c>
      <c r="F711" s="65" t="n">
        <v>52.5</v>
      </c>
      <c r="G711" s="65" t="n">
        <v>113197.71</v>
      </c>
      <c r="H711" s="65" t="inlineStr"/>
      <c r="I711" s="65" t="inlineStr"/>
      <c r="J711" s="65" t="inlineStr">
        <is>
          <t>Dividend Income</t>
        </is>
      </c>
      <c r="K711" s="65" t="inlineStr">
        <is>
          <t>Dividend Income</t>
        </is>
      </c>
      <c r="L711" s="18" t="n">
        <v>0.88</v>
      </c>
      <c r="M711" s="65" t="inlineStr">
        <is>
          <t>N/A</t>
        </is>
      </c>
    </row>
    <row r="712">
      <c r="A712" s="41" t="n">
        <v>45344</v>
      </c>
      <c r="B712" s="42" t="inlineStr">
        <is>
          <t>NET PI TO HSL SEC A/C 2554606-00602340029427</t>
        </is>
      </c>
      <c r="C712" s="42" t="inlineStr">
        <is>
          <t>0000000497698271</t>
        </is>
      </c>
      <c r="D712" s="41" t="n">
        <v>45344</v>
      </c>
      <c r="E712" s="42" t="n">
        <v>23164.73</v>
      </c>
      <c r="F712" s="42" t="n">
        <v>0</v>
      </c>
      <c r="G712" s="42" t="n">
        <v>90032.98</v>
      </c>
      <c r="H712" s="42" t="inlineStr"/>
      <c r="I712" s="42" t="inlineStr"/>
      <c r="J712" s="42" t="inlineStr">
        <is>
          <t>HDFC Securities - Buy</t>
        </is>
      </c>
      <c r="K712" s="42" t="inlineStr">
        <is>
          <t>HDFC Securities</t>
        </is>
      </c>
      <c r="L712" s="18" t="n">
        <v>0.97</v>
      </c>
      <c r="M712" s="42" t="inlineStr">
        <is>
          <t>N/A</t>
        </is>
      </c>
    </row>
    <row r="713">
      <c r="A713" s="41" t="n">
        <v>45345</v>
      </c>
      <c r="B713" s="42" t="inlineStr">
        <is>
          <t>NET PI TO HSL SEC A/C 2554606-00602340029427</t>
        </is>
      </c>
      <c r="C713" s="42" t="inlineStr">
        <is>
          <t>0000000497967778</t>
        </is>
      </c>
      <c r="D713" s="41" t="n">
        <v>45345</v>
      </c>
      <c r="E713" s="42" t="n">
        <v>131.13</v>
      </c>
      <c r="F713" s="42" t="n">
        <v>0</v>
      </c>
      <c r="G713" s="42" t="n">
        <v>89901.85000000001</v>
      </c>
      <c r="H713" s="42" t="inlineStr"/>
      <c r="I713" s="42" t="inlineStr"/>
      <c r="J713" s="42" t="inlineStr">
        <is>
          <t>HDFC Securities - Buy</t>
        </is>
      </c>
      <c r="K713" s="42" t="inlineStr">
        <is>
          <t>HDFC Securities</t>
        </is>
      </c>
      <c r="L713" s="18" t="n">
        <v>0.97</v>
      </c>
      <c r="M713" s="42" t="inlineStr">
        <is>
          <t>N/A</t>
        </is>
      </c>
    </row>
    <row r="714">
      <c r="A714" s="54" t="n">
        <v>45345</v>
      </c>
      <c r="B714" s="55" t="inlineStr">
        <is>
          <t>NET PO FROM HSL A/C 2554606-50200085415108</t>
        </is>
      </c>
      <c r="C714" s="55" t="inlineStr">
        <is>
          <t>0000000498129815</t>
        </is>
      </c>
      <c r="D714" s="54" t="n">
        <v>45345</v>
      </c>
      <c r="E714" s="55" t="n">
        <v>0</v>
      </c>
      <c r="F714" s="55" t="n">
        <v>14593.32</v>
      </c>
      <c r="G714" s="55" t="n">
        <v>104495.17</v>
      </c>
      <c r="H714" s="55" t="inlineStr"/>
      <c r="I714" s="55" t="inlineStr"/>
      <c r="J714" s="55" t="inlineStr">
        <is>
          <t>HDFC Securities - Sell</t>
        </is>
      </c>
      <c r="K714" s="55" t="inlineStr">
        <is>
          <t>HDFC Securities</t>
        </is>
      </c>
      <c r="L714" s="18" t="n">
        <v>0.97</v>
      </c>
      <c r="M714" s="55" t="inlineStr">
        <is>
          <t>N/A</t>
        </is>
      </c>
    </row>
    <row r="715">
      <c r="A715" s="54" t="n">
        <v>45348</v>
      </c>
      <c r="B715" s="55" t="inlineStr">
        <is>
          <t>NET PO FROM HSL A/C 2554606-50200085415108</t>
        </is>
      </c>
      <c r="C715" s="55" t="inlineStr">
        <is>
          <t>0000000498288634</t>
        </is>
      </c>
      <c r="D715" s="54" t="n">
        <v>45348</v>
      </c>
      <c r="E715" s="55" t="n">
        <v>0</v>
      </c>
      <c r="F715" s="55" t="n">
        <v>7777.98</v>
      </c>
      <c r="G715" s="55" t="n">
        <v>112273.15</v>
      </c>
      <c r="H715" s="55" t="inlineStr"/>
      <c r="I715" s="55" t="inlineStr"/>
      <c r="J715" s="55" t="inlineStr">
        <is>
          <t>HDFC Securities - Sell</t>
        </is>
      </c>
      <c r="K715" s="55" t="inlineStr">
        <is>
          <t>HDFC Securities</t>
        </is>
      </c>
      <c r="L715" s="18" t="n">
        <v>0.97</v>
      </c>
      <c r="M715" s="55" t="inlineStr">
        <is>
          <t>N/A</t>
        </is>
      </c>
    </row>
    <row r="716">
      <c r="A716" s="41" t="n">
        <v>45348</v>
      </c>
      <c r="B716" s="42" t="inlineStr">
        <is>
          <t>NET PI TO HSL SEC A/C 2554606-00602340029427</t>
        </is>
      </c>
      <c r="C716" s="42" t="inlineStr">
        <is>
          <t>0000000498610490</t>
        </is>
      </c>
      <c r="D716" s="41" t="n">
        <v>45348</v>
      </c>
      <c r="E716" s="42" t="n">
        <v>8031.85</v>
      </c>
      <c r="F716" s="42" t="n">
        <v>0</v>
      </c>
      <c r="G716" s="42" t="n">
        <v>104241.3</v>
      </c>
      <c r="H716" s="42" t="inlineStr"/>
      <c r="I716" s="42" t="inlineStr"/>
      <c r="J716" s="42" t="inlineStr">
        <is>
          <t>HDFC Securities - Buy</t>
        </is>
      </c>
      <c r="K716" s="42" t="inlineStr">
        <is>
          <t>HDFC Securities</t>
        </is>
      </c>
      <c r="L716" s="18" t="n">
        <v>0.97</v>
      </c>
      <c r="M716" s="42" t="inlineStr">
        <is>
          <t>N/A</t>
        </is>
      </c>
    </row>
    <row r="717">
      <c r="A717" s="54" t="n">
        <v>45349</v>
      </c>
      <c r="B717" s="55" t="inlineStr">
        <is>
          <t>NET PO FROM HSL A/C 2554606-50200085415108</t>
        </is>
      </c>
      <c r="C717" s="55" t="inlineStr">
        <is>
          <t>0000000498762344</t>
        </is>
      </c>
      <c r="D717" s="54" t="n">
        <v>45349</v>
      </c>
      <c r="E717" s="55" t="n">
        <v>0</v>
      </c>
      <c r="F717" s="55" t="n">
        <v>25818.62</v>
      </c>
      <c r="G717" s="55" t="n">
        <v>130059.92</v>
      </c>
      <c r="H717" s="55" t="inlineStr"/>
      <c r="I717" s="55" t="inlineStr"/>
      <c r="J717" s="55" t="inlineStr">
        <is>
          <t>HDFC Securities - Sell</t>
        </is>
      </c>
      <c r="K717" s="55" t="inlineStr">
        <is>
          <t>HDFC Securities</t>
        </is>
      </c>
      <c r="L717" s="18" t="n">
        <v>0.97</v>
      </c>
      <c r="M717" s="55" t="inlineStr">
        <is>
          <t>N/A</t>
        </is>
      </c>
    </row>
    <row r="718">
      <c r="A718" s="41" t="n">
        <v>45349</v>
      </c>
      <c r="B718" s="42" t="inlineStr">
        <is>
          <t>NET PI TO HSL SEC A/C 2554606-00602340029427</t>
        </is>
      </c>
      <c r="C718" s="42" t="inlineStr">
        <is>
          <t>0000000498869823</t>
        </is>
      </c>
      <c r="D718" s="41" t="n">
        <v>45349</v>
      </c>
      <c r="E718" s="42" t="n">
        <v>138.19</v>
      </c>
      <c r="F718" s="42" t="n">
        <v>0</v>
      </c>
      <c r="G718" s="42" t="n">
        <v>129921.73</v>
      </c>
      <c r="H718" s="42" t="inlineStr"/>
      <c r="I718" s="42" t="inlineStr"/>
      <c r="J718" s="42" t="inlineStr">
        <is>
          <t>HDFC Securities - Buy</t>
        </is>
      </c>
      <c r="K718" s="42" t="inlineStr">
        <is>
          <t>HDFC Securities</t>
        </is>
      </c>
      <c r="L718" s="18" t="n">
        <v>0.97</v>
      </c>
      <c r="M718" s="42" t="inlineStr">
        <is>
          <t>N/A</t>
        </is>
      </c>
    </row>
    <row r="719">
      <c r="A719" s="64" t="n">
        <v>45349</v>
      </c>
      <c r="B719" s="65" t="inlineStr">
        <is>
          <t>ACH C- TRIVENI TURBINE LTD-74163</t>
        </is>
      </c>
      <c r="C719" s="65" t="inlineStr">
        <is>
          <t>0000000842938654</t>
        </is>
      </c>
      <c r="D719" s="64" t="n">
        <v>45349</v>
      </c>
      <c r="E719" s="65" t="n">
        <v>0</v>
      </c>
      <c r="F719" s="65" t="n">
        <v>230</v>
      </c>
      <c r="G719" s="65" t="n">
        <v>130151.73</v>
      </c>
      <c r="H719" s="65" t="inlineStr"/>
      <c r="I719" s="65" t="inlineStr"/>
      <c r="J719" s="65" t="inlineStr">
        <is>
          <t>Dividend Income</t>
        </is>
      </c>
      <c r="K719" s="65" t="inlineStr">
        <is>
          <t>Dividend Income</t>
        </is>
      </c>
      <c r="L719" s="18" t="n">
        <v>0.88</v>
      </c>
      <c r="M719" s="65" t="inlineStr">
        <is>
          <t>N/A</t>
        </is>
      </c>
    </row>
    <row r="720">
      <c r="A720" s="41" t="n">
        <v>45349</v>
      </c>
      <c r="B720" s="42" t="inlineStr">
        <is>
          <t>NET PI TO HSL SEC A/C 2554606-00602340029427</t>
        </is>
      </c>
      <c r="C720" s="42" t="inlineStr">
        <is>
          <t>0000000499065614</t>
        </is>
      </c>
      <c r="D720" s="41" t="n">
        <v>45349</v>
      </c>
      <c r="E720" s="42" t="n">
        <v>16855.75</v>
      </c>
      <c r="F720" s="42" t="n">
        <v>0</v>
      </c>
      <c r="G720" s="42" t="n">
        <v>113295.98</v>
      </c>
      <c r="H720" s="42" t="inlineStr"/>
      <c r="I720" s="42" t="inlineStr"/>
      <c r="J720" s="42" t="inlineStr">
        <is>
          <t>HDFC Securities - Buy</t>
        </is>
      </c>
      <c r="K720" s="42" t="inlineStr">
        <is>
          <t>HDFC Securities</t>
        </is>
      </c>
      <c r="L720" s="18" t="n">
        <v>0.97</v>
      </c>
      <c r="M720" s="42" t="inlineStr">
        <is>
          <t>N/A</t>
        </is>
      </c>
    </row>
    <row r="721">
      <c r="A721" s="54" t="n">
        <v>45350</v>
      </c>
      <c r="B721" s="55" t="inlineStr">
        <is>
          <t>NET PO FROM HSL A/C 2554606-50200085415108</t>
        </is>
      </c>
      <c r="C721" s="55" t="inlineStr">
        <is>
          <t>0000000499203961</t>
        </is>
      </c>
      <c r="D721" s="54" t="n">
        <v>45350</v>
      </c>
      <c r="E721" s="55" t="n">
        <v>0</v>
      </c>
      <c r="F721" s="55" t="n">
        <v>45377.68</v>
      </c>
      <c r="G721" s="55" t="n">
        <v>158673.66</v>
      </c>
      <c r="H721" s="55" t="inlineStr"/>
      <c r="I721" s="55" t="inlineStr"/>
      <c r="J721" s="55" t="inlineStr">
        <is>
          <t>HDFC Securities - Sell</t>
        </is>
      </c>
      <c r="K721" s="55" t="inlineStr">
        <is>
          <t>HDFC Securities</t>
        </is>
      </c>
      <c r="L721" s="18" t="n">
        <v>0.97</v>
      </c>
      <c r="M721" s="55" t="inlineStr">
        <is>
          <t>N/A</t>
        </is>
      </c>
    </row>
    <row r="722">
      <c r="A722" s="58" t="n">
        <v>45350</v>
      </c>
      <c r="B722" s="59" t="inlineStr">
        <is>
          <t>ACH D- TP ACH INDIANESIGN-1374175425</t>
        </is>
      </c>
      <c r="C722" s="59" t="inlineStr">
        <is>
          <t>0000000875682587</t>
        </is>
      </c>
      <c r="D722" s="58" t="n">
        <v>45350</v>
      </c>
      <c r="E722" s="59" t="n">
        <v>5000</v>
      </c>
      <c r="F722" s="59" t="n">
        <v>0</v>
      </c>
      <c r="G722" s="59" t="n">
        <v>153673.66</v>
      </c>
      <c r="H722" s="59" t="inlineStr"/>
      <c r="I722" s="59" t="inlineStr"/>
      <c r="J722" s="59" t="inlineStr">
        <is>
          <t>SIP</t>
        </is>
      </c>
      <c r="K722" s="59" t="inlineStr">
        <is>
          <t>SIP</t>
        </is>
      </c>
      <c r="L722" s="18" t="n">
        <v>0.95</v>
      </c>
      <c r="M722" s="59" t="inlineStr">
        <is>
          <t>N/A</t>
        </is>
      </c>
    </row>
    <row r="723">
      <c r="A723" s="41" t="n">
        <v>45350</v>
      </c>
      <c r="B723" s="42" t="inlineStr">
        <is>
          <t>NET PI TO HSL SEC A/C 2554606-00602340029427</t>
        </is>
      </c>
      <c r="C723" s="42" t="inlineStr">
        <is>
          <t>0000000499344364</t>
        </is>
      </c>
      <c r="D723" s="41" t="n">
        <v>45350</v>
      </c>
      <c r="E723" s="42" t="n">
        <v>140.76</v>
      </c>
      <c r="F723" s="42" t="n">
        <v>0</v>
      </c>
      <c r="G723" s="42" t="n">
        <v>153532.9</v>
      </c>
      <c r="H723" s="42" t="inlineStr"/>
      <c r="I723" s="42" t="inlineStr"/>
      <c r="J723" s="42" t="inlineStr">
        <is>
          <t>HDFC Securities - Buy</t>
        </is>
      </c>
      <c r="K723" s="42" t="inlineStr">
        <is>
          <t>HDFC Securities</t>
        </is>
      </c>
      <c r="L723" s="18" t="n">
        <v>0.97</v>
      </c>
      <c r="M723" s="42" t="inlineStr">
        <is>
          <t>N/A</t>
        </is>
      </c>
    </row>
    <row r="724">
      <c r="A724" s="41" t="n">
        <v>45350</v>
      </c>
      <c r="B724" s="42" t="inlineStr">
        <is>
          <t>NET PI TO HSL SEC A/C 2554606-00602340029427</t>
        </is>
      </c>
      <c r="C724" s="42" t="inlineStr">
        <is>
          <t>0000000499533589</t>
        </is>
      </c>
      <c r="D724" s="41" t="n">
        <v>45350</v>
      </c>
      <c r="E724" s="42" t="n">
        <v>49984.6</v>
      </c>
      <c r="F724" s="42" t="n">
        <v>0</v>
      </c>
      <c r="G724" s="42" t="n">
        <v>103548.3</v>
      </c>
      <c r="H724" s="42" t="inlineStr"/>
      <c r="I724" s="42" t="inlineStr"/>
      <c r="J724" s="42" t="inlineStr">
        <is>
          <t>HDFC Securities - Buy</t>
        </is>
      </c>
      <c r="K724" s="42" t="inlineStr">
        <is>
          <t>HDFC Securities</t>
        </is>
      </c>
      <c r="L724" s="18" t="n">
        <v>0.97</v>
      </c>
      <c r="M724" s="42" t="inlineStr">
        <is>
          <t>N/A</t>
        </is>
      </c>
    </row>
    <row r="725">
      <c r="A725" s="58" t="n">
        <v>45351</v>
      </c>
      <c r="B725" s="59" t="inlineStr">
        <is>
          <t>ACH D- TP ACH INDIANESIGN-1374583428</t>
        </is>
      </c>
      <c r="C725" s="59" t="inlineStr">
        <is>
          <t>0000000917555035</t>
        </is>
      </c>
      <c r="D725" s="58" t="n">
        <v>45351</v>
      </c>
      <c r="E725" s="59" t="n">
        <v>5000</v>
      </c>
      <c r="F725" s="59" t="n">
        <v>0</v>
      </c>
      <c r="G725" s="59" t="n">
        <v>98548.3</v>
      </c>
      <c r="H725" s="59" t="inlineStr"/>
      <c r="I725" s="59" t="inlineStr"/>
      <c r="J725" s="59" t="inlineStr">
        <is>
          <t>SIP</t>
        </is>
      </c>
      <c r="K725" s="59" t="inlineStr">
        <is>
          <t>SIP</t>
        </is>
      </c>
      <c r="L725" s="18" t="n">
        <v>0.95</v>
      </c>
      <c r="M725" s="59" t="inlineStr">
        <is>
          <t>N/A</t>
        </is>
      </c>
    </row>
    <row r="726">
      <c r="A726" s="41" t="n">
        <v>45351</v>
      </c>
      <c r="B726" s="42" t="inlineStr">
        <is>
          <t>NET PI TO HSL SEC A/C 2554606-00602340029427</t>
        </is>
      </c>
      <c r="C726" s="42" t="inlineStr">
        <is>
          <t>0000000499809526</t>
        </is>
      </c>
      <c r="D726" s="41" t="n">
        <v>45351</v>
      </c>
      <c r="E726" s="42" t="n">
        <v>122.95</v>
      </c>
      <c r="F726" s="42" t="n">
        <v>0</v>
      </c>
      <c r="G726" s="42" t="n">
        <v>98425.35000000001</v>
      </c>
      <c r="H726" s="42" t="inlineStr"/>
      <c r="I726" s="42" t="inlineStr"/>
      <c r="J726" s="42" t="inlineStr">
        <is>
          <t>HDFC Securities - Buy</t>
        </is>
      </c>
      <c r="K726" s="42" t="inlineStr">
        <is>
          <t>HDFC Securities</t>
        </is>
      </c>
      <c r="L726" s="18" t="n">
        <v>0.97</v>
      </c>
      <c r="M726" s="42" t="inlineStr">
        <is>
          <t>N/A</t>
        </is>
      </c>
    </row>
    <row r="727">
      <c r="A727" s="64" t="n">
        <v>45351</v>
      </c>
      <c r="B727" s="65" t="inlineStr">
        <is>
          <t>ACH C- POWER FINANCE CORPOR-12924441</t>
        </is>
      </c>
      <c r="C727" s="65" t="inlineStr">
        <is>
          <t>0000000925613897</t>
        </is>
      </c>
      <c r="D727" s="64" t="n">
        <v>45351</v>
      </c>
      <c r="E727" s="65" t="n">
        <v>0</v>
      </c>
      <c r="F727" s="65" t="n">
        <v>63</v>
      </c>
      <c r="G727" s="65" t="n">
        <v>98488.35000000001</v>
      </c>
      <c r="H727" s="65" t="inlineStr"/>
      <c r="I727" s="65" t="inlineStr"/>
      <c r="J727" s="65" t="inlineStr">
        <is>
          <t>Dividend Income</t>
        </is>
      </c>
      <c r="K727" s="65" t="inlineStr">
        <is>
          <t>Dividend Income</t>
        </is>
      </c>
      <c r="L727" s="18" t="n">
        <v>0.88</v>
      </c>
      <c r="M727" s="65" t="inlineStr">
        <is>
          <t>N/A</t>
        </is>
      </c>
    </row>
    <row r="728">
      <c r="A728" s="26" t="n">
        <v>45351</v>
      </c>
      <c r="B728" s="27" t="inlineStr">
        <is>
          <t>01671000085930-TPT-BORROW FROM AKG-AJAY KUMAR GUPTA</t>
        </is>
      </c>
      <c r="C728" s="27" t="inlineStr">
        <is>
          <t>0000000458916628</t>
        </is>
      </c>
      <c r="D728" s="26" t="n">
        <v>45351</v>
      </c>
      <c r="E728" s="27" t="n">
        <v>0</v>
      </c>
      <c r="F728" s="27" t="n">
        <v>50000</v>
      </c>
      <c r="G728" s="27" t="n">
        <v>148488.35</v>
      </c>
      <c r="H728" s="27" t="inlineStr"/>
      <c r="I728" s="27" t="inlineStr"/>
      <c r="J728" s="27" t="inlineStr">
        <is>
          <t>Received - Ajay Gupta</t>
        </is>
      </c>
      <c r="K728" s="27" t="inlineStr">
        <is>
          <t>Ajay Gupta</t>
        </is>
      </c>
      <c r="L728" s="18" t="n">
        <v>0.88</v>
      </c>
      <c r="M728" s="27" t="inlineStr">
        <is>
          <t>N/A</t>
        </is>
      </c>
    </row>
    <row r="729">
      <c r="A729" s="54" t="n">
        <v>45352</v>
      </c>
      <c r="B729" s="55" t="inlineStr">
        <is>
          <t>NET PO FROM HSL A/C 2554606-50200085415108</t>
        </is>
      </c>
      <c r="C729" s="55" t="inlineStr">
        <is>
          <t>0000000500118242</t>
        </is>
      </c>
      <c r="D729" s="54" t="n">
        <v>45352</v>
      </c>
      <c r="E729" s="55" t="n">
        <v>0</v>
      </c>
      <c r="F729" s="55" t="n">
        <v>13227.26</v>
      </c>
      <c r="G729" s="55" t="n">
        <v>161715.61</v>
      </c>
      <c r="H729" s="55" t="inlineStr"/>
      <c r="I729" s="55" t="inlineStr"/>
      <c r="J729" s="55" t="inlineStr">
        <is>
          <t>HDFC Securities - Sell</t>
        </is>
      </c>
      <c r="K729" s="55" t="inlineStr">
        <is>
          <t>HDFC Securities</t>
        </is>
      </c>
      <c r="L729" s="18" t="n">
        <v>0.97</v>
      </c>
      <c r="M729" s="55" t="inlineStr">
        <is>
          <t>N/A</t>
        </is>
      </c>
    </row>
    <row r="730">
      <c r="A730" s="54" t="n">
        <v>45352</v>
      </c>
      <c r="B730" s="55" t="inlineStr">
        <is>
          <t>NET PO FROM HSL A/C 2554606-50200085415108</t>
        </is>
      </c>
      <c r="C730" s="55" t="inlineStr">
        <is>
          <t>0000000500141677</t>
        </is>
      </c>
      <c r="D730" s="54" t="n">
        <v>45352</v>
      </c>
      <c r="E730" s="55" t="n">
        <v>0</v>
      </c>
      <c r="F730" s="55" t="n">
        <v>36237.34</v>
      </c>
      <c r="G730" s="55" t="n">
        <v>197952.95</v>
      </c>
      <c r="H730" s="55" t="inlineStr"/>
      <c r="I730" s="55" t="inlineStr"/>
      <c r="J730" s="55" t="inlineStr">
        <is>
          <t>HDFC Securities - Sell</t>
        </is>
      </c>
      <c r="K730" s="55" t="inlineStr">
        <is>
          <t>HDFC Securities</t>
        </is>
      </c>
      <c r="L730" s="18" t="n">
        <v>0.97</v>
      </c>
      <c r="M730" s="55" t="inlineStr">
        <is>
          <t>N/A</t>
        </is>
      </c>
    </row>
    <row r="731">
      <c r="A731" s="41" t="n">
        <v>45352</v>
      </c>
      <c r="B731" s="42" t="inlineStr">
        <is>
          <t>NET PI TO HSL SEC A/C 2554606-00602340029427</t>
        </is>
      </c>
      <c r="C731" s="42" t="inlineStr">
        <is>
          <t>0000000500326156</t>
        </is>
      </c>
      <c r="D731" s="41" t="n">
        <v>45352</v>
      </c>
      <c r="E731" s="42" t="n">
        <v>122.95</v>
      </c>
      <c r="F731" s="42" t="n">
        <v>0</v>
      </c>
      <c r="G731" s="42" t="n">
        <v>197830</v>
      </c>
      <c r="H731" s="42" t="inlineStr"/>
      <c r="I731" s="42" t="inlineStr"/>
      <c r="J731" s="42" t="inlineStr">
        <is>
          <t>HDFC Securities - Buy</t>
        </is>
      </c>
      <c r="K731" s="42" t="inlineStr">
        <is>
          <t>HDFC Securities</t>
        </is>
      </c>
      <c r="L731" s="18" t="n">
        <v>0.97</v>
      </c>
      <c r="M731" s="42" t="inlineStr">
        <is>
          <t>N/A</t>
        </is>
      </c>
    </row>
    <row r="732">
      <c r="A732" s="64" t="n">
        <v>45352</v>
      </c>
      <c r="B732" s="65" t="inlineStr">
        <is>
          <t>ACH C- APOLLO HOSP.IDIV2024-AHLIN3015495</t>
        </is>
      </c>
      <c r="C732" s="65" t="inlineStr">
        <is>
          <t>0000001103907062</t>
        </is>
      </c>
      <c r="D732" s="64" t="n">
        <v>45352</v>
      </c>
      <c r="E732" s="65" t="n">
        <v>0</v>
      </c>
      <c r="F732" s="65" t="n">
        <v>84</v>
      </c>
      <c r="G732" s="65" t="n">
        <v>197914</v>
      </c>
      <c r="H732" s="65" t="inlineStr"/>
      <c r="I732" s="65" t="inlineStr"/>
      <c r="J732" s="65" t="inlineStr">
        <is>
          <t>Dividend Income</t>
        </is>
      </c>
      <c r="K732" s="65" t="inlineStr">
        <is>
          <t>Dividend Income</t>
        </is>
      </c>
      <c r="L732" s="18" t="n">
        <v>0.88</v>
      </c>
      <c r="M732" s="65" t="inlineStr">
        <is>
          <t>N/A</t>
        </is>
      </c>
    </row>
    <row r="733">
      <c r="A733" s="54" t="n">
        <v>45352</v>
      </c>
      <c r="B733" s="55" t="inlineStr">
        <is>
          <t>NET PO FROM HSL A/C 2554606-50200085415108</t>
        </is>
      </c>
      <c r="C733" s="55" t="inlineStr">
        <is>
          <t>0000000500467386</t>
        </is>
      </c>
      <c r="D733" s="54" t="n">
        <v>45352</v>
      </c>
      <c r="E733" s="55" t="n">
        <v>0</v>
      </c>
      <c r="F733" s="55" t="n">
        <v>1807.09</v>
      </c>
      <c r="G733" s="55" t="n">
        <v>199721.09</v>
      </c>
      <c r="H733" s="55" t="inlineStr"/>
      <c r="I733" s="55" t="inlineStr"/>
      <c r="J733" s="55" t="inlineStr">
        <is>
          <t>HDFC Securities - Sell</t>
        </is>
      </c>
      <c r="K733" s="55" t="inlineStr">
        <is>
          <t>HDFC Securities</t>
        </is>
      </c>
      <c r="L733" s="18" t="n">
        <v>0.97</v>
      </c>
      <c r="M733" s="55" t="inlineStr">
        <is>
          <t>N/A</t>
        </is>
      </c>
    </row>
    <row r="734">
      <c r="A734" s="26" t="n">
        <v>45353</v>
      </c>
      <c r="B734" s="27" t="inlineStr">
        <is>
          <t>01671000085930-TPT-MONEY RETURNED TO AKG-AJAY KUMAR GUPTA</t>
        </is>
      </c>
      <c r="C734" s="27" t="inlineStr">
        <is>
          <t>0000000871002262</t>
        </is>
      </c>
      <c r="D734" s="26" t="n">
        <v>45353</v>
      </c>
      <c r="E734" s="27" t="n">
        <v>50000</v>
      </c>
      <c r="F734" s="27" t="n">
        <v>0</v>
      </c>
      <c r="G734" s="27" t="n">
        <v>149721.09</v>
      </c>
      <c r="H734" s="27" t="inlineStr"/>
      <c r="I734" s="27" t="inlineStr"/>
      <c r="J734" s="27" t="inlineStr">
        <is>
          <t>Transfer - Ajay Gupta</t>
        </is>
      </c>
      <c r="K734" s="27" t="inlineStr">
        <is>
          <t>Ajay Gupta</t>
        </is>
      </c>
      <c r="L734" s="18" t="n">
        <v>0.88</v>
      </c>
      <c r="M734" s="27" t="inlineStr">
        <is>
          <t>N/A</t>
        </is>
      </c>
    </row>
    <row r="735">
      <c r="A735" s="62" t="n">
        <v>45353</v>
      </c>
      <c r="B735" s="63" t="inlineStr">
        <is>
          <t>01671000060094-TPT-MONEY RETURNED TO SUNITA-SUNITA GUPTA</t>
        </is>
      </c>
      <c r="C735" s="63" t="inlineStr">
        <is>
          <t>0000000871245627</t>
        </is>
      </c>
      <c r="D735" s="62" t="n">
        <v>45353</v>
      </c>
      <c r="E735" s="63" t="n">
        <v>10000</v>
      </c>
      <c r="F735" s="63" t="n">
        <v>0</v>
      </c>
      <c r="G735" s="63" t="n">
        <v>139721.09</v>
      </c>
      <c r="H735" s="63" t="inlineStr"/>
      <c r="I735" s="63" t="inlineStr"/>
      <c r="J735" s="63" t="inlineStr">
        <is>
          <t>Transfer - Sunita Gupta</t>
        </is>
      </c>
      <c r="K735" s="63" t="inlineStr">
        <is>
          <t>Sunita Gupta</t>
        </is>
      </c>
      <c r="L735" s="18" t="n">
        <v>0.88</v>
      </c>
      <c r="M735" s="63" t="inlineStr">
        <is>
          <t>N/A</t>
        </is>
      </c>
    </row>
    <row r="736">
      <c r="A736" s="41" t="n">
        <v>45353</v>
      </c>
      <c r="B736" s="42" t="inlineStr">
        <is>
          <t>NET PI TO HSL SEC A/C 2554606-00602340029427</t>
        </is>
      </c>
      <c r="C736" s="42" t="inlineStr">
        <is>
          <t>0000000500709716</t>
        </is>
      </c>
      <c r="D736" s="41" t="n">
        <v>45353</v>
      </c>
      <c r="E736" s="42" t="n">
        <v>7149.85</v>
      </c>
      <c r="F736" s="42" t="n">
        <v>0</v>
      </c>
      <c r="G736" s="42" t="n">
        <v>132571.24</v>
      </c>
      <c r="H736" s="42" t="inlineStr"/>
      <c r="I736" s="42" t="inlineStr"/>
      <c r="J736" s="42" t="inlineStr">
        <is>
          <t>HDFC Securities - Buy</t>
        </is>
      </c>
      <c r="K736" s="42" t="inlineStr">
        <is>
          <t>HDFC Securities</t>
        </is>
      </c>
      <c r="L736" s="18" t="n">
        <v>0.97</v>
      </c>
      <c r="M736" s="42" t="inlineStr">
        <is>
          <t>N/A</t>
        </is>
      </c>
    </row>
    <row r="737">
      <c r="A737" s="41" t="n">
        <v>45355</v>
      </c>
      <c r="B737" s="42" t="inlineStr">
        <is>
          <t>NET PI TO HSL SEC A/C 2554606-00602340029427</t>
        </is>
      </c>
      <c r="C737" s="42" t="inlineStr">
        <is>
          <t>0000000500977375</t>
        </is>
      </c>
      <c r="D737" s="41" t="n">
        <v>45355</v>
      </c>
      <c r="E737" s="42" t="n">
        <v>349.17</v>
      </c>
      <c r="F737" s="42" t="n">
        <v>0</v>
      </c>
      <c r="G737" s="42" t="n">
        <v>132222.07</v>
      </c>
      <c r="H737" s="42" t="inlineStr"/>
      <c r="I737" s="42" t="inlineStr"/>
      <c r="J737" s="42" t="inlineStr">
        <is>
          <t>HDFC Securities - Buy</t>
        </is>
      </c>
      <c r="K737" s="42" t="inlineStr">
        <is>
          <t>HDFC Securities</t>
        </is>
      </c>
      <c r="L737" s="18" t="n">
        <v>0.97</v>
      </c>
      <c r="M737" s="42" t="inlineStr">
        <is>
          <t>N/A</t>
        </is>
      </c>
    </row>
    <row r="738">
      <c r="A738" s="41" t="n">
        <v>45356</v>
      </c>
      <c r="B738" s="42" t="inlineStr">
        <is>
          <t>NET PI TO HSL SEC A/C 2554606-00602340029427</t>
        </is>
      </c>
      <c r="C738" s="42" t="inlineStr">
        <is>
          <t>0000000501134260</t>
        </is>
      </c>
      <c r="D738" s="41" t="n">
        <v>45356</v>
      </c>
      <c r="E738" s="42" t="n">
        <v>228</v>
      </c>
      <c r="F738" s="42" t="n">
        <v>0</v>
      </c>
      <c r="G738" s="42" t="n">
        <v>131994.07</v>
      </c>
      <c r="H738" s="42" t="inlineStr"/>
      <c r="I738" s="42" t="inlineStr"/>
      <c r="J738" s="42" t="inlineStr">
        <is>
          <t>HDFC Securities - Buy</t>
        </is>
      </c>
      <c r="K738" s="42" t="inlineStr">
        <is>
          <t>HDFC Securities</t>
        </is>
      </c>
      <c r="L738" s="18" t="n">
        <v>0.97</v>
      </c>
      <c r="M738" s="42" t="inlineStr">
        <is>
          <t>N/A</t>
        </is>
      </c>
    </row>
    <row r="739">
      <c r="A739" s="41" t="n">
        <v>45356</v>
      </c>
      <c r="B739" s="42" t="inlineStr">
        <is>
          <t>NET PI TO HSL SEC A/C 2554606-00602340029427</t>
        </is>
      </c>
      <c r="C739" s="42" t="inlineStr">
        <is>
          <t>0000000501442635</t>
        </is>
      </c>
      <c r="D739" s="41" t="n">
        <v>45356</v>
      </c>
      <c r="E739" s="42" t="n">
        <v>122.56</v>
      </c>
      <c r="F739" s="42" t="n">
        <v>0</v>
      </c>
      <c r="G739" s="42" t="n">
        <v>131871.51</v>
      </c>
      <c r="H739" s="42" t="inlineStr"/>
      <c r="I739" s="42" t="inlineStr"/>
      <c r="J739" s="42" t="inlineStr">
        <is>
          <t>HDFC Securities - Buy</t>
        </is>
      </c>
      <c r="K739" s="42" t="inlineStr">
        <is>
          <t>HDFC Securities</t>
        </is>
      </c>
      <c r="L739" s="18" t="n">
        <v>0.97</v>
      </c>
      <c r="M739" s="42" t="inlineStr">
        <is>
          <t>N/A</t>
        </is>
      </c>
    </row>
    <row r="740">
      <c r="A740" s="41" t="n">
        <v>45356</v>
      </c>
      <c r="B740" s="42" t="inlineStr">
        <is>
          <t>NET PI TO HSL SEC A/C 2554606-00602340029427</t>
        </is>
      </c>
      <c r="C740" s="42" t="inlineStr">
        <is>
          <t>0000000501610267</t>
        </is>
      </c>
      <c r="D740" s="41" t="n">
        <v>45356</v>
      </c>
      <c r="E740" s="42" t="n">
        <v>412.95</v>
      </c>
      <c r="F740" s="42" t="n">
        <v>0</v>
      </c>
      <c r="G740" s="42" t="n">
        <v>131458.56</v>
      </c>
      <c r="H740" s="42" t="inlineStr"/>
      <c r="I740" s="42" t="inlineStr"/>
      <c r="J740" s="42" t="inlineStr">
        <is>
          <t>HDFC Securities - Buy</t>
        </is>
      </c>
      <c r="K740" s="42" t="inlineStr">
        <is>
          <t>HDFC Securities</t>
        </is>
      </c>
      <c r="L740" s="18" t="n">
        <v>0.97</v>
      </c>
      <c r="M740" s="42" t="inlineStr">
        <is>
          <t>N/A</t>
        </is>
      </c>
    </row>
    <row r="741">
      <c r="A741" s="41" t="n">
        <v>45357</v>
      </c>
      <c r="B741" s="42" t="inlineStr">
        <is>
          <t>NET PI TO HSL SEC A/C 2554606-00602340029427</t>
        </is>
      </c>
      <c r="C741" s="42" t="inlineStr">
        <is>
          <t>0000000501901862</t>
        </is>
      </c>
      <c r="D741" s="41" t="n">
        <v>45357</v>
      </c>
      <c r="E741" s="42" t="n">
        <v>122.41</v>
      </c>
      <c r="F741" s="42" t="n">
        <v>0</v>
      </c>
      <c r="G741" s="42" t="n">
        <v>131336.15</v>
      </c>
      <c r="H741" s="42" t="inlineStr"/>
      <c r="I741" s="42" t="inlineStr"/>
      <c r="J741" s="42" t="inlineStr">
        <is>
          <t>HDFC Securities - Buy</t>
        </is>
      </c>
      <c r="K741" s="42" t="inlineStr">
        <is>
          <t>HDFC Securities</t>
        </is>
      </c>
      <c r="L741" s="18" t="n">
        <v>0.97</v>
      </c>
      <c r="M741" s="42" t="inlineStr">
        <is>
          <t>N/A</t>
        </is>
      </c>
    </row>
    <row r="742">
      <c r="A742" s="41" t="n">
        <v>45357</v>
      </c>
      <c r="B742" s="42" t="inlineStr">
        <is>
          <t>NET PI TO HSL SEC A/C 2554606-00602340029427</t>
        </is>
      </c>
      <c r="C742" s="42" t="inlineStr">
        <is>
          <t>0000000502074901</t>
        </is>
      </c>
      <c r="D742" s="41" t="n">
        <v>45357</v>
      </c>
      <c r="E742" s="42" t="n">
        <v>2509.54</v>
      </c>
      <c r="F742" s="42" t="n">
        <v>0</v>
      </c>
      <c r="G742" s="42" t="n">
        <v>128826.61</v>
      </c>
      <c r="H742" s="42" t="inlineStr"/>
      <c r="I742" s="42" t="inlineStr"/>
      <c r="J742" s="42" t="inlineStr">
        <is>
          <t>HDFC Securities - Buy</t>
        </is>
      </c>
      <c r="K742" s="42" t="inlineStr">
        <is>
          <t>HDFC Securities</t>
        </is>
      </c>
      <c r="L742" s="18" t="n">
        <v>0.97</v>
      </c>
      <c r="M742" s="42" t="inlineStr">
        <is>
          <t>N/A</t>
        </is>
      </c>
    </row>
    <row r="743">
      <c r="A743" s="66" t="n">
        <v>45358</v>
      </c>
      <c r="B743" s="67" t="inlineStr">
        <is>
          <t>50200000003402   23560474 HLIC INST</t>
        </is>
      </c>
      <c r="C743" s="67" t="inlineStr">
        <is>
          <t>000000000000000</t>
        </is>
      </c>
      <c r="D743" s="66" t="n">
        <v>45358</v>
      </c>
      <c r="E743" s="67" t="n">
        <v>102250</v>
      </c>
      <c r="F743" s="67" t="n">
        <v>0</v>
      </c>
      <c r="G743" s="67" t="n">
        <v>26576.61</v>
      </c>
      <c r="H743" s="67" t="inlineStr"/>
      <c r="I743" s="67" t="inlineStr"/>
      <c r="J743" s="67" t="inlineStr">
        <is>
          <t>Life Insurance Premium</t>
        </is>
      </c>
      <c r="K743" s="67" t="inlineStr">
        <is>
          <t>Life Insurance</t>
        </is>
      </c>
      <c r="L743" s="18" t="n">
        <v>0.9</v>
      </c>
      <c r="M743" s="67" t="inlineStr">
        <is>
          <t>N/A</t>
        </is>
      </c>
    </row>
    <row r="744">
      <c r="A744" s="54" t="n">
        <v>45358</v>
      </c>
      <c r="B744" s="55" t="inlineStr">
        <is>
          <t>NET PO FROM HSL A/C 2554606-50200085415108</t>
        </is>
      </c>
      <c r="C744" s="55" t="inlineStr">
        <is>
          <t>0000000502233936</t>
        </is>
      </c>
      <c r="D744" s="54" t="n">
        <v>45358</v>
      </c>
      <c r="E744" s="55" t="n">
        <v>0</v>
      </c>
      <c r="F744" s="55" t="n">
        <v>21341.39</v>
      </c>
      <c r="G744" s="55" t="n">
        <v>47918</v>
      </c>
      <c r="H744" s="55" t="inlineStr"/>
      <c r="I744" s="55" t="inlineStr"/>
      <c r="J744" s="55" t="inlineStr">
        <is>
          <t>HDFC Securities - Sell</t>
        </is>
      </c>
      <c r="K744" s="55" t="inlineStr">
        <is>
          <t>HDFC Securities</t>
        </is>
      </c>
      <c r="L744" s="18" t="n">
        <v>0.97</v>
      </c>
      <c r="M744" s="55" t="inlineStr">
        <is>
          <t>N/A</t>
        </is>
      </c>
    </row>
    <row r="745">
      <c r="A745" s="41" t="n">
        <v>45358</v>
      </c>
      <c r="B745" s="42" t="inlineStr">
        <is>
          <t>NET PI TO HSL SEC A/C 2554606-00602340029427</t>
        </is>
      </c>
      <c r="C745" s="42" t="inlineStr">
        <is>
          <t>0000000502369686</t>
        </is>
      </c>
      <c r="D745" s="41" t="n">
        <v>45358</v>
      </c>
      <c r="E745" s="42" t="n">
        <v>121.52</v>
      </c>
      <c r="F745" s="42" t="n">
        <v>0</v>
      </c>
      <c r="G745" s="42" t="n">
        <v>47796.48</v>
      </c>
      <c r="H745" s="42" t="inlineStr"/>
      <c r="I745" s="42" t="inlineStr"/>
      <c r="J745" s="42" t="inlineStr">
        <is>
          <t>HDFC Securities - Buy</t>
        </is>
      </c>
      <c r="K745" s="42" t="inlineStr">
        <is>
          <t>HDFC Securities</t>
        </is>
      </c>
      <c r="L745" s="18" t="n">
        <v>0.97</v>
      </c>
      <c r="M745" s="42" t="inlineStr">
        <is>
          <t>N/A</t>
        </is>
      </c>
    </row>
    <row r="746">
      <c r="A746" s="23" t="n">
        <v>45358</v>
      </c>
      <c r="B746" s="24" t="inlineStr">
        <is>
          <t>00602300000434-026424492</t>
        </is>
      </c>
      <c r="C746" s="24" t="inlineStr">
        <is>
          <t>0000403078196807</t>
        </is>
      </c>
      <c r="D746" s="23" t="n">
        <v>45358</v>
      </c>
      <c r="E746" s="24" t="n">
        <v>0</v>
      </c>
      <c r="F746" s="24" t="n">
        <v>1880</v>
      </c>
      <c r="G746" s="24" t="n">
        <v>49676.48</v>
      </c>
      <c r="H746" s="24" t="inlineStr"/>
      <c r="I746" s="24" t="inlineStr"/>
      <c r="J746" s="24" t="inlineStr">
        <is>
          <t>What is this?</t>
        </is>
      </c>
      <c r="K746" s="24" t="inlineStr">
        <is>
          <t>Suspense</t>
        </is>
      </c>
      <c r="L746" s="25" t="n">
        <v>0</v>
      </c>
      <c r="M746" s="24" t="inlineStr">
        <is>
          <t>N/A</t>
        </is>
      </c>
    </row>
    <row r="747">
      <c r="A747" s="41" t="n">
        <v>45358</v>
      </c>
      <c r="B747" s="42" t="inlineStr">
        <is>
          <t>NET PI TO HSL SEC A/C 2554606-00602340029427</t>
        </is>
      </c>
      <c r="C747" s="42" t="inlineStr">
        <is>
          <t>0000000502520670</t>
        </is>
      </c>
      <c r="D747" s="41" t="n">
        <v>45358</v>
      </c>
      <c r="E747" s="42" t="n">
        <v>28006.35</v>
      </c>
      <c r="F747" s="42" t="n">
        <v>0</v>
      </c>
      <c r="G747" s="42" t="n">
        <v>21670.13</v>
      </c>
      <c r="H747" s="42" t="inlineStr"/>
      <c r="I747" s="42" t="inlineStr"/>
      <c r="J747" s="42" t="inlineStr">
        <is>
          <t>HDFC Securities - Buy</t>
        </is>
      </c>
      <c r="K747" s="42" t="inlineStr">
        <is>
          <t>HDFC Securities</t>
        </is>
      </c>
      <c r="L747" s="18" t="n">
        <v>0.97</v>
      </c>
      <c r="M747" s="42" t="inlineStr">
        <is>
          <t>N/A</t>
        </is>
      </c>
    </row>
    <row r="748">
      <c r="A748" s="26" t="n">
        <v>45361</v>
      </c>
      <c r="B748" s="27" t="inlineStr">
        <is>
          <t>UPI-AJAY KUMAR GUPTA-AJAYGUPTANEL@AXL-HDFC0000167-443693565719-TRANSFER FROM AKG</t>
        </is>
      </c>
      <c r="C748" s="27" t="inlineStr">
        <is>
          <t>0000443693565719</t>
        </is>
      </c>
      <c r="D748" s="26" t="n">
        <v>45361</v>
      </c>
      <c r="E748" s="27" t="n">
        <v>0</v>
      </c>
      <c r="F748" s="27" t="n">
        <v>10000</v>
      </c>
      <c r="G748" s="27" t="n">
        <v>31670.13</v>
      </c>
      <c r="H748" s="27" t="inlineStr"/>
      <c r="I748" s="27" t="inlineStr"/>
      <c r="J748" s="27" t="inlineStr">
        <is>
          <t>Received - Ajay Gupta</t>
        </is>
      </c>
      <c r="K748" s="27" t="inlineStr">
        <is>
          <t>Ajay Gupta</t>
        </is>
      </c>
      <c r="L748" s="18" t="n">
        <v>0.88</v>
      </c>
      <c r="M748" s="27" t="inlineStr">
        <is>
          <t>N/A</t>
        </is>
      </c>
    </row>
    <row r="749">
      <c r="A749" s="41" t="n">
        <v>45362</v>
      </c>
      <c r="B749" s="42" t="inlineStr">
        <is>
          <t>NET PI TO HSL SEC A/C 2554606-00602340029427</t>
        </is>
      </c>
      <c r="C749" s="42" t="inlineStr">
        <is>
          <t>0000000502928380</t>
        </is>
      </c>
      <c r="D749" s="41" t="n">
        <v>45362</v>
      </c>
      <c r="E749" s="42" t="n">
        <v>446.16</v>
      </c>
      <c r="F749" s="42" t="n">
        <v>0</v>
      </c>
      <c r="G749" s="42" t="n">
        <v>31223.97</v>
      </c>
      <c r="H749" s="42" t="inlineStr"/>
      <c r="I749" s="42" t="inlineStr"/>
      <c r="J749" s="42" t="inlineStr">
        <is>
          <t>HDFC Securities - Buy</t>
        </is>
      </c>
      <c r="K749" s="42" t="inlineStr">
        <is>
          <t>HDFC Securities</t>
        </is>
      </c>
      <c r="L749" s="18" t="n">
        <v>0.97</v>
      </c>
      <c r="M749" s="42" t="inlineStr">
        <is>
          <t>N/A</t>
        </is>
      </c>
    </row>
    <row r="750">
      <c r="A750" s="41" t="n">
        <v>45362</v>
      </c>
      <c r="B750" s="42" t="inlineStr">
        <is>
          <t>NET PI TO HSL SEC A/C 2554606-00602340029427</t>
        </is>
      </c>
      <c r="C750" s="42" t="inlineStr">
        <is>
          <t>0000000503028672</t>
        </is>
      </c>
      <c r="D750" s="41" t="n">
        <v>45362</v>
      </c>
      <c r="E750" s="42" t="n">
        <v>22735.05</v>
      </c>
      <c r="F750" s="42" t="n">
        <v>0</v>
      </c>
      <c r="G750" s="42" t="n">
        <v>8488.92</v>
      </c>
      <c r="H750" s="42" t="inlineStr"/>
      <c r="I750" s="42" t="inlineStr"/>
      <c r="J750" s="42" t="inlineStr">
        <is>
          <t>HDFC Securities - Buy</t>
        </is>
      </c>
      <c r="K750" s="42" t="inlineStr">
        <is>
          <t>HDFC Securities</t>
        </is>
      </c>
      <c r="L750" s="18" t="n">
        <v>0.97</v>
      </c>
      <c r="M750" s="42" t="inlineStr">
        <is>
          <t>N/A</t>
        </is>
      </c>
    </row>
    <row r="751">
      <c r="A751" s="41" t="n">
        <v>45362</v>
      </c>
      <c r="B751" s="42" t="inlineStr">
        <is>
          <t>NET PI TO HSL SEC A/C 2554606-00602340029427</t>
        </is>
      </c>
      <c r="C751" s="42" t="inlineStr">
        <is>
          <t>0000000503122615</t>
        </is>
      </c>
      <c r="D751" s="41" t="n">
        <v>45362</v>
      </c>
      <c r="E751" s="42" t="n">
        <v>2667.69</v>
      </c>
      <c r="F751" s="42" t="n">
        <v>0</v>
      </c>
      <c r="G751" s="42" t="n">
        <v>5821.23</v>
      </c>
      <c r="H751" s="42" t="inlineStr"/>
      <c r="I751" s="42" t="inlineStr"/>
      <c r="J751" s="42" t="inlineStr">
        <is>
          <t>HDFC Securities - Buy</t>
        </is>
      </c>
      <c r="K751" s="42" t="inlineStr">
        <is>
          <t>HDFC Securities</t>
        </is>
      </c>
      <c r="L751" s="18" t="n">
        <v>0.97</v>
      </c>
      <c r="M751" s="42" t="inlineStr">
        <is>
          <t>N/A</t>
        </is>
      </c>
    </row>
    <row r="752">
      <c r="A752" s="64" t="n">
        <v>45363</v>
      </c>
      <c r="B752" s="65" t="inlineStr">
        <is>
          <t>ACH C- NATIONAL ALUMINIUM C-NAT0INT02024</t>
        </is>
      </c>
      <c r="C752" s="65" t="inlineStr">
        <is>
          <t>0000001538448705</t>
        </is>
      </c>
      <c r="D752" s="64" t="n">
        <v>45363</v>
      </c>
      <c r="E752" s="65" t="n">
        <v>0</v>
      </c>
      <c r="F752" s="65" t="n">
        <v>600</v>
      </c>
      <c r="G752" s="65" t="n">
        <v>6421.23</v>
      </c>
      <c r="H752" s="65" t="inlineStr"/>
      <c r="I752" s="65" t="inlineStr"/>
      <c r="J752" s="65" t="inlineStr">
        <is>
          <t>Dividend Income</t>
        </is>
      </c>
      <c r="K752" s="65" t="inlineStr">
        <is>
          <t>Dividend Income</t>
        </is>
      </c>
      <c r="L752" s="18" t="n">
        <v>0.88</v>
      </c>
      <c r="M752" s="65" t="inlineStr">
        <is>
          <t>N/A</t>
        </is>
      </c>
    </row>
    <row r="753">
      <c r="A753" s="41" t="n">
        <v>45363</v>
      </c>
      <c r="B753" s="42" t="inlineStr">
        <is>
          <t>NET PI TO HSL SEC A/C 2554606-00602340029427</t>
        </is>
      </c>
      <c r="C753" s="42" t="inlineStr">
        <is>
          <t>0000000503522196</t>
        </is>
      </c>
      <c r="D753" s="41" t="n">
        <v>45363</v>
      </c>
      <c r="E753" s="42" t="n">
        <v>1818.06</v>
      </c>
      <c r="F753" s="42" t="n">
        <v>0</v>
      </c>
      <c r="G753" s="42" t="n">
        <v>4603.17</v>
      </c>
      <c r="H753" s="42" t="inlineStr"/>
      <c r="I753" s="42" t="inlineStr"/>
      <c r="J753" s="42" t="inlineStr">
        <is>
          <t>HDFC Securities - Buy</t>
        </is>
      </c>
      <c r="K753" s="42" t="inlineStr">
        <is>
          <t>HDFC Securities</t>
        </is>
      </c>
      <c r="L753" s="18" t="n">
        <v>0.97</v>
      </c>
      <c r="M753" s="42" t="inlineStr">
        <is>
          <t>N/A</t>
        </is>
      </c>
    </row>
    <row r="754">
      <c r="A754" s="54" t="n">
        <v>45364</v>
      </c>
      <c r="B754" s="55" t="inlineStr">
        <is>
          <t>NET PO FROM HSL A/C 2554606-50200085415108</t>
        </is>
      </c>
      <c r="C754" s="55" t="inlineStr">
        <is>
          <t>0000000503674029</t>
        </is>
      </c>
      <c r="D754" s="54" t="n">
        <v>45364</v>
      </c>
      <c r="E754" s="55" t="n">
        <v>0</v>
      </c>
      <c r="F754" s="55" t="n">
        <v>41461.06</v>
      </c>
      <c r="G754" s="55" t="n">
        <v>46064.23</v>
      </c>
      <c r="H754" s="55" t="inlineStr"/>
      <c r="I754" s="55" t="inlineStr"/>
      <c r="J754" s="55" t="inlineStr">
        <is>
          <t>HDFC Securities - Sell</t>
        </is>
      </c>
      <c r="K754" s="55" t="inlineStr">
        <is>
          <t>HDFC Securities</t>
        </is>
      </c>
      <c r="L754" s="18" t="n">
        <v>0.97</v>
      </c>
      <c r="M754" s="55" t="inlineStr">
        <is>
          <t>N/A</t>
        </is>
      </c>
    </row>
    <row r="755">
      <c r="A755" s="26" t="n">
        <v>45364</v>
      </c>
      <c r="B755" s="27" t="inlineStr">
        <is>
          <t>UPI-AJAY KUMAR GUPTA-AJAYGUPTANEL@AXL-HDFC0000167-443983561883-RETURN FROM AAYUSH</t>
        </is>
      </c>
      <c r="C755" s="27" t="inlineStr">
        <is>
          <t>0000443983561883</t>
        </is>
      </c>
      <c r="D755" s="26" t="n">
        <v>45364</v>
      </c>
      <c r="E755" s="27" t="n">
        <v>0</v>
      </c>
      <c r="F755" s="27" t="n">
        <v>10000</v>
      </c>
      <c r="G755" s="27" t="n">
        <v>56064.23</v>
      </c>
      <c r="H755" s="27" t="inlineStr"/>
      <c r="I755" s="27" t="inlineStr"/>
      <c r="J755" s="27" t="inlineStr">
        <is>
          <t>Received - Ajay Gupta</t>
        </is>
      </c>
      <c r="K755" s="27" t="inlineStr">
        <is>
          <t>Ajay Gupta</t>
        </is>
      </c>
      <c r="L755" s="18" t="n">
        <v>0.88</v>
      </c>
      <c r="M755" s="27" t="inlineStr">
        <is>
          <t>N/A</t>
        </is>
      </c>
    </row>
    <row r="756">
      <c r="A756" s="26" t="n">
        <v>45364</v>
      </c>
      <c r="B756" s="27" t="inlineStr">
        <is>
          <t>UPI-AJAY KUMAR GUPTA-AJAYGUPTANEL@AXL-HDFC0000167-443973513039-MONEY RETURNED FRO</t>
        </is>
      </c>
      <c r="C756" s="27" t="inlineStr">
        <is>
          <t>0000443973513039</t>
        </is>
      </c>
      <c r="D756" s="26" t="n">
        <v>45364</v>
      </c>
      <c r="E756" s="27" t="n">
        <v>20000</v>
      </c>
      <c r="F756" s="27" t="n">
        <v>0</v>
      </c>
      <c r="G756" s="27" t="n">
        <v>36064.23</v>
      </c>
      <c r="H756" s="27" t="inlineStr"/>
      <c r="I756" s="27" t="inlineStr"/>
      <c r="J756" s="27" t="inlineStr">
        <is>
          <t>Transfer - Ajay Gupta</t>
        </is>
      </c>
      <c r="K756" s="27" t="inlineStr">
        <is>
          <t>Ajay Gupta</t>
        </is>
      </c>
      <c r="L756" s="18" t="n">
        <v>0.88</v>
      </c>
      <c r="M756" s="27" t="inlineStr">
        <is>
          <t>N/A</t>
        </is>
      </c>
    </row>
    <row r="757">
      <c r="A757" s="41" t="n">
        <v>45364</v>
      </c>
      <c r="B757" s="42" t="inlineStr">
        <is>
          <t>NET PI TO HSL SEC A/C 2554606-00602340029427</t>
        </is>
      </c>
      <c r="C757" s="42" t="inlineStr">
        <is>
          <t>0000000503787027</t>
        </is>
      </c>
      <c r="D757" s="41" t="n">
        <v>45364</v>
      </c>
      <c r="E757" s="42" t="n">
        <v>137.99</v>
      </c>
      <c r="F757" s="42" t="n">
        <v>0</v>
      </c>
      <c r="G757" s="42" t="n">
        <v>35926.24</v>
      </c>
      <c r="H757" s="42" t="inlineStr"/>
      <c r="I757" s="42" t="inlineStr"/>
      <c r="J757" s="42" t="inlineStr">
        <is>
          <t>HDFC Securities - Buy</t>
        </is>
      </c>
      <c r="K757" s="42" t="inlineStr">
        <is>
          <t>HDFC Securities</t>
        </is>
      </c>
      <c r="L757" s="18" t="n">
        <v>0.97</v>
      </c>
      <c r="M757" s="42" t="inlineStr">
        <is>
          <t>N/A</t>
        </is>
      </c>
    </row>
    <row r="758">
      <c r="A758" s="56" t="n">
        <v>45364</v>
      </c>
      <c r="B758" s="57" t="inlineStr">
        <is>
          <t>DEPOSITORY CHARGES FEB24 - 52812428</t>
        </is>
      </c>
      <c r="C758" s="57" t="inlineStr">
        <is>
          <t>000000000000000</t>
        </is>
      </c>
      <c r="D758" s="56" t="n">
        <v>45364</v>
      </c>
      <c r="E758" s="57" t="n">
        <v>1706.62</v>
      </c>
      <c r="F758" s="57" t="n">
        <v>0</v>
      </c>
      <c r="G758" s="57" t="n">
        <v>34219.62</v>
      </c>
      <c r="H758" s="57" t="inlineStr"/>
      <c r="I758" s="57" t="inlineStr"/>
      <c r="J758" s="57" t="inlineStr">
        <is>
          <t>Depository Charges</t>
        </is>
      </c>
      <c r="K758" s="57" t="inlineStr">
        <is>
          <t>Depository Charges</t>
        </is>
      </c>
      <c r="L758" s="18" t="n">
        <v>0.93</v>
      </c>
      <c r="M758" s="57" t="inlineStr">
        <is>
          <t>N/A</t>
        </is>
      </c>
    </row>
    <row r="759">
      <c r="A759" s="41" t="n">
        <v>45364</v>
      </c>
      <c r="B759" s="42" t="inlineStr">
        <is>
          <t>NET PI TO HSL SEC A/C 2554606-00602340029427</t>
        </is>
      </c>
      <c r="C759" s="42" t="inlineStr">
        <is>
          <t>0000000504024743</t>
        </is>
      </c>
      <c r="D759" s="41" t="n">
        <v>45364</v>
      </c>
      <c r="E759" s="42" t="n">
        <v>12617.13</v>
      </c>
      <c r="F759" s="42" t="n">
        <v>0</v>
      </c>
      <c r="G759" s="42" t="n">
        <v>21602.49</v>
      </c>
      <c r="H759" s="42" t="inlineStr"/>
      <c r="I759" s="42" t="inlineStr"/>
      <c r="J759" s="42" t="inlineStr">
        <is>
          <t>HDFC Securities - Buy</t>
        </is>
      </c>
      <c r="K759" s="42" t="inlineStr">
        <is>
          <t>HDFC Securities</t>
        </is>
      </c>
      <c r="L759" s="18" t="n">
        <v>0.97</v>
      </c>
      <c r="M759" s="42" t="inlineStr">
        <is>
          <t>N/A</t>
        </is>
      </c>
    </row>
    <row r="760">
      <c r="A760" s="41" t="n">
        <v>45365</v>
      </c>
      <c r="B760" s="42" t="inlineStr">
        <is>
          <t>NET PI TO HSL SEC A/C 2554606-00602340029427</t>
        </is>
      </c>
      <c r="C760" s="42" t="inlineStr">
        <is>
          <t>0000000504311400</t>
        </is>
      </c>
      <c r="D760" s="41" t="n">
        <v>45365</v>
      </c>
      <c r="E760" s="42" t="n">
        <v>133.5</v>
      </c>
      <c r="F760" s="42" t="n">
        <v>0</v>
      </c>
      <c r="G760" s="42" t="n">
        <v>21468.99</v>
      </c>
      <c r="H760" s="42" t="inlineStr"/>
      <c r="I760" s="42" t="inlineStr"/>
      <c r="J760" s="42" t="inlineStr">
        <is>
          <t>HDFC Securities - Buy</t>
        </is>
      </c>
      <c r="K760" s="42" t="inlineStr">
        <is>
          <t>HDFC Securities</t>
        </is>
      </c>
      <c r="L760" s="18" t="n">
        <v>0.97</v>
      </c>
      <c r="M760" s="42" t="inlineStr">
        <is>
          <t>N/A</t>
        </is>
      </c>
    </row>
    <row r="761">
      <c r="A761" s="54" t="n">
        <v>45366</v>
      </c>
      <c r="B761" s="55" t="inlineStr">
        <is>
          <t>NET PO FROM HSL A/C 2554606-50200085415108</t>
        </is>
      </c>
      <c r="C761" s="55" t="inlineStr">
        <is>
          <t>0000000504600598</t>
        </is>
      </c>
      <c r="D761" s="54" t="n">
        <v>45366</v>
      </c>
      <c r="E761" s="55" t="n">
        <v>0</v>
      </c>
      <c r="F761" s="55" t="n">
        <v>5523.9</v>
      </c>
      <c r="G761" s="55" t="n">
        <v>26992.89</v>
      </c>
      <c r="H761" s="55" t="inlineStr"/>
      <c r="I761" s="55" t="inlineStr"/>
      <c r="J761" s="55" t="inlineStr">
        <is>
          <t>HDFC Securities - Sell</t>
        </is>
      </c>
      <c r="K761" s="55" t="inlineStr">
        <is>
          <t>HDFC Securities</t>
        </is>
      </c>
      <c r="L761" s="18" t="n">
        <v>0.97</v>
      </c>
      <c r="M761" s="55" t="inlineStr">
        <is>
          <t>N/A</t>
        </is>
      </c>
    </row>
    <row r="762">
      <c r="A762" s="41" t="n">
        <v>45366</v>
      </c>
      <c r="B762" s="42" t="inlineStr">
        <is>
          <t>NET PI TO HSL SEC A/C 2554606-00602340029427</t>
        </is>
      </c>
      <c r="C762" s="42" t="inlineStr">
        <is>
          <t>0000000504760202</t>
        </is>
      </c>
      <c r="D762" s="41" t="n">
        <v>45366</v>
      </c>
      <c r="E762" s="42" t="n">
        <v>138.61</v>
      </c>
      <c r="F762" s="42" t="n">
        <v>0</v>
      </c>
      <c r="G762" s="42" t="n">
        <v>26854.28</v>
      </c>
      <c r="H762" s="42" t="inlineStr"/>
      <c r="I762" s="42" t="inlineStr"/>
      <c r="J762" s="42" t="inlineStr">
        <is>
          <t>HDFC Securities - Buy</t>
        </is>
      </c>
      <c r="K762" s="42" t="inlineStr">
        <is>
          <t>HDFC Securities</t>
        </is>
      </c>
      <c r="L762" s="18" t="n">
        <v>0.97</v>
      </c>
      <c r="M762" s="42" t="inlineStr">
        <is>
          <t>N/A</t>
        </is>
      </c>
    </row>
    <row r="763">
      <c r="A763" s="54" t="n">
        <v>45366</v>
      </c>
      <c r="B763" s="55" t="inlineStr">
        <is>
          <t>NET PO FROM HSL A/C 2554606-50200085415108</t>
        </is>
      </c>
      <c r="C763" s="55" t="inlineStr">
        <is>
          <t>0000000505009089</t>
        </is>
      </c>
      <c r="D763" s="54" t="n">
        <v>45366</v>
      </c>
      <c r="E763" s="55" t="n">
        <v>0</v>
      </c>
      <c r="F763" s="55" t="n">
        <v>751.22</v>
      </c>
      <c r="G763" s="55" t="n">
        <v>27605.5</v>
      </c>
      <c r="H763" s="55" t="inlineStr"/>
      <c r="I763" s="55" t="inlineStr"/>
      <c r="J763" s="55" t="inlineStr">
        <is>
          <t>HDFC Securities - Sell</t>
        </is>
      </c>
      <c r="K763" s="55" t="inlineStr">
        <is>
          <t>HDFC Securities</t>
        </is>
      </c>
      <c r="L763" s="18" t="n">
        <v>0.97</v>
      </c>
      <c r="M763" s="55" t="inlineStr">
        <is>
          <t>N/A</t>
        </is>
      </c>
    </row>
    <row r="764">
      <c r="A764" s="41" t="n">
        <v>45369</v>
      </c>
      <c r="B764" s="42" t="inlineStr">
        <is>
          <t>NET PI TO HSL SEC A/C 2554606-00602340029427</t>
        </is>
      </c>
      <c r="C764" s="42" t="inlineStr">
        <is>
          <t>0000000505315342</t>
        </is>
      </c>
      <c r="D764" s="41" t="n">
        <v>45369</v>
      </c>
      <c r="E764" s="42" t="n">
        <v>422.52</v>
      </c>
      <c r="F764" s="42" t="n">
        <v>0</v>
      </c>
      <c r="G764" s="42" t="n">
        <v>27182.98</v>
      </c>
      <c r="H764" s="42" t="inlineStr"/>
      <c r="I764" s="42" t="inlineStr"/>
      <c r="J764" s="42" t="inlineStr">
        <is>
          <t>HDFC Securities - Buy</t>
        </is>
      </c>
      <c r="K764" s="42" t="inlineStr">
        <is>
          <t>HDFC Securities</t>
        </is>
      </c>
      <c r="L764" s="18" t="n">
        <v>0.97</v>
      </c>
      <c r="M764" s="42" t="inlineStr">
        <is>
          <t>N/A</t>
        </is>
      </c>
    </row>
    <row r="765">
      <c r="A765" s="41" t="n">
        <v>45369</v>
      </c>
      <c r="B765" s="42" t="inlineStr">
        <is>
          <t>NET PI TO HSL SEC A/C 2554606-00602340029427</t>
        </is>
      </c>
      <c r="C765" s="42" t="inlineStr">
        <is>
          <t>0000000505546822</t>
        </is>
      </c>
      <c r="D765" s="41" t="n">
        <v>45369</v>
      </c>
      <c r="E765" s="42" t="n">
        <v>2206.38</v>
      </c>
      <c r="F765" s="42" t="n">
        <v>0</v>
      </c>
      <c r="G765" s="42" t="n">
        <v>24976.6</v>
      </c>
      <c r="H765" s="42" t="inlineStr"/>
      <c r="I765" s="42" t="inlineStr"/>
      <c r="J765" s="42" t="inlineStr">
        <is>
          <t>HDFC Securities - Buy</t>
        </is>
      </c>
      <c r="K765" s="42" t="inlineStr">
        <is>
          <t>HDFC Securities</t>
        </is>
      </c>
      <c r="L765" s="18" t="n">
        <v>0.97</v>
      </c>
      <c r="M765" s="42" t="inlineStr">
        <is>
          <t>N/A</t>
        </is>
      </c>
    </row>
    <row r="766">
      <c r="A766" s="41" t="n">
        <v>45370</v>
      </c>
      <c r="B766" s="42" t="inlineStr">
        <is>
          <t>NET PI TO HSL SEC A/C 2554606-00602340029427</t>
        </is>
      </c>
      <c r="C766" s="42" t="inlineStr">
        <is>
          <t>0000000505765080</t>
        </is>
      </c>
      <c r="D766" s="41" t="n">
        <v>45370</v>
      </c>
      <c r="E766" s="42" t="n">
        <v>140.06</v>
      </c>
      <c r="F766" s="42" t="n">
        <v>0</v>
      </c>
      <c r="G766" s="42" t="n">
        <v>24836.54</v>
      </c>
      <c r="H766" s="42" t="inlineStr"/>
      <c r="I766" s="42" t="inlineStr"/>
      <c r="J766" s="42" t="inlineStr">
        <is>
          <t>HDFC Securities - Buy</t>
        </is>
      </c>
      <c r="K766" s="42" t="inlineStr">
        <is>
          <t>HDFC Securities</t>
        </is>
      </c>
      <c r="L766" s="18" t="n">
        <v>0.97</v>
      </c>
      <c r="M766" s="42" t="inlineStr">
        <is>
          <t>N/A</t>
        </is>
      </c>
    </row>
    <row r="767">
      <c r="A767" s="41" t="n">
        <v>45370</v>
      </c>
      <c r="B767" s="42" t="inlineStr">
        <is>
          <t>NET PI TO HSL SEC A/C 2554606-00602340029427</t>
        </is>
      </c>
      <c r="C767" s="42" t="inlineStr">
        <is>
          <t>0000000506031496</t>
        </is>
      </c>
      <c r="D767" s="41" t="n">
        <v>45370</v>
      </c>
      <c r="E767" s="42" t="n">
        <v>594.47</v>
      </c>
      <c r="F767" s="42" t="n">
        <v>0</v>
      </c>
      <c r="G767" s="42" t="n">
        <v>24242.07</v>
      </c>
      <c r="H767" s="42" t="inlineStr"/>
      <c r="I767" s="42" t="inlineStr"/>
      <c r="J767" s="42" t="inlineStr">
        <is>
          <t>HDFC Securities - Buy</t>
        </is>
      </c>
      <c r="K767" s="42" t="inlineStr">
        <is>
          <t>HDFC Securities</t>
        </is>
      </c>
      <c r="L767" s="18" t="n">
        <v>0.97</v>
      </c>
      <c r="M767" s="42" t="inlineStr">
        <is>
          <t>N/A</t>
        </is>
      </c>
    </row>
    <row r="768">
      <c r="A768" s="41" t="n">
        <v>45370</v>
      </c>
      <c r="B768" s="42" t="inlineStr">
        <is>
          <t>NET PI TO HSL SEC A/C 2554606-00602340029427</t>
        </is>
      </c>
      <c r="C768" s="42" t="inlineStr">
        <is>
          <t>0000000506069481</t>
        </is>
      </c>
      <c r="D768" s="41" t="n">
        <v>45370</v>
      </c>
      <c r="E768" s="42" t="n">
        <v>213.09</v>
      </c>
      <c r="F768" s="42" t="n">
        <v>0</v>
      </c>
      <c r="G768" s="42" t="n">
        <v>24028.98</v>
      </c>
      <c r="H768" s="42" t="inlineStr"/>
      <c r="I768" s="42" t="inlineStr"/>
      <c r="J768" s="42" t="inlineStr">
        <is>
          <t>HDFC Securities - Buy</t>
        </is>
      </c>
      <c r="K768" s="42" t="inlineStr">
        <is>
          <t>HDFC Securities</t>
        </is>
      </c>
      <c r="L768" s="18" t="n">
        <v>0.97</v>
      </c>
      <c r="M768" s="42" t="inlineStr">
        <is>
          <t>N/A</t>
        </is>
      </c>
    </row>
    <row r="769">
      <c r="A769" s="74" t="n">
        <v>45371</v>
      </c>
      <c r="B769" s="75" t="inlineStr">
        <is>
          <t>FT- INVESCO MF A/C - BS77 8299900 3102041601 39064245</t>
        </is>
      </c>
      <c r="C769" s="75" t="inlineStr">
        <is>
          <t>0000000597337921</t>
        </is>
      </c>
      <c r="D769" s="74" t="n">
        <v>45371</v>
      </c>
      <c r="E769" s="75" t="n">
        <v>0</v>
      </c>
      <c r="F769" s="75" t="n">
        <v>74144.56</v>
      </c>
      <c r="G769" s="75" t="n">
        <v>98173.53999999999</v>
      </c>
      <c r="H769" s="75" t="inlineStr"/>
      <c r="I769" s="75" t="inlineStr"/>
      <c r="J769" s="75" t="inlineStr">
        <is>
          <t>MF Redemption</t>
        </is>
      </c>
      <c r="K769" s="75" t="inlineStr">
        <is>
          <t>Mutual Funds</t>
        </is>
      </c>
      <c r="L769" s="18" t="n">
        <v>0.87</v>
      </c>
      <c r="M769" s="75" t="inlineStr">
        <is>
          <t>N/A</t>
        </is>
      </c>
    </row>
    <row r="770">
      <c r="A770" s="23" t="n">
        <v>45371</v>
      </c>
      <c r="B770" s="24" t="inlineStr">
        <is>
          <t>50200067172675-180324827807</t>
        </is>
      </c>
      <c r="C770" s="24" t="inlineStr">
        <is>
          <t>0000403206884145</t>
        </is>
      </c>
      <c r="D770" s="23" t="n">
        <v>45371</v>
      </c>
      <c r="E770" s="24" t="n">
        <v>0</v>
      </c>
      <c r="F770" s="24" t="n">
        <v>293411.76</v>
      </c>
      <c r="G770" s="24" t="n">
        <v>391585.3</v>
      </c>
      <c r="H770" s="24" t="inlineStr"/>
      <c r="I770" s="24" t="inlineStr"/>
      <c r="J770" s="24" t="inlineStr">
        <is>
          <t>What is this?</t>
        </is>
      </c>
      <c r="K770" s="24" t="inlineStr">
        <is>
          <t>Suspense</t>
        </is>
      </c>
      <c r="L770" s="25" t="n">
        <v>0</v>
      </c>
      <c r="M770" s="24" t="inlineStr">
        <is>
          <t>N/A</t>
        </is>
      </c>
    </row>
    <row r="771">
      <c r="A771" s="23" t="n">
        <v>45371</v>
      </c>
      <c r="B771" s="24" t="inlineStr">
        <is>
          <t>50200067172675-180324829044</t>
        </is>
      </c>
      <c r="C771" s="24" t="inlineStr">
        <is>
          <t>0000403206883125</t>
        </is>
      </c>
      <c r="D771" s="23" t="n">
        <v>45371</v>
      </c>
      <c r="E771" s="24" t="n">
        <v>0</v>
      </c>
      <c r="F771" s="24" t="n">
        <v>117705.12</v>
      </c>
      <c r="G771" s="24" t="n">
        <v>509290.42</v>
      </c>
      <c r="H771" s="24" t="inlineStr"/>
      <c r="I771" s="24" t="inlineStr"/>
      <c r="J771" s="24" t="inlineStr">
        <is>
          <t>What is this?</t>
        </is>
      </c>
      <c r="K771" s="24" t="inlineStr">
        <is>
          <t>Suspense</t>
        </is>
      </c>
      <c r="L771" s="25" t="n">
        <v>0</v>
      </c>
      <c r="M771" s="24" t="inlineStr">
        <is>
          <t>N/A</t>
        </is>
      </c>
    </row>
    <row r="772">
      <c r="A772" s="41" t="n">
        <v>45371</v>
      </c>
      <c r="B772" s="42" t="inlineStr">
        <is>
          <t>NET PI TO HSL SEC A/C 2554606-00602340029427</t>
        </is>
      </c>
      <c r="C772" s="42" t="inlineStr">
        <is>
          <t>0000000506300684</t>
        </is>
      </c>
      <c r="D772" s="41" t="n">
        <v>45371</v>
      </c>
      <c r="E772" s="42" t="n">
        <v>139.85</v>
      </c>
      <c r="F772" s="42" t="n">
        <v>0</v>
      </c>
      <c r="G772" s="42" t="n">
        <v>509150.57</v>
      </c>
      <c r="H772" s="42" t="inlineStr"/>
      <c r="I772" s="42" t="inlineStr"/>
      <c r="J772" s="42" t="inlineStr">
        <is>
          <t>HDFC Securities - Buy</t>
        </is>
      </c>
      <c r="K772" s="42" t="inlineStr">
        <is>
          <t>HDFC Securities</t>
        </is>
      </c>
      <c r="L772" s="18" t="n">
        <v>0.97</v>
      </c>
      <c r="M772" s="42" t="inlineStr">
        <is>
          <t>N/A</t>
        </is>
      </c>
    </row>
    <row r="773">
      <c r="A773" s="58" t="n">
        <v>45371</v>
      </c>
      <c r="B773" s="59" t="inlineStr">
        <is>
          <t>YHDF2276237288/BILLDKINDIANCLEARING</t>
        </is>
      </c>
      <c r="C773" s="59" t="inlineStr">
        <is>
          <t>0000248045842968</t>
        </is>
      </c>
      <c r="D773" s="58" t="n">
        <v>45371</v>
      </c>
      <c r="E773" s="59" t="n">
        <v>100000</v>
      </c>
      <c r="F773" s="59" t="n">
        <v>0</v>
      </c>
      <c r="G773" s="59" t="n">
        <v>409150.57</v>
      </c>
      <c r="H773" s="59" t="inlineStr"/>
      <c r="I773" s="59" t="inlineStr"/>
      <c r="J773" s="59" t="inlineStr">
        <is>
          <t>SIP</t>
        </is>
      </c>
      <c r="K773" s="59" t="inlineStr">
        <is>
          <t>SIP</t>
        </is>
      </c>
      <c r="L773" s="18" t="n">
        <v>0.9</v>
      </c>
      <c r="M773" s="59" t="inlineStr">
        <is>
          <t>N/A</t>
        </is>
      </c>
    </row>
    <row r="774">
      <c r="A774" s="39" t="n">
        <v>45371</v>
      </c>
      <c r="B774" s="40" t="inlineStr">
        <is>
          <t>50100542230922-TPT-FROM AAYUSH-ARCHIT GUPTA</t>
        </is>
      </c>
      <c r="C774" s="40" t="inlineStr">
        <is>
          <t>0000000250700915</t>
        </is>
      </c>
      <c r="D774" s="39" t="n">
        <v>45371</v>
      </c>
      <c r="E774" s="40" t="n">
        <v>50000</v>
      </c>
      <c r="F774" s="40" t="n">
        <v>0</v>
      </c>
      <c r="G774" s="40" t="n">
        <v>359150.57</v>
      </c>
      <c r="H774" s="40" t="inlineStr"/>
      <c r="I774" s="40" t="inlineStr"/>
      <c r="J774" s="40" t="inlineStr">
        <is>
          <t>Transfer - Archit Gupta</t>
        </is>
      </c>
      <c r="K774" s="40" t="inlineStr">
        <is>
          <t>Archit Gupta</t>
        </is>
      </c>
      <c r="L774" s="18" t="n">
        <v>0.85</v>
      </c>
      <c r="M774" s="40" t="inlineStr">
        <is>
          <t>N/A</t>
        </is>
      </c>
    </row>
    <row r="775">
      <c r="A775" s="62" t="n">
        <v>45371</v>
      </c>
      <c r="B775" s="63" t="inlineStr">
        <is>
          <t>01671000060094-TPT-FROM AAYUSH-SUNITA GUPTA</t>
        </is>
      </c>
      <c r="C775" s="63" t="inlineStr">
        <is>
          <t>0000000250708210</t>
        </is>
      </c>
      <c r="D775" s="62" t="n">
        <v>45371</v>
      </c>
      <c r="E775" s="63" t="n">
        <v>50000</v>
      </c>
      <c r="F775" s="63" t="n">
        <v>0</v>
      </c>
      <c r="G775" s="63" t="n">
        <v>309150.57</v>
      </c>
      <c r="H775" s="63" t="inlineStr"/>
      <c r="I775" s="63" t="inlineStr"/>
      <c r="J775" s="63" t="inlineStr">
        <is>
          <t>Transfer - Sunita Gupta</t>
        </is>
      </c>
      <c r="K775" s="63" t="inlineStr">
        <is>
          <t>Sunita Gupta</t>
        </is>
      </c>
      <c r="L775" s="18" t="n">
        <v>0.88</v>
      </c>
      <c r="M775" s="63" t="inlineStr">
        <is>
          <t>N/A</t>
        </is>
      </c>
    </row>
    <row r="776">
      <c r="A776" s="26" t="n">
        <v>45371</v>
      </c>
      <c r="B776" s="27" t="inlineStr">
        <is>
          <t>01671000085930-TPT-MONEY RETURNED TO AKG-AJAY KUMAR GUPTA</t>
        </is>
      </c>
      <c r="C776" s="27" t="inlineStr">
        <is>
          <t>0000000250711357</t>
        </is>
      </c>
      <c r="D776" s="26" t="n">
        <v>45371</v>
      </c>
      <c r="E776" s="27" t="n">
        <v>100000</v>
      </c>
      <c r="F776" s="27" t="n">
        <v>0</v>
      </c>
      <c r="G776" s="27" t="n">
        <v>209150.57</v>
      </c>
      <c r="H776" s="27" t="inlineStr"/>
      <c r="I776" s="27" t="inlineStr"/>
      <c r="J776" s="27" t="inlineStr">
        <is>
          <t>Transfer - Ajay Gupta</t>
        </is>
      </c>
      <c r="K776" s="27" t="inlineStr">
        <is>
          <t>Ajay Gupta</t>
        </is>
      </c>
      <c r="L776" s="18" t="n">
        <v>0.88</v>
      </c>
      <c r="M776" s="27" t="inlineStr">
        <is>
          <t>N/A</t>
        </is>
      </c>
    </row>
    <row r="777">
      <c r="A777" s="41" t="n">
        <v>45371</v>
      </c>
      <c r="B777" s="42" t="inlineStr">
        <is>
          <t>NET PI TO HSL SEC A/C 2554606-00602340029427</t>
        </is>
      </c>
      <c r="C777" s="42" t="inlineStr">
        <is>
          <t>0000000506518365</t>
        </is>
      </c>
      <c r="D777" s="41" t="n">
        <v>45371</v>
      </c>
      <c r="E777" s="42" t="n">
        <v>56641.91</v>
      </c>
      <c r="F777" s="42" t="n">
        <v>0</v>
      </c>
      <c r="G777" s="42" t="n">
        <v>152508.66</v>
      </c>
      <c r="H777" s="42" t="inlineStr"/>
      <c r="I777" s="42" t="inlineStr"/>
      <c r="J777" s="42" t="inlineStr">
        <is>
          <t>HDFC Securities - Buy</t>
        </is>
      </c>
      <c r="K777" s="42" t="inlineStr">
        <is>
          <t>HDFC Securities</t>
        </is>
      </c>
      <c r="L777" s="18" t="n">
        <v>0.97</v>
      </c>
      <c r="M777" s="42" t="inlineStr">
        <is>
          <t>N/A</t>
        </is>
      </c>
    </row>
    <row r="778">
      <c r="A778" s="54" t="n">
        <v>45372</v>
      </c>
      <c r="B778" s="55" t="inlineStr">
        <is>
          <t>NET PO FROM HSL A/C 2554606-50200085415108</t>
        </is>
      </c>
      <c r="C778" s="55" t="inlineStr">
        <is>
          <t>0000000506656055</t>
        </is>
      </c>
      <c r="D778" s="54" t="n">
        <v>45372</v>
      </c>
      <c r="E778" s="55" t="n">
        <v>0</v>
      </c>
      <c r="F778" s="55" t="n">
        <v>30000</v>
      </c>
      <c r="G778" s="55" t="n">
        <v>182508.66</v>
      </c>
      <c r="H778" s="55" t="inlineStr"/>
      <c r="I778" s="55" t="inlineStr"/>
      <c r="J778" s="55" t="inlineStr">
        <is>
          <t>HDFC Securities - Sell</t>
        </is>
      </c>
      <c r="K778" s="55" t="inlineStr">
        <is>
          <t>HDFC Securities</t>
        </is>
      </c>
      <c r="L778" s="18" t="n">
        <v>0.97</v>
      </c>
      <c r="M778" s="55" t="inlineStr">
        <is>
          <t>N/A</t>
        </is>
      </c>
    </row>
    <row r="779">
      <c r="A779" s="58" t="n">
        <v>45372</v>
      </c>
      <c r="B779" s="59" t="inlineStr">
        <is>
          <t>YHDF2277030583/BILLDKINDIANCLEARING</t>
        </is>
      </c>
      <c r="C779" s="59" t="inlineStr">
        <is>
          <t>0000248145881806</t>
        </is>
      </c>
      <c r="D779" s="58" t="n">
        <v>45372</v>
      </c>
      <c r="E779" s="59" t="n">
        <v>50000</v>
      </c>
      <c r="F779" s="59" t="n">
        <v>0</v>
      </c>
      <c r="G779" s="59" t="n">
        <v>132508.66</v>
      </c>
      <c r="H779" s="59" t="inlineStr"/>
      <c r="I779" s="59" t="inlineStr"/>
      <c r="J779" s="59" t="inlineStr">
        <is>
          <t>SIP</t>
        </is>
      </c>
      <c r="K779" s="59" t="inlineStr">
        <is>
          <t>SIP</t>
        </is>
      </c>
      <c r="L779" s="18" t="n">
        <v>0.9</v>
      </c>
      <c r="M779" s="59" t="inlineStr">
        <is>
          <t>N/A</t>
        </is>
      </c>
    </row>
    <row r="780">
      <c r="A780" s="41" t="n">
        <v>45372</v>
      </c>
      <c r="B780" s="42" t="inlineStr">
        <is>
          <t>NET PI TO HSL SEC A/C 2554606-00602340029427</t>
        </is>
      </c>
      <c r="C780" s="42" t="inlineStr">
        <is>
          <t>0000000506780860</t>
        </is>
      </c>
      <c r="D780" s="41" t="n">
        <v>45372</v>
      </c>
      <c r="E780" s="42" t="n">
        <v>119.67</v>
      </c>
      <c r="F780" s="42" t="n">
        <v>0</v>
      </c>
      <c r="G780" s="42" t="n">
        <v>132388.99</v>
      </c>
      <c r="H780" s="42" t="inlineStr"/>
      <c r="I780" s="42" t="inlineStr"/>
      <c r="J780" s="42" t="inlineStr">
        <is>
          <t>HDFC Securities - Buy</t>
        </is>
      </c>
      <c r="K780" s="42" t="inlineStr">
        <is>
          <t>HDFC Securities</t>
        </is>
      </c>
      <c r="L780" s="18" t="n">
        <v>0.97</v>
      </c>
      <c r="M780" s="42" t="inlineStr">
        <is>
          <t>N/A</t>
        </is>
      </c>
    </row>
    <row r="781">
      <c r="A781" s="41" t="n">
        <v>45372</v>
      </c>
      <c r="B781" s="42" t="inlineStr">
        <is>
          <t>NET PI TO HSL SEC A/C 2554606-00602340029427</t>
        </is>
      </c>
      <c r="C781" s="42" t="inlineStr">
        <is>
          <t>0000000506917092</t>
        </is>
      </c>
      <c r="D781" s="41" t="n">
        <v>45372</v>
      </c>
      <c r="E781" s="42" t="n">
        <v>20343.95</v>
      </c>
      <c r="F781" s="42" t="n">
        <v>0</v>
      </c>
      <c r="G781" s="42" t="n">
        <v>112045.04</v>
      </c>
      <c r="H781" s="42" t="inlineStr"/>
      <c r="I781" s="42" t="inlineStr"/>
      <c r="J781" s="42" t="inlineStr">
        <is>
          <t>HDFC Securities - Buy</t>
        </is>
      </c>
      <c r="K781" s="42" t="inlineStr">
        <is>
          <t>HDFC Securities</t>
        </is>
      </c>
      <c r="L781" s="18" t="n">
        <v>0.97</v>
      </c>
      <c r="M781" s="42" t="inlineStr">
        <is>
          <t>N/A</t>
        </is>
      </c>
    </row>
    <row r="782">
      <c r="A782" s="41" t="n">
        <v>45372</v>
      </c>
      <c r="B782" s="42" t="inlineStr">
        <is>
          <t>NET PI TO HSL SEC A/C 2554606-00602340029427</t>
        </is>
      </c>
      <c r="C782" s="42" t="inlineStr">
        <is>
          <t>0000000506930088</t>
        </is>
      </c>
      <c r="D782" s="41" t="n">
        <v>45372</v>
      </c>
      <c r="E782" s="42" t="n">
        <v>69314.38</v>
      </c>
      <c r="F782" s="42" t="n">
        <v>0</v>
      </c>
      <c r="G782" s="42" t="n">
        <v>42730.66</v>
      </c>
      <c r="H782" s="42" t="inlineStr"/>
      <c r="I782" s="42" t="inlineStr"/>
      <c r="J782" s="42" t="inlineStr">
        <is>
          <t>HDFC Securities - Buy</t>
        </is>
      </c>
      <c r="K782" s="42" t="inlineStr">
        <is>
          <t>HDFC Securities</t>
        </is>
      </c>
      <c r="L782" s="18" t="n">
        <v>0.97</v>
      </c>
      <c r="M782" s="42" t="inlineStr">
        <is>
          <t>N/A</t>
        </is>
      </c>
    </row>
    <row r="783">
      <c r="A783" s="41" t="n">
        <v>45373</v>
      </c>
      <c r="B783" s="42" t="inlineStr">
        <is>
          <t>NET PI TO HSL SEC A/C 2554606-00602340029427</t>
        </is>
      </c>
      <c r="C783" s="42" t="inlineStr">
        <is>
          <t>0000000507162278</t>
        </is>
      </c>
      <c r="D783" s="41" t="n">
        <v>45373</v>
      </c>
      <c r="E783" s="42" t="n">
        <v>94.98999999999999</v>
      </c>
      <c r="F783" s="42" t="n">
        <v>0</v>
      </c>
      <c r="G783" s="42" t="n">
        <v>42635.67</v>
      </c>
      <c r="H783" s="42" t="inlineStr"/>
      <c r="I783" s="42" t="inlineStr"/>
      <c r="J783" s="42" t="inlineStr">
        <is>
          <t>HDFC Securities - Buy</t>
        </is>
      </c>
      <c r="K783" s="42" t="inlineStr">
        <is>
          <t>HDFC Securities</t>
        </is>
      </c>
      <c r="L783" s="18" t="n">
        <v>0.97</v>
      </c>
      <c r="M783" s="42" t="inlineStr">
        <is>
          <t>N/A</t>
        </is>
      </c>
    </row>
    <row r="784">
      <c r="A784" s="41" t="n">
        <v>45373</v>
      </c>
      <c r="B784" s="42" t="inlineStr">
        <is>
          <t>NET PI TO HSL SEC A/C 2554606-00602340029427</t>
        </is>
      </c>
      <c r="C784" s="42" t="inlineStr">
        <is>
          <t>0000000507371766</t>
        </is>
      </c>
      <c r="D784" s="41" t="n">
        <v>45373</v>
      </c>
      <c r="E784" s="42" t="n">
        <v>175.21</v>
      </c>
      <c r="F784" s="42" t="n">
        <v>0</v>
      </c>
      <c r="G784" s="42" t="n">
        <v>42460.46</v>
      </c>
      <c r="H784" s="42" t="inlineStr"/>
      <c r="I784" s="42" t="inlineStr"/>
      <c r="J784" s="42" t="inlineStr">
        <is>
          <t>HDFC Securities - Buy</t>
        </is>
      </c>
      <c r="K784" s="42" t="inlineStr">
        <is>
          <t>HDFC Securities</t>
        </is>
      </c>
      <c r="L784" s="18" t="n">
        <v>0.97</v>
      </c>
      <c r="M784" s="42" t="inlineStr">
        <is>
          <t>N/A</t>
        </is>
      </c>
    </row>
    <row r="785">
      <c r="A785" s="54" t="n">
        <v>45377</v>
      </c>
      <c r="B785" s="55" t="inlineStr">
        <is>
          <t>NET PO FROM HSL A/C 2554606-50200085415108</t>
        </is>
      </c>
      <c r="C785" s="55" t="inlineStr">
        <is>
          <t>0000000507548937</t>
        </is>
      </c>
      <c r="D785" s="54" t="n">
        <v>45377</v>
      </c>
      <c r="E785" s="55" t="n">
        <v>0</v>
      </c>
      <c r="F785" s="55" t="n">
        <v>21837.43</v>
      </c>
      <c r="G785" s="55" t="n">
        <v>64297.89</v>
      </c>
      <c r="H785" s="55" t="inlineStr"/>
      <c r="I785" s="55" t="inlineStr"/>
      <c r="J785" s="55" t="inlineStr">
        <is>
          <t>HDFC Securities - Sell</t>
        </is>
      </c>
      <c r="K785" s="55" t="inlineStr">
        <is>
          <t>HDFC Securities</t>
        </is>
      </c>
      <c r="L785" s="18" t="n">
        <v>0.97</v>
      </c>
      <c r="M785" s="55" t="inlineStr">
        <is>
          <t>N/A</t>
        </is>
      </c>
    </row>
    <row r="786">
      <c r="A786" s="41" t="n">
        <v>45377</v>
      </c>
      <c r="B786" s="42" t="inlineStr">
        <is>
          <t>NET PI TO HSL SEC A/C 2554606-00602340029427</t>
        </is>
      </c>
      <c r="C786" s="42" t="inlineStr">
        <is>
          <t>0000000507651554</t>
        </is>
      </c>
      <c r="D786" s="41" t="n">
        <v>45377</v>
      </c>
      <c r="E786" s="42" t="n">
        <v>635.6</v>
      </c>
      <c r="F786" s="42" t="n">
        <v>0</v>
      </c>
      <c r="G786" s="42" t="n">
        <v>63662.29</v>
      </c>
      <c r="H786" s="42" t="inlineStr"/>
      <c r="I786" s="42" t="inlineStr"/>
      <c r="J786" s="42" t="inlineStr">
        <is>
          <t>HDFC Securities - Buy</t>
        </is>
      </c>
      <c r="K786" s="42" t="inlineStr">
        <is>
          <t>HDFC Securities</t>
        </is>
      </c>
      <c r="L786" s="18" t="n">
        <v>0.97</v>
      </c>
      <c r="M786" s="42" t="inlineStr">
        <is>
          <t>N/A</t>
        </is>
      </c>
    </row>
    <row r="787">
      <c r="A787" s="41" t="n">
        <v>45377</v>
      </c>
      <c r="B787" s="42" t="inlineStr">
        <is>
          <t>NET PI TO HSL SEC A/C 2554606-00602340029427</t>
        </is>
      </c>
      <c r="C787" s="42" t="inlineStr">
        <is>
          <t>0000000507901258</t>
        </is>
      </c>
      <c r="D787" s="41" t="n">
        <v>45377</v>
      </c>
      <c r="E787" s="42" t="n">
        <v>1671.29</v>
      </c>
      <c r="F787" s="42" t="n">
        <v>0</v>
      </c>
      <c r="G787" s="42" t="n">
        <v>61991</v>
      </c>
      <c r="H787" s="42" t="inlineStr"/>
      <c r="I787" s="42" t="inlineStr"/>
      <c r="J787" s="42" t="inlineStr">
        <is>
          <t>HDFC Securities - Buy</t>
        </is>
      </c>
      <c r="K787" s="42" t="inlineStr">
        <is>
          <t>HDFC Securities</t>
        </is>
      </c>
      <c r="L787" s="18" t="n">
        <v>0.97</v>
      </c>
      <c r="M787" s="42" t="inlineStr">
        <is>
          <t>N/A</t>
        </is>
      </c>
    </row>
    <row r="788">
      <c r="A788" s="41" t="n">
        <v>45378</v>
      </c>
      <c r="B788" s="42" t="inlineStr">
        <is>
          <t>NET PI TO HSL SEC A/C 2554606-00602340029427</t>
        </is>
      </c>
      <c r="C788" s="42" t="inlineStr">
        <is>
          <t>0000000508130784</t>
        </is>
      </c>
      <c r="D788" s="41" t="n">
        <v>45378</v>
      </c>
      <c r="E788" s="42" t="n">
        <v>158.31</v>
      </c>
      <c r="F788" s="42" t="n">
        <v>0</v>
      </c>
      <c r="G788" s="42" t="n">
        <v>61832.69</v>
      </c>
      <c r="H788" s="42" t="inlineStr"/>
      <c r="I788" s="42" t="inlineStr"/>
      <c r="J788" s="42" t="inlineStr">
        <is>
          <t>HDFC Securities - Buy</t>
        </is>
      </c>
      <c r="K788" s="42" t="inlineStr">
        <is>
          <t>HDFC Securities</t>
        </is>
      </c>
      <c r="L788" s="18" t="n">
        <v>0.97</v>
      </c>
      <c r="M788" s="42" t="inlineStr">
        <is>
          <t>N/A</t>
        </is>
      </c>
    </row>
    <row r="789">
      <c r="A789" s="41" t="n">
        <v>45378</v>
      </c>
      <c r="B789" s="42" t="inlineStr">
        <is>
          <t>NET PI TO HSL SEC A/C 2554606-00602340029427</t>
        </is>
      </c>
      <c r="C789" s="42" t="inlineStr">
        <is>
          <t>0000000508296225</t>
        </is>
      </c>
      <c r="D789" s="41" t="n">
        <v>45378</v>
      </c>
      <c r="E789" s="42" t="n">
        <v>10731.98</v>
      </c>
      <c r="F789" s="42" t="n">
        <v>0</v>
      </c>
      <c r="G789" s="42" t="n">
        <v>51100.71</v>
      </c>
      <c r="H789" s="42" t="inlineStr"/>
      <c r="I789" s="42" t="inlineStr"/>
      <c r="J789" s="42" t="inlineStr">
        <is>
          <t>HDFC Securities - Buy</t>
        </is>
      </c>
      <c r="K789" s="42" t="inlineStr">
        <is>
          <t>HDFC Securities</t>
        </is>
      </c>
      <c r="L789" s="18" t="n">
        <v>0.97</v>
      </c>
      <c r="M789" s="42" t="inlineStr">
        <is>
          <t>N/A</t>
        </is>
      </c>
    </row>
    <row r="790">
      <c r="A790" s="58" t="n">
        <v>45379</v>
      </c>
      <c r="B790" s="59" t="inlineStr">
        <is>
          <t>ACH D- TP ACH INDIANESIGN-1398119554</t>
        </is>
      </c>
      <c r="C790" s="59" t="inlineStr">
        <is>
          <t>0000002237430600</t>
        </is>
      </c>
      <c r="D790" s="58" t="n">
        <v>45379</v>
      </c>
      <c r="E790" s="59" t="n">
        <v>5000</v>
      </c>
      <c r="F790" s="59" t="n">
        <v>0</v>
      </c>
      <c r="G790" s="59" t="n">
        <v>46100.71</v>
      </c>
      <c r="H790" s="59" t="inlineStr"/>
      <c r="I790" s="59" t="inlineStr"/>
      <c r="J790" s="59" t="inlineStr">
        <is>
          <t>SIP</t>
        </is>
      </c>
      <c r="K790" s="59" t="inlineStr">
        <is>
          <t>SIP</t>
        </is>
      </c>
      <c r="L790" s="18" t="n">
        <v>0.95</v>
      </c>
      <c r="M790" s="59" t="inlineStr">
        <is>
          <t>N/A</t>
        </is>
      </c>
    </row>
    <row r="791">
      <c r="A791" s="41" t="n">
        <v>45379</v>
      </c>
      <c r="B791" s="42" t="inlineStr">
        <is>
          <t>NET PI TO HSL SEC A/C 2554606-00602340029427</t>
        </is>
      </c>
      <c r="C791" s="42" t="inlineStr">
        <is>
          <t>0000000508539163</t>
        </is>
      </c>
      <c r="D791" s="41" t="n">
        <v>45379</v>
      </c>
      <c r="E791" s="42" t="n">
        <v>154.48</v>
      </c>
      <c r="F791" s="42" t="n">
        <v>0</v>
      </c>
      <c r="G791" s="42" t="n">
        <v>45946.23</v>
      </c>
      <c r="H791" s="42" t="inlineStr"/>
      <c r="I791" s="42" t="inlineStr"/>
      <c r="J791" s="42" t="inlineStr">
        <is>
          <t>HDFC Securities - Buy</t>
        </is>
      </c>
      <c r="K791" s="42" t="inlineStr">
        <is>
          <t>HDFC Securities</t>
        </is>
      </c>
      <c r="L791" s="18" t="n">
        <v>0.97</v>
      </c>
      <c r="M791" s="42" t="inlineStr">
        <is>
          <t>N/A</t>
        </is>
      </c>
    </row>
    <row r="792">
      <c r="A792" s="54" t="n">
        <v>45379</v>
      </c>
      <c r="B792" s="55" t="inlineStr">
        <is>
          <t>NET PO FROM HSL A/C 2554606-50200085415108</t>
        </is>
      </c>
      <c r="C792" s="55" t="inlineStr">
        <is>
          <t>0000000508706826</t>
        </is>
      </c>
      <c r="D792" s="54" t="n">
        <v>45379</v>
      </c>
      <c r="E792" s="55" t="n">
        <v>0</v>
      </c>
      <c r="F792" s="55" t="n">
        <v>11656.66</v>
      </c>
      <c r="G792" s="55" t="n">
        <v>57602.89</v>
      </c>
      <c r="H792" s="55" t="inlineStr"/>
      <c r="I792" s="55" t="inlineStr"/>
      <c r="J792" s="55" t="inlineStr">
        <is>
          <t>HDFC Securities - Sell</t>
        </is>
      </c>
      <c r="K792" s="55" t="inlineStr">
        <is>
          <t>HDFC Securities</t>
        </is>
      </c>
      <c r="L792" s="18" t="n">
        <v>0.97</v>
      </c>
      <c r="M792" s="55" t="inlineStr">
        <is>
          <t>N/A</t>
        </is>
      </c>
    </row>
    <row r="793">
      <c r="A793" s="64" t="n">
        <v>45381</v>
      </c>
      <c r="B793" s="65" t="inlineStr">
        <is>
          <t>ACH C- POWER FINANCE CORPOR-14038345</t>
        </is>
      </c>
      <c r="C793" s="65" t="inlineStr">
        <is>
          <t>0000002322577079</t>
        </is>
      </c>
      <c r="D793" s="64" t="n">
        <v>45381</v>
      </c>
      <c r="E793" s="65" t="n">
        <v>0</v>
      </c>
      <c r="F793" s="65" t="n">
        <v>54</v>
      </c>
      <c r="G793" s="65" t="n">
        <v>57656.89</v>
      </c>
      <c r="H793" s="65" t="inlineStr"/>
      <c r="I793" s="65" t="inlineStr"/>
      <c r="J793" s="65" t="inlineStr">
        <is>
          <t>Dividend Income</t>
        </is>
      </c>
      <c r="K793" s="65" t="inlineStr">
        <is>
          <t>Dividend Income</t>
        </is>
      </c>
      <c r="L793" s="18" t="n">
        <v>0.88</v>
      </c>
      <c r="M793" s="65" t="inlineStr">
        <is>
          <t>N/A</t>
        </is>
      </c>
    </row>
    <row r="794">
      <c r="A794" s="76" t="n">
        <v>45382</v>
      </c>
      <c r="B794" s="77" t="inlineStr">
        <is>
          <t>CBDT/BANK REFERENCE NO:N2409116805977/CIN NO:24033100292539HDFC/ONLINE</t>
        </is>
      </c>
      <c r="C794" s="77" t="inlineStr">
        <is>
          <t>0240331210007249</t>
        </is>
      </c>
      <c r="D794" s="76" t="n">
        <v>45382</v>
      </c>
      <c r="E794" s="77" t="n">
        <v>15000</v>
      </c>
      <c r="F794" s="77" t="n">
        <v>0</v>
      </c>
      <c r="G794" s="77" t="n">
        <v>42656.89</v>
      </c>
      <c r="H794" s="77" t="inlineStr"/>
      <c r="I794" s="77" t="inlineStr"/>
      <c r="J794" s="77" t="inlineStr">
        <is>
          <t>Advance Tax</t>
        </is>
      </c>
      <c r="K794" s="77" t="inlineStr">
        <is>
          <t>Advance Tax</t>
        </is>
      </c>
      <c r="L794" s="18" t="n">
        <v>0.92</v>
      </c>
      <c r="M794" s="77" t="inlineStr">
        <is>
          <t>N/A</t>
        </is>
      </c>
    </row>
    <row r="795">
      <c r="A795" s="30" t="n">
        <v>45383</v>
      </c>
      <c r="B795" s="31" t="inlineStr">
        <is>
          <t>CREDIT INTEREST CAPITALISED</t>
        </is>
      </c>
      <c r="C795" s="31" t="inlineStr">
        <is>
          <t>000000000000000</t>
        </is>
      </c>
      <c r="D795" s="30" t="n">
        <v>45382</v>
      </c>
      <c r="E795" s="31" t="n">
        <v>0</v>
      </c>
      <c r="F795" s="31" t="n">
        <v>394</v>
      </c>
      <c r="G795" s="31" t="n">
        <v>43050.89</v>
      </c>
      <c r="H795" s="31" t="inlineStr"/>
      <c r="I795" s="31" t="inlineStr"/>
      <c r="J795" s="31" t="inlineStr">
        <is>
          <t>Bank Interest</t>
        </is>
      </c>
      <c r="K795" s="31" t="inlineStr">
        <is>
          <t>Bank Interest</t>
        </is>
      </c>
      <c r="L795" s="18" t="n">
        <v>0.95</v>
      </c>
      <c r="M795" s="31" t="inlineStr">
        <is>
          <t>N/A</t>
        </is>
      </c>
    </row>
  </sheetData>
  <autoFilter ref="A9:M7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5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4" customWidth="1" min="2" max="2"/>
    <col hidden="1" width="7" customWidth="1" min="3" max="3"/>
    <col hidden="1" width="14" customWidth="1" min="4" max="4"/>
    <col width="13" customWidth="1" min="5" max="5"/>
    <col width="13" customWidth="1" min="6" max="6"/>
    <col hidden="1" width="12" customWidth="1" min="7" max="7"/>
    <col hidden="1" width="15" customWidth="1" min="8" max="8"/>
    <col hidden="1" width="19" customWidth="1" min="9" max="9"/>
    <col width="20" customWidth="1" min="10" max="10"/>
    <col width="17" customWidth="1" min="11" max="11"/>
    <col width="14" customWidth="1" min="12" max="12"/>
    <col width="9" customWidth="1" min="13" max="13"/>
  </cols>
  <sheetData>
    <row r="1">
      <c r="B1" s="1" t="inlineStr">
        <is>
          <t>Federal Bank (Jupiter) Narration Sheet</t>
        </is>
      </c>
    </row>
    <row r="2">
      <c r="B2" s="2" t="inlineStr">
        <is>
          <t>Colour Legend of Categories:</t>
        </is>
      </c>
    </row>
    <row r="3">
      <c r="B3" s="12" t="inlineStr">
        <is>
          <t>UPI Payment</t>
        </is>
      </c>
      <c r="C3" s="11" t="inlineStr">
        <is>
          <t>UPI - Paytm</t>
        </is>
      </c>
      <c r="D3" s="78" t="inlineStr">
        <is>
          <t>Contra - Kotak</t>
        </is>
      </c>
      <c r="E3" s="10" t="inlineStr">
        <is>
          <t>UPI - BharatPe</t>
        </is>
      </c>
      <c r="F3" s="6" t="inlineStr">
        <is>
          <t>What is this?</t>
        </is>
      </c>
    </row>
    <row r="4">
      <c r="B4" s="45" t="inlineStr">
        <is>
          <t>MF Investment</t>
        </is>
      </c>
      <c r="C4" s="5" t="inlineStr">
        <is>
          <t>UPI - IRCTC</t>
        </is>
      </c>
      <c r="D4" s="51" t="inlineStr">
        <is>
          <t>Misc Income</t>
        </is>
      </c>
      <c r="E4" s="45" t="inlineStr">
        <is>
          <t>NEFT Transfer</t>
        </is>
      </c>
      <c r="F4" s="79" t="inlineStr">
        <is>
          <t>UPI - Ola</t>
        </is>
      </c>
    </row>
    <row r="5">
      <c r="B5" s="80" t="inlineStr">
        <is>
          <t>UPI - Uber</t>
        </is>
      </c>
      <c r="C5" s="81" t="inlineStr">
        <is>
          <t>UPI - Google Pay</t>
        </is>
      </c>
      <c r="D5" s="52" t="inlineStr">
        <is>
          <t>MF Redemption</t>
        </is>
      </c>
      <c r="E5" s="5" t="inlineStr">
        <is>
          <t>UPI - Rapido</t>
        </is>
      </c>
      <c r="F5" s="82" t="inlineStr">
        <is>
          <t>UPI - Zepto</t>
        </is>
      </c>
    </row>
    <row r="6">
      <c r="B6" s="83" t="inlineStr">
        <is>
          <t>UPI - Swiggy</t>
        </is>
      </c>
      <c r="C6" s="84" t="inlineStr">
        <is>
          <t>UPI - Zomato</t>
        </is>
      </c>
      <c r="D6" s="14" t="inlineStr">
        <is>
          <t>UPI - Amazon</t>
        </is>
      </c>
      <c r="E6" s="9" t="inlineStr">
        <is>
          <t>Bank Interest</t>
        </is>
      </c>
      <c r="F6" s="85" t="inlineStr">
        <is>
          <t>UPI Receipt</t>
        </is>
      </c>
    </row>
    <row r="7">
      <c r="B7" s="82" t="inlineStr">
        <is>
          <t>UPI - DMart</t>
        </is>
      </c>
      <c r="C7" s="86" t="inlineStr">
        <is>
          <t>UPI - Blinkit</t>
        </is>
      </c>
    </row>
    <row r="9">
      <c r="A9" s="15" t="inlineStr">
        <is>
          <t>Date</t>
        </is>
      </c>
      <c r="B9" s="15" t="inlineStr">
        <is>
          <t>Particulars</t>
        </is>
      </c>
      <c r="C9" s="15" t="inlineStr">
        <is>
          <t>Ref</t>
        </is>
      </c>
      <c r="D9" s="15" t="inlineStr">
        <is>
          <t>Value_Date</t>
        </is>
      </c>
      <c r="E9" s="15" t="inlineStr">
        <is>
          <t>DR</t>
        </is>
      </c>
      <c r="F9" s="15" t="inlineStr">
        <is>
          <t>CR</t>
        </is>
      </c>
      <c r="G9" s="15" t="inlineStr">
        <is>
          <t>Balance</t>
        </is>
      </c>
      <c r="H9" s="15" t="inlineStr">
        <is>
          <t>Beneficiary</t>
        </is>
      </c>
      <c r="I9" s="15" t="inlineStr">
        <is>
          <t>Human_Narration</t>
        </is>
      </c>
      <c r="J9" s="15" t="inlineStr">
        <is>
          <t>Auto_Narration</t>
        </is>
      </c>
      <c r="K9" s="15" t="inlineStr">
        <is>
          <t>Account_Head</t>
        </is>
      </c>
      <c r="L9" s="15" t="inlineStr">
        <is>
          <t>Confidence</t>
        </is>
      </c>
      <c r="M9" s="15" t="inlineStr">
        <is>
          <t>Match</t>
        </is>
      </c>
    </row>
    <row r="10">
      <c r="A10" s="37" t="n">
        <v>45024</v>
      </c>
      <c r="B10" s="38" t="inlineStr">
        <is>
          <t>UPIOUT/309826882296/Q143041833@ybl/Sent
via /5311</t>
        </is>
      </c>
      <c r="C10" s="38" t="inlineStr"/>
      <c r="D10" s="37" t="n">
        <v>45024</v>
      </c>
      <c r="E10" s="38" t="n">
        <v>10</v>
      </c>
      <c r="F10" s="38" t="n">
        <v>0</v>
      </c>
      <c r="G10" s="38" t="n">
        <v>19.86</v>
      </c>
      <c r="H10" s="38" t="inlineStr"/>
      <c r="I10" s="38" t="inlineStr"/>
      <c r="J10" s="38" t="inlineStr">
        <is>
          <t>UPI Payment</t>
        </is>
      </c>
      <c r="K10" s="38" t="inlineStr">
        <is>
          <t>Personal</t>
        </is>
      </c>
      <c r="L10" s="25" t="n">
        <v>0.55</v>
      </c>
      <c r="M10" s="38" t="inlineStr">
        <is>
          <t>N/A</t>
        </is>
      </c>
    </row>
    <row r="11">
      <c r="A11" s="35" t="n">
        <v>45038</v>
      </c>
      <c r="B11" s="36" t="inlineStr">
        <is>
          <t>UPIOUT/311268164406/paytm-61240897@paytm/S
en/5411</t>
        </is>
      </c>
      <c r="C11" s="36" t="inlineStr"/>
      <c r="D11" s="35" t="n">
        <v>45038</v>
      </c>
      <c r="E11" s="36" t="n">
        <v>9</v>
      </c>
      <c r="F11" s="36" t="n">
        <v>0</v>
      </c>
      <c r="G11" s="36" t="n">
        <v>10.86</v>
      </c>
      <c r="H11" s="36" t="inlineStr"/>
      <c r="I11" s="36" t="inlineStr"/>
      <c r="J11" s="36" t="inlineStr">
        <is>
          <t>UPI - Paytm</t>
        </is>
      </c>
      <c r="K11" s="36" t="inlineStr">
        <is>
          <t>Personal</t>
        </is>
      </c>
      <c r="L11" s="34" t="n">
        <v>0.65</v>
      </c>
      <c r="M11" s="36" t="inlineStr">
        <is>
          <t>N/A</t>
        </is>
      </c>
    </row>
    <row r="12">
      <c r="A12" s="87" t="n">
        <v>45099</v>
      </c>
      <c r="B12" s="88" t="inlineStr">
        <is>
          <t>UPI IN/317381933693/9594435259@jupiteraxis
/A/0000</t>
        </is>
      </c>
      <c r="C12" s="88" t="inlineStr"/>
      <c r="D12" s="87" t="n">
        <v>45099</v>
      </c>
      <c r="E12" s="88" t="n">
        <v>0</v>
      </c>
      <c r="F12" s="88" t="n">
        <v>190</v>
      </c>
      <c r="G12" s="88" t="n">
        <v>200.86</v>
      </c>
      <c r="H12" s="88" t="inlineStr"/>
      <c r="I12" s="88" t="inlineStr"/>
      <c r="J12" s="88" t="inlineStr">
        <is>
          <t>Contra - Kotak</t>
        </is>
      </c>
      <c r="K12" s="88" t="inlineStr">
        <is>
          <t>KOTAK 0333</t>
        </is>
      </c>
      <c r="L12" s="18" t="n">
        <v>0.9</v>
      </c>
      <c r="M12" s="88" t="inlineStr">
        <is>
          <t>N/A</t>
        </is>
      </c>
    </row>
    <row r="13">
      <c r="A13" s="37" t="n">
        <v>45099</v>
      </c>
      <c r="B13" s="38" t="inlineStr">
        <is>
          <t>UPIOUT/317381938077/playstore@axisbank/Man
da/5817</t>
        </is>
      </c>
      <c r="C13" s="38" t="inlineStr"/>
      <c r="D13" s="37" t="n">
        <v>45099</v>
      </c>
      <c r="E13" s="38" t="n">
        <v>199</v>
      </c>
      <c r="F13" s="38" t="n">
        <v>0</v>
      </c>
      <c r="G13" s="38" t="n">
        <v>1.86</v>
      </c>
      <c r="H13" s="38" t="inlineStr"/>
      <c r="I13" s="38" t="inlineStr"/>
      <c r="J13" s="38" t="inlineStr">
        <is>
          <t>UPI Payment</t>
        </is>
      </c>
      <c r="K13" s="38" t="inlineStr">
        <is>
          <t>Personal</t>
        </is>
      </c>
      <c r="L13" s="25" t="n">
        <v>0.55</v>
      </c>
      <c r="M13" s="38" t="inlineStr">
        <is>
          <t>N/A</t>
        </is>
      </c>
    </row>
    <row r="14">
      <c r="A14" s="87" t="n">
        <v>45130</v>
      </c>
      <c r="B14" s="88" t="inlineStr">
        <is>
          <t>UPI IN/320471883328/9594435259@jupiteraxis
/A/0000</t>
        </is>
      </c>
      <c r="C14" s="88" t="inlineStr"/>
      <c r="D14" s="87" t="n">
        <v>45130</v>
      </c>
      <c r="E14" s="88" t="n">
        <v>0</v>
      </c>
      <c r="F14" s="88" t="n">
        <v>199</v>
      </c>
      <c r="G14" s="88" t="n">
        <v>200.86</v>
      </c>
      <c r="H14" s="88" t="inlineStr"/>
      <c r="I14" s="88" t="inlineStr"/>
      <c r="J14" s="88" t="inlineStr">
        <is>
          <t>Contra - Kotak</t>
        </is>
      </c>
      <c r="K14" s="88" t="inlineStr">
        <is>
          <t>KOTAK 0333</t>
        </is>
      </c>
      <c r="L14" s="18" t="n">
        <v>0.9</v>
      </c>
      <c r="M14" s="88" t="inlineStr">
        <is>
          <t>N/A</t>
        </is>
      </c>
    </row>
    <row r="15">
      <c r="A15" s="87" t="n">
        <v>45138</v>
      </c>
      <c r="B15" s="88" t="inlineStr">
        <is>
          <t>UPI IN/321287516546/9594435259@jupiteraxis
/A/0000</t>
        </is>
      </c>
      <c r="C15" s="88" t="inlineStr"/>
      <c r="D15" s="87" t="n">
        <v>45138</v>
      </c>
      <c r="E15" s="88" t="n">
        <v>0</v>
      </c>
      <c r="F15" s="88" t="n">
        <v>1000</v>
      </c>
      <c r="G15" s="88" t="n">
        <v>1200.86</v>
      </c>
      <c r="H15" s="88" t="inlineStr"/>
      <c r="I15" s="88" t="inlineStr"/>
      <c r="J15" s="88" t="inlineStr">
        <is>
          <t>Contra - Kotak</t>
        </is>
      </c>
      <c r="K15" s="88" t="inlineStr">
        <is>
          <t>KOTAK 0333</t>
        </is>
      </c>
      <c r="L15" s="18" t="n">
        <v>0.9</v>
      </c>
      <c r="M15" s="88" t="inlineStr">
        <is>
          <t>N/A</t>
        </is>
      </c>
    </row>
    <row r="16">
      <c r="A16" s="35" t="n">
        <v>45138</v>
      </c>
      <c r="B16" s="36" t="inlineStr">
        <is>
          <t>UPIOUT/321287534320/paytm-69746593@paytm/S
en/5813</t>
        </is>
      </c>
      <c r="C16" s="36" t="inlineStr"/>
      <c r="D16" s="35" t="n">
        <v>45138</v>
      </c>
      <c r="E16" s="36" t="n">
        <v>400</v>
      </c>
      <c r="F16" s="36" t="n">
        <v>0</v>
      </c>
      <c r="G16" s="36" t="n">
        <v>800.86</v>
      </c>
      <c r="H16" s="36" t="inlineStr"/>
      <c r="I16" s="36" t="inlineStr"/>
      <c r="J16" s="36" t="inlineStr">
        <is>
          <t>UPI - Paytm</t>
        </is>
      </c>
      <c r="K16" s="36" t="inlineStr">
        <is>
          <t>Personal</t>
        </is>
      </c>
      <c r="L16" s="34" t="n">
        <v>0.65</v>
      </c>
      <c r="M16" s="36" t="inlineStr">
        <is>
          <t>N/A</t>
        </is>
      </c>
    </row>
    <row r="17">
      <c r="A17" s="35" t="n">
        <v>45138</v>
      </c>
      <c r="B17" s="36" t="inlineStr">
        <is>
          <t>UPIOUT/321289065233/paytm-69746593@paytm/S
en/5813</t>
        </is>
      </c>
      <c r="C17" s="36" t="inlineStr"/>
      <c r="D17" s="35" t="n">
        <v>45138</v>
      </c>
      <c r="E17" s="36" t="n">
        <v>200</v>
      </c>
      <c r="F17" s="36" t="n">
        <v>0</v>
      </c>
      <c r="G17" s="36" t="n">
        <v>600.86</v>
      </c>
      <c r="H17" s="36" t="inlineStr"/>
      <c r="I17" s="36" t="inlineStr"/>
      <c r="J17" s="36" t="inlineStr">
        <is>
          <t>UPI - Paytm</t>
        </is>
      </c>
      <c r="K17" s="36" t="inlineStr">
        <is>
          <t>Personal</t>
        </is>
      </c>
      <c r="L17" s="34" t="n">
        <v>0.65</v>
      </c>
      <c r="M17" s="36" t="inlineStr">
        <is>
          <t>N/A</t>
        </is>
      </c>
    </row>
    <row r="18">
      <c r="A18" s="37" t="n">
        <v>45138</v>
      </c>
      <c r="B18" s="38" t="inlineStr">
        <is>
          <t>UPIOUT/321290570632/0008288006214@ibl/Sent
v/0000</t>
        </is>
      </c>
      <c r="C18" s="38" t="inlineStr"/>
      <c r="D18" s="37" t="n">
        <v>45138</v>
      </c>
      <c r="E18" s="38" t="n">
        <v>600</v>
      </c>
      <c r="F18" s="38" t="n">
        <v>0</v>
      </c>
      <c r="G18" s="38" t="n">
        <v>0.86</v>
      </c>
      <c r="H18" s="38" t="inlineStr"/>
      <c r="I18" s="38" t="inlineStr"/>
      <c r="J18" s="38" t="inlineStr">
        <is>
          <t>UPI Payment</t>
        </is>
      </c>
      <c r="K18" s="38" t="inlineStr">
        <is>
          <t>Personal</t>
        </is>
      </c>
      <c r="L18" s="25" t="n">
        <v>0.55</v>
      </c>
      <c r="M18" s="38" t="inlineStr">
        <is>
          <t>N/A</t>
        </is>
      </c>
    </row>
    <row r="19">
      <c r="A19" s="87" t="n">
        <v>45185</v>
      </c>
      <c r="B19" s="88" t="inlineStr">
        <is>
          <t>UPI IN/325983918366/9594435259@jupiteraxis
/A/0000</t>
        </is>
      </c>
      <c r="C19" s="88" t="inlineStr"/>
      <c r="D19" s="87" t="n">
        <v>45185</v>
      </c>
      <c r="E19" s="88" t="n">
        <v>0</v>
      </c>
      <c r="F19" s="88" t="n">
        <v>100</v>
      </c>
      <c r="G19" s="88" t="n">
        <v>100.86</v>
      </c>
      <c r="H19" s="88" t="inlineStr"/>
      <c r="I19" s="88" t="inlineStr"/>
      <c r="J19" s="88" t="inlineStr">
        <is>
          <t>Contra - Kotak</t>
        </is>
      </c>
      <c r="K19" s="88" t="inlineStr">
        <is>
          <t>KOTAK 0333</t>
        </is>
      </c>
      <c r="L19" s="18" t="n">
        <v>0.9</v>
      </c>
      <c r="M19" s="88" t="inlineStr">
        <is>
          <t>N/A</t>
        </is>
      </c>
    </row>
    <row r="20">
      <c r="A20" s="87" t="n">
        <v>45185</v>
      </c>
      <c r="B20" s="88" t="inlineStr">
        <is>
          <t>UPIOUT/325983946204/aayush20gupta@oksbi/Se
nt/0000</t>
        </is>
      </c>
      <c r="C20" s="88" t="inlineStr"/>
      <c r="D20" s="87" t="n">
        <v>45185</v>
      </c>
      <c r="E20" s="88" t="n">
        <v>50</v>
      </c>
      <c r="F20" s="88" t="n">
        <v>0</v>
      </c>
      <c r="G20" s="88" t="n">
        <v>50.86</v>
      </c>
      <c r="H20" s="88" t="inlineStr"/>
      <c r="I20" s="88" t="inlineStr"/>
      <c r="J20" s="88" t="inlineStr">
        <is>
          <t>Contra - Kotak</t>
        </is>
      </c>
      <c r="K20" s="88" t="inlineStr">
        <is>
          <t>KOTAK 0333</t>
        </is>
      </c>
      <c r="L20" s="18" t="n">
        <v>0.9</v>
      </c>
      <c r="M20" s="88" t="inlineStr">
        <is>
          <t>N/A</t>
        </is>
      </c>
    </row>
    <row r="21">
      <c r="A21" s="87" t="n">
        <v>45185</v>
      </c>
      <c r="B21" s="88" t="inlineStr">
        <is>
          <t>UPIOUT/325983968688/aayush20gupta@oksbi/Se
nt/0000</t>
        </is>
      </c>
      <c r="C21" s="88" t="inlineStr"/>
      <c r="D21" s="87" t="n">
        <v>45185</v>
      </c>
      <c r="E21" s="88" t="n">
        <v>50</v>
      </c>
      <c r="F21" s="88" t="n">
        <v>0</v>
      </c>
      <c r="G21" s="88" t="n">
        <v>0.86</v>
      </c>
      <c r="H21" s="88" t="inlineStr"/>
      <c r="I21" s="88" t="inlineStr"/>
      <c r="J21" s="88" t="inlineStr">
        <is>
          <t>Contra - Kotak</t>
        </is>
      </c>
      <c r="K21" s="88" t="inlineStr">
        <is>
          <t>KOTAK 0333</t>
        </is>
      </c>
      <c r="L21" s="18" t="n">
        <v>0.9</v>
      </c>
      <c r="M21" s="88" t="inlineStr">
        <is>
          <t>N/A</t>
        </is>
      </c>
    </row>
    <row r="22">
      <c r="A22" s="87" t="n">
        <v>45185</v>
      </c>
      <c r="B22" s="88" t="inlineStr">
        <is>
          <t>UPI IN/325984057818/9594435259@jupiteraxis
/A/0000</t>
        </is>
      </c>
      <c r="C22" s="88" t="inlineStr"/>
      <c r="D22" s="87" t="n">
        <v>45185</v>
      </c>
      <c r="E22" s="88" t="n">
        <v>0</v>
      </c>
      <c r="F22" s="88" t="n">
        <v>1000</v>
      </c>
      <c r="G22" s="88" t="n">
        <v>1000.86</v>
      </c>
      <c r="H22" s="88" t="inlineStr"/>
      <c r="I22" s="88" t="inlineStr"/>
      <c r="J22" s="88" t="inlineStr">
        <is>
          <t>Contra - Kotak</t>
        </is>
      </c>
      <c r="K22" s="88" t="inlineStr">
        <is>
          <t>KOTAK 0333</t>
        </is>
      </c>
      <c r="L22" s="18" t="n">
        <v>0.9</v>
      </c>
      <c r="M22" s="88" t="inlineStr">
        <is>
          <t>N/A</t>
        </is>
      </c>
    </row>
    <row r="23">
      <c r="A23" s="87" t="n">
        <v>45185</v>
      </c>
      <c r="B23" s="88" t="inlineStr">
        <is>
          <t>UPIOUT/325984070086/aayush20gupta@oksbi/Se
nt/0000</t>
        </is>
      </c>
      <c r="C23" s="88" t="inlineStr"/>
      <c r="D23" s="87" t="n">
        <v>45185</v>
      </c>
      <c r="E23" s="88" t="n">
        <v>50</v>
      </c>
      <c r="F23" s="88" t="n">
        <v>0</v>
      </c>
      <c r="G23" s="88" t="n">
        <v>950.86</v>
      </c>
      <c r="H23" s="88" t="inlineStr"/>
      <c r="I23" s="88" t="inlineStr"/>
      <c r="J23" s="88" t="inlineStr">
        <is>
          <t>Contra - Kotak</t>
        </is>
      </c>
      <c r="K23" s="88" t="inlineStr">
        <is>
          <t>KOTAK 0333</t>
        </is>
      </c>
      <c r="L23" s="18" t="n">
        <v>0.9</v>
      </c>
      <c r="M23" s="88" t="inlineStr">
        <is>
          <t>N/A</t>
        </is>
      </c>
    </row>
    <row r="24">
      <c r="A24" s="87" t="n">
        <v>45185</v>
      </c>
      <c r="B24" s="88" t="inlineStr">
        <is>
          <t>UPIOUT/325984092359/aayush20gupta@oksbi/Se
nt/0000</t>
        </is>
      </c>
      <c r="C24" s="88" t="inlineStr"/>
      <c r="D24" s="87" t="n">
        <v>45185</v>
      </c>
      <c r="E24" s="88" t="n">
        <v>50</v>
      </c>
      <c r="F24" s="88" t="n">
        <v>0</v>
      </c>
      <c r="G24" s="88" t="n">
        <v>900.86</v>
      </c>
      <c r="H24" s="88" t="inlineStr"/>
      <c r="I24" s="88" t="inlineStr"/>
      <c r="J24" s="88" t="inlineStr">
        <is>
          <t>Contra - Kotak</t>
        </is>
      </c>
      <c r="K24" s="88" t="inlineStr">
        <is>
          <t>KOTAK 0333</t>
        </is>
      </c>
      <c r="L24" s="18" t="n">
        <v>0.9</v>
      </c>
      <c r="M24" s="88" t="inlineStr">
        <is>
          <t>N/A</t>
        </is>
      </c>
    </row>
    <row r="25">
      <c r="A25" s="87" t="n">
        <v>45185</v>
      </c>
      <c r="B25" s="88" t="inlineStr">
        <is>
          <t>UPIOUT/325984099503/aayush20gupta@oksbi/Se
nt/0000</t>
        </is>
      </c>
      <c r="C25" s="88" t="inlineStr"/>
      <c r="D25" s="87" t="n">
        <v>45185</v>
      </c>
      <c r="E25" s="88" t="n">
        <v>50</v>
      </c>
      <c r="F25" s="88" t="n">
        <v>0</v>
      </c>
      <c r="G25" s="88" t="n">
        <v>850.86</v>
      </c>
      <c r="H25" s="88" t="inlineStr"/>
      <c r="I25" s="88" t="inlineStr"/>
      <c r="J25" s="88" t="inlineStr">
        <is>
          <t>Contra - Kotak</t>
        </is>
      </c>
      <c r="K25" s="88" t="inlineStr">
        <is>
          <t>KOTAK 0333</t>
        </is>
      </c>
      <c r="L25" s="18" t="n">
        <v>0.9</v>
      </c>
      <c r="M25" s="88" t="inlineStr">
        <is>
          <t>N/A</t>
        </is>
      </c>
    </row>
    <row r="26">
      <c r="A26" s="87" t="n">
        <v>45185</v>
      </c>
      <c r="B26" s="88" t="inlineStr">
        <is>
          <t>UPIOUT/325984108755/aayush20gupta@oksbi/Se
nt/0000</t>
        </is>
      </c>
      <c r="C26" s="88" t="inlineStr"/>
      <c r="D26" s="87" t="n">
        <v>45185</v>
      </c>
      <c r="E26" s="88" t="n">
        <v>50</v>
      </c>
      <c r="F26" s="88" t="n">
        <v>0</v>
      </c>
      <c r="G26" s="88" t="n">
        <v>800.86</v>
      </c>
      <c r="H26" s="88" t="inlineStr"/>
      <c r="I26" s="88" t="inlineStr"/>
      <c r="J26" s="88" t="inlineStr">
        <is>
          <t>Contra - Kotak</t>
        </is>
      </c>
      <c r="K26" s="88" t="inlineStr">
        <is>
          <t>KOTAK 0333</t>
        </is>
      </c>
      <c r="L26" s="18" t="n">
        <v>0.9</v>
      </c>
      <c r="M26" s="88" t="inlineStr">
        <is>
          <t>N/A</t>
        </is>
      </c>
    </row>
    <row r="27">
      <c r="A27" s="87" t="n">
        <v>45185</v>
      </c>
      <c r="B27" s="88" t="inlineStr">
        <is>
          <t>UPIOUT/325984131514/aayush20gupta@oksbi/Se
nt/0000</t>
        </is>
      </c>
      <c r="C27" s="88" t="inlineStr"/>
      <c r="D27" s="87" t="n">
        <v>45185</v>
      </c>
      <c r="E27" s="88" t="n">
        <v>50</v>
      </c>
      <c r="F27" s="88" t="n">
        <v>0</v>
      </c>
      <c r="G27" s="88" t="n">
        <v>750.86</v>
      </c>
      <c r="H27" s="88" t="inlineStr"/>
      <c r="I27" s="88" t="inlineStr"/>
      <c r="J27" s="88" t="inlineStr">
        <is>
          <t>Contra - Kotak</t>
        </is>
      </c>
      <c r="K27" s="88" t="inlineStr">
        <is>
          <t>KOTAK 0333</t>
        </is>
      </c>
      <c r="L27" s="18" t="n">
        <v>0.9</v>
      </c>
      <c r="M27" s="88" t="inlineStr">
        <is>
          <t>N/A</t>
        </is>
      </c>
    </row>
    <row r="28">
      <c r="A28" s="87" t="n">
        <v>45185</v>
      </c>
      <c r="B28" s="88" t="inlineStr">
        <is>
          <t>UPIOUT/325984141517/aayush20gupta@oksbi/Se
nt/0000</t>
        </is>
      </c>
      <c r="C28" s="88" t="inlineStr"/>
      <c r="D28" s="87" t="n">
        <v>45185</v>
      </c>
      <c r="E28" s="88" t="n">
        <v>50</v>
      </c>
      <c r="F28" s="88" t="n">
        <v>0</v>
      </c>
      <c r="G28" s="88" t="n">
        <v>700.86</v>
      </c>
      <c r="H28" s="88" t="inlineStr"/>
      <c r="I28" s="88" t="inlineStr"/>
      <c r="J28" s="88" t="inlineStr">
        <is>
          <t>Contra - Kotak</t>
        </is>
      </c>
      <c r="K28" s="88" t="inlineStr">
        <is>
          <t>KOTAK 0333</t>
        </is>
      </c>
      <c r="L28" s="18" t="n">
        <v>0.9</v>
      </c>
      <c r="M28" s="88" t="inlineStr">
        <is>
          <t>N/A</t>
        </is>
      </c>
    </row>
    <row r="29">
      <c r="A29" s="87" t="n">
        <v>45185</v>
      </c>
      <c r="B29" s="88" t="inlineStr">
        <is>
          <t>UPIOUT/325984148205/aayush20gupta@oksbi/Se
nt/0000</t>
        </is>
      </c>
      <c r="C29" s="88" t="inlineStr"/>
      <c r="D29" s="87" t="n">
        <v>45185</v>
      </c>
      <c r="E29" s="88" t="n">
        <v>50</v>
      </c>
      <c r="F29" s="88" t="n">
        <v>0</v>
      </c>
      <c r="G29" s="88" t="n">
        <v>650.86</v>
      </c>
      <c r="H29" s="88" t="inlineStr"/>
      <c r="I29" s="88" t="inlineStr"/>
      <c r="J29" s="88" t="inlineStr">
        <is>
          <t>Contra - Kotak</t>
        </is>
      </c>
      <c r="K29" s="88" t="inlineStr">
        <is>
          <t>KOTAK 0333</t>
        </is>
      </c>
      <c r="L29" s="18" t="n">
        <v>0.9</v>
      </c>
      <c r="M29" s="88" t="inlineStr">
        <is>
          <t>N/A</t>
        </is>
      </c>
    </row>
    <row r="30">
      <c r="A30" s="87" t="n">
        <v>45185</v>
      </c>
      <c r="B30" s="88" t="inlineStr">
        <is>
          <t>UPIOUT/325984156059/aayush20gupta@oksbi/Se
nt/0000</t>
        </is>
      </c>
      <c r="C30" s="88" t="inlineStr"/>
      <c r="D30" s="87" t="n">
        <v>45185</v>
      </c>
      <c r="E30" s="88" t="n">
        <v>50</v>
      </c>
      <c r="F30" s="88" t="n">
        <v>0</v>
      </c>
      <c r="G30" s="88" t="n">
        <v>600.86</v>
      </c>
      <c r="H30" s="88" t="inlineStr"/>
      <c r="I30" s="88" t="inlineStr"/>
      <c r="J30" s="88" t="inlineStr">
        <is>
          <t>Contra - Kotak</t>
        </is>
      </c>
      <c r="K30" s="88" t="inlineStr">
        <is>
          <t>KOTAK 0333</t>
        </is>
      </c>
      <c r="L30" s="18" t="n">
        <v>0.9</v>
      </c>
      <c r="M30" s="88" t="inlineStr">
        <is>
          <t>N/A</t>
        </is>
      </c>
    </row>
    <row r="31">
      <c r="A31" s="87" t="n">
        <v>45185</v>
      </c>
      <c r="B31" s="88" t="inlineStr">
        <is>
          <t>UPIOUT/325984177608/aayush20gupta@oksbi/Se
nt/0000</t>
        </is>
      </c>
      <c r="C31" s="88" t="inlineStr"/>
      <c r="D31" s="87" t="n">
        <v>45185</v>
      </c>
      <c r="E31" s="88" t="n">
        <v>50</v>
      </c>
      <c r="F31" s="88" t="n">
        <v>0</v>
      </c>
      <c r="G31" s="88" t="n">
        <v>550.86</v>
      </c>
      <c r="H31" s="88" t="inlineStr"/>
      <c r="I31" s="88" t="inlineStr"/>
      <c r="J31" s="88" t="inlineStr">
        <is>
          <t>Contra - Kotak</t>
        </is>
      </c>
      <c r="K31" s="88" t="inlineStr">
        <is>
          <t>KOTAK 0333</t>
        </is>
      </c>
      <c r="L31" s="18" t="n">
        <v>0.9</v>
      </c>
      <c r="M31" s="88" t="inlineStr">
        <is>
          <t>N/A</t>
        </is>
      </c>
    </row>
    <row r="32">
      <c r="A32" s="87" t="n">
        <v>45185</v>
      </c>
      <c r="B32" s="88" t="inlineStr">
        <is>
          <t>UPIOUT/325984184014/aayush20gupta@oksbi/Se
nt/0000</t>
        </is>
      </c>
      <c r="C32" s="88" t="inlineStr"/>
      <c r="D32" s="87" t="n">
        <v>45185</v>
      </c>
      <c r="E32" s="88" t="n">
        <v>50</v>
      </c>
      <c r="F32" s="88" t="n">
        <v>0</v>
      </c>
      <c r="G32" s="88" t="n">
        <v>500.86</v>
      </c>
      <c r="H32" s="88" t="inlineStr"/>
      <c r="I32" s="88" t="inlineStr"/>
      <c r="J32" s="88" t="inlineStr">
        <is>
          <t>Contra - Kotak</t>
        </is>
      </c>
      <c r="K32" s="88" t="inlineStr">
        <is>
          <t>KOTAK 0333</t>
        </is>
      </c>
      <c r="L32" s="18" t="n">
        <v>0.9</v>
      </c>
      <c r="M32" s="88" t="inlineStr">
        <is>
          <t>N/A</t>
        </is>
      </c>
    </row>
    <row r="33">
      <c r="A33" s="87" t="n">
        <v>45185</v>
      </c>
      <c r="B33" s="88" t="inlineStr">
        <is>
          <t>UPIOUT/325984190985/aayush20gupta@oksbi/Se
nt/0000</t>
        </is>
      </c>
      <c r="C33" s="88" t="inlineStr"/>
      <c r="D33" s="87" t="n">
        <v>45185</v>
      </c>
      <c r="E33" s="88" t="n">
        <v>50</v>
      </c>
      <c r="F33" s="88" t="n">
        <v>0</v>
      </c>
      <c r="G33" s="88" t="n">
        <v>450.86</v>
      </c>
      <c r="H33" s="88" t="inlineStr"/>
      <c r="I33" s="88" t="inlineStr"/>
      <c r="J33" s="88" t="inlineStr">
        <is>
          <t>Contra - Kotak</t>
        </is>
      </c>
      <c r="K33" s="88" t="inlineStr">
        <is>
          <t>KOTAK 0333</t>
        </is>
      </c>
      <c r="L33" s="18" t="n">
        <v>0.9</v>
      </c>
      <c r="M33" s="88" t="inlineStr">
        <is>
          <t>N/A</t>
        </is>
      </c>
    </row>
    <row r="34">
      <c r="A34" s="87" t="n">
        <v>45185</v>
      </c>
      <c r="B34" s="88" t="inlineStr">
        <is>
          <t>UPIOUT/325984197954/aayush20gupta@oksbi/Se
nt/0000</t>
        </is>
      </c>
      <c r="C34" s="88" t="inlineStr"/>
      <c r="D34" s="87" t="n">
        <v>45185</v>
      </c>
      <c r="E34" s="88" t="n">
        <v>50</v>
      </c>
      <c r="F34" s="88" t="n">
        <v>0</v>
      </c>
      <c r="G34" s="88" t="n">
        <v>400.86</v>
      </c>
      <c r="H34" s="88" t="inlineStr"/>
      <c r="I34" s="88" t="inlineStr"/>
      <c r="J34" s="88" t="inlineStr">
        <is>
          <t>Contra - Kotak</t>
        </is>
      </c>
      <c r="K34" s="88" t="inlineStr">
        <is>
          <t>KOTAK 0333</t>
        </is>
      </c>
      <c r="L34" s="18" t="n">
        <v>0.9</v>
      </c>
      <c r="M34" s="88" t="inlineStr">
        <is>
          <t>N/A</t>
        </is>
      </c>
    </row>
    <row r="35">
      <c r="A35" s="87" t="n">
        <v>45185</v>
      </c>
      <c r="B35" s="88" t="inlineStr">
        <is>
          <t>UPIOUT/325984204616/aayush20gupta@oksbi/Se
nt/0000</t>
        </is>
      </c>
      <c r="C35" s="88" t="inlineStr"/>
      <c r="D35" s="87" t="n">
        <v>45185</v>
      </c>
      <c r="E35" s="88" t="n">
        <v>50</v>
      </c>
      <c r="F35" s="88" t="n">
        <v>0</v>
      </c>
      <c r="G35" s="88" t="n">
        <v>350.86</v>
      </c>
      <c r="H35" s="88" t="inlineStr"/>
      <c r="I35" s="88" t="inlineStr"/>
      <c r="J35" s="88" t="inlineStr">
        <is>
          <t>Contra - Kotak</t>
        </is>
      </c>
      <c r="K35" s="88" t="inlineStr">
        <is>
          <t>KOTAK 0333</t>
        </is>
      </c>
      <c r="L35" s="18" t="n">
        <v>0.9</v>
      </c>
      <c r="M35" s="88" t="inlineStr">
        <is>
          <t>N/A</t>
        </is>
      </c>
    </row>
    <row r="36">
      <c r="A36" s="87" t="n">
        <v>45185</v>
      </c>
      <c r="B36" s="88" t="inlineStr">
        <is>
          <t>UPIOUT/325984246568/aayush20gupta@oksbi/Se
nt/0000</t>
        </is>
      </c>
      <c r="C36" s="88" t="inlineStr"/>
      <c r="D36" s="87" t="n">
        <v>45185</v>
      </c>
      <c r="E36" s="88" t="n">
        <v>50</v>
      </c>
      <c r="F36" s="88" t="n">
        <v>0</v>
      </c>
      <c r="G36" s="88" t="n">
        <v>300.86</v>
      </c>
      <c r="H36" s="88" t="inlineStr"/>
      <c r="I36" s="88" t="inlineStr"/>
      <c r="J36" s="88" t="inlineStr">
        <is>
          <t>Contra - Kotak</t>
        </is>
      </c>
      <c r="K36" s="88" t="inlineStr">
        <is>
          <t>KOTAK 0333</t>
        </is>
      </c>
      <c r="L36" s="18" t="n">
        <v>0.9</v>
      </c>
      <c r="M36" s="88" t="inlineStr">
        <is>
          <t>N/A</t>
        </is>
      </c>
    </row>
    <row r="37">
      <c r="A37" s="87" t="n">
        <v>45186</v>
      </c>
      <c r="B37" s="88" t="inlineStr">
        <is>
          <t>UPIOUT/326016087025/aayush20gupta@oksbi/Se
nt/0000</t>
        </is>
      </c>
      <c r="C37" s="88" t="inlineStr"/>
      <c r="D37" s="87" t="n">
        <v>45186</v>
      </c>
      <c r="E37" s="88" t="n">
        <v>50</v>
      </c>
      <c r="F37" s="88" t="n">
        <v>0</v>
      </c>
      <c r="G37" s="88" t="n">
        <v>250.86</v>
      </c>
      <c r="H37" s="88" t="inlineStr"/>
      <c r="I37" s="88" t="inlineStr"/>
      <c r="J37" s="88" t="inlineStr">
        <is>
          <t>Contra - Kotak</t>
        </is>
      </c>
      <c r="K37" s="88" t="inlineStr">
        <is>
          <t>KOTAK 0333</t>
        </is>
      </c>
      <c r="L37" s="18" t="n">
        <v>0.9</v>
      </c>
      <c r="M37" s="88" t="inlineStr">
        <is>
          <t>N/A</t>
        </is>
      </c>
    </row>
    <row r="38">
      <c r="A38" s="37" t="n">
        <v>45189</v>
      </c>
      <c r="B38" s="38" t="inlineStr">
        <is>
          <t>UPIOUT/326360743545/Q037540648@ybl/Sent
via /5912</t>
        </is>
      </c>
      <c r="C38" s="38" t="inlineStr"/>
      <c r="D38" s="37" t="n">
        <v>45189</v>
      </c>
      <c r="E38" s="38" t="n">
        <v>88</v>
      </c>
      <c r="F38" s="38" t="n">
        <v>0</v>
      </c>
      <c r="G38" s="38" t="n">
        <v>162.86</v>
      </c>
      <c r="H38" s="38" t="inlineStr"/>
      <c r="I38" s="38" t="inlineStr"/>
      <c r="J38" s="38" t="inlineStr">
        <is>
          <t>UPI Payment</t>
        </is>
      </c>
      <c r="K38" s="38" t="inlineStr">
        <is>
          <t>Personal</t>
        </is>
      </c>
      <c r="L38" s="25" t="n">
        <v>0.55</v>
      </c>
      <c r="M38" s="38" t="inlineStr">
        <is>
          <t>N/A</t>
        </is>
      </c>
    </row>
    <row r="39">
      <c r="A39" s="35" t="n">
        <v>45189</v>
      </c>
      <c r="B39" s="36" t="inlineStr">
        <is>
          <t>UPIOUT/326360819605/paytmqr2810050501019ut
hb/5411</t>
        </is>
      </c>
      <c r="C39" s="36" t="inlineStr"/>
      <c r="D39" s="35" t="n">
        <v>45189</v>
      </c>
      <c r="E39" s="36" t="n">
        <v>48</v>
      </c>
      <c r="F39" s="36" t="n">
        <v>0</v>
      </c>
      <c r="G39" s="36" t="n">
        <v>114.86</v>
      </c>
      <c r="H39" s="36" t="inlineStr"/>
      <c r="I39" s="36" t="inlineStr"/>
      <c r="J39" s="36" t="inlineStr">
        <is>
          <t>UPI - Paytm</t>
        </is>
      </c>
      <c r="K39" s="36" t="inlineStr">
        <is>
          <t>Personal</t>
        </is>
      </c>
      <c r="L39" s="34" t="n">
        <v>0.65</v>
      </c>
      <c r="M39" s="36" t="inlineStr">
        <is>
          <t>N/A</t>
        </is>
      </c>
    </row>
    <row r="40">
      <c r="A40" s="37" t="n">
        <v>45189</v>
      </c>
      <c r="B40" s="38" t="inlineStr">
        <is>
          <t>UPIOUT/326360885479/Q233653707@ybl/Sent
via /5814</t>
        </is>
      </c>
      <c r="C40" s="38" t="inlineStr"/>
      <c r="D40" s="37" t="n">
        <v>45189</v>
      </c>
      <c r="E40" s="38" t="n">
        <v>30</v>
      </c>
      <c r="F40" s="38" t="n">
        <v>0</v>
      </c>
      <c r="G40" s="38" t="n">
        <v>84.86</v>
      </c>
      <c r="H40" s="38" t="inlineStr"/>
      <c r="I40" s="38" t="inlineStr"/>
      <c r="J40" s="38" t="inlineStr">
        <is>
          <t>UPI Payment</t>
        </is>
      </c>
      <c r="K40" s="38" t="inlineStr">
        <is>
          <t>Personal</t>
        </is>
      </c>
      <c r="L40" s="25" t="n">
        <v>0.55</v>
      </c>
      <c r="M40" s="38" t="inlineStr">
        <is>
          <t>N/A</t>
        </is>
      </c>
    </row>
    <row r="41">
      <c r="A41" s="87" t="n">
        <v>45199</v>
      </c>
      <c r="B41" s="88" t="inlineStr">
        <is>
          <t>UPIOUT/327347525145/aayush20gupta@oksbi/Se
nt/0000</t>
        </is>
      </c>
      <c r="C41" s="88" t="inlineStr"/>
      <c r="D41" s="87" t="n">
        <v>45199</v>
      </c>
      <c r="E41" s="88" t="n">
        <v>50</v>
      </c>
      <c r="F41" s="88" t="n">
        <v>0</v>
      </c>
      <c r="G41" s="88" t="n">
        <v>34.86</v>
      </c>
      <c r="H41" s="88" t="inlineStr"/>
      <c r="I41" s="88" t="inlineStr"/>
      <c r="J41" s="88" t="inlineStr">
        <is>
          <t>Contra - Kotak</t>
        </is>
      </c>
      <c r="K41" s="88" t="inlineStr">
        <is>
          <t>KOTAK 0333</t>
        </is>
      </c>
      <c r="L41" s="18" t="n">
        <v>0.9</v>
      </c>
      <c r="M41" s="88" t="inlineStr">
        <is>
          <t>N/A</t>
        </is>
      </c>
    </row>
    <row r="42">
      <c r="A42" s="87" t="n">
        <v>45199</v>
      </c>
      <c r="B42" s="88" t="inlineStr">
        <is>
          <t>UPI IN/327347976871/9594435259@jupiteraxis
/A/0000</t>
        </is>
      </c>
      <c r="C42" s="88" t="inlineStr"/>
      <c r="D42" s="87" t="n">
        <v>45199</v>
      </c>
      <c r="E42" s="88" t="n">
        <v>0</v>
      </c>
      <c r="F42" s="88" t="n">
        <v>1000</v>
      </c>
      <c r="G42" s="88" t="n">
        <v>1034.86</v>
      </c>
      <c r="H42" s="88" t="inlineStr"/>
      <c r="I42" s="88" t="inlineStr"/>
      <c r="J42" s="88" t="inlineStr">
        <is>
          <t>Contra - Kotak</t>
        </is>
      </c>
      <c r="K42" s="88" t="inlineStr">
        <is>
          <t>KOTAK 0333</t>
        </is>
      </c>
      <c r="L42" s="18" t="n">
        <v>0.9</v>
      </c>
      <c r="M42" s="88" t="inlineStr">
        <is>
          <t>N/A</t>
        </is>
      </c>
    </row>
    <row r="43">
      <c r="A43" s="87" t="n">
        <v>45199</v>
      </c>
      <c r="B43" s="88" t="inlineStr">
        <is>
          <t>UPIOUT/327347985091/aayush20gupta@oksbi/Se
nt/0000</t>
        </is>
      </c>
      <c r="C43" s="88" t="inlineStr"/>
      <c r="D43" s="87" t="n">
        <v>45199</v>
      </c>
      <c r="E43" s="88" t="n">
        <v>50</v>
      </c>
      <c r="F43" s="88" t="n">
        <v>0</v>
      </c>
      <c r="G43" s="88" t="n">
        <v>984.86</v>
      </c>
      <c r="H43" s="88" t="inlineStr"/>
      <c r="I43" s="88" t="inlineStr"/>
      <c r="J43" s="88" t="inlineStr">
        <is>
          <t>Contra - Kotak</t>
        </is>
      </c>
      <c r="K43" s="88" t="inlineStr">
        <is>
          <t>KOTAK 0333</t>
        </is>
      </c>
      <c r="L43" s="18" t="n">
        <v>0.9</v>
      </c>
      <c r="M43" s="88" t="inlineStr">
        <is>
          <t>N/A</t>
        </is>
      </c>
    </row>
    <row r="44">
      <c r="A44" s="87" t="n">
        <v>45199</v>
      </c>
      <c r="B44" s="88" t="inlineStr">
        <is>
          <t>UPIOUT/327347989422/aayush20gupta@oksbi/Se
nt/0000</t>
        </is>
      </c>
      <c r="C44" s="88" t="inlineStr"/>
      <c r="D44" s="87" t="n">
        <v>45199</v>
      </c>
      <c r="E44" s="88" t="n">
        <v>50</v>
      </c>
      <c r="F44" s="88" t="n">
        <v>0</v>
      </c>
      <c r="G44" s="88" t="n">
        <v>934.86</v>
      </c>
      <c r="H44" s="88" t="inlineStr"/>
      <c r="I44" s="88" t="inlineStr"/>
      <c r="J44" s="88" t="inlineStr">
        <is>
          <t>Contra - Kotak</t>
        </is>
      </c>
      <c r="K44" s="88" t="inlineStr">
        <is>
          <t>KOTAK 0333</t>
        </is>
      </c>
      <c r="L44" s="18" t="n">
        <v>0.9</v>
      </c>
      <c r="M44" s="88" t="inlineStr">
        <is>
          <t>N/A</t>
        </is>
      </c>
    </row>
    <row r="45">
      <c r="A45" s="87" t="n">
        <v>45199</v>
      </c>
      <c r="B45" s="88" t="inlineStr">
        <is>
          <t>UPIOUT/327347997687/aayush20gupta@oksbi/Se
nt/0000</t>
        </is>
      </c>
      <c r="C45" s="88" t="inlineStr"/>
      <c r="D45" s="87" t="n">
        <v>45199</v>
      </c>
      <c r="E45" s="88" t="n">
        <v>50</v>
      </c>
      <c r="F45" s="88" t="n">
        <v>0</v>
      </c>
      <c r="G45" s="88" t="n">
        <v>884.86</v>
      </c>
      <c r="H45" s="88" t="inlineStr"/>
      <c r="I45" s="88" t="inlineStr"/>
      <c r="J45" s="88" t="inlineStr">
        <is>
          <t>Contra - Kotak</t>
        </is>
      </c>
      <c r="K45" s="88" t="inlineStr">
        <is>
          <t>KOTAK 0333</t>
        </is>
      </c>
      <c r="L45" s="18" t="n">
        <v>0.9</v>
      </c>
      <c r="M45" s="88" t="inlineStr">
        <is>
          <t>N/A</t>
        </is>
      </c>
    </row>
    <row r="46">
      <c r="A46" s="87" t="n">
        <v>45199</v>
      </c>
      <c r="B46" s="88" t="inlineStr">
        <is>
          <t>UPIOUT/327348005114/aayush20gupta@oksbi/Se
nt/0000</t>
        </is>
      </c>
      <c r="C46" s="88" t="inlineStr"/>
      <c r="D46" s="87" t="n">
        <v>45199</v>
      </c>
      <c r="E46" s="88" t="n">
        <v>50</v>
      </c>
      <c r="F46" s="88" t="n">
        <v>0</v>
      </c>
      <c r="G46" s="88" t="n">
        <v>834.86</v>
      </c>
      <c r="H46" s="88" t="inlineStr"/>
      <c r="I46" s="88" t="inlineStr"/>
      <c r="J46" s="88" t="inlineStr">
        <is>
          <t>Contra - Kotak</t>
        </is>
      </c>
      <c r="K46" s="88" t="inlineStr">
        <is>
          <t>KOTAK 0333</t>
        </is>
      </c>
      <c r="L46" s="18" t="n">
        <v>0.9</v>
      </c>
      <c r="M46" s="88" t="inlineStr">
        <is>
          <t>N/A</t>
        </is>
      </c>
    </row>
    <row r="47">
      <c r="A47" s="87" t="n">
        <v>45199</v>
      </c>
      <c r="B47" s="88" t="inlineStr">
        <is>
          <t>UPIOUT/327348012148/aayush20gupta@oksbi/Se
nt/0000</t>
        </is>
      </c>
      <c r="C47" s="88" t="inlineStr"/>
      <c r="D47" s="87" t="n">
        <v>45199</v>
      </c>
      <c r="E47" s="88" t="n">
        <v>50</v>
      </c>
      <c r="F47" s="88" t="n">
        <v>0</v>
      </c>
      <c r="G47" s="88" t="n">
        <v>784.86</v>
      </c>
      <c r="H47" s="88" t="inlineStr"/>
      <c r="I47" s="88" t="inlineStr"/>
      <c r="J47" s="88" t="inlineStr">
        <is>
          <t>Contra - Kotak</t>
        </is>
      </c>
      <c r="K47" s="88" t="inlineStr">
        <is>
          <t>KOTAK 0333</t>
        </is>
      </c>
      <c r="L47" s="18" t="n">
        <v>0.9</v>
      </c>
      <c r="M47" s="88" t="inlineStr">
        <is>
          <t>N/A</t>
        </is>
      </c>
    </row>
    <row r="48">
      <c r="A48" s="87" t="n">
        <v>45199</v>
      </c>
      <c r="B48" s="88" t="inlineStr">
        <is>
          <t>UPIOUT/327348017047/aayush20gupta@oksbi/Se
nt/0000</t>
        </is>
      </c>
      <c r="C48" s="88" t="inlineStr"/>
      <c r="D48" s="87" t="n">
        <v>45199</v>
      </c>
      <c r="E48" s="88" t="n">
        <v>50</v>
      </c>
      <c r="F48" s="88" t="n">
        <v>0</v>
      </c>
      <c r="G48" s="88" t="n">
        <v>734.86</v>
      </c>
      <c r="H48" s="88" t="inlineStr"/>
      <c r="I48" s="88" t="inlineStr"/>
      <c r="J48" s="88" t="inlineStr">
        <is>
          <t>Contra - Kotak</t>
        </is>
      </c>
      <c r="K48" s="88" t="inlineStr">
        <is>
          <t>KOTAK 0333</t>
        </is>
      </c>
      <c r="L48" s="18" t="n">
        <v>0.9</v>
      </c>
      <c r="M48" s="88" t="inlineStr">
        <is>
          <t>N/A</t>
        </is>
      </c>
    </row>
    <row r="49">
      <c r="A49" s="87" t="n">
        <v>45199</v>
      </c>
      <c r="B49" s="88" t="inlineStr">
        <is>
          <t>UPIOUT/327348022692/aayush20gupta@oksbi/Se
nt/0000</t>
        </is>
      </c>
      <c r="C49" s="88" t="inlineStr"/>
      <c r="D49" s="87" t="n">
        <v>45199</v>
      </c>
      <c r="E49" s="88" t="n">
        <v>50</v>
      </c>
      <c r="F49" s="88" t="n">
        <v>0</v>
      </c>
      <c r="G49" s="88" t="n">
        <v>684.86</v>
      </c>
      <c r="H49" s="88" t="inlineStr"/>
      <c r="I49" s="88" t="inlineStr"/>
      <c r="J49" s="88" t="inlineStr">
        <is>
          <t>Contra - Kotak</t>
        </is>
      </c>
      <c r="K49" s="88" t="inlineStr">
        <is>
          <t>KOTAK 0333</t>
        </is>
      </c>
      <c r="L49" s="18" t="n">
        <v>0.9</v>
      </c>
      <c r="M49" s="88" t="inlineStr">
        <is>
          <t>N/A</t>
        </is>
      </c>
    </row>
    <row r="50">
      <c r="A50" s="87" t="n">
        <v>45199</v>
      </c>
      <c r="B50" s="88" t="inlineStr">
        <is>
          <t>UPIOUT/327348027549/aayush20gupta@oksbi/Se
nt/0000</t>
        </is>
      </c>
      <c r="C50" s="88" t="inlineStr"/>
      <c r="D50" s="87" t="n">
        <v>45199</v>
      </c>
      <c r="E50" s="88" t="n">
        <v>50</v>
      </c>
      <c r="F50" s="88" t="n">
        <v>0</v>
      </c>
      <c r="G50" s="88" t="n">
        <v>634.86</v>
      </c>
      <c r="H50" s="88" t="inlineStr"/>
      <c r="I50" s="88" t="inlineStr"/>
      <c r="J50" s="88" t="inlineStr">
        <is>
          <t>Contra - Kotak</t>
        </is>
      </c>
      <c r="K50" s="88" t="inlineStr">
        <is>
          <t>KOTAK 0333</t>
        </is>
      </c>
      <c r="L50" s="18" t="n">
        <v>0.9</v>
      </c>
      <c r="M50" s="88" t="inlineStr">
        <is>
          <t>N/A</t>
        </is>
      </c>
    </row>
    <row r="51">
      <c r="A51" s="87" t="n">
        <v>45199</v>
      </c>
      <c r="B51" s="88" t="inlineStr">
        <is>
          <t>UPIOUT/327348037249/aayush20gupta@oksbi/Se
nt/0000</t>
        </is>
      </c>
      <c r="C51" s="88" t="inlineStr"/>
      <c r="D51" s="87" t="n">
        <v>45199</v>
      </c>
      <c r="E51" s="88" t="n">
        <v>50</v>
      </c>
      <c r="F51" s="88" t="n">
        <v>0</v>
      </c>
      <c r="G51" s="88" t="n">
        <v>584.86</v>
      </c>
      <c r="H51" s="88" t="inlineStr"/>
      <c r="I51" s="88" t="inlineStr"/>
      <c r="J51" s="88" t="inlineStr">
        <is>
          <t>Contra - Kotak</t>
        </is>
      </c>
      <c r="K51" s="88" t="inlineStr">
        <is>
          <t>KOTAK 0333</t>
        </is>
      </c>
      <c r="L51" s="18" t="n">
        <v>0.9</v>
      </c>
      <c r="M51" s="88" t="inlineStr">
        <is>
          <t>N/A</t>
        </is>
      </c>
    </row>
    <row r="52">
      <c r="A52" s="87" t="n">
        <v>45199</v>
      </c>
      <c r="B52" s="88" t="inlineStr">
        <is>
          <t>UPIOUT/327348040791/aayush20gupta@oksbi/Se
nt/0000</t>
        </is>
      </c>
      <c r="C52" s="88" t="inlineStr"/>
      <c r="D52" s="87" t="n">
        <v>45199</v>
      </c>
      <c r="E52" s="88" t="n">
        <v>50</v>
      </c>
      <c r="F52" s="88" t="n">
        <v>0</v>
      </c>
      <c r="G52" s="88" t="n">
        <v>534.86</v>
      </c>
      <c r="H52" s="88" t="inlineStr"/>
      <c r="I52" s="88" t="inlineStr"/>
      <c r="J52" s="88" t="inlineStr">
        <is>
          <t>Contra - Kotak</t>
        </is>
      </c>
      <c r="K52" s="88" t="inlineStr">
        <is>
          <t>KOTAK 0333</t>
        </is>
      </c>
      <c r="L52" s="18" t="n">
        <v>0.9</v>
      </c>
      <c r="M52" s="88" t="inlineStr">
        <is>
          <t>N/A</t>
        </is>
      </c>
    </row>
    <row r="53">
      <c r="A53" s="87" t="n">
        <v>45199</v>
      </c>
      <c r="B53" s="88" t="inlineStr">
        <is>
          <t>UPIOUT/327348044976/aayush20gupta@oksbi/Se
nt/0000</t>
        </is>
      </c>
      <c r="C53" s="88" t="inlineStr"/>
      <c r="D53" s="87" t="n">
        <v>45199</v>
      </c>
      <c r="E53" s="88" t="n">
        <v>50</v>
      </c>
      <c r="F53" s="88" t="n">
        <v>0</v>
      </c>
      <c r="G53" s="88" t="n">
        <v>484.86</v>
      </c>
      <c r="H53" s="88" t="inlineStr"/>
      <c r="I53" s="88" t="inlineStr"/>
      <c r="J53" s="88" t="inlineStr">
        <is>
          <t>Contra - Kotak</t>
        </is>
      </c>
      <c r="K53" s="88" t="inlineStr">
        <is>
          <t>KOTAK 0333</t>
        </is>
      </c>
      <c r="L53" s="18" t="n">
        <v>0.9</v>
      </c>
      <c r="M53" s="88" t="inlineStr">
        <is>
          <t>N/A</t>
        </is>
      </c>
    </row>
    <row r="54">
      <c r="A54" s="87" t="n">
        <v>45199</v>
      </c>
      <c r="B54" s="88" t="inlineStr">
        <is>
          <t>UPIOUT/327348049059/aayush20gupta@oksbi/Se
nt/0000</t>
        </is>
      </c>
      <c r="C54" s="88" t="inlineStr"/>
      <c r="D54" s="87" t="n">
        <v>45199</v>
      </c>
      <c r="E54" s="88" t="n">
        <v>50</v>
      </c>
      <c r="F54" s="88" t="n">
        <v>0</v>
      </c>
      <c r="G54" s="88" t="n">
        <v>434.86</v>
      </c>
      <c r="H54" s="88" t="inlineStr"/>
      <c r="I54" s="88" t="inlineStr"/>
      <c r="J54" s="88" t="inlineStr">
        <is>
          <t>Contra - Kotak</t>
        </is>
      </c>
      <c r="K54" s="88" t="inlineStr">
        <is>
          <t>KOTAK 0333</t>
        </is>
      </c>
      <c r="L54" s="18" t="n">
        <v>0.9</v>
      </c>
      <c r="M54" s="88" t="inlineStr">
        <is>
          <t>N/A</t>
        </is>
      </c>
    </row>
    <row r="55">
      <c r="A55" s="87" t="n">
        <v>45199</v>
      </c>
      <c r="B55" s="88" t="inlineStr">
        <is>
          <t>UPIOUT/327348053384/aayush20gupta@oksbi/Se
nt/0000</t>
        </is>
      </c>
      <c r="C55" s="88" t="inlineStr"/>
      <c r="D55" s="87" t="n">
        <v>45199</v>
      </c>
      <c r="E55" s="88" t="n">
        <v>50</v>
      </c>
      <c r="F55" s="88" t="n">
        <v>0</v>
      </c>
      <c r="G55" s="88" t="n">
        <v>384.86</v>
      </c>
      <c r="H55" s="88" t="inlineStr"/>
      <c r="I55" s="88" t="inlineStr"/>
      <c r="J55" s="88" t="inlineStr">
        <is>
          <t>Contra - Kotak</t>
        </is>
      </c>
      <c r="K55" s="88" t="inlineStr">
        <is>
          <t>KOTAK 0333</t>
        </is>
      </c>
      <c r="L55" s="18" t="n">
        <v>0.9</v>
      </c>
      <c r="M55" s="88" t="inlineStr">
        <is>
          <t>N/A</t>
        </is>
      </c>
    </row>
    <row r="56">
      <c r="A56" s="87" t="n">
        <v>45199</v>
      </c>
      <c r="B56" s="88" t="inlineStr">
        <is>
          <t>UPIOUT/327348057342/aayush20gupta@oksbi/Se
nt/0000</t>
        </is>
      </c>
      <c r="C56" s="88" t="inlineStr"/>
      <c r="D56" s="87" t="n">
        <v>45199</v>
      </c>
      <c r="E56" s="88" t="n">
        <v>50</v>
      </c>
      <c r="F56" s="88" t="n">
        <v>0</v>
      </c>
      <c r="G56" s="88" t="n">
        <v>334.86</v>
      </c>
      <c r="H56" s="88" t="inlineStr"/>
      <c r="I56" s="88" t="inlineStr"/>
      <c r="J56" s="88" t="inlineStr">
        <is>
          <t>Contra - Kotak</t>
        </is>
      </c>
      <c r="K56" s="88" t="inlineStr">
        <is>
          <t>KOTAK 0333</t>
        </is>
      </c>
      <c r="L56" s="18" t="n">
        <v>0.9</v>
      </c>
      <c r="M56" s="88" t="inlineStr">
        <is>
          <t>N/A</t>
        </is>
      </c>
    </row>
    <row r="57">
      <c r="A57" s="87" t="n">
        <v>45199</v>
      </c>
      <c r="B57" s="88" t="inlineStr">
        <is>
          <t>UPIOUT/327348061477/aayush20gupta@oksbi/Se
nt/0000</t>
        </is>
      </c>
      <c r="C57" s="88" t="inlineStr"/>
      <c r="D57" s="87" t="n">
        <v>45199</v>
      </c>
      <c r="E57" s="88" t="n">
        <v>50</v>
      </c>
      <c r="F57" s="88" t="n">
        <v>0</v>
      </c>
      <c r="G57" s="88" t="n">
        <v>284.86</v>
      </c>
      <c r="H57" s="88" t="inlineStr"/>
      <c r="I57" s="88" t="inlineStr"/>
      <c r="J57" s="88" t="inlineStr">
        <is>
          <t>Contra - Kotak</t>
        </is>
      </c>
      <c r="K57" s="88" t="inlineStr">
        <is>
          <t>KOTAK 0333</t>
        </is>
      </c>
      <c r="L57" s="18" t="n">
        <v>0.9</v>
      </c>
      <c r="M57" s="88" t="inlineStr">
        <is>
          <t>N/A</t>
        </is>
      </c>
    </row>
    <row r="58">
      <c r="A58" s="87" t="n">
        <v>45199</v>
      </c>
      <c r="B58" s="88" t="inlineStr">
        <is>
          <t>UPIOUT/327348078195/aayush20gupta@oksbi/Se
nt/0000</t>
        </is>
      </c>
      <c r="C58" s="88" t="inlineStr"/>
      <c r="D58" s="87" t="n">
        <v>45199</v>
      </c>
      <c r="E58" s="88" t="n">
        <v>50</v>
      </c>
      <c r="F58" s="88" t="n">
        <v>0</v>
      </c>
      <c r="G58" s="88" t="n">
        <v>234.86</v>
      </c>
      <c r="H58" s="88" t="inlineStr"/>
      <c r="I58" s="88" t="inlineStr"/>
      <c r="J58" s="88" t="inlineStr">
        <is>
          <t>Contra - Kotak</t>
        </is>
      </c>
      <c r="K58" s="88" t="inlineStr">
        <is>
          <t>KOTAK 0333</t>
        </is>
      </c>
      <c r="L58" s="18" t="n">
        <v>0.9</v>
      </c>
      <c r="M58" s="88" t="inlineStr">
        <is>
          <t>N/A</t>
        </is>
      </c>
    </row>
    <row r="59">
      <c r="A59" s="87" t="n">
        <v>45199</v>
      </c>
      <c r="B59" s="88" t="inlineStr">
        <is>
          <t>UPIOUT/327348085266/aayush20gupta@oksbi/Se
nt/0000</t>
        </is>
      </c>
      <c r="C59" s="88" t="inlineStr"/>
      <c r="D59" s="87" t="n">
        <v>45199</v>
      </c>
      <c r="E59" s="88" t="n">
        <v>50</v>
      </c>
      <c r="F59" s="88" t="n">
        <v>0</v>
      </c>
      <c r="G59" s="88" t="n">
        <v>184.86</v>
      </c>
      <c r="H59" s="88" t="inlineStr"/>
      <c r="I59" s="88" t="inlineStr"/>
      <c r="J59" s="88" t="inlineStr">
        <is>
          <t>Contra - Kotak</t>
        </is>
      </c>
      <c r="K59" s="88" t="inlineStr">
        <is>
          <t>KOTAK 0333</t>
        </is>
      </c>
      <c r="L59" s="18" t="n">
        <v>0.9</v>
      </c>
      <c r="M59" s="88" t="inlineStr">
        <is>
          <t>N/A</t>
        </is>
      </c>
    </row>
    <row r="60">
      <c r="A60" s="87" t="n">
        <v>45199</v>
      </c>
      <c r="B60" s="88" t="inlineStr">
        <is>
          <t>UPIOUT/327348090241/aayush20gupta@oksbi/Se
nt/0000</t>
        </is>
      </c>
      <c r="C60" s="88" t="inlineStr"/>
      <c r="D60" s="87" t="n">
        <v>45199</v>
      </c>
      <c r="E60" s="88" t="n">
        <v>50</v>
      </c>
      <c r="F60" s="88" t="n">
        <v>0</v>
      </c>
      <c r="G60" s="88" t="n">
        <v>134.86</v>
      </c>
      <c r="H60" s="88" t="inlineStr"/>
      <c r="I60" s="88" t="inlineStr"/>
      <c r="J60" s="88" t="inlineStr">
        <is>
          <t>Contra - Kotak</t>
        </is>
      </c>
      <c r="K60" s="88" t="inlineStr">
        <is>
          <t>KOTAK 0333</t>
        </is>
      </c>
      <c r="L60" s="18" t="n">
        <v>0.9</v>
      </c>
      <c r="M60" s="88" t="inlineStr">
        <is>
          <t>N/A</t>
        </is>
      </c>
    </row>
    <row r="61">
      <c r="A61" s="32" t="n">
        <v>45200</v>
      </c>
      <c r="B61" s="33" t="inlineStr">
        <is>
          <t>UPIOUT/327488430429/BHARATPE09909220132@ye
sb/5814</t>
        </is>
      </c>
      <c r="C61" s="33" t="inlineStr"/>
      <c r="D61" s="32" t="n">
        <v>45200</v>
      </c>
      <c r="E61" s="33" t="n">
        <v>20</v>
      </c>
      <c r="F61" s="33" t="n">
        <v>0</v>
      </c>
      <c r="G61" s="33" t="n">
        <v>114.86</v>
      </c>
      <c r="H61" s="33" t="inlineStr"/>
      <c r="I61" s="33" t="inlineStr"/>
      <c r="J61" s="33" t="inlineStr">
        <is>
          <t>UPI - BharatPe</t>
        </is>
      </c>
      <c r="K61" s="33" t="inlineStr">
        <is>
          <t>Personal</t>
        </is>
      </c>
      <c r="L61" s="34" t="n">
        <v>0.65</v>
      </c>
      <c r="M61" s="33" t="inlineStr">
        <is>
          <t>N/A</t>
        </is>
      </c>
    </row>
    <row r="62">
      <c r="A62" s="23" t="n">
        <v>45202</v>
      </c>
      <c r="B62" s="24" t="inlineStr">
        <is>
          <t>NFT/LINCOLN ELECTRI/23A300420OM40K93/BANK
OF AM</t>
        </is>
      </c>
      <c r="C62" s="24" t="inlineStr"/>
      <c r="D62" s="23" t="n">
        <v>45202</v>
      </c>
      <c r="E62" s="24" t="n">
        <v>0</v>
      </c>
      <c r="F62" s="24" t="n">
        <v>20161.29</v>
      </c>
      <c r="G62" s="24" t="n">
        <v>20276.15</v>
      </c>
      <c r="H62" s="24" t="inlineStr"/>
      <c r="I62" s="24" t="inlineStr"/>
      <c r="J62" s="24" t="inlineStr">
        <is>
          <t>What is this?</t>
        </is>
      </c>
      <c r="K62" s="24" t="inlineStr">
        <is>
          <t>Suspense</t>
        </is>
      </c>
      <c r="L62" s="25" t="n">
        <v>0</v>
      </c>
      <c r="M62" s="24" t="inlineStr">
        <is>
          <t>N/A</t>
        </is>
      </c>
    </row>
    <row r="63">
      <c r="A63" s="23" t="n">
        <v>45203</v>
      </c>
      <c r="B63" s="24" t="inlineStr">
        <is>
          <t>IFN/p8VegTu5aku1oE9M Transfer to 6 Weeks
Saving Ch</t>
        </is>
      </c>
      <c r="C63" s="24" t="inlineStr"/>
      <c r="D63" s="23" t="n">
        <v>45203</v>
      </c>
      <c r="E63" s="24" t="n">
        <v>1000</v>
      </c>
      <c r="F63" s="24" t="n">
        <v>0</v>
      </c>
      <c r="G63" s="24" t="n">
        <v>19276.15</v>
      </c>
      <c r="H63" s="24" t="inlineStr"/>
      <c r="I63" s="24" t="inlineStr"/>
      <c r="J63" s="24" t="inlineStr">
        <is>
          <t>What is this?</t>
        </is>
      </c>
      <c r="K63" s="24" t="inlineStr">
        <is>
          <t>Suspense</t>
        </is>
      </c>
      <c r="L63" s="25" t="n">
        <v>0</v>
      </c>
      <c r="M63" s="24" t="inlineStr">
        <is>
          <t>N/A</t>
        </is>
      </c>
    </row>
    <row r="64">
      <c r="A64" s="23" t="n">
        <v>45203</v>
      </c>
      <c r="B64" s="24" t="inlineStr">
        <is>
          <t>Dr. Tran for funding A/c 77770701776482</t>
        </is>
      </c>
      <c r="C64" s="24" t="inlineStr"/>
      <c r="D64" s="23" t="n">
        <v>45203</v>
      </c>
      <c r="E64" s="24" t="n">
        <v>100</v>
      </c>
      <c r="F64" s="24" t="n">
        <v>0</v>
      </c>
      <c r="G64" s="24" t="n">
        <v>19176.15</v>
      </c>
      <c r="H64" s="24" t="inlineStr"/>
      <c r="I64" s="24" t="inlineStr"/>
      <c r="J64" s="24" t="inlineStr">
        <is>
          <t>What is this?</t>
        </is>
      </c>
      <c r="K64" s="24" t="inlineStr">
        <is>
          <t>Suspense</t>
        </is>
      </c>
      <c r="L64" s="25" t="n">
        <v>0</v>
      </c>
      <c r="M64" s="24" t="inlineStr">
        <is>
          <t>N/A</t>
        </is>
      </c>
    </row>
    <row r="65">
      <c r="A65" s="23" t="n">
        <v>45203</v>
      </c>
      <c r="B65" s="24" t="inlineStr">
        <is>
          <t>Dr. Tran for funding A/c 77770300389653</t>
        </is>
      </c>
      <c r="C65" s="24" t="inlineStr"/>
      <c r="D65" s="23" t="n">
        <v>45203</v>
      </c>
      <c r="E65" s="24" t="n">
        <v>1000</v>
      </c>
      <c r="F65" s="24" t="n">
        <v>0</v>
      </c>
      <c r="G65" s="24" t="n">
        <v>18176.15</v>
      </c>
      <c r="H65" s="24" t="inlineStr"/>
      <c r="I65" s="24" t="inlineStr"/>
      <c r="J65" s="24" t="inlineStr">
        <is>
          <t>What is this?</t>
        </is>
      </c>
      <c r="K65" s="24" t="inlineStr">
        <is>
          <t>Suspense</t>
        </is>
      </c>
      <c r="L65" s="25" t="n">
        <v>0</v>
      </c>
      <c r="M65" s="24" t="inlineStr">
        <is>
          <t>N/A</t>
        </is>
      </c>
    </row>
    <row r="66">
      <c r="A66" s="35" t="n">
        <v>45203</v>
      </c>
      <c r="B66" s="36" t="inlineStr">
        <is>
          <t>UPIOUT/327740919950/paytmqri4e2wzxu0x@payt
m//5814</t>
        </is>
      </c>
      <c r="C66" s="36" t="inlineStr"/>
      <c r="D66" s="35" t="n">
        <v>45203</v>
      </c>
      <c r="E66" s="36" t="n">
        <v>40</v>
      </c>
      <c r="F66" s="36" t="n">
        <v>0</v>
      </c>
      <c r="G66" s="36" t="n">
        <v>18136.15</v>
      </c>
      <c r="H66" s="36" t="inlineStr"/>
      <c r="I66" s="36" t="inlineStr"/>
      <c r="J66" s="36" t="inlineStr">
        <is>
          <t>UPI - Paytm</t>
        </is>
      </c>
      <c r="K66" s="36" t="inlineStr">
        <is>
          <t>Personal</t>
        </is>
      </c>
      <c r="L66" s="34" t="n">
        <v>0.65</v>
      </c>
      <c r="M66" s="36" t="inlineStr">
        <is>
          <t>N/A</t>
        </is>
      </c>
    </row>
    <row r="67">
      <c r="A67" s="37" t="n">
        <v>45203</v>
      </c>
      <c r="B67" s="38" t="inlineStr">
        <is>
          <t>UPIOUT/327758951663/Q629310231@ybl/Sent
via /5451</t>
        </is>
      </c>
      <c r="C67" s="38" t="inlineStr"/>
      <c r="D67" s="37" t="n">
        <v>45203</v>
      </c>
      <c r="E67" s="38" t="n">
        <v>150</v>
      </c>
      <c r="F67" s="38" t="n">
        <v>0</v>
      </c>
      <c r="G67" s="38" t="n">
        <v>17986.15</v>
      </c>
      <c r="H67" s="38" t="inlineStr"/>
      <c r="I67" s="38" t="inlineStr"/>
      <c r="J67" s="38" t="inlineStr">
        <is>
          <t>UPI Payment</t>
        </is>
      </c>
      <c r="K67" s="38" t="inlineStr">
        <is>
          <t>Personal</t>
        </is>
      </c>
      <c r="L67" s="25" t="n">
        <v>0.55</v>
      </c>
      <c r="M67" s="38" t="inlineStr">
        <is>
          <t>N/A</t>
        </is>
      </c>
    </row>
    <row r="68">
      <c r="A68" s="58" t="n">
        <v>45204</v>
      </c>
      <c r="B68" s="59" t="inlineStr">
        <is>
          <t>NFT/NEOSIEXEDDD2023100504313650042 NAVI
Mutual Fun</t>
        </is>
      </c>
      <c r="C68" s="59" t="inlineStr"/>
      <c r="D68" s="58" t="n">
        <v>45204</v>
      </c>
      <c r="E68" s="59" t="n">
        <v>10</v>
      </c>
      <c r="F68" s="59" t="n">
        <v>0</v>
      </c>
      <c r="G68" s="59" t="n">
        <v>17976.15</v>
      </c>
      <c r="H68" s="59" t="inlineStr"/>
      <c r="I68" s="59" t="inlineStr"/>
      <c r="J68" s="59" t="inlineStr">
        <is>
          <t>MF Investment</t>
        </is>
      </c>
      <c r="K68" s="59" t="inlineStr">
        <is>
          <t>Investments</t>
        </is>
      </c>
      <c r="L68" s="18" t="n">
        <v>0.88</v>
      </c>
      <c r="M68" s="59" t="inlineStr">
        <is>
          <t>N/A</t>
        </is>
      </c>
    </row>
    <row r="69">
      <c r="A69" s="23" t="n">
        <v>45204</v>
      </c>
      <c r="B69" s="24" t="inlineStr">
        <is>
          <t>IFN/NEOSIEXEDDD2023100506331862670
Transfer to sup</t>
        </is>
      </c>
      <c r="C69" s="24" t="inlineStr"/>
      <c r="D69" s="23" t="n">
        <v>45204</v>
      </c>
      <c r="E69" s="24" t="n">
        <v>50</v>
      </c>
      <c r="F69" s="24" t="n">
        <v>0</v>
      </c>
      <c r="G69" s="24" t="n">
        <v>17926.15</v>
      </c>
      <c r="H69" s="24" t="inlineStr"/>
      <c r="I69" s="24" t="inlineStr"/>
      <c r="J69" s="24" t="inlineStr">
        <is>
          <t>What is this?</t>
        </is>
      </c>
      <c r="K69" s="24" t="inlineStr">
        <is>
          <t>Suspense</t>
        </is>
      </c>
      <c r="L69" s="25" t="n">
        <v>0</v>
      </c>
      <c r="M69" s="24" t="inlineStr">
        <is>
          <t>N/A</t>
        </is>
      </c>
    </row>
    <row r="70">
      <c r="A70" s="58" t="n">
        <v>45205</v>
      </c>
      <c r="B70" s="59" t="inlineStr">
        <is>
          <t>NFT/NEOSIEXEDDD2023100604331742179 NAVI
Mutual Fun</t>
        </is>
      </c>
      <c r="C70" s="59" t="inlineStr"/>
      <c r="D70" s="58" t="n">
        <v>45205</v>
      </c>
      <c r="E70" s="59" t="n">
        <v>10</v>
      </c>
      <c r="F70" s="59" t="n">
        <v>0</v>
      </c>
      <c r="G70" s="59" t="n">
        <v>17916.15</v>
      </c>
      <c r="H70" s="59" t="inlineStr"/>
      <c r="I70" s="59" t="inlineStr"/>
      <c r="J70" s="59" t="inlineStr">
        <is>
          <t>MF Investment</t>
        </is>
      </c>
      <c r="K70" s="59" t="inlineStr">
        <is>
          <t>Investments</t>
        </is>
      </c>
      <c r="L70" s="18" t="n">
        <v>0.88</v>
      </c>
      <c r="M70" s="59" t="inlineStr">
        <is>
          <t>N/A</t>
        </is>
      </c>
    </row>
    <row r="71">
      <c r="A71" s="23" t="n">
        <v>45205</v>
      </c>
      <c r="B71" s="24" t="inlineStr">
        <is>
          <t>IFN/NEOSIEXEDDD2023100606335813287
Transfer to sup</t>
        </is>
      </c>
      <c r="C71" s="24" t="inlineStr"/>
      <c r="D71" s="23" t="n">
        <v>45205</v>
      </c>
      <c r="E71" s="24" t="n">
        <v>50</v>
      </c>
      <c r="F71" s="24" t="n">
        <v>0</v>
      </c>
      <c r="G71" s="24" t="n">
        <v>17866.15</v>
      </c>
      <c r="H71" s="24" t="inlineStr"/>
      <c r="I71" s="24" t="inlineStr"/>
      <c r="J71" s="24" t="inlineStr">
        <is>
          <t>What is this?</t>
        </is>
      </c>
      <c r="K71" s="24" t="inlineStr">
        <is>
          <t>Suspense</t>
        </is>
      </c>
      <c r="L71" s="25" t="n">
        <v>0</v>
      </c>
      <c r="M71" s="24" t="inlineStr">
        <is>
          <t>N/A</t>
        </is>
      </c>
    </row>
    <row r="72">
      <c r="A72" s="37" t="n">
        <v>45205</v>
      </c>
      <c r="B72" s="38" t="inlineStr">
        <is>
          <t>UPIOUT/327954867247/Q930032498@ybl/Sent
via /5812</t>
        </is>
      </c>
      <c r="C72" s="38" t="inlineStr"/>
      <c r="D72" s="37" t="n">
        <v>45205</v>
      </c>
      <c r="E72" s="38" t="n">
        <v>30</v>
      </c>
      <c r="F72" s="38" t="n">
        <v>0</v>
      </c>
      <c r="G72" s="38" t="n">
        <v>17836.15</v>
      </c>
      <c r="H72" s="38" t="inlineStr"/>
      <c r="I72" s="38" t="inlineStr"/>
      <c r="J72" s="38" t="inlineStr">
        <is>
          <t>UPI Payment</t>
        </is>
      </c>
      <c r="K72" s="38" t="inlineStr">
        <is>
          <t>Personal</t>
        </is>
      </c>
      <c r="L72" s="25" t="n">
        <v>0.55</v>
      </c>
      <c r="M72" s="38" t="inlineStr">
        <is>
          <t>N/A</t>
        </is>
      </c>
    </row>
    <row r="73">
      <c r="A73" s="37" t="n">
        <v>45206</v>
      </c>
      <c r="B73" s="38" t="inlineStr">
        <is>
          <t>UPIOUT/328069106430/Q438491684@ybl/Sent
via /5814</t>
        </is>
      </c>
      <c r="C73" s="38" t="inlineStr"/>
      <c r="D73" s="37" t="n">
        <v>45206</v>
      </c>
      <c r="E73" s="38" t="n">
        <v>50</v>
      </c>
      <c r="F73" s="38" t="n">
        <v>0</v>
      </c>
      <c r="G73" s="38" t="n">
        <v>17786.15</v>
      </c>
      <c r="H73" s="38" t="inlineStr"/>
      <c r="I73" s="38" t="inlineStr"/>
      <c r="J73" s="38" t="inlineStr">
        <is>
          <t>UPI Payment</t>
        </is>
      </c>
      <c r="K73" s="38" t="inlineStr">
        <is>
          <t>Personal</t>
        </is>
      </c>
      <c r="L73" s="25" t="n">
        <v>0.55</v>
      </c>
      <c r="M73" s="38" t="inlineStr">
        <is>
          <t>N/A</t>
        </is>
      </c>
    </row>
    <row r="74">
      <c r="A74" s="58" t="n">
        <v>45206</v>
      </c>
      <c r="B74" s="59" t="inlineStr">
        <is>
          <t>NFT/NEOSIEXEDDD2023100704342289054 NAVI
Mutual Fun</t>
        </is>
      </c>
      <c r="C74" s="59" t="inlineStr"/>
      <c r="D74" s="58" t="n">
        <v>45206</v>
      </c>
      <c r="E74" s="59" t="n">
        <v>10</v>
      </c>
      <c r="F74" s="59" t="n">
        <v>0</v>
      </c>
      <c r="G74" s="59" t="n">
        <v>17776.15</v>
      </c>
      <c r="H74" s="59" t="inlineStr"/>
      <c r="I74" s="59" t="inlineStr"/>
      <c r="J74" s="59" t="inlineStr">
        <is>
          <t>MF Investment</t>
        </is>
      </c>
      <c r="K74" s="59" t="inlineStr">
        <is>
          <t>Investments</t>
        </is>
      </c>
      <c r="L74" s="18" t="n">
        <v>0.88</v>
      </c>
      <c r="M74" s="59" t="inlineStr">
        <is>
          <t>N/A</t>
        </is>
      </c>
    </row>
    <row r="75">
      <c r="A75" s="23" t="n">
        <v>45206</v>
      </c>
      <c r="B75" s="24" t="inlineStr">
        <is>
          <t>IFN/NEOSIEXEDDD2023100706341434806
Transfer to sup</t>
        </is>
      </c>
      <c r="C75" s="24" t="inlineStr"/>
      <c r="D75" s="23" t="n">
        <v>45206</v>
      </c>
      <c r="E75" s="24" t="n">
        <v>50</v>
      </c>
      <c r="F75" s="24" t="n">
        <v>0</v>
      </c>
      <c r="G75" s="24" t="n">
        <v>17726.15</v>
      </c>
      <c r="H75" s="24" t="inlineStr"/>
      <c r="I75" s="24" t="inlineStr"/>
      <c r="J75" s="24" t="inlineStr">
        <is>
          <t>What is this?</t>
        </is>
      </c>
      <c r="K75" s="24" t="inlineStr">
        <is>
          <t>Suspense</t>
        </is>
      </c>
      <c r="L75" s="25" t="n">
        <v>0</v>
      </c>
      <c r="M75" s="24" t="inlineStr">
        <is>
          <t>N/A</t>
        </is>
      </c>
    </row>
    <row r="76">
      <c r="A76" s="35" t="n">
        <v>45206</v>
      </c>
      <c r="B76" s="36" t="inlineStr">
        <is>
          <t>UPIOUT/328077340513/paytmqr281005050101ba1
ua/5812</t>
        </is>
      </c>
      <c r="C76" s="36" t="inlineStr"/>
      <c r="D76" s="35" t="n">
        <v>45206</v>
      </c>
      <c r="E76" s="36" t="n">
        <v>136</v>
      </c>
      <c r="F76" s="36" t="n">
        <v>0</v>
      </c>
      <c r="G76" s="36" t="n">
        <v>17590.15</v>
      </c>
      <c r="H76" s="36" t="inlineStr"/>
      <c r="I76" s="36" t="inlineStr"/>
      <c r="J76" s="36" t="inlineStr">
        <is>
          <t>UPI - Paytm</t>
        </is>
      </c>
      <c r="K76" s="36" t="inlineStr">
        <is>
          <t>Personal</t>
        </is>
      </c>
      <c r="L76" s="34" t="n">
        <v>0.65</v>
      </c>
      <c r="M76" s="36" t="inlineStr">
        <is>
          <t>N/A</t>
        </is>
      </c>
    </row>
    <row r="77">
      <c r="A77" s="37" t="n">
        <v>45206</v>
      </c>
      <c r="B77" s="38" t="inlineStr">
        <is>
          <t>UPIOUT/328077624233/Q267751124@ybl/Sent
via /5441</t>
        </is>
      </c>
      <c r="C77" s="38" t="inlineStr"/>
      <c r="D77" s="37" t="n">
        <v>45206</v>
      </c>
      <c r="E77" s="38" t="n">
        <v>70</v>
      </c>
      <c r="F77" s="38" t="n">
        <v>0</v>
      </c>
      <c r="G77" s="38" t="n">
        <v>17520.15</v>
      </c>
      <c r="H77" s="38" t="inlineStr"/>
      <c r="I77" s="38" t="inlineStr"/>
      <c r="J77" s="38" t="inlineStr">
        <is>
          <t>UPI Payment</t>
        </is>
      </c>
      <c r="K77" s="38" t="inlineStr">
        <is>
          <t>Personal</t>
        </is>
      </c>
      <c r="L77" s="25" t="n">
        <v>0.55</v>
      </c>
      <c r="M77" s="38" t="inlineStr">
        <is>
          <t>N/A</t>
        </is>
      </c>
    </row>
    <row r="78">
      <c r="A78" s="37" t="n">
        <v>45206</v>
      </c>
      <c r="B78" s="38" t="inlineStr">
        <is>
          <t>UPIOUT/328085400948/Q269943231@ybl/Sent
via /5814</t>
        </is>
      </c>
      <c r="C78" s="38" t="inlineStr"/>
      <c r="D78" s="37" t="n">
        <v>45206</v>
      </c>
      <c r="E78" s="38" t="n">
        <v>20</v>
      </c>
      <c r="F78" s="38" t="n">
        <v>0</v>
      </c>
      <c r="G78" s="38" t="n">
        <v>17500.15</v>
      </c>
      <c r="H78" s="38" t="inlineStr"/>
      <c r="I78" s="38" t="inlineStr"/>
      <c r="J78" s="38" t="inlineStr">
        <is>
          <t>UPI Payment</t>
        </is>
      </c>
      <c r="K78" s="38" t="inlineStr">
        <is>
          <t>Personal</t>
        </is>
      </c>
      <c r="L78" s="25" t="n">
        <v>0.55</v>
      </c>
      <c r="M78" s="38" t="inlineStr">
        <is>
          <t>N/A</t>
        </is>
      </c>
    </row>
    <row r="79">
      <c r="A79" s="37" t="n">
        <v>45207</v>
      </c>
      <c r="B79" s="38" t="inlineStr">
        <is>
          <t>UPIOUT/328119168987/Q444099957@ybl/Sent
via /5812</t>
        </is>
      </c>
      <c r="C79" s="38" t="inlineStr"/>
      <c r="D79" s="37" t="n">
        <v>45207</v>
      </c>
      <c r="E79" s="38" t="n">
        <v>20</v>
      </c>
      <c r="F79" s="38" t="n">
        <v>0</v>
      </c>
      <c r="G79" s="38" t="n">
        <v>17480.15</v>
      </c>
      <c r="H79" s="38" t="inlineStr"/>
      <c r="I79" s="38" t="inlineStr"/>
      <c r="J79" s="38" t="inlineStr">
        <is>
          <t>UPI Payment</t>
        </is>
      </c>
      <c r="K79" s="38" t="inlineStr">
        <is>
          <t>Personal</t>
        </is>
      </c>
      <c r="L79" s="25" t="n">
        <v>0.55</v>
      </c>
      <c r="M79" s="38" t="inlineStr">
        <is>
          <t>N/A</t>
        </is>
      </c>
    </row>
    <row r="80">
      <c r="A80" s="37" t="n">
        <v>45207</v>
      </c>
      <c r="B80" s="38" t="inlineStr">
        <is>
          <t>UPIOUT/328119343414/Q521635612@ybl/Sent
via /5451</t>
        </is>
      </c>
      <c r="C80" s="38" t="inlineStr"/>
      <c r="D80" s="37" t="n">
        <v>45207</v>
      </c>
      <c r="E80" s="38" t="n">
        <v>50</v>
      </c>
      <c r="F80" s="38" t="n">
        <v>0</v>
      </c>
      <c r="G80" s="38" t="n">
        <v>17430.15</v>
      </c>
      <c r="H80" s="38" t="inlineStr"/>
      <c r="I80" s="38" t="inlineStr"/>
      <c r="J80" s="38" t="inlineStr">
        <is>
          <t>UPI Payment</t>
        </is>
      </c>
      <c r="K80" s="38" t="inlineStr">
        <is>
          <t>Personal</t>
        </is>
      </c>
      <c r="L80" s="25" t="n">
        <v>0.55</v>
      </c>
      <c r="M80" s="38" t="inlineStr">
        <is>
          <t>N/A</t>
        </is>
      </c>
    </row>
    <row r="81">
      <c r="A81" s="37" t="n">
        <v>45207</v>
      </c>
      <c r="B81" s="38" t="inlineStr">
        <is>
          <t>UPIOUT/328121853835/cf.simp@icici/UPI
Intent/7322</t>
        </is>
      </c>
      <c r="C81" s="38" t="inlineStr"/>
      <c r="D81" s="37" t="n">
        <v>45207</v>
      </c>
      <c r="E81" s="38" t="n">
        <v>264.85</v>
      </c>
      <c r="F81" s="38" t="n">
        <v>0</v>
      </c>
      <c r="G81" s="38" t="n">
        <v>17165.3</v>
      </c>
      <c r="H81" s="38" t="inlineStr"/>
      <c r="I81" s="38" t="inlineStr"/>
      <c r="J81" s="38" t="inlineStr">
        <is>
          <t>UPI Payment</t>
        </is>
      </c>
      <c r="K81" s="38" t="inlineStr">
        <is>
          <t>Personal</t>
        </is>
      </c>
      <c r="L81" s="25" t="n">
        <v>0.55</v>
      </c>
      <c r="M81" s="38" t="inlineStr">
        <is>
          <t>N/A</t>
        </is>
      </c>
    </row>
    <row r="82">
      <c r="A82" s="58" t="n">
        <v>45207</v>
      </c>
      <c r="B82" s="59" t="inlineStr">
        <is>
          <t>NFT/NEOSIEXEDDD2023100804350193992 NAVI
Mutual Fun</t>
        </is>
      </c>
      <c r="C82" s="59" t="inlineStr"/>
      <c r="D82" s="58" t="n">
        <v>45207</v>
      </c>
      <c r="E82" s="59" t="n">
        <v>10</v>
      </c>
      <c r="F82" s="59" t="n">
        <v>0</v>
      </c>
      <c r="G82" s="59" t="n">
        <v>17155.3</v>
      </c>
      <c r="H82" s="59" t="inlineStr"/>
      <c r="I82" s="59" t="inlineStr"/>
      <c r="J82" s="59" t="inlineStr">
        <is>
          <t>MF Investment</t>
        </is>
      </c>
      <c r="K82" s="59" t="inlineStr">
        <is>
          <t>Investments</t>
        </is>
      </c>
      <c r="L82" s="18" t="n">
        <v>0.88</v>
      </c>
      <c r="M82" s="59" t="inlineStr">
        <is>
          <t>N/A</t>
        </is>
      </c>
    </row>
    <row r="83">
      <c r="A83" s="23" t="n">
        <v>45207</v>
      </c>
      <c r="B83" s="24" t="inlineStr">
        <is>
          <t>IFN/NEOSIEXEDDD2023100806332963234
Transfer to sup</t>
        </is>
      </c>
      <c r="C83" s="24" t="inlineStr"/>
      <c r="D83" s="23" t="n">
        <v>45207</v>
      </c>
      <c r="E83" s="24" t="n">
        <v>50</v>
      </c>
      <c r="F83" s="24" t="n">
        <v>0</v>
      </c>
      <c r="G83" s="24" t="n">
        <v>17105.3</v>
      </c>
      <c r="H83" s="24" t="inlineStr"/>
      <c r="I83" s="24" t="inlineStr"/>
      <c r="J83" s="24" t="inlineStr">
        <is>
          <t>What is this?</t>
        </is>
      </c>
      <c r="K83" s="24" t="inlineStr">
        <is>
          <t>Suspense</t>
        </is>
      </c>
      <c r="L83" s="25" t="n">
        <v>0</v>
      </c>
      <c r="M83" s="24" t="inlineStr">
        <is>
          <t>N/A</t>
        </is>
      </c>
    </row>
    <row r="84">
      <c r="A84" s="35" t="n">
        <v>45207</v>
      </c>
      <c r="B84" s="36" t="inlineStr">
        <is>
          <t>UPIOUT/328129528198/paytmqr281005050101ba1
ua/5812</t>
        </is>
      </c>
      <c r="C84" s="36" t="inlineStr"/>
      <c r="D84" s="35" t="n">
        <v>45207</v>
      </c>
      <c r="E84" s="36" t="n">
        <v>336</v>
      </c>
      <c r="F84" s="36" t="n">
        <v>0</v>
      </c>
      <c r="G84" s="36" t="n">
        <v>16769.3</v>
      </c>
      <c r="H84" s="36" t="inlineStr"/>
      <c r="I84" s="36" t="inlineStr"/>
      <c r="J84" s="36" t="inlineStr">
        <is>
          <t>UPI - Paytm</t>
        </is>
      </c>
      <c r="K84" s="36" t="inlineStr">
        <is>
          <t>Personal</t>
        </is>
      </c>
      <c r="L84" s="34" t="n">
        <v>0.65</v>
      </c>
      <c r="M84" s="36" t="inlineStr">
        <is>
          <t>N/A</t>
        </is>
      </c>
    </row>
    <row r="85">
      <c r="A85" s="37" t="n">
        <v>45207</v>
      </c>
      <c r="B85" s="38" t="inlineStr">
        <is>
          <t>UPIOUT/328149230594/Q882147483@ybl/Sent
via /5814</t>
        </is>
      </c>
      <c r="C85" s="38" t="inlineStr"/>
      <c r="D85" s="37" t="n">
        <v>45207</v>
      </c>
      <c r="E85" s="38" t="n">
        <v>50</v>
      </c>
      <c r="F85" s="38" t="n">
        <v>0</v>
      </c>
      <c r="G85" s="38" t="n">
        <v>16719.3</v>
      </c>
      <c r="H85" s="38" t="inlineStr"/>
      <c r="I85" s="38" t="inlineStr"/>
      <c r="J85" s="38" t="inlineStr">
        <is>
          <t>UPI Payment</t>
        </is>
      </c>
      <c r="K85" s="38" t="inlineStr">
        <is>
          <t>Personal</t>
        </is>
      </c>
      <c r="L85" s="25" t="n">
        <v>0.55</v>
      </c>
      <c r="M85" s="38" t="inlineStr">
        <is>
          <t>N/A</t>
        </is>
      </c>
    </row>
    <row r="86">
      <c r="A86" s="37" t="n">
        <v>45208</v>
      </c>
      <c r="B86" s="38" t="inlineStr">
        <is>
          <t>UPIOUT/328258866701/Q726253442@ybl/Sent
via /5311</t>
        </is>
      </c>
      <c r="C86" s="38" t="inlineStr"/>
      <c r="D86" s="37" t="n">
        <v>45208</v>
      </c>
      <c r="E86" s="38" t="n">
        <v>122</v>
      </c>
      <c r="F86" s="38" t="n">
        <v>0</v>
      </c>
      <c r="G86" s="38" t="n">
        <v>16597.3</v>
      </c>
      <c r="H86" s="38" t="inlineStr"/>
      <c r="I86" s="38" t="inlineStr"/>
      <c r="J86" s="38" t="inlineStr">
        <is>
          <t>UPI Payment</t>
        </is>
      </c>
      <c r="K86" s="38" t="inlineStr">
        <is>
          <t>Personal</t>
        </is>
      </c>
      <c r="L86" s="25" t="n">
        <v>0.55</v>
      </c>
      <c r="M86" s="38" t="inlineStr">
        <is>
          <t>N/A</t>
        </is>
      </c>
    </row>
    <row r="87">
      <c r="A87" s="58" t="n">
        <v>45208</v>
      </c>
      <c r="B87" s="59" t="inlineStr">
        <is>
          <t>NFT/NEOSIEXEDDD2023100904351642222 NAVI
Mutual Fun</t>
        </is>
      </c>
      <c r="C87" s="59" t="inlineStr"/>
      <c r="D87" s="58" t="n">
        <v>45208</v>
      </c>
      <c r="E87" s="59" t="n">
        <v>10</v>
      </c>
      <c r="F87" s="59" t="n">
        <v>0</v>
      </c>
      <c r="G87" s="59" t="n">
        <v>16587.3</v>
      </c>
      <c r="H87" s="59" t="inlineStr"/>
      <c r="I87" s="59" t="inlineStr"/>
      <c r="J87" s="59" t="inlineStr">
        <is>
          <t>MF Investment</t>
        </is>
      </c>
      <c r="K87" s="59" t="inlineStr">
        <is>
          <t>Investments</t>
        </is>
      </c>
      <c r="L87" s="18" t="n">
        <v>0.88</v>
      </c>
      <c r="M87" s="59" t="inlineStr">
        <is>
          <t>N/A</t>
        </is>
      </c>
    </row>
    <row r="88">
      <c r="A88" s="23" t="n">
        <v>45208</v>
      </c>
      <c r="B88" s="24" t="inlineStr">
        <is>
          <t>IFN/NEOSIEXEDDD2023100906330377610
Transfer to sup</t>
        </is>
      </c>
      <c r="C88" s="24" t="inlineStr"/>
      <c r="D88" s="23" t="n">
        <v>45208</v>
      </c>
      <c r="E88" s="24" t="n">
        <v>50</v>
      </c>
      <c r="F88" s="24" t="n">
        <v>0</v>
      </c>
      <c r="G88" s="24" t="n">
        <v>16537.3</v>
      </c>
      <c r="H88" s="24" t="inlineStr"/>
      <c r="I88" s="24" t="inlineStr"/>
      <c r="J88" s="24" t="inlineStr">
        <is>
          <t>What is this?</t>
        </is>
      </c>
      <c r="K88" s="24" t="inlineStr">
        <is>
          <t>Suspense</t>
        </is>
      </c>
      <c r="L88" s="25" t="n">
        <v>0</v>
      </c>
      <c r="M88" s="24" t="inlineStr">
        <is>
          <t>N/A</t>
        </is>
      </c>
    </row>
    <row r="89">
      <c r="A89" s="37" t="n">
        <v>45208</v>
      </c>
      <c r="B89" s="38" t="inlineStr">
        <is>
          <t>UPIOUT/328285161291/Q981404186@ybl/Sent
via /5814</t>
        </is>
      </c>
      <c r="C89" s="38" t="inlineStr"/>
      <c r="D89" s="37" t="n">
        <v>45208</v>
      </c>
      <c r="E89" s="38" t="n">
        <v>30</v>
      </c>
      <c r="F89" s="38" t="n">
        <v>0</v>
      </c>
      <c r="G89" s="38" t="n">
        <v>16507.3</v>
      </c>
      <c r="H89" s="38" t="inlineStr"/>
      <c r="I89" s="38" t="inlineStr"/>
      <c r="J89" s="38" t="inlineStr">
        <is>
          <t>UPI Payment</t>
        </is>
      </c>
      <c r="K89" s="38" t="inlineStr">
        <is>
          <t>Personal</t>
        </is>
      </c>
      <c r="L89" s="25" t="n">
        <v>0.55</v>
      </c>
      <c r="M89" s="38" t="inlineStr">
        <is>
          <t>N/A</t>
        </is>
      </c>
    </row>
    <row r="90">
      <c r="A90" s="37" t="n">
        <v>45208</v>
      </c>
      <c r="B90" s="38" t="inlineStr">
        <is>
          <t>UPIOUT/328285534629/Q492641334@ybl/Sent
via /5411</t>
        </is>
      </c>
      <c r="C90" s="38" t="inlineStr"/>
      <c r="D90" s="37" t="n">
        <v>45208</v>
      </c>
      <c r="E90" s="38" t="n">
        <v>20</v>
      </c>
      <c r="F90" s="38" t="n">
        <v>0</v>
      </c>
      <c r="G90" s="38" t="n">
        <v>16487.3</v>
      </c>
      <c r="H90" s="38" t="inlineStr"/>
      <c r="I90" s="38" t="inlineStr"/>
      <c r="J90" s="38" t="inlineStr">
        <is>
          <t>UPI Payment</t>
        </is>
      </c>
      <c r="K90" s="38" t="inlineStr">
        <is>
          <t>Personal</t>
        </is>
      </c>
      <c r="L90" s="25" t="n">
        <v>0.55</v>
      </c>
      <c r="M90" s="38" t="inlineStr">
        <is>
          <t>N/A</t>
        </is>
      </c>
    </row>
    <row r="91">
      <c r="A91" s="21" t="n">
        <v>45208</v>
      </c>
      <c r="B91" s="22" t="inlineStr">
        <is>
          <t>UPIOUT/364839258870/paytm-
irctcapp@paytm/Oid/4011</t>
        </is>
      </c>
      <c r="C91" s="22" t="inlineStr"/>
      <c r="D91" s="21" t="n">
        <v>45208</v>
      </c>
      <c r="E91" s="22" t="n">
        <v>983.95</v>
      </c>
      <c r="F91" s="22" t="n">
        <v>0</v>
      </c>
      <c r="G91" s="22" t="n">
        <v>15503.35</v>
      </c>
      <c r="H91" s="22" t="inlineStr"/>
      <c r="I91" s="22" t="inlineStr"/>
      <c r="J91" s="22" t="inlineStr">
        <is>
          <t>UPI - IRCTC</t>
        </is>
      </c>
      <c r="K91" s="22" t="inlineStr">
        <is>
          <t>Travel</t>
        </is>
      </c>
      <c r="L91" s="18" t="n">
        <v>0.88</v>
      </c>
      <c r="M91" s="22" t="inlineStr">
        <is>
          <t>N/A</t>
        </is>
      </c>
    </row>
    <row r="92">
      <c r="A92" s="21" t="n">
        <v>45208</v>
      </c>
      <c r="B92" s="22" t="inlineStr">
        <is>
          <t>UPIOUT/364833035007/paytm-
irctcapp@paytm/Oid/4011</t>
        </is>
      </c>
      <c r="C92" s="22" t="inlineStr"/>
      <c r="D92" s="21" t="n">
        <v>45208</v>
      </c>
      <c r="E92" s="22" t="n">
        <v>97.15000000000001</v>
      </c>
      <c r="F92" s="22" t="n">
        <v>0</v>
      </c>
      <c r="G92" s="22" t="n">
        <v>15406.2</v>
      </c>
      <c r="H92" s="22" t="inlineStr"/>
      <c r="I92" s="22" t="inlineStr"/>
      <c r="J92" s="22" t="inlineStr">
        <is>
          <t>UPI - IRCTC</t>
        </is>
      </c>
      <c r="K92" s="22" t="inlineStr">
        <is>
          <t>Travel</t>
        </is>
      </c>
      <c r="L92" s="18" t="n">
        <v>0.88</v>
      </c>
      <c r="M92" s="22" t="inlineStr">
        <is>
          <t>N/A</t>
        </is>
      </c>
    </row>
    <row r="93">
      <c r="A93" s="37" t="n">
        <v>45208</v>
      </c>
      <c r="B93" s="38" t="inlineStr">
        <is>
          <t>UPIOUT/328292669312/Q267751124@ybl/Sent
via /5441</t>
        </is>
      </c>
      <c r="C93" s="38" t="inlineStr"/>
      <c r="D93" s="37" t="n">
        <v>45208</v>
      </c>
      <c r="E93" s="38" t="n">
        <v>70</v>
      </c>
      <c r="F93" s="38" t="n">
        <v>0</v>
      </c>
      <c r="G93" s="38" t="n">
        <v>15336.2</v>
      </c>
      <c r="H93" s="38" t="inlineStr"/>
      <c r="I93" s="38" t="inlineStr"/>
      <c r="J93" s="38" t="inlineStr">
        <is>
          <t>UPI Payment</t>
        </is>
      </c>
      <c r="K93" s="38" t="inlineStr">
        <is>
          <t>Personal</t>
        </is>
      </c>
      <c r="L93" s="25" t="n">
        <v>0.55</v>
      </c>
      <c r="M93" s="38" t="inlineStr">
        <is>
          <t>N/A</t>
        </is>
      </c>
    </row>
    <row r="94">
      <c r="A94" s="21" t="n">
        <v>45209</v>
      </c>
      <c r="B94" s="22" t="inlineStr">
        <is>
          <t>UPIOUT/328302153606/paytm-
irctcapp@paytm/Oid/4011</t>
        </is>
      </c>
      <c r="C94" s="22" t="inlineStr"/>
      <c r="D94" s="21" t="n">
        <v>45209</v>
      </c>
      <c r="E94" s="22" t="n">
        <v>182.5</v>
      </c>
      <c r="F94" s="22" t="n">
        <v>0</v>
      </c>
      <c r="G94" s="22" t="n">
        <v>15153.7</v>
      </c>
      <c r="H94" s="22" t="inlineStr"/>
      <c r="I94" s="22" t="inlineStr"/>
      <c r="J94" s="22" t="inlineStr">
        <is>
          <t>UPI - IRCTC</t>
        </is>
      </c>
      <c r="K94" s="22" t="inlineStr">
        <is>
          <t>Travel</t>
        </is>
      </c>
      <c r="L94" s="18" t="n">
        <v>0.88</v>
      </c>
      <c r="M94" s="22" t="inlineStr">
        <is>
          <t>N/A</t>
        </is>
      </c>
    </row>
    <row r="95">
      <c r="A95" s="37" t="n">
        <v>45209</v>
      </c>
      <c r="B95" s="38" t="inlineStr">
        <is>
          <t>UPIOUT/328311386904/Q521635612@ybl/Sent
via /5451</t>
        </is>
      </c>
      <c r="C95" s="38" t="inlineStr"/>
      <c r="D95" s="37" t="n">
        <v>45209</v>
      </c>
      <c r="E95" s="38" t="n">
        <v>75</v>
      </c>
      <c r="F95" s="38" t="n">
        <v>0</v>
      </c>
      <c r="G95" s="38" t="n">
        <v>15078.7</v>
      </c>
      <c r="H95" s="38" t="inlineStr"/>
      <c r="I95" s="38" t="inlineStr"/>
      <c r="J95" s="38" t="inlineStr">
        <is>
          <t>UPI Payment</t>
        </is>
      </c>
      <c r="K95" s="38" t="inlineStr">
        <is>
          <t>Personal</t>
        </is>
      </c>
      <c r="L95" s="25" t="n">
        <v>0.55</v>
      </c>
      <c r="M95" s="38" t="inlineStr">
        <is>
          <t>N/A</t>
        </is>
      </c>
    </row>
    <row r="96">
      <c r="A96" s="58" t="n">
        <v>45209</v>
      </c>
      <c r="B96" s="59" t="inlineStr">
        <is>
          <t>NFT/NEOSIEXEDDD2023101004362061758 NAVI
Mutual Fun</t>
        </is>
      </c>
      <c r="C96" s="59" t="inlineStr"/>
      <c r="D96" s="58" t="n">
        <v>45209</v>
      </c>
      <c r="E96" s="59" t="n">
        <v>10</v>
      </c>
      <c r="F96" s="59" t="n">
        <v>0</v>
      </c>
      <c r="G96" s="59" t="n">
        <v>15068.7</v>
      </c>
      <c r="H96" s="59" t="inlineStr"/>
      <c r="I96" s="59" t="inlineStr"/>
      <c r="J96" s="59" t="inlineStr">
        <is>
          <t>MF Investment</t>
        </is>
      </c>
      <c r="K96" s="59" t="inlineStr">
        <is>
          <t>Investments</t>
        </is>
      </c>
      <c r="L96" s="18" t="n">
        <v>0.88</v>
      </c>
      <c r="M96" s="59" t="inlineStr">
        <is>
          <t>N/A</t>
        </is>
      </c>
    </row>
    <row r="97">
      <c r="A97" s="23" t="n">
        <v>45209</v>
      </c>
      <c r="B97" s="24" t="inlineStr">
        <is>
          <t>IFN/NEOSIEXEDDD2023101006335873990
Transfer to sup</t>
        </is>
      </c>
      <c r="C97" s="24" t="inlineStr"/>
      <c r="D97" s="23" t="n">
        <v>45209</v>
      </c>
      <c r="E97" s="24" t="n">
        <v>50</v>
      </c>
      <c r="F97" s="24" t="n">
        <v>0</v>
      </c>
      <c r="G97" s="24" t="n">
        <v>15018.7</v>
      </c>
      <c r="H97" s="24" t="inlineStr"/>
      <c r="I97" s="24" t="inlineStr"/>
      <c r="J97" s="24" t="inlineStr">
        <is>
          <t>What is this?</t>
        </is>
      </c>
      <c r="K97" s="24" t="inlineStr">
        <is>
          <t>Suspense</t>
        </is>
      </c>
      <c r="L97" s="25" t="n">
        <v>0</v>
      </c>
      <c r="M97" s="24" t="inlineStr">
        <is>
          <t>N/A</t>
        </is>
      </c>
    </row>
    <row r="98">
      <c r="A98" s="37" t="n">
        <v>45209</v>
      </c>
      <c r="B98" s="38" t="inlineStr">
        <is>
          <t>UPIOUT/328320608283/9011139401@ibl/Sent
via /0000</t>
        </is>
      </c>
      <c r="C98" s="38" t="inlineStr"/>
      <c r="D98" s="37" t="n">
        <v>45209</v>
      </c>
      <c r="E98" s="38" t="n">
        <v>1700</v>
      </c>
      <c r="F98" s="38" t="n">
        <v>0</v>
      </c>
      <c r="G98" s="38" t="n">
        <v>13318.7</v>
      </c>
      <c r="H98" s="38" t="inlineStr"/>
      <c r="I98" s="38" t="inlineStr"/>
      <c r="J98" s="38" t="inlineStr">
        <is>
          <t>UPI Payment</t>
        </is>
      </c>
      <c r="K98" s="38" t="inlineStr">
        <is>
          <t>Personal</t>
        </is>
      </c>
      <c r="L98" s="25" t="n">
        <v>0.55</v>
      </c>
      <c r="M98" s="38" t="inlineStr">
        <is>
          <t>N/A</t>
        </is>
      </c>
    </row>
    <row r="99">
      <c r="A99" s="37" t="n">
        <v>45209</v>
      </c>
      <c r="B99" s="38" t="inlineStr">
        <is>
          <t>UPIOUT/328321156237/Q423659019@ybl/Sent
via /5311</t>
        </is>
      </c>
      <c r="C99" s="38" t="inlineStr"/>
      <c r="D99" s="37" t="n">
        <v>45209</v>
      </c>
      <c r="E99" s="38" t="n">
        <v>18</v>
      </c>
      <c r="F99" s="38" t="n">
        <v>0</v>
      </c>
      <c r="G99" s="38" t="n">
        <v>13300.7</v>
      </c>
      <c r="H99" s="38" t="inlineStr"/>
      <c r="I99" s="38" t="inlineStr"/>
      <c r="J99" s="38" t="inlineStr">
        <is>
          <t>UPI Payment</t>
        </is>
      </c>
      <c r="K99" s="38" t="inlineStr">
        <is>
          <t>Personal</t>
        </is>
      </c>
      <c r="L99" s="25" t="n">
        <v>0.55</v>
      </c>
      <c r="M99" s="38" t="inlineStr">
        <is>
          <t>N/A</t>
        </is>
      </c>
    </row>
    <row r="100">
      <c r="A100" s="37" t="n">
        <v>45209</v>
      </c>
      <c r="B100" s="38" t="inlineStr">
        <is>
          <t>UPIOUT/328321238606/Q97308535@ybl/Sent via
J/5411</t>
        </is>
      </c>
      <c r="C100" s="38" t="inlineStr"/>
      <c r="D100" s="37" t="n">
        <v>45209</v>
      </c>
      <c r="E100" s="38" t="n">
        <v>20</v>
      </c>
      <c r="F100" s="38" t="n">
        <v>0</v>
      </c>
      <c r="G100" s="38" t="n">
        <v>13280.7</v>
      </c>
      <c r="H100" s="38" t="inlineStr"/>
      <c r="I100" s="38" t="inlineStr"/>
      <c r="J100" s="38" t="inlineStr">
        <is>
          <t>UPI Payment</t>
        </is>
      </c>
      <c r="K100" s="38" t="inlineStr">
        <is>
          <t>Personal</t>
        </is>
      </c>
      <c r="L100" s="25" t="n">
        <v>0.55</v>
      </c>
      <c r="M100" s="38" t="inlineStr">
        <is>
          <t>N/A</t>
        </is>
      </c>
    </row>
    <row r="101">
      <c r="A101" s="37" t="n">
        <v>45210</v>
      </c>
      <c r="B101" s="38" t="inlineStr">
        <is>
          <t>UPIOUT/328455016693/Q521635612@ybl/Sent
via /5451</t>
        </is>
      </c>
      <c r="C101" s="38" t="inlineStr"/>
      <c r="D101" s="37" t="n">
        <v>45210</v>
      </c>
      <c r="E101" s="38" t="n">
        <v>75</v>
      </c>
      <c r="F101" s="38" t="n">
        <v>0</v>
      </c>
      <c r="G101" s="38" t="n">
        <v>13205.7</v>
      </c>
      <c r="H101" s="38" t="inlineStr"/>
      <c r="I101" s="38" t="inlineStr"/>
      <c r="J101" s="38" t="inlineStr">
        <is>
          <t>UPI Payment</t>
        </is>
      </c>
      <c r="K101" s="38" t="inlineStr">
        <is>
          <t>Personal</t>
        </is>
      </c>
      <c r="L101" s="25" t="n">
        <v>0.55</v>
      </c>
      <c r="M101" s="38" t="inlineStr">
        <is>
          <t>N/A</t>
        </is>
      </c>
    </row>
    <row r="102">
      <c r="A102" s="58" t="n">
        <v>45210</v>
      </c>
      <c r="B102" s="59" t="inlineStr">
        <is>
          <t>NFT/NEOSIEXEDDD2023101104350017880 NAVI
Mutual Fun</t>
        </is>
      </c>
      <c r="C102" s="59" t="inlineStr"/>
      <c r="D102" s="58" t="n">
        <v>45210</v>
      </c>
      <c r="E102" s="59" t="n">
        <v>10</v>
      </c>
      <c r="F102" s="59" t="n">
        <v>0</v>
      </c>
      <c r="G102" s="59" t="n">
        <v>13195.7</v>
      </c>
      <c r="H102" s="59" t="inlineStr"/>
      <c r="I102" s="59" t="inlineStr"/>
      <c r="J102" s="59" t="inlineStr">
        <is>
          <t>MF Investment</t>
        </is>
      </c>
      <c r="K102" s="59" t="inlineStr">
        <is>
          <t>Investments</t>
        </is>
      </c>
      <c r="L102" s="18" t="n">
        <v>0.88</v>
      </c>
      <c r="M102" s="59" t="inlineStr">
        <is>
          <t>N/A</t>
        </is>
      </c>
    </row>
    <row r="103">
      <c r="A103" s="23" t="n">
        <v>45210</v>
      </c>
      <c r="B103" s="24" t="inlineStr">
        <is>
          <t>IFN/NEOSIEXEDDD2023101105401245383
Transfer to pot</t>
        </is>
      </c>
      <c r="C103" s="24" t="inlineStr"/>
      <c r="D103" s="23" t="n">
        <v>45210</v>
      </c>
      <c r="E103" s="24" t="n">
        <v>1000</v>
      </c>
      <c r="F103" s="24" t="n">
        <v>0</v>
      </c>
      <c r="G103" s="24" t="n">
        <v>12195.7</v>
      </c>
      <c r="H103" s="24" t="inlineStr"/>
      <c r="I103" s="24" t="inlineStr"/>
      <c r="J103" s="24" t="inlineStr">
        <is>
          <t>What is this?</t>
        </is>
      </c>
      <c r="K103" s="24" t="inlineStr">
        <is>
          <t>Suspense</t>
        </is>
      </c>
      <c r="L103" s="25" t="n">
        <v>0</v>
      </c>
      <c r="M103" s="24" t="inlineStr">
        <is>
          <t>N/A</t>
        </is>
      </c>
    </row>
    <row r="104">
      <c r="A104" s="23" t="n">
        <v>45210</v>
      </c>
      <c r="B104" s="24" t="inlineStr">
        <is>
          <t>IFN/NEOSIEXEDDD2023101106330220186
Transfer to sup</t>
        </is>
      </c>
      <c r="C104" s="24" t="inlineStr"/>
      <c r="D104" s="23" t="n">
        <v>45210</v>
      </c>
      <c r="E104" s="24" t="n">
        <v>50</v>
      </c>
      <c r="F104" s="24" t="n">
        <v>0</v>
      </c>
      <c r="G104" s="24" t="n">
        <v>12145.7</v>
      </c>
      <c r="H104" s="24" t="inlineStr"/>
      <c r="I104" s="24" t="inlineStr"/>
      <c r="J104" s="24" t="inlineStr">
        <is>
          <t>What is this?</t>
        </is>
      </c>
      <c r="K104" s="24" t="inlineStr">
        <is>
          <t>Suspense</t>
        </is>
      </c>
      <c r="L104" s="25" t="n">
        <v>0</v>
      </c>
      <c r="M104" s="24" t="inlineStr">
        <is>
          <t>N/A</t>
        </is>
      </c>
    </row>
    <row r="105">
      <c r="A105" s="23" t="n">
        <v>45210</v>
      </c>
      <c r="B105" s="24" t="inlineStr">
        <is>
          <t>FD-77770300389653 closure proceeds
credited</t>
        </is>
      </c>
      <c r="C105" s="24" t="inlineStr"/>
      <c r="D105" s="23" t="n">
        <v>45210</v>
      </c>
      <c r="E105" s="24" t="n">
        <v>0</v>
      </c>
      <c r="F105" s="24" t="n">
        <v>1001</v>
      </c>
      <c r="G105" s="24" t="n">
        <v>13146.7</v>
      </c>
      <c r="H105" s="24" t="inlineStr"/>
      <c r="I105" s="24" t="inlineStr"/>
      <c r="J105" s="24" t="inlineStr">
        <is>
          <t>What is this?</t>
        </is>
      </c>
      <c r="K105" s="24" t="inlineStr">
        <is>
          <t>Suspense</t>
        </is>
      </c>
      <c r="L105" s="25" t="n">
        <v>0</v>
      </c>
      <c r="M105" s="24" t="inlineStr">
        <is>
          <t>N/A</t>
        </is>
      </c>
    </row>
    <row r="106">
      <c r="A106" s="23" t="n">
        <v>45210</v>
      </c>
      <c r="B106" s="24" t="inlineStr">
        <is>
          <t>FD-77770701776482 closure proceeds
credited</t>
        </is>
      </c>
      <c r="C106" s="24" t="inlineStr"/>
      <c r="D106" s="23" t="n">
        <v>45210</v>
      </c>
      <c r="E106" s="24" t="n">
        <v>0</v>
      </c>
      <c r="F106" s="24" t="n">
        <v>450</v>
      </c>
      <c r="G106" s="24" t="n">
        <v>13596.7</v>
      </c>
      <c r="H106" s="24" t="inlineStr"/>
      <c r="I106" s="24" t="inlineStr"/>
      <c r="J106" s="24" t="inlineStr">
        <is>
          <t>What is this?</t>
        </is>
      </c>
      <c r="K106" s="24" t="inlineStr">
        <is>
          <t>Suspense</t>
        </is>
      </c>
      <c r="L106" s="25" t="n">
        <v>0</v>
      </c>
      <c r="M106" s="24" t="inlineStr">
        <is>
          <t>N/A</t>
        </is>
      </c>
    </row>
    <row r="107">
      <c r="A107" s="72" t="n">
        <v>45210</v>
      </c>
      <c r="B107" s="73" t="inlineStr">
        <is>
          <t>IFN/EtgmrB2DD3NrpPoE Withdraw from 6 Weeks
Saving</t>
        </is>
      </c>
      <c r="C107" s="73" t="inlineStr"/>
      <c r="D107" s="72" t="n">
        <v>45210</v>
      </c>
      <c r="E107" s="73" t="n">
        <v>0</v>
      </c>
      <c r="F107" s="73" t="n">
        <v>2000</v>
      </c>
      <c r="G107" s="73" t="n">
        <v>15596.7</v>
      </c>
      <c r="H107" s="73" t="inlineStr"/>
      <c r="I107" s="73" t="inlineStr"/>
      <c r="J107" s="73" t="inlineStr">
        <is>
          <t>Misc Income</t>
        </is>
      </c>
      <c r="K107" s="73" t="inlineStr">
        <is>
          <t>Misc Income</t>
        </is>
      </c>
      <c r="L107" s="34" t="n">
        <v>0.6</v>
      </c>
      <c r="M107" s="73" t="inlineStr">
        <is>
          <t>N/A</t>
        </is>
      </c>
    </row>
    <row r="108">
      <c r="A108" s="72" t="n">
        <v>45210</v>
      </c>
      <c r="B108" s="73" t="inlineStr">
        <is>
          <t>IFN/INBINBFT20231011032553605 Jupiter
Rewards</t>
        </is>
      </c>
      <c r="C108" s="73" t="inlineStr"/>
      <c r="D108" s="72" t="n">
        <v>45210</v>
      </c>
      <c r="E108" s="73" t="n">
        <v>0</v>
      </c>
      <c r="F108" s="73" t="n">
        <v>200</v>
      </c>
      <c r="G108" s="73" t="n">
        <v>15796.7</v>
      </c>
      <c r="H108" s="73" t="inlineStr"/>
      <c r="I108" s="73" t="inlineStr"/>
      <c r="J108" s="73" t="inlineStr">
        <is>
          <t>Misc Income</t>
        </is>
      </c>
      <c r="K108" s="73" t="inlineStr">
        <is>
          <t>Misc Income</t>
        </is>
      </c>
      <c r="L108" s="34" t="n">
        <v>0.6</v>
      </c>
      <c r="M108" s="73" t="inlineStr">
        <is>
          <t>N/A</t>
        </is>
      </c>
    </row>
    <row r="109">
      <c r="A109" s="58" t="n">
        <v>45211</v>
      </c>
      <c r="B109" s="59" t="inlineStr">
        <is>
          <t>NFT/NEOSIEXEDDD2023101204361934171 NAVI
Mutual Fun</t>
        </is>
      </c>
      <c r="C109" s="59" t="inlineStr"/>
      <c r="D109" s="58" t="n">
        <v>45211</v>
      </c>
      <c r="E109" s="59" t="n">
        <v>10</v>
      </c>
      <c r="F109" s="59" t="n">
        <v>0</v>
      </c>
      <c r="G109" s="59" t="n">
        <v>15786.7</v>
      </c>
      <c r="H109" s="59" t="inlineStr"/>
      <c r="I109" s="59" t="inlineStr"/>
      <c r="J109" s="59" t="inlineStr">
        <is>
          <t>MF Investment</t>
        </is>
      </c>
      <c r="K109" s="59" t="inlineStr">
        <is>
          <t>Investments</t>
        </is>
      </c>
      <c r="L109" s="18" t="n">
        <v>0.88</v>
      </c>
      <c r="M109" s="59" t="inlineStr">
        <is>
          <t>N/A</t>
        </is>
      </c>
    </row>
    <row r="110">
      <c r="A110" s="37" t="n">
        <v>45211</v>
      </c>
      <c r="B110" s="38" t="inlineStr">
        <is>
          <t>UPIOUT/328512390943/Q738150595@ybl/Sent
via /5943</t>
        </is>
      </c>
      <c r="C110" s="38" t="inlineStr"/>
      <c r="D110" s="37" t="n">
        <v>45211</v>
      </c>
      <c r="E110" s="38" t="n">
        <v>10</v>
      </c>
      <c r="F110" s="38" t="n">
        <v>0</v>
      </c>
      <c r="G110" s="38" t="n">
        <v>15776.7</v>
      </c>
      <c r="H110" s="38" t="inlineStr"/>
      <c r="I110" s="38" t="inlineStr"/>
      <c r="J110" s="38" t="inlineStr">
        <is>
          <t>UPI Payment</t>
        </is>
      </c>
      <c r="K110" s="38" t="inlineStr">
        <is>
          <t>Personal</t>
        </is>
      </c>
      <c r="L110" s="25" t="n">
        <v>0.55</v>
      </c>
      <c r="M110" s="38" t="inlineStr">
        <is>
          <t>N/A</t>
        </is>
      </c>
    </row>
    <row r="111">
      <c r="A111" s="37" t="n">
        <v>45212</v>
      </c>
      <c r="B111" s="38" t="inlineStr">
        <is>
          <t>UPIOUT/328651505211/Q178744345@ybl/Sent
via /7230</t>
        </is>
      </c>
      <c r="C111" s="38" t="inlineStr"/>
      <c r="D111" s="37" t="n">
        <v>45212</v>
      </c>
      <c r="E111" s="38" t="n">
        <v>100</v>
      </c>
      <c r="F111" s="38" t="n">
        <v>0</v>
      </c>
      <c r="G111" s="38" t="n">
        <v>15676.7</v>
      </c>
      <c r="H111" s="38" t="inlineStr"/>
      <c r="I111" s="38" t="inlineStr"/>
      <c r="J111" s="38" t="inlineStr">
        <is>
          <t>UPI Payment</t>
        </is>
      </c>
      <c r="K111" s="38" t="inlineStr">
        <is>
          <t>Personal</t>
        </is>
      </c>
      <c r="L111" s="25" t="n">
        <v>0.55</v>
      </c>
      <c r="M111" s="38" t="inlineStr">
        <is>
          <t>N/A</t>
        </is>
      </c>
    </row>
    <row r="112">
      <c r="A112" s="58" t="n">
        <v>45212</v>
      </c>
      <c r="B112" s="59" t="inlineStr">
        <is>
          <t>NFT/NEOSIEXEDDD2023101304362004453 NAVI
Mutual Fun</t>
        </is>
      </c>
      <c r="C112" s="59" t="inlineStr"/>
      <c r="D112" s="58" t="n">
        <v>45212</v>
      </c>
      <c r="E112" s="59" t="n">
        <v>10</v>
      </c>
      <c r="F112" s="59" t="n">
        <v>0</v>
      </c>
      <c r="G112" s="59" t="n">
        <v>15666.7</v>
      </c>
      <c r="H112" s="59" t="inlineStr"/>
      <c r="I112" s="59" t="inlineStr"/>
      <c r="J112" s="59" t="inlineStr">
        <is>
          <t>MF Investment</t>
        </is>
      </c>
      <c r="K112" s="59" t="inlineStr">
        <is>
          <t>Investments</t>
        </is>
      </c>
      <c r="L112" s="18" t="n">
        <v>0.88</v>
      </c>
      <c r="M112" s="59" t="inlineStr">
        <is>
          <t>N/A</t>
        </is>
      </c>
    </row>
    <row r="113">
      <c r="A113" s="37" t="n">
        <v>45212</v>
      </c>
      <c r="B113" s="38" t="inlineStr">
        <is>
          <t>UPIOUT/328670883824/jupiterbillpay2@fbl/BB
PS/4814</t>
        </is>
      </c>
      <c r="C113" s="38" t="inlineStr"/>
      <c r="D113" s="37" t="n">
        <v>45212</v>
      </c>
      <c r="E113" s="38" t="n">
        <v>149</v>
      </c>
      <c r="F113" s="38" t="n">
        <v>0</v>
      </c>
      <c r="G113" s="38" t="n">
        <v>15517.7</v>
      </c>
      <c r="H113" s="38" t="inlineStr"/>
      <c r="I113" s="38" t="inlineStr"/>
      <c r="J113" s="38" t="inlineStr">
        <is>
          <t>UPI Payment</t>
        </is>
      </c>
      <c r="K113" s="38" t="inlineStr">
        <is>
          <t>Personal</t>
        </is>
      </c>
      <c r="L113" s="25" t="n">
        <v>0.55</v>
      </c>
      <c r="M113" s="38" t="inlineStr">
        <is>
          <t>N/A</t>
        </is>
      </c>
    </row>
    <row r="114">
      <c r="A114" s="37" t="n">
        <v>45212</v>
      </c>
      <c r="B114" s="38" t="inlineStr">
        <is>
          <t>UPIOUT/328677963842/Q521635612@ybl/Sent
via /5451</t>
        </is>
      </c>
      <c r="C114" s="38" t="inlineStr"/>
      <c r="D114" s="37" t="n">
        <v>45212</v>
      </c>
      <c r="E114" s="38" t="n">
        <v>75</v>
      </c>
      <c r="F114" s="38" t="n">
        <v>0</v>
      </c>
      <c r="G114" s="38" t="n">
        <v>15442.7</v>
      </c>
      <c r="H114" s="38" t="inlineStr"/>
      <c r="I114" s="38" t="inlineStr"/>
      <c r="J114" s="38" t="inlineStr">
        <is>
          <t>UPI Payment</t>
        </is>
      </c>
      <c r="K114" s="38" t="inlineStr">
        <is>
          <t>Personal</t>
        </is>
      </c>
      <c r="L114" s="25" t="n">
        <v>0.55</v>
      </c>
      <c r="M114" s="38" t="inlineStr">
        <is>
          <t>N/A</t>
        </is>
      </c>
    </row>
    <row r="115">
      <c r="A115" s="58" t="n">
        <v>45213</v>
      </c>
      <c r="B115" s="59" t="inlineStr">
        <is>
          <t>NFT/NEOSIEXEDDD2023101404390676103 NAVI
Mutual Fun</t>
        </is>
      </c>
      <c r="C115" s="59" t="inlineStr"/>
      <c r="D115" s="58" t="n">
        <v>45213</v>
      </c>
      <c r="E115" s="59" t="n">
        <v>10</v>
      </c>
      <c r="F115" s="59" t="n">
        <v>0</v>
      </c>
      <c r="G115" s="59" t="n">
        <v>15432.7</v>
      </c>
      <c r="H115" s="59" t="inlineStr"/>
      <c r="I115" s="59" t="inlineStr"/>
      <c r="J115" s="59" t="inlineStr">
        <is>
          <t>MF Investment</t>
        </is>
      </c>
      <c r="K115" s="59" t="inlineStr">
        <is>
          <t>Investments</t>
        </is>
      </c>
      <c r="L115" s="18" t="n">
        <v>0.88</v>
      </c>
      <c r="M115" s="59" t="inlineStr">
        <is>
          <t>N/A</t>
        </is>
      </c>
    </row>
    <row r="116">
      <c r="A116" s="58" t="n">
        <v>45213</v>
      </c>
      <c r="B116" s="59" t="inlineStr">
        <is>
          <t>FT IMPS/IFI/328718945589/RZPX PVT
LTD/Jupiter</t>
        </is>
      </c>
      <c r="C116" s="59" t="inlineStr"/>
      <c r="D116" s="58" t="n">
        <v>45213</v>
      </c>
      <c r="E116" s="59" t="n">
        <v>0</v>
      </c>
      <c r="F116" s="59" t="n">
        <v>21.89</v>
      </c>
      <c r="G116" s="59" t="n">
        <v>15454.59</v>
      </c>
      <c r="H116" s="59" t="inlineStr"/>
      <c r="I116" s="59" t="inlineStr"/>
      <c r="J116" s="59" t="inlineStr">
        <is>
          <t>NEFT Transfer</t>
        </is>
      </c>
      <c r="K116" s="59" t="inlineStr">
        <is>
          <t>Transfer</t>
        </is>
      </c>
      <c r="L116" s="34" t="n">
        <v>0.7</v>
      </c>
      <c r="M116" s="59" t="inlineStr">
        <is>
          <t>N/A</t>
        </is>
      </c>
    </row>
    <row r="117">
      <c r="A117" s="87" t="n">
        <v>45214</v>
      </c>
      <c r="B117" s="88" t="inlineStr">
        <is>
          <t>UPI IN/328898684766/aayush20gupta@oksbi/UP
I/0000</t>
        </is>
      </c>
      <c r="C117" s="88" t="inlineStr"/>
      <c r="D117" s="87" t="n">
        <v>45214</v>
      </c>
      <c r="E117" s="88" t="n">
        <v>0</v>
      </c>
      <c r="F117" s="88" t="n">
        <v>1</v>
      </c>
      <c r="G117" s="88" t="n">
        <v>15455.59</v>
      </c>
      <c r="H117" s="88" t="inlineStr"/>
      <c r="I117" s="88" t="inlineStr"/>
      <c r="J117" s="88" t="inlineStr">
        <is>
          <t>Contra - Kotak</t>
        </is>
      </c>
      <c r="K117" s="88" t="inlineStr">
        <is>
          <t>KOTAK 0333</t>
        </is>
      </c>
      <c r="L117" s="18" t="n">
        <v>0.9</v>
      </c>
      <c r="M117" s="88" t="inlineStr">
        <is>
          <t>N/A</t>
        </is>
      </c>
    </row>
    <row r="118">
      <c r="A118" s="58" t="n">
        <v>45214</v>
      </c>
      <c r="B118" s="59" t="inlineStr">
        <is>
          <t>NFT/NEOSIEXEDDD2023101504390239932 NAVI
Mutual Fun</t>
        </is>
      </c>
      <c r="C118" s="59" t="inlineStr"/>
      <c r="D118" s="58" t="n">
        <v>45214</v>
      </c>
      <c r="E118" s="59" t="n">
        <v>10</v>
      </c>
      <c r="F118" s="59" t="n">
        <v>0</v>
      </c>
      <c r="G118" s="59" t="n">
        <v>15445.59</v>
      </c>
      <c r="H118" s="59" t="inlineStr"/>
      <c r="I118" s="59" t="inlineStr"/>
      <c r="J118" s="59" t="inlineStr">
        <is>
          <t>MF Investment</t>
        </is>
      </c>
      <c r="K118" s="59" t="inlineStr">
        <is>
          <t>Investments</t>
        </is>
      </c>
      <c r="L118" s="18" t="n">
        <v>0.88</v>
      </c>
      <c r="M118" s="59" t="inlineStr">
        <is>
          <t>N/A</t>
        </is>
      </c>
    </row>
    <row r="119">
      <c r="A119" s="89" t="n">
        <v>45214</v>
      </c>
      <c r="B119" s="90" t="inlineStr">
        <is>
          <t>UPIOUT/328847387456/olacabs.rzp@axisbank/P
ay/4121</t>
        </is>
      </c>
      <c r="C119" s="90" t="inlineStr"/>
      <c r="D119" s="89" t="n">
        <v>45214</v>
      </c>
      <c r="E119" s="90" t="n">
        <v>118</v>
      </c>
      <c r="F119" s="90" t="n">
        <v>0</v>
      </c>
      <c r="G119" s="90" t="n">
        <v>15327.59</v>
      </c>
      <c r="H119" s="90" t="inlineStr"/>
      <c r="I119" s="90" t="inlineStr"/>
      <c r="J119" s="90" t="inlineStr">
        <is>
          <t>UPI - Ola</t>
        </is>
      </c>
      <c r="K119" s="90" t="inlineStr">
        <is>
          <t>Transport</t>
        </is>
      </c>
      <c r="L119" s="34" t="n">
        <v>0.68</v>
      </c>
      <c r="M119" s="90" t="inlineStr">
        <is>
          <t>N/A</t>
        </is>
      </c>
    </row>
    <row r="120">
      <c r="A120" s="35" t="n">
        <v>45214</v>
      </c>
      <c r="B120" s="36" t="inlineStr">
        <is>
          <t>UPI IN/365428987264/walletmoneytobank@payt
m//0000</t>
        </is>
      </c>
      <c r="C120" s="36" t="inlineStr"/>
      <c r="D120" s="35" t="n">
        <v>45214</v>
      </c>
      <c r="E120" s="36" t="n">
        <v>0</v>
      </c>
      <c r="F120" s="36" t="n">
        <v>100</v>
      </c>
      <c r="G120" s="36" t="n">
        <v>15427.59</v>
      </c>
      <c r="H120" s="36" t="inlineStr"/>
      <c r="I120" s="36" t="inlineStr"/>
      <c r="J120" s="36" t="inlineStr">
        <is>
          <t>UPI - Paytm</t>
        </is>
      </c>
      <c r="K120" s="36" t="inlineStr">
        <is>
          <t>Personal</t>
        </is>
      </c>
      <c r="L120" s="34" t="n">
        <v>0.65</v>
      </c>
      <c r="M120" s="36" t="inlineStr">
        <is>
          <t>N/A</t>
        </is>
      </c>
    </row>
    <row r="121">
      <c r="A121" s="91" t="n">
        <v>45214</v>
      </c>
      <c r="B121" s="92" t="inlineStr">
        <is>
          <t>UPIOUT/328865999935/uberrides@hdfcbank/Ube
rR/5960</t>
        </is>
      </c>
      <c r="C121" s="92" t="inlineStr"/>
      <c r="D121" s="91" t="n">
        <v>45214</v>
      </c>
      <c r="E121" s="92" t="n">
        <v>1</v>
      </c>
      <c r="F121" s="92" t="n">
        <v>0</v>
      </c>
      <c r="G121" s="92" t="n">
        <v>15426.59</v>
      </c>
      <c r="H121" s="92" t="inlineStr"/>
      <c r="I121" s="92" t="inlineStr"/>
      <c r="J121" s="92" t="inlineStr">
        <is>
          <t>UPI - Uber</t>
        </is>
      </c>
      <c r="K121" s="92" t="inlineStr">
        <is>
          <t>Transport</t>
        </is>
      </c>
      <c r="L121" s="34" t="n">
        <v>0.68</v>
      </c>
      <c r="M121" s="92" t="inlineStr">
        <is>
          <t>N/A</t>
        </is>
      </c>
    </row>
    <row r="122">
      <c r="A122" s="91" t="n">
        <v>45214</v>
      </c>
      <c r="B122" s="92" t="inlineStr">
        <is>
          <t>UPI IN/328855627204/uberrides@hdfcbank/Cha
rg/0000</t>
        </is>
      </c>
      <c r="C122" s="92" t="inlineStr"/>
      <c r="D122" s="91" t="n">
        <v>45214</v>
      </c>
      <c r="E122" s="92" t="n">
        <v>0</v>
      </c>
      <c r="F122" s="92" t="n">
        <v>1</v>
      </c>
      <c r="G122" s="92" t="n">
        <v>15427.59</v>
      </c>
      <c r="H122" s="92" t="inlineStr"/>
      <c r="I122" s="92" t="inlineStr"/>
      <c r="J122" s="92" t="inlineStr">
        <is>
          <t>UPI - Uber</t>
        </is>
      </c>
      <c r="K122" s="92" t="inlineStr">
        <is>
          <t>Transport</t>
        </is>
      </c>
      <c r="L122" s="34" t="n">
        <v>0.68</v>
      </c>
      <c r="M122" s="92" t="inlineStr">
        <is>
          <t>N/A</t>
        </is>
      </c>
    </row>
    <row r="123">
      <c r="A123" s="37" t="n">
        <v>45214</v>
      </c>
      <c r="B123" s="38" t="inlineStr">
        <is>
          <t>UPIOUT/328872542036/bombairajareddy2@ybl/S
en/0000</t>
        </is>
      </c>
      <c r="C123" s="38" t="inlineStr"/>
      <c r="D123" s="37" t="n">
        <v>45214</v>
      </c>
      <c r="E123" s="38" t="n">
        <v>102</v>
      </c>
      <c r="F123" s="38" t="n">
        <v>0</v>
      </c>
      <c r="G123" s="38" t="n">
        <v>15325.59</v>
      </c>
      <c r="H123" s="38" t="inlineStr"/>
      <c r="I123" s="38" t="inlineStr"/>
      <c r="J123" s="38" t="inlineStr">
        <is>
          <t>UPI Payment</t>
        </is>
      </c>
      <c r="K123" s="38" t="inlineStr">
        <is>
          <t>Personal</t>
        </is>
      </c>
      <c r="L123" s="25" t="n">
        <v>0.55</v>
      </c>
      <c r="M123" s="38" t="inlineStr">
        <is>
          <t>N/A</t>
        </is>
      </c>
    </row>
    <row r="124">
      <c r="A124" s="89" t="n">
        <v>45215</v>
      </c>
      <c r="B124" s="90" t="inlineStr">
        <is>
          <t>UPIOUT/328981486926/olacabs.rzp@axisbank/P
ay/4121</t>
        </is>
      </c>
      <c r="C124" s="90" t="inlineStr"/>
      <c r="D124" s="89" t="n">
        <v>45215</v>
      </c>
      <c r="E124" s="90" t="n">
        <v>274</v>
      </c>
      <c r="F124" s="90" t="n">
        <v>0</v>
      </c>
      <c r="G124" s="90" t="n">
        <v>15051.59</v>
      </c>
      <c r="H124" s="90" t="inlineStr"/>
      <c r="I124" s="90" t="inlineStr"/>
      <c r="J124" s="90" t="inlineStr">
        <is>
          <t>UPI - Ola</t>
        </is>
      </c>
      <c r="K124" s="90" t="inlineStr">
        <is>
          <t>Transport</t>
        </is>
      </c>
      <c r="L124" s="34" t="n">
        <v>0.68</v>
      </c>
      <c r="M124" s="90" t="inlineStr">
        <is>
          <t>N/A</t>
        </is>
      </c>
    </row>
    <row r="125">
      <c r="A125" s="58" t="n">
        <v>45215</v>
      </c>
      <c r="B125" s="59" t="inlineStr">
        <is>
          <t>NFT/NEOSIEXEDDD2023101604385515255 NAVI
Mutual Fun</t>
        </is>
      </c>
      <c r="C125" s="59" t="inlineStr"/>
      <c r="D125" s="58" t="n">
        <v>45215</v>
      </c>
      <c r="E125" s="59" t="n">
        <v>10</v>
      </c>
      <c r="F125" s="59" t="n">
        <v>0</v>
      </c>
      <c r="G125" s="59" t="n">
        <v>15041.59</v>
      </c>
      <c r="H125" s="59" t="inlineStr"/>
      <c r="I125" s="59" t="inlineStr"/>
      <c r="J125" s="59" t="inlineStr">
        <is>
          <t>MF Investment</t>
        </is>
      </c>
      <c r="K125" s="59" t="inlineStr">
        <is>
          <t>Investments</t>
        </is>
      </c>
      <c r="L125" s="18" t="n">
        <v>0.88</v>
      </c>
      <c r="M125" s="59" t="inlineStr">
        <is>
          <t>N/A</t>
        </is>
      </c>
    </row>
    <row r="126">
      <c r="A126" s="58" t="n">
        <v>45216</v>
      </c>
      <c r="B126" s="59" t="inlineStr">
        <is>
          <t>NFT/NEOSIEXEDDD2023101704370912056 NAVI
Mutual Fun</t>
        </is>
      </c>
      <c r="C126" s="59" t="inlineStr"/>
      <c r="D126" s="58" t="n">
        <v>45216</v>
      </c>
      <c r="E126" s="59" t="n">
        <v>10</v>
      </c>
      <c r="F126" s="59" t="n">
        <v>0</v>
      </c>
      <c r="G126" s="59" t="n">
        <v>15031.59</v>
      </c>
      <c r="H126" s="59" t="inlineStr"/>
      <c r="I126" s="59" t="inlineStr"/>
      <c r="J126" s="59" t="inlineStr">
        <is>
          <t>MF Investment</t>
        </is>
      </c>
      <c r="K126" s="59" t="inlineStr">
        <is>
          <t>Investments</t>
        </is>
      </c>
      <c r="L126" s="18" t="n">
        <v>0.88</v>
      </c>
      <c r="M126" s="59" t="inlineStr">
        <is>
          <t>N/A</t>
        </is>
      </c>
    </row>
    <row r="127">
      <c r="A127" s="58" t="n">
        <v>45217</v>
      </c>
      <c r="B127" s="59" t="inlineStr">
        <is>
          <t>NFT/NEOSIEXEDDD2023101804405565392 NAVI
Mutual Fun</t>
        </is>
      </c>
      <c r="C127" s="59" t="inlineStr"/>
      <c r="D127" s="58" t="n">
        <v>45217</v>
      </c>
      <c r="E127" s="59" t="n">
        <v>10</v>
      </c>
      <c r="F127" s="59" t="n">
        <v>0</v>
      </c>
      <c r="G127" s="59" t="n">
        <v>15021.59</v>
      </c>
      <c r="H127" s="59" t="inlineStr"/>
      <c r="I127" s="59" t="inlineStr"/>
      <c r="J127" s="59" t="inlineStr">
        <is>
          <t>MF Investment</t>
        </is>
      </c>
      <c r="K127" s="59" t="inlineStr">
        <is>
          <t>Investments</t>
        </is>
      </c>
      <c r="L127" s="18" t="n">
        <v>0.88</v>
      </c>
      <c r="M127" s="59" t="inlineStr">
        <is>
          <t>N/A</t>
        </is>
      </c>
    </row>
    <row r="128">
      <c r="A128" s="91" t="n">
        <v>45217</v>
      </c>
      <c r="B128" s="92" t="inlineStr">
        <is>
          <t>UPIOUT/329179397426/uber@axisbank/charge/4
121</t>
        </is>
      </c>
      <c r="C128" s="92" t="inlineStr"/>
      <c r="D128" s="91" t="n">
        <v>45217</v>
      </c>
      <c r="E128" s="92" t="n">
        <v>1</v>
      </c>
      <c r="F128" s="92" t="n">
        <v>0</v>
      </c>
      <c r="G128" s="92" t="n">
        <v>15020.59</v>
      </c>
      <c r="H128" s="92" t="inlineStr"/>
      <c r="I128" s="92" t="inlineStr"/>
      <c r="J128" s="92" t="inlineStr">
        <is>
          <t>UPI - Uber</t>
        </is>
      </c>
      <c r="K128" s="92" t="inlineStr">
        <is>
          <t>Transport</t>
        </is>
      </c>
      <c r="L128" s="34" t="n">
        <v>0.68</v>
      </c>
      <c r="M128" s="92" t="inlineStr">
        <is>
          <t>N/A</t>
        </is>
      </c>
    </row>
    <row r="129">
      <c r="A129" s="37" t="n">
        <v>45217</v>
      </c>
      <c r="B129" s="38" t="inlineStr">
        <is>
          <t>UPIOUT/329180657757/7780191548@axl/Sent
via /0000</t>
        </is>
      </c>
      <c r="C129" s="38" t="inlineStr"/>
      <c r="D129" s="37" t="n">
        <v>45217</v>
      </c>
      <c r="E129" s="38" t="n">
        <v>82</v>
      </c>
      <c r="F129" s="38" t="n">
        <v>0</v>
      </c>
      <c r="G129" s="38" t="n">
        <v>14938.59</v>
      </c>
      <c r="H129" s="38" t="inlineStr"/>
      <c r="I129" s="38" t="inlineStr"/>
      <c r="J129" s="38" t="inlineStr">
        <is>
          <t>UPI Payment</t>
        </is>
      </c>
      <c r="K129" s="38" t="inlineStr">
        <is>
          <t>Personal</t>
        </is>
      </c>
      <c r="L129" s="25" t="n">
        <v>0.55</v>
      </c>
      <c r="M129" s="38" t="inlineStr">
        <is>
          <t>N/A</t>
        </is>
      </c>
    </row>
    <row r="130">
      <c r="A130" s="58" t="n">
        <v>45218</v>
      </c>
      <c r="B130" s="59" t="inlineStr">
        <is>
          <t>NFT/NEOSIEXEDDD2023101904395526401 NAVI
Mutual Fun</t>
        </is>
      </c>
      <c r="C130" s="59" t="inlineStr"/>
      <c r="D130" s="58" t="n">
        <v>45218</v>
      </c>
      <c r="E130" s="59" t="n">
        <v>10</v>
      </c>
      <c r="F130" s="59" t="n">
        <v>0</v>
      </c>
      <c r="G130" s="59" t="n">
        <v>14928.59</v>
      </c>
      <c r="H130" s="59" t="inlineStr"/>
      <c r="I130" s="59" t="inlineStr"/>
      <c r="J130" s="59" t="inlineStr">
        <is>
          <t>MF Investment</t>
        </is>
      </c>
      <c r="K130" s="59" t="inlineStr">
        <is>
          <t>Investments</t>
        </is>
      </c>
      <c r="L130" s="18" t="n">
        <v>0.88</v>
      </c>
      <c r="M130" s="59" t="inlineStr">
        <is>
          <t>N/A</t>
        </is>
      </c>
    </row>
    <row r="131">
      <c r="A131" s="37" t="n">
        <v>45218</v>
      </c>
      <c r="B131" s="38" t="inlineStr">
        <is>
          <t>UPIOUT/329257126241/9396816736@ybl/Sent
via /0000</t>
        </is>
      </c>
      <c r="C131" s="38" t="inlineStr"/>
      <c r="D131" s="37" t="n">
        <v>45218</v>
      </c>
      <c r="E131" s="38" t="n">
        <v>30</v>
      </c>
      <c r="F131" s="38" t="n">
        <v>0</v>
      </c>
      <c r="G131" s="38" t="n">
        <v>14898.59</v>
      </c>
      <c r="H131" s="38" t="inlineStr"/>
      <c r="I131" s="38" t="inlineStr"/>
      <c r="J131" s="38" t="inlineStr">
        <is>
          <t>UPI Payment</t>
        </is>
      </c>
      <c r="K131" s="38" t="inlineStr">
        <is>
          <t>Personal</t>
        </is>
      </c>
      <c r="L131" s="25" t="n">
        <v>0.55</v>
      </c>
      <c r="M131" s="38" t="inlineStr">
        <is>
          <t>N/A</t>
        </is>
      </c>
    </row>
    <row r="132">
      <c r="A132" s="58" t="n">
        <v>45220</v>
      </c>
      <c r="B132" s="59" t="inlineStr">
        <is>
          <t>NFT/NEOSIEXEDDD2023102112362546460 NAVI
Mutual Fun</t>
        </is>
      </c>
      <c r="C132" s="59" t="inlineStr"/>
      <c r="D132" s="58" t="n">
        <v>45220</v>
      </c>
      <c r="E132" s="59" t="n">
        <v>100</v>
      </c>
      <c r="F132" s="59" t="n">
        <v>0</v>
      </c>
      <c r="G132" s="59" t="n">
        <v>14798.59</v>
      </c>
      <c r="H132" s="59" t="inlineStr"/>
      <c r="I132" s="59" t="inlineStr"/>
      <c r="J132" s="59" t="inlineStr">
        <is>
          <t>MF Investment</t>
        </is>
      </c>
      <c r="K132" s="59" t="inlineStr">
        <is>
          <t>Investments</t>
        </is>
      </c>
      <c r="L132" s="18" t="n">
        <v>0.88</v>
      </c>
      <c r="M132" s="59" t="inlineStr">
        <is>
          <t>N/A</t>
        </is>
      </c>
    </row>
    <row r="133">
      <c r="A133" s="58" t="n">
        <v>45220</v>
      </c>
      <c r="B133" s="59" t="inlineStr">
        <is>
          <t>NFT/NEOSIEXEDDD2023102102430284576 Mirae
Asset Mut</t>
        </is>
      </c>
      <c r="C133" s="59" t="inlineStr"/>
      <c r="D133" s="58" t="n">
        <v>45220</v>
      </c>
      <c r="E133" s="59" t="n">
        <v>1000</v>
      </c>
      <c r="F133" s="59" t="n">
        <v>0</v>
      </c>
      <c r="G133" s="59" t="n">
        <v>13798.59</v>
      </c>
      <c r="H133" s="59" t="inlineStr"/>
      <c r="I133" s="59" t="inlineStr"/>
      <c r="J133" s="59" t="inlineStr">
        <is>
          <t>MF Investment</t>
        </is>
      </c>
      <c r="K133" s="59" t="inlineStr">
        <is>
          <t>Investments</t>
        </is>
      </c>
      <c r="L133" s="18" t="n">
        <v>0.88</v>
      </c>
      <c r="M133" s="59" t="inlineStr">
        <is>
          <t>N/A</t>
        </is>
      </c>
    </row>
    <row r="134">
      <c r="A134" s="58" t="n">
        <v>45220</v>
      </c>
      <c r="B134" s="59" t="inlineStr">
        <is>
          <t>NFT/NEOSIEXEDDD2023102103115667953 Quant
Mutual Fu</t>
        </is>
      </c>
      <c r="C134" s="59" t="inlineStr"/>
      <c r="D134" s="58" t="n">
        <v>45220</v>
      </c>
      <c r="E134" s="59" t="n">
        <v>1000</v>
      </c>
      <c r="F134" s="59" t="n">
        <v>0</v>
      </c>
      <c r="G134" s="59" t="n">
        <v>12798.59</v>
      </c>
      <c r="H134" s="59" t="inlineStr"/>
      <c r="I134" s="59" t="inlineStr"/>
      <c r="J134" s="59" t="inlineStr">
        <is>
          <t>MF Investment</t>
        </is>
      </c>
      <c r="K134" s="59" t="inlineStr">
        <is>
          <t>Investments</t>
        </is>
      </c>
      <c r="L134" s="18" t="n">
        <v>0.88</v>
      </c>
      <c r="M134" s="59" t="inlineStr">
        <is>
          <t>N/A</t>
        </is>
      </c>
    </row>
    <row r="135">
      <c r="A135" s="58" t="n">
        <v>45221</v>
      </c>
      <c r="B135" s="59" t="inlineStr">
        <is>
          <t>NFT/NEOSIEXEDDD2023102212352368958 NAVI
Mutual Fun</t>
        </is>
      </c>
      <c r="C135" s="59" t="inlineStr"/>
      <c r="D135" s="58" t="n">
        <v>45221</v>
      </c>
      <c r="E135" s="59" t="n">
        <v>100</v>
      </c>
      <c r="F135" s="59" t="n">
        <v>0</v>
      </c>
      <c r="G135" s="59" t="n">
        <v>12698.59</v>
      </c>
      <c r="H135" s="59" t="inlineStr"/>
      <c r="I135" s="59" t="inlineStr"/>
      <c r="J135" s="59" t="inlineStr">
        <is>
          <t>MF Investment</t>
        </is>
      </c>
      <c r="K135" s="59" t="inlineStr">
        <is>
          <t>Investments</t>
        </is>
      </c>
      <c r="L135" s="18" t="n">
        <v>0.88</v>
      </c>
      <c r="M135" s="59" t="inlineStr">
        <is>
          <t>N/A</t>
        </is>
      </c>
    </row>
    <row r="136">
      <c r="A136" s="58" t="n">
        <v>45222</v>
      </c>
      <c r="B136" s="59" t="inlineStr">
        <is>
          <t>NFT/NEOSIEXEDDD2023102312351055988 NAVI
Mutual Fun</t>
        </is>
      </c>
      <c r="C136" s="59" t="inlineStr"/>
      <c r="D136" s="58" t="n">
        <v>45222</v>
      </c>
      <c r="E136" s="59" t="n">
        <v>100</v>
      </c>
      <c r="F136" s="59" t="n">
        <v>0</v>
      </c>
      <c r="G136" s="59" t="n">
        <v>12598.59</v>
      </c>
      <c r="H136" s="59" t="inlineStr"/>
      <c r="I136" s="59" t="inlineStr"/>
      <c r="J136" s="59" t="inlineStr">
        <is>
          <t>MF Investment</t>
        </is>
      </c>
      <c r="K136" s="59" t="inlineStr">
        <is>
          <t>Investments</t>
        </is>
      </c>
      <c r="L136" s="18" t="n">
        <v>0.88</v>
      </c>
      <c r="M136" s="59" t="inlineStr">
        <is>
          <t>N/A</t>
        </is>
      </c>
    </row>
    <row r="137">
      <c r="A137" s="21" t="n">
        <v>45222</v>
      </c>
      <c r="B137" s="22" t="inlineStr">
        <is>
          <t>UPIOUT/329672950777/irctc.cf@hdfcbank/IRCT
C /4722</t>
        </is>
      </c>
      <c r="C137" s="22" t="inlineStr"/>
      <c r="D137" s="21" t="n">
        <v>45222</v>
      </c>
      <c r="E137" s="22" t="n">
        <v>366.8</v>
      </c>
      <c r="F137" s="22" t="n">
        <v>0</v>
      </c>
      <c r="G137" s="22" t="n">
        <v>12231.79</v>
      </c>
      <c r="H137" s="22" t="inlineStr"/>
      <c r="I137" s="22" t="inlineStr"/>
      <c r="J137" s="22" t="inlineStr">
        <is>
          <t>UPI - IRCTC</t>
        </is>
      </c>
      <c r="K137" s="22" t="inlineStr">
        <is>
          <t>Travel</t>
        </is>
      </c>
      <c r="L137" s="18" t="n">
        <v>0.88</v>
      </c>
      <c r="M137" s="22" t="inlineStr">
        <is>
          <t>N/A</t>
        </is>
      </c>
    </row>
    <row r="138">
      <c r="A138" s="21" t="n">
        <v>45222</v>
      </c>
      <c r="B138" s="22" t="inlineStr">
        <is>
          <t>UPIOUT/329672952148/irctc.cf@hdfcbank/IRCT
C /4722</t>
        </is>
      </c>
      <c r="C138" s="22" t="inlineStr"/>
      <c r="D138" s="21" t="n">
        <v>45222</v>
      </c>
      <c r="E138" s="22" t="n">
        <v>366.8</v>
      </c>
      <c r="F138" s="22" t="n">
        <v>0</v>
      </c>
      <c r="G138" s="22" t="n">
        <v>11864.99</v>
      </c>
      <c r="H138" s="22" t="inlineStr"/>
      <c r="I138" s="22" t="inlineStr"/>
      <c r="J138" s="22" t="inlineStr">
        <is>
          <t>UPI - IRCTC</t>
        </is>
      </c>
      <c r="K138" s="22" t="inlineStr">
        <is>
          <t>Travel</t>
        </is>
      </c>
      <c r="L138" s="18" t="n">
        <v>0.88</v>
      </c>
      <c r="M138" s="22" t="inlineStr">
        <is>
          <t>N/A</t>
        </is>
      </c>
    </row>
    <row r="139">
      <c r="A139" s="58" t="n">
        <v>45223</v>
      </c>
      <c r="B139" s="59" t="inlineStr">
        <is>
          <t>NFT/NEOSIEXEDDD2023102412350483123 NAVI
Mutual Fun</t>
        </is>
      </c>
      <c r="C139" s="59" t="inlineStr"/>
      <c r="D139" s="58" t="n">
        <v>45223</v>
      </c>
      <c r="E139" s="59" t="n">
        <v>100</v>
      </c>
      <c r="F139" s="59" t="n">
        <v>0</v>
      </c>
      <c r="G139" s="59" t="n">
        <v>11764.99</v>
      </c>
      <c r="H139" s="59" t="inlineStr"/>
      <c r="I139" s="59" t="inlineStr"/>
      <c r="J139" s="59" t="inlineStr">
        <is>
          <t>MF Investment</t>
        </is>
      </c>
      <c r="K139" s="59" t="inlineStr">
        <is>
          <t>Investments</t>
        </is>
      </c>
      <c r="L139" s="18" t="n">
        <v>0.88</v>
      </c>
      <c r="M139" s="59" t="inlineStr">
        <is>
          <t>N/A</t>
        </is>
      </c>
    </row>
    <row r="140">
      <c r="A140" s="58" t="n">
        <v>45224</v>
      </c>
      <c r="B140" s="59" t="inlineStr">
        <is>
          <t>NFT/NEOSIEXEDDD2023102512352494766 NAVI
Mutual Fun</t>
        </is>
      </c>
      <c r="C140" s="59" t="inlineStr"/>
      <c r="D140" s="58" t="n">
        <v>45224</v>
      </c>
      <c r="E140" s="59" t="n">
        <v>100</v>
      </c>
      <c r="F140" s="59" t="n">
        <v>0</v>
      </c>
      <c r="G140" s="59" t="n">
        <v>11664.99</v>
      </c>
      <c r="H140" s="59" t="inlineStr"/>
      <c r="I140" s="59" t="inlineStr"/>
      <c r="J140" s="59" t="inlineStr">
        <is>
          <t>MF Investment</t>
        </is>
      </c>
      <c r="K140" s="59" t="inlineStr">
        <is>
          <t>Investments</t>
        </is>
      </c>
      <c r="L140" s="18" t="n">
        <v>0.88</v>
      </c>
      <c r="M140" s="59" t="inlineStr">
        <is>
          <t>N/A</t>
        </is>
      </c>
    </row>
    <row r="141">
      <c r="A141" s="58" t="n">
        <v>45225</v>
      </c>
      <c r="B141" s="59" t="inlineStr">
        <is>
          <t>NFT/NEOSIEXEDDD2023102612353608383 NAVI
Mutual Fun</t>
        </is>
      </c>
      <c r="C141" s="59" t="inlineStr"/>
      <c r="D141" s="58" t="n">
        <v>45225</v>
      </c>
      <c r="E141" s="59" t="n">
        <v>100</v>
      </c>
      <c r="F141" s="59" t="n">
        <v>0</v>
      </c>
      <c r="G141" s="59" t="n">
        <v>11564.99</v>
      </c>
      <c r="H141" s="59" t="inlineStr"/>
      <c r="I141" s="59" t="inlineStr"/>
      <c r="J141" s="59" t="inlineStr">
        <is>
          <t>MF Investment</t>
        </is>
      </c>
      <c r="K141" s="59" t="inlineStr">
        <is>
          <t>Investments</t>
        </is>
      </c>
      <c r="L141" s="18" t="n">
        <v>0.88</v>
      </c>
      <c r="M141" s="59" t="inlineStr">
        <is>
          <t>N/A</t>
        </is>
      </c>
    </row>
    <row r="142">
      <c r="A142" s="93" t="n">
        <v>45225</v>
      </c>
      <c r="B142" s="94" t="inlineStr">
        <is>
          <t>UPIOUT/329942858809/gpay-11232400083@okbiz
ax/5411</t>
        </is>
      </c>
      <c r="C142" s="94" t="inlineStr"/>
      <c r="D142" s="93" t="n">
        <v>45225</v>
      </c>
      <c r="E142" s="94" t="n">
        <v>135</v>
      </c>
      <c r="F142" s="94" t="n">
        <v>0</v>
      </c>
      <c r="G142" s="94" t="n">
        <v>11429.99</v>
      </c>
      <c r="H142" s="94" t="inlineStr"/>
      <c r="I142" s="94" t="inlineStr"/>
      <c r="J142" s="94" t="inlineStr">
        <is>
          <t>UPI - Google Pay</t>
        </is>
      </c>
      <c r="K142" s="94" t="inlineStr">
        <is>
          <t>Personal</t>
        </is>
      </c>
      <c r="L142" s="34" t="n">
        <v>0.65</v>
      </c>
      <c r="M142" s="94" t="inlineStr">
        <is>
          <t>N/A</t>
        </is>
      </c>
    </row>
    <row r="143">
      <c r="A143" s="37" t="n">
        <v>45225</v>
      </c>
      <c r="B143" s="38" t="inlineStr">
        <is>
          <t>UPIOUT/329959835902/Q218188765@ybl/Sent
via /5411</t>
        </is>
      </c>
      <c r="C143" s="38" t="inlineStr"/>
      <c r="D143" s="37" t="n">
        <v>45225</v>
      </c>
      <c r="E143" s="38" t="n">
        <v>30</v>
      </c>
      <c r="F143" s="38" t="n">
        <v>0</v>
      </c>
      <c r="G143" s="38" t="n">
        <v>11399.99</v>
      </c>
      <c r="H143" s="38" t="inlineStr"/>
      <c r="I143" s="38" t="inlineStr"/>
      <c r="J143" s="38" t="inlineStr">
        <is>
          <t>UPI Payment</t>
        </is>
      </c>
      <c r="K143" s="38" t="inlineStr">
        <is>
          <t>Personal</t>
        </is>
      </c>
      <c r="L143" s="25" t="n">
        <v>0.55</v>
      </c>
      <c r="M143" s="38" t="inlineStr">
        <is>
          <t>N/A</t>
        </is>
      </c>
    </row>
    <row r="144">
      <c r="A144" s="37" t="n">
        <v>45225</v>
      </c>
      <c r="B144" s="38" t="inlineStr">
        <is>
          <t>UPIOUT/329963181188/redbus1.DBQR.payu@indu
s//4722</t>
        </is>
      </c>
      <c r="C144" s="38" t="inlineStr"/>
      <c r="D144" s="37" t="n">
        <v>45225</v>
      </c>
      <c r="E144" s="38" t="n">
        <v>1296</v>
      </c>
      <c r="F144" s="38" t="n">
        <v>0</v>
      </c>
      <c r="G144" s="38" t="n">
        <v>10103.99</v>
      </c>
      <c r="H144" s="38" t="inlineStr"/>
      <c r="I144" s="38" t="inlineStr"/>
      <c r="J144" s="38" t="inlineStr">
        <is>
          <t>UPI Payment</t>
        </is>
      </c>
      <c r="K144" s="38" t="inlineStr">
        <is>
          <t>Personal</t>
        </is>
      </c>
      <c r="L144" s="25" t="n">
        <v>0.55</v>
      </c>
      <c r="M144" s="38" t="inlineStr">
        <is>
          <t>N/A</t>
        </is>
      </c>
    </row>
    <row r="145">
      <c r="A145" s="58" t="n">
        <v>45226</v>
      </c>
      <c r="B145" s="59" t="inlineStr">
        <is>
          <t>NFT/NEOSIEXEDDD2023102712350915224 NAVI
Mutual Fun</t>
        </is>
      </c>
      <c r="C145" s="59" t="inlineStr"/>
      <c r="D145" s="58" t="n">
        <v>45226</v>
      </c>
      <c r="E145" s="59" t="n">
        <v>100</v>
      </c>
      <c r="F145" s="59" t="n">
        <v>0</v>
      </c>
      <c r="G145" s="59" t="n">
        <v>10003.99</v>
      </c>
      <c r="H145" s="59" t="inlineStr"/>
      <c r="I145" s="59" t="inlineStr"/>
      <c r="J145" s="59" t="inlineStr">
        <is>
          <t>MF Investment</t>
        </is>
      </c>
      <c r="K145" s="59" t="inlineStr">
        <is>
          <t>Investments</t>
        </is>
      </c>
      <c r="L145" s="18" t="n">
        <v>0.88</v>
      </c>
      <c r="M145" s="59" t="inlineStr">
        <is>
          <t>N/A</t>
        </is>
      </c>
    </row>
    <row r="146">
      <c r="A146" s="74" t="n">
        <v>45226</v>
      </c>
      <c r="B146" s="75" t="inlineStr">
        <is>
          <t>NFT/NEOSIEXEDDD2023102712350915224 NAVI
Mutual Fun</t>
        </is>
      </c>
      <c r="C146" s="75" t="inlineStr"/>
      <c r="D146" s="74" t="n">
        <v>45226</v>
      </c>
      <c r="E146" s="75" t="n">
        <v>0</v>
      </c>
      <c r="F146" s="75" t="n">
        <v>100</v>
      </c>
      <c r="G146" s="75" t="n">
        <v>10103.99</v>
      </c>
      <c r="H146" s="75" t="inlineStr"/>
      <c r="I146" s="75" t="inlineStr"/>
      <c r="J146" s="75" t="inlineStr">
        <is>
          <t>MF Redemption</t>
        </is>
      </c>
      <c r="K146" s="75" t="inlineStr">
        <is>
          <t>Mutual Funds</t>
        </is>
      </c>
      <c r="L146" s="18" t="n">
        <v>0.88</v>
      </c>
      <c r="M146" s="75" t="inlineStr">
        <is>
          <t>N/A</t>
        </is>
      </c>
    </row>
    <row r="147">
      <c r="A147" s="58" t="n">
        <v>45226</v>
      </c>
      <c r="B147" s="59" t="inlineStr">
        <is>
          <t>NFT/NEOSIEXEDDD2023102710420877892 NAVI
Mutual Fun</t>
        </is>
      </c>
      <c r="C147" s="59" t="inlineStr"/>
      <c r="D147" s="58" t="n">
        <v>45226</v>
      </c>
      <c r="E147" s="59" t="n">
        <v>100</v>
      </c>
      <c r="F147" s="59" t="n">
        <v>0</v>
      </c>
      <c r="G147" s="59" t="n">
        <v>10003.99</v>
      </c>
      <c r="H147" s="59" t="inlineStr"/>
      <c r="I147" s="59" t="inlineStr"/>
      <c r="J147" s="59" t="inlineStr">
        <is>
          <t>MF Investment</t>
        </is>
      </c>
      <c r="K147" s="59" t="inlineStr">
        <is>
          <t>Investments</t>
        </is>
      </c>
      <c r="L147" s="18" t="n">
        <v>0.88</v>
      </c>
      <c r="M147" s="59" t="inlineStr">
        <is>
          <t>N/A</t>
        </is>
      </c>
    </row>
    <row r="148">
      <c r="A148" s="23" t="n">
        <v>45226</v>
      </c>
      <c r="B148" s="24" t="inlineStr">
        <is>
          <t>NFT/LINCOLN ELECTRI/23AR65620QK11X91/BANK
OF AM</t>
        </is>
      </c>
      <c r="C148" s="24" t="inlineStr"/>
      <c r="D148" s="23" t="n">
        <v>45226</v>
      </c>
      <c r="E148" s="24" t="n">
        <v>0</v>
      </c>
      <c r="F148" s="24" t="n">
        <v>9166.66</v>
      </c>
      <c r="G148" s="24" t="n">
        <v>19170.65</v>
      </c>
      <c r="H148" s="24" t="inlineStr"/>
      <c r="I148" s="24" t="inlineStr"/>
      <c r="J148" s="24" t="inlineStr">
        <is>
          <t>What is this?</t>
        </is>
      </c>
      <c r="K148" s="24" t="inlineStr">
        <is>
          <t>Suspense</t>
        </is>
      </c>
      <c r="L148" s="25" t="n">
        <v>0</v>
      </c>
      <c r="M148" s="24" t="inlineStr">
        <is>
          <t>N/A</t>
        </is>
      </c>
    </row>
    <row r="149">
      <c r="A149" s="35" t="n">
        <v>45226</v>
      </c>
      <c r="B149" s="36" t="inlineStr">
        <is>
          <t>UPIOUT/330096853832/paytmqrz1tc46rqs8@payt
m//5812</t>
        </is>
      </c>
      <c r="C149" s="36" t="inlineStr"/>
      <c r="D149" s="35" t="n">
        <v>45226</v>
      </c>
      <c r="E149" s="36" t="n">
        <v>126</v>
      </c>
      <c r="F149" s="36" t="n">
        <v>0</v>
      </c>
      <c r="G149" s="36" t="n">
        <v>19044.65</v>
      </c>
      <c r="H149" s="36" t="inlineStr"/>
      <c r="I149" s="36" t="inlineStr"/>
      <c r="J149" s="36" t="inlineStr">
        <is>
          <t>UPI - Paytm</t>
        </is>
      </c>
      <c r="K149" s="36" t="inlineStr">
        <is>
          <t>Personal</t>
        </is>
      </c>
      <c r="L149" s="34" t="n">
        <v>0.65</v>
      </c>
      <c r="M149" s="36" t="inlineStr">
        <is>
          <t>N/A</t>
        </is>
      </c>
    </row>
    <row r="150">
      <c r="A150" s="58" t="n">
        <v>45227</v>
      </c>
      <c r="B150" s="59" t="inlineStr">
        <is>
          <t>NFT/NEOSIEXEDDD2023102812351693385 NAVI
Mutual Fun</t>
        </is>
      </c>
      <c r="C150" s="59" t="inlineStr"/>
      <c r="D150" s="58" t="n">
        <v>45227</v>
      </c>
      <c r="E150" s="59" t="n">
        <v>100</v>
      </c>
      <c r="F150" s="59" t="n">
        <v>0</v>
      </c>
      <c r="G150" s="59" t="n">
        <v>18944.65</v>
      </c>
      <c r="H150" s="59" t="inlineStr"/>
      <c r="I150" s="59" t="inlineStr"/>
      <c r="J150" s="59" t="inlineStr">
        <is>
          <t>MF Investment</t>
        </is>
      </c>
      <c r="K150" s="59" t="inlineStr">
        <is>
          <t>Investments</t>
        </is>
      </c>
      <c r="L150" s="18" t="n">
        <v>0.88</v>
      </c>
      <c r="M150" s="59" t="inlineStr">
        <is>
          <t>N/A</t>
        </is>
      </c>
    </row>
    <row r="151">
      <c r="A151" s="93" t="n">
        <v>45227</v>
      </c>
      <c r="B151" s="94" t="inlineStr">
        <is>
          <t>UPIOUT/330161961236/euronetgpay.playrc@ici
ci/6540</t>
        </is>
      </c>
      <c r="C151" s="94" t="inlineStr"/>
      <c r="D151" s="93" t="n">
        <v>45227</v>
      </c>
      <c r="E151" s="94" t="n">
        <v>199</v>
      </c>
      <c r="F151" s="94" t="n">
        <v>0</v>
      </c>
      <c r="G151" s="94" t="n">
        <v>18745.65</v>
      </c>
      <c r="H151" s="94" t="inlineStr"/>
      <c r="I151" s="94" t="inlineStr"/>
      <c r="J151" s="94" t="inlineStr">
        <is>
          <t>UPI - Google Pay</t>
        </is>
      </c>
      <c r="K151" s="94" t="inlineStr">
        <is>
          <t>Personal</t>
        </is>
      </c>
      <c r="L151" s="34" t="n">
        <v>0.65</v>
      </c>
      <c r="M151" s="94" t="inlineStr">
        <is>
          <t>N/A</t>
        </is>
      </c>
    </row>
    <row r="152">
      <c r="A152" s="58" t="n">
        <v>45228</v>
      </c>
      <c r="B152" s="59" t="inlineStr">
        <is>
          <t>NFT/NEOSIEXEDDD2023102912351170029 NAVI
Mutual Fun</t>
        </is>
      </c>
      <c r="C152" s="59" t="inlineStr"/>
      <c r="D152" s="58" t="n">
        <v>45228</v>
      </c>
      <c r="E152" s="59" t="n">
        <v>100</v>
      </c>
      <c r="F152" s="59" t="n">
        <v>0</v>
      </c>
      <c r="G152" s="59" t="n">
        <v>18645.65</v>
      </c>
      <c r="H152" s="59" t="inlineStr"/>
      <c r="I152" s="59" t="inlineStr"/>
      <c r="J152" s="59" t="inlineStr">
        <is>
          <t>MF Investment</t>
        </is>
      </c>
      <c r="K152" s="59" t="inlineStr">
        <is>
          <t>Investments</t>
        </is>
      </c>
      <c r="L152" s="18" t="n">
        <v>0.88</v>
      </c>
      <c r="M152" s="59" t="inlineStr">
        <is>
          <t>N/A</t>
        </is>
      </c>
    </row>
    <row r="153">
      <c r="A153" s="21" t="n">
        <v>45228</v>
      </c>
      <c r="B153" s="22" t="inlineStr">
        <is>
          <t>UPIOUT/330280344442/rapido.rzp@icici/Recha
rg/4121</t>
        </is>
      </c>
      <c r="C153" s="22" t="inlineStr"/>
      <c r="D153" s="21" t="n">
        <v>45228</v>
      </c>
      <c r="E153" s="22" t="n">
        <v>121</v>
      </c>
      <c r="F153" s="22" t="n">
        <v>0</v>
      </c>
      <c r="G153" s="22" t="n">
        <v>18524.65</v>
      </c>
      <c r="H153" s="22" t="inlineStr"/>
      <c r="I153" s="22" t="inlineStr"/>
      <c r="J153" s="22" t="inlineStr">
        <is>
          <t>UPI - Rapido</t>
        </is>
      </c>
      <c r="K153" s="22" t="inlineStr">
        <is>
          <t>Transport</t>
        </is>
      </c>
      <c r="L153" s="34" t="n">
        <v>0.68</v>
      </c>
      <c r="M153" s="22" t="inlineStr">
        <is>
          <t>N/A</t>
        </is>
      </c>
    </row>
    <row r="154">
      <c r="A154" s="37" t="n">
        <v>45228</v>
      </c>
      <c r="B154" s="38" t="inlineStr">
        <is>
          <t>UPIOUT/330288558124/Q614784165@ybl/Sent
via /5311</t>
        </is>
      </c>
      <c r="C154" s="38" t="inlineStr"/>
      <c r="D154" s="37" t="n">
        <v>45228</v>
      </c>
      <c r="E154" s="38" t="n">
        <v>99</v>
      </c>
      <c r="F154" s="38" t="n">
        <v>0</v>
      </c>
      <c r="G154" s="38" t="n">
        <v>18425.65</v>
      </c>
      <c r="H154" s="38" t="inlineStr"/>
      <c r="I154" s="38" t="inlineStr"/>
      <c r="J154" s="38" t="inlineStr">
        <is>
          <t>UPI Payment</t>
        </is>
      </c>
      <c r="K154" s="38" t="inlineStr">
        <is>
          <t>Personal</t>
        </is>
      </c>
      <c r="L154" s="25" t="n">
        <v>0.55</v>
      </c>
      <c r="M154" s="38" t="inlineStr">
        <is>
          <t>N/A</t>
        </is>
      </c>
    </row>
    <row r="155">
      <c r="A155" s="58" t="n">
        <v>45229</v>
      </c>
      <c r="B155" s="59" t="inlineStr">
        <is>
          <t>NFT/NEOSIEXEDDD2023103012350943349 NAVI
Mutual Fun</t>
        </is>
      </c>
      <c r="C155" s="59" t="inlineStr"/>
      <c r="D155" s="58" t="n">
        <v>45229</v>
      </c>
      <c r="E155" s="59" t="n">
        <v>100</v>
      </c>
      <c r="F155" s="59" t="n">
        <v>0</v>
      </c>
      <c r="G155" s="59" t="n">
        <v>18325.65</v>
      </c>
      <c r="H155" s="59" t="inlineStr"/>
      <c r="I155" s="59" t="inlineStr"/>
      <c r="J155" s="59" t="inlineStr">
        <is>
          <t>MF Investment</t>
        </is>
      </c>
      <c r="K155" s="59" t="inlineStr">
        <is>
          <t>Investments</t>
        </is>
      </c>
      <c r="L155" s="18" t="n">
        <v>0.88</v>
      </c>
      <c r="M155" s="59" t="inlineStr">
        <is>
          <t>N/A</t>
        </is>
      </c>
    </row>
    <row r="156">
      <c r="A156" s="95" t="n">
        <v>45229</v>
      </c>
      <c r="B156" s="96" t="inlineStr">
        <is>
          <t>UPIOUT/330331022277/zeptonowcashfree@hdfcb
an/5411</t>
        </is>
      </c>
      <c r="C156" s="96" t="inlineStr"/>
      <c r="D156" s="95" t="n">
        <v>45229</v>
      </c>
      <c r="E156" s="96" t="n">
        <v>624</v>
      </c>
      <c r="F156" s="96" t="n">
        <v>0</v>
      </c>
      <c r="G156" s="96" t="n">
        <v>17701.65</v>
      </c>
      <c r="H156" s="96" t="inlineStr"/>
      <c r="I156" s="96" t="inlineStr"/>
      <c r="J156" s="96" t="inlineStr">
        <is>
          <t>UPI - Zepto</t>
        </is>
      </c>
      <c r="K156" s="96" t="inlineStr">
        <is>
          <t>Groceries</t>
        </is>
      </c>
      <c r="L156" s="34" t="n">
        <v>0.68</v>
      </c>
      <c r="M156" s="96" t="inlineStr">
        <is>
          <t>N/A</t>
        </is>
      </c>
    </row>
    <row r="157">
      <c r="A157" s="58" t="n">
        <v>45230</v>
      </c>
      <c r="B157" s="59" t="inlineStr">
        <is>
          <t>NFT/NEOSIEXEDDD2023103112351278421 NAVI
Mutual Fun</t>
        </is>
      </c>
      <c r="C157" s="59" t="inlineStr"/>
      <c r="D157" s="58" t="n">
        <v>45230</v>
      </c>
      <c r="E157" s="59" t="n">
        <v>100</v>
      </c>
      <c r="F157" s="59" t="n">
        <v>0</v>
      </c>
      <c r="G157" s="59" t="n">
        <v>17601.65</v>
      </c>
      <c r="H157" s="59" t="inlineStr"/>
      <c r="I157" s="59" t="inlineStr"/>
      <c r="J157" s="59" t="inlineStr">
        <is>
          <t>MF Investment</t>
        </is>
      </c>
      <c r="K157" s="59" t="inlineStr">
        <is>
          <t>Investments</t>
        </is>
      </c>
      <c r="L157" s="18" t="n">
        <v>0.88</v>
      </c>
      <c r="M157" s="59" t="inlineStr">
        <is>
          <t>N/A</t>
        </is>
      </c>
    </row>
    <row r="158">
      <c r="A158" s="23" t="n">
        <v>45230</v>
      </c>
      <c r="B158" s="24" t="inlineStr">
        <is>
          <t>TO ECM/330302191453/470000087086204
\Amazon</t>
        </is>
      </c>
      <c r="C158" s="24" t="inlineStr"/>
      <c r="D158" s="23" t="n">
        <v>45230</v>
      </c>
      <c r="E158" s="24" t="n">
        <v>613</v>
      </c>
      <c r="F158" s="24" t="n">
        <v>0</v>
      </c>
      <c r="G158" s="24" t="n">
        <v>16988.65</v>
      </c>
      <c r="H158" s="24" t="inlineStr"/>
      <c r="I158" s="24" t="inlineStr"/>
      <c r="J158" s="24" t="inlineStr">
        <is>
          <t>What is this?</t>
        </is>
      </c>
      <c r="K158" s="24" t="inlineStr">
        <is>
          <t>Suspense</t>
        </is>
      </c>
      <c r="L158" s="25" t="n">
        <v>0</v>
      </c>
      <c r="M158" s="24" t="inlineStr">
        <is>
          <t>N/A</t>
        </is>
      </c>
    </row>
    <row r="159">
      <c r="A159" s="23" t="n">
        <v>45230</v>
      </c>
      <c r="B159" s="24" t="inlineStr">
        <is>
          <t>NFT/DR REDDYS LABOR/CITIN23446568003/CITI</t>
        </is>
      </c>
      <c r="C159" s="24" t="inlineStr"/>
      <c r="D159" s="23" t="n">
        <v>45230</v>
      </c>
      <c r="E159" s="24" t="n">
        <v>0</v>
      </c>
      <c r="F159" s="24" t="n">
        <v>34112</v>
      </c>
      <c r="G159" s="24" t="n">
        <v>51100.65</v>
      </c>
      <c r="H159" s="24" t="inlineStr"/>
      <c r="I159" s="24" t="inlineStr"/>
      <c r="J159" s="24" t="inlineStr">
        <is>
          <t>What is this?</t>
        </is>
      </c>
      <c r="K159" s="24" t="inlineStr">
        <is>
          <t>Suspense</t>
        </is>
      </c>
      <c r="L159" s="25" t="n">
        <v>0</v>
      </c>
      <c r="M159" s="24" t="inlineStr">
        <is>
          <t>N/A</t>
        </is>
      </c>
    </row>
    <row r="160">
      <c r="A160" s="58" t="n">
        <v>45231</v>
      </c>
      <c r="B160" s="59" t="inlineStr">
        <is>
          <t>NFT/NEOSIEXEDDD2023110112365375387 NAVI
Mutual Fun</t>
        </is>
      </c>
      <c r="C160" s="59" t="inlineStr"/>
      <c r="D160" s="58" t="n">
        <v>45231</v>
      </c>
      <c r="E160" s="59" t="n">
        <v>100</v>
      </c>
      <c r="F160" s="59" t="n">
        <v>0</v>
      </c>
      <c r="G160" s="59" t="n">
        <v>51000.65</v>
      </c>
      <c r="H160" s="59" t="inlineStr"/>
      <c r="I160" s="59" t="inlineStr"/>
      <c r="J160" s="59" t="inlineStr">
        <is>
          <t>MF Investment</t>
        </is>
      </c>
      <c r="K160" s="59" t="inlineStr">
        <is>
          <t>Investments</t>
        </is>
      </c>
      <c r="L160" s="18" t="n">
        <v>0.88</v>
      </c>
      <c r="M160" s="59" t="inlineStr">
        <is>
          <t>N/A</t>
        </is>
      </c>
    </row>
    <row r="161">
      <c r="A161" s="35" t="n">
        <v>45231</v>
      </c>
      <c r="B161" s="36" t="inlineStr">
        <is>
          <t>UPIOUT/330586054884/paytmqry3eyiz8yp2@payt
m//5812</t>
        </is>
      </c>
      <c r="C161" s="36" t="inlineStr"/>
      <c r="D161" s="35" t="n">
        <v>45231</v>
      </c>
      <c r="E161" s="36" t="n">
        <v>35</v>
      </c>
      <c r="F161" s="36" t="n">
        <v>0</v>
      </c>
      <c r="G161" s="36" t="n">
        <v>50965.65</v>
      </c>
      <c r="H161" s="36" t="inlineStr"/>
      <c r="I161" s="36" t="inlineStr"/>
      <c r="J161" s="36" t="inlineStr">
        <is>
          <t>UPI - Paytm</t>
        </is>
      </c>
      <c r="K161" s="36" t="inlineStr">
        <is>
          <t>Personal</t>
        </is>
      </c>
      <c r="L161" s="34" t="n">
        <v>0.65</v>
      </c>
      <c r="M161" s="36" t="inlineStr">
        <is>
          <t>N/A</t>
        </is>
      </c>
    </row>
    <row r="162">
      <c r="A162" s="35" t="n">
        <v>45231</v>
      </c>
      <c r="B162" s="36" t="inlineStr">
        <is>
          <t>UPIOUT/330586364945/paytmqr1ox7m6rgyo@payt
m//5812</t>
        </is>
      </c>
      <c r="C162" s="36" t="inlineStr"/>
      <c r="D162" s="35" t="n">
        <v>45231</v>
      </c>
      <c r="E162" s="36" t="n">
        <v>15</v>
      </c>
      <c r="F162" s="36" t="n">
        <v>0</v>
      </c>
      <c r="G162" s="36" t="n">
        <v>50950.65</v>
      </c>
      <c r="H162" s="36" t="inlineStr"/>
      <c r="I162" s="36" t="inlineStr"/>
      <c r="J162" s="36" t="inlineStr">
        <is>
          <t>UPI - Paytm</t>
        </is>
      </c>
      <c r="K162" s="36" t="inlineStr">
        <is>
          <t>Personal</t>
        </is>
      </c>
      <c r="L162" s="34" t="n">
        <v>0.65</v>
      </c>
      <c r="M162" s="36" t="inlineStr">
        <is>
          <t>N/A</t>
        </is>
      </c>
    </row>
    <row r="163">
      <c r="A163" s="35" t="n">
        <v>45231</v>
      </c>
      <c r="B163" s="36" t="inlineStr">
        <is>
          <t>UPIOUT/330595243238/paytmqrfmo9fujhwg@payt
m//5812</t>
        </is>
      </c>
      <c r="C163" s="36" t="inlineStr"/>
      <c r="D163" s="35" t="n">
        <v>45231</v>
      </c>
      <c r="E163" s="36" t="n">
        <v>150</v>
      </c>
      <c r="F163" s="36" t="n">
        <v>0</v>
      </c>
      <c r="G163" s="36" t="n">
        <v>50800.65</v>
      </c>
      <c r="H163" s="36" t="inlineStr"/>
      <c r="I163" s="36" t="inlineStr"/>
      <c r="J163" s="36" t="inlineStr">
        <is>
          <t>UPI - Paytm</t>
        </is>
      </c>
      <c r="K163" s="36" t="inlineStr">
        <is>
          <t>Personal</t>
        </is>
      </c>
      <c r="L163" s="34" t="n">
        <v>0.65</v>
      </c>
      <c r="M163" s="36" t="inlineStr">
        <is>
          <t>N/A</t>
        </is>
      </c>
    </row>
    <row r="164">
      <c r="A164" s="35" t="n">
        <v>45231</v>
      </c>
      <c r="B164" s="36" t="inlineStr">
        <is>
          <t>UPIOUT/330596071626/paytmqrfmo9fujhwg@payt
m//5812</t>
        </is>
      </c>
      <c r="C164" s="36" t="inlineStr"/>
      <c r="D164" s="35" t="n">
        <v>45231</v>
      </c>
      <c r="E164" s="36" t="n">
        <v>20</v>
      </c>
      <c r="F164" s="36" t="n">
        <v>0</v>
      </c>
      <c r="G164" s="36" t="n">
        <v>50780.65</v>
      </c>
      <c r="H164" s="36" t="inlineStr"/>
      <c r="I164" s="36" t="inlineStr"/>
      <c r="J164" s="36" t="inlineStr">
        <is>
          <t>UPI - Paytm</t>
        </is>
      </c>
      <c r="K164" s="36" t="inlineStr">
        <is>
          <t>Personal</t>
        </is>
      </c>
      <c r="L164" s="34" t="n">
        <v>0.65</v>
      </c>
      <c r="M164" s="36" t="inlineStr">
        <is>
          <t>N/A</t>
        </is>
      </c>
    </row>
    <row r="165">
      <c r="A165" s="58" t="n">
        <v>45232</v>
      </c>
      <c r="B165" s="59" t="inlineStr">
        <is>
          <t>NFT/NEOSIEXEDDD2023110212361814706 NAVI
Mutual Fun</t>
        </is>
      </c>
      <c r="C165" s="59" t="inlineStr"/>
      <c r="D165" s="58" t="n">
        <v>45232</v>
      </c>
      <c r="E165" s="59" t="n">
        <v>100</v>
      </c>
      <c r="F165" s="59" t="n">
        <v>0</v>
      </c>
      <c r="G165" s="59" t="n">
        <v>50680.65</v>
      </c>
      <c r="H165" s="59" t="inlineStr"/>
      <c r="I165" s="59" t="inlineStr"/>
      <c r="J165" s="59" t="inlineStr">
        <is>
          <t>MF Investment</t>
        </is>
      </c>
      <c r="K165" s="59" t="inlineStr">
        <is>
          <t>Investments</t>
        </is>
      </c>
      <c r="L165" s="18" t="n">
        <v>0.88</v>
      </c>
      <c r="M165" s="59" t="inlineStr">
        <is>
          <t>N/A</t>
        </is>
      </c>
    </row>
    <row r="166">
      <c r="A166" s="37" t="n">
        <v>45232</v>
      </c>
      <c r="B166" s="38" t="inlineStr">
        <is>
          <t>UPIOUT/330667461912/Q984373069@ybl/Sent
via /5814</t>
        </is>
      </c>
      <c r="C166" s="38" t="inlineStr"/>
      <c r="D166" s="37" t="n">
        <v>45232</v>
      </c>
      <c r="E166" s="38" t="n">
        <v>40</v>
      </c>
      <c r="F166" s="38" t="n">
        <v>0</v>
      </c>
      <c r="G166" s="38" t="n">
        <v>50640.65</v>
      </c>
      <c r="H166" s="38" t="inlineStr"/>
      <c r="I166" s="38" t="inlineStr"/>
      <c r="J166" s="38" t="inlineStr">
        <is>
          <t>UPI Payment</t>
        </is>
      </c>
      <c r="K166" s="38" t="inlineStr">
        <is>
          <t>Personal</t>
        </is>
      </c>
      <c r="L166" s="25" t="n">
        <v>0.55</v>
      </c>
      <c r="M166" s="38" t="inlineStr">
        <is>
          <t>N/A</t>
        </is>
      </c>
    </row>
    <row r="167">
      <c r="A167" s="35" t="n">
        <v>45232</v>
      </c>
      <c r="B167" s="36" t="inlineStr">
        <is>
          <t>UPIOUT/330667736470/paytmqrfmo9fujhwg@payt
m//5812</t>
        </is>
      </c>
      <c r="C167" s="36" t="inlineStr"/>
      <c r="D167" s="35" t="n">
        <v>45232</v>
      </c>
      <c r="E167" s="36" t="n">
        <v>90</v>
      </c>
      <c r="F167" s="36" t="n">
        <v>0</v>
      </c>
      <c r="G167" s="36" t="n">
        <v>50550.65</v>
      </c>
      <c r="H167" s="36" t="inlineStr"/>
      <c r="I167" s="36" t="inlineStr"/>
      <c r="J167" s="36" t="inlineStr">
        <is>
          <t>UPI - Paytm</t>
        </is>
      </c>
      <c r="K167" s="36" t="inlineStr">
        <is>
          <t>Personal</t>
        </is>
      </c>
      <c r="L167" s="34" t="n">
        <v>0.65</v>
      </c>
      <c r="M167" s="36" t="inlineStr">
        <is>
          <t>N/A</t>
        </is>
      </c>
    </row>
    <row r="168">
      <c r="A168" s="37" t="n">
        <v>45232</v>
      </c>
      <c r="B168" s="38" t="inlineStr">
        <is>
          <t>UPIOUT/330668791954/Q664676942@ybl/Sent
via /8999</t>
        </is>
      </c>
      <c r="C168" s="38" t="inlineStr"/>
      <c r="D168" s="37" t="n">
        <v>45232</v>
      </c>
      <c r="E168" s="38" t="n">
        <v>25</v>
      </c>
      <c r="F168" s="38" t="n">
        <v>0</v>
      </c>
      <c r="G168" s="38" t="n">
        <v>50525.65</v>
      </c>
      <c r="H168" s="38" t="inlineStr"/>
      <c r="I168" s="38" t="inlineStr"/>
      <c r="J168" s="38" t="inlineStr">
        <is>
          <t>UPI Payment</t>
        </is>
      </c>
      <c r="K168" s="38" t="inlineStr">
        <is>
          <t>Personal</t>
        </is>
      </c>
      <c r="L168" s="25" t="n">
        <v>0.55</v>
      </c>
      <c r="M168" s="38" t="inlineStr">
        <is>
          <t>N/A</t>
        </is>
      </c>
    </row>
    <row r="169">
      <c r="A169" s="74" t="n">
        <v>45232</v>
      </c>
      <c r="B169" s="75" t="inlineStr">
        <is>
          <t>FT
IMPS/IFI/330621248872/CAMS/8199017149997</t>
        </is>
      </c>
      <c r="C169" s="75" t="inlineStr"/>
      <c r="D169" s="74" t="n">
        <v>45232</v>
      </c>
      <c r="E169" s="75" t="n">
        <v>0</v>
      </c>
      <c r="F169" s="75" t="n">
        <v>1</v>
      </c>
      <c r="G169" s="75" t="n">
        <v>50526.65</v>
      </c>
      <c r="H169" s="75" t="inlineStr"/>
      <c r="I169" s="75" t="inlineStr"/>
      <c r="J169" s="75" t="inlineStr">
        <is>
          <t>MF Redemption</t>
        </is>
      </c>
      <c r="K169" s="75" t="inlineStr">
        <is>
          <t>Mutual Funds</t>
        </is>
      </c>
      <c r="L169" s="18" t="n">
        <v>0.85</v>
      </c>
      <c r="M169" s="75" t="inlineStr">
        <is>
          <t>N/A</t>
        </is>
      </c>
    </row>
    <row r="170">
      <c r="A170" s="58" t="n">
        <v>45233</v>
      </c>
      <c r="B170" s="59" t="inlineStr">
        <is>
          <t>NFT/NEOSIEXEDDD2023110312352497782 NAVI
Mutual Fun</t>
        </is>
      </c>
      <c r="C170" s="59" t="inlineStr"/>
      <c r="D170" s="58" t="n">
        <v>45233</v>
      </c>
      <c r="E170" s="59" t="n">
        <v>100</v>
      </c>
      <c r="F170" s="59" t="n">
        <v>0</v>
      </c>
      <c r="G170" s="59" t="n">
        <v>50426.65</v>
      </c>
      <c r="H170" s="59" t="inlineStr"/>
      <c r="I170" s="59" t="inlineStr"/>
      <c r="J170" s="59" t="inlineStr">
        <is>
          <t>MF Investment</t>
        </is>
      </c>
      <c r="K170" s="59" t="inlineStr">
        <is>
          <t>Investments</t>
        </is>
      </c>
      <c r="L170" s="18" t="n">
        <v>0.88</v>
      </c>
      <c r="M170" s="59" t="inlineStr">
        <is>
          <t>N/A</t>
        </is>
      </c>
    </row>
    <row r="171">
      <c r="A171" s="35" t="n">
        <v>45233</v>
      </c>
      <c r="B171" s="36" t="inlineStr">
        <is>
          <t>UPIOUT/330780740709/paytmqry3eyiz8yp2@payt
m//5812</t>
        </is>
      </c>
      <c r="C171" s="36" t="inlineStr"/>
      <c r="D171" s="35" t="n">
        <v>45233</v>
      </c>
      <c r="E171" s="36" t="n">
        <v>35</v>
      </c>
      <c r="F171" s="36" t="n">
        <v>0</v>
      </c>
      <c r="G171" s="36" t="n">
        <v>50391.65</v>
      </c>
      <c r="H171" s="36" t="inlineStr"/>
      <c r="I171" s="36" t="inlineStr"/>
      <c r="J171" s="36" t="inlineStr">
        <is>
          <t>UPI - Paytm</t>
        </is>
      </c>
      <c r="K171" s="36" t="inlineStr">
        <is>
          <t>Personal</t>
        </is>
      </c>
      <c r="L171" s="34" t="n">
        <v>0.65</v>
      </c>
      <c r="M171" s="36" t="inlineStr">
        <is>
          <t>N/A</t>
        </is>
      </c>
    </row>
    <row r="172">
      <c r="A172" s="35" t="n">
        <v>45233</v>
      </c>
      <c r="B172" s="36" t="inlineStr">
        <is>
          <t>UPIOUT/330781019986/paytmqr1ox7m6rgyo@payt
m//5812</t>
        </is>
      </c>
      <c r="C172" s="36" t="inlineStr"/>
      <c r="D172" s="35" t="n">
        <v>45233</v>
      </c>
      <c r="E172" s="36" t="n">
        <v>15</v>
      </c>
      <c r="F172" s="36" t="n">
        <v>0</v>
      </c>
      <c r="G172" s="36" t="n">
        <v>50376.65</v>
      </c>
      <c r="H172" s="36" t="inlineStr"/>
      <c r="I172" s="36" t="inlineStr"/>
      <c r="J172" s="36" t="inlineStr">
        <is>
          <t>UPI - Paytm</t>
        </is>
      </c>
      <c r="K172" s="36" t="inlineStr">
        <is>
          <t>Personal</t>
        </is>
      </c>
      <c r="L172" s="34" t="n">
        <v>0.65</v>
      </c>
      <c r="M172" s="36" t="inlineStr">
        <is>
          <t>N/A</t>
        </is>
      </c>
    </row>
    <row r="173">
      <c r="A173" s="91" t="n">
        <v>45233</v>
      </c>
      <c r="B173" s="92" t="inlineStr">
        <is>
          <t>UPIOUT/330786190449/uber@axisbank/charge/4
121</t>
        </is>
      </c>
      <c r="C173" s="92" t="inlineStr"/>
      <c r="D173" s="91" t="n">
        <v>45233</v>
      </c>
      <c r="E173" s="92" t="n">
        <v>26.02</v>
      </c>
      <c r="F173" s="92" t="n">
        <v>0</v>
      </c>
      <c r="G173" s="92" t="n">
        <v>50350.63</v>
      </c>
      <c r="H173" s="92" t="inlineStr"/>
      <c r="I173" s="92" t="inlineStr"/>
      <c r="J173" s="92" t="inlineStr">
        <is>
          <t>UPI - Uber</t>
        </is>
      </c>
      <c r="K173" s="92" t="inlineStr">
        <is>
          <t>Transport</t>
        </is>
      </c>
      <c r="L173" s="34" t="n">
        <v>0.68</v>
      </c>
      <c r="M173" s="92" t="inlineStr">
        <is>
          <t>N/A</t>
        </is>
      </c>
    </row>
    <row r="174">
      <c r="A174" s="37" t="n">
        <v>45233</v>
      </c>
      <c r="B174" s="38" t="inlineStr">
        <is>
          <t>UPIOUT/330789256870/jupiterbillpay2@fbl/BB
PS/4814</t>
        </is>
      </c>
      <c r="C174" s="38" t="inlineStr"/>
      <c r="D174" s="37" t="n">
        <v>45233</v>
      </c>
      <c r="E174" s="38" t="n">
        <v>1799</v>
      </c>
      <c r="F174" s="38" t="n">
        <v>0</v>
      </c>
      <c r="G174" s="38" t="n">
        <v>48551.63</v>
      </c>
      <c r="H174" s="38" t="inlineStr"/>
      <c r="I174" s="38" t="inlineStr"/>
      <c r="J174" s="38" t="inlineStr">
        <is>
          <t>UPI Payment</t>
        </is>
      </c>
      <c r="K174" s="38" t="inlineStr">
        <is>
          <t>Personal</t>
        </is>
      </c>
      <c r="L174" s="25" t="n">
        <v>0.55</v>
      </c>
      <c r="M174" s="38" t="inlineStr">
        <is>
          <t>N/A</t>
        </is>
      </c>
    </row>
    <row r="175">
      <c r="A175" s="37" t="n">
        <v>45233</v>
      </c>
      <c r="B175" s="38" t="inlineStr">
        <is>
          <t>UPIOUT/330794701468/9010397615@kotak/Sent
vi/0000</t>
        </is>
      </c>
      <c r="C175" s="38" t="inlineStr"/>
      <c r="D175" s="37" t="n">
        <v>45233</v>
      </c>
      <c r="E175" s="38" t="n">
        <v>20</v>
      </c>
      <c r="F175" s="38" t="n">
        <v>0</v>
      </c>
      <c r="G175" s="38" t="n">
        <v>48531.63</v>
      </c>
      <c r="H175" s="38" t="inlineStr"/>
      <c r="I175" s="38" t="inlineStr"/>
      <c r="J175" s="38" t="inlineStr">
        <is>
          <t>UPI Payment</t>
        </is>
      </c>
      <c r="K175" s="38" t="inlineStr">
        <is>
          <t>Personal</t>
        </is>
      </c>
      <c r="L175" s="25" t="n">
        <v>0.55</v>
      </c>
      <c r="M175" s="38" t="inlineStr">
        <is>
          <t>N/A</t>
        </is>
      </c>
    </row>
    <row r="176">
      <c r="A176" s="35" t="n">
        <v>45233</v>
      </c>
      <c r="B176" s="36" t="inlineStr">
        <is>
          <t>UPIOUT/330713643429/paytmqruct2pt8f1w@payt
m//5462</t>
        </is>
      </c>
      <c r="C176" s="36" t="inlineStr"/>
      <c r="D176" s="35" t="n">
        <v>45233</v>
      </c>
      <c r="E176" s="36" t="n">
        <v>30</v>
      </c>
      <c r="F176" s="36" t="n">
        <v>0</v>
      </c>
      <c r="G176" s="36" t="n">
        <v>48501.63</v>
      </c>
      <c r="H176" s="36" t="inlineStr"/>
      <c r="I176" s="36" t="inlineStr"/>
      <c r="J176" s="36" t="inlineStr">
        <is>
          <t>UPI - Paytm</t>
        </is>
      </c>
      <c r="K176" s="36" t="inlineStr">
        <is>
          <t>Personal</t>
        </is>
      </c>
      <c r="L176" s="34" t="n">
        <v>0.65</v>
      </c>
      <c r="M176" s="36" t="inlineStr">
        <is>
          <t>N/A</t>
        </is>
      </c>
    </row>
    <row r="177">
      <c r="A177" s="35" t="n">
        <v>45233</v>
      </c>
      <c r="B177" s="36" t="inlineStr">
        <is>
          <t>UPIOUT/330725397088/paytmqrfmo9fujhwg@payt
m//5812</t>
        </is>
      </c>
      <c r="C177" s="36" t="inlineStr"/>
      <c r="D177" s="35" t="n">
        <v>45233</v>
      </c>
      <c r="E177" s="36" t="n">
        <v>70</v>
      </c>
      <c r="F177" s="36" t="n">
        <v>0</v>
      </c>
      <c r="G177" s="36" t="n">
        <v>48431.63</v>
      </c>
      <c r="H177" s="36" t="inlineStr"/>
      <c r="I177" s="36" t="inlineStr"/>
      <c r="J177" s="36" t="inlineStr">
        <is>
          <t>UPI - Paytm</t>
        </is>
      </c>
      <c r="K177" s="36" t="inlineStr">
        <is>
          <t>Personal</t>
        </is>
      </c>
      <c r="L177" s="34" t="n">
        <v>0.65</v>
      </c>
      <c r="M177" s="36" t="inlineStr">
        <is>
          <t>N/A</t>
        </is>
      </c>
    </row>
    <row r="178">
      <c r="A178" s="35" t="n">
        <v>45233</v>
      </c>
      <c r="B178" s="36" t="inlineStr">
        <is>
          <t>UPIOUT/330726300240/paytmqr1pmo8nvizk@payt
m//5812</t>
        </is>
      </c>
      <c r="C178" s="36" t="inlineStr"/>
      <c r="D178" s="35" t="n">
        <v>45233</v>
      </c>
      <c r="E178" s="36" t="n">
        <v>25</v>
      </c>
      <c r="F178" s="36" t="n">
        <v>0</v>
      </c>
      <c r="G178" s="36" t="n">
        <v>48406.63</v>
      </c>
      <c r="H178" s="36" t="inlineStr"/>
      <c r="I178" s="36" t="inlineStr"/>
      <c r="J178" s="36" t="inlineStr">
        <is>
          <t>UPI - Paytm</t>
        </is>
      </c>
      <c r="K178" s="36" t="inlineStr">
        <is>
          <t>Personal</t>
        </is>
      </c>
      <c r="L178" s="34" t="n">
        <v>0.65</v>
      </c>
      <c r="M178" s="36" t="inlineStr">
        <is>
          <t>N/A</t>
        </is>
      </c>
    </row>
    <row r="179">
      <c r="A179" s="93" t="n">
        <v>45233</v>
      </c>
      <c r="B179" s="94" t="inlineStr">
        <is>
          <t>UPIOUT/330768778963/euronetgpay.playrc@ici
ci/6540</t>
        </is>
      </c>
      <c r="C179" s="94" t="inlineStr"/>
      <c r="D179" s="93" t="n">
        <v>45233</v>
      </c>
      <c r="E179" s="94" t="n">
        <v>299</v>
      </c>
      <c r="F179" s="94" t="n">
        <v>0</v>
      </c>
      <c r="G179" s="94" t="n">
        <v>48107.63</v>
      </c>
      <c r="H179" s="94" t="inlineStr"/>
      <c r="I179" s="94" t="inlineStr"/>
      <c r="J179" s="94" t="inlineStr">
        <is>
          <t>UPI - Google Pay</t>
        </is>
      </c>
      <c r="K179" s="94" t="inlineStr">
        <is>
          <t>Personal</t>
        </is>
      </c>
      <c r="L179" s="34" t="n">
        <v>0.65</v>
      </c>
      <c r="M179" s="94" t="inlineStr">
        <is>
          <t>N/A</t>
        </is>
      </c>
    </row>
    <row r="180">
      <c r="A180" s="58" t="n">
        <v>45234</v>
      </c>
      <c r="B180" s="59" t="inlineStr">
        <is>
          <t>NFT/NEOSIEXEDDD2023110412361582270 NAVI
Mutual Fun</t>
        </is>
      </c>
      <c r="C180" s="59" t="inlineStr"/>
      <c r="D180" s="58" t="n">
        <v>45234</v>
      </c>
      <c r="E180" s="59" t="n">
        <v>100</v>
      </c>
      <c r="F180" s="59" t="n">
        <v>0</v>
      </c>
      <c r="G180" s="59" t="n">
        <v>48007.63</v>
      </c>
      <c r="H180" s="59" t="inlineStr"/>
      <c r="I180" s="59" t="inlineStr"/>
      <c r="J180" s="59" t="inlineStr">
        <is>
          <t>MF Investment</t>
        </is>
      </c>
      <c r="K180" s="59" t="inlineStr">
        <is>
          <t>Investments</t>
        </is>
      </c>
      <c r="L180" s="18" t="n">
        <v>0.88</v>
      </c>
      <c r="M180" s="59" t="inlineStr">
        <is>
          <t>N/A</t>
        </is>
      </c>
    </row>
    <row r="181">
      <c r="A181" s="35" t="n">
        <v>45234</v>
      </c>
      <c r="B181" s="36" t="inlineStr">
        <is>
          <t>UPIOUT/330835730483/paytmqrfmo9fujhwg@payt
m//5812</t>
        </is>
      </c>
      <c r="C181" s="36" t="inlineStr"/>
      <c r="D181" s="35" t="n">
        <v>45234</v>
      </c>
      <c r="E181" s="36" t="n">
        <v>70</v>
      </c>
      <c r="F181" s="36" t="n">
        <v>0</v>
      </c>
      <c r="G181" s="36" t="n">
        <v>47937.63</v>
      </c>
      <c r="H181" s="36" t="inlineStr"/>
      <c r="I181" s="36" t="inlineStr"/>
      <c r="J181" s="36" t="inlineStr">
        <is>
          <t>UPI - Paytm</t>
        </is>
      </c>
      <c r="K181" s="36" t="inlineStr">
        <is>
          <t>Personal</t>
        </is>
      </c>
      <c r="L181" s="34" t="n">
        <v>0.65</v>
      </c>
      <c r="M181" s="36" t="inlineStr">
        <is>
          <t>N/A</t>
        </is>
      </c>
    </row>
    <row r="182">
      <c r="A182" s="23" t="n">
        <v>45234</v>
      </c>
      <c r="B182" s="24" t="inlineStr">
        <is>
          <t>NFT/NEONEFTTDDD2023110404084526215 NAVI
Mutual Fun</t>
        </is>
      </c>
      <c r="C182" s="24" t="inlineStr"/>
      <c r="D182" s="23" t="n">
        <v>45234</v>
      </c>
      <c r="E182" s="24" t="n">
        <v>50</v>
      </c>
      <c r="F182" s="24" t="n">
        <v>0</v>
      </c>
      <c r="G182" s="24" t="n">
        <v>47887.63</v>
      </c>
      <c r="H182" s="24" t="inlineStr"/>
      <c r="I182" s="24" t="inlineStr"/>
      <c r="J182" s="24" t="inlineStr">
        <is>
          <t>What is this?</t>
        </is>
      </c>
      <c r="K182" s="24" t="inlineStr">
        <is>
          <t>Suspense</t>
        </is>
      </c>
      <c r="L182" s="25" t="n">
        <v>0</v>
      </c>
      <c r="M182" s="24" t="inlineStr">
        <is>
          <t>N/A</t>
        </is>
      </c>
    </row>
    <row r="183">
      <c r="A183" s="35" t="n">
        <v>45234</v>
      </c>
      <c r="B183" s="36" t="inlineStr">
        <is>
          <t>UPIOUT/330842147758/paytmqr5me7ey4chy@payt
m//5411</t>
        </is>
      </c>
      <c r="C183" s="36" t="inlineStr"/>
      <c r="D183" s="35" t="n">
        <v>45234</v>
      </c>
      <c r="E183" s="36" t="n">
        <v>279</v>
      </c>
      <c r="F183" s="36" t="n">
        <v>0</v>
      </c>
      <c r="G183" s="36" t="n">
        <v>47608.63</v>
      </c>
      <c r="H183" s="36" t="inlineStr"/>
      <c r="I183" s="36" t="inlineStr"/>
      <c r="J183" s="36" t="inlineStr">
        <is>
          <t>UPI - Paytm</t>
        </is>
      </c>
      <c r="K183" s="36" t="inlineStr">
        <is>
          <t>Personal</t>
        </is>
      </c>
      <c r="L183" s="34" t="n">
        <v>0.65</v>
      </c>
      <c r="M183" s="36" t="inlineStr">
        <is>
          <t>N/A</t>
        </is>
      </c>
    </row>
    <row r="184">
      <c r="A184" s="37" t="n">
        <v>45234</v>
      </c>
      <c r="B184" s="38" t="inlineStr">
        <is>
          <t>UPIOUT/330842390729/Q614784165@ybl/Sent
via /5311</t>
        </is>
      </c>
      <c r="C184" s="38" t="inlineStr"/>
      <c r="D184" s="37" t="n">
        <v>45234</v>
      </c>
      <c r="E184" s="38" t="n">
        <v>45</v>
      </c>
      <c r="F184" s="38" t="n">
        <v>0</v>
      </c>
      <c r="G184" s="38" t="n">
        <v>47563.63</v>
      </c>
      <c r="H184" s="38" t="inlineStr"/>
      <c r="I184" s="38" t="inlineStr"/>
      <c r="J184" s="38" t="inlineStr">
        <is>
          <t>UPI Payment</t>
        </is>
      </c>
      <c r="K184" s="38" t="inlineStr">
        <is>
          <t>Personal</t>
        </is>
      </c>
      <c r="L184" s="25" t="n">
        <v>0.55</v>
      </c>
      <c r="M184" s="38" t="inlineStr">
        <is>
          <t>N/A</t>
        </is>
      </c>
    </row>
    <row r="185">
      <c r="A185" s="35" t="n">
        <v>45234</v>
      </c>
      <c r="B185" s="36" t="inlineStr">
        <is>
          <t>UPIOUT/330851213069/paytmqrfmo9fujhwg@payt
m//5812</t>
        </is>
      </c>
      <c r="C185" s="36" t="inlineStr"/>
      <c r="D185" s="35" t="n">
        <v>45234</v>
      </c>
      <c r="E185" s="36" t="n">
        <v>255</v>
      </c>
      <c r="F185" s="36" t="n">
        <v>0</v>
      </c>
      <c r="G185" s="36" t="n">
        <v>47308.63</v>
      </c>
      <c r="H185" s="36" t="inlineStr"/>
      <c r="I185" s="36" t="inlineStr"/>
      <c r="J185" s="36" t="inlineStr">
        <is>
          <t>UPI - Paytm</t>
        </is>
      </c>
      <c r="K185" s="36" t="inlineStr">
        <is>
          <t>Personal</t>
        </is>
      </c>
      <c r="L185" s="34" t="n">
        <v>0.65</v>
      </c>
      <c r="M185" s="36" t="inlineStr">
        <is>
          <t>N/A</t>
        </is>
      </c>
    </row>
    <row r="186">
      <c r="A186" s="37" t="n">
        <v>45234</v>
      </c>
      <c r="B186" s="38" t="inlineStr">
        <is>
          <t>UPIOUT/330855221836/8797652202@airtel/Pay
mo/0000</t>
        </is>
      </c>
      <c r="C186" s="38" t="inlineStr"/>
      <c r="D186" s="37" t="n">
        <v>45234</v>
      </c>
      <c r="E186" s="38" t="n">
        <v>50</v>
      </c>
      <c r="F186" s="38" t="n">
        <v>0</v>
      </c>
      <c r="G186" s="38" t="n">
        <v>47258.63</v>
      </c>
      <c r="H186" s="38" t="inlineStr"/>
      <c r="I186" s="38" t="inlineStr"/>
      <c r="J186" s="38" t="inlineStr">
        <is>
          <t>UPI Payment</t>
        </is>
      </c>
      <c r="K186" s="38" t="inlineStr">
        <is>
          <t>Personal</t>
        </is>
      </c>
      <c r="L186" s="25" t="n">
        <v>0.55</v>
      </c>
      <c r="M186" s="38" t="inlineStr">
        <is>
          <t>N/A</t>
        </is>
      </c>
    </row>
    <row r="187">
      <c r="A187" s="37" t="n">
        <v>45234</v>
      </c>
      <c r="B187" s="38" t="inlineStr">
        <is>
          <t>UPIOUT/330875630315/jupiterbillpay2@fbl/BB
PS/4814</t>
        </is>
      </c>
      <c r="C187" s="38" t="inlineStr"/>
      <c r="D187" s="37" t="n">
        <v>45234</v>
      </c>
      <c r="E187" s="38" t="n">
        <v>239</v>
      </c>
      <c r="F187" s="38" t="n">
        <v>0</v>
      </c>
      <c r="G187" s="38" t="n">
        <v>47019.63</v>
      </c>
      <c r="H187" s="38" t="inlineStr"/>
      <c r="I187" s="38" t="inlineStr"/>
      <c r="J187" s="38" t="inlineStr">
        <is>
          <t>UPI Payment</t>
        </is>
      </c>
      <c r="K187" s="38" t="inlineStr">
        <is>
          <t>Personal</t>
        </is>
      </c>
      <c r="L187" s="25" t="n">
        <v>0.55</v>
      </c>
      <c r="M187" s="38" t="inlineStr">
        <is>
          <t>N/A</t>
        </is>
      </c>
    </row>
    <row r="188">
      <c r="A188" s="58" t="n">
        <v>45235</v>
      </c>
      <c r="B188" s="59" t="inlineStr">
        <is>
          <t>NFT/NEOSIEXEDDD2023110512514962764 NAVI
Mutual Fun</t>
        </is>
      </c>
      <c r="C188" s="59" t="inlineStr"/>
      <c r="D188" s="58" t="n">
        <v>45235</v>
      </c>
      <c r="E188" s="59" t="n">
        <v>100</v>
      </c>
      <c r="F188" s="59" t="n">
        <v>0</v>
      </c>
      <c r="G188" s="59" t="n">
        <v>46919.63</v>
      </c>
      <c r="H188" s="59" t="inlineStr"/>
      <c r="I188" s="59" t="inlineStr"/>
      <c r="J188" s="59" t="inlineStr">
        <is>
          <t>MF Investment</t>
        </is>
      </c>
      <c r="K188" s="59" t="inlineStr">
        <is>
          <t>Investments</t>
        </is>
      </c>
      <c r="L188" s="18" t="n">
        <v>0.88</v>
      </c>
      <c r="M188" s="59" t="inlineStr">
        <is>
          <t>N/A</t>
        </is>
      </c>
    </row>
    <row r="189">
      <c r="A189" s="37" t="n">
        <v>45235</v>
      </c>
      <c r="B189" s="38" t="inlineStr">
        <is>
          <t>UPIOUT/330927069828/Q917893938@ybl/Sent
via /5814</t>
        </is>
      </c>
      <c r="C189" s="38" t="inlineStr"/>
      <c r="D189" s="37" t="n">
        <v>45235</v>
      </c>
      <c r="E189" s="38" t="n">
        <v>30</v>
      </c>
      <c r="F189" s="38" t="n">
        <v>0</v>
      </c>
      <c r="G189" s="38" t="n">
        <v>46889.63</v>
      </c>
      <c r="H189" s="38" t="inlineStr"/>
      <c r="I189" s="38" t="inlineStr"/>
      <c r="J189" s="38" t="inlineStr">
        <is>
          <t>UPI Payment</t>
        </is>
      </c>
      <c r="K189" s="38" t="inlineStr">
        <is>
          <t>Personal</t>
        </is>
      </c>
      <c r="L189" s="25" t="n">
        <v>0.55</v>
      </c>
      <c r="M189" s="38" t="inlineStr">
        <is>
          <t>N/A</t>
        </is>
      </c>
    </row>
    <row r="190">
      <c r="A190" s="58" t="n">
        <v>45236</v>
      </c>
      <c r="B190" s="59" t="inlineStr">
        <is>
          <t>NFT/NEOSIEXEDDD2023110612374928984 NAVI
Mutual Fun</t>
        </is>
      </c>
      <c r="C190" s="59" t="inlineStr"/>
      <c r="D190" s="58" t="n">
        <v>45236</v>
      </c>
      <c r="E190" s="59" t="n">
        <v>100</v>
      </c>
      <c r="F190" s="59" t="n">
        <v>0</v>
      </c>
      <c r="G190" s="59" t="n">
        <v>46789.63</v>
      </c>
      <c r="H190" s="59" t="inlineStr"/>
      <c r="I190" s="59" t="inlineStr"/>
      <c r="J190" s="59" t="inlineStr">
        <is>
          <t>MF Investment</t>
        </is>
      </c>
      <c r="K190" s="59" t="inlineStr">
        <is>
          <t>Investments</t>
        </is>
      </c>
      <c r="L190" s="18" t="n">
        <v>0.88</v>
      </c>
      <c r="M190" s="59" t="inlineStr">
        <is>
          <t>N/A</t>
        </is>
      </c>
    </row>
    <row r="191">
      <c r="A191" s="58" t="n">
        <v>45237</v>
      </c>
      <c r="B191" s="59" t="inlineStr">
        <is>
          <t>NFT/NEOSIEXEDDD2023110712362153715 NAVI
Mutual Fun</t>
        </is>
      </c>
      <c r="C191" s="59" t="inlineStr"/>
      <c r="D191" s="58" t="n">
        <v>45237</v>
      </c>
      <c r="E191" s="59" t="n">
        <v>100</v>
      </c>
      <c r="F191" s="59" t="n">
        <v>0</v>
      </c>
      <c r="G191" s="59" t="n">
        <v>46689.63</v>
      </c>
      <c r="H191" s="59" t="inlineStr"/>
      <c r="I191" s="59" t="inlineStr"/>
      <c r="J191" s="59" t="inlineStr">
        <is>
          <t>MF Investment</t>
        </is>
      </c>
      <c r="K191" s="59" t="inlineStr">
        <is>
          <t>Investments</t>
        </is>
      </c>
      <c r="L191" s="18" t="n">
        <v>0.88</v>
      </c>
      <c r="M191" s="59" t="inlineStr">
        <is>
          <t>N/A</t>
        </is>
      </c>
    </row>
    <row r="192">
      <c r="A192" s="37" t="n">
        <v>45237</v>
      </c>
      <c r="B192" s="38" t="inlineStr">
        <is>
          <t>UPIOUT/331196009475/pittalkarunakar-1@okhd
fc/0000</t>
        </is>
      </c>
      <c r="C192" s="38" t="inlineStr"/>
      <c r="D192" s="37" t="n">
        <v>45237</v>
      </c>
      <c r="E192" s="38" t="n">
        <v>28</v>
      </c>
      <c r="F192" s="38" t="n">
        <v>0</v>
      </c>
      <c r="G192" s="38" t="n">
        <v>46661.63</v>
      </c>
      <c r="H192" s="38" t="inlineStr"/>
      <c r="I192" s="38" t="inlineStr"/>
      <c r="J192" s="38" t="inlineStr">
        <is>
          <t>UPI Payment</t>
        </is>
      </c>
      <c r="K192" s="38" t="inlineStr">
        <is>
          <t>Personal</t>
        </is>
      </c>
      <c r="L192" s="25" t="n">
        <v>0.55</v>
      </c>
      <c r="M192" s="38" t="inlineStr">
        <is>
          <t>N/A</t>
        </is>
      </c>
    </row>
    <row r="193">
      <c r="A193" s="35" t="n">
        <v>45237</v>
      </c>
      <c r="B193" s="36" t="inlineStr">
        <is>
          <t>UPIOUT/331110542501/paytmqry3eyiz8yp2@payt
m//5812</t>
        </is>
      </c>
      <c r="C193" s="36" t="inlineStr"/>
      <c r="D193" s="35" t="n">
        <v>45237</v>
      </c>
      <c r="E193" s="36" t="n">
        <v>24</v>
      </c>
      <c r="F193" s="36" t="n">
        <v>0</v>
      </c>
      <c r="G193" s="36" t="n">
        <v>46637.63</v>
      </c>
      <c r="H193" s="36" t="inlineStr"/>
      <c r="I193" s="36" t="inlineStr"/>
      <c r="J193" s="36" t="inlineStr">
        <is>
          <t>UPI - Paytm</t>
        </is>
      </c>
      <c r="K193" s="36" t="inlineStr">
        <is>
          <t>Personal</t>
        </is>
      </c>
      <c r="L193" s="34" t="n">
        <v>0.65</v>
      </c>
      <c r="M193" s="36" t="inlineStr">
        <is>
          <t>N/A</t>
        </is>
      </c>
    </row>
    <row r="194">
      <c r="A194" s="35" t="n">
        <v>45237</v>
      </c>
      <c r="B194" s="36" t="inlineStr">
        <is>
          <t>UPIOUT/331111354771/paytmqr1lam17volq@payt
m//5812</t>
        </is>
      </c>
      <c r="C194" s="36" t="inlineStr"/>
      <c r="D194" s="35" t="n">
        <v>45237</v>
      </c>
      <c r="E194" s="36" t="n">
        <v>20</v>
      </c>
      <c r="F194" s="36" t="n">
        <v>0</v>
      </c>
      <c r="G194" s="36" t="n">
        <v>46617.63</v>
      </c>
      <c r="H194" s="36" t="inlineStr"/>
      <c r="I194" s="36" t="inlineStr"/>
      <c r="J194" s="36" t="inlineStr">
        <is>
          <t>UPI - Paytm</t>
        </is>
      </c>
      <c r="K194" s="36" t="inlineStr">
        <is>
          <t>Personal</t>
        </is>
      </c>
      <c r="L194" s="34" t="n">
        <v>0.65</v>
      </c>
      <c r="M194" s="36" t="inlineStr">
        <is>
          <t>N/A</t>
        </is>
      </c>
    </row>
    <row r="195">
      <c r="A195" s="58" t="n">
        <v>45238</v>
      </c>
      <c r="B195" s="59" t="inlineStr">
        <is>
          <t>NFT/NEOSIEXEDDD2023110812363765766 NAVI
Mutual Fun</t>
        </is>
      </c>
      <c r="C195" s="59" t="inlineStr"/>
      <c r="D195" s="58" t="n">
        <v>45238</v>
      </c>
      <c r="E195" s="59" t="n">
        <v>100</v>
      </c>
      <c r="F195" s="59" t="n">
        <v>0</v>
      </c>
      <c r="G195" s="59" t="n">
        <v>46517.63</v>
      </c>
      <c r="H195" s="59" t="inlineStr"/>
      <c r="I195" s="59" t="inlineStr"/>
      <c r="J195" s="59" t="inlineStr">
        <is>
          <t>MF Investment</t>
        </is>
      </c>
      <c r="K195" s="59" t="inlineStr">
        <is>
          <t>Investments</t>
        </is>
      </c>
      <c r="L195" s="18" t="n">
        <v>0.88</v>
      </c>
      <c r="M195" s="59" t="inlineStr">
        <is>
          <t>N/A</t>
        </is>
      </c>
    </row>
    <row r="196">
      <c r="A196" s="35" t="n">
        <v>45238</v>
      </c>
      <c r="B196" s="36" t="inlineStr">
        <is>
          <t>UPIOUT/331228317453/paytmqr2810050501011dp
bh/5812</t>
        </is>
      </c>
      <c r="C196" s="36" t="inlineStr"/>
      <c r="D196" s="35" t="n">
        <v>45238</v>
      </c>
      <c r="E196" s="36" t="n">
        <v>35</v>
      </c>
      <c r="F196" s="36" t="n">
        <v>0</v>
      </c>
      <c r="G196" s="36" t="n">
        <v>46482.63</v>
      </c>
      <c r="H196" s="36" t="inlineStr"/>
      <c r="I196" s="36" t="inlineStr"/>
      <c r="J196" s="36" t="inlineStr">
        <is>
          <t>UPI - Paytm</t>
        </is>
      </c>
      <c r="K196" s="36" t="inlineStr">
        <is>
          <t>Personal</t>
        </is>
      </c>
      <c r="L196" s="34" t="n">
        <v>0.65</v>
      </c>
      <c r="M196" s="36" t="inlineStr">
        <is>
          <t>N/A</t>
        </is>
      </c>
    </row>
    <row r="197">
      <c r="A197" s="35" t="n">
        <v>45238</v>
      </c>
      <c r="B197" s="36" t="inlineStr">
        <is>
          <t>UPIOUT/331228466445/paytmqrfmo9fujhwg@payt
m//5812</t>
        </is>
      </c>
      <c r="C197" s="36" t="inlineStr"/>
      <c r="D197" s="35" t="n">
        <v>45238</v>
      </c>
      <c r="E197" s="36" t="n">
        <v>20</v>
      </c>
      <c r="F197" s="36" t="n">
        <v>0</v>
      </c>
      <c r="G197" s="36" t="n">
        <v>46462.63</v>
      </c>
      <c r="H197" s="36" t="inlineStr"/>
      <c r="I197" s="36" t="inlineStr"/>
      <c r="J197" s="36" t="inlineStr">
        <is>
          <t>UPI - Paytm</t>
        </is>
      </c>
      <c r="K197" s="36" t="inlineStr">
        <is>
          <t>Personal</t>
        </is>
      </c>
      <c r="L197" s="34" t="n">
        <v>0.65</v>
      </c>
      <c r="M197" s="36" t="inlineStr">
        <is>
          <t>N/A</t>
        </is>
      </c>
    </row>
    <row r="198">
      <c r="A198" s="35" t="n">
        <v>45238</v>
      </c>
      <c r="B198" s="36" t="inlineStr">
        <is>
          <t>UPIOUT/331252186883/paytm-76881028@paytm/S
en/4121</t>
        </is>
      </c>
      <c r="C198" s="36" t="inlineStr"/>
      <c r="D198" s="35" t="n">
        <v>45238</v>
      </c>
      <c r="E198" s="36" t="n">
        <v>23</v>
      </c>
      <c r="F198" s="36" t="n">
        <v>0</v>
      </c>
      <c r="G198" s="36" t="n">
        <v>46439.63</v>
      </c>
      <c r="H198" s="36" t="inlineStr"/>
      <c r="I198" s="36" t="inlineStr"/>
      <c r="J198" s="36" t="inlineStr">
        <is>
          <t>UPI - Paytm</t>
        </is>
      </c>
      <c r="K198" s="36" t="inlineStr">
        <is>
          <t>Personal</t>
        </is>
      </c>
      <c r="L198" s="34" t="n">
        <v>0.65</v>
      </c>
      <c r="M198" s="36" t="inlineStr">
        <is>
          <t>N/A</t>
        </is>
      </c>
    </row>
    <row r="199">
      <c r="A199" s="35" t="n">
        <v>45238</v>
      </c>
      <c r="B199" s="36" t="inlineStr">
        <is>
          <t>UPIOUT/331252968093/paytmqr17hgjzxr2t@payt
m//5814</t>
        </is>
      </c>
      <c r="C199" s="36" t="inlineStr"/>
      <c r="D199" s="35" t="n">
        <v>45238</v>
      </c>
      <c r="E199" s="36" t="n">
        <v>50</v>
      </c>
      <c r="F199" s="36" t="n">
        <v>0</v>
      </c>
      <c r="G199" s="36" t="n">
        <v>46389.63</v>
      </c>
      <c r="H199" s="36" t="inlineStr"/>
      <c r="I199" s="36" t="inlineStr"/>
      <c r="J199" s="36" t="inlineStr">
        <is>
          <t>UPI - Paytm</t>
        </is>
      </c>
      <c r="K199" s="36" t="inlineStr">
        <is>
          <t>Personal</t>
        </is>
      </c>
      <c r="L199" s="34" t="n">
        <v>0.65</v>
      </c>
      <c r="M199" s="36" t="inlineStr">
        <is>
          <t>N/A</t>
        </is>
      </c>
    </row>
    <row r="200">
      <c r="A200" s="37" t="n">
        <v>45238</v>
      </c>
      <c r="B200" s="38" t="inlineStr">
        <is>
          <t>UPIOUT/331254617948/8797652202@airtel/Pay
mo/0000</t>
        </is>
      </c>
      <c r="C200" s="38" t="inlineStr"/>
      <c r="D200" s="37" t="n">
        <v>45238</v>
      </c>
      <c r="E200" s="38" t="n">
        <v>50</v>
      </c>
      <c r="F200" s="38" t="n">
        <v>0</v>
      </c>
      <c r="G200" s="38" t="n">
        <v>46339.63</v>
      </c>
      <c r="H200" s="38" t="inlineStr"/>
      <c r="I200" s="38" t="inlineStr"/>
      <c r="J200" s="38" t="inlineStr">
        <is>
          <t>UPI Payment</t>
        </is>
      </c>
      <c r="K200" s="38" t="inlineStr">
        <is>
          <t>Personal</t>
        </is>
      </c>
      <c r="L200" s="25" t="n">
        <v>0.55</v>
      </c>
      <c r="M200" s="38" t="inlineStr">
        <is>
          <t>N/A</t>
        </is>
      </c>
    </row>
    <row r="201">
      <c r="A201" s="97" t="n">
        <v>45238</v>
      </c>
      <c r="B201" s="98" t="inlineStr">
        <is>
          <t>UPIOUT/367810083396/swiggy@yespay/Debit
Mone/5812</t>
        </is>
      </c>
      <c r="C201" s="98" t="inlineStr"/>
      <c r="D201" s="97" t="n">
        <v>45238</v>
      </c>
      <c r="E201" s="98" t="n">
        <v>336</v>
      </c>
      <c r="F201" s="98" t="n">
        <v>0</v>
      </c>
      <c r="G201" s="98" t="n">
        <v>46003.63</v>
      </c>
      <c r="H201" s="98" t="inlineStr"/>
      <c r="I201" s="98" t="inlineStr"/>
      <c r="J201" s="98" t="inlineStr">
        <is>
          <t>UPI - Swiggy</t>
        </is>
      </c>
      <c r="K201" s="98" t="inlineStr">
        <is>
          <t>Food &amp; Dining</t>
        </is>
      </c>
      <c r="L201" s="34" t="n">
        <v>0.68</v>
      </c>
      <c r="M201" s="98" t="inlineStr">
        <is>
          <t>N/A</t>
        </is>
      </c>
    </row>
    <row r="202">
      <c r="A202" s="58" t="n">
        <v>45239</v>
      </c>
      <c r="B202" s="59" t="inlineStr">
        <is>
          <t>NFT/NEOSIEXEDDD2023110912363337554 NAVI
Mutual Fun</t>
        </is>
      </c>
      <c r="C202" s="59" t="inlineStr"/>
      <c r="D202" s="58" t="n">
        <v>45239</v>
      </c>
      <c r="E202" s="59" t="n">
        <v>100</v>
      </c>
      <c r="F202" s="59" t="n">
        <v>0</v>
      </c>
      <c r="G202" s="59" t="n">
        <v>45903.63</v>
      </c>
      <c r="H202" s="59" t="inlineStr"/>
      <c r="I202" s="59" t="inlineStr"/>
      <c r="J202" s="59" t="inlineStr">
        <is>
          <t>MF Investment</t>
        </is>
      </c>
      <c r="K202" s="59" t="inlineStr">
        <is>
          <t>Investments</t>
        </is>
      </c>
      <c r="L202" s="18" t="n">
        <v>0.88</v>
      </c>
      <c r="M202" s="59" t="inlineStr">
        <is>
          <t>N/A</t>
        </is>
      </c>
    </row>
    <row r="203">
      <c r="A203" s="35" t="n">
        <v>45239</v>
      </c>
      <c r="B203" s="36" t="inlineStr">
        <is>
          <t>UPIOUT/331376399582/paytmqrfmo9fujhwg@payt
m//5812</t>
        </is>
      </c>
      <c r="C203" s="36" t="inlineStr"/>
      <c r="D203" s="35" t="n">
        <v>45239</v>
      </c>
      <c r="E203" s="36" t="n">
        <v>100</v>
      </c>
      <c r="F203" s="36" t="n">
        <v>0</v>
      </c>
      <c r="G203" s="36" t="n">
        <v>45803.63</v>
      </c>
      <c r="H203" s="36" t="inlineStr"/>
      <c r="I203" s="36" t="inlineStr"/>
      <c r="J203" s="36" t="inlineStr">
        <is>
          <t>UPI - Paytm</t>
        </is>
      </c>
      <c r="K203" s="36" t="inlineStr">
        <is>
          <t>Personal</t>
        </is>
      </c>
      <c r="L203" s="34" t="n">
        <v>0.65</v>
      </c>
      <c r="M203" s="36" t="inlineStr">
        <is>
          <t>N/A</t>
        </is>
      </c>
    </row>
    <row r="204">
      <c r="A204" s="21" t="n">
        <v>45239</v>
      </c>
      <c r="B204" s="22" t="inlineStr">
        <is>
          <t>UPIOUT/331396767216/rapido.rzp@axisbank/Re
ch/4214</t>
        </is>
      </c>
      <c r="C204" s="22" t="inlineStr"/>
      <c r="D204" s="21" t="n">
        <v>45239</v>
      </c>
      <c r="E204" s="22" t="n">
        <v>202</v>
      </c>
      <c r="F204" s="22" t="n">
        <v>0</v>
      </c>
      <c r="G204" s="22" t="n">
        <v>45601.63</v>
      </c>
      <c r="H204" s="22" t="inlineStr"/>
      <c r="I204" s="22" t="inlineStr"/>
      <c r="J204" s="22" t="inlineStr">
        <is>
          <t>UPI - Rapido</t>
        </is>
      </c>
      <c r="K204" s="22" t="inlineStr">
        <is>
          <t>Transport</t>
        </is>
      </c>
      <c r="L204" s="34" t="n">
        <v>0.68</v>
      </c>
      <c r="M204" s="22" t="inlineStr">
        <is>
          <t>N/A</t>
        </is>
      </c>
    </row>
    <row r="205">
      <c r="A205" s="21" t="n">
        <v>45239</v>
      </c>
      <c r="B205" s="22" t="inlineStr">
        <is>
          <t>UPIOUT/367923024587/paytm-
irctcapp@paytm/Oid/4011</t>
        </is>
      </c>
      <c r="C205" s="22" t="inlineStr"/>
      <c r="D205" s="21" t="n">
        <v>45239</v>
      </c>
      <c r="E205" s="22" t="n">
        <v>983.95</v>
      </c>
      <c r="F205" s="22" t="n">
        <v>0</v>
      </c>
      <c r="G205" s="22" t="n">
        <v>44617.68</v>
      </c>
      <c r="H205" s="22" t="inlineStr"/>
      <c r="I205" s="22" t="inlineStr"/>
      <c r="J205" s="22" t="inlineStr">
        <is>
          <t>UPI - IRCTC</t>
        </is>
      </c>
      <c r="K205" s="22" t="inlineStr">
        <is>
          <t>Travel</t>
        </is>
      </c>
      <c r="L205" s="18" t="n">
        <v>0.88</v>
      </c>
      <c r="M205" s="22" t="inlineStr">
        <is>
          <t>N/A</t>
        </is>
      </c>
    </row>
    <row r="206">
      <c r="A206" s="37" t="n">
        <v>45239</v>
      </c>
      <c r="B206" s="38" t="inlineStr">
        <is>
          <t>UPIOUT/331310457657/6281052278@ibl/Sent
via /0000</t>
        </is>
      </c>
      <c r="C206" s="38" t="inlineStr"/>
      <c r="D206" s="37" t="n">
        <v>45239</v>
      </c>
      <c r="E206" s="38" t="n">
        <v>340</v>
      </c>
      <c r="F206" s="38" t="n">
        <v>0</v>
      </c>
      <c r="G206" s="38" t="n">
        <v>44277.68</v>
      </c>
      <c r="H206" s="38" t="inlineStr"/>
      <c r="I206" s="38" t="inlineStr"/>
      <c r="J206" s="38" t="inlineStr">
        <is>
          <t>UPI Payment</t>
        </is>
      </c>
      <c r="K206" s="38" t="inlineStr">
        <is>
          <t>Personal</t>
        </is>
      </c>
      <c r="L206" s="25" t="n">
        <v>0.55</v>
      </c>
      <c r="M206" s="38" t="inlineStr">
        <is>
          <t>N/A</t>
        </is>
      </c>
    </row>
    <row r="207">
      <c r="A207" s="58" t="n">
        <v>45240</v>
      </c>
      <c r="B207" s="59" t="inlineStr">
        <is>
          <t>NFT/NEOSIEXEDDD2023111012362651292 NAVI
Mutual Fun</t>
        </is>
      </c>
      <c r="C207" s="59" t="inlineStr"/>
      <c r="D207" s="58" t="n">
        <v>45240</v>
      </c>
      <c r="E207" s="59" t="n">
        <v>100</v>
      </c>
      <c r="F207" s="59" t="n">
        <v>0</v>
      </c>
      <c r="G207" s="59" t="n">
        <v>44177.68</v>
      </c>
      <c r="H207" s="59" t="inlineStr"/>
      <c r="I207" s="59" t="inlineStr"/>
      <c r="J207" s="59" t="inlineStr">
        <is>
          <t>MF Investment</t>
        </is>
      </c>
      <c r="K207" s="59" t="inlineStr">
        <is>
          <t>Investments</t>
        </is>
      </c>
      <c r="L207" s="18" t="n">
        <v>0.88</v>
      </c>
      <c r="M207" s="59" t="inlineStr">
        <is>
          <t>N/A</t>
        </is>
      </c>
    </row>
    <row r="208">
      <c r="A208" s="21" t="n">
        <v>45240</v>
      </c>
      <c r="B208" s="22" t="inlineStr">
        <is>
          <t>UPIOUT/331402784766/paytm-
irctcapp@paytm/Oid/4011</t>
        </is>
      </c>
      <c r="C208" s="22" t="inlineStr"/>
      <c r="D208" s="21" t="n">
        <v>45240</v>
      </c>
      <c r="E208" s="22" t="n">
        <v>102.15</v>
      </c>
      <c r="F208" s="22" t="n">
        <v>0</v>
      </c>
      <c r="G208" s="22" t="n">
        <v>44075.53</v>
      </c>
      <c r="H208" s="22" t="inlineStr"/>
      <c r="I208" s="22" t="inlineStr"/>
      <c r="J208" s="22" t="inlineStr">
        <is>
          <t>UPI - IRCTC</t>
        </is>
      </c>
      <c r="K208" s="22" t="inlineStr">
        <is>
          <t>Travel</t>
        </is>
      </c>
      <c r="L208" s="18" t="n">
        <v>0.88</v>
      </c>
      <c r="M208" s="22" t="inlineStr">
        <is>
          <t>N/A</t>
        </is>
      </c>
    </row>
    <row r="209">
      <c r="A209" s="58" t="n">
        <v>45241</v>
      </c>
      <c r="B209" s="59" t="inlineStr">
        <is>
          <t>NFT/NEOSIEXEDDD2023111112350979960 NAVI
Mutual Fun</t>
        </is>
      </c>
      <c r="C209" s="59" t="inlineStr"/>
      <c r="D209" s="58" t="n">
        <v>45241</v>
      </c>
      <c r="E209" s="59" t="n">
        <v>100</v>
      </c>
      <c r="F209" s="59" t="n">
        <v>0</v>
      </c>
      <c r="G209" s="59" t="n">
        <v>43975.53</v>
      </c>
      <c r="H209" s="59" t="inlineStr"/>
      <c r="I209" s="59" t="inlineStr"/>
      <c r="J209" s="59" t="inlineStr">
        <is>
          <t>MF Investment</t>
        </is>
      </c>
      <c r="K209" s="59" t="inlineStr">
        <is>
          <t>Investments</t>
        </is>
      </c>
      <c r="L209" s="18" t="n">
        <v>0.88</v>
      </c>
      <c r="M209" s="59" t="inlineStr">
        <is>
          <t>N/A</t>
        </is>
      </c>
    </row>
    <row r="210">
      <c r="A210" s="21" t="n">
        <v>45241</v>
      </c>
      <c r="B210" s="22" t="inlineStr">
        <is>
          <t>UPIOUT/331538213140/paytm-
irctcapp@paytm/Oid/4011</t>
        </is>
      </c>
      <c r="C210" s="22" t="inlineStr"/>
      <c r="D210" s="21" t="n">
        <v>45241</v>
      </c>
      <c r="E210" s="22" t="n">
        <v>72.15000000000001</v>
      </c>
      <c r="F210" s="22" t="n">
        <v>0</v>
      </c>
      <c r="G210" s="22" t="n">
        <v>43903.38</v>
      </c>
      <c r="H210" s="22" t="inlineStr"/>
      <c r="I210" s="22" t="inlineStr"/>
      <c r="J210" s="22" t="inlineStr">
        <is>
          <t>UPI - IRCTC</t>
        </is>
      </c>
      <c r="K210" s="22" t="inlineStr">
        <is>
          <t>Travel</t>
        </is>
      </c>
      <c r="L210" s="18" t="n">
        <v>0.88</v>
      </c>
      <c r="M210" s="22" t="inlineStr">
        <is>
          <t>N/A</t>
        </is>
      </c>
    </row>
    <row r="211">
      <c r="A211" s="21" t="n">
        <v>45241</v>
      </c>
      <c r="B211" s="22" t="inlineStr">
        <is>
          <t>UPI IN/331619684203/irctc.cf@hdfcbank/UPI
Re/0000</t>
        </is>
      </c>
      <c r="C211" s="22" t="inlineStr"/>
      <c r="D211" s="21" t="n">
        <v>45242</v>
      </c>
      <c r="E211" s="22" t="n">
        <v>0</v>
      </c>
      <c r="F211" s="22" t="n">
        <v>295</v>
      </c>
      <c r="G211" s="22" t="n">
        <v>44198.38</v>
      </c>
      <c r="H211" s="22" t="inlineStr"/>
      <c r="I211" s="22" t="inlineStr"/>
      <c r="J211" s="22" t="inlineStr">
        <is>
          <t>UPI - IRCTC</t>
        </is>
      </c>
      <c r="K211" s="22" t="inlineStr">
        <is>
          <t>Travel</t>
        </is>
      </c>
      <c r="L211" s="34" t="n">
        <v>0.68</v>
      </c>
      <c r="M211" s="22" t="inlineStr">
        <is>
          <t>N/A</t>
        </is>
      </c>
    </row>
    <row r="212">
      <c r="A212" s="58" t="n">
        <v>45242</v>
      </c>
      <c r="B212" s="59" t="inlineStr">
        <is>
          <t>NFT/NEOSIEXEDDD2023111212363920385 NAVI
Mutual Fun</t>
        </is>
      </c>
      <c r="C212" s="59" t="inlineStr"/>
      <c r="D212" s="58" t="n">
        <v>45242</v>
      </c>
      <c r="E212" s="59" t="n">
        <v>100</v>
      </c>
      <c r="F212" s="59" t="n">
        <v>0</v>
      </c>
      <c r="G212" s="59" t="n">
        <v>44098.38</v>
      </c>
      <c r="H212" s="59" t="inlineStr"/>
      <c r="I212" s="59" t="inlineStr"/>
      <c r="J212" s="59" t="inlineStr">
        <is>
          <t>MF Investment</t>
        </is>
      </c>
      <c r="K212" s="59" t="inlineStr">
        <is>
          <t>Investments</t>
        </is>
      </c>
      <c r="L212" s="18" t="n">
        <v>0.88</v>
      </c>
      <c r="M212" s="59" t="inlineStr">
        <is>
          <t>N/A</t>
        </is>
      </c>
    </row>
    <row r="213">
      <c r="A213" s="58" t="n">
        <v>45243</v>
      </c>
      <c r="B213" s="59" t="inlineStr">
        <is>
          <t>NFT/NEOSIEXEDDD2023111312352034443 NAVI
Mutual Fun</t>
        </is>
      </c>
      <c r="C213" s="59" t="inlineStr"/>
      <c r="D213" s="58" t="n">
        <v>45243</v>
      </c>
      <c r="E213" s="59" t="n">
        <v>100</v>
      </c>
      <c r="F213" s="59" t="n">
        <v>0</v>
      </c>
      <c r="G213" s="59" t="n">
        <v>43998.38</v>
      </c>
      <c r="H213" s="59" t="inlineStr"/>
      <c r="I213" s="59" t="inlineStr"/>
      <c r="J213" s="59" t="inlineStr">
        <is>
          <t>MF Investment</t>
        </is>
      </c>
      <c r="K213" s="59" t="inlineStr">
        <is>
          <t>Investments</t>
        </is>
      </c>
      <c r="L213" s="18" t="n">
        <v>0.88</v>
      </c>
      <c r="M213" s="59" t="inlineStr">
        <is>
          <t>N/A</t>
        </is>
      </c>
    </row>
    <row r="214">
      <c r="A214" s="32" t="n">
        <v>45243</v>
      </c>
      <c r="B214" s="33" t="inlineStr">
        <is>
          <t>UPIOUT/331796090152/BHARATPE.90063849287@f
bp/5814</t>
        </is>
      </c>
      <c r="C214" s="33" t="inlineStr"/>
      <c r="D214" s="32" t="n">
        <v>45243</v>
      </c>
      <c r="E214" s="33" t="n">
        <v>60</v>
      </c>
      <c r="F214" s="33" t="n">
        <v>0</v>
      </c>
      <c r="G214" s="33" t="n">
        <v>43938.38</v>
      </c>
      <c r="H214" s="33" t="inlineStr"/>
      <c r="I214" s="33" t="inlineStr"/>
      <c r="J214" s="33" t="inlineStr">
        <is>
          <t>UPI - BharatPe</t>
        </is>
      </c>
      <c r="K214" s="33" t="inlineStr">
        <is>
          <t>Personal</t>
        </is>
      </c>
      <c r="L214" s="34" t="n">
        <v>0.65</v>
      </c>
      <c r="M214" s="33" t="inlineStr">
        <is>
          <t>N/A</t>
        </is>
      </c>
    </row>
    <row r="215">
      <c r="A215" s="35" t="n">
        <v>45243</v>
      </c>
      <c r="B215" s="36" t="inlineStr">
        <is>
          <t>UPIOUT/331796150755/paytmqr281005050101jd7
t3/5812</t>
        </is>
      </c>
      <c r="C215" s="36" t="inlineStr"/>
      <c r="D215" s="35" t="n">
        <v>45243</v>
      </c>
      <c r="E215" s="36" t="n">
        <v>40</v>
      </c>
      <c r="F215" s="36" t="n">
        <v>0</v>
      </c>
      <c r="G215" s="36" t="n">
        <v>43898.38</v>
      </c>
      <c r="H215" s="36" t="inlineStr"/>
      <c r="I215" s="36" t="inlineStr"/>
      <c r="J215" s="36" t="inlineStr">
        <is>
          <t>UPI - Paytm</t>
        </is>
      </c>
      <c r="K215" s="36" t="inlineStr">
        <is>
          <t>Personal</t>
        </is>
      </c>
      <c r="L215" s="34" t="n">
        <v>0.65</v>
      </c>
      <c r="M215" s="36" t="inlineStr">
        <is>
          <t>N/A</t>
        </is>
      </c>
    </row>
    <row r="216">
      <c r="A216" s="35" t="n">
        <v>45243</v>
      </c>
      <c r="B216" s="36" t="inlineStr">
        <is>
          <t>UPIOUT/331711717885/paytmqr2810050501011ov
td/5814</t>
        </is>
      </c>
      <c r="C216" s="36" t="inlineStr"/>
      <c r="D216" s="35" t="n">
        <v>45243</v>
      </c>
      <c r="E216" s="36" t="n">
        <v>15</v>
      </c>
      <c r="F216" s="36" t="n">
        <v>0</v>
      </c>
      <c r="G216" s="36" t="n">
        <v>43883.38</v>
      </c>
      <c r="H216" s="36" t="inlineStr"/>
      <c r="I216" s="36" t="inlineStr"/>
      <c r="J216" s="36" t="inlineStr">
        <is>
          <t>UPI - Paytm</t>
        </is>
      </c>
      <c r="K216" s="36" t="inlineStr">
        <is>
          <t>Personal</t>
        </is>
      </c>
      <c r="L216" s="34" t="n">
        <v>0.65</v>
      </c>
      <c r="M216" s="36" t="inlineStr">
        <is>
          <t>N/A</t>
        </is>
      </c>
    </row>
    <row r="217">
      <c r="A217" s="58" t="n">
        <v>45244</v>
      </c>
      <c r="B217" s="59" t="inlineStr">
        <is>
          <t>NFT/NEOSIEXEDDD2023111412351088128 NAVI
Mutual Fun</t>
        </is>
      </c>
      <c r="C217" s="59" t="inlineStr"/>
      <c r="D217" s="58" t="n">
        <v>45244</v>
      </c>
      <c r="E217" s="59" t="n">
        <v>100</v>
      </c>
      <c r="F217" s="59" t="n">
        <v>0</v>
      </c>
      <c r="G217" s="59" t="n">
        <v>43783.38</v>
      </c>
      <c r="H217" s="59" t="inlineStr"/>
      <c r="I217" s="59" t="inlineStr"/>
      <c r="J217" s="59" t="inlineStr">
        <is>
          <t>MF Investment</t>
        </is>
      </c>
      <c r="K217" s="59" t="inlineStr">
        <is>
          <t>Investments</t>
        </is>
      </c>
      <c r="L217" s="18" t="n">
        <v>0.88</v>
      </c>
      <c r="M217" s="59" t="inlineStr">
        <is>
          <t>N/A</t>
        </is>
      </c>
    </row>
    <row r="218">
      <c r="A218" s="91" t="n">
        <v>45244</v>
      </c>
      <c r="B218" s="92" t="inlineStr">
        <is>
          <t>UPIOUT/331826207318/uber@axisbank/charge/4
121</t>
        </is>
      </c>
      <c r="C218" s="92" t="inlineStr"/>
      <c r="D218" s="91" t="n">
        <v>45244</v>
      </c>
      <c r="E218" s="92" t="n">
        <v>106.42</v>
      </c>
      <c r="F218" s="92" t="n">
        <v>0</v>
      </c>
      <c r="G218" s="92" t="n">
        <v>43676.96</v>
      </c>
      <c r="H218" s="92" t="inlineStr"/>
      <c r="I218" s="92" t="inlineStr"/>
      <c r="J218" s="92" t="inlineStr">
        <is>
          <t>UPI - Uber</t>
        </is>
      </c>
      <c r="K218" s="92" t="inlineStr">
        <is>
          <t>Transport</t>
        </is>
      </c>
      <c r="L218" s="34" t="n">
        <v>0.68</v>
      </c>
      <c r="M218" s="92" t="inlineStr">
        <is>
          <t>N/A</t>
        </is>
      </c>
    </row>
    <row r="219">
      <c r="A219" s="35" t="n">
        <v>45244</v>
      </c>
      <c r="B219" s="36" t="inlineStr">
        <is>
          <t>UPIOUT/331851486145/paytmqruct2pt8f1w@payt
m//5462</t>
        </is>
      </c>
      <c r="C219" s="36" t="inlineStr"/>
      <c r="D219" s="35" t="n">
        <v>45244</v>
      </c>
      <c r="E219" s="36" t="n">
        <v>40</v>
      </c>
      <c r="F219" s="36" t="n">
        <v>0</v>
      </c>
      <c r="G219" s="36" t="n">
        <v>43636.96</v>
      </c>
      <c r="H219" s="36" t="inlineStr"/>
      <c r="I219" s="36" t="inlineStr"/>
      <c r="J219" s="36" t="inlineStr">
        <is>
          <t>UPI - Paytm</t>
        </is>
      </c>
      <c r="K219" s="36" t="inlineStr">
        <is>
          <t>Personal</t>
        </is>
      </c>
      <c r="L219" s="34" t="n">
        <v>0.65</v>
      </c>
      <c r="M219" s="36" t="inlineStr">
        <is>
          <t>N/A</t>
        </is>
      </c>
    </row>
    <row r="220">
      <c r="A220" s="37" t="n">
        <v>45244</v>
      </c>
      <c r="B220" s="38" t="inlineStr">
        <is>
          <t>UPIOUT/331852093335/Q614784165@ybl/Sent
via /5311</t>
        </is>
      </c>
      <c r="C220" s="38" t="inlineStr"/>
      <c r="D220" s="37" t="n">
        <v>45244</v>
      </c>
      <c r="E220" s="38" t="n">
        <v>20</v>
      </c>
      <c r="F220" s="38" t="n">
        <v>0</v>
      </c>
      <c r="G220" s="38" t="n">
        <v>43616.96</v>
      </c>
      <c r="H220" s="38" t="inlineStr"/>
      <c r="I220" s="38" t="inlineStr"/>
      <c r="J220" s="38" t="inlineStr">
        <is>
          <t>UPI Payment</t>
        </is>
      </c>
      <c r="K220" s="38" t="inlineStr">
        <is>
          <t>Personal</t>
        </is>
      </c>
      <c r="L220" s="25" t="n">
        <v>0.55</v>
      </c>
      <c r="M220" s="38" t="inlineStr">
        <is>
          <t>N/A</t>
        </is>
      </c>
    </row>
    <row r="221">
      <c r="A221" s="58" t="n">
        <v>45245</v>
      </c>
      <c r="B221" s="59" t="inlineStr">
        <is>
          <t>NFT/NEOSIEXEDDD2023111512364110336 NAVI
Mutual Fun</t>
        </is>
      </c>
      <c r="C221" s="59" t="inlineStr"/>
      <c r="D221" s="58" t="n">
        <v>45245</v>
      </c>
      <c r="E221" s="59" t="n">
        <v>100</v>
      </c>
      <c r="F221" s="59" t="n">
        <v>0</v>
      </c>
      <c r="G221" s="59" t="n">
        <v>43516.96</v>
      </c>
      <c r="H221" s="59" t="inlineStr"/>
      <c r="I221" s="59" t="inlineStr"/>
      <c r="J221" s="59" t="inlineStr">
        <is>
          <t>MF Investment</t>
        </is>
      </c>
      <c r="K221" s="59" t="inlineStr">
        <is>
          <t>Investments</t>
        </is>
      </c>
      <c r="L221" s="18" t="n">
        <v>0.88</v>
      </c>
      <c r="M221" s="59" t="inlineStr">
        <is>
          <t>N/A</t>
        </is>
      </c>
    </row>
    <row r="222">
      <c r="A222" s="37" t="n">
        <v>45245</v>
      </c>
      <c r="B222" s="38" t="inlineStr">
        <is>
          <t>UPIOUT/331976133074/RIOTAAGROOFFLINE@ybl/P
ay/5046</t>
        </is>
      </c>
      <c r="C222" s="38" t="inlineStr"/>
      <c r="D222" s="37" t="n">
        <v>45245</v>
      </c>
      <c r="E222" s="38" t="n">
        <v>30</v>
      </c>
      <c r="F222" s="38" t="n">
        <v>0</v>
      </c>
      <c r="G222" s="38" t="n">
        <v>43486.96</v>
      </c>
      <c r="H222" s="38" t="inlineStr"/>
      <c r="I222" s="38" t="inlineStr"/>
      <c r="J222" s="38" t="inlineStr">
        <is>
          <t>UPI Payment</t>
        </is>
      </c>
      <c r="K222" s="38" t="inlineStr">
        <is>
          <t>Personal</t>
        </is>
      </c>
      <c r="L222" s="25" t="n">
        <v>0.55</v>
      </c>
      <c r="M222" s="38" t="inlineStr">
        <is>
          <t>N/A</t>
        </is>
      </c>
    </row>
    <row r="223">
      <c r="A223" s="99" t="n">
        <v>45245</v>
      </c>
      <c r="B223" s="100" t="inlineStr">
        <is>
          <t>UPIOUT/331995905967/payzomato@hdfcbank/Sen
t /5814</t>
        </is>
      </c>
      <c r="C223" s="100" t="inlineStr"/>
      <c r="D223" s="99" t="n">
        <v>45245</v>
      </c>
      <c r="E223" s="100" t="n">
        <v>275.39</v>
      </c>
      <c r="F223" s="100" t="n">
        <v>0</v>
      </c>
      <c r="G223" s="100" t="n">
        <v>43211.57</v>
      </c>
      <c r="H223" s="100" t="inlineStr"/>
      <c r="I223" s="100" t="inlineStr"/>
      <c r="J223" s="100" t="inlineStr">
        <is>
          <t>UPI - Zomato</t>
        </is>
      </c>
      <c r="K223" s="100" t="inlineStr">
        <is>
          <t>Food &amp; Dining</t>
        </is>
      </c>
      <c r="L223" s="34" t="n">
        <v>0.68</v>
      </c>
      <c r="M223" s="100" t="inlineStr">
        <is>
          <t>N/A</t>
        </is>
      </c>
    </row>
    <row r="224">
      <c r="A224" s="58" t="n">
        <v>45246</v>
      </c>
      <c r="B224" s="59" t="inlineStr">
        <is>
          <t>NFT/NEOSIEXEDDD2023111612351325848 NAVI
Mutual Fun</t>
        </is>
      </c>
      <c r="C224" s="59" t="inlineStr"/>
      <c r="D224" s="58" t="n">
        <v>45246</v>
      </c>
      <c r="E224" s="59" t="n">
        <v>100</v>
      </c>
      <c r="F224" s="59" t="n">
        <v>0</v>
      </c>
      <c r="G224" s="59" t="n">
        <v>43111.57</v>
      </c>
      <c r="H224" s="59" t="inlineStr"/>
      <c r="I224" s="59" t="inlineStr"/>
      <c r="J224" s="59" t="inlineStr">
        <is>
          <t>MF Investment</t>
        </is>
      </c>
      <c r="K224" s="59" t="inlineStr">
        <is>
          <t>Investments</t>
        </is>
      </c>
      <c r="L224" s="18" t="n">
        <v>0.88</v>
      </c>
      <c r="M224" s="59" t="inlineStr">
        <is>
          <t>N/A</t>
        </is>
      </c>
    </row>
    <row r="225">
      <c r="A225" s="35" t="n">
        <v>45246</v>
      </c>
      <c r="B225" s="36" t="inlineStr">
        <is>
          <t>UPIOUT/332012580913/paytmqry3eyiz8yp2@payt
m//5812</t>
        </is>
      </c>
      <c r="C225" s="36" t="inlineStr"/>
      <c r="D225" s="35" t="n">
        <v>45246</v>
      </c>
      <c r="E225" s="36" t="n">
        <v>35</v>
      </c>
      <c r="F225" s="36" t="n">
        <v>0</v>
      </c>
      <c r="G225" s="36" t="n">
        <v>43076.57</v>
      </c>
      <c r="H225" s="36" t="inlineStr"/>
      <c r="I225" s="36" t="inlineStr"/>
      <c r="J225" s="36" t="inlineStr">
        <is>
          <t>UPI - Paytm</t>
        </is>
      </c>
      <c r="K225" s="36" t="inlineStr">
        <is>
          <t>Personal</t>
        </is>
      </c>
      <c r="L225" s="34" t="n">
        <v>0.65</v>
      </c>
      <c r="M225" s="36" t="inlineStr">
        <is>
          <t>N/A</t>
        </is>
      </c>
    </row>
    <row r="226">
      <c r="A226" s="35" t="n">
        <v>45246</v>
      </c>
      <c r="B226" s="36" t="inlineStr">
        <is>
          <t>UPIOUT/332014655702/paytm-76881028@paytm/S
en/4121</t>
        </is>
      </c>
      <c r="C226" s="36" t="inlineStr"/>
      <c r="D226" s="35" t="n">
        <v>45246</v>
      </c>
      <c r="E226" s="36" t="n">
        <v>16</v>
      </c>
      <c r="F226" s="36" t="n">
        <v>0</v>
      </c>
      <c r="G226" s="36" t="n">
        <v>43060.57</v>
      </c>
      <c r="H226" s="36" t="inlineStr"/>
      <c r="I226" s="36" t="inlineStr"/>
      <c r="J226" s="36" t="inlineStr">
        <is>
          <t>UPI - Paytm</t>
        </is>
      </c>
      <c r="K226" s="36" t="inlineStr">
        <is>
          <t>Personal</t>
        </is>
      </c>
      <c r="L226" s="34" t="n">
        <v>0.65</v>
      </c>
      <c r="M226" s="36" t="inlineStr">
        <is>
          <t>N/A</t>
        </is>
      </c>
    </row>
    <row r="227">
      <c r="A227" s="37" t="n">
        <v>45246</v>
      </c>
      <c r="B227" s="38" t="inlineStr">
        <is>
          <t>UPIOUT/332033967903/santoshkumargarikimukk
ul/0000</t>
        </is>
      </c>
      <c r="C227" s="38" t="inlineStr"/>
      <c r="D227" s="37" t="n">
        <v>45246</v>
      </c>
      <c r="E227" s="38" t="n">
        <v>10</v>
      </c>
      <c r="F227" s="38" t="n">
        <v>0</v>
      </c>
      <c r="G227" s="38" t="n">
        <v>43050.57</v>
      </c>
      <c r="H227" s="38" t="inlineStr"/>
      <c r="I227" s="38" t="inlineStr"/>
      <c r="J227" s="38" t="inlineStr">
        <is>
          <t>UPI Payment</t>
        </is>
      </c>
      <c r="K227" s="38" t="inlineStr">
        <is>
          <t>Personal</t>
        </is>
      </c>
      <c r="L227" s="25" t="n">
        <v>0.55</v>
      </c>
      <c r="M227" s="38" t="inlineStr">
        <is>
          <t>N/A</t>
        </is>
      </c>
    </row>
    <row r="228">
      <c r="A228" s="37" t="n">
        <v>45246</v>
      </c>
      <c r="B228" s="38" t="inlineStr">
        <is>
          <t>UPIOUT/332034349026/Q084270040@ybl/Sent
via /5812</t>
        </is>
      </c>
      <c r="C228" s="38" t="inlineStr"/>
      <c r="D228" s="37" t="n">
        <v>45246</v>
      </c>
      <c r="E228" s="38" t="n">
        <v>40</v>
      </c>
      <c r="F228" s="38" t="n">
        <v>0</v>
      </c>
      <c r="G228" s="38" t="n">
        <v>43010.57</v>
      </c>
      <c r="H228" s="38" t="inlineStr"/>
      <c r="I228" s="38" t="inlineStr"/>
      <c r="J228" s="38" t="inlineStr">
        <is>
          <t>UPI Payment</t>
        </is>
      </c>
      <c r="K228" s="38" t="inlineStr">
        <is>
          <t>Personal</t>
        </is>
      </c>
      <c r="L228" s="25" t="n">
        <v>0.55</v>
      </c>
      <c r="M228" s="38" t="inlineStr">
        <is>
          <t>N/A</t>
        </is>
      </c>
    </row>
    <row r="229">
      <c r="A229" s="37" t="n">
        <v>45246</v>
      </c>
      <c r="B229" s="38" t="inlineStr">
        <is>
          <t>UPIOUT/332034991781/Q939019145@ybl/Sent
via /5814</t>
        </is>
      </c>
      <c r="C229" s="38" t="inlineStr"/>
      <c r="D229" s="37" t="n">
        <v>45246</v>
      </c>
      <c r="E229" s="38" t="n">
        <v>30</v>
      </c>
      <c r="F229" s="38" t="n">
        <v>0</v>
      </c>
      <c r="G229" s="38" t="n">
        <v>42980.57</v>
      </c>
      <c r="H229" s="38" t="inlineStr"/>
      <c r="I229" s="38" t="inlineStr"/>
      <c r="J229" s="38" t="inlineStr">
        <is>
          <t>UPI Payment</t>
        </is>
      </c>
      <c r="K229" s="38" t="inlineStr">
        <is>
          <t>Personal</t>
        </is>
      </c>
      <c r="L229" s="25" t="n">
        <v>0.55</v>
      </c>
      <c r="M229" s="38" t="inlineStr">
        <is>
          <t>N/A</t>
        </is>
      </c>
    </row>
    <row r="230">
      <c r="A230" s="58" t="n">
        <v>45247</v>
      </c>
      <c r="B230" s="59" t="inlineStr">
        <is>
          <t>NFT/NEOSIEXEDDD2023111712362104738 NAVI
Mutual Fun</t>
        </is>
      </c>
      <c r="C230" s="59" t="inlineStr"/>
      <c r="D230" s="58" t="n">
        <v>45247</v>
      </c>
      <c r="E230" s="59" t="n">
        <v>100</v>
      </c>
      <c r="F230" s="59" t="n">
        <v>0</v>
      </c>
      <c r="G230" s="59" t="n">
        <v>42880.57</v>
      </c>
      <c r="H230" s="59" t="inlineStr"/>
      <c r="I230" s="59" t="inlineStr"/>
      <c r="J230" s="59" t="inlineStr">
        <is>
          <t>MF Investment</t>
        </is>
      </c>
      <c r="K230" s="59" t="inlineStr">
        <is>
          <t>Investments</t>
        </is>
      </c>
      <c r="L230" s="18" t="n">
        <v>0.88</v>
      </c>
      <c r="M230" s="59" t="inlineStr">
        <is>
          <t>N/A</t>
        </is>
      </c>
    </row>
    <row r="231">
      <c r="A231" s="35" t="n">
        <v>45247</v>
      </c>
      <c r="B231" s="36" t="inlineStr">
        <is>
          <t>UPIOUT/332152243692/paytmqry3eyiz8yp2@payt
m//5812</t>
        </is>
      </c>
      <c r="C231" s="36" t="inlineStr"/>
      <c r="D231" s="35" t="n">
        <v>45247</v>
      </c>
      <c r="E231" s="36" t="n">
        <v>35</v>
      </c>
      <c r="F231" s="36" t="n">
        <v>0</v>
      </c>
      <c r="G231" s="36" t="n">
        <v>42845.57</v>
      </c>
      <c r="H231" s="36" t="inlineStr"/>
      <c r="I231" s="36" t="inlineStr"/>
      <c r="J231" s="36" t="inlineStr">
        <is>
          <t>UPI - Paytm</t>
        </is>
      </c>
      <c r="K231" s="36" t="inlineStr">
        <is>
          <t>Personal</t>
        </is>
      </c>
      <c r="L231" s="34" t="n">
        <v>0.65</v>
      </c>
      <c r="M231" s="36" t="inlineStr">
        <is>
          <t>N/A</t>
        </is>
      </c>
    </row>
    <row r="232">
      <c r="A232" s="37" t="n">
        <v>45247</v>
      </c>
      <c r="B232" s="38" t="inlineStr">
        <is>
          <t>UPIOUT/332155943817/8179140461@ybl/Sent
via /0000</t>
        </is>
      </c>
      <c r="C232" s="38" t="inlineStr"/>
      <c r="D232" s="37" t="n">
        <v>45247</v>
      </c>
      <c r="E232" s="38" t="n">
        <v>26</v>
      </c>
      <c r="F232" s="38" t="n">
        <v>0</v>
      </c>
      <c r="G232" s="38" t="n">
        <v>42819.57</v>
      </c>
      <c r="H232" s="38" t="inlineStr"/>
      <c r="I232" s="38" t="inlineStr"/>
      <c r="J232" s="38" t="inlineStr">
        <is>
          <t>UPI Payment</t>
        </is>
      </c>
      <c r="K232" s="38" t="inlineStr">
        <is>
          <t>Personal</t>
        </is>
      </c>
      <c r="L232" s="25" t="n">
        <v>0.55</v>
      </c>
      <c r="M232" s="38" t="inlineStr">
        <is>
          <t>N/A</t>
        </is>
      </c>
    </row>
    <row r="233">
      <c r="A233" s="37" t="n">
        <v>45247</v>
      </c>
      <c r="B233" s="38" t="inlineStr">
        <is>
          <t>UPIOUT/332164106579/RIOTAAGROOFFLINE@ybl/P
ay/5046</t>
        </is>
      </c>
      <c r="C233" s="38" t="inlineStr"/>
      <c r="D233" s="37" t="n">
        <v>45247</v>
      </c>
      <c r="E233" s="38" t="n">
        <v>30</v>
      </c>
      <c r="F233" s="38" t="n">
        <v>0</v>
      </c>
      <c r="G233" s="38" t="n">
        <v>42789.57</v>
      </c>
      <c r="H233" s="38" t="inlineStr"/>
      <c r="I233" s="38" t="inlineStr"/>
      <c r="J233" s="38" t="inlineStr">
        <is>
          <t>UPI Payment</t>
        </is>
      </c>
      <c r="K233" s="38" t="inlineStr">
        <is>
          <t>Personal</t>
        </is>
      </c>
      <c r="L233" s="25" t="n">
        <v>0.55</v>
      </c>
      <c r="M233" s="38" t="inlineStr">
        <is>
          <t>N/A</t>
        </is>
      </c>
    </row>
    <row r="234">
      <c r="A234" s="37" t="n">
        <v>45247</v>
      </c>
      <c r="B234" s="38" t="inlineStr">
        <is>
          <t>UPIOUT/332172953207/Q614784165@ybl/Sent
via /5311</t>
        </is>
      </c>
      <c r="C234" s="38" t="inlineStr"/>
      <c r="D234" s="37" t="n">
        <v>45247</v>
      </c>
      <c r="E234" s="38" t="n">
        <v>20</v>
      </c>
      <c r="F234" s="38" t="n">
        <v>0</v>
      </c>
      <c r="G234" s="38" t="n">
        <v>42769.57</v>
      </c>
      <c r="H234" s="38" t="inlineStr"/>
      <c r="I234" s="38" t="inlineStr"/>
      <c r="J234" s="38" t="inlineStr">
        <is>
          <t>UPI Payment</t>
        </is>
      </c>
      <c r="K234" s="38" t="inlineStr">
        <is>
          <t>Personal</t>
        </is>
      </c>
      <c r="L234" s="25" t="n">
        <v>0.55</v>
      </c>
      <c r="M234" s="38" t="inlineStr">
        <is>
          <t>N/A</t>
        </is>
      </c>
    </row>
    <row r="235">
      <c r="A235" s="99" t="n">
        <v>45247</v>
      </c>
      <c r="B235" s="100" t="inlineStr">
        <is>
          <t>UPIOUT/332181780137/zomato-
order@paytm/Zomat/5812</t>
        </is>
      </c>
      <c r="C235" s="100" t="inlineStr"/>
      <c r="D235" s="99" t="n">
        <v>45247</v>
      </c>
      <c r="E235" s="100" t="n">
        <v>269.99</v>
      </c>
      <c r="F235" s="100" t="n">
        <v>0</v>
      </c>
      <c r="G235" s="100" t="n">
        <v>42499.58</v>
      </c>
      <c r="H235" s="100" t="inlineStr"/>
      <c r="I235" s="100" t="inlineStr"/>
      <c r="J235" s="100" t="inlineStr">
        <is>
          <t>UPI - Zomato</t>
        </is>
      </c>
      <c r="K235" s="100" t="inlineStr">
        <is>
          <t>Food &amp; Dining</t>
        </is>
      </c>
      <c r="L235" s="34" t="n">
        <v>0.68</v>
      </c>
      <c r="M235" s="100" t="inlineStr">
        <is>
          <t>N/A</t>
        </is>
      </c>
    </row>
    <row r="236">
      <c r="A236" s="58" t="n">
        <v>45248</v>
      </c>
      <c r="B236" s="59" t="inlineStr">
        <is>
          <t>NFT/NEOSIEXEDDD2023111812352644394 NAVI
Mutual Fun</t>
        </is>
      </c>
      <c r="C236" s="59" t="inlineStr"/>
      <c r="D236" s="58" t="n">
        <v>45248</v>
      </c>
      <c r="E236" s="59" t="n">
        <v>100</v>
      </c>
      <c r="F236" s="59" t="n">
        <v>0</v>
      </c>
      <c r="G236" s="59" t="n">
        <v>42399.58</v>
      </c>
      <c r="H236" s="59" t="inlineStr"/>
      <c r="I236" s="59" t="inlineStr"/>
      <c r="J236" s="59" t="inlineStr">
        <is>
          <t>MF Investment</t>
        </is>
      </c>
      <c r="K236" s="59" t="inlineStr">
        <is>
          <t>Investments</t>
        </is>
      </c>
      <c r="L236" s="18" t="n">
        <v>0.88</v>
      </c>
      <c r="M236" s="59" t="inlineStr">
        <is>
          <t>N/A</t>
        </is>
      </c>
    </row>
    <row r="237">
      <c r="A237" s="37" t="n">
        <v>45248</v>
      </c>
      <c r="B237" s="38" t="inlineStr">
        <is>
          <t>UPIOUT/332210009464/Q092156324@ybl/Sent
via /5814</t>
        </is>
      </c>
      <c r="C237" s="38" t="inlineStr"/>
      <c r="D237" s="37" t="n">
        <v>45248</v>
      </c>
      <c r="E237" s="38" t="n">
        <v>75</v>
      </c>
      <c r="F237" s="38" t="n">
        <v>0</v>
      </c>
      <c r="G237" s="38" t="n">
        <v>42324.58</v>
      </c>
      <c r="H237" s="38" t="inlineStr"/>
      <c r="I237" s="38" t="inlineStr"/>
      <c r="J237" s="38" t="inlineStr">
        <is>
          <t>UPI Payment</t>
        </is>
      </c>
      <c r="K237" s="38" t="inlineStr">
        <is>
          <t>Personal</t>
        </is>
      </c>
      <c r="L237" s="25" t="n">
        <v>0.55</v>
      </c>
      <c r="M237" s="38" t="inlineStr">
        <is>
          <t>N/A</t>
        </is>
      </c>
    </row>
    <row r="238">
      <c r="A238" s="37" t="n">
        <v>45248</v>
      </c>
      <c r="B238" s="38" t="inlineStr">
        <is>
          <t>UPIOUT/332210616891/Q092156324@ybl/Sent
via /5814</t>
        </is>
      </c>
      <c r="C238" s="38" t="inlineStr"/>
      <c r="D238" s="37" t="n">
        <v>45248</v>
      </c>
      <c r="E238" s="38" t="n">
        <v>25</v>
      </c>
      <c r="F238" s="38" t="n">
        <v>0</v>
      </c>
      <c r="G238" s="38" t="n">
        <v>42299.58</v>
      </c>
      <c r="H238" s="38" t="inlineStr"/>
      <c r="I238" s="38" t="inlineStr"/>
      <c r="J238" s="38" t="inlineStr">
        <is>
          <t>UPI Payment</t>
        </is>
      </c>
      <c r="K238" s="38" t="inlineStr">
        <is>
          <t>Personal</t>
        </is>
      </c>
      <c r="L238" s="25" t="n">
        <v>0.55</v>
      </c>
      <c r="M238" s="38" t="inlineStr">
        <is>
          <t>N/A</t>
        </is>
      </c>
    </row>
    <row r="239">
      <c r="A239" s="37" t="n">
        <v>45248</v>
      </c>
      <c r="B239" s="38" t="inlineStr">
        <is>
          <t>UPIOUT/332214285798/crosswordbookstoresl.6
16/5942</t>
        </is>
      </c>
      <c r="C239" s="38" t="inlineStr"/>
      <c r="D239" s="37" t="n">
        <v>45248</v>
      </c>
      <c r="E239" s="38" t="n">
        <v>299</v>
      </c>
      <c r="F239" s="38" t="n">
        <v>0</v>
      </c>
      <c r="G239" s="38" t="n">
        <v>42000.58</v>
      </c>
      <c r="H239" s="38" t="inlineStr"/>
      <c r="I239" s="38" t="inlineStr"/>
      <c r="J239" s="38" t="inlineStr">
        <is>
          <t>UPI Payment</t>
        </is>
      </c>
      <c r="K239" s="38" t="inlineStr">
        <is>
          <t>Personal</t>
        </is>
      </c>
      <c r="L239" s="25" t="n">
        <v>0.55</v>
      </c>
      <c r="M239" s="38" t="inlineStr">
        <is>
          <t>N/A</t>
        </is>
      </c>
    </row>
    <row r="240">
      <c r="A240" s="91" t="n">
        <v>45248</v>
      </c>
      <c r="B240" s="92" t="inlineStr">
        <is>
          <t>UPIOUT/332232131392/uberrides@hdfcbank/cha
rg/5960</t>
        </is>
      </c>
      <c r="C240" s="92" t="inlineStr"/>
      <c r="D240" s="91" t="n">
        <v>45248</v>
      </c>
      <c r="E240" s="92" t="n">
        <v>99.01000000000001</v>
      </c>
      <c r="F240" s="92" t="n">
        <v>0</v>
      </c>
      <c r="G240" s="92" t="n">
        <v>41901.57</v>
      </c>
      <c r="H240" s="92" t="inlineStr"/>
      <c r="I240" s="92" t="inlineStr"/>
      <c r="J240" s="92" t="inlineStr">
        <is>
          <t>UPI - Uber</t>
        </is>
      </c>
      <c r="K240" s="92" t="inlineStr">
        <is>
          <t>Transport</t>
        </is>
      </c>
      <c r="L240" s="34" t="n">
        <v>0.68</v>
      </c>
      <c r="M240" s="92" t="inlineStr">
        <is>
          <t>N/A</t>
        </is>
      </c>
    </row>
    <row r="241">
      <c r="A241" s="95" t="n">
        <v>45248</v>
      </c>
      <c r="B241" s="96" t="inlineStr">
        <is>
          <t>UPIOUT/332220728063/zeptonowcashfree@hdfcb
an/5411</t>
        </is>
      </c>
      <c r="C241" s="96" t="inlineStr"/>
      <c r="D241" s="95" t="n">
        <v>45248</v>
      </c>
      <c r="E241" s="96" t="n">
        <v>332</v>
      </c>
      <c r="F241" s="96" t="n">
        <v>0</v>
      </c>
      <c r="G241" s="96" t="n">
        <v>41569.57</v>
      </c>
      <c r="H241" s="96" t="inlineStr"/>
      <c r="I241" s="96" t="inlineStr"/>
      <c r="J241" s="96" t="inlineStr">
        <is>
          <t>UPI - Zepto</t>
        </is>
      </c>
      <c r="K241" s="96" t="inlineStr">
        <is>
          <t>Groceries</t>
        </is>
      </c>
      <c r="L241" s="34" t="n">
        <v>0.68</v>
      </c>
      <c r="M241" s="96" t="inlineStr">
        <is>
          <t>N/A</t>
        </is>
      </c>
    </row>
    <row r="242">
      <c r="A242" s="35" t="n">
        <v>45248</v>
      </c>
      <c r="B242" s="36" t="inlineStr">
        <is>
          <t>UPIOUT/332225101972/paytmqry58zxdl1zx@payt
m//5814</t>
        </is>
      </c>
      <c r="C242" s="36" t="inlineStr"/>
      <c r="D242" s="35" t="n">
        <v>45248</v>
      </c>
      <c r="E242" s="36" t="n">
        <v>30</v>
      </c>
      <c r="F242" s="36" t="n">
        <v>0</v>
      </c>
      <c r="G242" s="36" t="n">
        <v>41539.57</v>
      </c>
      <c r="H242" s="36" t="inlineStr"/>
      <c r="I242" s="36" t="inlineStr"/>
      <c r="J242" s="36" t="inlineStr">
        <is>
          <t>UPI - Paytm</t>
        </is>
      </c>
      <c r="K242" s="36" t="inlineStr">
        <is>
          <t>Personal</t>
        </is>
      </c>
      <c r="L242" s="34" t="n">
        <v>0.65</v>
      </c>
      <c r="M242" s="36" t="inlineStr">
        <is>
          <t>N/A</t>
        </is>
      </c>
    </row>
    <row r="243">
      <c r="A243" s="35" t="n">
        <v>45248</v>
      </c>
      <c r="B243" s="36" t="inlineStr">
        <is>
          <t>UPIOUT/332230792421/paytmqr1a2plltyay@payt
m//5812</t>
        </is>
      </c>
      <c r="C243" s="36" t="inlineStr"/>
      <c r="D243" s="35" t="n">
        <v>45248</v>
      </c>
      <c r="E243" s="36" t="n">
        <v>60</v>
      </c>
      <c r="F243" s="36" t="n">
        <v>0</v>
      </c>
      <c r="G243" s="36" t="n">
        <v>41479.57</v>
      </c>
      <c r="H243" s="36" t="inlineStr"/>
      <c r="I243" s="36" t="inlineStr"/>
      <c r="J243" s="36" t="inlineStr">
        <is>
          <t>UPI - Paytm</t>
        </is>
      </c>
      <c r="K243" s="36" t="inlineStr">
        <is>
          <t>Personal</t>
        </is>
      </c>
      <c r="L243" s="34" t="n">
        <v>0.65</v>
      </c>
      <c r="M243" s="36" t="inlineStr">
        <is>
          <t>N/A</t>
        </is>
      </c>
    </row>
    <row r="244">
      <c r="A244" s="32" t="n">
        <v>45248</v>
      </c>
      <c r="B244" s="33" t="inlineStr">
        <is>
          <t>UPIOUT/332231274369/BHARATPE90727090707@ye
sb/5814</t>
        </is>
      </c>
      <c r="C244" s="33" t="inlineStr"/>
      <c r="D244" s="32" t="n">
        <v>45248</v>
      </c>
      <c r="E244" s="33" t="n">
        <v>20</v>
      </c>
      <c r="F244" s="33" t="n">
        <v>0</v>
      </c>
      <c r="G244" s="33" t="n">
        <v>41459.57</v>
      </c>
      <c r="H244" s="33" t="inlineStr"/>
      <c r="I244" s="33" t="inlineStr"/>
      <c r="J244" s="33" t="inlineStr">
        <is>
          <t>UPI - BharatPe</t>
        </is>
      </c>
      <c r="K244" s="33" t="inlineStr">
        <is>
          <t>Personal</t>
        </is>
      </c>
      <c r="L244" s="34" t="n">
        <v>0.65</v>
      </c>
      <c r="M244" s="33" t="inlineStr">
        <is>
          <t>N/A</t>
        </is>
      </c>
    </row>
    <row r="245">
      <c r="A245" s="37" t="n">
        <v>45248</v>
      </c>
      <c r="B245" s="38" t="inlineStr">
        <is>
          <t>UPIOUT/332231635559/Q614784165@ybl/Sent
via /5311</t>
        </is>
      </c>
      <c r="C245" s="38" t="inlineStr"/>
      <c r="D245" s="37" t="n">
        <v>45248</v>
      </c>
      <c r="E245" s="38" t="n">
        <v>20</v>
      </c>
      <c r="F245" s="38" t="n">
        <v>0</v>
      </c>
      <c r="G245" s="38" t="n">
        <v>41439.57</v>
      </c>
      <c r="H245" s="38" t="inlineStr"/>
      <c r="I245" s="38" t="inlineStr"/>
      <c r="J245" s="38" t="inlineStr">
        <is>
          <t>UPI Payment</t>
        </is>
      </c>
      <c r="K245" s="38" t="inlineStr">
        <is>
          <t>Personal</t>
        </is>
      </c>
      <c r="L245" s="25" t="n">
        <v>0.55</v>
      </c>
      <c r="M245" s="38" t="inlineStr">
        <is>
          <t>N/A</t>
        </is>
      </c>
    </row>
    <row r="246">
      <c r="A246" s="58" t="n">
        <v>45249</v>
      </c>
      <c r="B246" s="59" t="inlineStr">
        <is>
          <t>NFT/NEOSIEXEDDD2023111912352958631 NAVI
Mutual Fun</t>
        </is>
      </c>
      <c r="C246" s="59" t="inlineStr"/>
      <c r="D246" s="58" t="n">
        <v>45249</v>
      </c>
      <c r="E246" s="59" t="n">
        <v>100</v>
      </c>
      <c r="F246" s="59" t="n">
        <v>0</v>
      </c>
      <c r="G246" s="59" t="n">
        <v>41339.57</v>
      </c>
      <c r="H246" s="59" t="inlineStr"/>
      <c r="I246" s="59" t="inlineStr"/>
      <c r="J246" s="59" t="inlineStr">
        <is>
          <t>MF Investment</t>
        </is>
      </c>
      <c r="K246" s="59" t="inlineStr">
        <is>
          <t>Investments</t>
        </is>
      </c>
      <c r="L246" s="18" t="n">
        <v>0.88</v>
      </c>
      <c r="M246" s="59" t="inlineStr">
        <is>
          <t>N/A</t>
        </is>
      </c>
    </row>
    <row r="247">
      <c r="A247" s="35" t="n">
        <v>45249</v>
      </c>
      <c r="B247" s="36" t="inlineStr">
        <is>
          <t>UPIOUT/332346344087/paytmqruct2pt8f1w@payt
m//5462</t>
        </is>
      </c>
      <c r="C247" s="36" t="inlineStr"/>
      <c r="D247" s="35" t="n">
        <v>45249</v>
      </c>
      <c r="E247" s="36" t="n">
        <v>30</v>
      </c>
      <c r="F247" s="36" t="n">
        <v>0</v>
      </c>
      <c r="G247" s="36" t="n">
        <v>41309.57</v>
      </c>
      <c r="H247" s="36" t="inlineStr"/>
      <c r="I247" s="36" t="inlineStr"/>
      <c r="J247" s="36" t="inlineStr">
        <is>
          <t>UPI - Paytm</t>
        </is>
      </c>
      <c r="K247" s="36" t="inlineStr">
        <is>
          <t>Personal</t>
        </is>
      </c>
      <c r="L247" s="34" t="n">
        <v>0.65</v>
      </c>
      <c r="M247" s="36" t="inlineStr">
        <is>
          <t>N/A</t>
        </is>
      </c>
    </row>
    <row r="248">
      <c r="A248" s="35" t="n">
        <v>45249</v>
      </c>
      <c r="B248" s="36" t="inlineStr">
        <is>
          <t>UPIOUT/332346610032/paytmqr1ox7m6rgyo@payt
m//5812</t>
        </is>
      </c>
      <c r="C248" s="36" t="inlineStr"/>
      <c r="D248" s="35" t="n">
        <v>45249</v>
      </c>
      <c r="E248" s="36" t="n">
        <v>15</v>
      </c>
      <c r="F248" s="36" t="n">
        <v>0</v>
      </c>
      <c r="G248" s="36" t="n">
        <v>41294.57</v>
      </c>
      <c r="H248" s="36" t="inlineStr"/>
      <c r="I248" s="36" t="inlineStr"/>
      <c r="J248" s="36" t="inlineStr">
        <is>
          <t>UPI - Paytm</t>
        </is>
      </c>
      <c r="K248" s="36" t="inlineStr">
        <is>
          <t>Personal</t>
        </is>
      </c>
      <c r="L248" s="34" t="n">
        <v>0.65</v>
      </c>
      <c r="M248" s="36" t="inlineStr">
        <is>
          <t>N/A</t>
        </is>
      </c>
    </row>
    <row r="249">
      <c r="A249" s="58" t="n">
        <v>45250</v>
      </c>
      <c r="B249" s="59" t="inlineStr">
        <is>
          <t>NFT/NEOSIEXEDDD2023112012351458073 NAVI
Mutual Fun</t>
        </is>
      </c>
      <c r="C249" s="59" t="inlineStr"/>
      <c r="D249" s="58" t="n">
        <v>45250</v>
      </c>
      <c r="E249" s="59" t="n">
        <v>100</v>
      </c>
      <c r="F249" s="59" t="n">
        <v>0</v>
      </c>
      <c r="G249" s="59" t="n">
        <v>41194.57</v>
      </c>
      <c r="H249" s="59" t="inlineStr"/>
      <c r="I249" s="59" t="inlineStr"/>
      <c r="J249" s="59" t="inlineStr">
        <is>
          <t>MF Investment</t>
        </is>
      </c>
      <c r="K249" s="59" t="inlineStr">
        <is>
          <t>Investments</t>
        </is>
      </c>
      <c r="L249" s="18" t="n">
        <v>0.88</v>
      </c>
      <c r="M249" s="59" t="inlineStr">
        <is>
          <t>N/A</t>
        </is>
      </c>
    </row>
    <row r="250">
      <c r="A250" s="35" t="n">
        <v>45250</v>
      </c>
      <c r="B250" s="36" t="inlineStr">
        <is>
          <t>UPIOUT/332411508334/paytmqry58zxdl1zx@payt
m//5814</t>
        </is>
      </c>
      <c r="C250" s="36" t="inlineStr"/>
      <c r="D250" s="35" t="n">
        <v>45250</v>
      </c>
      <c r="E250" s="36" t="n">
        <v>30</v>
      </c>
      <c r="F250" s="36" t="n">
        <v>0</v>
      </c>
      <c r="G250" s="36" t="n">
        <v>41164.57</v>
      </c>
      <c r="H250" s="36" t="inlineStr"/>
      <c r="I250" s="36" t="inlineStr"/>
      <c r="J250" s="36" t="inlineStr">
        <is>
          <t>UPI - Paytm</t>
        </is>
      </c>
      <c r="K250" s="36" t="inlineStr">
        <is>
          <t>Personal</t>
        </is>
      </c>
      <c r="L250" s="34" t="n">
        <v>0.65</v>
      </c>
      <c r="M250" s="36" t="inlineStr">
        <is>
          <t>N/A</t>
        </is>
      </c>
    </row>
    <row r="251">
      <c r="A251" s="35" t="n">
        <v>45250</v>
      </c>
      <c r="B251" s="36" t="inlineStr">
        <is>
          <t>UPIOUT/332411630892/paytmqrfmo9fujhwg@payt
m//5812</t>
        </is>
      </c>
      <c r="C251" s="36" t="inlineStr"/>
      <c r="D251" s="35" t="n">
        <v>45250</v>
      </c>
      <c r="E251" s="36" t="n">
        <v>20</v>
      </c>
      <c r="F251" s="36" t="n">
        <v>0</v>
      </c>
      <c r="G251" s="36" t="n">
        <v>41144.57</v>
      </c>
      <c r="H251" s="36" t="inlineStr"/>
      <c r="I251" s="36" t="inlineStr"/>
      <c r="J251" s="36" t="inlineStr">
        <is>
          <t>UPI - Paytm</t>
        </is>
      </c>
      <c r="K251" s="36" t="inlineStr">
        <is>
          <t>Personal</t>
        </is>
      </c>
      <c r="L251" s="34" t="n">
        <v>0.65</v>
      </c>
      <c r="M251" s="36" t="inlineStr">
        <is>
          <t>N/A</t>
        </is>
      </c>
    </row>
    <row r="252">
      <c r="A252" s="35" t="n">
        <v>45250</v>
      </c>
      <c r="B252" s="36" t="inlineStr">
        <is>
          <t>UPIOUT/332420186974/paytmqr2810050501015w5
z0/5812</t>
        </is>
      </c>
      <c r="C252" s="36" t="inlineStr"/>
      <c r="D252" s="35" t="n">
        <v>45250</v>
      </c>
      <c r="E252" s="36" t="n">
        <v>90</v>
      </c>
      <c r="F252" s="36" t="n">
        <v>0</v>
      </c>
      <c r="G252" s="36" t="n">
        <v>41054.57</v>
      </c>
      <c r="H252" s="36" t="inlineStr"/>
      <c r="I252" s="36" t="inlineStr"/>
      <c r="J252" s="36" t="inlineStr">
        <is>
          <t>UPI - Paytm</t>
        </is>
      </c>
      <c r="K252" s="36" t="inlineStr">
        <is>
          <t>Personal</t>
        </is>
      </c>
      <c r="L252" s="34" t="n">
        <v>0.65</v>
      </c>
      <c r="M252" s="36" t="inlineStr">
        <is>
          <t>N/A</t>
        </is>
      </c>
    </row>
    <row r="253">
      <c r="A253" s="37" t="n">
        <v>45250</v>
      </c>
      <c r="B253" s="38" t="inlineStr">
        <is>
          <t>UPIOUT/332420265088/Q917893938@ybl/Sent
via /5814</t>
        </is>
      </c>
      <c r="C253" s="38" t="inlineStr"/>
      <c r="D253" s="37" t="n">
        <v>45250</v>
      </c>
      <c r="E253" s="38" t="n">
        <v>40</v>
      </c>
      <c r="F253" s="38" t="n">
        <v>0</v>
      </c>
      <c r="G253" s="38" t="n">
        <v>41014.57</v>
      </c>
      <c r="H253" s="38" t="inlineStr"/>
      <c r="I253" s="38" t="inlineStr"/>
      <c r="J253" s="38" t="inlineStr">
        <is>
          <t>UPI Payment</t>
        </is>
      </c>
      <c r="K253" s="38" t="inlineStr">
        <is>
          <t>Personal</t>
        </is>
      </c>
      <c r="L253" s="25" t="n">
        <v>0.55</v>
      </c>
      <c r="M253" s="38" t="inlineStr">
        <is>
          <t>N/A</t>
        </is>
      </c>
    </row>
    <row r="254">
      <c r="A254" s="58" t="n">
        <v>45251</v>
      </c>
      <c r="B254" s="59" t="inlineStr">
        <is>
          <t>NFT/NEOSIEXEDDD2023112112351466037 NAVI
Mutual Fun</t>
        </is>
      </c>
      <c r="C254" s="59" t="inlineStr"/>
      <c r="D254" s="58" t="n">
        <v>45251</v>
      </c>
      <c r="E254" s="59" t="n">
        <v>100</v>
      </c>
      <c r="F254" s="59" t="n">
        <v>0</v>
      </c>
      <c r="G254" s="59" t="n">
        <v>40914.57</v>
      </c>
      <c r="H254" s="59" t="inlineStr"/>
      <c r="I254" s="59" t="inlineStr"/>
      <c r="J254" s="59" t="inlineStr">
        <is>
          <t>MF Investment</t>
        </is>
      </c>
      <c r="K254" s="59" t="inlineStr">
        <is>
          <t>Investments</t>
        </is>
      </c>
      <c r="L254" s="18" t="n">
        <v>0.88</v>
      </c>
      <c r="M254" s="59" t="inlineStr">
        <is>
          <t>N/A</t>
        </is>
      </c>
    </row>
    <row r="255">
      <c r="A255" s="58" t="n">
        <v>45251</v>
      </c>
      <c r="B255" s="59" t="inlineStr">
        <is>
          <t>NFT/NEOSIEXEDDD2023112102390713794 Mirae
Asset Mut</t>
        </is>
      </c>
      <c r="C255" s="59" t="inlineStr"/>
      <c r="D255" s="58" t="n">
        <v>45251</v>
      </c>
      <c r="E255" s="59" t="n">
        <v>1000</v>
      </c>
      <c r="F255" s="59" t="n">
        <v>0</v>
      </c>
      <c r="G255" s="59" t="n">
        <v>39914.57</v>
      </c>
      <c r="H255" s="59" t="inlineStr"/>
      <c r="I255" s="59" t="inlineStr"/>
      <c r="J255" s="59" t="inlineStr">
        <is>
          <t>MF Investment</t>
        </is>
      </c>
      <c r="K255" s="59" t="inlineStr">
        <is>
          <t>Investments</t>
        </is>
      </c>
      <c r="L255" s="18" t="n">
        <v>0.88</v>
      </c>
      <c r="M255" s="59" t="inlineStr">
        <is>
          <t>N/A</t>
        </is>
      </c>
    </row>
    <row r="256">
      <c r="A256" s="35" t="n">
        <v>45251</v>
      </c>
      <c r="B256" s="36" t="inlineStr">
        <is>
          <t>UPIOUT/332531317623/paytmqry3eyiz8yp2@payt
m//5812</t>
        </is>
      </c>
      <c r="C256" s="36" t="inlineStr"/>
      <c r="D256" s="35" t="n">
        <v>45251</v>
      </c>
      <c r="E256" s="36" t="n">
        <v>35</v>
      </c>
      <c r="F256" s="36" t="n">
        <v>0</v>
      </c>
      <c r="G256" s="36" t="n">
        <v>39879.57</v>
      </c>
      <c r="H256" s="36" t="inlineStr"/>
      <c r="I256" s="36" t="inlineStr"/>
      <c r="J256" s="36" t="inlineStr">
        <is>
          <t>UPI - Paytm</t>
        </is>
      </c>
      <c r="K256" s="36" t="inlineStr">
        <is>
          <t>Personal</t>
        </is>
      </c>
      <c r="L256" s="34" t="n">
        <v>0.65</v>
      </c>
      <c r="M256" s="36" t="inlineStr">
        <is>
          <t>N/A</t>
        </is>
      </c>
    </row>
    <row r="257">
      <c r="A257" s="35" t="n">
        <v>45251</v>
      </c>
      <c r="B257" s="36" t="inlineStr">
        <is>
          <t>UPIOUT/332531554492/paytmqrfmo9fujhwg@payt
m//5812</t>
        </is>
      </c>
      <c r="C257" s="36" t="inlineStr"/>
      <c r="D257" s="35" t="n">
        <v>45251</v>
      </c>
      <c r="E257" s="36" t="n">
        <v>10</v>
      </c>
      <c r="F257" s="36" t="n">
        <v>0</v>
      </c>
      <c r="G257" s="36" t="n">
        <v>39869.57</v>
      </c>
      <c r="H257" s="36" t="inlineStr"/>
      <c r="I257" s="36" t="inlineStr"/>
      <c r="J257" s="36" t="inlineStr">
        <is>
          <t>UPI - Paytm</t>
        </is>
      </c>
      <c r="K257" s="36" t="inlineStr">
        <is>
          <t>Personal</t>
        </is>
      </c>
      <c r="L257" s="34" t="n">
        <v>0.65</v>
      </c>
      <c r="M257" s="36" t="inlineStr">
        <is>
          <t>N/A</t>
        </is>
      </c>
    </row>
    <row r="258">
      <c r="A258" s="58" t="n">
        <v>45251</v>
      </c>
      <c r="B258" s="59" t="inlineStr">
        <is>
          <t>NFT/NEOSIEXEDDD2023112103091392679 Quant
Mutual Fu</t>
        </is>
      </c>
      <c r="C258" s="59" t="inlineStr"/>
      <c r="D258" s="58" t="n">
        <v>45251</v>
      </c>
      <c r="E258" s="59" t="n">
        <v>1000</v>
      </c>
      <c r="F258" s="59" t="n">
        <v>0</v>
      </c>
      <c r="G258" s="59" t="n">
        <v>38869.57</v>
      </c>
      <c r="H258" s="59" t="inlineStr"/>
      <c r="I258" s="59" t="inlineStr"/>
      <c r="J258" s="59" t="inlineStr">
        <is>
          <t>MF Investment</t>
        </is>
      </c>
      <c r="K258" s="59" t="inlineStr">
        <is>
          <t>Investments</t>
        </is>
      </c>
      <c r="L258" s="18" t="n">
        <v>0.88</v>
      </c>
      <c r="M258" s="59" t="inlineStr">
        <is>
          <t>N/A</t>
        </is>
      </c>
    </row>
    <row r="259">
      <c r="A259" s="35" t="n">
        <v>45251</v>
      </c>
      <c r="B259" s="36" t="inlineStr">
        <is>
          <t>UPIOUT/332541767018/paytmqrfmo9fujhwg@payt
m//5812</t>
        </is>
      </c>
      <c r="C259" s="36" t="inlineStr"/>
      <c r="D259" s="35" t="n">
        <v>45251</v>
      </c>
      <c r="E259" s="36" t="n">
        <v>70</v>
      </c>
      <c r="F259" s="36" t="n">
        <v>0</v>
      </c>
      <c r="G259" s="36" t="n">
        <v>38799.57</v>
      </c>
      <c r="H259" s="36" t="inlineStr"/>
      <c r="I259" s="36" t="inlineStr"/>
      <c r="J259" s="36" t="inlineStr">
        <is>
          <t>UPI - Paytm</t>
        </is>
      </c>
      <c r="K259" s="36" t="inlineStr">
        <is>
          <t>Personal</t>
        </is>
      </c>
      <c r="L259" s="34" t="n">
        <v>0.65</v>
      </c>
      <c r="M259" s="36" t="inlineStr">
        <is>
          <t>N/A</t>
        </is>
      </c>
    </row>
    <row r="260">
      <c r="A260" s="35" t="n">
        <v>45251</v>
      </c>
      <c r="B260" s="36" t="inlineStr">
        <is>
          <t>UPIOUT/332542368966/paytmqrfmo9fujhwg@payt
m//5812</t>
        </is>
      </c>
      <c r="C260" s="36" t="inlineStr"/>
      <c r="D260" s="35" t="n">
        <v>45251</v>
      </c>
      <c r="E260" s="36" t="n">
        <v>10</v>
      </c>
      <c r="F260" s="36" t="n">
        <v>0</v>
      </c>
      <c r="G260" s="36" t="n">
        <v>38789.57</v>
      </c>
      <c r="H260" s="36" t="inlineStr"/>
      <c r="I260" s="36" t="inlineStr"/>
      <c r="J260" s="36" t="inlineStr">
        <is>
          <t>UPI - Paytm</t>
        </is>
      </c>
      <c r="K260" s="36" t="inlineStr">
        <is>
          <t>Personal</t>
        </is>
      </c>
      <c r="L260" s="34" t="n">
        <v>0.65</v>
      </c>
      <c r="M260" s="36" t="inlineStr">
        <is>
          <t>N/A</t>
        </is>
      </c>
    </row>
    <row r="261">
      <c r="A261" s="95" t="n">
        <v>45251</v>
      </c>
      <c r="B261" s="96" t="inlineStr">
        <is>
          <t>UPIOUT/332556875600/zeptonowcashfree@hdfcb
an/5411</t>
        </is>
      </c>
      <c r="C261" s="96" t="inlineStr"/>
      <c r="D261" s="95" t="n">
        <v>45251</v>
      </c>
      <c r="E261" s="96" t="n">
        <v>329</v>
      </c>
      <c r="F261" s="96" t="n">
        <v>0</v>
      </c>
      <c r="G261" s="96" t="n">
        <v>38460.57</v>
      </c>
      <c r="H261" s="96" t="inlineStr"/>
      <c r="I261" s="96" t="inlineStr"/>
      <c r="J261" s="96" t="inlineStr">
        <is>
          <t>UPI - Zepto</t>
        </is>
      </c>
      <c r="K261" s="96" t="inlineStr">
        <is>
          <t>Groceries</t>
        </is>
      </c>
      <c r="L261" s="34" t="n">
        <v>0.68</v>
      </c>
      <c r="M261" s="96" t="inlineStr">
        <is>
          <t>N/A</t>
        </is>
      </c>
    </row>
    <row r="262">
      <c r="A262" s="35" t="n">
        <v>45251</v>
      </c>
      <c r="B262" s="36" t="inlineStr">
        <is>
          <t>UPIOUT/332557795900/paytmqr2810050501015w5
z0/5812</t>
        </is>
      </c>
      <c r="C262" s="36" t="inlineStr"/>
      <c r="D262" s="35" t="n">
        <v>45251</v>
      </c>
      <c r="E262" s="36" t="n">
        <v>80</v>
      </c>
      <c r="F262" s="36" t="n">
        <v>0</v>
      </c>
      <c r="G262" s="36" t="n">
        <v>38380.57</v>
      </c>
      <c r="H262" s="36" t="inlineStr"/>
      <c r="I262" s="36" t="inlineStr"/>
      <c r="J262" s="36" t="inlineStr">
        <is>
          <t>UPI - Paytm</t>
        </is>
      </c>
      <c r="K262" s="36" t="inlineStr">
        <is>
          <t>Personal</t>
        </is>
      </c>
      <c r="L262" s="34" t="n">
        <v>0.65</v>
      </c>
      <c r="M262" s="36" t="inlineStr">
        <is>
          <t>N/A</t>
        </is>
      </c>
    </row>
    <row r="263">
      <c r="A263" s="58" t="n">
        <v>45252</v>
      </c>
      <c r="B263" s="59" t="inlineStr">
        <is>
          <t>NFT/NEOSIEXEDDD2023112212363715976 NAVI
Mutual Fun</t>
        </is>
      </c>
      <c r="C263" s="59" t="inlineStr"/>
      <c r="D263" s="58" t="n">
        <v>45252</v>
      </c>
      <c r="E263" s="59" t="n">
        <v>100</v>
      </c>
      <c r="F263" s="59" t="n">
        <v>0</v>
      </c>
      <c r="G263" s="59" t="n">
        <v>38280.57</v>
      </c>
      <c r="H263" s="59" t="inlineStr"/>
      <c r="I263" s="59" t="inlineStr"/>
      <c r="J263" s="59" t="inlineStr">
        <is>
          <t>MF Investment</t>
        </is>
      </c>
      <c r="K263" s="59" t="inlineStr">
        <is>
          <t>Investments</t>
        </is>
      </c>
      <c r="L263" s="18" t="n">
        <v>0.88</v>
      </c>
      <c r="M263" s="59" t="inlineStr">
        <is>
          <t>N/A</t>
        </is>
      </c>
    </row>
    <row r="264">
      <c r="A264" s="35" t="n">
        <v>45252</v>
      </c>
      <c r="B264" s="36" t="inlineStr">
        <is>
          <t>UPIOUT/332673202975/paytmqr2810050501011dp
bh/5812</t>
        </is>
      </c>
      <c r="C264" s="36" t="inlineStr"/>
      <c r="D264" s="35" t="n">
        <v>45252</v>
      </c>
      <c r="E264" s="36" t="n">
        <v>35</v>
      </c>
      <c r="F264" s="36" t="n">
        <v>0</v>
      </c>
      <c r="G264" s="36" t="n">
        <v>38245.57</v>
      </c>
      <c r="H264" s="36" t="inlineStr"/>
      <c r="I264" s="36" t="inlineStr"/>
      <c r="J264" s="36" t="inlineStr">
        <is>
          <t>UPI - Paytm</t>
        </is>
      </c>
      <c r="K264" s="36" t="inlineStr">
        <is>
          <t>Personal</t>
        </is>
      </c>
      <c r="L264" s="34" t="n">
        <v>0.65</v>
      </c>
      <c r="M264" s="36" t="inlineStr">
        <is>
          <t>N/A</t>
        </is>
      </c>
    </row>
    <row r="265">
      <c r="A265" s="35" t="n">
        <v>45252</v>
      </c>
      <c r="B265" s="36" t="inlineStr">
        <is>
          <t>UPIOUT/332673612287/paytmqrfmo9fujhwg@payt
m//5812</t>
        </is>
      </c>
      <c r="C265" s="36" t="inlineStr"/>
      <c r="D265" s="35" t="n">
        <v>45252</v>
      </c>
      <c r="E265" s="36" t="n">
        <v>10</v>
      </c>
      <c r="F265" s="36" t="n">
        <v>0</v>
      </c>
      <c r="G265" s="36" t="n">
        <v>38235.57</v>
      </c>
      <c r="H265" s="36" t="inlineStr"/>
      <c r="I265" s="36" t="inlineStr"/>
      <c r="J265" s="36" t="inlineStr">
        <is>
          <t>UPI - Paytm</t>
        </is>
      </c>
      <c r="K265" s="36" t="inlineStr">
        <is>
          <t>Personal</t>
        </is>
      </c>
      <c r="L265" s="34" t="n">
        <v>0.65</v>
      </c>
      <c r="M265" s="36" t="inlineStr">
        <is>
          <t>N/A</t>
        </is>
      </c>
    </row>
    <row r="266">
      <c r="A266" s="35" t="n">
        <v>45252</v>
      </c>
      <c r="B266" s="36" t="inlineStr">
        <is>
          <t>UPIOUT/332676363016/paytm-76881028@paytm/S
en/4121</t>
        </is>
      </c>
      <c r="C266" s="36" t="inlineStr"/>
      <c r="D266" s="35" t="n">
        <v>45252</v>
      </c>
      <c r="E266" s="36" t="n">
        <v>26</v>
      </c>
      <c r="F266" s="36" t="n">
        <v>0</v>
      </c>
      <c r="G266" s="36" t="n">
        <v>38209.57</v>
      </c>
      <c r="H266" s="36" t="inlineStr"/>
      <c r="I266" s="36" t="inlineStr"/>
      <c r="J266" s="36" t="inlineStr">
        <is>
          <t>UPI - Paytm</t>
        </is>
      </c>
      <c r="K266" s="36" t="inlineStr">
        <is>
          <t>Personal</t>
        </is>
      </c>
      <c r="L266" s="34" t="n">
        <v>0.65</v>
      </c>
      <c r="M266" s="36" t="inlineStr">
        <is>
          <t>N/A</t>
        </is>
      </c>
    </row>
    <row r="267">
      <c r="A267" s="37" t="n">
        <v>45252</v>
      </c>
      <c r="B267" s="38" t="inlineStr">
        <is>
          <t>UPIOUT/332686404124/RIOTAAGROOFFLINE@ybl/P
ay/5046</t>
        </is>
      </c>
      <c r="C267" s="38" t="inlineStr"/>
      <c r="D267" s="37" t="n">
        <v>45252</v>
      </c>
      <c r="E267" s="38" t="n">
        <v>30</v>
      </c>
      <c r="F267" s="38" t="n">
        <v>0</v>
      </c>
      <c r="G267" s="38" t="n">
        <v>38179.57</v>
      </c>
      <c r="H267" s="38" t="inlineStr"/>
      <c r="I267" s="38" t="inlineStr"/>
      <c r="J267" s="38" t="inlineStr">
        <is>
          <t>UPI Payment</t>
        </is>
      </c>
      <c r="K267" s="38" t="inlineStr">
        <is>
          <t>Personal</t>
        </is>
      </c>
      <c r="L267" s="25" t="n">
        <v>0.55</v>
      </c>
      <c r="M267" s="38" t="inlineStr">
        <is>
          <t>N/A</t>
        </is>
      </c>
    </row>
    <row r="268">
      <c r="A268" s="35" t="n">
        <v>45252</v>
      </c>
      <c r="B268" s="36" t="inlineStr">
        <is>
          <t>UPIOUT/332698022973/paytmqr2810050501015w5
z0/5812</t>
        </is>
      </c>
      <c r="C268" s="36" t="inlineStr"/>
      <c r="D268" s="35" t="n">
        <v>45252</v>
      </c>
      <c r="E268" s="36" t="n">
        <v>70</v>
      </c>
      <c r="F268" s="36" t="n">
        <v>0</v>
      </c>
      <c r="G268" s="36" t="n">
        <v>38109.57</v>
      </c>
      <c r="H268" s="36" t="inlineStr"/>
      <c r="I268" s="36" t="inlineStr"/>
      <c r="J268" s="36" t="inlineStr">
        <is>
          <t>UPI - Paytm</t>
        </is>
      </c>
      <c r="K268" s="36" t="inlineStr">
        <is>
          <t>Personal</t>
        </is>
      </c>
      <c r="L268" s="34" t="n">
        <v>0.65</v>
      </c>
      <c r="M268" s="36" t="inlineStr">
        <is>
          <t>N/A</t>
        </is>
      </c>
    </row>
    <row r="269">
      <c r="A269" s="97" t="n">
        <v>45252</v>
      </c>
      <c r="B269" s="98" t="inlineStr">
        <is>
          <t>UPIOUT/332625464650/swiggyupi@axisbank/Swi
gg/5814</t>
        </is>
      </c>
      <c r="C269" s="98" t="inlineStr"/>
      <c r="D269" s="97" t="n">
        <v>45252</v>
      </c>
      <c r="E269" s="98" t="n">
        <v>236</v>
      </c>
      <c r="F269" s="98" t="n">
        <v>0</v>
      </c>
      <c r="G269" s="98" t="n">
        <v>37873.57</v>
      </c>
      <c r="H269" s="98" t="inlineStr"/>
      <c r="I269" s="98" t="inlineStr"/>
      <c r="J269" s="98" t="inlineStr">
        <is>
          <t>UPI - Swiggy</t>
        </is>
      </c>
      <c r="K269" s="98" t="inlineStr">
        <is>
          <t>Food &amp; Dining</t>
        </is>
      </c>
      <c r="L269" s="34" t="n">
        <v>0.68</v>
      </c>
      <c r="M269" s="98" t="inlineStr">
        <is>
          <t>N/A</t>
        </is>
      </c>
    </row>
    <row r="270">
      <c r="A270" s="58" t="n">
        <v>45253</v>
      </c>
      <c r="B270" s="59" t="inlineStr">
        <is>
          <t>NFT/NEOSIEXEDDD2023112312351574656 NAVI
Mutual Fun</t>
        </is>
      </c>
      <c r="C270" s="59" t="inlineStr"/>
      <c r="D270" s="58" t="n">
        <v>45253</v>
      </c>
      <c r="E270" s="59" t="n">
        <v>100</v>
      </c>
      <c r="F270" s="59" t="n">
        <v>0</v>
      </c>
      <c r="G270" s="59" t="n">
        <v>37773.57</v>
      </c>
      <c r="H270" s="59" t="inlineStr"/>
      <c r="I270" s="59" t="inlineStr"/>
      <c r="J270" s="59" t="inlineStr">
        <is>
          <t>MF Investment</t>
        </is>
      </c>
      <c r="K270" s="59" t="inlineStr">
        <is>
          <t>Investments</t>
        </is>
      </c>
      <c r="L270" s="18" t="n">
        <v>0.88</v>
      </c>
      <c r="M270" s="59" t="inlineStr">
        <is>
          <t>N/A</t>
        </is>
      </c>
    </row>
    <row r="271">
      <c r="A271" s="35" t="n">
        <v>45253</v>
      </c>
      <c r="B271" s="36" t="inlineStr">
        <is>
          <t>UPIOUT/332720632860/paytmqry3eyiz8yp2@payt
m//5812</t>
        </is>
      </c>
      <c r="C271" s="36" t="inlineStr"/>
      <c r="D271" s="35" t="n">
        <v>45253</v>
      </c>
      <c r="E271" s="36" t="n">
        <v>35</v>
      </c>
      <c r="F271" s="36" t="n">
        <v>0</v>
      </c>
      <c r="G271" s="36" t="n">
        <v>37738.57</v>
      </c>
      <c r="H271" s="36" t="inlineStr"/>
      <c r="I271" s="36" t="inlineStr"/>
      <c r="J271" s="36" t="inlineStr">
        <is>
          <t>UPI - Paytm</t>
        </is>
      </c>
      <c r="K271" s="36" t="inlineStr">
        <is>
          <t>Personal</t>
        </is>
      </c>
      <c r="L271" s="34" t="n">
        <v>0.65</v>
      </c>
      <c r="M271" s="36" t="inlineStr">
        <is>
          <t>N/A</t>
        </is>
      </c>
    </row>
    <row r="272">
      <c r="A272" s="35" t="n">
        <v>45253</v>
      </c>
      <c r="B272" s="36" t="inlineStr">
        <is>
          <t>UPIOUT/332720868095/paytmqrfmo9fujhwg@payt
m//5812</t>
        </is>
      </c>
      <c r="C272" s="36" t="inlineStr"/>
      <c r="D272" s="35" t="n">
        <v>45253</v>
      </c>
      <c r="E272" s="36" t="n">
        <v>10</v>
      </c>
      <c r="F272" s="36" t="n">
        <v>0</v>
      </c>
      <c r="G272" s="36" t="n">
        <v>37728.57</v>
      </c>
      <c r="H272" s="36" t="inlineStr"/>
      <c r="I272" s="36" t="inlineStr"/>
      <c r="J272" s="36" t="inlineStr">
        <is>
          <t>UPI - Paytm</t>
        </is>
      </c>
      <c r="K272" s="36" t="inlineStr">
        <is>
          <t>Personal</t>
        </is>
      </c>
      <c r="L272" s="34" t="n">
        <v>0.65</v>
      </c>
      <c r="M272" s="36" t="inlineStr">
        <is>
          <t>N/A</t>
        </is>
      </c>
    </row>
    <row r="273">
      <c r="A273" s="91" t="n">
        <v>45253</v>
      </c>
      <c r="B273" s="92" t="inlineStr">
        <is>
          <t>UPIOUT/332743829329/uberrides@hdfcbank/cha
rg/5960</t>
        </is>
      </c>
      <c r="C273" s="92" t="inlineStr"/>
      <c r="D273" s="91" t="n">
        <v>45253</v>
      </c>
      <c r="E273" s="92" t="n">
        <v>26.02</v>
      </c>
      <c r="F273" s="92" t="n">
        <v>0</v>
      </c>
      <c r="G273" s="92" t="n">
        <v>37702.55</v>
      </c>
      <c r="H273" s="92" t="inlineStr"/>
      <c r="I273" s="92" t="inlineStr"/>
      <c r="J273" s="92" t="inlineStr">
        <is>
          <t>UPI - Uber</t>
        </is>
      </c>
      <c r="K273" s="92" t="inlineStr">
        <is>
          <t>Transport</t>
        </is>
      </c>
      <c r="L273" s="34" t="n">
        <v>0.68</v>
      </c>
      <c r="M273" s="92" t="inlineStr">
        <is>
          <t>N/A</t>
        </is>
      </c>
    </row>
    <row r="274">
      <c r="A274" s="37" t="n">
        <v>45253</v>
      </c>
      <c r="B274" s="38" t="inlineStr">
        <is>
          <t>UPIOUT/332732453913/RIOTAAGROOFFLINE@ybl/P
ay/5046</t>
        </is>
      </c>
      <c r="C274" s="38" t="inlineStr"/>
      <c r="D274" s="37" t="n">
        <v>45253</v>
      </c>
      <c r="E274" s="38" t="n">
        <v>30</v>
      </c>
      <c r="F274" s="38" t="n">
        <v>0</v>
      </c>
      <c r="G274" s="38" t="n">
        <v>37672.55</v>
      </c>
      <c r="H274" s="38" t="inlineStr"/>
      <c r="I274" s="38" t="inlineStr"/>
      <c r="J274" s="38" t="inlineStr">
        <is>
          <t>UPI Payment</t>
        </is>
      </c>
      <c r="K274" s="38" t="inlineStr">
        <is>
          <t>Personal</t>
        </is>
      </c>
      <c r="L274" s="25" t="n">
        <v>0.55</v>
      </c>
      <c r="M274" s="38" t="inlineStr">
        <is>
          <t>N/A</t>
        </is>
      </c>
    </row>
    <row r="275">
      <c r="A275" s="37" t="n">
        <v>45253</v>
      </c>
      <c r="B275" s="38" t="inlineStr">
        <is>
          <t>UPIOUT/332736162562/RIOTAAGROOFFLINE@ybl/P
ay/5046</t>
        </is>
      </c>
      <c r="C275" s="38" t="inlineStr"/>
      <c r="D275" s="37" t="n">
        <v>45253</v>
      </c>
      <c r="E275" s="38" t="n">
        <v>20</v>
      </c>
      <c r="F275" s="38" t="n">
        <v>0</v>
      </c>
      <c r="G275" s="38" t="n">
        <v>37652.55</v>
      </c>
      <c r="H275" s="38" t="inlineStr"/>
      <c r="I275" s="38" t="inlineStr"/>
      <c r="J275" s="38" t="inlineStr">
        <is>
          <t>UPI Payment</t>
        </is>
      </c>
      <c r="K275" s="38" t="inlineStr">
        <is>
          <t>Personal</t>
        </is>
      </c>
      <c r="L275" s="25" t="n">
        <v>0.55</v>
      </c>
      <c r="M275" s="38" t="inlineStr">
        <is>
          <t>N/A</t>
        </is>
      </c>
    </row>
    <row r="276">
      <c r="A276" s="37" t="n">
        <v>45253</v>
      </c>
      <c r="B276" s="38" t="inlineStr">
        <is>
          <t>UPIOUT/332750446891/Q843449769@ybl/Sent
via /5812</t>
        </is>
      </c>
      <c r="C276" s="38" t="inlineStr"/>
      <c r="D276" s="37" t="n">
        <v>45253</v>
      </c>
      <c r="E276" s="38" t="n">
        <v>255</v>
      </c>
      <c r="F276" s="38" t="n">
        <v>0</v>
      </c>
      <c r="G276" s="38" t="n">
        <v>37397.55</v>
      </c>
      <c r="H276" s="38" t="inlineStr"/>
      <c r="I276" s="38" t="inlineStr"/>
      <c r="J276" s="38" t="inlineStr">
        <is>
          <t>UPI Payment</t>
        </is>
      </c>
      <c r="K276" s="38" t="inlineStr">
        <is>
          <t>Personal</t>
        </is>
      </c>
      <c r="L276" s="25" t="n">
        <v>0.55</v>
      </c>
      <c r="M276" s="38" t="inlineStr">
        <is>
          <t>N/A</t>
        </is>
      </c>
    </row>
    <row r="277">
      <c r="A277" s="58" t="n">
        <v>45254</v>
      </c>
      <c r="B277" s="59" t="inlineStr">
        <is>
          <t>NFT/NEOSIEXEDDD2023112412351025129 NAVI
Mutual Fun</t>
        </is>
      </c>
      <c r="C277" s="59" t="inlineStr"/>
      <c r="D277" s="58" t="n">
        <v>45254</v>
      </c>
      <c r="E277" s="59" t="n">
        <v>100</v>
      </c>
      <c r="F277" s="59" t="n">
        <v>0</v>
      </c>
      <c r="G277" s="59" t="n">
        <v>37297.55</v>
      </c>
      <c r="H277" s="59" t="inlineStr"/>
      <c r="I277" s="59" t="inlineStr"/>
      <c r="J277" s="59" t="inlineStr">
        <is>
          <t>MF Investment</t>
        </is>
      </c>
      <c r="K277" s="59" t="inlineStr">
        <is>
          <t>Investments</t>
        </is>
      </c>
      <c r="L277" s="18" t="n">
        <v>0.88</v>
      </c>
      <c r="M277" s="59" t="inlineStr">
        <is>
          <t>N/A</t>
        </is>
      </c>
    </row>
    <row r="278">
      <c r="A278" s="35" t="n">
        <v>45254</v>
      </c>
      <c r="B278" s="36" t="inlineStr">
        <is>
          <t>UPIOUT/332866539682/paytmqry3eyiz8yp2@payt
m//5812</t>
        </is>
      </c>
      <c r="C278" s="36" t="inlineStr"/>
      <c r="D278" s="35" t="n">
        <v>45254</v>
      </c>
      <c r="E278" s="36" t="n">
        <v>45</v>
      </c>
      <c r="F278" s="36" t="n">
        <v>0</v>
      </c>
      <c r="G278" s="36" t="n">
        <v>37252.55</v>
      </c>
      <c r="H278" s="36" t="inlineStr"/>
      <c r="I278" s="36" t="inlineStr"/>
      <c r="J278" s="36" t="inlineStr">
        <is>
          <t>UPI - Paytm</t>
        </is>
      </c>
      <c r="K278" s="36" t="inlineStr">
        <is>
          <t>Personal</t>
        </is>
      </c>
      <c r="L278" s="34" t="n">
        <v>0.65</v>
      </c>
      <c r="M278" s="36" t="inlineStr">
        <is>
          <t>N/A</t>
        </is>
      </c>
    </row>
    <row r="279">
      <c r="A279" s="35" t="n">
        <v>45254</v>
      </c>
      <c r="B279" s="36" t="inlineStr">
        <is>
          <t>UPIOUT/332867026119/paytmqrfmo9fujhwg@payt
m//5812</t>
        </is>
      </c>
      <c r="C279" s="36" t="inlineStr"/>
      <c r="D279" s="35" t="n">
        <v>45254</v>
      </c>
      <c r="E279" s="36" t="n">
        <v>20</v>
      </c>
      <c r="F279" s="36" t="n">
        <v>0</v>
      </c>
      <c r="G279" s="36" t="n">
        <v>37232.55</v>
      </c>
      <c r="H279" s="36" t="inlineStr"/>
      <c r="I279" s="36" t="inlineStr"/>
      <c r="J279" s="36" t="inlineStr">
        <is>
          <t>UPI - Paytm</t>
        </is>
      </c>
      <c r="K279" s="36" t="inlineStr">
        <is>
          <t>Personal</t>
        </is>
      </c>
      <c r="L279" s="34" t="n">
        <v>0.65</v>
      </c>
      <c r="M279" s="36" t="inlineStr">
        <is>
          <t>N/A</t>
        </is>
      </c>
    </row>
    <row r="280">
      <c r="A280" s="35" t="n">
        <v>45254</v>
      </c>
      <c r="B280" s="36" t="inlineStr">
        <is>
          <t>UPIOUT/332871427021/paytm-66490784@paytm/S
en/5411</t>
        </is>
      </c>
      <c r="C280" s="36" t="inlineStr"/>
      <c r="D280" s="35" t="n">
        <v>45254</v>
      </c>
      <c r="E280" s="36" t="n">
        <v>210</v>
      </c>
      <c r="F280" s="36" t="n">
        <v>0</v>
      </c>
      <c r="G280" s="36" t="n">
        <v>37022.55</v>
      </c>
      <c r="H280" s="36" t="inlineStr"/>
      <c r="I280" s="36" t="inlineStr"/>
      <c r="J280" s="36" t="inlineStr">
        <is>
          <t>UPI - Paytm</t>
        </is>
      </c>
      <c r="K280" s="36" t="inlineStr">
        <is>
          <t>Personal</t>
        </is>
      </c>
      <c r="L280" s="34" t="n">
        <v>0.65</v>
      </c>
      <c r="M280" s="36" t="inlineStr">
        <is>
          <t>N/A</t>
        </is>
      </c>
    </row>
    <row r="281">
      <c r="A281" s="97" t="n">
        <v>45254</v>
      </c>
      <c r="B281" s="98" t="inlineStr">
        <is>
          <t>UPIOUT/332875271438/upiswiggy@icici/UPI/58
14</t>
        </is>
      </c>
      <c r="C281" s="98" t="inlineStr"/>
      <c r="D281" s="97" t="n">
        <v>45254</v>
      </c>
      <c r="E281" s="98" t="n">
        <v>207</v>
      </c>
      <c r="F281" s="98" t="n">
        <v>0</v>
      </c>
      <c r="G281" s="98" t="n">
        <v>36815.55</v>
      </c>
      <c r="H281" s="98" t="inlineStr"/>
      <c r="I281" s="98" t="inlineStr"/>
      <c r="J281" s="98" t="inlineStr">
        <is>
          <t>UPI - Swiggy</t>
        </is>
      </c>
      <c r="K281" s="98" t="inlineStr">
        <is>
          <t>Food &amp; Dining</t>
        </is>
      </c>
      <c r="L281" s="34" t="n">
        <v>0.68</v>
      </c>
      <c r="M281" s="98" t="inlineStr">
        <is>
          <t>N/A</t>
        </is>
      </c>
    </row>
    <row r="282">
      <c r="A282" s="35" t="n">
        <v>45254</v>
      </c>
      <c r="B282" s="36" t="inlineStr">
        <is>
          <t>UPIOUT/332894151724/paytmqr7an11w2eez@payt
m//5812</t>
        </is>
      </c>
      <c r="C282" s="36" t="inlineStr"/>
      <c r="D282" s="35" t="n">
        <v>45254</v>
      </c>
      <c r="E282" s="36" t="n">
        <v>60</v>
      </c>
      <c r="F282" s="36" t="n">
        <v>0</v>
      </c>
      <c r="G282" s="36" t="n">
        <v>36755.55</v>
      </c>
      <c r="H282" s="36" t="inlineStr"/>
      <c r="I282" s="36" t="inlineStr"/>
      <c r="J282" s="36" t="inlineStr">
        <is>
          <t>UPI - Paytm</t>
        </is>
      </c>
      <c r="K282" s="36" t="inlineStr">
        <is>
          <t>Personal</t>
        </is>
      </c>
      <c r="L282" s="34" t="n">
        <v>0.65</v>
      </c>
      <c r="M282" s="36" t="inlineStr">
        <is>
          <t>N/A</t>
        </is>
      </c>
    </row>
    <row r="283">
      <c r="A283" s="58" t="n">
        <v>45255</v>
      </c>
      <c r="B283" s="59" t="inlineStr">
        <is>
          <t>NFT/NEOSIEXEDDD2023112512350897847 NAVI
Mutual Fun</t>
        </is>
      </c>
      <c r="C283" s="59" t="inlineStr"/>
      <c r="D283" s="58" t="n">
        <v>45255</v>
      </c>
      <c r="E283" s="59" t="n">
        <v>100</v>
      </c>
      <c r="F283" s="59" t="n">
        <v>0</v>
      </c>
      <c r="G283" s="59" t="n">
        <v>36655.55</v>
      </c>
      <c r="H283" s="59" t="inlineStr"/>
      <c r="I283" s="59" t="inlineStr"/>
      <c r="J283" s="59" t="inlineStr">
        <is>
          <t>MF Investment</t>
        </is>
      </c>
      <c r="K283" s="59" t="inlineStr">
        <is>
          <t>Investments</t>
        </is>
      </c>
      <c r="L283" s="18" t="n">
        <v>0.88</v>
      </c>
      <c r="M283" s="59" t="inlineStr">
        <is>
          <t>N/A</t>
        </is>
      </c>
    </row>
    <row r="284">
      <c r="A284" s="35" t="n">
        <v>45255</v>
      </c>
      <c r="B284" s="36" t="inlineStr">
        <is>
          <t>UPIOUT/332915019395/paytmqrfmo9fujhwg@payt
m//5812</t>
        </is>
      </c>
      <c r="C284" s="36" t="inlineStr"/>
      <c r="D284" s="35" t="n">
        <v>45255</v>
      </c>
      <c r="E284" s="36" t="n">
        <v>80</v>
      </c>
      <c r="F284" s="36" t="n">
        <v>0</v>
      </c>
      <c r="G284" s="36" t="n">
        <v>36575.55</v>
      </c>
      <c r="H284" s="36" t="inlineStr"/>
      <c r="I284" s="36" t="inlineStr"/>
      <c r="J284" s="36" t="inlineStr">
        <is>
          <t>UPI - Paytm</t>
        </is>
      </c>
      <c r="K284" s="36" t="inlineStr">
        <is>
          <t>Personal</t>
        </is>
      </c>
      <c r="L284" s="34" t="n">
        <v>0.65</v>
      </c>
      <c r="M284" s="36" t="inlineStr">
        <is>
          <t>N/A</t>
        </is>
      </c>
    </row>
    <row r="285">
      <c r="A285" s="97" t="n">
        <v>45255</v>
      </c>
      <c r="B285" s="98" t="inlineStr">
        <is>
          <t>UPIOUT/332909771653/swiggyupi@axisbank/Swi
gg/5814</t>
        </is>
      </c>
      <c r="C285" s="98" t="inlineStr"/>
      <c r="D285" s="97" t="n">
        <v>45255</v>
      </c>
      <c r="E285" s="98" t="n">
        <v>201</v>
      </c>
      <c r="F285" s="98" t="n">
        <v>0</v>
      </c>
      <c r="G285" s="98" t="n">
        <v>36374.55</v>
      </c>
      <c r="H285" s="98" t="inlineStr"/>
      <c r="I285" s="98" t="inlineStr"/>
      <c r="J285" s="98" t="inlineStr">
        <is>
          <t>UPI - Swiggy</t>
        </is>
      </c>
      <c r="K285" s="98" t="inlineStr">
        <is>
          <t>Food &amp; Dining</t>
        </is>
      </c>
      <c r="L285" s="34" t="n">
        <v>0.68</v>
      </c>
      <c r="M285" s="98" t="inlineStr">
        <is>
          <t>N/A</t>
        </is>
      </c>
    </row>
    <row r="286">
      <c r="A286" s="35" t="n">
        <v>45255</v>
      </c>
      <c r="B286" s="36" t="inlineStr">
        <is>
          <t>UPIOUT/332943592546/paytmqr1a2plltyay@payt
m//5812</t>
        </is>
      </c>
      <c r="C286" s="36" t="inlineStr"/>
      <c r="D286" s="35" t="n">
        <v>45255</v>
      </c>
      <c r="E286" s="36" t="n">
        <v>150</v>
      </c>
      <c r="F286" s="36" t="n">
        <v>0</v>
      </c>
      <c r="G286" s="36" t="n">
        <v>36224.55</v>
      </c>
      <c r="H286" s="36" t="inlineStr"/>
      <c r="I286" s="36" t="inlineStr"/>
      <c r="J286" s="36" t="inlineStr">
        <is>
          <t>UPI - Paytm</t>
        </is>
      </c>
      <c r="K286" s="36" t="inlineStr">
        <is>
          <t>Personal</t>
        </is>
      </c>
      <c r="L286" s="34" t="n">
        <v>0.65</v>
      </c>
      <c r="M286" s="36" t="inlineStr">
        <is>
          <t>N/A</t>
        </is>
      </c>
    </row>
    <row r="287">
      <c r="A287" s="35" t="n">
        <v>45255</v>
      </c>
      <c r="B287" s="36" t="inlineStr">
        <is>
          <t>UPIOUT/332943641751/paytmqr1jm24kbgdo@payt
m//5311</t>
        </is>
      </c>
      <c r="C287" s="36" t="inlineStr"/>
      <c r="D287" s="35" t="n">
        <v>45255</v>
      </c>
      <c r="E287" s="36" t="n">
        <v>30</v>
      </c>
      <c r="F287" s="36" t="n">
        <v>0</v>
      </c>
      <c r="G287" s="36" t="n">
        <v>36194.55</v>
      </c>
      <c r="H287" s="36" t="inlineStr"/>
      <c r="I287" s="36" t="inlineStr"/>
      <c r="J287" s="36" t="inlineStr">
        <is>
          <t>UPI - Paytm</t>
        </is>
      </c>
      <c r="K287" s="36" t="inlineStr">
        <is>
          <t>Personal</t>
        </is>
      </c>
      <c r="L287" s="34" t="n">
        <v>0.65</v>
      </c>
      <c r="M287" s="36" t="inlineStr">
        <is>
          <t>N/A</t>
        </is>
      </c>
    </row>
    <row r="288">
      <c r="A288" s="58" t="n">
        <v>45256</v>
      </c>
      <c r="B288" s="59" t="inlineStr">
        <is>
          <t>NFT/NEOSIEXEDDD2023112612350733176 NAVI
Mutual Fun</t>
        </is>
      </c>
      <c r="C288" s="59" t="inlineStr"/>
      <c r="D288" s="58" t="n">
        <v>45256</v>
      </c>
      <c r="E288" s="59" t="n">
        <v>100</v>
      </c>
      <c r="F288" s="59" t="n">
        <v>0</v>
      </c>
      <c r="G288" s="59" t="n">
        <v>36094.55</v>
      </c>
      <c r="H288" s="59" t="inlineStr"/>
      <c r="I288" s="59" t="inlineStr"/>
      <c r="J288" s="59" t="inlineStr">
        <is>
          <t>MF Investment</t>
        </is>
      </c>
      <c r="K288" s="59" t="inlineStr">
        <is>
          <t>Investments</t>
        </is>
      </c>
      <c r="L288" s="18" t="n">
        <v>0.88</v>
      </c>
      <c r="M288" s="59" t="inlineStr">
        <is>
          <t>N/A</t>
        </is>
      </c>
    </row>
    <row r="289">
      <c r="A289" s="35" t="n">
        <v>45256</v>
      </c>
      <c r="B289" s="36" t="inlineStr">
        <is>
          <t>UPIOUT/333054386841/paytmqry3eyiz8yp2@payt
m//5812</t>
        </is>
      </c>
      <c r="C289" s="36" t="inlineStr"/>
      <c r="D289" s="35" t="n">
        <v>45256</v>
      </c>
      <c r="E289" s="36" t="n">
        <v>50</v>
      </c>
      <c r="F289" s="36" t="n">
        <v>0</v>
      </c>
      <c r="G289" s="36" t="n">
        <v>36044.55</v>
      </c>
      <c r="H289" s="36" t="inlineStr"/>
      <c r="I289" s="36" t="inlineStr"/>
      <c r="J289" s="36" t="inlineStr">
        <is>
          <t>UPI - Paytm</t>
        </is>
      </c>
      <c r="K289" s="36" t="inlineStr">
        <is>
          <t>Personal</t>
        </is>
      </c>
      <c r="L289" s="34" t="n">
        <v>0.65</v>
      </c>
      <c r="M289" s="36" t="inlineStr">
        <is>
          <t>N/A</t>
        </is>
      </c>
    </row>
    <row r="290">
      <c r="A290" s="35" t="n">
        <v>45256</v>
      </c>
      <c r="B290" s="36" t="inlineStr">
        <is>
          <t>UPIOUT/333054918027/paytmqrfmo9fujhwg@payt
m//5812</t>
        </is>
      </c>
      <c r="C290" s="36" t="inlineStr"/>
      <c r="D290" s="35" t="n">
        <v>45256</v>
      </c>
      <c r="E290" s="36" t="n">
        <v>20</v>
      </c>
      <c r="F290" s="36" t="n">
        <v>0</v>
      </c>
      <c r="G290" s="36" t="n">
        <v>36024.55</v>
      </c>
      <c r="H290" s="36" t="inlineStr"/>
      <c r="I290" s="36" t="inlineStr"/>
      <c r="J290" s="36" t="inlineStr">
        <is>
          <t>UPI - Paytm</t>
        </is>
      </c>
      <c r="K290" s="36" t="inlineStr">
        <is>
          <t>Personal</t>
        </is>
      </c>
      <c r="L290" s="34" t="n">
        <v>0.65</v>
      </c>
      <c r="M290" s="36" t="inlineStr">
        <is>
          <t>N/A</t>
        </is>
      </c>
    </row>
    <row r="291">
      <c r="A291" s="37" t="n">
        <v>45256</v>
      </c>
      <c r="B291" s="38" t="inlineStr">
        <is>
          <t>UPIOUT/333056049473/6301529832@ybl/Sent
via /0000</t>
        </is>
      </c>
      <c r="C291" s="38" t="inlineStr"/>
      <c r="D291" s="37" t="n">
        <v>45256</v>
      </c>
      <c r="E291" s="38" t="n">
        <v>200</v>
      </c>
      <c r="F291" s="38" t="n">
        <v>0</v>
      </c>
      <c r="G291" s="38" t="n">
        <v>35824.55</v>
      </c>
      <c r="H291" s="38" t="inlineStr"/>
      <c r="I291" s="38" t="inlineStr"/>
      <c r="J291" s="38" t="inlineStr">
        <is>
          <t>UPI Payment</t>
        </is>
      </c>
      <c r="K291" s="38" t="inlineStr">
        <is>
          <t>Personal</t>
        </is>
      </c>
      <c r="L291" s="25" t="n">
        <v>0.55</v>
      </c>
      <c r="M291" s="38" t="inlineStr">
        <is>
          <t>N/A</t>
        </is>
      </c>
    </row>
    <row r="292">
      <c r="A292" s="97" t="n">
        <v>45256</v>
      </c>
      <c r="B292" s="98" t="inlineStr">
        <is>
          <t>UPIOUT/333039426165/swiggystores@icici/UPI
/5411</t>
        </is>
      </c>
      <c r="C292" s="98" t="inlineStr"/>
      <c r="D292" s="97" t="n">
        <v>45256</v>
      </c>
      <c r="E292" s="98" t="n">
        <v>500</v>
      </c>
      <c r="F292" s="98" t="n">
        <v>0</v>
      </c>
      <c r="G292" s="98" t="n">
        <v>35324.55</v>
      </c>
      <c r="H292" s="98" t="inlineStr"/>
      <c r="I292" s="98" t="inlineStr"/>
      <c r="J292" s="98" t="inlineStr">
        <is>
          <t>UPI - Swiggy</t>
        </is>
      </c>
      <c r="K292" s="98" t="inlineStr">
        <is>
          <t>Food &amp; Dining</t>
        </is>
      </c>
      <c r="L292" s="34" t="n">
        <v>0.68</v>
      </c>
      <c r="M292" s="98" t="inlineStr">
        <is>
          <t>N/A</t>
        </is>
      </c>
    </row>
    <row r="293">
      <c r="A293" s="35" t="n">
        <v>45256</v>
      </c>
      <c r="B293" s="36" t="inlineStr">
        <is>
          <t>UPIOUT/333078534955/paytmqr1a2plltyay@payt
m//5812</t>
        </is>
      </c>
      <c r="C293" s="36" t="inlineStr"/>
      <c r="D293" s="35" t="n">
        <v>45256</v>
      </c>
      <c r="E293" s="36" t="n">
        <v>100</v>
      </c>
      <c r="F293" s="36" t="n">
        <v>0</v>
      </c>
      <c r="G293" s="36" t="n">
        <v>35224.55</v>
      </c>
      <c r="H293" s="36" t="inlineStr"/>
      <c r="I293" s="36" t="inlineStr"/>
      <c r="J293" s="36" t="inlineStr">
        <is>
          <t>UPI - Paytm</t>
        </is>
      </c>
      <c r="K293" s="36" t="inlineStr">
        <is>
          <t>Personal</t>
        </is>
      </c>
      <c r="L293" s="34" t="n">
        <v>0.65</v>
      </c>
      <c r="M293" s="36" t="inlineStr">
        <is>
          <t>N/A</t>
        </is>
      </c>
    </row>
    <row r="294">
      <c r="A294" s="32" t="n">
        <v>45256</v>
      </c>
      <c r="B294" s="33" t="inlineStr">
        <is>
          <t>UPIOUT/333079173326/BHARATPE90727090707@ye
sb/5814</t>
        </is>
      </c>
      <c r="C294" s="33" t="inlineStr"/>
      <c r="D294" s="32" t="n">
        <v>45256</v>
      </c>
      <c r="E294" s="33" t="n">
        <v>20</v>
      </c>
      <c r="F294" s="33" t="n">
        <v>0</v>
      </c>
      <c r="G294" s="33" t="n">
        <v>35204.55</v>
      </c>
      <c r="H294" s="33" t="inlineStr"/>
      <c r="I294" s="33" t="inlineStr"/>
      <c r="J294" s="33" t="inlineStr">
        <is>
          <t>UPI - BharatPe</t>
        </is>
      </c>
      <c r="K294" s="33" t="inlineStr">
        <is>
          <t>Personal</t>
        </is>
      </c>
      <c r="L294" s="34" t="n">
        <v>0.65</v>
      </c>
      <c r="M294" s="33" t="inlineStr">
        <is>
          <t>N/A</t>
        </is>
      </c>
    </row>
    <row r="295">
      <c r="A295" s="58" t="n">
        <v>45257</v>
      </c>
      <c r="B295" s="59" t="inlineStr">
        <is>
          <t>NFT/NEOSIEXEDDD2023112712300713213 NAVI
Mutual Fun</t>
        </is>
      </c>
      <c r="C295" s="59" t="inlineStr"/>
      <c r="D295" s="58" t="n">
        <v>45257</v>
      </c>
      <c r="E295" s="59" t="n">
        <v>100</v>
      </c>
      <c r="F295" s="59" t="n">
        <v>0</v>
      </c>
      <c r="G295" s="59" t="n">
        <v>35104.55</v>
      </c>
      <c r="H295" s="59" t="inlineStr"/>
      <c r="I295" s="59" t="inlineStr"/>
      <c r="J295" s="59" t="inlineStr">
        <is>
          <t>MF Investment</t>
        </is>
      </c>
      <c r="K295" s="59" t="inlineStr">
        <is>
          <t>Investments</t>
        </is>
      </c>
      <c r="L295" s="18" t="n">
        <v>0.88</v>
      </c>
      <c r="M295" s="59" t="inlineStr">
        <is>
          <t>N/A</t>
        </is>
      </c>
    </row>
    <row r="296">
      <c r="A296" s="37" t="n">
        <v>45257</v>
      </c>
      <c r="B296" s="38" t="inlineStr">
        <is>
          <t>UPIOUT/333186992138/Q614784165@ybl/Sent
via /5311</t>
        </is>
      </c>
      <c r="C296" s="38" t="inlineStr"/>
      <c r="D296" s="37" t="n">
        <v>45257</v>
      </c>
      <c r="E296" s="38" t="n">
        <v>20</v>
      </c>
      <c r="F296" s="38" t="n">
        <v>0</v>
      </c>
      <c r="G296" s="38" t="n">
        <v>35084.55</v>
      </c>
      <c r="H296" s="38" t="inlineStr"/>
      <c r="I296" s="38" t="inlineStr"/>
      <c r="J296" s="38" t="inlineStr">
        <is>
          <t>UPI Payment</t>
        </is>
      </c>
      <c r="K296" s="38" t="inlineStr">
        <is>
          <t>Personal</t>
        </is>
      </c>
      <c r="L296" s="25" t="n">
        <v>0.55</v>
      </c>
      <c r="M296" s="38" t="inlineStr">
        <is>
          <t>N/A</t>
        </is>
      </c>
    </row>
    <row r="297">
      <c r="A297" s="35" t="n">
        <v>45257</v>
      </c>
      <c r="B297" s="36" t="inlineStr">
        <is>
          <t>UPIOUT/333187997813/paytmqrfmo9fujhwg@payt
m//5812</t>
        </is>
      </c>
      <c r="C297" s="36" t="inlineStr"/>
      <c r="D297" s="35" t="n">
        <v>45257</v>
      </c>
      <c r="E297" s="36" t="n">
        <v>70</v>
      </c>
      <c r="F297" s="36" t="n">
        <v>0</v>
      </c>
      <c r="G297" s="36" t="n">
        <v>35014.55</v>
      </c>
      <c r="H297" s="36" t="inlineStr"/>
      <c r="I297" s="36" t="inlineStr"/>
      <c r="J297" s="36" t="inlineStr">
        <is>
          <t>UPI - Paytm</t>
        </is>
      </c>
      <c r="K297" s="36" t="inlineStr">
        <is>
          <t>Personal</t>
        </is>
      </c>
      <c r="L297" s="34" t="n">
        <v>0.65</v>
      </c>
      <c r="M297" s="36" t="inlineStr">
        <is>
          <t>N/A</t>
        </is>
      </c>
    </row>
    <row r="298">
      <c r="A298" s="35" t="n">
        <v>45257</v>
      </c>
      <c r="B298" s="36" t="inlineStr">
        <is>
          <t>UPIOUT/333190905947/paytm-76881028@paytm/S
en/4121</t>
        </is>
      </c>
      <c r="C298" s="36" t="inlineStr"/>
      <c r="D298" s="35" t="n">
        <v>45257</v>
      </c>
      <c r="E298" s="36" t="n">
        <v>26</v>
      </c>
      <c r="F298" s="36" t="n">
        <v>0</v>
      </c>
      <c r="G298" s="36" t="n">
        <v>34988.55</v>
      </c>
      <c r="H298" s="36" t="inlineStr"/>
      <c r="I298" s="36" t="inlineStr"/>
      <c r="J298" s="36" t="inlineStr">
        <is>
          <t>UPI - Paytm</t>
        </is>
      </c>
      <c r="K298" s="36" t="inlineStr">
        <is>
          <t>Personal</t>
        </is>
      </c>
      <c r="L298" s="34" t="n">
        <v>0.65</v>
      </c>
      <c r="M298" s="36" t="inlineStr">
        <is>
          <t>N/A</t>
        </is>
      </c>
    </row>
    <row r="299">
      <c r="A299" s="37" t="n">
        <v>45257</v>
      </c>
      <c r="B299" s="38" t="inlineStr">
        <is>
          <t>UPIOUT/333121661947/eazypay.2000018932@ici
ci/5812</t>
        </is>
      </c>
      <c r="C299" s="38" t="inlineStr"/>
      <c r="D299" s="37" t="n">
        <v>45257</v>
      </c>
      <c r="E299" s="38" t="n">
        <v>150</v>
      </c>
      <c r="F299" s="38" t="n">
        <v>0</v>
      </c>
      <c r="G299" s="38" t="n">
        <v>34838.55</v>
      </c>
      <c r="H299" s="38" t="inlineStr"/>
      <c r="I299" s="38" t="inlineStr"/>
      <c r="J299" s="38" t="inlineStr">
        <is>
          <t>UPI Payment</t>
        </is>
      </c>
      <c r="K299" s="38" t="inlineStr">
        <is>
          <t>Personal</t>
        </is>
      </c>
      <c r="L299" s="25" t="n">
        <v>0.55</v>
      </c>
      <c r="M299" s="38" t="inlineStr">
        <is>
          <t>N/A</t>
        </is>
      </c>
    </row>
    <row r="300">
      <c r="A300" s="32" t="n">
        <v>45257</v>
      </c>
      <c r="B300" s="33" t="inlineStr">
        <is>
          <t>UPIOUT/333121718104/BHARATPE90727090707@ye
sb/5814</t>
        </is>
      </c>
      <c r="C300" s="33" t="inlineStr"/>
      <c r="D300" s="32" t="n">
        <v>45257</v>
      </c>
      <c r="E300" s="33" t="n">
        <v>20</v>
      </c>
      <c r="F300" s="33" t="n">
        <v>0</v>
      </c>
      <c r="G300" s="33" t="n">
        <v>34818.55</v>
      </c>
      <c r="H300" s="33" t="inlineStr"/>
      <c r="I300" s="33" t="inlineStr"/>
      <c r="J300" s="33" t="inlineStr">
        <is>
          <t>UPI - BharatPe</t>
        </is>
      </c>
      <c r="K300" s="33" t="inlineStr">
        <is>
          <t>Personal</t>
        </is>
      </c>
      <c r="L300" s="34" t="n">
        <v>0.65</v>
      </c>
      <c r="M300" s="33" t="inlineStr">
        <is>
          <t>N/A</t>
        </is>
      </c>
    </row>
    <row r="301">
      <c r="A301" s="35" t="n">
        <v>45257</v>
      </c>
      <c r="B301" s="36" t="inlineStr">
        <is>
          <t>UPIOUT/333122647328/paytmqr1jm24kbgdo@payt
m//5311</t>
        </is>
      </c>
      <c r="C301" s="36" t="inlineStr"/>
      <c r="D301" s="35" t="n">
        <v>45257</v>
      </c>
      <c r="E301" s="36" t="n">
        <v>30</v>
      </c>
      <c r="F301" s="36" t="n">
        <v>0</v>
      </c>
      <c r="G301" s="36" t="n">
        <v>34788.55</v>
      </c>
      <c r="H301" s="36" t="inlineStr"/>
      <c r="I301" s="36" t="inlineStr"/>
      <c r="J301" s="36" t="inlineStr">
        <is>
          <t>UPI - Paytm</t>
        </is>
      </c>
      <c r="K301" s="36" t="inlineStr">
        <is>
          <t>Personal</t>
        </is>
      </c>
      <c r="L301" s="34" t="n">
        <v>0.65</v>
      </c>
      <c r="M301" s="36" t="inlineStr">
        <is>
          <t>N/A</t>
        </is>
      </c>
    </row>
    <row r="302">
      <c r="A302" s="37" t="n">
        <v>45257</v>
      </c>
      <c r="B302" s="38" t="inlineStr">
        <is>
          <t>UPIOUT/333122838612/Q614784165@ybl/Sent
via /5311</t>
        </is>
      </c>
      <c r="C302" s="38" t="inlineStr"/>
      <c r="D302" s="37" t="n">
        <v>45257</v>
      </c>
      <c r="E302" s="38" t="n">
        <v>10</v>
      </c>
      <c r="F302" s="38" t="n">
        <v>0</v>
      </c>
      <c r="G302" s="38" t="n">
        <v>34778.55</v>
      </c>
      <c r="H302" s="38" t="inlineStr"/>
      <c r="I302" s="38" t="inlineStr"/>
      <c r="J302" s="38" t="inlineStr">
        <is>
          <t>UPI Payment</t>
        </is>
      </c>
      <c r="K302" s="38" t="inlineStr">
        <is>
          <t>Personal</t>
        </is>
      </c>
      <c r="L302" s="25" t="n">
        <v>0.55</v>
      </c>
      <c r="M302" s="38" t="inlineStr">
        <is>
          <t>N/A</t>
        </is>
      </c>
    </row>
    <row r="303">
      <c r="A303" s="58" t="n">
        <v>45258</v>
      </c>
      <c r="B303" s="59" t="inlineStr">
        <is>
          <t>NFT/NEOSIEXEDDD2023112812301431586 NAVI
Mutual Fun</t>
        </is>
      </c>
      <c r="C303" s="59" t="inlineStr"/>
      <c r="D303" s="58" t="n">
        <v>45258</v>
      </c>
      <c r="E303" s="59" t="n">
        <v>100</v>
      </c>
      <c r="F303" s="59" t="n">
        <v>0</v>
      </c>
      <c r="G303" s="59" t="n">
        <v>34678.55</v>
      </c>
      <c r="H303" s="59" t="inlineStr"/>
      <c r="I303" s="59" t="inlineStr"/>
      <c r="J303" s="59" t="inlineStr">
        <is>
          <t>MF Investment</t>
        </is>
      </c>
      <c r="K303" s="59" t="inlineStr">
        <is>
          <t>Investments</t>
        </is>
      </c>
      <c r="L303" s="18" t="n">
        <v>0.88</v>
      </c>
      <c r="M303" s="59" t="inlineStr">
        <is>
          <t>N/A</t>
        </is>
      </c>
    </row>
    <row r="304">
      <c r="A304" s="35" t="n">
        <v>45258</v>
      </c>
      <c r="B304" s="36" t="inlineStr">
        <is>
          <t>UPIOUT/333234218723/paytmqrfmo9fujhwg@payt
m//5812</t>
        </is>
      </c>
      <c r="C304" s="36" t="inlineStr"/>
      <c r="D304" s="35" t="n">
        <v>45258</v>
      </c>
      <c r="E304" s="36" t="n">
        <v>70</v>
      </c>
      <c r="F304" s="36" t="n">
        <v>0</v>
      </c>
      <c r="G304" s="36" t="n">
        <v>34608.55</v>
      </c>
      <c r="H304" s="36" t="inlineStr"/>
      <c r="I304" s="36" t="inlineStr"/>
      <c r="J304" s="36" t="inlineStr">
        <is>
          <t>UPI - Paytm</t>
        </is>
      </c>
      <c r="K304" s="36" t="inlineStr">
        <is>
          <t>Personal</t>
        </is>
      </c>
      <c r="L304" s="34" t="n">
        <v>0.65</v>
      </c>
      <c r="M304" s="36" t="inlineStr">
        <is>
          <t>N/A</t>
        </is>
      </c>
    </row>
    <row r="305">
      <c r="A305" s="35" t="n">
        <v>45258</v>
      </c>
      <c r="B305" s="36" t="inlineStr">
        <is>
          <t>UPIOUT/333238394836/paytm-76881028@paytm/S
en/4121</t>
        </is>
      </c>
      <c r="C305" s="36" t="inlineStr"/>
      <c r="D305" s="35" t="n">
        <v>45258</v>
      </c>
      <c r="E305" s="36" t="n">
        <v>26</v>
      </c>
      <c r="F305" s="36" t="n">
        <v>0</v>
      </c>
      <c r="G305" s="36" t="n">
        <v>34582.55</v>
      </c>
      <c r="H305" s="36" t="inlineStr"/>
      <c r="I305" s="36" t="inlineStr"/>
      <c r="J305" s="36" t="inlineStr">
        <is>
          <t>UPI - Paytm</t>
        </is>
      </c>
      <c r="K305" s="36" t="inlineStr">
        <is>
          <t>Personal</t>
        </is>
      </c>
      <c r="L305" s="34" t="n">
        <v>0.65</v>
      </c>
      <c r="M305" s="36" t="inlineStr">
        <is>
          <t>N/A</t>
        </is>
      </c>
    </row>
    <row r="306">
      <c r="A306" s="41" t="n">
        <v>45258</v>
      </c>
      <c r="B306" s="42" t="inlineStr">
        <is>
          <t>UPIOUT/369837250589/amazonpaygrocery@apl/R
eq/5411</t>
        </is>
      </c>
      <c r="C306" s="42" t="inlineStr"/>
      <c r="D306" s="41" t="n">
        <v>45258</v>
      </c>
      <c r="E306" s="42" t="n">
        <v>499</v>
      </c>
      <c r="F306" s="42" t="n">
        <v>0</v>
      </c>
      <c r="G306" s="42" t="n">
        <v>34083.55</v>
      </c>
      <c r="H306" s="42" t="inlineStr"/>
      <c r="I306" s="42" t="inlineStr"/>
      <c r="J306" s="42" t="inlineStr">
        <is>
          <t>UPI - Amazon</t>
        </is>
      </c>
      <c r="K306" s="42" t="inlineStr">
        <is>
          <t>Shopping</t>
        </is>
      </c>
      <c r="L306" s="34" t="n">
        <v>0.68</v>
      </c>
      <c r="M306" s="42" t="inlineStr">
        <is>
          <t>N/A</t>
        </is>
      </c>
    </row>
    <row r="307">
      <c r="A307" s="35" t="n">
        <v>45258</v>
      </c>
      <c r="B307" s="36" t="inlineStr">
        <is>
          <t>UPIOUT/333261853759/paytmqr2810050501015w5
z0/5812</t>
        </is>
      </c>
      <c r="C307" s="36" t="inlineStr"/>
      <c r="D307" s="35" t="n">
        <v>45258</v>
      </c>
      <c r="E307" s="36" t="n">
        <v>100</v>
      </c>
      <c r="F307" s="36" t="n">
        <v>0</v>
      </c>
      <c r="G307" s="36" t="n">
        <v>33983.55</v>
      </c>
      <c r="H307" s="36" t="inlineStr"/>
      <c r="I307" s="36" t="inlineStr"/>
      <c r="J307" s="36" t="inlineStr">
        <is>
          <t>UPI - Paytm</t>
        </is>
      </c>
      <c r="K307" s="36" t="inlineStr">
        <is>
          <t>Personal</t>
        </is>
      </c>
      <c r="L307" s="34" t="n">
        <v>0.65</v>
      </c>
      <c r="M307" s="36" t="inlineStr">
        <is>
          <t>N/A</t>
        </is>
      </c>
    </row>
    <row r="308">
      <c r="A308" s="32" t="n">
        <v>45258</v>
      </c>
      <c r="B308" s="33" t="inlineStr">
        <is>
          <t>UPIOUT/333262466569/BHARATPE90727090707@ye
sb/5814</t>
        </is>
      </c>
      <c r="C308" s="33" t="inlineStr"/>
      <c r="D308" s="32" t="n">
        <v>45258</v>
      </c>
      <c r="E308" s="33" t="n">
        <v>20</v>
      </c>
      <c r="F308" s="33" t="n">
        <v>0</v>
      </c>
      <c r="G308" s="33" t="n">
        <v>33963.55</v>
      </c>
      <c r="H308" s="33" t="inlineStr"/>
      <c r="I308" s="33" t="inlineStr"/>
      <c r="J308" s="33" t="inlineStr">
        <is>
          <t>UPI - BharatPe</t>
        </is>
      </c>
      <c r="K308" s="33" t="inlineStr">
        <is>
          <t>Personal</t>
        </is>
      </c>
      <c r="L308" s="34" t="n">
        <v>0.65</v>
      </c>
      <c r="M308" s="33" t="inlineStr">
        <is>
          <t>N/A</t>
        </is>
      </c>
    </row>
    <row r="309">
      <c r="A309" s="35" t="n">
        <v>45258</v>
      </c>
      <c r="B309" s="36" t="inlineStr">
        <is>
          <t>UPI
IN/333245235981/8555996347@paytm/NA/0000</t>
        </is>
      </c>
      <c r="C309" s="36" t="inlineStr"/>
      <c r="D309" s="35" t="n">
        <v>45258</v>
      </c>
      <c r="E309" s="36" t="n">
        <v>0</v>
      </c>
      <c r="F309" s="36" t="n">
        <v>299</v>
      </c>
      <c r="G309" s="36" t="n">
        <v>34262.55</v>
      </c>
      <c r="H309" s="36" t="inlineStr"/>
      <c r="I309" s="36" t="inlineStr"/>
      <c r="J309" s="36" t="inlineStr">
        <is>
          <t>UPI - Paytm</t>
        </is>
      </c>
      <c r="K309" s="36" t="inlineStr">
        <is>
          <t>Personal</t>
        </is>
      </c>
      <c r="L309" s="34" t="n">
        <v>0.65</v>
      </c>
      <c r="M309" s="36" t="inlineStr">
        <is>
          <t>N/A</t>
        </is>
      </c>
    </row>
    <row r="310">
      <c r="A310" s="58" t="n">
        <v>45259</v>
      </c>
      <c r="B310" s="59" t="inlineStr">
        <is>
          <t>NFT/NEOSIEXEDDD2023112912300722828 NAVI
Mutual Fun</t>
        </is>
      </c>
      <c r="C310" s="59" t="inlineStr"/>
      <c r="D310" s="58" t="n">
        <v>45259</v>
      </c>
      <c r="E310" s="59" t="n">
        <v>100</v>
      </c>
      <c r="F310" s="59" t="n">
        <v>0</v>
      </c>
      <c r="G310" s="59" t="n">
        <v>34162.55</v>
      </c>
      <c r="H310" s="59" t="inlineStr"/>
      <c r="I310" s="59" t="inlineStr"/>
      <c r="J310" s="59" t="inlineStr">
        <is>
          <t>MF Investment</t>
        </is>
      </c>
      <c r="K310" s="59" t="inlineStr">
        <is>
          <t>Investments</t>
        </is>
      </c>
      <c r="L310" s="18" t="n">
        <v>0.88</v>
      </c>
      <c r="M310" s="59" t="inlineStr">
        <is>
          <t>N/A</t>
        </is>
      </c>
    </row>
    <row r="311">
      <c r="A311" s="35" t="n">
        <v>45259</v>
      </c>
      <c r="B311" s="36" t="inlineStr">
        <is>
          <t>UPIOUT/333373836794/paytmqry3eyiz8yp2@payt
m//5812</t>
        </is>
      </c>
      <c r="C311" s="36" t="inlineStr"/>
      <c r="D311" s="35" t="n">
        <v>45259</v>
      </c>
      <c r="E311" s="36" t="n">
        <v>35</v>
      </c>
      <c r="F311" s="36" t="n">
        <v>0</v>
      </c>
      <c r="G311" s="36" t="n">
        <v>34127.55</v>
      </c>
      <c r="H311" s="36" t="inlineStr"/>
      <c r="I311" s="36" t="inlineStr"/>
      <c r="J311" s="36" t="inlineStr">
        <is>
          <t>UPI - Paytm</t>
        </is>
      </c>
      <c r="K311" s="36" t="inlineStr">
        <is>
          <t>Personal</t>
        </is>
      </c>
      <c r="L311" s="34" t="n">
        <v>0.65</v>
      </c>
      <c r="M311" s="36" t="inlineStr">
        <is>
          <t>N/A</t>
        </is>
      </c>
    </row>
    <row r="312">
      <c r="A312" s="35" t="n">
        <v>45259</v>
      </c>
      <c r="B312" s="36" t="inlineStr">
        <is>
          <t>UPIOUT/333374102210/paytmqrfmo9fujhwg@payt
m//5812</t>
        </is>
      </c>
      <c r="C312" s="36" t="inlineStr"/>
      <c r="D312" s="35" t="n">
        <v>45259</v>
      </c>
      <c r="E312" s="36" t="n">
        <v>10</v>
      </c>
      <c r="F312" s="36" t="n">
        <v>0</v>
      </c>
      <c r="G312" s="36" t="n">
        <v>34117.55</v>
      </c>
      <c r="H312" s="36" t="inlineStr"/>
      <c r="I312" s="36" t="inlineStr"/>
      <c r="J312" s="36" t="inlineStr">
        <is>
          <t>UPI - Paytm</t>
        </is>
      </c>
      <c r="K312" s="36" t="inlineStr">
        <is>
          <t>Personal</t>
        </is>
      </c>
      <c r="L312" s="34" t="n">
        <v>0.65</v>
      </c>
      <c r="M312" s="36" t="inlineStr">
        <is>
          <t>N/A</t>
        </is>
      </c>
    </row>
    <row r="313">
      <c r="A313" s="35" t="n">
        <v>45259</v>
      </c>
      <c r="B313" s="36" t="inlineStr">
        <is>
          <t>UPIOUT/333377086297/paytmqr281005050101m7p
xx/5451</t>
        </is>
      </c>
      <c r="C313" s="36" t="inlineStr"/>
      <c r="D313" s="35" t="n">
        <v>45259</v>
      </c>
      <c r="E313" s="36" t="n">
        <v>26</v>
      </c>
      <c r="F313" s="36" t="n">
        <v>0</v>
      </c>
      <c r="G313" s="36" t="n">
        <v>34091.55</v>
      </c>
      <c r="H313" s="36" t="inlineStr"/>
      <c r="I313" s="36" t="inlineStr"/>
      <c r="J313" s="36" t="inlineStr">
        <is>
          <t>UPI - Paytm</t>
        </is>
      </c>
      <c r="K313" s="36" t="inlineStr">
        <is>
          <t>Personal</t>
        </is>
      </c>
      <c r="L313" s="34" t="n">
        <v>0.65</v>
      </c>
      <c r="M313" s="36" t="inlineStr">
        <is>
          <t>N/A</t>
        </is>
      </c>
    </row>
    <row r="314">
      <c r="A314" s="37" t="n">
        <v>45259</v>
      </c>
      <c r="B314" s="38" t="inlineStr">
        <is>
          <t>UPIOUT/333396531080/ramanaseggem@axl/Sent
vi/0000</t>
        </is>
      </c>
      <c r="C314" s="38" t="inlineStr"/>
      <c r="D314" s="37" t="n">
        <v>45259</v>
      </c>
      <c r="E314" s="38" t="n">
        <v>27</v>
      </c>
      <c r="F314" s="38" t="n">
        <v>0</v>
      </c>
      <c r="G314" s="38" t="n">
        <v>34064.55</v>
      </c>
      <c r="H314" s="38" t="inlineStr"/>
      <c r="I314" s="38" t="inlineStr"/>
      <c r="J314" s="38" t="inlineStr">
        <is>
          <t>UPI Payment</t>
        </is>
      </c>
      <c r="K314" s="38" t="inlineStr">
        <is>
          <t>Personal</t>
        </is>
      </c>
      <c r="L314" s="25" t="n">
        <v>0.55</v>
      </c>
      <c r="M314" s="38" t="inlineStr">
        <is>
          <t>N/A</t>
        </is>
      </c>
    </row>
    <row r="315">
      <c r="A315" s="35" t="n">
        <v>45259</v>
      </c>
      <c r="B315" s="36" t="inlineStr">
        <is>
          <t>UPIOUT/333399564994/paytmqr2810050501015w5
z0/5812</t>
        </is>
      </c>
      <c r="C315" s="36" t="inlineStr"/>
      <c r="D315" s="35" t="n">
        <v>45259</v>
      </c>
      <c r="E315" s="36" t="n">
        <v>120</v>
      </c>
      <c r="F315" s="36" t="n">
        <v>0</v>
      </c>
      <c r="G315" s="36" t="n">
        <v>33944.55</v>
      </c>
      <c r="H315" s="36" t="inlineStr"/>
      <c r="I315" s="36" t="inlineStr"/>
      <c r="J315" s="36" t="inlineStr">
        <is>
          <t>UPI - Paytm</t>
        </is>
      </c>
      <c r="K315" s="36" t="inlineStr">
        <is>
          <t>Personal</t>
        </is>
      </c>
      <c r="L315" s="34" t="n">
        <v>0.65</v>
      </c>
      <c r="M315" s="36" t="inlineStr">
        <is>
          <t>N/A</t>
        </is>
      </c>
    </row>
    <row r="316">
      <c r="A316" s="32" t="n">
        <v>45259</v>
      </c>
      <c r="B316" s="33" t="inlineStr">
        <is>
          <t>UPIOUT/333399588091/BHARATPE90727090707@ye
sb/5814</t>
        </is>
      </c>
      <c r="C316" s="33" t="inlineStr"/>
      <c r="D316" s="32" t="n">
        <v>45259</v>
      </c>
      <c r="E316" s="33" t="n">
        <v>20</v>
      </c>
      <c r="F316" s="33" t="n">
        <v>0</v>
      </c>
      <c r="G316" s="33" t="n">
        <v>33924.55</v>
      </c>
      <c r="H316" s="33" t="inlineStr"/>
      <c r="I316" s="33" t="inlineStr"/>
      <c r="J316" s="33" t="inlineStr">
        <is>
          <t>UPI - BharatPe</t>
        </is>
      </c>
      <c r="K316" s="33" t="inlineStr">
        <is>
          <t>Personal</t>
        </is>
      </c>
      <c r="L316" s="34" t="n">
        <v>0.65</v>
      </c>
      <c r="M316" s="33" t="inlineStr">
        <is>
          <t>N/A</t>
        </is>
      </c>
    </row>
    <row r="317">
      <c r="A317" s="35" t="n">
        <v>45259</v>
      </c>
      <c r="B317" s="36" t="inlineStr">
        <is>
          <t>UPIOUT/333310855822/paytmqr1rtk29j3xy@payt
m//5411</t>
        </is>
      </c>
      <c r="C317" s="36" t="inlineStr"/>
      <c r="D317" s="35" t="n">
        <v>45259</v>
      </c>
      <c r="E317" s="36" t="n">
        <v>20</v>
      </c>
      <c r="F317" s="36" t="n">
        <v>0</v>
      </c>
      <c r="G317" s="36" t="n">
        <v>33904.55</v>
      </c>
      <c r="H317" s="36" t="inlineStr"/>
      <c r="I317" s="36" t="inlineStr"/>
      <c r="J317" s="36" t="inlineStr">
        <is>
          <t>UPI - Paytm</t>
        </is>
      </c>
      <c r="K317" s="36" t="inlineStr">
        <is>
          <t>Personal</t>
        </is>
      </c>
      <c r="L317" s="34" t="n">
        <v>0.65</v>
      </c>
      <c r="M317" s="36" t="inlineStr">
        <is>
          <t>N/A</t>
        </is>
      </c>
    </row>
    <row r="318">
      <c r="A318" s="58" t="n">
        <v>45260</v>
      </c>
      <c r="B318" s="59" t="inlineStr">
        <is>
          <t>NFT/NEOSIEXEDDD2023113012300670545 NAVI
Mutual Fun</t>
        </is>
      </c>
      <c r="C318" s="59" t="inlineStr"/>
      <c r="D318" s="58" t="n">
        <v>45260</v>
      </c>
      <c r="E318" s="59" t="n">
        <v>100</v>
      </c>
      <c r="F318" s="59" t="n">
        <v>0</v>
      </c>
      <c r="G318" s="59" t="n">
        <v>33804.55</v>
      </c>
      <c r="H318" s="59" t="inlineStr"/>
      <c r="I318" s="59" t="inlineStr"/>
      <c r="J318" s="59" t="inlineStr">
        <is>
          <t>MF Investment</t>
        </is>
      </c>
      <c r="K318" s="59" t="inlineStr">
        <is>
          <t>Investments</t>
        </is>
      </c>
      <c r="L318" s="18" t="n">
        <v>0.88</v>
      </c>
      <c r="M318" s="59" t="inlineStr">
        <is>
          <t>N/A</t>
        </is>
      </c>
    </row>
    <row r="319">
      <c r="A319" s="23" t="n">
        <v>45260</v>
      </c>
      <c r="B319" s="24" t="inlineStr">
        <is>
          <t>NFT/DR REDDYS LABOR/CITIN23461192319/CITI</t>
        </is>
      </c>
      <c r="C319" s="24" t="inlineStr"/>
      <c r="D319" s="23" t="n">
        <v>45260</v>
      </c>
      <c r="E319" s="24" t="n">
        <v>0</v>
      </c>
      <c r="F319" s="24" t="n">
        <v>22500</v>
      </c>
      <c r="G319" s="24" t="n">
        <v>56304.55</v>
      </c>
      <c r="H319" s="24" t="inlineStr"/>
      <c r="I319" s="24" t="inlineStr"/>
      <c r="J319" s="24" t="inlineStr">
        <is>
          <t>What is this?</t>
        </is>
      </c>
      <c r="K319" s="24" t="inlineStr">
        <is>
          <t>Suspense</t>
        </is>
      </c>
      <c r="L319" s="25" t="n">
        <v>0</v>
      </c>
      <c r="M319" s="24" t="inlineStr">
        <is>
          <t>N/A</t>
        </is>
      </c>
    </row>
    <row r="320">
      <c r="A320" s="35" t="n">
        <v>45260</v>
      </c>
      <c r="B320" s="36" t="inlineStr">
        <is>
          <t>UPIOUT/333419649656/paytmqry3eyiz8yp2@payt
m//5812</t>
        </is>
      </c>
      <c r="C320" s="36" t="inlineStr"/>
      <c r="D320" s="35" t="n">
        <v>45260</v>
      </c>
      <c r="E320" s="36" t="n">
        <v>35</v>
      </c>
      <c r="F320" s="36" t="n">
        <v>0</v>
      </c>
      <c r="G320" s="36" t="n">
        <v>56269.55</v>
      </c>
      <c r="H320" s="36" t="inlineStr"/>
      <c r="I320" s="36" t="inlineStr"/>
      <c r="J320" s="36" t="inlineStr">
        <is>
          <t>UPI - Paytm</t>
        </is>
      </c>
      <c r="K320" s="36" t="inlineStr">
        <is>
          <t>Personal</t>
        </is>
      </c>
      <c r="L320" s="34" t="n">
        <v>0.65</v>
      </c>
      <c r="M320" s="36" t="inlineStr">
        <is>
          <t>N/A</t>
        </is>
      </c>
    </row>
    <row r="321">
      <c r="A321" s="35" t="n">
        <v>45260</v>
      </c>
      <c r="B321" s="36" t="inlineStr">
        <is>
          <t>UPIOUT/333419712274/paytmqrfmo9fujhwg@payt
m//5812</t>
        </is>
      </c>
      <c r="C321" s="36" t="inlineStr"/>
      <c r="D321" s="35" t="n">
        <v>45260</v>
      </c>
      <c r="E321" s="36" t="n">
        <v>10</v>
      </c>
      <c r="F321" s="36" t="n">
        <v>0</v>
      </c>
      <c r="G321" s="36" t="n">
        <v>56259.55</v>
      </c>
      <c r="H321" s="36" t="inlineStr"/>
      <c r="I321" s="36" t="inlineStr"/>
      <c r="J321" s="36" t="inlineStr">
        <is>
          <t>UPI - Paytm</t>
        </is>
      </c>
      <c r="K321" s="36" t="inlineStr">
        <is>
          <t>Personal</t>
        </is>
      </c>
      <c r="L321" s="34" t="n">
        <v>0.65</v>
      </c>
      <c r="M321" s="36" t="inlineStr">
        <is>
          <t>N/A</t>
        </is>
      </c>
    </row>
    <row r="322">
      <c r="A322" s="37" t="n">
        <v>45260</v>
      </c>
      <c r="B322" s="38" t="inlineStr">
        <is>
          <t>UPIOUT/333471057148/jdsrinu1-3@okhdfcbank/
UP/0000</t>
        </is>
      </c>
      <c r="C322" s="38" t="inlineStr"/>
      <c r="D322" s="37" t="n">
        <v>45260</v>
      </c>
      <c r="E322" s="38" t="n">
        <v>20</v>
      </c>
      <c r="F322" s="38" t="n">
        <v>0</v>
      </c>
      <c r="G322" s="38" t="n">
        <v>56239.55</v>
      </c>
      <c r="H322" s="38" t="inlineStr"/>
      <c r="I322" s="38" t="inlineStr"/>
      <c r="J322" s="38" t="inlineStr">
        <is>
          <t>UPI Payment</t>
        </is>
      </c>
      <c r="K322" s="38" t="inlineStr">
        <is>
          <t>Personal</t>
        </is>
      </c>
      <c r="L322" s="25" t="n">
        <v>0.55</v>
      </c>
      <c r="M322" s="38" t="inlineStr">
        <is>
          <t>N/A</t>
        </is>
      </c>
    </row>
    <row r="323">
      <c r="A323" s="91" t="n">
        <v>45260</v>
      </c>
      <c r="B323" s="92" t="inlineStr">
        <is>
          <t>UPIOUT/333421215953/uber@axisbank/charge/4
121</t>
        </is>
      </c>
      <c r="C323" s="92" t="inlineStr"/>
      <c r="D323" s="91" t="n">
        <v>45260</v>
      </c>
      <c r="E323" s="92" t="n">
        <v>106.33</v>
      </c>
      <c r="F323" s="92" t="n">
        <v>0</v>
      </c>
      <c r="G323" s="92" t="n">
        <v>56133.22</v>
      </c>
      <c r="H323" s="92" t="inlineStr"/>
      <c r="I323" s="92" t="inlineStr"/>
      <c r="J323" s="92" t="inlineStr">
        <is>
          <t>UPI - Uber</t>
        </is>
      </c>
      <c r="K323" s="92" t="inlineStr">
        <is>
          <t>Transport</t>
        </is>
      </c>
      <c r="L323" s="34" t="n">
        <v>0.68</v>
      </c>
      <c r="M323" s="92" t="inlineStr">
        <is>
          <t>N/A</t>
        </is>
      </c>
    </row>
    <row r="324">
      <c r="A324" s="37" t="n">
        <v>45260</v>
      </c>
      <c r="B324" s="38" t="inlineStr">
        <is>
          <t>UPIOUT/333491551840/vijaykumarbhukya99@oks
bi/0000</t>
        </is>
      </c>
      <c r="C324" s="38" t="inlineStr"/>
      <c r="D324" s="37" t="n">
        <v>45260</v>
      </c>
      <c r="E324" s="38" t="n">
        <v>7200</v>
      </c>
      <c r="F324" s="38" t="n">
        <v>0</v>
      </c>
      <c r="G324" s="38" t="n">
        <v>48933.22</v>
      </c>
      <c r="H324" s="38" t="inlineStr"/>
      <c r="I324" s="38" t="inlineStr"/>
      <c r="J324" s="38" t="inlineStr">
        <is>
          <t>UPI Payment</t>
        </is>
      </c>
      <c r="K324" s="38" t="inlineStr">
        <is>
          <t>Personal</t>
        </is>
      </c>
      <c r="L324" s="25" t="n">
        <v>0.55</v>
      </c>
      <c r="M324" s="38" t="inlineStr">
        <is>
          <t>N/A</t>
        </is>
      </c>
    </row>
    <row r="325">
      <c r="A325" s="58" t="n">
        <v>45261</v>
      </c>
      <c r="B325" s="59" t="inlineStr">
        <is>
          <t>NFT/NEOSIEXEDDD2023120112302472066 NAVI
Mutual Fun</t>
        </is>
      </c>
      <c r="C325" s="59" t="inlineStr"/>
      <c r="D325" s="58" t="n">
        <v>45261</v>
      </c>
      <c r="E325" s="59" t="n">
        <v>100</v>
      </c>
      <c r="F325" s="59" t="n">
        <v>0</v>
      </c>
      <c r="G325" s="59" t="n">
        <v>48833.22</v>
      </c>
      <c r="H325" s="59" t="inlineStr"/>
      <c r="I325" s="59" t="inlineStr"/>
      <c r="J325" s="59" t="inlineStr">
        <is>
          <t>MF Investment</t>
        </is>
      </c>
      <c r="K325" s="59" t="inlineStr">
        <is>
          <t>Investments</t>
        </is>
      </c>
      <c r="L325" s="18" t="n">
        <v>0.88</v>
      </c>
      <c r="M325" s="59" t="inlineStr">
        <is>
          <t>N/A</t>
        </is>
      </c>
    </row>
    <row r="326">
      <c r="A326" s="91" t="n">
        <v>45261</v>
      </c>
      <c r="B326" s="92" t="inlineStr">
        <is>
          <t>UPIOUT/333564640882/uberrides@hdfcbank/cha
rg/5960</t>
        </is>
      </c>
      <c r="C326" s="92" t="inlineStr"/>
      <c r="D326" s="91" t="n">
        <v>45261</v>
      </c>
      <c r="E326" s="92" t="n">
        <v>167.78</v>
      </c>
      <c r="F326" s="92" t="n">
        <v>0</v>
      </c>
      <c r="G326" s="92" t="n">
        <v>48665.44</v>
      </c>
      <c r="H326" s="92" t="inlineStr"/>
      <c r="I326" s="92" t="inlineStr"/>
      <c r="J326" s="92" t="inlineStr">
        <is>
          <t>UPI - Uber</t>
        </is>
      </c>
      <c r="K326" s="92" t="inlineStr">
        <is>
          <t>Transport</t>
        </is>
      </c>
      <c r="L326" s="34" t="n">
        <v>0.68</v>
      </c>
      <c r="M326" s="92" t="inlineStr">
        <is>
          <t>N/A</t>
        </is>
      </c>
    </row>
    <row r="327">
      <c r="A327" s="91" t="n">
        <v>45261</v>
      </c>
      <c r="B327" s="92" t="inlineStr">
        <is>
          <t>UPIOUT/333564892233/uberrides@hdfcbank/cha
rg/5960</t>
        </is>
      </c>
      <c r="C327" s="92" t="inlineStr"/>
      <c r="D327" s="91" t="n">
        <v>45261</v>
      </c>
      <c r="E327" s="92" t="n">
        <v>26.02</v>
      </c>
      <c r="F327" s="92" t="n">
        <v>0</v>
      </c>
      <c r="G327" s="92" t="n">
        <v>48639.42</v>
      </c>
      <c r="H327" s="92" t="inlineStr"/>
      <c r="I327" s="92" t="inlineStr"/>
      <c r="J327" s="92" t="inlineStr">
        <is>
          <t>UPI - Uber</t>
        </is>
      </c>
      <c r="K327" s="92" t="inlineStr">
        <is>
          <t>Transport</t>
        </is>
      </c>
      <c r="L327" s="34" t="n">
        <v>0.68</v>
      </c>
      <c r="M327" s="92" t="inlineStr">
        <is>
          <t>N/A</t>
        </is>
      </c>
    </row>
    <row r="328">
      <c r="A328" s="37" t="n">
        <v>45261</v>
      </c>
      <c r="B328" s="38" t="inlineStr">
        <is>
          <t>UPIOUT/333520940077/santhosh.sanga09-1@oks
bi/0000</t>
        </is>
      </c>
      <c r="C328" s="38" t="inlineStr"/>
      <c r="D328" s="37" t="n">
        <v>45261</v>
      </c>
      <c r="E328" s="38" t="n">
        <v>10</v>
      </c>
      <c r="F328" s="38" t="n">
        <v>0</v>
      </c>
      <c r="G328" s="38" t="n">
        <v>48629.42</v>
      </c>
      <c r="H328" s="38" t="inlineStr"/>
      <c r="I328" s="38" t="inlineStr"/>
      <c r="J328" s="38" t="inlineStr">
        <is>
          <t>UPI Payment</t>
        </is>
      </c>
      <c r="K328" s="38" t="inlineStr">
        <is>
          <t>Personal</t>
        </is>
      </c>
      <c r="L328" s="25" t="n">
        <v>0.55</v>
      </c>
      <c r="M328" s="38" t="inlineStr">
        <is>
          <t>N/A</t>
        </is>
      </c>
    </row>
    <row r="329">
      <c r="A329" s="35" t="n">
        <v>45261</v>
      </c>
      <c r="B329" s="36" t="inlineStr">
        <is>
          <t>UPIOUT/333530363884/paytmqruct2pt8f1w@payt
m//5462</t>
        </is>
      </c>
      <c r="C329" s="36" t="inlineStr"/>
      <c r="D329" s="35" t="n">
        <v>45261</v>
      </c>
      <c r="E329" s="36" t="n">
        <v>30</v>
      </c>
      <c r="F329" s="36" t="n">
        <v>0</v>
      </c>
      <c r="G329" s="36" t="n">
        <v>48599.42</v>
      </c>
      <c r="H329" s="36" t="inlineStr"/>
      <c r="I329" s="36" t="inlineStr"/>
      <c r="J329" s="36" t="inlineStr">
        <is>
          <t>UPI - Paytm</t>
        </is>
      </c>
      <c r="K329" s="36" t="inlineStr">
        <is>
          <t>Personal</t>
        </is>
      </c>
      <c r="L329" s="34" t="n">
        <v>0.65</v>
      </c>
      <c r="M329" s="36" t="inlineStr">
        <is>
          <t>N/A</t>
        </is>
      </c>
    </row>
    <row r="330">
      <c r="A330" s="35" t="n">
        <v>45261</v>
      </c>
      <c r="B330" s="36" t="inlineStr">
        <is>
          <t>UPIOUT/333530884713/paytmqr2810050501015w5
z0/5812</t>
        </is>
      </c>
      <c r="C330" s="36" t="inlineStr"/>
      <c r="D330" s="35" t="n">
        <v>45261</v>
      </c>
      <c r="E330" s="36" t="n">
        <v>60</v>
      </c>
      <c r="F330" s="36" t="n">
        <v>0</v>
      </c>
      <c r="G330" s="36" t="n">
        <v>48539.42</v>
      </c>
      <c r="H330" s="36" t="inlineStr"/>
      <c r="I330" s="36" t="inlineStr"/>
      <c r="J330" s="36" t="inlineStr">
        <is>
          <t>UPI - Paytm</t>
        </is>
      </c>
      <c r="K330" s="36" t="inlineStr">
        <is>
          <t>Personal</t>
        </is>
      </c>
      <c r="L330" s="34" t="n">
        <v>0.65</v>
      </c>
      <c r="M330" s="36" t="inlineStr">
        <is>
          <t>N/A</t>
        </is>
      </c>
    </row>
    <row r="331">
      <c r="A331" s="35" t="n">
        <v>45261</v>
      </c>
      <c r="B331" s="36" t="inlineStr">
        <is>
          <t>UPIOUT/333530977180/paytmqr1jm24kbgdo@payt
m//5311</t>
        </is>
      </c>
      <c r="C331" s="36" t="inlineStr"/>
      <c r="D331" s="35" t="n">
        <v>45261</v>
      </c>
      <c r="E331" s="36" t="n">
        <v>30</v>
      </c>
      <c r="F331" s="36" t="n">
        <v>0</v>
      </c>
      <c r="G331" s="36" t="n">
        <v>48509.42</v>
      </c>
      <c r="H331" s="36" t="inlineStr"/>
      <c r="I331" s="36" t="inlineStr"/>
      <c r="J331" s="36" t="inlineStr">
        <is>
          <t>UPI - Paytm</t>
        </is>
      </c>
      <c r="K331" s="36" t="inlineStr">
        <is>
          <t>Personal</t>
        </is>
      </c>
      <c r="L331" s="34" t="n">
        <v>0.65</v>
      </c>
      <c r="M331" s="36" t="inlineStr">
        <is>
          <t>N/A</t>
        </is>
      </c>
    </row>
    <row r="332">
      <c r="A332" s="35" t="n">
        <v>45261</v>
      </c>
      <c r="B332" s="36" t="inlineStr">
        <is>
          <t>UPIOUT/333531579508/paytmqrfmo9fujhwg@payt
m//5812</t>
        </is>
      </c>
      <c r="C332" s="36" t="inlineStr"/>
      <c r="D332" s="35" t="n">
        <v>45261</v>
      </c>
      <c r="E332" s="36" t="n">
        <v>20</v>
      </c>
      <c r="F332" s="36" t="n">
        <v>0</v>
      </c>
      <c r="G332" s="36" t="n">
        <v>48489.42</v>
      </c>
      <c r="H332" s="36" t="inlineStr"/>
      <c r="I332" s="36" t="inlineStr"/>
      <c r="J332" s="36" t="inlineStr">
        <is>
          <t>UPI - Paytm</t>
        </is>
      </c>
      <c r="K332" s="36" t="inlineStr">
        <is>
          <t>Personal</t>
        </is>
      </c>
      <c r="L332" s="34" t="n">
        <v>0.65</v>
      </c>
      <c r="M332" s="36" t="inlineStr">
        <is>
          <t>N/A</t>
        </is>
      </c>
    </row>
    <row r="333">
      <c r="A333" s="58" t="n">
        <v>45262</v>
      </c>
      <c r="B333" s="59" t="inlineStr">
        <is>
          <t>NFT/NEOSIEXEDDD2023120212303416809 NAVI
Mutual Fun</t>
        </is>
      </c>
      <c r="C333" s="59" t="inlineStr"/>
      <c r="D333" s="58" t="n">
        <v>45262</v>
      </c>
      <c r="E333" s="59" t="n">
        <v>100</v>
      </c>
      <c r="F333" s="59" t="n">
        <v>0</v>
      </c>
      <c r="G333" s="59" t="n">
        <v>48389.42</v>
      </c>
      <c r="H333" s="59" t="inlineStr"/>
      <c r="I333" s="59" t="inlineStr"/>
      <c r="J333" s="59" t="inlineStr">
        <is>
          <t>MF Investment</t>
        </is>
      </c>
      <c r="K333" s="59" t="inlineStr">
        <is>
          <t>Investments</t>
        </is>
      </c>
      <c r="L333" s="18" t="n">
        <v>0.88</v>
      </c>
      <c r="M333" s="59" t="inlineStr">
        <is>
          <t>N/A</t>
        </is>
      </c>
    </row>
    <row r="334">
      <c r="A334" s="37" t="n">
        <v>45262</v>
      </c>
      <c r="B334" s="38" t="inlineStr">
        <is>
          <t>UPIOUT/333634763711/Q621411559@ybl/Sent
via /5441</t>
        </is>
      </c>
      <c r="C334" s="38" t="inlineStr"/>
      <c r="D334" s="37" t="n">
        <v>45262</v>
      </c>
      <c r="E334" s="38" t="n">
        <v>15</v>
      </c>
      <c r="F334" s="38" t="n">
        <v>0</v>
      </c>
      <c r="G334" s="38" t="n">
        <v>48374.42</v>
      </c>
      <c r="H334" s="38" t="inlineStr"/>
      <c r="I334" s="38" t="inlineStr"/>
      <c r="J334" s="38" t="inlineStr">
        <is>
          <t>UPI Payment</t>
        </is>
      </c>
      <c r="K334" s="38" t="inlineStr">
        <is>
          <t>Personal</t>
        </is>
      </c>
      <c r="L334" s="25" t="n">
        <v>0.55</v>
      </c>
      <c r="M334" s="38" t="inlineStr">
        <is>
          <t>N/A</t>
        </is>
      </c>
    </row>
    <row r="335">
      <c r="A335" s="35" t="n">
        <v>45262</v>
      </c>
      <c r="B335" s="36" t="inlineStr">
        <is>
          <t>UPIOUT/333634793996/paytmqr1ox7m6rgyo@payt
m//5812</t>
        </is>
      </c>
      <c r="C335" s="36" t="inlineStr"/>
      <c r="D335" s="35" t="n">
        <v>45262</v>
      </c>
      <c r="E335" s="36" t="n">
        <v>23</v>
      </c>
      <c r="F335" s="36" t="n">
        <v>0</v>
      </c>
      <c r="G335" s="36" t="n">
        <v>48351.42</v>
      </c>
      <c r="H335" s="36" t="inlineStr"/>
      <c r="I335" s="36" t="inlineStr"/>
      <c r="J335" s="36" t="inlineStr">
        <is>
          <t>UPI - Paytm</t>
        </is>
      </c>
      <c r="K335" s="36" t="inlineStr">
        <is>
          <t>Personal</t>
        </is>
      </c>
      <c r="L335" s="34" t="n">
        <v>0.65</v>
      </c>
      <c r="M335" s="36" t="inlineStr">
        <is>
          <t>N/A</t>
        </is>
      </c>
    </row>
    <row r="336">
      <c r="A336" s="35" t="n">
        <v>45262</v>
      </c>
      <c r="B336" s="36" t="inlineStr">
        <is>
          <t>UPIOUT/333635831256/paytmqrfmo9fujhwg@payt
m//5812</t>
        </is>
      </c>
      <c r="C336" s="36" t="inlineStr"/>
      <c r="D336" s="35" t="n">
        <v>45262</v>
      </c>
      <c r="E336" s="36" t="n">
        <v>280</v>
      </c>
      <c r="F336" s="36" t="n">
        <v>0</v>
      </c>
      <c r="G336" s="36" t="n">
        <v>48071.42</v>
      </c>
      <c r="H336" s="36" t="inlineStr"/>
      <c r="I336" s="36" t="inlineStr"/>
      <c r="J336" s="36" t="inlineStr">
        <is>
          <t>UPI - Paytm</t>
        </is>
      </c>
      <c r="K336" s="36" t="inlineStr">
        <is>
          <t>Personal</t>
        </is>
      </c>
      <c r="L336" s="34" t="n">
        <v>0.65</v>
      </c>
      <c r="M336" s="36" t="inlineStr">
        <is>
          <t>N/A</t>
        </is>
      </c>
    </row>
    <row r="337">
      <c r="A337" s="93" t="n">
        <v>45262</v>
      </c>
      <c r="B337" s="94" t="inlineStr">
        <is>
          <t>UPIOUT/333635901611/gpay-11216810770@okbiz
ax/5331</t>
        </is>
      </c>
      <c r="C337" s="94" t="inlineStr"/>
      <c r="D337" s="93" t="n">
        <v>45262</v>
      </c>
      <c r="E337" s="94" t="n">
        <v>30</v>
      </c>
      <c r="F337" s="94" t="n">
        <v>0</v>
      </c>
      <c r="G337" s="94" t="n">
        <v>48041.42</v>
      </c>
      <c r="H337" s="94" t="inlineStr"/>
      <c r="I337" s="94" t="inlineStr"/>
      <c r="J337" s="94" t="inlineStr">
        <is>
          <t>UPI - Google Pay</t>
        </is>
      </c>
      <c r="K337" s="94" t="inlineStr">
        <is>
          <t>Personal</t>
        </is>
      </c>
      <c r="L337" s="34" t="n">
        <v>0.65</v>
      </c>
      <c r="M337" s="94" t="inlineStr">
        <is>
          <t>N/A</t>
        </is>
      </c>
    </row>
    <row r="338">
      <c r="A338" s="35" t="n">
        <v>45262</v>
      </c>
      <c r="B338" s="36" t="inlineStr">
        <is>
          <t>UPIOUT/333637695245/paytmqr1a2plltyay@payt
m//5812</t>
        </is>
      </c>
      <c r="C338" s="36" t="inlineStr"/>
      <c r="D338" s="35" t="n">
        <v>45262</v>
      </c>
      <c r="E338" s="36" t="n">
        <v>70</v>
      </c>
      <c r="F338" s="36" t="n">
        <v>0</v>
      </c>
      <c r="G338" s="36" t="n">
        <v>47971.42</v>
      </c>
      <c r="H338" s="36" t="inlineStr"/>
      <c r="I338" s="36" t="inlineStr"/>
      <c r="J338" s="36" t="inlineStr">
        <is>
          <t>UPI - Paytm</t>
        </is>
      </c>
      <c r="K338" s="36" t="inlineStr">
        <is>
          <t>Personal</t>
        </is>
      </c>
      <c r="L338" s="34" t="n">
        <v>0.65</v>
      </c>
      <c r="M338" s="36" t="inlineStr">
        <is>
          <t>N/A</t>
        </is>
      </c>
    </row>
    <row r="339">
      <c r="A339" s="32" t="n">
        <v>45262</v>
      </c>
      <c r="B339" s="33" t="inlineStr">
        <is>
          <t>UPIOUT/333637758848/BHARATPE90727090707@ye
sb/5814</t>
        </is>
      </c>
      <c r="C339" s="33" t="inlineStr"/>
      <c r="D339" s="32" t="n">
        <v>45262</v>
      </c>
      <c r="E339" s="33" t="n">
        <v>20</v>
      </c>
      <c r="F339" s="33" t="n">
        <v>0</v>
      </c>
      <c r="G339" s="33" t="n">
        <v>47951.42</v>
      </c>
      <c r="H339" s="33" t="inlineStr"/>
      <c r="I339" s="33" t="inlineStr"/>
      <c r="J339" s="33" t="inlineStr">
        <is>
          <t>UPI - BharatPe</t>
        </is>
      </c>
      <c r="K339" s="33" t="inlineStr">
        <is>
          <t>Personal</t>
        </is>
      </c>
      <c r="L339" s="34" t="n">
        <v>0.65</v>
      </c>
      <c r="M339" s="33" t="inlineStr">
        <is>
          <t>N/A</t>
        </is>
      </c>
    </row>
    <row r="340">
      <c r="A340" s="37" t="n">
        <v>45262</v>
      </c>
      <c r="B340" s="38" t="inlineStr">
        <is>
          <t>UPIOUT/333637779469/Q614784165@ybl/Sent
via /5311</t>
        </is>
      </c>
      <c r="C340" s="38" t="inlineStr"/>
      <c r="D340" s="37" t="n">
        <v>45262</v>
      </c>
      <c r="E340" s="38" t="n">
        <v>20</v>
      </c>
      <c r="F340" s="38" t="n">
        <v>0</v>
      </c>
      <c r="G340" s="38" t="n">
        <v>47931.42</v>
      </c>
      <c r="H340" s="38" t="inlineStr"/>
      <c r="I340" s="38" t="inlineStr"/>
      <c r="J340" s="38" t="inlineStr">
        <is>
          <t>UPI Payment</t>
        </is>
      </c>
      <c r="K340" s="38" t="inlineStr">
        <is>
          <t>Personal</t>
        </is>
      </c>
      <c r="L340" s="25" t="n">
        <v>0.55</v>
      </c>
      <c r="M340" s="38" t="inlineStr">
        <is>
          <t>N/A</t>
        </is>
      </c>
    </row>
    <row r="341">
      <c r="A341" s="58" t="n">
        <v>45263</v>
      </c>
      <c r="B341" s="59" t="inlineStr">
        <is>
          <t>NFT/NEOSIEXEDDD2023120312302093915 NAVI
Mutual Fun</t>
        </is>
      </c>
      <c r="C341" s="59" t="inlineStr"/>
      <c r="D341" s="58" t="n">
        <v>45263</v>
      </c>
      <c r="E341" s="59" t="n">
        <v>100</v>
      </c>
      <c r="F341" s="59" t="n">
        <v>0</v>
      </c>
      <c r="G341" s="59" t="n">
        <v>47831.42</v>
      </c>
      <c r="H341" s="59" t="inlineStr"/>
      <c r="I341" s="59" t="inlineStr"/>
      <c r="J341" s="59" t="inlineStr">
        <is>
          <t>MF Investment</t>
        </is>
      </c>
      <c r="K341" s="59" t="inlineStr">
        <is>
          <t>Investments</t>
        </is>
      </c>
      <c r="L341" s="18" t="n">
        <v>0.88</v>
      </c>
      <c r="M341" s="59" t="inlineStr">
        <is>
          <t>N/A</t>
        </is>
      </c>
    </row>
    <row r="342">
      <c r="A342" s="35" t="n">
        <v>45263</v>
      </c>
      <c r="B342" s="36" t="inlineStr">
        <is>
          <t>UPIOUT/333740189823/paytmqrfmo9fujhwg@payt
m//5812</t>
        </is>
      </c>
      <c r="C342" s="36" t="inlineStr"/>
      <c r="D342" s="35" t="n">
        <v>45263</v>
      </c>
      <c r="E342" s="36" t="n">
        <v>70</v>
      </c>
      <c r="F342" s="36" t="n">
        <v>0</v>
      </c>
      <c r="G342" s="36" t="n">
        <v>47761.42</v>
      </c>
      <c r="H342" s="36" t="inlineStr"/>
      <c r="I342" s="36" t="inlineStr"/>
      <c r="J342" s="36" t="inlineStr">
        <is>
          <t>UPI - Paytm</t>
        </is>
      </c>
      <c r="K342" s="36" t="inlineStr">
        <is>
          <t>Personal</t>
        </is>
      </c>
      <c r="L342" s="34" t="n">
        <v>0.65</v>
      </c>
      <c r="M342" s="36" t="inlineStr">
        <is>
          <t>N/A</t>
        </is>
      </c>
    </row>
    <row r="343">
      <c r="A343" s="97" t="n">
        <v>45263</v>
      </c>
      <c r="B343" s="98" t="inlineStr">
        <is>
          <t>UPIOUT/333795406047/swiggy@yespay/Pay for
me/5812</t>
        </is>
      </c>
      <c r="C343" s="98" t="inlineStr"/>
      <c r="D343" s="97" t="n">
        <v>45263</v>
      </c>
      <c r="E343" s="98" t="n">
        <v>355</v>
      </c>
      <c r="F343" s="98" t="n">
        <v>0</v>
      </c>
      <c r="G343" s="98" t="n">
        <v>47406.42</v>
      </c>
      <c r="H343" s="98" t="inlineStr"/>
      <c r="I343" s="98" t="inlineStr"/>
      <c r="J343" s="98" t="inlineStr">
        <is>
          <t>UPI - Swiggy</t>
        </is>
      </c>
      <c r="K343" s="98" t="inlineStr">
        <is>
          <t>Food &amp; Dining</t>
        </is>
      </c>
      <c r="L343" s="34" t="n">
        <v>0.68</v>
      </c>
      <c r="M343" s="98" t="inlineStr">
        <is>
          <t>N/A</t>
        </is>
      </c>
    </row>
    <row r="344">
      <c r="A344" s="58" t="n">
        <v>45264</v>
      </c>
      <c r="B344" s="59" t="inlineStr">
        <is>
          <t>NFT/NEOSIEXEDDD2023120412301691539 NAVI
Mutual Fun</t>
        </is>
      </c>
      <c r="C344" s="59" t="inlineStr"/>
      <c r="D344" s="58" t="n">
        <v>45264</v>
      </c>
      <c r="E344" s="59" t="n">
        <v>100</v>
      </c>
      <c r="F344" s="59" t="n">
        <v>0</v>
      </c>
      <c r="G344" s="59" t="n">
        <v>47306.42</v>
      </c>
      <c r="H344" s="59" t="inlineStr"/>
      <c r="I344" s="59" t="inlineStr"/>
      <c r="J344" s="59" t="inlineStr">
        <is>
          <t>MF Investment</t>
        </is>
      </c>
      <c r="K344" s="59" t="inlineStr">
        <is>
          <t>Investments</t>
        </is>
      </c>
      <c r="L344" s="18" t="n">
        <v>0.88</v>
      </c>
      <c r="M344" s="59" t="inlineStr">
        <is>
          <t>N/A</t>
        </is>
      </c>
    </row>
    <row r="345">
      <c r="A345" s="35" t="n">
        <v>45264</v>
      </c>
      <c r="B345" s="36" t="inlineStr">
        <is>
          <t>UPIOUT/333844992771/paytmqry3eyiz8yp2@payt
m//5812</t>
        </is>
      </c>
      <c r="C345" s="36" t="inlineStr"/>
      <c r="D345" s="35" t="n">
        <v>45264</v>
      </c>
      <c r="E345" s="36" t="n">
        <v>35</v>
      </c>
      <c r="F345" s="36" t="n">
        <v>0</v>
      </c>
      <c r="G345" s="36" t="n">
        <v>47271.42</v>
      </c>
      <c r="H345" s="36" t="inlineStr"/>
      <c r="I345" s="36" t="inlineStr"/>
      <c r="J345" s="36" t="inlineStr">
        <is>
          <t>UPI - Paytm</t>
        </is>
      </c>
      <c r="K345" s="36" t="inlineStr">
        <is>
          <t>Personal</t>
        </is>
      </c>
      <c r="L345" s="34" t="n">
        <v>0.65</v>
      </c>
      <c r="M345" s="36" t="inlineStr">
        <is>
          <t>N/A</t>
        </is>
      </c>
    </row>
    <row r="346">
      <c r="A346" s="35" t="n">
        <v>45264</v>
      </c>
      <c r="B346" s="36" t="inlineStr">
        <is>
          <t>UPIOUT/333845022027/paytmqrfmo9fujhwg@payt
m//5812</t>
        </is>
      </c>
      <c r="C346" s="36" t="inlineStr"/>
      <c r="D346" s="35" t="n">
        <v>45264</v>
      </c>
      <c r="E346" s="36" t="n">
        <v>10</v>
      </c>
      <c r="F346" s="36" t="n">
        <v>0</v>
      </c>
      <c r="G346" s="36" t="n">
        <v>47261.42</v>
      </c>
      <c r="H346" s="36" t="inlineStr"/>
      <c r="I346" s="36" t="inlineStr"/>
      <c r="J346" s="36" t="inlineStr">
        <is>
          <t>UPI - Paytm</t>
        </is>
      </c>
      <c r="K346" s="36" t="inlineStr">
        <is>
          <t>Personal</t>
        </is>
      </c>
      <c r="L346" s="34" t="n">
        <v>0.65</v>
      </c>
      <c r="M346" s="36" t="inlineStr">
        <is>
          <t>N/A</t>
        </is>
      </c>
    </row>
    <row r="347">
      <c r="A347" s="91" t="n">
        <v>45264</v>
      </c>
      <c r="B347" s="92" t="inlineStr">
        <is>
          <t>UPIOUT/333873146038/uberrides@hdfcbank/cha
rg/5960</t>
        </is>
      </c>
      <c r="C347" s="92" t="inlineStr"/>
      <c r="D347" s="91" t="n">
        <v>45264</v>
      </c>
      <c r="E347" s="92" t="n">
        <v>25</v>
      </c>
      <c r="F347" s="92" t="n">
        <v>0</v>
      </c>
      <c r="G347" s="92" t="n">
        <v>47236.42</v>
      </c>
      <c r="H347" s="92" t="inlineStr"/>
      <c r="I347" s="92" t="inlineStr"/>
      <c r="J347" s="92" t="inlineStr">
        <is>
          <t>UPI - Uber</t>
        </is>
      </c>
      <c r="K347" s="92" t="inlineStr">
        <is>
          <t>Transport</t>
        </is>
      </c>
      <c r="L347" s="34" t="n">
        <v>0.68</v>
      </c>
      <c r="M347" s="92" t="inlineStr">
        <is>
          <t>N/A</t>
        </is>
      </c>
    </row>
    <row r="348">
      <c r="A348" s="35" t="n">
        <v>45264</v>
      </c>
      <c r="B348" s="36" t="inlineStr">
        <is>
          <t>UPIOUT/333848096419/paytmqr2810050501015w5
z0/5812</t>
        </is>
      </c>
      <c r="C348" s="36" t="inlineStr"/>
      <c r="D348" s="35" t="n">
        <v>45264</v>
      </c>
      <c r="E348" s="36" t="n">
        <v>60</v>
      </c>
      <c r="F348" s="36" t="n">
        <v>0</v>
      </c>
      <c r="G348" s="36" t="n">
        <v>47176.42</v>
      </c>
      <c r="H348" s="36" t="inlineStr"/>
      <c r="I348" s="36" t="inlineStr"/>
      <c r="J348" s="36" t="inlineStr">
        <is>
          <t>UPI - Paytm</t>
        </is>
      </c>
      <c r="K348" s="36" t="inlineStr">
        <is>
          <t>Personal</t>
        </is>
      </c>
      <c r="L348" s="34" t="n">
        <v>0.65</v>
      </c>
      <c r="M348" s="36" t="inlineStr">
        <is>
          <t>N/A</t>
        </is>
      </c>
    </row>
    <row r="349">
      <c r="A349" s="37" t="n">
        <v>45264</v>
      </c>
      <c r="B349" s="38" t="inlineStr">
        <is>
          <t>UPIOUT/333848106598/Q648842547@ybl/Sent
via /5441</t>
        </is>
      </c>
      <c r="C349" s="38" t="inlineStr"/>
      <c r="D349" s="37" t="n">
        <v>45264</v>
      </c>
      <c r="E349" s="38" t="n">
        <v>30</v>
      </c>
      <c r="F349" s="38" t="n">
        <v>0</v>
      </c>
      <c r="G349" s="38" t="n">
        <v>47146.42</v>
      </c>
      <c r="H349" s="38" t="inlineStr"/>
      <c r="I349" s="38" t="inlineStr"/>
      <c r="J349" s="38" t="inlineStr">
        <is>
          <t>UPI Payment</t>
        </is>
      </c>
      <c r="K349" s="38" t="inlineStr">
        <is>
          <t>Personal</t>
        </is>
      </c>
      <c r="L349" s="25" t="n">
        <v>0.55</v>
      </c>
      <c r="M349" s="38" t="inlineStr">
        <is>
          <t>N/A</t>
        </is>
      </c>
    </row>
    <row r="350">
      <c r="A350" s="58" t="n">
        <v>45265</v>
      </c>
      <c r="B350" s="59" t="inlineStr">
        <is>
          <t>NFT/NEOSIEXEDDD2023120512304167777 NAVI
Mutual Fun</t>
        </is>
      </c>
      <c r="C350" s="59" t="inlineStr"/>
      <c r="D350" s="58" t="n">
        <v>45265</v>
      </c>
      <c r="E350" s="59" t="n">
        <v>100</v>
      </c>
      <c r="F350" s="59" t="n">
        <v>0</v>
      </c>
      <c r="G350" s="59" t="n">
        <v>47046.42</v>
      </c>
      <c r="H350" s="59" t="inlineStr"/>
      <c r="I350" s="59" t="inlineStr"/>
      <c r="J350" s="59" t="inlineStr">
        <is>
          <t>MF Investment</t>
        </is>
      </c>
      <c r="K350" s="59" t="inlineStr">
        <is>
          <t>Investments</t>
        </is>
      </c>
      <c r="L350" s="18" t="n">
        <v>0.88</v>
      </c>
      <c r="M350" s="59" t="inlineStr">
        <is>
          <t>N/A</t>
        </is>
      </c>
    </row>
    <row r="351">
      <c r="A351" s="32" t="n">
        <v>45265</v>
      </c>
      <c r="B351" s="33" t="inlineStr">
        <is>
          <t>UPIOUT/333950144109/BHARATPE.90066462056@f
bp/5814</t>
        </is>
      </c>
      <c r="C351" s="33" t="inlineStr"/>
      <c r="D351" s="32" t="n">
        <v>45265</v>
      </c>
      <c r="E351" s="33" t="n">
        <v>35</v>
      </c>
      <c r="F351" s="33" t="n">
        <v>0</v>
      </c>
      <c r="G351" s="33" t="n">
        <v>47011.42</v>
      </c>
      <c r="H351" s="33" t="inlineStr"/>
      <c r="I351" s="33" t="inlineStr"/>
      <c r="J351" s="33" t="inlineStr">
        <is>
          <t>UPI - BharatPe</t>
        </is>
      </c>
      <c r="K351" s="33" t="inlineStr">
        <is>
          <t>Personal</t>
        </is>
      </c>
      <c r="L351" s="34" t="n">
        <v>0.65</v>
      </c>
      <c r="M351" s="33" t="inlineStr">
        <is>
          <t>N/A</t>
        </is>
      </c>
    </row>
    <row r="352">
      <c r="A352" s="35" t="n">
        <v>45265</v>
      </c>
      <c r="B352" s="36" t="inlineStr">
        <is>
          <t>UPIOUT/333950148089/paytmqrfmo9fujhwg@payt
m//5812</t>
        </is>
      </c>
      <c r="C352" s="36" t="inlineStr"/>
      <c r="D352" s="35" t="n">
        <v>45265</v>
      </c>
      <c r="E352" s="36" t="n">
        <v>10</v>
      </c>
      <c r="F352" s="36" t="n">
        <v>0</v>
      </c>
      <c r="G352" s="36" t="n">
        <v>47001.42</v>
      </c>
      <c r="H352" s="36" t="inlineStr"/>
      <c r="I352" s="36" t="inlineStr"/>
      <c r="J352" s="36" t="inlineStr">
        <is>
          <t>UPI - Paytm</t>
        </is>
      </c>
      <c r="K352" s="36" t="inlineStr">
        <is>
          <t>Personal</t>
        </is>
      </c>
      <c r="L352" s="34" t="n">
        <v>0.65</v>
      </c>
      <c r="M352" s="36" t="inlineStr">
        <is>
          <t>N/A</t>
        </is>
      </c>
    </row>
    <row r="353">
      <c r="A353" s="91" t="n">
        <v>45265</v>
      </c>
      <c r="B353" s="92" t="inlineStr">
        <is>
          <t>UPIOUT/333976093552/uberrides@hdfcbank/cha
rg/5960</t>
        </is>
      </c>
      <c r="C353" s="92" t="inlineStr"/>
      <c r="D353" s="91" t="n">
        <v>45265</v>
      </c>
      <c r="E353" s="92" t="n">
        <v>29.69</v>
      </c>
      <c r="F353" s="92" t="n">
        <v>0</v>
      </c>
      <c r="G353" s="92" t="n">
        <v>46971.73</v>
      </c>
      <c r="H353" s="92" t="inlineStr"/>
      <c r="I353" s="92" t="inlineStr"/>
      <c r="J353" s="92" t="inlineStr">
        <is>
          <t>UPI - Uber</t>
        </is>
      </c>
      <c r="K353" s="92" t="inlineStr">
        <is>
          <t>Transport</t>
        </is>
      </c>
      <c r="L353" s="34" t="n">
        <v>0.68</v>
      </c>
      <c r="M353" s="92" t="inlineStr">
        <is>
          <t>N/A</t>
        </is>
      </c>
    </row>
    <row r="354">
      <c r="A354" s="35" t="n">
        <v>45265</v>
      </c>
      <c r="B354" s="36" t="inlineStr">
        <is>
          <t>UPIOUT/333953005204/paytmqr21phwr5buv@payt
m//5411</t>
        </is>
      </c>
      <c r="C354" s="36" t="inlineStr"/>
      <c r="D354" s="35" t="n">
        <v>45265</v>
      </c>
      <c r="E354" s="36" t="n">
        <v>10</v>
      </c>
      <c r="F354" s="36" t="n">
        <v>0</v>
      </c>
      <c r="G354" s="36" t="n">
        <v>46961.73</v>
      </c>
      <c r="H354" s="36" t="inlineStr"/>
      <c r="I354" s="36" t="inlineStr"/>
      <c r="J354" s="36" t="inlineStr">
        <is>
          <t>UPI - Paytm</t>
        </is>
      </c>
      <c r="K354" s="36" t="inlineStr">
        <is>
          <t>Personal</t>
        </is>
      </c>
      <c r="L354" s="34" t="n">
        <v>0.65</v>
      </c>
      <c r="M354" s="36" t="inlineStr">
        <is>
          <t>N/A</t>
        </is>
      </c>
    </row>
    <row r="355">
      <c r="A355" s="35" t="n">
        <v>45265</v>
      </c>
      <c r="B355" s="36" t="inlineStr">
        <is>
          <t>UPIOUT/333953647539/paytmqr1a2plltyay@payt
m//5812</t>
        </is>
      </c>
      <c r="C355" s="36" t="inlineStr"/>
      <c r="D355" s="35" t="n">
        <v>45265</v>
      </c>
      <c r="E355" s="36" t="n">
        <v>90</v>
      </c>
      <c r="F355" s="36" t="n">
        <v>0</v>
      </c>
      <c r="G355" s="36" t="n">
        <v>46871.73</v>
      </c>
      <c r="H355" s="36" t="inlineStr"/>
      <c r="I355" s="36" t="inlineStr"/>
      <c r="J355" s="36" t="inlineStr">
        <is>
          <t>UPI - Paytm</t>
        </is>
      </c>
      <c r="K355" s="36" t="inlineStr">
        <is>
          <t>Personal</t>
        </is>
      </c>
      <c r="L355" s="34" t="n">
        <v>0.65</v>
      </c>
      <c r="M355" s="36" t="inlineStr">
        <is>
          <t>N/A</t>
        </is>
      </c>
    </row>
    <row r="356">
      <c r="A356" s="32" t="n">
        <v>45265</v>
      </c>
      <c r="B356" s="33" t="inlineStr">
        <is>
          <t>UPIOUT/333953651185/BHARATPE90727090707@ye
sb/5814</t>
        </is>
      </c>
      <c r="C356" s="33" t="inlineStr"/>
      <c r="D356" s="32" t="n">
        <v>45265</v>
      </c>
      <c r="E356" s="33" t="n">
        <v>20</v>
      </c>
      <c r="F356" s="33" t="n">
        <v>0</v>
      </c>
      <c r="G356" s="33" t="n">
        <v>46851.73</v>
      </c>
      <c r="H356" s="33" t="inlineStr"/>
      <c r="I356" s="33" t="inlineStr"/>
      <c r="J356" s="33" t="inlineStr">
        <is>
          <t>UPI - BharatPe</t>
        </is>
      </c>
      <c r="K356" s="33" t="inlineStr">
        <is>
          <t>Personal</t>
        </is>
      </c>
      <c r="L356" s="34" t="n">
        <v>0.65</v>
      </c>
      <c r="M356" s="33" t="inlineStr">
        <is>
          <t>N/A</t>
        </is>
      </c>
    </row>
    <row r="357">
      <c r="A357" s="58" t="n">
        <v>45266</v>
      </c>
      <c r="B357" s="59" t="inlineStr">
        <is>
          <t>NFT/NEOSIEXEDDD2023120612304350297 NAVI
Mutual Fun</t>
        </is>
      </c>
      <c r="C357" s="59" t="inlineStr"/>
      <c r="D357" s="58" t="n">
        <v>45266</v>
      </c>
      <c r="E357" s="59" t="n">
        <v>100</v>
      </c>
      <c r="F357" s="59" t="n">
        <v>0</v>
      </c>
      <c r="G357" s="59" t="n">
        <v>46751.73</v>
      </c>
      <c r="H357" s="59" t="inlineStr"/>
      <c r="I357" s="59" t="inlineStr"/>
      <c r="J357" s="59" t="inlineStr">
        <is>
          <t>MF Investment</t>
        </is>
      </c>
      <c r="K357" s="59" t="inlineStr">
        <is>
          <t>Investments</t>
        </is>
      </c>
      <c r="L357" s="18" t="n">
        <v>0.88</v>
      </c>
      <c r="M357" s="59" t="inlineStr">
        <is>
          <t>N/A</t>
        </is>
      </c>
    </row>
    <row r="358">
      <c r="A358" s="35" t="n">
        <v>45266</v>
      </c>
      <c r="B358" s="36" t="inlineStr">
        <is>
          <t>UPIOUT/334056060188/paytmqry3eyiz8yp2@payt
m//5812</t>
        </is>
      </c>
      <c r="C358" s="36" t="inlineStr"/>
      <c r="D358" s="35" t="n">
        <v>45266</v>
      </c>
      <c r="E358" s="36" t="n">
        <v>35</v>
      </c>
      <c r="F358" s="36" t="n">
        <v>0</v>
      </c>
      <c r="G358" s="36" t="n">
        <v>46716.73</v>
      </c>
      <c r="H358" s="36" t="inlineStr"/>
      <c r="I358" s="36" t="inlineStr"/>
      <c r="J358" s="36" t="inlineStr">
        <is>
          <t>UPI - Paytm</t>
        </is>
      </c>
      <c r="K358" s="36" t="inlineStr">
        <is>
          <t>Personal</t>
        </is>
      </c>
      <c r="L358" s="34" t="n">
        <v>0.65</v>
      </c>
      <c r="M358" s="36" t="inlineStr">
        <is>
          <t>N/A</t>
        </is>
      </c>
    </row>
    <row r="359">
      <c r="A359" s="35" t="n">
        <v>45266</v>
      </c>
      <c r="B359" s="36" t="inlineStr">
        <is>
          <t>UPIOUT/334056100325/paytmqrfmo9fujhwg@payt
m//5812</t>
        </is>
      </c>
      <c r="C359" s="36" t="inlineStr"/>
      <c r="D359" s="35" t="n">
        <v>45266</v>
      </c>
      <c r="E359" s="36" t="n">
        <v>10</v>
      </c>
      <c r="F359" s="36" t="n">
        <v>0</v>
      </c>
      <c r="G359" s="36" t="n">
        <v>46706.73</v>
      </c>
      <c r="H359" s="36" t="inlineStr"/>
      <c r="I359" s="36" t="inlineStr"/>
      <c r="J359" s="36" t="inlineStr">
        <is>
          <t>UPI - Paytm</t>
        </is>
      </c>
      <c r="K359" s="36" t="inlineStr">
        <is>
          <t>Personal</t>
        </is>
      </c>
      <c r="L359" s="34" t="n">
        <v>0.65</v>
      </c>
      <c r="M359" s="36" t="inlineStr">
        <is>
          <t>N/A</t>
        </is>
      </c>
    </row>
    <row r="360">
      <c r="A360" s="37" t="n">
        <v>45266</v>
      </c>
      <c r="B360" s="38" t="inlineStr">
        <is>
          <t>UPIOUT/334056471414/karnasiddipogu143@ybl/
Se/0000</t>
        </is>
      </c>
      <c r="C360" s="38" t="inlineStr"/>
      <c r="D360" s="37" t="n">
        <v>45266</v>
      </c>
      <c r="E360" s="38" t="n">
        <v>26</v>
      </c>
      <c r="F360" s="38" t="n">
        <v>0</v>
      </c>
      <c r="G360" s="38" t="n">
        <v>46680.73</v>
      </c>
      <c r="H360" s="38" t="inlineStr"/>
      <c r="I360" s="38" t="inlineStr"/>
      <c r="J360" s="38" t="inlineStr">
        <is>
          <t>UPI Payment</t>
        </is>
      </c>
      <c r="K360" s="38" t="inlineStr">
        <is>
          <t>Personal</t>
        </is>
      </c>
      <c r="L360" s="25" t="n">
        <v>0.55</v>
      </c>
      <c r="M360" s="38" t="inlineStr">
        <is>
          <t>N/A</t>
        </is>
      </c>
    </row>
    <row r="361">
      <c r="A361" s="35" t="n">
        <v>45266</v>
      </c>
      <c r="B361" s="36" t="inlineStr">
        <is>
          <t>UPIOUT/334059405736/paytmqr1a2plltyay@payt
m//5812</t>
        </is>
      </c>
      <c r="C361" s="36" t="inlineStr"/>
      <c r="D361" s="35" t="n">
        <v>45266</v>
      </c>
      <c r="E361" s="36" t="n">
        <v>90</v>
      </c>
      <c r="F361" s="36" t="n">
        <v>0</v>
      </c>
      <c r="G361" s="36" t="n">
        <v>46590.73</v>
      </c>
      <c r="H361" s="36" t="inlineStr"/>
      <c r="I361" s="36" t="inlineStr"/>
      <c r="J361" s="36" t="inlineStr">
        <is>
          <t>UPI - Paytm</t>
        </is>
      </c>
      <c r="K361" s="36" t="inlineStr">
        <is>
          <t>Personal</t>
        </is>
      </c>
      <c r="L361" s="34" t="n">
        <v>0.65</v>
      </c>
      <c r="M361" s="36" t="inlineStr">
        <is>
          <t>N/A</t>
        </is>
      </c>
    </row>
    <row r="362">
      <c r="A362" s="35" t="n">
        <v>45266</v>
      </c>
      <c r="B362" s="36" t="inlineStr">
        <is>
          <t>UPIOUT/334059424593/paytmqr1rtk29j3xy@payt
m//5411</t>
        </is>
      </c>
      <c r="C362" s="36" t="inlineStr"/>
      <c r="D362" s="35" t="n">
        <v>45266</v>
      </c>
      <c r="E362" s="36" t="n">
        <v>20</v>
      </c>
      <c r="F362" s="36" t="n">
        <v>0</v>
      </c>
      <c r="G362" s="36" t="n">
        <v>46570.73</v>
      </c>
      <c r="H362" s="36" t="inlineStr"/>
      <c r="I362" s="36" t="inlineStr"/>
      <c r="J362" s="36" t="inlineStr">
        <is>
          <t>UPI - Paytm</t>
        </is>
      </c>
      <c r="K362" s="36" t="inlineStr">
        <is>
          <t>Personal</t>
        </is>
      </c>
      <c r="L362" s="34" t="n">
        <v>0.65</v>
      </c>
      <c r="M362" s="36" t="inlineStr">
        <is>
          <t>N/A</t>
        </is>
      </c>
    </row>
    <row r="363">
      <c r="A363" s="35" t="n">
        <v>45266</v>
      </c>
      <c r="B363" s="36" t="inlineStr">
        <is>
          <t>UPIOUT/334059854247/paytmqrfmo9fujhwg@payt
m//5812</t>
        </is>
      </c>
      <c r="C363" s="36" t="inlineStr"/>
      <c r="D363" s="35" t="n">
        <v>45266</v>
      </c>
      <c r="E363" s="36" t="n">
        <v>20</v>
      </c>
      <c r="F363" s="36" t="n">
        <v>0</v>
      </c>
      <c r="G363" s="36" t="n">
        <v>46550.73</v>
      </c>
      <c r="H363" s="36" t="inlineStr"/>
      <c r="I363" s="36" t="inlineStr"/>
      <c r="J363" s="36" t="inlineStr">
        <is>
          <t>UPI - Paytm</t>
        </is>
      </c>
      <c r="K363" s="36" t="inlineStr">
        <is>
          <t>Personal</t>
        </is>
      </c>
      <c r="L363" s="34" t="n">
        <v>0.65</v>
      </c>
      <c r="M363" s="36" t="inlineStr">
        <is>
          <t>N/A</t>
        </is>
      </c>
    </row>
    <row r="364">
      <c r="A364" s="97" t="n">
        <v>45266</v>
      </c>
      <c r="B364" s="98" t="inlineStr">
        <is>
          <t>UPIOUT/334017537261/upiswiggy@icici/UPI/58
14</t>
        </is>
      </c>
      <c r="C364" s="98" t="inlineStr"/>
      <c r="D364" s="97" t="n">
        <v>45266</v>
      </c>
      <c r="E364" s="98" t="n">
        <v>281</v>
      </c>
      <c r="F364" s="98" t="n">
        <v>0</v>
      </c>
      <c r="G364" s="98" t="n">
        <v>46269.73</v>
      </c>
      <c r="H364" s="98" t="inlineStr"/>
      <c r="I364" s="98" t="inlineStr"/>
      <c r="J364" s="98" t="inlineStr">
        <is>
          <t>UPI - Swiggy</t>
        </is>
      </c>
      <c r="K364" s="98" t="inlineStr">
        <is>
          <t>Food &amp; Dining</t>
        </is>
      </c>
      <c r="L364" s="34" t="n">
        <v>0.68</v>
      </c>
      <c r="M364" s="98" t="inlineStr">
        <is>
          <t>N/A</t>
        </is>
      </c>
    </row>
    <row r="365">
      <c r="A365" s="41" t="n">
        <v>45266</v>
      </c>
      <c r="B365" s="42" t="inlineStr">
        <is>
          <t>UPIOUT/334196966530/amazonupi@apl/Request
fr/5262</t>
        </is>
      </c>
      <c r="C365" s="42" t="inlineStr"/>
      <c r="D365" s="41" t="n">
        <v>45267</v>
      </c>
      <c r="E365" s="42" t="n">
        <v>783</v>
      </c>
      <c r="F365" s="42" t="n">
        <v>0</v>
      </c>
      <c r="G365" s="42" t="n">
        <v>45486.73</v>
      </c>
      <c r="H365" s="42" t="inlineStr"/>
      <c r="I365" s="42" t="inlineStr"/>
      <c r="J365" s="42" t="inlineStr">
        <is>
          <t>UPI - Amazon</t>
        </is>
      </c>
      <c r="K365" s="42" t="inlineStr">
        <is>
          <t>Shopping</t>
        </is>
      </c>
      <c r="L365" s="34" t="n">
        <v>0.68</v>
      </c>
      <c r="M365" s="42" t="inlineStr">
        <is>
          <t>N/A</t>
        </is>
      </c>
    </row>
    <row r="366">
      <c r="A366" s="58" t="n">
        <v>45267</v>
      </c>
      <c r="B366" s="59" t="inlineStr">
        <is>
          <t>NFT/NEOSIEXEDDD2023120712301671340 NAVI
Mutual Fun</t>
        </is>
      </c>
      <c r="C366" s="59" t="inlineStr"/>
      <c r="D366" s="58" t="n">
        <v>45267</v>
      </c>
      <c r="E366" s="59" t="n">
        <v>100</v>
      </c>
      <c r="F366" s="59" t="n">
        <v>0</v>
      </c>
      <c r="G366" s="59" t="n">
        <v>45386.73</v>
      </c>
      <c r="H366" s="59" t="inlineStr"/>
      <c r="I366" s="59" t="inlineStr"/>
      <c r="J366" s="59" t="inlineStr">
        <is>
          <t>MF Investment</t>
        </is>
      </c>
      <c r="K366" s="59" t="inlineStr">
        <is>
          <t>Investments</t>
        </is>
      </c>
      <c r="L366" s="18" t="n">
        <v>0.88</v>
      </c>
      <c r="M366" s="59" t="inlineStr">
        <is>
          <t>N/A</t>
        </is>
      </c>
    </row>
    <row r="367">
      <c r="A367" s="21" t="n">
        <v>45267</v>
      </c>
      <c r="B367" s="22" t="inlineStr">
        <is>
          <t>UPIOUT/334162446076/rapido.rzp@icici/Payme
nt/4121</t>
        </is>
      </c>
      <c r="C367" s="22" t="inlineStr"/>
      <c r="D367" s="21" t="n">
        <v>45267</v>
      </c>
      <c r="E367" s="22" t="n">
        <v>23</v>
      </c>
      <c r="F367" s="22" t="n">
        <v>0</v>
      </c>
      <c r="G367" s="22" t="n">
        <v>45363.73</v>
      </c>
      <c r="H367" s="22" t="inlineStr"/>
      <c r="I367" s="22" t="inlineStr"/>
      <c r="J367" s="22" t="inlineStr">
        <is>
          <t>UPI - Rapido</t>
        </is>
      </c>
      <c r="K367" s="22" t="inlineStr">
        <is>
          <t>Transport</t>
        </is>
      </c>
      <c r="L367" s="34" t="n">
        <v>0.68</v>
      </c>
      <c r="M367" s="22" t="inlineStr">
        <is>
          <t>N/A</t>
        </is>
      </c>
    </row>
    <row r="368">
      <c r="A368" s="37" t="n">
        <v>45267</v>
      </c>
      <c r="B368" s="38" t="inlineStr">
        <is>
          <t>UPIOUT/334165088628/Q084270040@ybl/Sent
via /5812</t>
        </is>
      </c>
      <c r="C368" s="38" t="inlineStr"/>
      <c r="D368" s="37" t="n">
        <v>45267</v>
      </c>
      <c r="E368" s="38" t="n">
        <v>80</v>
      </c>
      <c r="F368" s="38" t="n">
        <v>0</v>
      </c>
      <c r="G368" s="38" t="n">
        <v>45283.73</v>
      </c>
      <c r="H368" s="38" t="inlineStr"/>
      <c r="I368" s="38" t="inlineStr"/>
      <c r="J368" s="38" t="inlineStr">
        <is>
          <t>UPI Payment</t>
        </is>
      </c>
      <c r="K368" s="38" t="inlineStr">
        <is>
          <t>Personal</t>
        </is>
      </c>
      <c r="L368" s="25" t="n">
        <v>0.55</v>
      </c>
      <c r="M368" s="38" t="inlineStr">
        <is>
          <t>N/A</t>
        </is>
      </c>
    </row>
    <row r="369">
      <c r="A369" s="35" t="n">
        <v>45267</v>
      </c>
      <c r="B369" s="36" t="inlineStr">
        <is>
          <t>UPIOUT/334165140294/paytmqr1ox7m6rgyo@payt
m//5812</t>
        </is>
      </c>
      <c r="C369" s="36" t="inlineStr"/>
      <c r="D369" s="35" t="n">
        <v>45267</v>
      </c>
      <c r="E369" s="36" t="n">
        <v>15</v>
      </c>
      <c r="F369" s="36" t="n">
        <v>0</v>
      </c>
      <c r="G369" s="36" t="n">
        <v>45268.73</v>
      </c>
      <c r="H369" s="36" t="inlineStr"/>
      <c r="I369" s="36" t="inlineStr"/>
      <c r="J369" s="36" t="inlineStr">
        <is>
          <t>UPI - Paytm</t>
        </is>
      </c>
      <c r="K369" s="36" t="inlineStr">
        <is>
          <t>Personal</t>
        </is>
      </c>
      <c r="L369" s="34" t="n">
        <v>0.65</v>
      </c>
      <c r="M369" s="36" t="inlineStr">
        <is>
          <t>N/A</t>
        </is>
      </c>
    </row>
    <row r="370">
      <c r="A370" s="58" t="n">
        <v>45268</v>
      </c>
      <c r="B370" s="59" t="inlineStr">
        <is>
          <t>NFT/NEOSIEXEDDD2023120812303654824 NAVI
Mutual Fun</t>
        </is>
      </c>
      <c r="C370" s="59" t="inlineStr"/>
      <c r="D370" s="58" t="n">
        <v>45268</v>
      </c>
      <c r="E370" s="59" t="n">
        <v>100</v>
      </c>
      <c r="F370" s="59" t="n">
        <v>0</v>
      </c>
      <c r="G370" s="59" t="n">
        <v>45168.73</v>
      </c>
      <c r="H370" s="59" t="inlineStr"/>
      <c r="I370" s="59" t="inlineStr"/>
      <c r="J370" s="59" t="inlineStr">
        <is>
          <t>MF Investment</t>
        </is>
      </c>
      <c r="K370" s="59" t="inlineStr">
        <is>
          <t>Investments</t>
        </is>
      </c>
      <c r="L370" s="18" t="n">
        <v>0.88</v>
      </c>
      <c r="M370" s="59" t="inlineStr">
        <is>
          <t>N/A</t>
        </is>
      </c>
    </row>
    <row r="371">
      <c r="A371" s="35" t="n">
        <v>45268</v>
      </c>
      <c r="B371" s="36" t="inlineStr">
        <is>
          <t>UPIOUT/334267789806/paytmqrfmo9fujhwg@payt
m//5812</t>
        </is>
      </c>
      <c r="C371" s="36" t="inlineStr"/>
      <c r="D371" s="35" t="n">
        <v>45268</v>
      </c>
      <c r="E371" s="36" t="n">
        <v>20</v>
      </c>
      <c r="F371" s="36" t="n">
        <v>0</v>
      </c>
      <c r="G371" s="36" t="n">
        <v>45148.73</v>
      </c>
      <c r="H371" s="36" t="inlineStr"/>
      <c r="I371" s="36" t="inlineStr"/>
      <c r="J371" s="36" t="inlineStr">
        <is>
          <t>UPI - Paytm</t>
        </is>
      </c>
      <c r="K371" s="36" t="inlineStr">
        <is>
          <t>Personal</t>
        </is>
      </c>
      <c r="L371" s="34" t="n">
        <v>0.65</v>
      </c>
      <c r="M371" s="36" t="inlineStr">
        <is>
          <t>N/A</t>
        </is>
      </c>
    </row>
    <row r="372">
      <c r="A372" s="35" t="n">
        <v>45268</v>
      </c>
      <c r="B372" s="36" t="inlineStr">
        <is>
          <t>UPIOUT/334268092637/paytmqry3eyiz8yp2@payt
m//5812</t>
        </is>
      </c>
      <c r="C372" s="36" t="inlineStr"/>
      <c r="D372" s="35" t="n">
        <v>45268</v>
      </c>
      <c r="E372" s="36" t="n">
        <v>35</v>
      </c>
      <c r="F372" s="36" t="n">
        <v>0</v>
      </c>
      <c r="G372" s="36" t="n">
        <v>45113.73</v>
      </c>
      <c r="H372" s="36" t="inlineStr"/>
      <c r="I372" s="36" t="inlineStr"/>
      <c r="J372" s="36" t="inlineStr">
        <is>
          <t>UPI - Paytm</t>
        </is>
      </c>
      <c r="K372" s="36" t="inlineStr">
        <is>
          <t>Personal</t>
        </is>
      </c>
      <c r="L372" s="34" t="n">
        <v>0.65</v>
      </c>
      <c r="M372" s="36" t="inlineStr">
        <is>
          <t>N/A</t>
        </is>
      </c>
    </row>
    <row r="373">
      <c r="A373" s="37" t="n">
        <v>45268</v>
      </c>
      <c r="B373" s="38" t="inlineStr">
        <is>
          <t>UPIOUT/334268513626/8985259112@ybl/Sent
via /0000</t>
        </is>
      </c>
      <c r="C373" s="38" t="inlineStr"/>
      <c r="D373" s="37" t="n">
        <v>45268</v>
      </c>
      <c r="E373" s="38" t="n">
        <v>23</v>
      </c>
      <c r="F373" s="38" t="n">
        <v>0</v>
      </c>
      <c r="G373" s="38" t="n">
        <v>45090.73</v>
      </c>
      <c r="H373" s="38" t="inlineStr"/>
      <c r="I373" s="38" t="inlineStr"/>
      <c r="J373" s="38" t="inlineStr">
        <is>
          <t>UPI Payment</t>
        </is>
      </c>
      <c r="K373" s="38" t="inlineStr">
        <is>
          <t>Personal</t>
        </is>
      </c>
      <c r="L373" s="25" t="n">
        <v>0.55</v>
      </c>
      <c r="M373" s="38" t="inlineStr">
        <is>
          <t>N/A</t>
        </is>
      </c>
    </row>
    <row r="374">
      <c r="A374" s="35" t="n">
        <v>45268</v>
      </c>
      <c r="B374" s="36" t="inlineStr">
        <is>
          <t>UPI
IN/334218375972/8555996347@paytm/NA/0000</t>
        </is>
      </c>
      <c r="C374" s="36" t="inlineStr"/>
      <c r="D374" s="35" t="n">
        <v>45268</v>
      </c>
      <c r="E374" s="36" t="n">
        <v>0</v>
      </c>
      <c r="F374" s="36" t="n">
        <v>200</v>
      </c>
      <c r="G374" s="36" t="n">
        <v>45290.73</v>
      </c>
      <c r="H374" s="36" t="inlineStr"/>
      <c r="I374" s="36" t="inlineStr"/>
      <c r="J374" s="36" t="inlineStr">
        <is>
          <t>UPI - Paytm</t>
        </is>
      </c>
      <c r="K374" s="36" t="inlineStr">
        <is>
          <t>Personal</t>
        </is>
      </c>
      <c r="L374" s="34" t="n">
        <v>0.65</v>
      </c>
      <c r="M374" s="36" t="inlineStr">
        <is>
          <t>N/A</t>
        </is>
      </c>
    </row>
    <row r="375">
      <c r="A375" s="37" t="n">
        <v>45268</v>
      </c>
      <c r="B375" s="38" t="inlineStr">
        <is>
          <t>UPIOUT/334269795620/jupiterbillpay2@fbl/BB
PS/4814</t>
        </is>
      </c>
      <c r="C375" s="38" t="inlineStr"/>
      <c r="D375" s="37" t="n">
        <v>45268</v>
      </c>
      <c r="E375" s="38" t="n">
        <v>2545</v>
      </c>
      <c r="F375" s="38" t="n">
        <v>0</v>
      </c>
      <c r="G375" s="38" t="n">
        <v>42745.73</v>
      </c>
      <c r="H375" s="38" t="inlineStr"/>
      <c r="I375" s="38" t="inlineStr"/>
      <c r="J375" s="38" t="inlineStr">
        <is>
          <t>UPI Payment</t>
        </is>
      </c>
      <c r="K375" s="38" t="inlineStr">
        <is>
          <t>Personal</t>
        </is>
      </c>
      <c r="L375" s="25" t="n">
        <v>0.55</v>
      </c>
      <c r="M375" s="38" t="inlineStr">
        <is>
          <t>N/A</t>
        </is>
      </c>
    </row>
    <row r="376">
      <c r="A376" s="37" t="n">
        <v>45268</v>
      </c>
      <c r="B376" s="38" t="inlineStr">
        <is>
          <t>UPIOUT/334270815614/ksri97671@ybl/Sent via
J/0000</t>
        </is>
      </c>
      <c r="C376" s="38" t="inlineStr"/>
      <c r="D376" s="37" t="n">
        <v>45268</v>
      </c>
      <c r="E376" s="38" t="n">
        <v>26</v>
      </c>
      <c r="F376" s="38" t="n">
        <v>0</v>
      </c>
      <c r="G376" s="38" t="n">
        <v>42719.73</v>
      </c>
      <c r="H376" s="38" t="inlineStr"/>
      <c r="I376" s="38" t="inlineStr"/>
      <c r="J376" s="38" t="inlineStr">
        <is>
          <t>UPI Payment</t>
        </is>
      </c>
      <c r="K376" s="38" t="inlineStr">
        <is>
          <t>Personal</t>
        </is>
      </c>
      <c r="L376" s="25" t="n">
        <v>0.55</v>
      </c>
      <c r="M376" s="38" t="inlineStr">
        <is>
          <t>N/A</t>
        </is>
      </c>
    </row>
    <row r="377">
      <c r="A377" s="35" t="n">
        <v>45268</v>
      </c>
      <c r="B377" s="36" t="inlineStr">
        <is>
          <t>UPIOUT/334270921355/paytmqrfmo9fujhwg@payt
m//5812</t>
        </is>
      </c>
      <c r="C377" s="36" t="inlineStr"/>
      <c r="D377" s="35" t="n">
        <v>45268</v>
      </c>
      <c r="E377" s="36" t="n">
        <v>75</v>
      </c>
      <c r="F377" s="36" t="n">
        <v>0</v>
      </c>
      <c r="G377" s="36" t="n">
        <v>42644.73</v>
      </c>
      <c r="H377" s="36" t="inlineStr"/>
      <c r="I377" s="36" t="inlineStr"/>
      <c r="J377" s="36" t="inlineStr">
        <is>
          <t>UPI - Paytm</t>
        </is>
      </c>
      <c r="K377" s="36" t="inlineStr">
        <is>
          <t>Personal</t>
        </is>
      </c>
      <c r="L377" s="34" t="n">
        <v>0.65</v>
      </c>
      <c r="M377" s="36" t="inlineStr">
        <is>
          <t>N/A</t>
        </is>
      </c>
    </row>
    <row r="378">
      <c r="A378" s="35" t="n">
        <v>45268</v>
      </c>
      <c r="B378" s="36" t="inlineStr">
        <is>
          <t>UPIOUT/334271546117/paytmqruct2pt8f1w@payt
m//5462</t>
        </is>
      </c>
      <c r="C378" s="36" t="inlineStr"/>
      <c r="D378" s="35" t="n">
        <v>45268</v>
      </c>
      <c r="E378" s="36" t="n">
        <v>550</v>
      </c>
      <c r="F378" s="36" t="n">
        <v>0</v>
      </c>
      <c r="G378" s="36" t="n">
        <v>42094.73</v>
      </c>
      <c r="H378" s="36" t="inlineStr"/>
      <c r="I378" s="36" t="inlineStr"/>
      <c r="J378" s="36" t="inlineStr">
        <is>
          <t>UPI - Paytm</t>
        </is>
      </c>
      <c r="K378" s="36" t="inlineStr">
        <is>
          <t>Personal</t>
        </is>
      </c>
      <c r="L378" s="34" t="n">
        <v>0.65</v>
      </c>
      <c r="M378" s="36" t="inlineStr">
        <is>
          <t>N/A</t>
        </is>
      </c>
    </row>
    <row r="379">
      <c r="A379" s="21" t="n">
        <v>45268</v>
      </c>
      <c r="B379" s="22" t="inlineStr">
        <is>
          <t>UPIOUT/334271779793/rapido.rzp@icici/Payme
nt/4121</t>
        </is>
      </c>
      <c r="C379" s="22" t="inlineStr"/>
      <c r="D379" s="21" t="n">
        <v>45268</v>
      </c>
      <c r="E379" s="22" t="n">
        <v>136</v>
      </c>
      <c r="F379" s="22" t="n">
        <v>0</v>
      </c>
      <c r="G379" s="22" t="n">
        <v>41958.73</v>
      </c>
      <c r="H379" s="22" t="inlineStr"/>
      <c r="I379" s="22" t="inlineStr"/>
      <c r="J379" s="22" t="inlineStr">
        <is>
          <t>UPI - Rapido</t>
        </is>
      </c>
      <c r="K379" s="22" t="inlineStr">
        <is>
          <t>Transport</t>
        </is>
      </c>
      <c r="L379" s="34" t="n">
        <v>0.68</v>
      </c>
      <c r="M379" s="22" t="inlineStr">
        <is>
          <t>N/A</t>
        </is>
      </c>
    </row>
    <row r="380">
      <c r="A380" s="58" t="n">
        <v>45269</v>
      </c>
      <c r="B380" s="59" t="inlineStr">
        <is>
          <t>NFT/NEOSIEXEDDD2023120912302028385 NAVI
Mutual Fun</t>
        </is>
      </c>
      <c r="C380" s="59" t="inlineStr"/>
      <c r="D380" s="58" t="n">
        <v>45269</v>
      </c>
      <c r="E380" s="59" t="n">
        <v>100</v>
      </c>
      <c r="F380" s="59" t="n">
        <v>0</v>
      </c>
      <c r="G380" s="59" t="n">
        <v>41858.73</v>
      </c>
      <c r="H380" s="59" t="inlineStr"/>
      <c r="I380" s="59" t="inlineStr"/>
      <c r="J380" s="59" t="inlineStr">
        <is>
          <t>MF Investment</t>
        </is>
      </c>
      <c r="K380" s="59" t="inlineStr">
        <is>
          <t>Investments</t>
        </is>
      </c>
      <c r="L380" s="18" t="n">
        <v>0.88</v>
      </c>
      <c r="M380" s="59" t="inlineStr">
        <is>
          <t>N/A</t>
        </is>
      </c>
    </row>
    <row r="381">
      <c r="A381" s="37" t="n">
        <v>45269</v>
      </c>
      <c r="B381" s="38" t="inlineStr">
        <is>
          <t>UPIOUT/334376404668/9381446903@ibl/Sent
via /0000</t>
        </is>
      </c>
      <c r="C381" s="38" t="inlineStr"/>
      <c r="D381" s="37" t="n">
        <v>45269</v>
      </c>
      <c r="E381" s="38" t="n">
        <v>284</v>
      </c>
      <c r="F381" s="38" t="n">
        <v>0</v>
      </c>
      <c r="G381" s="38" t="n">
        <v>41574.73</v>
      </c>
      <c r="H381" s="38" t="inlineStr"/>
      <c r="I381" s="38" t="inlineStr"/>
      <c r="J381" s="38" t="inlineStr">
        <is>
          <t>UPI Payment</t>
        </is>
      </c>
      <c r="K381" s="38" t="inlineStr">
        <is>
          <t>Personal</t>
        </is>
      </c>
      <c r="L381" s="25" t="n">
        <v>0.55</v>
      </c>
      <c r="M381" s="38" t="inlineStr">
        <is>
          <t>N/A</t>
        </is>
      </c>
    </row>
    <row r="382">
      <c r="A382" s="58" t="n">
        <v>45270</v>
      </c>
      <c r="B382" s="59" t="inlineStr">
        <is>
          <t>NFT/NEOSIEXEDDD2023121012302341654 NAVI
Mutual Fun</t>
        </is>
      </c>
      <c r="C382" s="59" t="inlineStr"/>
      <c r="D382" s="58" t="n">
        <v>45270</v>
      </c>
      <c r="E382" s="59" t="n">
        <v>100</v>
      </c>
      <c r="F382" s="59" t="n">
        <v>0</v>
      </c>
      <c r="G382" s="59" t="n">
        <v>41474.73</v>
      </c>
      <c r="H382" s="59" t="inlineStr"/>
      <c r="I382" s="59" t="inlineStr"/>
      <c r="J382" s="59" t="inlineStr">
        <is>
          <t>MF Investment</t>
        </is>
      </c>
      <c r="K382" s="59" t="inlineStr">
        <is>
          <t>Investments</t>
        </is>
      </c>
      <c r="L382" s="18" t="n">
        <v>0.88</v>
      </c>
      <c r="M382" s="59" t="inlineStr">
        <is>
          <t>N/A</t>
        </is>
      </c>
    </row>
    <row r="383">
      <c r="A383" s="35" t="n">
        <v>45270</v>
      </c>
      <c r="B383" s="36" t="inlineStr">
        <is>
          <t>UPIOUT/334481895246/paytmqr2810050501018c7
c5/5411</t>
        </is>
      </c>
      <c r="C383" s="36" t="inlineStr"/>
      <c r="D383" s="35" t="n">
        <v>45270</v>
      </c>
      <c r="E383" s="36" t="n">
        <v>15</v>
      </c>
      <c r="F383" s="36" t="n">
        <v>0</v>
      </c>
      <c r="G383" s="36" t="n">
        <v>41459.73</v>
      </c>
      <c r="H383" s="36" t="inlineStr"/>
      <c r="I383" s="36" t="inlineStr"/>
      <c r="J383" s="36" t="inlineStr">
        <is>
          <t>UPI - Paytm</t>
        </is>
      </c>
      <c r="K383" s="36" t="inlineStr">
        <is>
          <t>Personal</t>
        </is>
      </c>
      <c r="L383" s="34" t="n">
        <v>0.65</v>
      </c>
      <c r="M383" s="36" t="inlineStr">
        <is>
          <t>N/A</t>
        </is>
      </c>
    </row>
    <row r="384">
      <c r="A384" s="21" t="n">
        <v>45270</v>
      </c>
      <c r="B384" s="22" t="inlineStr">
        <is>
          <t>UPIOUT/334482050808/rapido.rzp@icici/Payme
nt/4121</t>
        </is>
      </c>
      <c r="C384" s="22" t="inlineStr"/>
      <c r="D384" s="21" t="n">
        <v>45270</v>
      </c>
      <c r="E384" s="22" t="n">
        <v>61</v>
      </c>
      <c r="F384" s="22" t="n">
        <v>0</v>
      </c>
      <c r="G384" s="22" t="n">
        <v>41398.73</v>
      </c>
      <c r="H384" s="22" t="inlineStr"/>
      <c r="I384" s="22" t="inlineStr"/>
      <c r="J384" s="22" t="inlineStr">
        <is>
          <t>UPI - Rapido</t>
        </is>
      </c>
      <c r="K384" s="22" t="inlineStr">
        <is>
          <t>Transport</t>
        </is>
      </c>
      <c r="L384" s="34" t="n">
        <v>0.68</v>
      </c>
      <c r="M384" s="22" t="inlineStr">
        <is>
          <t>N/A</t>
        </is>
      </c>
    </row>
    <row r="385">
      <c r="A385" s="91" t="n">
        <v>45270</v>
      </c>
      <c r="B385" s="92" t="inlineStr">
        <is>
          <t>UPIOUT/334489935580/uberrides@hdfcbank/cha
rg/5960</t>
        </is>
      </c>
      <c r="C385" s="92" t="inlineStr"/>
      <c r="D385" s="91" t="n">
        <v>45270</v>
      </c>
      <c r="E385" s="92" t="n">
        <v>44.12</v>
      </c>
      <c r="F385" s="92" t="n">
        <v>0</v>
      </c>
      <c r="G385" s="92" t="n">
        <v>41354.61</v>
      </c>
      <c r="H385" s="92" t="inlineStr"/>
      <c r="I385" s="92" t="inlineStr"/>
      <c r="J385" s="92" t="inlineStr">
        <is>
          <t>UPI - Uber</t>
        </is>
      </c>
      <c r="K385" s="92" t="inlineStr">
        <is>
          <t>Transport</t>
        </is>
      </c>
      <c r="L385" s="34" t="n">
        <v>0.68</v>
      </c>
      <c r="M385" s="92" t="inlineStr">
        <is>
          <t>N/A</t>
        </is>
      </c>
    </row>
    <row r="386">
      <c r="A386" s="35" t="n">
        <v>45270</v>
      </c>
      <c r="B386" s="36" t="inlineStr">
        <is>
          <t>UPIOUT/334482690102/paytmqr1e8fr6nm0n@payt
m//5812</t>
        </is>
      </c>
      <c r="C386" s="36" t="inlineStr"/>
      <c r="D386" s="35" t="n">
        <v>45270</v>
      </c>
      <c r="E386" s="36" t="n">
        <v>75</v>
      </c>
      <c r="F386" s="36" t="n">
        <v>0</v>
      </c>
      <c r="G386" s="36" t="n">
        <v>41279.61</v>
      </c>
      <c r="H386" s="36" t="inlineStr"/>
      <c r="I386" s="36" t="inlineStr"/>
      <c r="J386" s="36" t="inlineStr">
        <is>
          <t>UPI - Paytm</t>
        </is>
      </c>
      <c r="K386" s="36" t="inlineStr">
        <is>
          <t>Personal</t>
        </is>
      </c>
      <c r="L386" s="34" t="n">
        <v>0.65</v>
      </c>
      <c r="M386" s="36" t="inlineStr">
        <is>
          <t>N/A</t>
        </is>
      </c>
    </row>
    <row r="387">
      <c r="A387" s="58" t="n">
        <v>45271</v>
      </c>
      <c r="B387" s="59" t="inlineStr">
        <is>
          <t>NFT/NEOSIEXEDDD2023121112302655420 NAVI
Mutual Fun</t>
        </is>
      </c>
      <c r="C387" s="59" t="inlineStr"/>
      <c r="D387" s="58" t="n">
        <v>45271</v>
      </c>
      <c r="E387" s="59" t="n">
        <v>100</v>
      </c>
      <c r="F387" s="59" t="n">
        <v>0</v>
      </c>
      <c r="G387" s="59" t="n">
        <v>41179.61</v>
      </c>
      <c r="H387" s="59" t="inlineStr"/>
      <c r="I387" s="59" t="inlineStr"/>
      <c r="J387" s="59" t="inlineStr">
        <is>
          <t>MF Investment</t>
        </is>
      </c>
      <c r="K387" s="59" t="inlineStr">
        <is>
          <t>Investments</t>
        </is>
      </c>
      <c r="L387" s="18" t="n">
        <v>0.88</v>
      </c>
      <c r="M387" s="59" t="inlineStr">
        <is>
          <t>N/A</t>
        </is>
      </c>
    </row>
    <row r="388">
      <c r="A388" s="91" t="n">
        <v>45271</v>
      </c>
      <c r="B388" s="92" t="inlineStr">
        <is>
          <t>UPIOUT/334592863968/uberrides@hdfcbank/cha
rg/5960</t>
        </is>
      </c>
      <c r="C388" s="92" t="inlineStr"/>
      <c r="D388" s="91" t="n">
        <v>45271</v>
      </c>
      <c r="E388" s="92" t="n">
        <v>44.37</v>
      </c>
      <c r="F388" s="92" t="n">
        <v>0</v>
      </c>
      <c r="G388" s="92" t="n">
        <v>41135.24</v>
      </c>
      <c r="H388" s="92" t="inlineStr"/>
      <c r="I388" s="92" t="inlineStr"/>
      <c r="J388" s="92" t="inlineStr">
        <is>
          <t>UPI - Uber</t>
        </is>
      </c>
      <c r="K388" s="92" t="inlineStr">
        <is>
          <t>Transport</t>
        </is>
      </c>
      <c r="L388" s="34" t="n">
        <v>0.68</v>
      </c>
      <c r="M388" s="92" t="inlineStr">
        <is>
          <t>N/A</t>
        </is>
      </c>
    </row>
    <row r="389">
      <c r="A389" s="58" t="n">
        <v>45272</v>
      </c>
      <c r="B389" s="59" t="inlineStr">
        <is>
          <t>NFT/NEOSIEXEDDD2023121212302466761 NAVI
Mutual Fun</t>
        </is>
      </c>
      <c r="C389" s="59" t="inlineStr"/>
      <c r="D389" s="58" t="n">
        <v>45272</v>
      </c>
      <c r="E389" s="59" t="n">
        <v>100</v>
      </c>
      <c r="F389" s="59" t="n">
        <v>0</v>
      </c>
      <c r="G389" s="59" t="n">
        <v>41035.24</v>
      </c>
      <c r="H389" s="59" t="inlineStr"/>
      <c r="I389" s="59" t="inlineStr"/>
      <c r="J389" s="59" t="inlineStr">
        <is>
          <t>MF Investment</t>
        </is>
      </c>
      <c r="K389" s="59" t="inlineStr">
        <is>
          <t>Investments</t>
        </is>
      </c>
      <c r="L389" s="18" t="n">
        <v>0.88</v>
      </c>
      <c r="M389" s="59" t="inlineStr">
        <is>
          <t>N/A</t>
        </is>
      </c>
    </row>
    <row r="390">
      <c r="A390" s="37" t="n">
        <v>45272</v>
      </c>
      <c r="B390" s="38" t="inlineStr">
        <is>
          <t>UPIOUT/334693639394/RIOTAAGROOFFLINE@ybl/P
ay/5046</t>
        </is>
      </c>
      <c r="C390" s="38" t="inlineStr"/>
      <c r="D390" s="37" t="n">
        <v>45272</v>
      </c>
      <c r="E390" s="38" t="n">
        <v>30</v>
      </c>
      <c r="F390" s="38" t="n">
        <v>0</v>
      </c>
      <c r="G390" s="38" t="n">
        <v>41005.24</v>
      </c>
      <c r="H390" s="38" t="inlineStr"/>
      <c r="I390" s="38" t="inlineStr"/>
      <c r="J390" s="38" t="inlineStr">
        <is>
          <t>UPI Payment</t>
        </is>
      </c>
      <c r="K390" s="38" t="inlineStr">
        <is>
          <t>Personal</t>
        </is>
      </c>
      <c r="L390" s="25" t="n">
        <v>0.55</v>
      </c>
      <c r="M390" s="38" t="inlineStr">
        <is>
          <t>N/A</t>
        </is>
      </c>
    </row>
    <row r="391">
      <c r="A391" s="58" t="n">
        <v>45273</v>
      </c>
      <c r="B391" s="59" t="inlineStr">
        <is>
          <t>NFT/NEOSIEXEDDD2023121312302308225 NAVI
Mutual Fun</t>
        </is>
      </c>
      <c r="C391" s="59" t="inlineStr"/>
      <c r="D391" s="58" t="n">
        <v>45273</v>
      </c>
      <c r="E391" s="59" t="n">
        <v>100</v>
      </c>
      <c r="F391" s="59" t="n">
        <v>0</v>
      </c>
      <c r="G391" s="59" t="n">
        <v>40905.24</v>
      </c>
      <c r="H391" s="59" t="inlineStr"/>
      <c r="I391" s="59" t="inlineStr"/>
      <c r="J391" s="59" t="inlineStr">
        <is>
          <t>MF Investment</t>
        </is>
      </c>
      <c r="K391" s="59" t="inlineStr">
        <is>
          <t>Investments</t>
        </is>
      </c>
      <c r="L391" s="18" t="n">
        <v>0.88</v>
      </c>
      <c r="M391" s="59" t="inlineStr">
        <is>
          <t>N/A</t>
        </is>
      </c>
    </row>
    <row r="392">
      <c r="A392" s="58" t="n">
        <v>45274</v>
      </c>
      <c r="B392" s="59" t="inlineStr">
        <is>
          <t>NFT/NEOSIEXEDDD2023121412301073433 NAVI
Mutual Fun</t>
        </is>
      </c>
      <c r="C392" s="59" t="inlineStr"/>
      <c r="D392" s="58" t="n">
        <v>45274</v>
      </c>
      <c r="E392" s="59" t="n">
        <v>100</v>
      </c>
      <c r="F392" s="59" t="n">
        <v>0</v>
      </c>
      <c r="G392" s="59" t="n">
        <v>40805.24</v>
      </c>
      <c r="H392" s="59" t="inlineStr"/>
      <c r="I392" s="59" t="inlineStr"/>
      <c r="J392" s="59" t="inlineStr">
        <is>
          <t>MF Investment</t>
        </is>
      </c>
      <c r="K392" s="59" t="inlineStr">
        <is>
          <t>Investments</t>
        </is>
      </c>
      <c r="L392" s="18" t="n">
        <v>0.88</v>
      </c>
      <c r="M392" s="59" t="inlineStr">
        <is>
          <t>N/A</t>
        </is>
      </c>
    </row>
    <row r="393">
      <c r="A393" s="91" t="n">
        <v>45274</v>
      </c>
      <c r="B393" s="92" t="inlineStr">
        <is>
          <t>UPIOUT/334816473192/uber@axisbank/charge/4
121</t>
        </is>
      </c>
      <c r="C393" s="92" t="inlineStr"/>
      <c r="D393" s="91" t="n">
        <v>45274</v>
      </c>
      <c r="E393" s="92" t="n">
        <v>166.66</v>
      </c>
      <c r="F393" s="92" t="n">
        <v>0</v>
      </c>
      <c r="G393" s="92" t="n">
        <v>40638.58</v>
      </c>
      <c r="H393" s="92" t="inlineStr"/>
      <c r="I393" s="92" t="inlineStr"/>
      <c r="J393" s="92" t="inlineStr">
        <is>
          <t>UPI - Uber</t>
        </is>
      </c>
      <c r="K393" s="92" t="inlineStr">
        <is>
          <t>Transport</t>
        </is>
      </c>
      <c r="L393" s="34" t="n">
        <v>0.68</v>
      </c>
      <c r="M393" s="92" t="inlineStr">
        <is>
          <t>N/A</t>
        </is>
      </c>
    </row>
    <row r="394">
      <c r="A394" s="58" t="n">
        <v>45275</v>
      </c>
      <c r="B394" s="59" t="inlineStr">
        <is>
          <t>NFT/NEOSIEXEDDD2023121512301975541 NAVI
Mutual Fun</t>
        </is>
      </c>
      <c r="C394" s="59" t="inlineStr"/>
      <c r="D394" s="58" t="n">
        <v>45275</v>
      </c>
      <c r="E394" s="59" t="n">
        <v>100</v>
      </c>
      <c r="F394" s="59" t="n">
        <v>0</v>
      </c>
      <c r="G394" s="59" t="n">
        <v>40538.58</v>
      </c>
      <c r="H394" s="59" t="inlineStr"/>
      <c r="I394" s="59" t="inlineStr"/>
      <c r="J394" s="59" t="inlineStr">
        <is>
          <t>MF Investment</t>
        </is>
      </c>
      <c r="K394" s="59" t="inlineStr">
        <is>
          <t>Investments</t>
        </is>
      </c>
      <c r="L394" s="18" t="n">
        <v>0.88</v>
      </c>
      <c r="M394" s="59" t="inlineStr">
        <is>
          <t>N/A</t>
        </is>
      </c>
    </row>
    <row r="395">
      <c r="A395" s="89" t="n">
        <v>45275</v>
      </c>
      <c r="B395" s="90" t="inlineStr">
        <is>
          <t>UPIOUT/334925078097/olacabs.rzp@axisbank/P
ay/4121</t>
        </is>
      </c>
      <c r="C395" s="90" t="inlineStr"/>
      <c r="D395" s="89" t="n">
        <v>45275</v>
      </c>
      <c r="E395" s="90" t="n">
        <v>100</v>
      </c>
      <c r="F395" s="90" t="n">
        <v>0</v>
      </c>
      <c r="G395" s="90" t="n">
        <v>40438.58</v>
      </c>
      <c r="H395" s="90" t="inlineStr"/>
      <c r="I395" s="90" t="inlineStr"/>
      <c r="J395" s="90" t="inlineStr">
        <is>
          <t>UPI - Ola</t>
        </is>
      </c>
      <c r="K395" s="90" t="inlineStr">
        <is>
          <t>Transport</t>
        </is>
      </c>
      <c r="L395" s="34" t="n">
        <v>0.68</v>
      </c>
      <c r="M395" s="90" t="inlineStr">
        <is>
          <t>N/A</t>
        </is>
      </c>
    </row>
    <row r="396">
      <c r="A396" s="89" t="n">
        <v>45275</v>
      </c>
      <c r="B396" s="90" t="inlineStr">
        <is>
          <t>UPIOUT/334930178753/olacabs.rzp@axisbank/P
ay/4121</t>
        </is>
      </c>
      <c r="C396" s="90" t="inlineStr"/>
      <c r="D396" s="89" t="n">
        <v>45275</v>
      </c>
      <c r="E396" s="90" t="n">
        <v>100</v>
      </c>
      <c r="F396" s="90" t="n">
        <v>0</v>
      </c>
      <c r="G396" s="90" t="n">
        <v>40338.58</v>
      </c>
      <c r="H396" s="90" t="inlineStr"/>
      <c r="I396" s="90" t="inlineStr"/>
      <c r="J396" s="90" t="inlineStr">
        <is>
          <t>UPI - Ola</t>
        </is>
      </c>
      <c r="K396" s="90" t="inlineStr">
        <is>
          <t>Transport</t>
        </is>
      </c>
      <c r="L396" s="34" t="n">
        <v>0.68</v>
      </c>
      <c r="M396" s="90" t="inlineStr">
        <is>
          <t>N/A</t>
        </is>
      </c>
    </row>
    <row r="397">
      <c r="A397" s="58" t="n">
        <v>45276</v>
      </c>
      <c r="B397" s="59" t="inlineStr">
        <is>
          <t>NFT/NEOSIEXEDDD2023121612302581390 NAVI
Mutual Fun</t>
        </is>
      </c>
      <c r="C397" s="59" t="inlineStr"/>
      <c r="D397" s="58" t="n">
        <v>45276</v>
      </c>
      <c r="E397" s="59" t="n">
        <v>100</v>
      </c>
      <c r="F397" s="59" t="n">
        <v>0</v>
      </c>
      <c r="G397" s="59" t="n">
        <v>40238.58</v>
      </c>
      <c r="H397" s="59" t="inlineStr"/>
      <c r="I397" s="59" t="inlineStr"/>
      <c r="J397" s="59" t="inlineStr">
        <is>
          <t>MF Investment</t>
        </is>
      </c>
      <c r="K397" s="59" t="inlineStr">
        <is>
          <t>Investments</t>
        </is>
      </c>
      <c r="L397" s="18" t="n">
        <v>0.88</v>
      </c>
      <c r="M397" s="59" t="inlineStr">
        <is>
          <t>N/A</t>
        </is>
      </c>
    </row>
    <row r="398">
      <c r="A398" s="37" t="n">
        <v>45276</v>
      </c>
      <c r="B398" s="38" t="inlineStr">
        <is>
          <t>UPIOUT/335037277710/narendrareddy923@ybl/S
en/0000</t>
        </is>
      </c>
      <c r="C398" s="38" t="inlineStr"/>
      <c r="D398" s="37" t="n">
        <v>45276</v>
      </c>
      <c r="E398" s="38" t="n">
        <v>7500</v>
      </c>
      <c r="F398" s="38" t="n">
        <v>0</v>
      </c>
      <c r="G398" s="38" t="n">
        <v>32738.58</v>
      </c>
      <c r="H398" s="38" t="inlineStr"/>
      <c r="I398" s="38" t="inlineStr"/>
      <c r="J398" s="38" t="inlineStr">
        <is>
          <t>UPI Payment</t>
        </is>
      </c>
      <c r="K398" s="38" t="inlineStr">
        <is>
          <t>Personal</t>
        </is>
      </c>
      <c r="L398" s="25" t="n">
        <v>0.55</v>
      </c>
      <c r="M398" s="38" t="inlineStr">
        <is>
          <t>N/A</t>
        </is>
      </c>
    </row>
    <row r="399">
      <c r="A399" s="35" t="n">
        <v>45276</v>
      </c>
      <c r="B399" s="36" t="inlineStr">
        <is>
          <t>UPIOUT/335037356674/paytmqr2810050501011im
q4/5411</t>
        </is>
      </c>
      <c r="C399" s="36" t="inlineStr"/>
      <c r="D399" s="35" t="n">
        <v>45276</v>
      </c>
      <c r="E399" s="36" t="n">
        <v>70</v>
      </c>
      <c r="F399" s="36" t="n">
        <v>0</v>
      </c>
      <c r="G399" s="36" t="n">
        <v>32668.58</v>
      </c>
      <c r="H399" s="36" t="inlineStr"/>
      <c r="I399" s="36" t="inlineStr"/>
      <c r="J399" s="36" t="inlineStr">
        <is>
          <t>UPI - Paytm</t>
        </is>
      </c>
      <c r="K399" s="36" t="inlineStr">
        <is>
          <t>Personal</t>
        </is>
      </c>
      <c r="L399" s="34" t="n">
        <v>0.65</v>
      </c>
      <c r="M399" s="36" t="inlineStr">
        <is>
          <t>N/A</t>
        </is>
      </c>
    </row>
    <row r="400">
      <c r="A400" s="35" t="n">
        <v>45276</v>
      </c>
      <c r="B400" s="36" t="inlineStr">
        <is>
          <t>UPIOUT/335038146592/paytm-651536@paytm/Sen
t /4011</t>
        </is>
      </c>
      <c r="C400" s="36" t="inlineStr"/>
      <c r="D400" s="35" t="n">
        <v>45276</v>
      </c>
      <c r="E400" s="36" t="n">
        <v>983.6</v>
      </c>
      <c r="F400" s="36" t="n">
        <v>0</v>
      </c>
      <c r="G400" s="36" t="n">
        <v>31684.98</v>
      </c>
      <c r="H400" s="36" t="inlineStr"/>
      <c r="I400" s="36" t="inlineStr"/>
      <c r="J400" s="36" t="inlineStr">
        <is>
          <t>UPI - Paytm</t>
        </is>
      </c>
      <c r="K400" s="36" t="inlineStr">
        <is>
          <t>Personal</t>
        </is>
      </c>
      <c r="L400" s="34" t="n">
        <v>0.65</v>
      </c>
      <c r="M400" s="36" t="inlineStr">
        <is>
          <t>N/A</t>
        </is>
      </c>
    </row>
    <row r="401">
      <c r="A401" s="35" t="n">
        <v>45276</v>
      </c>
      <c r="B401" s="36" t="inlineStr">
        <is>
          <t>UPIOUT/335038538043/paytmqr2810050501011im
q4/5411</t>
        </is>
      </c>
      <c r="C401" s="36" t="inlineStr"/>
      <c r="D401" s="35" t="n">
        <v>45276</v>
      </c>
      <c r="E401" s="36" t="n">
        <v>70</v>
      </c>
      <c r="F401" s="36" t="n">
        <v>0</v>
      </c>
      <c r="G401" s="36" t="n">
        <v>31614.98</v>
      </c>
      <c r="H401" s="36" t="inlineStr"/>
      <c r="I401" s="36" t="inlineStr"/>
      <c r="J401" s="36" t="inlineStr">
        <is>
          <t>UPI - Paytm</t>
        </is>
      </c>
      <c r="K401" s="36" t="inlineStr">
        <is>
          <t>Personal</t>
        </is>
      </c>
      <c r="L401" s="34" t="n">
        <v>0.65</v>
      </c>
      <c r="M401" s="36" t="inlineStr">
        <is>
          <t>N/A</t>
        </is>
      </c>
    </row>
    <row r="402">
      <c r="A402" s="93" t="n">
        <v>45276</v>
      </c>
      <c r="B402" s="94" t="inlineStr">
        <is>
          <t>UPIOUT/335181762956/euronetgpay.playrc@ici
ci/6540</t>
        </is>
      </c>
      <c r="C402" s="94" t="inlineStr"/>
      <c r="D402" s="93" t="n">
        <v>45277</v>
      </c>
      <c r="E402" s="94" t="n">
        <v>199</v>
      </c>
      <c r="F402" s="94" t="n">
        <v>0</v>
      </c>
      <c r="G402" s="94" t="n">
        <v>31415.98</v>
      </c>
      <c r="H402" s="94" t="inlineStr"/>
      <c r="I402" s="94" t="inlineStr"/>
      <c r="J402" s="94" t="inlineStr">
        <is>
          <t>UPI - Google Pay</t>
        </is>
      </c>
      <c r="K402" s="94" t="inlineStr">
        <is>
          <t>Personal</t>
        </is>
      </c>
      <c r="L402" s="34" t="n">
        <v>0.65</v>
      </c>
      <c r="M402" s="94" t="inlineStr">
        <is>
          <t>N/A</t>
        </is>
      </c>
    </row>
    <row r="403">
      <c r="A403" s="58" t="n">
        <v>45277</v>
      </c>
      <c r="B403" s="59" t="inlineStr">
        <is>
          <t>NFT/NEOSIEXEDDD2023121712310738332 NAVI
Mutual Fun</t>
        </is>
      </c>
      <c r="C403" s="59" t="inlineStr"/>
      <c r="D403" s="58" t="n">
        <v>45277</v>
      </c>
      <c r="E403" s="59" t="n">
        <v>100</v>
      </c>
      <c r="F403" s="59" t="n">
        <v>0</v>
      </c>
      <c r="G403" s="59" t="n">
        <v>31315.98</v>
      </c>
      <c r="H403" s="59" t="inlineStr"/>
      <c r="I403" s="59" t="inlineStr"/>
      <c r="J403" s="59" t="inlineStr">
        <is>
          <t>MF Investment</t>
        </is>
      </c>
      <c r="K403" s="59" t="inlineStr">
        <is>
          <t>Investments</t>
        </is>
      </c>
      <c r="L403" s="18" t="n">
        <v>0.88</v>
      </c>
      <c r="M403" s="59" t="inlineStr">
        <is>
          <t>N/A</t>
        </is>
      </c>
    </row>
    <row r="404">
      <c r="A404" s="37" t="n">
        <v>45277</v>
      </c>
      <c r="B404" s="38" t="inlineStr">
        <is>
          <t>UPIOUT/335140291831/Q780689862@ybl/Sent
via /5814</t>
        </is>
      </c>
      <c r="C404" s="38" t="inlineStr"/>
      <c r="D404" s="37" t="n">
        <v>45277</v>
      </c>
      <c r="E404" s="38" t="n">
        <v>30</v>
      </c>
      <c r="F404" s="38" t="n">
        <v>0</v>
      </c>
      <c r="G404" s="38" t="n">
        <v>31285.98</v>
      </c>
      <c r="H404" s="38" t="inlineStr"/>
      <c r="I404" s="38" t="inlineStr"/>
      <c r="J404" s="38" t="inlineStr">
        <is>
          <t>UPI Payment</t>
        </is>
      </c>
      <c r="K404" s="38" t="inlineStr">
        <is>
          <t>Personal</t>
        </is>
      </c>
      <c r="L404" s="25" t="n">
        <v>0.55</v>
      </c>
      <c r="M404" s="38" t="inlineStr">
        <is>
          <t>N/A</t>
        </is>
      </c>
    </row>
    <row r="405">
      <c r="A405" s="35" t="n">
        <v>45277</v>
      </c>
      <c r="B405" s="36" t="inlineStr">
        <is>
          <t>UPIOUT/335140403964/paytm-66819319@paytm/S
en/5411</t>
        </is>
      </c>
      <c r="C405" s="36" t="inlineStr"/>
      <c r="D405" s="35" t="n">
        <v>45277</v>
      </c>
      <c r="E405" s="36" t="n">
        <v>164</v>
      </c>
      <c r="F405" s="36" t="n">
        <v>0</v>
      </c>
      <c r="G405" s="36" t="n">
        <v>31121.98</v>
      </c>
      <c r="H405" s="36" t="inlineStr"/>
      <c r="I405" s="36" t="inlineStr"/>
      <c r="J405" s="36" t="inlineStr">
        <is>
          <t>UPI - Paytm</t>
        </is>
      </c>
      <c r="K405" s="36" t="inlineStr">
        <is>
          <t>Personal</t>
        </is>
      </c>
      <c r="L405" s="34" t="n">
        <v>0.65</v>
      </c>
      <c r="M405" s="36" t="inlineStr">
        <is>
          <t>N/A</t>
        </is>
      </c>
    </row>
    <row r="406">
      <c r="A406" s="35" t="n">
        <v>45277</v>
      </c>
      <c r="B406" s="36" t="inlineStr">
        <is>
          <t>UPIOUT/335140869306/paytmqr281005050101121
ip/7230</t>
        </is>
      </c>
      <c r="C406" s="36" t="inlineStr"/>
      <c r="D406" s="35" t="n">
        <v>45277</v>
      </c>
      <c r="E406" s="36" t="n">
        <v>250</v>
      </c>
      <c r="F406" s="36" t="n">
        <v>0</v>
      </c>
      <c r="G406" s="36" t="n">
        <v>30871.98</v>
      </c>
      <c r="H406" s="36" t="inlineStr"/>
      <c r="I406" s="36" t="inlineStr"/>
      <c r="J406" s="36" t="inlineStr">
        <is>
          <t>UPI - Paytm</t>
        </is>
      </c>
      <c r="K406" s="36" t="inlineStr">
        <is>
          <t>Personal</t>
        </is>
      </c>
      <c r="L406" s="34" t="n">
        <v>0.65</v>
      </c>
      <c r="M406" s="36" t="inlineStr">
        <is>
          <t>N/A</t>
        </is>
      </c>
    </row>
    <row r="407">
      <c r="A407" s="35" t="n">
        <v>45277</v>
      </c>
      <c r="B407" s="36" t="inlineStr">
        <is>
          <t>UPIOUT/335141950276/paytmqr1l47y8otva@payt
m//5411</t>
        </is>
      </c>
      <c r="C407" s="36" t="inlineStr"/>
      <c r="D407" s="35" t="n">
        <v>45277</v>
      </c>
      <c r="E407" s="36" t="n">
        <v>75</v>
      </c>
      <c r="F407" s="36" t="n">
        <v>0</v>
      </c>
      <c r="G407" s="36" t="n">
        <v>30796.98</v>
      </c>
      <c r="H407" s="36" t="inlineStr"/>
      <c r="I407" s="36" t="inlineStr"/>
      <c r="J407" s="36" t="inlineStr">
        <is>
          <t>UPI - Paytm</t>
        </is>
      </c>
      <c r="K407" s="36" t="inlineStr">
        <is>
          <t>Personal</t>
        </is>
      </c>
      <c r="L407" s="34" t="n">
        <v>0.65</v>
      </c>
      <c r="M407" s="36" t="inlineStr">
        <is>
          <t>N/A</t>
        </is>
      </c>
    </row>
    <row r="408">
      <c r="A408" s="35" t="n">
        <v>45277</v>
      </c>
      <c r="B408" s="36" t="inlineStr">
        <is>
          <t>UPIOUT/335142878505/paytmqr1l47y8otva@payt
m//5411</t>
        </is>
      </c>
      <c r="C408" s="36" t="inlineStr"/>
      <c r="D408" s="35" t="n">
        <v>45277</v>
      </c>
      <c r="E408" s="36" t="n">
        <v>20</v>
      </c>
      <c r="F408" s="36" t="n">
        <v>0</v>
      </c>
      <c r="G408" s="36" t="n">
        <v>30776.98</v>
      </c>
      <c r="H408" s="36" t="inlineStr"/>
      <c r="I408" s="36" t="inlineStr"/>
      <c r="J408" s="36" t="inlineStr">
        <is>
          <t>UPI - Paytm</t>
        </is>
      </c>
      <c r="K408" s="36" t="inlineStr">
        <is>
          <t>Personal</t>
        </is>
      </c>
      <c r="L408" s="34" t="n">
        <v>0.65</v>
      </c>
      <c r="M408" s="36" t="inlineStr">
        <is>
          <t>N/A</t>
        </is>
      </c>
    </row>
    <row r="409">
      <c r="A409" s="35" t="n">
        <v>45277</v>
      </c>
      <c r="B409" s="36" t="inlineStr">
        <is>
          <t>UPIOUT/335143471798/paytmqr281005050101ac5
gq/5812</t>
        </is>
      </c>
      <c r="C409" s="36" t="inlineStr"/>
      <c r="D409" s="35" t="n">
        <v>45277</v>
      </c>
      <c r="E409" s="36" t="n">
        <v>65</v>
      </c>
      <c r="F409" s="36" t="n">
        <v>0</v>
      </c>
      <c r="G409" s="36" t="n">
        <v>30711.98</v>
      </c>
      <c r="H409" s="36" t="inlineStr"/>
      <c r="I409" s="36" t="inlineStr"/>
      <c r="J409" s="36" t="inlineStr">
        <is>
          <t>UPI - Paytm</t>
        </is>
      </c>
      <c r="K409" s="36" t="inlineStr">
        <is>
          <t>Personal</t>
        </is>
      </c>
      <c r="L409" s="34" t="n">
        <v>0.65</v>
      </c>
      <c r="M409" s="36" t="inlineStr">
        <is>
          <t>N/A</t>
        </is>
      </c>
    </row>
    <row r="410">
      <c r="A410" s="58" t="n">
        <v>45278</v>
      </c>
      <c r="B410" s="59" t="inlineStr">
        <is>
          <t>NFT/NEOSIEXEDDD2023121812311862422 NAVI
Mutual Fun</t>
        </is>
      </c>
      <c r="C410" s="59" t="inlineStr"/>
      <c r="D410" s="58" t="n">
        <v>45278</v>
      </c>
      <c r="E410" s="59" t="n">
        <v>100</v>
      </c>
      <c r="F410" s="59" t="n">
        <v>0</v>
      </c>
      <c r="G410" s="59" t="n">
        <v>30611.98</v>
      </c>
      <c r="H410" s="59" t="inlineStr"/>
      <c r="I410" s="59" t="inlineStr"/>
      <c r="J410" s="59" t="inlineStr">
        <is>
          <t>MF Investment</t>
        </is>
      </c>
      <c r="K410" s="59" t="inlineStr">
        <is>
          <t>Investments</t>
        </is>
      </c>
      <c r="L410" s="18" t="n">
        <v>0.88</v>
      </c>
      <c r="M410" s="59" t="inlineStr">
        <is>
          <t>N/A</t>
        </is>
      </c>
    </row>
    <row r="411">
      <c r="A411" s="35" t="n">
        <v>45278</v>
      </c>
      <c r="B411" s="36" t="inlineStr">
        <is>
          <t>UPIOUT/335246763117/paytmqr1dm5qwb31d@payt
m//5411</t>
        </is>
      </c>
      <c r="C411" s="36" t="inlineStr"/>
      <c r="D411" s="35" t="n">
        <v>45278</v>
      </c>
      <c r="E411" s="36" t="n">
        <v>15</v>
      </c>
      <c r="F411" s="36" t="n">
        <v>0</v>
      </c>
      <c r="G411" s="36" t="n">
        <v>30596.98</v>
      </c>
      <c r="H411" s="36" t="inlineStr"/>
      <c r="I411" s="36" t="inlineStr"/>
      <c r="J411" s="36" t="inlineStr">
        <is>
          <t>UPI - Paytm</t>
        </is>
      </c>
      <c r="K411" s="36" t="inlineStr">
        <is>
          <t>Personal</t>
        </is>
      </c>
      <c r="L411" s="34" t="n">
        <v>0.65</v>
      </c>
      <c r="M411" s="36" t="inlineStr">
        <is>
          <t>N/A</t>
        </is>
      </c>
    </row>
    <row r="412">
      <c r="A412" s="21" t="n">
        <v>45278</v>
      </c>
      <c r="B412" s="22" t="inlineStr">
        <is>
          <t>UPIOUT/335247591638/rapido.rzp@icici/Payme
nt/4121</t>
        </is>
      </c>
      <c r="C412" s="22" t="inlineStr"/>
      <c r="D412" s="21" t="n">
        <v>45278</v>
      </c>
      <c r="E412" s="22" t="n">
        <v>24</v>
      </c>
      <c r="F412" s="22" t="n">
        <v>0</v>
      </c>
      <c r="G412" s="22" t="n">
        <v>30572.98</v>
      </c>
      <c r="H412" s="22" t="inlineStr"/>
      <c r="I412" s="22" t="inlineStr"/>
      <c r="J412" s="22" t="inlineStr">
        <is>
          <t>UPI - Rapido</t>
        </is>
      </c>
      <c r="K412" s="22" t="inlineStr">
        <is>
          <t>Transport</t>
        </is>
      </c>
      <c r="L412" s="34" t="n">
        <v>0.68</v>
      </c>
      <c r="M412" s="22" t="inlineStr">
        <is>
          <t>N/A</t>
        </is>
      </c>
    </row>
    <row r="413">
      <c r="A413" s="21" t="n">
        <v>45278</v>
      </c>
      <c r="B413" s="22" t="inlineStr">
        <is>
          <t>UPIOUT/335253248157/rapido.rzp@icici/Payme
nt/4121</t>
        </is>
      </c>
      <c r="C413" s="22" t="inlineStr"/>
      <c r="D413" s="21" t="n">
        <v>45278</v>
      </c>
      <c r="E413" s="22" t="n">
        <v>29</v>
      </c>
      <c r="F413" s="22" t="n">
        <v>0</v>
      </c>
      <c r="G413" s="22" t="n">
        <v>30543.98</v>
      </c>
      <c r="H413" s="22" t="inlineStr"/>
      <c r="I413" s="22" t="inlineStr"/>
      <c r="J413" s="22" t="inlineStr">
        <is>
          <t>UPI - Rapido</t>
        </is>
      </c>
      <c r="K413" s="22" t="inlineStr">
        <is>
          <t>Transport</t>
        </is>
      </c>
      <c r="L413" s="34" t="n">
        <v>0.68</v>
      </c>
      <c r="M413" s="22" t="inlineStr">
        <is>
          <t>N/A</t>
        </is>
      </c>
    </row>
    <row r="414">
      <c r="A414" s="35" t="n">
        <v>45278</v>
      </c>
      <c r="B414" s="36" t="inlineStr">
        <is>
          <t>UPIOUT/335253394296/paytmqr281005050101qwu
ha/5411</t>
        </is>
      </c>
      <c r="C414" s="36" t="inlineStr"/>
      <c r="D414" s="35" t="n">
        <v>45278</v>
      </c>
      <c r="E414" s="36" t="n">
        <v>85</v>
      </c>
      <c r="F414" s="36" t="n">
        <v>0</v>
      </c>
      <c r="G414" s="36" t="n">
        <v>30458.98</v>
      </c>
      <c r="H414" s="36" t="inlineStr"/>
      <c r="I414" s="36" t="inlineStr"/>
      <c r="J414" s="36" t="inlineStr">
        <is>
          <t>UPI - Paytm</t>
        </is>
      </c>
      <c r="K414" s="36" t="inlineStr">
        <is>
          <t>Personal</t>
        </is>
      </c>
      <c r="L414" s="34" t="n">
        <v>0.65</v>
      </c>
      <c r="M414" s="36" t="inlineStr">
        <is>
          <t>N/A</t>
        </is>
      </c>
    </row>
    <row r="415">
      <c r="A415" s="93" t="n">
        <v>45278</v>
      </c>
      <c r="B415" s="94" t="inlineStr">
        <is>
          <t>UPIOUT/335253819076/gpay-11239378766@okbiz
ax/5411</t>
        </is>
      </c>
      <c r="C415" s="94" t="inlineStr"/>
      <c r="D415" s="93" t="n">
        <v>45278</v>
      </c>
      <c r="E415" s="94" t="n">
        <v>100</v>
      </c>
      <c r="F415" s="94" t="n">
        <v>0</v>
      </c>
      <c r="G415" s="94" t="n">
        <v>30358.98</v>
      </c>
      <c r="H415" s="94" t="inlineStr"/>
      <c r="I415" s="94" t="inlineStr"/>
      <c r="J415" s="94" t="inlineStr">
        <is>
          <t>UPI - Google Pay</t>
        </is>
      </c>
      <c r="K415" s="94" t="inlineStr">
        <is>
          <t>Personal</t>
        </is>
      </c>
      <c r="L415" s="34" t="n">
        <v>0.65</v>
      </c>
      <c r="M415" s="94" t="inlineStr">
        <is>
          <t>N/A</t>
        </is>
      </c>
    </row>
    <row r="416">
      <c r="A416" s="58" t="n">
        <v>45279</v>
      </c>
      <c r="B416" s="59" t="inlineStr">
        <is>
          <t>NFT/NEOSIEXEDDD2023121912303376552 NAVI
Mutual Fun</t>
        </is>
      </c>
      <c r="C416" s="59" t="inlineStr"/>
      <c r="D416" s="58" t="n">
        <v>45279</v>
      </c>
      <c r="E416" s="59" t="n">
        <v>100</v>
      </c>
      <c r="F416" s="59" t="n">
        <v>0</v>
      </c>
      <c r="G416" s="59" t="n">
        <v>30258.98</v>
      </c>
      <c r="H416" s="59" t="inlineStr"/>
      <c r="I416" s="59" t="inlineStr"/>
      <c r="J416" s="59" t="inlineStr">
        <is>
          <t>MF Investment</t>
        </is>
      </c>
      <c r="K416" s="59" t="inlineStr">
        <is>
          <t>Investments</t>
        </is>
      </c>
      <c r="L416" s="18" t="n">
        <v>0.88</v>
      </c>
      <c r="M416" s="59" t="inlineStr">
        <is>
          <t>N/A</t>
        </is>
      </c>
    </row>
    <row r="417">
      <c r="A417" s="37" t="n">
        <v>45279</v>
      </c>
      <c r="B417" s="38" t="inlineStr">
        <is>
          <t>UPIOUT/335358420836/tiwarigopal32@ybl/Sent
v/0000</t>
        </is>
      </c>
      <c r="C417" s="38" t="inlineStr"/>
      <c r="D417" s="37" t="n">
        <v>45279</v>
      </c>
      <c r="E417" s="38" t="n">
        <v>75</v>
      </c>
      <c r="F417" s="38" t="n">
        <v>0</v>
      </c>
      <c r="G417" s="38" t="n">
        <v>30183.98</v>
      </c>
      <c r="H417" s="38" t="inlineStr"/>
      <c r="I417" s="38" t="inlineStr"/>
      <c r="J417" s="38" t="inlineStr">
        <is>
          <t>UPI Payment</t>
        </is>
      </c>
      <c r="K417" s="38" t="inlineStr">
        <is>
          <t>Personal</t>
        </is>
      </c>
      <c r="L417" s="25" t="n">
        <v>0.55</v>
      </c>
      <c r="M417" s="38" t="inlineStr">
        <is>
          <t>N/A</t>
        </is>
      </c>
    </row>
    <row r="418">
      <c r="A418" s="91" t="n">
        <v>45279</v>
      </c>
      <c r="B418" s="92" t="inlineStr">
        <is>
          <t>UPIOUT/335358775310/uber@axisbank/charge/4
121</t>
        </is>
      </c>
      <c r="C418" s="92" t="inlineStr"/>
      <c r="D418" s="91" t="n">
        <v>45279</v>
      </c>
      <c r="E418" s="92" t="n">
        <v>28.67</v>
      </c>
      <c r="F418" s="92" t="n">
        <v>0</v>
      </c>
      <c r="G418" s="92" t="n">
        <v>30155.31</v>
      </c>
      <c r="H418" s="92" t="inlineStr"/>
      <c r="I418" s="92" t="inlineStr"/>
      <c r="J418" s="92" t="inlineStr">
        <is>
          <t>UPI - Uber</t>
        </is>
      </c>
      <c r="K418" s="92" t="inlineStr">
        <is>
          <t>Transport</t>
        </is>
      </c>
      <c r="L418" s="34" t="n">
        <v>0.68</v>
      </c>
      <c r="M418" s="92" t="inlineStr">
        <is>
          <t>N/A</t>
        </is>
      </c>
    </row>
    <row r="419">
      <c r="A419" s="35" t="n">
        <v>45279</v>
      </c>
      <c r="B419" s="36" t="inlineStr">
        <is>
          <t>UPIOUT/335365941986/9010488465@paytm/Sent
vi/0000</t>
        </is>
      </c>
      <c r="C419" s="36" t="inlineStr"/>
      <c r="D419" s="35" t="n">
        <v>45279</v>
      </c>
      <c r="E419" s="36" t="n">
        <v>100</v>
      </c>
      <c r="F419" s="36" t="n">
        <v>0</v>
      </c>
      <c r="G419" s="36" t="n">
        <v>30055.31</v>
      </c>
      <c r="H419" s="36" t="inlineStr"/>
      <c r="I419" s="36" t="inlineStr"/>
      <c r="J419" s="36" t="inlineStr">
        <is>
          <t>UPI - Paytm</t>
        </is>
      </c>
      <c r="K419" s="36" t="inlineStr">
        <is>
          <t>Personal</t>
        </is>
      </c>
      <c r="L419" s="34" t="n">
        <v>0.65</v>
      </c>
      <c r="M419" s="36" t="inlineStr">
        <is>
          <t>N/A</t>
        </is>
      </c>
    </row>
    <row r="420">
      <c r="A420" s="58" t="n">
        <v>45280</v>
      </c>
      <c r="B420" s="59" t="inlineStr">
        <is>
          <t>NFT/NEOSIEXEDDD2023122012312254146 NAVI
Mutual Fun</t>
        </is>
      </c>
      <c r="C420" s="59" t="inlineStr"/>
      <c r="D420" s="58" t="n">
        <v>45280</v>
      </c>
      <c r="E420" s="59" t="n">
        <v>100</v>
      </c>
      <c r="F420" s="59" t="n">
        <v>0</v>
      </c>
      <c r="G420" s="59" t="n">
        <v>29955.31</v>
      </c>
      <c r="H420" s="59" t="inlineStr"/>
      <c r="I420" s="59" t="inlineStr"/>
      <c r="J420" s="59" t="inlineStr">
        <is>
          <t>MF Investment</t>
        </is>
      </c>
      <c r="K420" s="59" t="inlineStr">
        <is>
          <t>Investments</t>
        </is>
      </c>
      <c r="L420" s="18" t="n">
        <v>0.88</v>
      </c>
      <c r="M420" s="59" t="inlineStr">
        <is>
          <t>N/A</t>
        </is>
      </c>
    </row>
    <row r="421">
      <c r="A421" s="35" t="n">
        <v>45280</v>
      </c>
      <c r="B421" s="36" t="inlineStr">
        <is>
          <t>UPIOUT/335468843331/paytmqr2810050501011ht
rr/5812</t>
        </is>
      </c>
      <c r="C421" s="36" t="inlineStr"/>
      <c r="D421" s="35" t="n">
        <v>45280</v>
      </c>
      <c r="E421" s="36" t="n">
        <v>100</v>
      </c>
      <c r="F421" s="36" t="n">
        <v>0</v>
      </c>
      <c r="G421" s="36" t="n">
        <v>29855.31</v>
      </c>
      <c r="H421" s="36" t="inlineStr"/>
      <c r="I421" s="36" t="inlineStr"/>
      <c r="J421" s="36" t="inlineStr">
        <is>
          <t>UPI - Paytm</t>
        </is>
      </c>
      <c r="K421" s="36" t="inlineStr">
        <is>
          <t>Personal</t>
        </is>
      </c>
      <c r="L421" s="34" t="n">
        <v>0.65</v>
      </c>
      <c r="M421" s="36" t="inlineStr">
        <is>
          <t>N/A</t>
        </is>
      </c>
    </row>
    <row r="422">
      <c r="A422" s="37" t="n">
        <v>45280</v>
      </c>
      <c r="B422" s="38" t="inlineStr">
        <is>
          <t>UPIOUT/335476926122/9391599419@ybl/Sent
via /0000</t>
        </is>
      </c>
      <c r="C422" s="38" t="inlineStr"/>
      <c r="D422" s="37" t="n">
        <v>45280</v>
      </c>
      <c r="E422" s="38" t="n">
        <v>100</v>
      </c>
      <c r="F422" s="38" t="n">
        <v>0</v>
      </c>
      <c r="G422" s="38" t="n">
        <v>29755.31</v>
      </c>
      <c r="H422" s="38" t="inlineStr"/>
      <c r="I422" s="38" t="inlineStr"/>
      <c r="J422" s="38" t="inlineStr">
        <is>
          <t>UPI Payment</t>
        </is>
      </c>
      <c r="K422" s="38" t="inlineStr">
        <is>
          <t>Personal</t>
        </is>
      </c>
      <c r="L422" s="25" t="n">
        <v>0.55</v>
      </c>
      <c r="M422" s="38" t="inlineStr">
        <is>
          <t>N/A</t>
        </is>
      </c>
    </row>
    <row r="423">
      <c r="A423" s="37" t="n">
        <v>45280</v>
      </c>
      <c r="B423" s="38" t="inlineStr">
        <is>
          <t>UPIOUT/335477929609/md7179219@okaxis/Sent
vi/0000</t>
        </is>
      </c>
      <c r="C423" s="38" t="inlineStr"/>
      <c r="D423" s="37" t="n">
        <v>45280</v>
      </c>
      <c r="E423" s="38" t="n">
        <v>50</v>
      </c>
      <c r="F423" s="38" t="n">
        <v>0</v>
      </c>
      <c r="G423" s="38" t="n">
        <v>29705.31</v>
      </c>
      <c r="H423" s="38" t="inlineStr"/>
      <c r="I423" s="38" t="inlineStr"/>
      <c r="J423" s="38" t="inlineStr">
        <is>
          <t>UPI Payment</t>
        </is>
      </c>
      <c r="K423" s="38" t="inlineStr">
        <is>
          <t>Personal</t>
        </is>
      </c>
      <c r="L423" s="25" t="n">
        <v>0.55</v>
      </c>
      <c r="M423" s="38" t="inlineStr">
        <is>
          <t>N/A</t>
        </is>
      </c>
    </row>
    <row r="424">
      <c r="A424" s="97" t="n">
        <v>45280</v>
      </c>
      <c r="B424" s="98" t="inlineStr">
        <is>
          <t>UPIOUT/335418918572/swiggy5@kotak/PayViaRa
zo/5814</t>
        </is>
      </c>
      <c r="C424" s="98" t="inlineStr"/>
      <c r="D424" s="97" t="n">
        <v>45280</v>
      </c>
      <c r="E424" s="98" t="n">
        <v>833</v>
      </c>
      <c r="F424" s="98" t="n">
        <v>0</v>
      </c>
      <c r="G424" s="98" t="n">
        <v>28872.31</v>
      </c>
      <c r="H424" s="98" t="inlineStr"/>
      <c r="I424" s="98" t="inlineStr"/>
      <c r="J424" s="98" t="inlineStr">
        <is>
          <t>UPI - Swiggy</t>
        </is>
      </c>
      <c r="K424" s="98" t="inlineStr">
        <is>
          <t>Food &amp; Dining</t>
        </is>
      </c>
      <c r="L424" s="34" t="n">
        <v>0.68</v>
      </c>
      <c r="M424" s="98" t="inlineStr">
        <is>
          <t>N/A</t>
        </is>
      </c>
    </row>
    <row r="425">
      <c r="A425" s="91" t="n">
        <v>45280</v>
      </c>
      <c r="B425" s="92" t="inlineStr">
        <is>
          <t>UPIOUT/335421652239/uberrides@hdfcbank/cha
rg/5960</t>
        </is>
      </c>
      <c r="C425" s="92" t="inlineStr"/>
      <c r="D425" s="91" t="n">
        <v>45280</v>
      </c>
      <c r="E425" s="92" t="n">
        <v>40.42</v>
      </c>
      <c r="F425" s="92" t="n">
        <v>0</v>
      </c>
      <c r="G425" s="92" t="n">
        <v>28831.89</v>
      </c>
      <c r="H425" s="92" t="inlineStr"/>
      <c r="I425" s="92" t="inlineStr"/>
      <c r="J425" s="92" t="inlineStr">
        <is>
          <t>UPI - Uber</t>
        </is>
      </c>
      <c r="K425" s="92" t="inlineStr">
        <is>
          <t>Transport</t>
        </is>
      </c>
      <c r="L425" s="34" t="n">
        <v>0.68</v>
      </c>
      <c r="M425" s="92" t="inlineStr">
        <is>
          <t>N/A</t>
        </is>
      </c>
    </row>
    <row r="426">
      <c r="A426" s="35" t="n">
        <v>45280</v>
      </c>
      <c r="B426" s="36" t="inlineStr">
        <is>
          <t>UPI IN/335443572042/paytm-651536@paytm/exp
re/0000</t>
        </is>
      </c>
      <c r="C426" s="36" t="inlineStr"/>
      <c r="D426" s="35" t="n">
        <v>45280</v>
      </c>
      <c r="E426" s="36" t="n">
        <v>0</v>
      </c>
      <c r="F426" s="36" t="n">
        <v>895</v>
      </c>
      <c r="G426" s="36" t="n">
        <v>29726.89</v>
      </c>
      <c r="H426" s="36" t="inlineStr"/>
      <c r="I426" s="36" t="inlineStr"/>
      <c r="J426" s="36" t="inlineStr">
        <is>
          <t>UPI - Paytm</t>
        </is>
      </c>
      <c r="K426" s="36" t="inlineStr">
        <is>
          <t>Personal</t>
        </is>
      </c>
      <c r="L426" s="34" t="n">
        <v>0.65</v>
      </c>
      <c r="M426" s="36" t="inlineStr">
        <is>
          <t>N/A</t>
        </is>
      </c>
    </row>
    <row r="427">
      <c r="A427" s="58" t="n">
        <v>45281</v>
      </c>
      <c r="B427" s="59" t="inlineStr">
        <is>
          <t>NFT/NEOSIEXEDDD2023122112312568136 NAVI
Mutual Fun</t>
        </is>
      </c>
      <c r="C427" s="59" t="inlineStr"/>
      <c r="D427" s="58" t="n">
        <v>45281</v>
      </c>
      <c r="E427" s="59" t="n">
        <v>100</v>
      </c>
      <c r="F427" s="59" t="n">
        <v>0</v>
      </c>
      <c r="G427" s="59" t="n">
        <v>29626.89</v>
      </c>
      <c r="H427" s="59" t="inlineStr"/>
      <c r="I427" s="59" t="inlineStr"/>
      <c r="J427" s="59" t="inlineStr">
        <is>
          <t>MF Investment</t>
        </is>
      </c>
      <c r="K427" s="59" t="inlineStr">
        <is>
          <t>Investments</t>
        </is>
      </c>
      <c r="L427" s="18" t="n">
        <v>0.88</v>
      </c>
      <c r="M427" s="59" t="inlineStr">
        <is>
          <t>N/A</t>
        </is>
      </c>
    </row>
    <row r="428">
      <c r="A428" s="58" t="n">
        <v>45281</v>
      </c>
      <c r="B428" s="59" t="inlineStr">
        <is>
          <t>NFT/NEOSIEXEDDD2023122102304265647 Mirae
Asset Mut</t>
        </is>
      </c>
      <c r="C428" s="59" t="inlineStr"/>
      <c r="D428" s="58" t="n">
        <v>45281</v>
      </c>
      <c r="E428" s="59" t="n">
        <v>1000</v>
      </c>
      <c r="F428" s="59" t="n">
        <v>0</v>
      </c>
      <c r="G428" s="59" t="n">
        <v>28626.89</v>
      </c>
      <c r="H428" s="59" t="inlineStr"/>
      <c r="I428" s="59" t="inlineStr"/>
      <c r="J428" s="59" t="inlineStr">
        <is>
          <t>MF Investment</t>
        </is>
      </c>
      <c r="K428" s="59" t="inlineStr">
        <is>
          <t>Investments</t>
        </is>
      </c>
      <c r="L428" s="18" t="n">
        <v>0.88</v>
      </c>
      <c r="M428" s="59" t="inlineStr">
        <is>
          <t>N/A</t>
        </is>
      </c>
    </row>
    <row r="429">
      <c r="A429" s="58" t="n">
        <v>45281</v>
      </c>
      <c r="B429" s="59" t="inlineStr">
        <is>
          <t>NFT/NEOSIEXEDDD2023122103002683353 Quant
Mutual Fu</t>
        </is>
      </c>
      <c r="C429" s="59" t="inlineStr"/>
      <c r="D429" s="58" t="n">
        <v>45281</v>
      </c>
      <c r="E429" s="59" t="n">
        <v>1000</v>
      </c>
      <c r="F429" s="59" t="n">
        <v>0</v>
      </c>
      <c r="G429" s="59" t="n">
        <v>27626.89</v>
      </c>
      <c r="H429" s="59" t="inlineStr"/>
      <c r="I429" s="59" t="inlineStr"/>
      <c r="J429" s="59" t="inlineStr">
        <is>
          <t>MF Investment</t>
        </is>
      </c>
      <c r="K429" s="59" t="inlineStr">
        <is>
          <t>Investments</t>
        </is>
      </c>
      <c r="L429" s="18" t="n">
        <v>0.88</v>
      </c>
      <c r="M429" s="59" t="inlineStr">
        <is>
          <t>N/A</t>
        </is>
      </c>
    </row>
    <row r="430">
      <c r="A430" s="37" t="n">
        <v>45281</v>
      </c>
      <c r="B430" s="38" t="inlineStr">
        <is>
          <t>UPIOUT/335580614536/8179554361@ibl/Sent
via /0000</t>
        </is>
      </c>
      <c r="C430" s="38" t="inlineStr"/>
      <c r="D430" s="37" t="n">
        <v>45281</v>
      </c>
      <c r="E430" s="38" t="n">
        <v>100</v>
      </c>
      <c r="F430" s="38" t="n">
        <v>0</v>
      </c>
      <c r="G430" s="38" t="n">
        <v>27526.89</v>
      </c>
      <c r="H430" s="38" t="inlineStr"/>
      <c r="I430" s="38" t="inlineStr"/>
      <c r="J430" s="38" t="inlineStr">
        <is>
          <t>UPI Payment</t>
        </is>
      </c>
      <c r="K430" s="38" t="inlineStr">
        <is>
          <t>Personal</t>
        </is>
      </c>
      <c r="L430" s="25" t="n">
        <v>0.55</v>
      </c>
      <c r="M430" s="38" t="inlineStr">
        <is>
          <t>N/A</t>
        </is>
      </c>
    </row>
    <row r="431">
      <c r="A431" s="35" t="n">
        <v>45281</v>
      </c>
      <c r="B431" s="36" t="inlineStr">
        <is>
          <t>UPIOUT/335586445145/paytm-76881028@paytm/S
en/4121</t>
        </is>
      </c>
      <c r="C431" s="36" t="inlineStr"/>
      <c r="D431" s="35" t="n">
        <v>45281</v>
      </c>
      <c r="E431" s="36" t="n">
        <v>33</v>
      </c>
      <c r="F431" s="36" t="n">
        <v>0</v>
      </c>
      <c r="G431" s="36" t="n">
        <v>27493.89</v>
      </c>
      <c r="H431" s="36" t="inlineStr"/>
      <c r="I431" s="36" t="inlineStr"/>
      <c r="J431" s="36" t="inlineStr">
        <is>
          <t>UPI - Paytm</t>
        </is>
      </c>
      <c r="K431" s="36" t="inlineStr">
        <is>
          <t>Personal</t>
        </is>
      </c>
      <c r="L431" s="34" t="n">
        <v>0.65</v>
      </c>
      <c r="M431" s="36" t="inlineStr">
        <is>
          <t>N/A</t>
        </is>
      </c>
    </row>
    <row r="432">
      <c r="A432" s="37" t="n">
        <v>45281</v>
      </c>
      <c r="B432" s="38" t="inlineStr">
        <is>
          <t>UPIOUT/335586825201/Q780515718@ybl/Sent
via /5814</t>
        </is>
      </c>
      <c r="C432" s="38" t="inlineStr"/>
      <c r="D432" s="37" t="n">
        <v>45281</v>
      </c>
      <c r="E432" s="38" t="n">
        <v>40</v>
      </c>
      <c r="F432" s="38" t="n">
        <v>0</v>
      </c>
      <c r="G432" s="38" t="n">
        <v>27453.89</v>
      </c>
      <c r="H432" s="38" t="inlineStr"/>
      <c r="I432" s="38" t="inlineStr"/>
      <c r="J432" s="38" t="inlineStr">
        <is>
          <t>UPI Payment</t>
        </is>
      </c>
      <c r="K432" s="38" t="inlineStr">
        <is>
          <t>Personal</t>
        </is>
      </c>
      <c r="L432" s="25" t="n">
        <v>0.55</v>
      </c>
      <c r="M432" s="38" t="inlineStr">
        <is>
          <t>N/A</t>
        </is>
      </c>
    </row>
    <row r="433">
      <c r="A433" s="93" t="n">
        <v>45281</v>
      </c>
      <c r="B433" s="94" t="inlineStr">
        <is>
          <t>UPIOUT/335587052689/gpay-11232719093@okbiz
ax/4215</t>
        </is>
      </c>
      <c r="C433" s="94" t="inlineStr"/>
      <c r="D433" s="93" t="n">
        <v>45281</v>
      </c>
      <c r="E433" s="94" t="n">
        <v>75</v>
      </c>
      <c r="F433" s="94" t="n">
        <v>0</v>
      </c>
      <c r="G433" s="94" t="n">
        <v>27378.89</v>
      </c>
      <c r="H433" s="94" t="inlineStr"/>
      <c r="I433" s="94" t="inlineStr"/>
      <c r="J433" s="94" t="inlineStr">
        <is>
          <t>UPI - Google Pay</t>
        </is>
      </c>
      <c r="K433" s="94" t="inlineStr">
        <is>
          <t>Personal</t>
        </is>
      </c>
      <c r="L433" s="34" t="n">
        <v>0.65</v>
      </c>
      <c r="M433" s="94" t="inlineStr">
        <is>
          <t>N/A</t>
        </is>
      </c>
    </row>
    <row r="434">
      <c r="A434" s="58" t="n">
        <v>45282</v>
      </c>
      <c r="B434" s="59" t="inlineStr">
        <is>
          <t>NFT/NEOSIEXEDDD2023122212303073095 NAVI
Mutual Fun</t>
        </is>
      </c>
      <c r="C434" s="59" t="inlineStr"/>
      <c r="D434" s="58" t="n">
        <v>45282</v>
      </c>
      <c r="E434" s="59" t="n">
        <v>100</v>
      </c>
      <c r="F434" s="59" t="n">
        <v>0</v>
      </c>
      <c r="G434" s="59" t="n">
        <v>27278.89</v>
      </c>
      <c r="H434" s="59" t="inlineStr"/>
      <c r="I434" s="59" t="inlineStr"/>
      <c r="J434" s="59" t="inlineStr">
        <is>
          <t>MF Investment</t>
        </is>
      </c>
      <c r="K434" s="59" t="inlineStr">
        <is>
          <t>Investments</t>
        </is>
      </c>
      <c r="L434" s="18" t="n">
        <v>0.88</v>
      </c>
      <c r="M434" s="59" t="inlineStr">
        <is>
          <t>N/A</t>
        </is>
      </c>
    </row>
    <row r="435">
      <c r="A435" s="35" t="n">
        <v>45282</v>
      </c>
      <c r="B435" s="36" t="inlineStr">
        <is>
          <t>UPIOUT/335690294618/paytmqr1kmef7abcr@payt
m//7407</t>
        </is>
      </c>
      <c r="C435" s="36" t="inlineStr"/>
      <c r="D435" s="35" t="n">
        <v>45282</v>
      </c>
      <c r="E435" s="36" t="n">
        <v>100</v>
      </c>
      <c r="F435" s="36" t="n">
        <v>0</v>
      </c>
      <c r="G435" s="36" t="n">
        <v>27178.89</v>
      </c>
      <c r="H435" s="36" t="inlineStr"/>
      <c r="I435" s="36" t="inlineStr"/>
      <c r="J435" s="36" t="inlineStr">
        <is>
          <t>UPI - Paytm</t>
        </is>
      </c>
      <c r="K435" s="36" t="inlineStr">
        <is>
          <t>Personal</t>
        </is>
      </c>
      <c r="L435" s="34" t="n">
        <v>0.65</v>
      </c>
      <c r="M435" s="36" t="inlineStr">
        <is>
          <t>N/A</t>
        </is>
      </c>
    </row>
    <row r="436">
      <c r="A436" s="21" t="n">
        <v>45282</v>
      </c>
      <c r="B436" s="22" t="inlineStr">
        <is>
          <t>UPIOUT/335695757687/rapido.rzp@icici/Payme
nt/4121</t>
        </is>
      </c>
      <c r="C436" s="22" t="inlineStr"/>
      <c r="D436" s="21" t="n">
        <v>45282</v>
      </c>
      <c r="E436" s="22" t="n">
        <v>29</v>
      </c>
      <c r="F436" s="22" t="n">
        <v>0</v>
      </c>
      <c r="G436" s="22" t="n">
        <v>27149.89</v>
      </c>
      <c r="H436" s="22" t="inlineStr"/>
      <c r="I436" s="22" t="inlineStr"/>
      <c r="J436" s="22" t="inlineStr">
        <is>
          <t>UPI - Rapido</t>
        </is>
      </c>
      <c r="K436" s="22" t="inlineStr">
        <is>
          <t>Transport</t>
        </is>
      </c>
      <c r="L436" s="34" t="n">
        <v>0.68</v>
      </c>
      <c r="M436" s="22" t="inlineStr">
        <is>
          <t>N/A</t>
        </is>
      </c>
    </row>
    <row r="437">
      <c r="A437" s="35" t="n">
        <v>45282</v>
      </c>
      <c r="B437" s="36" t="inlineStr">
        <is>
          <t>UPIOUT/335696239664/paytmqr281005050101ec4
sp/5912</t>
        </is>
      </c>
      <c r="C437" s="36" t="inlineStr"/>
      <c r="D437" s="35" t="n">
        <v>45282</v>
      </c>
      <c r="E437" s="36" t="n">
        <v>100</v>
      </c>
      <c r="F437" s="36" t="n">
        <v>0</v>
      </c>
      <c r="G437" s="36" t="n">
        <v>27049.89</v>
      </c>
      <c r="H437" s="36" t="inlineStr"/>
      <c r="I437" s="36" t="inlineStr"/>
      <c r="J437" s="36" t="inlineStr">
        <is>
          <t>UPI - Paytm</t>
        </is>
      </c>
      <c r="K437" s="36" t="inlineStr">
        <is>
          <t>Personal</t>
        </is>
      </c>
      <c r="L437" s="34" t="n">
        <v>0.65</v>
      </c>
      <c r="M437" s="36" t="inlineStr">
        <is>
          <t>N/A</t>
        </is>
      </c>
    </row>
    <row r="438">
      <c r="A438" s="35" t="n">
        <v>45282</v>
      </c>
      <c r="B438" s="36" t="inlineStr">
        <is>
          <t>UPIOUT/335696527659/paytmqr281005050101ac5
gq/5812</t>
        </is>
      </c>
      <c r="C438" s="36" t="inlineStr"/>
      <c r="D438" s="35" t="n">
        <v>45282</v>
      </c>
      <c r="E438" s="36" t="n">
        <v>70</v>
      </c>
      <c r="F438" s="36" t="n">
        <v>0</v>
      </c>
      <c r="G438" s="36" t="n">
        <v>26979.89</v>
      </c>
      <c r="H438" s="36" t="inlineStr"/>
      <c r="I438" s="36" t="inlineStr"/>
      <c r="J438" s="36" t="inlineStr">
        <is>
          <t>UPI - Paytm</t>
        </is>
      </c>
      <c r="K438" s="36" t="inlineStr">
        <is>
          <t>Personal</t>
        </is>
      </c>
      <c r="L438" s="34" t="n">
        <v>0.65</v>
      </c>
      <c r="M438" s="36" t="inlineStr">
        <is>
          <t>N/A</t>
        </is>
      </c>
    </row>
    <row r="439">
      <c r="A439" s="35" t="n">
        <v>45282</v>
      </c>
      <c r="B439" s="36" t="inlineStr">
        <is>
          <t>UPIOUT/335696622010/paytmqri5ciai3vuc@payt
m//5812</t>
        </is>
      </c>
      <c r="C439" s="36" t="inlineStr"/>
      <c r="D439" s="35" t="n">
        <v>45282</v>
      </c>
      <c r="E439" s="36" t="n">
        <v>60</v>
      </c>
      <c r="F439" s="36" t="n">
        <v>0</v>
      </c>
      <c r="G439" s="36" t="n">
        <v>26919.89</v>
      </c>
      <c r="H439" s="36" t="inlineStr"/>
      <c r="I439" s="36" t="inlineStr"/>
      <c r="J439" s="36" t="inlineStr">
        <is>
          <t>UPI - Paytm</t>
        </is>
      </c>
      <c r="K439" s="36" t="inlineStr">
        <is>
          <t>Personal</t>
        </is>
      </c>
      <c r="L439" s="34" t="n">
        <v>0.65</v>
      </c>
      <c r="M439" s="36" t="inlineStr">
        <is>
          <t>N/A</t>
        </is>
      </c>
    </row>
    <row r="440">
      <c r="A440" s="35" t="n">
        <v>45282</v>
      </c>
      <c r="B440" s="36" t="inlineStr">
        <is>
          <t>UPIOUT/335697308444/paytmqr281005050101w32
ji/5912</t>
        </is>
      </c>
      <c r="C440" s="36" t="inlineStr"/>
      <c r="D440" s="35" t="n">
        <v>45282</v>
      </c>
      <c r="E440" s="36" t="n">
        <v>120</v>
      </c>
      <c r="F440" s="36" t="n">
        <v>0</v>
      </c>
      <c r="G440" s="36" t="n">
        <v>26799.89</v>
      </c>
      <c r="H440" s="36" t="inlineStr"/>
      <c r="I440" s="36" t="inlineStr"/>
      <c r="J440" s="36" t="inlineStr">
        <is>
          <t>UPI - Paytm</t>
        </is>
      </c>
      <c r="K440" s="36" t="inlineStr">
        <is>
          <t>Personal</t>
        </is>
      </c>
      <c r="L440" s="34" t="n">
        <v>0.65</v>
      </c>
      <c r="M440" s="36" t="inlineStr">
        <is>
          <t>N/A</t>
        </is>
      </c>
    </row>
    <row r="441">
      <c r="A441" s="30" t="n">
        <v>45283</v>
      </c>
      <c r="B441" s="31" t="inlineStr">
        <is>
          <t>SBINT:23-09-2023 to
22-12-2023[77770101840847]</t>
        </is>
      </c>
      <c r="C441" s="31" t="inlineStr"/>
      <c r="D441" s="30" t="n">
        <v>45282</v>
      </c>
      <c r="E441" s="31" t="n">
        <v>0</v>
      </c>
      <c r="F441" s="31" t="n">
        <v>219</v>
      </c>
      <c r="G441" s="31" t="n">
        <v>27018.89</v>
      </c>
      <c r="H441" s="31" t="inlineStr"/>
      <c r="I441" s="31" t="inlineStr"/>
      <c r="J441" s="31" t="inlineStr">
        <is>
          <t>Bank Interest</t>
        </is>
      </c>
      <c r="K441" s="31" t="inlineStr">
        <is>
          <t>Bank Interest</t>
        </is>
      </c>
      <c r="L441" s="18" t="n">
        <v>0.96</v>
      </c>
      <c r="M441" s="31" t="inlineStr">
        <is>
          <t>N/A</t>
        </is>
      </c>
    </row>
    <row r="442">
      <c r="A442" s="35" t="n">
        <v>45283</v>
      </c>
      <c r="B442" s="36" t="inlineStr">
        <is>
          <t>UPIOUT/335710145424/paytmqr1l47y8otva@payt
m//5411</t>
        </is>
      </c>
      <c r="C442" s="36" t="inlineStr"/>
      <c r="D442" s="35" t="n">
        <v>45283</v>
      </c>
      <c r="E442" s="36" t="n">
        <v>60</v>
      </c>
      <c r="F442" s="36" t="n">
        <v>0</v>
      </c>
      <c r="G442" s="36" t="n">
        <v>26958.89</v>
      </c>
      <c r="H442" s="36" t="inlineStr"/>
      <c r="I442" s="36" t="inlineStr"/>
      <c r="J442" s="36" t="inlineStr">
        <is>
          <t>UPI - Paytm</t>
        </is>
      </c>
      <c r="K442" s="36" t="inlineStr">
        <is>
          <t>Personal</t>
        </is>
      </c>
      <c r="L442" s="34" t="n">
        <v>0.65</v>
      </c>
      <c r="M442" s="36" t="inlineStr">
        <is>
          <t>N/A</t>
        </is>
      </c>
    </row>
    <row r="443">
      <c r="A443" s="37" t="n">
        <v>45283</v>
      </c>
      <c r="B443" s="38" t="inlineStr">
        <is>
          <t>UPIOUT/335710332853/Q884724626@ybl/Sent
via /5812</t>
        </is>
      </c>
      <c r="C443" s="38" t="inlineStr"/>
      <c r="D443" s="37" t="n">
        <v>45283</v>
      </c>
      <c r="E443" s="38" t="n">
        <v>15</v>
      </c>
      <c r="F443" s="38" t="n">
        <v>0</v>
      </c>
      <c r="G443" s="38" t="n">
        <v>26943.89</v>
      </c>
      <c r="H443" s="38" t="inlineStr"/>
      <c r="I443" s="38" t="inlineStr"/>
      <c r="J443" s="38" t="inlineStr">
        <is>
          <t>UPI Payment</t>
        </is>
      </c>
      <c r="K443" s="38" t="inlineStr">
        <is>
          <t>Personal</t>
        </is>
      </c>
      <c r="L443" s="25" t="n">
        <v>0.55</v>
      </c>
      <c r="M443" s="38" t="inlineStr">
        <is>
          <t>N/A</t>
        </is>
      </c>
    </row>
    <row r="444">
      <c r="A444" s="35" t="n">
        <v>45283</v>
      </c>
      <c r="B444" s="36" t="inlineStr">
        <is>
          <t>UPIOUT/335712479969/paytmqr1rwdf0o4v1@payt
m//5812</t>
        </is>
      </c>
      <c r="C444" s="36" t="inlineStr"/>
      <c r="D444" s="35" t="n">
        <v>45283</v>
      </c>
      <c r="E444" s="36" t="n">
        <v>264</v>
      </c>
      <c r="F444" s="36" t="n">
        <v>0</v>
      </c>
      <c r="G444" s="36" t="n">
        <v>26679.89</v>
      </c>
      <c r="H444" s="36" t="inlineStr"/>
      <c r="I444" s="36" t="inlineStr"/>
      <c r="J444" s="36" t="inlineStr">
        <is>
          <t>UPI - Paytm</t>
        </is>
      </c>
      <c r="K444" s="36" t="inlineStr">
        <is>
          <t>Personal</t>
        </is>
      </c>
      <c r="L444" s="34" t="n">
        <v>0.65</v>
      </c>
      <c r="M444" s="36" t="inlineStr">
        <is>
          <t>N/A</t>
        </is>
      </c>
    </row>
    <row r="445">
      <c r="A445" s="21" t="n">
        <v>45284</v>
      </c>
      <c r="B445" s="22" t="inlineStr">
        <is>
          <t>UPIOUT/335832830420/irctc.cf@hdfcbank/IRCT
C /4722</t>
        </is>
      </c>
      <c r="C445" s="22" t="inlineStr"/>
      <c r="D445" s="21" t="n">
        <v>45284</v>
      </c>
      <c r="E445" s="22" t="n">
        <v>983.6</v>
      </c>
      <c r="F445" s="22" t="n">
        <v>0</v>
      </c>
      <c r="G445" s="22" t="n">
        <v>25696.29</v>
      </c>
      <c r="H445" s="22" t="inlineStr"/>
      <c r="I445" s="22" t="inlineStr"/>
      <c r="J445" s="22" t="inlineStr">
        <is>
          <t>UPI - IRCTC</t>
        </is>
      </c>
      <c r="K445" s="22" t="inlineStr">
        <is>
          <t>Travel</t>
        </is>
      </c>
      <c r="L445" s="18" t="n">
        <v>0.88</v>
      </c>
      <c r="M445" s="22" t="inlineStr">
        <is>
          <t>N/A</t>
        </is>
      </c>
    </row>
    <row r="446">
      <c r="A446" s="21" t="n">
        <v>45284</v>
      </c>
      <c r="B446" s="22" t="inlineStr">
        <is>
          <t>UPIOUT/335832822889/irctc.cf@hdfcbank/IRCT
C /4722</t>
        </is>
      </c>
      <c r="C446" s="22" t="inlineStr"/>
      <c r="D446" s="21" t="n">
        <v>45284</v>
      </c>
      <c r="E446" s="22" t="n">
        <v>983.6</v>
      </c>
      <c r="F446" s="22" t="n">
        <v>0</v>
      </c>
      <c r="G446" s="22" t="n">
        <v>24712.69</v>
      </c>
      <c r="H446" s="22" t="inlineStr"/>
      <c r="I446" s="22" t="inlineStr"/>
      <c r="J446" s="22" t="inlineStr">
        <is>
          <t>UPI - IRCTC</t>
        </is>
      </c>
      <c r="K446" s="22" t="inlineStr">
        <is>
          <t>Travel</t>
        </is>
      </c>
      <c r="L446" s="18" t="n">
        <v>0.88</v>
      </c>
      <c r="M446" s="22" t="inlineStr">
        <is>
          <t>N/A</t>
        </is>
      </c>
    </row>
    <row r="447">
      <c r="A447" s="37" t="n">
        <v>45284</v>
      </c>
      <c r="B447" s="38" t="inlineStr">
        <is>
          <t>UPIOUT/335816954430/Q402731021@ybl/Sent
via /5812</t>
        </is>
      </c>
      <c r="C447" s="38" t="inlineStr"/>
      <c r="D447" s="37" t="n">
        <v>45284</v>
      </c>
      <c r="E447" s="38" t="n">
        <v>40</v>
      </c>
      <c r="F447" s="38" t="n">
        <v>0</v>
      </c>
      <c r="G447" s="38" t="n">
        <v>24672.69</v>
      </c>
      <c r="H447" s="38" t="inlineStr"/>
      <c r="I447" s="38" t="inlineStr"/>
      <c r="J447" s="38" t="inlineStr">
        <is>
          <t>UPI Payment</t>
        </is>
      </c>
      <c r="K447" s="38" t="inlineStr">
        <is>
          <t>Personal</t>
        </is>
      </c>
      <c r="L447" s="25" t="n">
        <v>0.55</v>
      </c>
      <c r="M447" s="38" t="inlineStr">
        <is>
          <t>N/A</t>
        </is>
      </c>
    </row>
    <row r="448">
      <c r="A448" s="35" t="n">
        <v>45284</v>
      </c>
      <c r="B448" s="36" t="inlineStr">
        <is>
          <t>UPIOUT/335817011245/paytmqr1vkus7yoxi@payt
m//5812</t>
        </is>
      </c>
      <c r="C448" s="36" t="inlineStr"/>
      <c r="D448" s="35" t="n">
        <v>45284</v>
      </c>
      <c r="E448" s="36" t="n">
        <v>25</v>
      </c>
      <c r="F448" s="36" t="n">
        <v>0</v>
      </c>
      <c r="G448" s="36" t="n">
        <v>24647.69</v>
      </c>
      <c r="H448" s="36" t="inlineStr"/>
      <c r="I448" s="36" t="inlineStr"/>
      <c r="J448" s="36" t="inlineStr">
        <is>
          <t>UPI - Paytm</t>
        </is>
      </c>
      <c r="K448" s="36" t="inlineStr">
        <is>
          <t>Personal</t>
        </is>
      </c>
      <c r="L448" s="34" t="n">
        <v>0.65</v>
      </c>
      <c r="M448" s="36" t="inlineStr">
        <is>
          <t>N/A</t>
        </is>
      </c>
    </row>
    <row r="449">
      <c r="A449" s="58" t="n">
        <v>45285</v>
      </c>
      <c r="B449" s="59" t="inlineStr">
        <is>
          <t>NFT/NEOSIEXEDDD2023122502153954593 Nippon
India Mu</t>
        </is>
      </c>
      <c r="C449" s="59" t="inlineStr"/>
      <c r="D449" s="58" t="n">
        <v>45285</v>
      </c>
      <c r="E449" s="59" t="n">
        <v>2000</v>
      </c>
      <c r="F449" s="59" t="n">
        <v>0</v>
      </c>
      <c r="G449" s="59" t="n">
        <v>22647.69</v>
      </c>
      <c r="H449" s="59" t="inlineStr"/>
      <c r="I449" s="59" t="inlineStr"/>
      <c r="J449" s="59" t="inlineStr">
        <is>
          <t>MF Investment</t>
        </is>
      </c>
      <c r="K449" s="59" t="inlineStr">
        <is>
          <t>Investments</t>
        </is>
      </c>
      <c r="L449" s="18" t="n">
        <v>0.88</v>
      </c>
      <c r="M449" s="59" t="inlineStr">
        <is>
          <t>N/A</t>
        </is>
      </c>
    </row>
    <row r="450">
      <c r="A450" s="37" t="n">
        <v>45286</v>
      </c>
      <c r="B450" s="38" t="inlineStr">
        <is>
          <t>UPIOUT/336030644529/raasoori@ybl/Sent via
Ju/0000</t>
        </is>
      </c>
      <c r="C450" s="38" t="inlineStr"/>
      <c r="D450" s="37" t="n">
        <v>45286</v>
      </c>
      <c r="E450" s="38" t="n">
        <v>120</v>
      </c>
      <c r="F450" s="38" t="n">
        <v>0</v>
      </c>
      <c r="G450" s="38" t="n">
        <v>22527.69</v>
      </c>
      <c r="H450" s="38" t="inlineStr"/>
      <c r="I450" s="38" t="inlineStr"/>
      <c r="J450" s="38" t="inlineStr">
        <is>
          <t>UPI Payment</t>
        </is>
      </c>
      <c r="K450" s="38" t="inlineStr">
        <is>
          <t>Personal</t>
        </is>
      </c>
      <c r="L450" s="25" t="n">
        <v>0.55</v>
      </c>
      <c r="M450" s="38" t="inlineStr">
        <is>
          <t>N/A</t>
        </is>
      </c>
    </row>
    <row r="451">
      <c r="A451" s="37" t="n">
        <v>45286</v>
      </c>
      <c r="B451" s="38" t="inlineStr">
        <is>
          <t>UPIOUT/336031103669/RIOTAAGROOFFLINE@ybl/P
ay/5046</t>
        </is>
      </c>
      <c r="C451" s="38" t="inlineStr"/>
      <c r="D451" s="37" t="n">
        <v>45286</v>
      </c>
      <c r="E451" s="38" t="n">
        <v>30</v>
      </c>
      <c r="F451" s="38" t="n">
        <v>0</v>
      </c>
      <c r="G451" s="38" t="n">
        <v>22497.69</v>
      </c>
      <c r="H451" s="38" t="inlineStr"/>
      <c r="I451" s="38" t="inlineStr"/>
      <c r="J451" s="38" t="inlineStr">
        <is>
          <t>UPI Payment</t>
        </is>
      </c>
      <c r="K451" s="38" t="inlineStr">
        <is>
          <t>Personal</t>
        </is>
      </c>
      <c r="L451" s="25" t="n">
        <v>0.55</v>
      </c>
      <c r="M451" s="38" t="inlineStr">
        <is>
          <t>N/A</t>
        </is>
      </c>
    </row>
    <row r="452">
      <c r="A452" s="37" t="n">
        <v>45286</v>
      </c>
      <c r="B452" s="38" t="inlineStr">
        <is>
          <t>UPIOUT/336031981458/nitinfas3@okicici/Sent
v/0000</t>
        </is>
      </c>
      <c r="C452" s="38" t="inlineStr"/>
      <c r="D452" s="37" t="n">
        <v>45286</v>
      </c>
      <c r="E452" s="38" t="n">
        <v>200</v>
      </c>
      <c r="F452" s="38" t="n">
        <v>0</v>
      </c>
      <c r="G452" s="38" t="n">
        <v>22297.69</v>
      </c>
      <c r="H452" s="38" t="inlineStr"/>
      <c r="I452" s="38" t="inlineStr"/>
      <c r="J452" s="38" t="inlineStr">
        <is>
          <t>UPI Payment</t>
        </is>
      </c>
      <c r="K452" s="38" t="inlineStr">
        <is>
          <t>Personal</t>
        </is>
      </c>
      <c r="L452" s="25" t="n">
        <v>0.55</v>
      </c>
      <c r="M452" s="38" t="inlineStr">
        <is>
          <t>N/A</t>
        </is>
      </c>
    </row>
    <row r="453">
      <c r="A453" s="37" t="n">
        <v>45286</v>
      </c>
      <c r="B453" s="38" t="inlineStr">
        <is>
          <t>UPIOUT/336033721494/Q780515718@ybl/Sent
via /5814</t>
        </is>
      </c>
      <c r="C453" s="38" t="inlineStr"/>
      <c r="D453" s="37" t="n">
        <v>45286</v>
      </c>
      <c r="E453" s="38" t="n">
        <v>40</v>
      </c>
      <c r="F453" s="38" t="n">
        <v>0</v>
      </c>
      <c r="G453" s="38" t="n">
        <v>22257.69</v>
      </c>
      <c r="H453" s="38" t="inlineStr"/>
      <c r="I453" s="38" t="inlineStr"/>
      <c r="J453" s="38" t="inlineStr">
        <is>
          <t>UPI Payment</t>
        </is>
      </c>
      <c r="K453" s="38" t="inlineStr">
        <is>
          <t>Personal</t>
        </is>
      </c>
      <c r="L453" s="25" t="n">
        <v>0.55</v>
      </c>
      <c r="M453" s="38" t="inlineStr">
        <is>
          <t>N/A</t>
        </is>
      </c>
    </row>
    <row r="454">
      <c r="A454" s="91" t="n">
        <v>45287</v>
      </c>
      <c r="B454" s="92" t="inlineStr">
        <is>
          <t>UPIOUT/336139286950/uber@axisbank/charge/4
121</t>
        </is>
      </c>
      <c r="C454" s="92" t="inlineStr"/>
      <c r="D454" s="91" t="n">
        <v>45287</v>
      </c>
      <c r="E454" s="92" t="n">
        <v>212.85</v>
      </c>
      <c r="F454" s="92" t="n">
        <v>0</v>
      </c>
      <c r="G454" s="92" t="n">
        <v>22044.84</v>
      </c>
      <c r="H454" s="92" t="inlineStr"/>
      <c r="I454" s="92" t="inlineStr"/>
      <c r="J454" s="92" t="inlineStr">
        <is>
          <t>UPI - Uber</t>
        </is>
      </c>
      <c r="K454" s="92" t="inlineStr">
        <is>
          <t>Transport</t>
        </is>
      </c>
      <c r="L454" s="34" t="n">
        <v>0.68</v>
      </c>
      <c r="M454" s="92" t="inlineStr">
        <is>
          <t>N/A</t>
        </is>
      </c>
    </row>
    <row r="455">
      <c r="A455" s="91" t="n">
        <v>45287</v>
      </c>
      <c r="B455" s="92" t="inlineStr">
        <is>
          <t>UPIOUT/336139363222/uber@axisbank/charge/4
121</t>
        </is>
      </c>
      <c r="C455" s="92" t="inlineStr"/>
      <c r="D455" s="91" t="n">
        <v>45287</v>
      </c>
      <c r="E455" s="92" t="n">
        <v>58.54</v>
      </c>
      <c r="F455" s="92" t="n">
        <v>0</v>
      </c>
      <c r="G455" s="92" t="n">
        <v>21986.3</v>
      </c>
      <c r="H455" s="92" t="inlineStr"/>
      <c r="I455" s="92" t="inlineStr"/>
      <c r="J455" s="92" t="inlineStr">
        <is>
          <t>UPI - Uber</t>
        </is>
      </c>
      <c r="K455" s="92" t="inlineStr">
        <is>
          <t>Transport</t>
        </is>
      </c>
      <c r="L455" s="34" t="n">
        <v>0.68</v>
      </c>
      <c r="M455" s="92" t="inlineStr">
        <is>
          <t>N/A</t>
        </is>
      </c>
    </row>
    <row r="456">
      <c r="A456" s="21" t="n">
        <v>45287</v>
      </c>
      <c r="B456" s="22" t="inlineStr">
        <is>
          <t>UPIOUT/336141024437/irctc.cf@hdfcbank/IRCT
C /4722</t>
        </is>
      </c>
      <c r="C456" s="22" t="inlineStr"/>
      <c r="D456" s="21" t="n">
        <v>45287</v>
      </c>
      <c r="E456" s="22" t="n">
        <v>72.15000000000001</v>
      </c>
      <c r="F456" s="22" t="n">
        <v>0</v>
      </c>
      <c r="G456" s="22" t="n">
        <v>21914.15</v>
      </c>
      <c r="H456" s="22" t="inlineStr"/>
      <c r="I456" s="22" t="inlineStr"/>
      <c r="J456" s="22" t="inlineStr">
        <is>
          <t>UPI - IRCTC</t>
        </is>
      </c>
      <c r="K456" s="22" t="inlineStr">
        <is>
          <t>Travel</t>
        </is>
      </c>
      <c r="L456" s="18" t="n">
        <v>0.88</v>
      </c>
      <c r="M456" s="22" t="inlineStr">
        <is>
          <t>N/A</t>
        </is>
      </c>
    </row>
    <row r="457">
      <c r="A457" s="37" t="n">
        <v>45288</v>
      </c>
      <c r="B457" s="38" t="inlineStr">
        <is>
          <t>UPIOUT/336245640758/Q423659019@ybl/Sent
via /5311</t>
        </is>
      </c>
      <c r="C457" s="38" t="inlineStr"/>
      <c r="D457" s="37" t="n">
        <v>45288</v>
      </c>
      <c r="E457" s="38" t="n">
        <v>25</v>
      </c>
      <c r="F457" s="38" t="n">
        <v>0</v>
      </c>
      <c r="G457" s="38" t="n">
        <v>21889.15</v>
      </c>
      <c r="H457" s="38" t="inlineStr"/>
      <c r="I457" s="38" t="inlineStr"/>
      <c r="J457" s="38" t="inlineStr">
        <is>
          <t>UPI Payment</t>
        </is>
      </c>
      <c r="K457" s="38" t="inlineStr">
        <is>
          <t>Personal</t>
        </is>
      </c>
      <c r="L457" s="25" t="n">
        <v>0.55</v>
      </c>
      <c r="M457" s="38" t="inlineStr">
        <is>
          <t>N/A</t>
        </is>
      </c>
    </row>
    <row r="458">
      <c r="A458" s="93" t="n">
        <v>45288</v>
      </c>
      <c r="B458" s="94" t="inlineStr">
        <is>
          <t>UPIOUT/372813743689/euronetgpay.playrc@ici
ci/6540</t>
        </is>
      </c>
      <c r="C458" s="94" t="inlineStr"/>
      <c r="D458" s="93" t="n">
        <v>45288</v>
      </c>
      <c r="E458" s="94" t="n">
        <v>199</v>
      </c>
      <c r="F458" s="94" t="n">
        <v>0</v>
      </c>
      <c r="G458" s="94" t="n">
        <v>21690.15</v>
      </c>
      <c r="H458" s="94" t="inlineStr"/>
      <c r="I458" s="94" t="inlineStr"/>
      <c r="J458" s="94" t="inlineStr">
        <is>
          <t>UPI - Google Pay</t>
        </is>
      </c>
      <c r="K458" s="94" t="inlineStr">
        <is>
          <t>Personal</t>
        </is>
      </c>
      <c r="L458" s="34" t="n">
        <v>0.65</v>
      </c>
      <c r="M458" s="94" t="inlineStr">
        <is>
          <t>N/A</t>
        </is>
      </c>
    </row>
    <row r="459">
      <c r="A459" s="35" t="n">
        <v>45289</v>
      </c>
      <c r="B459" s="36" t="inlineStr">
        <is>
          <t>UPIOUT/336351664327/paytmqr2810050501016jc
mc/5411</t>
        </is>
      </c>
      <c r="C459" s="36" t="inlineStr"/>
      <c r="D459" s="35" t="n">
        <v>45289</v>
      </c>
      <c r="E459" s="36" t="n">
        <v>90</v>
      </c>
      <c r="F459" s="36" t="n">
        <v>0</v>
      </c>
      <c r="G459" s="36" t="n">
        <v>21600.15</v>
      </c>
      <c r="H459" s="36" t="inlineStr"/>
      <c r="I459" s="36" t="inlineStr"/>
      <c r="J459" s="36" t="inlineStr">
        <is>
          <t>UPI - Paytm</t>
        </is>
      </c>
      <c r="K459" s="36" t="inlineStr">
        <is>
          <t>Personal</t>
        </is>
      </c>
      <c r="L459" s="34" t="n">
        <v>0.65</v>
      </c>
      <c r="M459" s="36" t="inlineStr">
        <is>
          <t>N/A</t>
        </is>
      </c>
    </row>
    <row r="460">
      <c r="A460" s="37" t="n">
        <v>45289</v>
      </c>
      <c r="B460" s="38" t="inlineStr">
        <is>
          <t>UPIOUT/336351698550/Q267751124@ybl/Sent
via /5441</t>
        </is>
      </c>
      <c r="C460" s="38" t="inlineStr"/>
      <c r="D460" s="37" t="n">
        <v>45289</v>
      </c>
      <c r="E460" s="38" t="n">
        <v>70</v>
      </c>
      <c r="F460" s="38" t="n">
        <v>0</v>
      </c>
      <c r="G460" s="38" t="n">
        <v>21530.15</v>
      </c>
      <c r="H460" s="38" t="inlineStr"/>
      <c r="I460" s="38" t="inlineStr"/>
      <c r="J460" s="38" t="inlineStr">
        <is>
          <t>UPI Payment</t>
        </is>
      </c>
      <c r="K460" s="38" t="inlineStr">
        <is>
          <t>Personal</t>
        </is>
      </c>
      <c r="L460" s="25" t="n">
        <v>0.55</v>
      </c>
      <c r="M460" s="38" t="inlineStr">
        <is>
          <t>N/A</t>
        </is>
      </c>
    </row>
    <row r="461">
      <c r="A461" s="23" t="n">
        <v>45290</v>
      </c>
      <c r="B461" s="24" t="inlineStr">
        <is>
          <t>NFT/DR REDDYS LABOR/CITIN23476712141/CITI</t>
        </is>
      </c>
      <c r="C461" s="24" t="inlineStr"/>
      <c r="D461" s="23" t="n">
        <v>45290</v>
      </c>
      <c r="E461" s="24" t="n">
        <v>0</v>
      </c>
      <c r="F461" s="24" t="n">
        <v>22500</v>
      </c>
      <c r="G461" s="24" t="n">
        <v>44030.15</v>
      </c>
      <c r="H461" s="24" t="inlineStr"/>
      <c r="I461" s="24" t="inlineStr"/>
      <c r="J461" s="24" t="inlineStr">
        <is>
          <t>What is this?</t>
        </is>
      </c>
      <c r="K461" s="24" t="inlineStr">
        <is>
          <t>Suspense</t>
        </is>
      </c>
      <c r="L461" s="25" t="n">
        <v>0</v>
      </c>
      <c r="M461" s="24" t="inlineStr">
        <is>
          <t>N/A</t>
        </is>
      </c>
    </row>
    <row r="462">
      <c r="A462" s="91" t="n">
        <v>45291</v>
      </c>
      <c r="B462" s="92" t="inlineStr">
        <is>
          <t>UPIOUT/336560333920/uber@axisbank/charge/4
121</t>
        </is>
      </c>
      <c r="C462" s="92" t="inlineStr"/>
      <c r="D462" s="91" t="n">
        <v>45291</v>
      </c>
      <c r="E462" s="92" t="n">
        <v>79.02</v>
      </c>
      <c r="F462" s="92" t="n">
        <v>0</v>
      </c>
      <c r="G462" s="92" t="n">
        <v>43951.13</v>
      </c>
      <c r="H462" s="92" t="inlineStr"/>
      <c r="I462" s="92" t="inlineStr"/>
      <c r="J462" s="92" t="inlineStr">
        <is>
          <t>UPI - Uber</t>
        </is>
      </c>
      <c r="K462" s="92" t="inlineStr">
        <is>
          <t>Transport</t>
        </is>
      </c>
      <c r="L462" s="34" t="n">
        <v>0.68</v>
      </c>
      <c r="M462" s="92" t="inlineStr">
        <is>
          <t>N/A</t>
        </is>
      </c>
    </row>
    <row r="463">
      <c r="A463" s="37" t="n">
        <v>45291</v>
      </c>
      <c r="B463" s="38" t="inlineStr">
        <is>
          <t>UPIOUT/336562980452/udemyindiallp.bdpg@ici
ci/8299</t>
        </is>
      </c>
      <c r="C463" s="38" t="inlineStr"/>
      <c r="D463" s="37" t="n">
        <v>45291</v>
      </c>
      <c r="E463" s="38" t="n">
        <v>529</v>
      </c>
      <c r="F463" s="38" t="n">
        <v>0</v>
      </c>
      <c r="G463" s="38" t="n">
        <v>43422.13</v>
      </c>
      <c r="H463" s="38" t="inlineStr"/>
      <c r="I463" s="38" t="inlineStr"/>
      <c r="J463" s="38" t="inlineStr">
        <is>
          <t>UPI Payment</t>
        </is>
      </c>
      <c r="K463" s="38" t="inlineStr">
        <is>
          <t>Personal</t>
        </is>
      </c>
      <c r="L463" s="25" t="n">
        <v>0.55</v>
      </c>
      <c r="M463" s="38" t="inlineStr">
        <is>
          <t>N/A</t>
        </is>
      </c>
    </row>
    <row r="464">
      <c r="A464" s="35" t="n">
        <v>45292</v>
      </c>
      <c r="B464" s="36" t="inlineStr">
        <is>
          <t>UPIOUT/436708916299/paytm-56505013@paytm/O
id/5722</t>
        </is>
      </c>
      <c r="C464" s="36" t="inlineStr"/>
      <c r="D464" s="35" t="n">
        <v>45292</v>
      </c>
      <c r="E464" s="36" t="n">
        <v>292</v>
      </c>
      <c r="F464" s="36" t="n">
        <v>0</v>
      </c>
      <c r="G464" s="36" t="n">
        <v>43130.13</v>
      </c>
      <c r="H464" s="36" t="inlineStr"/>
      <c r="I464" s="36" t="inlineStr"/>
      <c r="J464" s="36" t="inlineStr">
        <is>
          <t>UPI - Paytm</t>
        </is>
      </c>
      <c r="K464" s="36" t="inlineStr">
        <is>
          <t>Personal</t>
        </is>
      </c>
      <c r="L464" s="34" t="n">
        <v>0.65</v>
      </c>
      <c r="M464" s="36" t="inlineStr">
        <is>
          <t>N/A</t>
        </is>
      </c>
    </row>
    <row r="465">
      <c r="A465" s="37" t="n">
        <v>45292</v>
      </c>
      <c r="B465" s="38" t="inlineStr">
        <is>
          <t>UPIOUT/400166701661/rzpmebigolabspvtltd@ye
sb/2741</t>
        </is>
      </c>
      <c r="C465" s="38" t="inlineStr"/>
      <c r="D465" s="37" t="n">
        <v>45292</v>
      </c>
      <c r="E465" s="38" t="n">
        <v>359</v>
      </c>
      <c r="F465" s="38" t="n">
        <v>0</v>
      </c>
      <c r="G465" s="38" t="n">
        <v>42771.13</v>
      </c>
      <c r="H465" s="38" t="inlineStr"/>
      <c r="I465" s="38" t="inlineStr"/>
      <c r="J465" s="38" t="inlineStr">
        <is>
          <t>UPI Payment</t>
        </is>
      </c>
      <c r="K465" s="38" t="inlineStr">
        <is>
          <t>Personal</t>
        </is>
      </c>
      <c r="L465" s="25" t="n">
        <v>0.55</v>
      </c>
      <c r="M465" s="38" t="inlineStr">
        <is>
          <t>N/A</t>
        </is>
      </c>
    </row>
    <row r="466">
      <c r="A466" s="37" t="n">
        <v>45292</v>
      </c>
      <c r="B466" s="38" t="inlineStr">
        <is>
          <t>UPIOUT/400168935458/Q644952300@ybl/Sent
via /5451</t>
        </is>
      </c>
      <c r="C466" s="38" t="inlineStr"/>
      <c r="D466" s="37" t="n">
        <v>45292</v>
      </c>
      <c r="E466" s="38" t="n">
        <v>50</v>
      </c>
      <c r="F466" s="38" t="n">
        <v>0</v>
      </c>
      <c r="G466" s="38" t="n">
        <v>42721.13</v>
      </c>
      <c r="H466" s="38" t="inlineStr"/>
      <c r="I466" s="38" t="inlineStr"/>
      <c r="J466" s="38" t="inlineStr">
        <is>
          <t>UPI Payment</t>
        </is>
      </c>
      <c r="K466" s="38" t="inlineStr">
        <is>
          <t>Personal</t>
        </is>
      </c>
      <c r="L466" s="25" t="n">
        <v>0.55</v>
      </c>
      <c r="M466" s="38" t="inlineStr">
        <is>
          <t>N/A</t>
        </is>
      </c>
    </row>
    <row r="467">
      <c r="A467" s="35" t="n">
        <v>45293</v>
      </c>
      <c r="B467" s="36" t="inlineStr">
        <is>
          <t>UPIOUT/400271061452/paytmqr131obboa1j@payt
m//5411</t>
        </is>
      </c>
      <c r="C467" s="36" t="inlineStr"/>
      <c r="D467" s="35" t="n">
        <v>45293</v>
      </c>
      <c r="E467" s="36" t="n">
        <v>20</v>
      </c>
      <c r="F467" s="36" t="n">
        <v>0</v>
      </c>
      <c r="G467" s="36" t="n">
        <v>42701.13</v>
      </c>
      <c r="H467" s="36" t="inlineStr"/>
      <c r="I467" s="36" t="inlineStr"/>
      <c r="J467" s="36" t="inlineStr">
        <is>
          <t>UPI - Paytm</t>
        </is>
      </c>
      <c r="K467" s="36" t="inlineStr">
        <is>
          <t>Personal</t>
        </is>
      </c>
      <c r="L467" s="34" t="n">
        <v>0.65</v>
      </c>
      <c r="M467" s="36" t="inlineStr">
        <is>
          <t>N/A</t>
        </is>
      </c>
    </row>
    <row r="468">
      <c r="A468" s="37" t="n">
        <v>45293</v>
      </c>
      <c r="B468" s="38" t="inlineStr">
        <is>
          <t>UPIOUT/400272432304/Q868176613@ybl/Sent
via /5311</t>
        </is>
      </c>
      <c r="C468" s="38" t="inlineStr"/>
      <c r="D468" s="37" t="n">
        <v>45293</v>
      </c>
      <c r="E468" s="38" t="n">
        <v>300</v>
      </c>
      <c r="F468" s="38" t="n">
        <v>0</v>
      </c>
      <c r="G468" s="38" t="n">
        <v>42401.13</v>
      </c>
      <c r="H468" s="38" t="inlineStr"/>
      <c r="I468" s="38" t="inlineStr"/>
      <c r="J468" s="38" t="inlineStr">
        <is>
          <t>UPI Payment</t>
        </is>
      </c>
      <c r="K468" s="38" t="inlineStr">
        <is>
          <t>Personal</t>
        </is>
      </c>
      <c r="L468" s="25" t="n">
        <v>0.55</v>
      </c>
      <c r="M468" s="38" t="inlineStr">
        <is>
          <t>N/A</t>
        </is>
      </c>
    </row>
    <row r="469">
      <c r="A469" s="37" t="n">
        <v>45293</v>
      </c>
      <c r="B469" s="38" t="inlineStr">
        <is>
          <t>UPIOUT/400273812144/Q352615776@ybl/Sent
via /0000</t>
        </is>
      </c>
      <c r="C469" s="38" t="inlineStr"/>
      <c r="D469" s="37" t="n">
        <v>45293</v>
      </c>
      <c r="E469" s="38" t="n">
        <v>20</v>
      </c>
      <c r="F469" s="38" t="n">
        <v>0</v>
      </c>
      <c r="G469" s="38" t="n">
        <v>42381.13</v>
      </c>
      <c r="H469" s="38" t="inlineStr"/>
      <c r="I469" s="38" t="inlineStr"/>
      <c r="J469" s="38" t="inlineStr">
        <is>
          <t>UPI Payment</t>
        </is>
      </c>
      <c r="K469" s="38" t="inlineStr">
        <is>
          <t>Personal</t>
        </is>
      </c>
      <c r="L469" s="25" t="n">
        <v>0.55</v>
      </c>
      <c r="M469" s="38" t="inlineStr">
        <is>
          <t>N/A</t>
        </is>
      </c>
    </row>
    <row r="470">
      <c r="A470" s="37" t="n">
        <v>45293</v>
      </c>
      <c r="B470" s="38" t="inlineStr">
        <is>
          <t>UPIOUT/400273830449/Q704640317@ybl/Sent
via /5812</t>
        </is>
      </c>
      <c r="C470" s="38" t="inlineStr"/>
      <c r="D470" s="37" t="n">
        <v>45293</v>
      </c>
      <c r="E470" s="38" t="n">
        <v>15</v>
      </c>
      <c r="F470" s="38" t="n">
        <v>0</v>
      </c>
      <c r="G470" s="38" t="n">
        <v>42366.13</v>
      </c>
      <c r="H470" s="38" t="inlineStr"/>
      <c r="I470" s="38" t="inlineStr"/>
      <c r="J470" s="38" t="inlineStr">
        <is>
          <t>UPI Payment</t>
        </is>
      </c>
      <c r="K470" s="38" t="inlineStr">
        <is>
          <t>Personal</t>
        </is>
      </c>
      <c r="L470" s="25" t="n">
        <v>0.55</v>
      </c>
      <c r="M470" s="38" t="inlineStr">
        <is>
          <t>N/A</t>
        </is>
      </c>
    </row>
    <row r="471">
      <c r="A471" s="58" t="n">
        <v>45294</v>
      </c>
      <c r="B471" s="59" t="inlineStr">
        <is>
          <t>NFT/NEOSIEXEDDD2024010304151238759 NAVI
Mutual Fun</t>
        </is>
      </c>
      <c r="C471" s="59" t="inlineStr"/>
      <c r="D471" s="58" t="n">
        <v>45294</v>
      </c>
      <c r="E471" s="59" t="n">
        <v>1000</v>
      </c>
      <c r="F471" s="59" t="n">
        <v>0</v>
      </c>
      <c r="G471" s="59" t="n">
        <v>41366.13</v>
      </c>
      <c r="H471" s="59" t="inlineStr"/>
      <c r="I471" s="59" t="inlineStr"/>
      <c r="J471" s="59" t="inlineStr">
        <is>
          <t>MF Investment</t>
        </is>
      </c>
      <c r="K471" s="59" t="inlineStr">
        <is>
          <t>Investments</t>
        </is>
      </c>
      <c r="L471" s="18" t="n">
        <v>0.88</v>
      </c>
      <c r="M471" s="59" t="inlineStr">
        <is>
          <t>N/A</t>
        </is>
      </c>
    </row>
    <row r="472">
      <c r="A472" s="91" t="n">
        <v>45294</v>
      </c>
      <c r="B472" s="92" t="inlineStr">
        <is>
          <t>UPIOUT/400359873139/uberrides@hdfcbank/cha
rg/5960</t>
        </is>
      </c>
      <c r="C472" s="92" t="inlineStr"/>
      <c r="D472" s="91" t="n">
        <v>45294</v>
      </c>
      <c r="E472" s="92" t="n">
        <v>66.37</v>
      </c>
      <c r="F472" s="92" t="n">
        <v>0</v>
      </c>
      <c r="G472" s="92" t="n">
        <v>41299.76</v>
      </c>
      <c r="H472" s="92" t="inlineStr"/>
      <c r="I472" s="92" t="inlineStr"/>
      <c r="J472" s="92" t="inlineStr">
        <is>
          <t>UPI - Uber</t>
        </is>
      </c>
      <c r="K472" s="92" t="inlineStr">
        <is>
          <t>Transport</t>
        </is>
      </c>
      <c r="L472" s="34" t="n">
        <v>0.68</v>
      </c>
      <c r="M472" s="92" t="inlineStr">
        <is>
          <t>N/A</t>
        </is>
      </c>
    </row>
    <row r="473">
      <c r="A473" s="37" t="n">
        <v>45295</v>
      </c>
      <c r="B473" s="38" t="inlineStr">
        <is>
          <t>UPIOUT/400481108034/jyadav250692@ybl/Sent
vi/0000</t>
        </is>
      </c>
      <c r="C473" s="38" t="inlineStr"/>
      <c r="D473" s="37" t="n">
        <v>45295</v>
      </c>
      <c r="E473" s="38" t="n">
        <v>95</v>
      </c>
      <c r="F473" s="38" t="n">
        <v>0</v>
      </c>
      <c r="G473" s="38" t="n">
        <v>41204.76</v>
      </c>
      <c r="H473" s="38" t="inlineStr"/>
      <c r="I473" s="38" t="inlineStr"/>
      <c r="J473" s="38" t="inlineStr">
        <is>
          <t>UPI Payment</t>
        </is>
      </c>
      <c r="K473" s="38" t="inlineStr">
        <is>
          <t>Personal</t>
        </is>
      </c>
      <c r="L473" s="25" t="n">
        <v>0.55</v>
      </c>
      <c r="M473" s="38" t="inlineStr">
        <is>
          <t>N/A</t>
        </is>
      </c>
    </row>
    <row r="474">
      <c r="A474" s="21" t="n">
        <v>45295</v>
      </c>
      <c r="B474" s="22" t="inlineStr">
        <is>
          <t>UPIOUT/400481218325/rapido.rzp@icici/Payme
nt/4121</t>
        </is>
      </c>
      <c r="C474" s="22" t="inlineStr"/>
      <c r="D474" s="21" t="n">
        <v>45295</v>
      </c>
      <c r="E474" s="22" t="n">
        <v>40</v>
      </c>
      <c r="F474" s="22" t="n">
        <v>0</v>
      </c>
      <c r="G474" s="22" t="n">
        <v>41164.76</v>
      </c>
      <c r="H474" s="22" t="inlineStr"/>
      <c r="I474" s="22" t="inlineStr"/>
      <c r="J474" s="22" t="inlineStr">
        <is>
          <t>UPI - Rapido</t>
        </is>
      </c>
      <c r="K474" s="22" t="inlineStr">
        <is>
          <t>Transport</t>
        </is>
      </c>
      <c r="L474" s="34" t="n">
        <v>0.68</v>
      </c>
      <c r="M474" s="22" t="inlineStr">
        <is>
          <t>N/A</t>
        </is>
      </c>
    </row>
    <row r="475">
      <c r="A475" s="37" t="n">
        <v>45295</v>
      </c>
      <c r="B475" s="38" t="inlineStr">
        <is>
          <t>UPIOUT/400484118098/9059531663@axl/Sent
via /0000</t>
        </is>
      </c>
      <c r="C475" s="38" t="inlineStr"/>
      <c r="D475" s="37" t="n">
        <v>45295</v>
      </c>
      <c r="E475" s="38" t="n">
        <v>130</v>
      </c>
      <c r="F475" s="38" t="n">
        <v>0</v>
      </c>
      <c r="G475" s="38" t="n">
        <v>41034.76</v>
      </c>
      <c r="H475" s="38" t="inlineStr"/>
      <c r="I475" s="38" t="inlineStr"/>
      <c r="J475" s="38" t="inlineStr">
        <is>
          <t>UPI Payment</t>
        </is>
      </c>
      <c r="K475" s="38" t="inlineStr">
        <is>
          <t>Personal</t>
        </is>
      </c>
      <c r="L475" s="25" t="n">
        <v>0.55</v>
      </c>
      <c r="M475" s="38" t="inlineStr">
        <is>
          <t>N/A</t>
        </is>
      </c>
    </row>
    <row r="476">
      <c r="A476" s="37" t="n">
        <v>45295</v>
      </c>
      <c r="B476" s="38" t="inlineStr">
        <is>
          <t>UPIOUT/400484784253/9603897717@ybl/Sent
via /0000</t>
        </is>
      </c>
      <c r="C476" s="38" t="inlineStr"/>
      <c r="D476" s="37" t="n">
        <v>45295</v>
      </c>
      <c r="E476" s="38" t="n">
        <v>244</v>
      </c>
      <c r="F476" s="38" t="n">
        <v>0</v>
      </c>
      <c r="G476" s="38" t="n">
        <v>40790.76</v>
      </c>
      <c r="H476" s="38" t="inlineStr"/>
      <c r="I476" s="38" t="inlineStr"/>
      <c r="J476" s="38" t="inlineStr">
        <is>
          <t>UPI Payment</t>
        </is>
      </c>
      <c r="K476" s="38" t="inlineStr">
        <is>
          <t>Personal</t>
        </is>
      </c>
      <c r="L476" s="25" t="n">
        <v>0.55</v>
      </c>
      <c r="M476" s="38" t="inlineStr">
        <is>
          <t>N/A</t>
        </is>
      </c>
    </row>
    <row r="477">
      <c r="A477" s="35" t="n">
        <v>45296</v>
      </c>
      <c r="B477" s="36" t="inlineStr">
        <is>
          <t>UPIOUT/400586851771/paytmqr2810050501018y8
x4/5451</t>
        </is>
      </c>
      <c r="C477" s="36" t="inlineStr"/>
      <c r="D477" s="35" t="n">
        <v>45296</v>
      </c>
      <c r="E477" s="36" t="n">
        <v>30</v>
      </c>
      <c r="F477" s="36" t="n">
        <v>0</v>
      </c>
      <c r="G477" s="36" t="n">
        <v>40760.76</v>
      </c>
      <c r="H477" s="36" t="inlineStr"/>
      <c r="I477" s="36" t="inlineStr"/>
      <c r="J477" s="36" t="inlineStr">
        <is>
          <t>UPI - Paytm</t>
        </is>
      </c>
      <c r="K477" s="36" t="inlineStr">
        <is>
          <t>Personal</t>
        </is>
      </c>
      <c r="L477" s="34" t="n">
        <v>0.65</v>
      </c>
      <c r="M477" s="36" t="inlineStr">
        <is>
          <t>N/A</t>
        </is>
      </c>
    </row>
    <row r="478">
      <c r="A478" s="35" t="n">
        <v>45296</v>
      </c>
      <c r="B478" s="36" t="inlineStr">
        <is>
          <t>UPIOUT/400589500453/paytmqr281005050101183
o5/5812</t>
        </is>
      </c>
      <c r="C478" s="36" t="inlineStr"/>
      <c r="D478" s="35" t="n">
        <v>45296</v>
      </c>
      <c r="E478" s="36" t="n">
        <v>65</v>
      </c>
      <c r="F478" s="36" t="n">
        <v>0</v>
      </c>
      <c r="G478" s="36" t="n">
        <v>40695.76</v>
      </c>
      <c r="H478" s="36" t="inlineStr"/>
      <c r="I478" s="36" t="inlineStr"/>
      <c r="J478" s="36" t="inlineStr">
        <is>
          <t>UPI - Paytm</t>
        </is>
      </c>
      <c r="K478" s="36" t="inlineStr">
        <is>
          <t>Personal</t>
        </is>
      </c>
      <c r="L478" s="34" t="n">
        <v>0.65</v>
      </c>
      <c r="M478" s="36" t="inlineStr">
        <is>
          <t>N/A</t>
        </is>
      </c>
    </row>
    <row r="479">
      <c r="A479" s="37" t="n">
        <v>45296</v>
      </c>
      <c r="B479" s="38" t="inlineStr">
        <is>
          <t>UPIOUT/400589668505/Q061226296@ybl/Sent
via /5411</t>
        </is>
      </c>
      <c r="C479" s="38" t="inlineStr"/>
      <c r="D479" s="37" t="n">
        <v>45296</v>
      </c>
      <c r="E479" s="38" t="n">
        <v>15</v>
      </c>
      <c r="F479" s="38" t="n">
        <v>0</v>
      </c>
      <c r="G479" s="38" t="n">
        <v>40680.76</v>
      </c>
      <c r="H479" s="38" t="inlineStr"/>
      <c r="I479" s="38" t="inlineStr"/>
      <c r="J479" s="38" t="inlineStr">
        <is>
          <t>UPI Payment</t>
        </is>
      </c>
      <c r="K479" s="38" t="inlineStr">
        <is>
          <t>Personal</t>
        </is>
      </c>
      <c r="L479" s="25" t="n">
        <v>0.55</v>
      </c>
      <c r="M479" s="38" t="inlineStr">
        <is>
          <t>N/A</t>
        </is>
      </c>
    </row>
    <row r="480">
      <c r="A480" s="35" t="n">
        <v>45297</v>
      </c>
      <c r="B480" s="36" t="inlineStr">
        <is>
          <t>UPIOUT/400692533763/paytmqrq7x35rdmzv@payt
m//5411</t>
        </is>
      </c>
      <c r="C480" s="36" t="inlineStr"/>
      <c r="D480" s="35" t="n">
        <v>45297</v>
      </c>
      <c r="E480" s="36" t="n">
        <v>65</v>
      </c>
      <c r="F480" s="36" t="n">
        <v>0</v>
      </c>
      <c r="G480" s="36" t="n">
        <v>40615.76</v>
      </c>
      <c r="H480" s="36" t="inlineStr"/>
      <c r="I480" s="36" t="inlineStr"/>
      <c r="J480" s="36" t="inlineStr">
        <is>
          <t>UPI - Paytm</t>
        </is>
      </c>
      <c r="K480" s="36" t="inlineStr">
        <is>
          <t>Personal</t>
        </is>
      </c>
      <c r="L480" s="34" t="n">
        <v>0.65</v>
      </c>
      <c r="M480" s="36" t="inlineStr">
        <is>
          <t>N/A</t>
        </is>
      </c>
    </row>
    <row r="481">
      <c r="A481" s="37" t="n">
        <v>45297</v>
      </c>
      <c r="B481" s="38" t="inlineStr">
        <is>
          <t>UPIOUT/400692907367/Q513775428@ybl/Sent
via /5311</t>
        </is>
      </c>
      <c r="C481" s="38" t="inlineStr"/>
      <c r="D481" s="37" t="n">
        <v>45297</v>
      </c>
      <c r="E481" s="38" t="n">
        <v>15</v>
      </c>
      <c r="F481" s="38" t="n">
        <v>0</v>
      </c>
      <c r="G481" s="38" t="n">
        <v>40600.76</v>
      </c>
      <c r="H481" s="38" t="inlineStr"/>
      <c r="I481" s="38" t="inlineStr"/>
      <c r="J481" s="38" t="inlineStr">
        <is>
          <t>UPI Payment</t>
        </is>
      </c>
      <c r="K481" s="38" t="inlineStr">
        <is>
          <t>Personal</t>
        </is>
      </c>
      <c r="L481" s="25" t="n">
        <v>0.55</v>
      </c>
      <c r="M481" s="38" t="inlineStr">
        <is>
          <t>N/A</t>
        </is>
      </c>
    </row>
    <row r="482">
      <c r="A482" s="37" t="n">
        <v>45297</v>
      </c>
      <c r="B482" s="38" t="inlineStr">
        <is>
          <t>UPIOUT/400695177461/Q963866768@ybl/Sent
via /5814</t>
        </is>
      </c>
      <c r="C482" s="38" t="inlineStr"/>
      <c r="D482" s="37" t="n">
        <v>45297</v>
      </c>
      <c r="E482" s="38" t="n">
        <v>40</v>
      </c>
      <c r="F482" s="38" t="n">
        <v>0</v>
      </c>
      <c r="G482" s="38" t="n">
        <v>40560.76</v>
      </c>
      <c r="H482" s="38" t="inlineStr"/>
      <c r="I482" s="38" t="inlineStr"/>
      <c r="J482" s="38" t="inlineStr">
        <is>
          <t>UPI Payment</t>
        </is>
      </c>
      <c r="K482" s="38" t="inlineStr">
        <is>
          <t>Personal</t>
        </is>
      </c>
      <c r="L482" s="25" t="n">
        <v>0.55</v>
      </c>
      <c r="M482" s="38" t="inlineStr">
        <is>
          <t>N/A</t>
        </is>
      </c>
    </row>
    <row r="483">
      <c r="A483" s="37" t="n">
        <v>45297</v>
      </c>
      <c r="B483" s="38" t="inlineStr">
        <is>
          <t>UPIOUT/400695194432/shileshmail19@okaxis/S
en/0000</t>
        </is>
      </c>
      <c r="C483" s="38" t="inlineStr"/>
      <c r="D483" s="37" t="n">
        <v>45297</v>
      </c>
      <c r="E483" s="38" t="n">
        <v>20</v>
      </c>
      <c r="F483" s="38" t="n">
        <v>0</v>
      </c>
      <c r="G483" s="38" t="n">
        <v>40540.76</v>
      </c>
      <c r="H483" s="38" t="inlineStr"/>
      <c r="I483" s="38" t="inlineStr"/>
      <c r="J483" s="38" t="inlineStr">
        <is>
          <t>UPI Payment</t>
        </is>
      </c>
      <c r="K483" s="38" t="inlineStr">
        <is>
          <t>Personal</t>
        </is>
      </c>
      <c r="L483" s="25" t="n">
        <v>0.55</v>
      </c>
      <c r="M483" s="38" t="inlineStr">
        <is>
          <t>N/A</t>
        </is>
      </c>
    </row>
    <row r="484">
      <c r="A484" s="37" t="n">
        <v>45297</v>
      </c>
      <c r="B484" s="38" t="inlineStr">
        <is>
          <t>UPIOUT/400695237318/Q832428843@ybl/Sent
via /5814</t>
        </is>
      </c>
      <c r="C484" s="38" t="inlineStr"/>
      <c r="D484" s="37" t="n">
        <v>45297</v>
      </c>
      <c r="E484" s="38" t="n">
        <v>15</v>
      </c>
      <c r="F484" s="38" t="n">
        <v>0</v>
      </c>
      <c r="G484" s="38" t="n">
        <v>40525.76</v>
      </c>
      <c r="H484" s="38" t="inlineStr"/>
      <c r="I484" s="38" t="inlineStr"/>
      <c r="J484" s="38" t="inlineStr">
        <is>
          <t>UPI Payment</t>
        </is>
      </c>
      <c r="K484" s="38" t="inlineStr">
        <is>
          <t>Personal</t>
        </is>
      </c>
      <c r="L484" s="25" t="n">
        <v>0.55</v>
      </c>
      <c r="M484" s="38" t="inlineStr">
        <is>
          <t>N/A</t>
        </is>
      </c>
    </row>
    <row r="485">
      <c r="A485" s="35" t="n">
        <v>45297</v>
      </c>
      <c r="B485" s="36" t="inlineStr">
        <is>
          <t>UPIOUT/400695957601/paytmqr5xtfo6rqay@payt
m//5451</t>
        </is>
      </c>
      <c r="C485" s="36" t="inlineStr"/>
      <c r="D485" s="35" t="n">
        <v>45297</v>
      </c>
      <c r="E485" s="36" t="n">
        <v>117</v>
      </c>
      <c r="F485" s="36" t="n">
        <v>0</v>
      </c>
      <c r="G485" s="36" t="n">
        <v>40408.76</v>
      </c>
      <c r="H485" s="36" t="inlineStr"/>
      <c r="I485" s="36" t="inlineStr"/>
      <c r="J485" s="36" t="inlineStr">
        <is>
          <t>UPI - Paytm</t>
        </is>
      </c>
      <c r="K485" s="36" t="inlineStr">
        <is>
          <t>Personal</t>
        </is>
      </c>
      <c r="L485" s="34" t="n">
        <v>0.65</v>
      </c>
      <c r="M485" s="36" t="inlineStr">
        <is>
          <t>N/A</t>
        </is>
      </c>
    </row>
    <row r="486">
      <c r="A486" s="37" t="n">
        <v>45298</v>
      </c>
      <c r="B486" s="38" t="inlineStr">
        <is>
          <t>UPIOUT/400797891818/Q172816524@ybl/Sent
via /5814</t>
        </is>
      </c>
      <c r="C486" s="38" t="inlineStr"/>
      <c r="D486" s="37" t="n">
        <v>45298</v>
      </c>
      <c r="E486" s="38" t="n">
        <v>15</v>
      </c>
      <c r="F486" s="38" t="n">
        <v>0</v>
      </c>
      <c r="G486" s="38" t="n">
        <v>40393.76</v>
      </c>
      <c r="H486" s="38" t="inlineStr"/>
      <c r="I486" s="38" t="inlineStr"/>
      <c r="J486" s="38" t="inlineStr">
        <is>
          <t>UPI Payment</t>
        </is>
      </c>
      <c r="K486" s="38" t="inlineStr">
        <is>
          <t>Personal</t>
        </is>
      </c>
      <c r="L486" s="25" t="n">
        <v>0.55</v>
      </c>
      <c r="M486" s="38" t="inlineStr">
        <is>
          <t>N/A</t>
        </is>
      </c>
    </row>
    <row r="487">
      <c r="A487" s="35" t="n">
        <v>45298</v>
      </c>
      <c r="B487" s="36" t="inlineStr">
        <is>
          <t>UPIOUT/400799107956/paytmqrfuea1l7gm2@payt
m//5812</t>
        </is>
      </c>
      <c r="C487" s="36" t="inlineStr"/>
      <c r="D487" s="35" t="n">
        <v>45298</v>
      </c>
      <c r="E487" s="36" t="n">
        <v>329</v>
      </c>
      <c r="F487" s="36" t="n">
        <v>0</v>
      </c>
      <c r="G487" s="36" t="n">
        <v>40064.76</v>
      </c>
      <c r="H487" s="36" t="inlineStr"/>
      <c r="I487" s="36" t="inlineStr"/>
      <c r="J487" s="36" t="inlineStr">
        <is>
          <t>UPI - Paytm</t>
        </is>
      </c>
      <c r="K487" s="36" t="inlineStr">
        <is>
          <t>Personal</t>
        </is>
      </c>
      <c r="L487" s="34" t="n">
        <v>0.65</v>
      </c>
      <c r="M487" s="36" t="inlineStr">
        <is>
          <t>N/A</t>
        </is>
      </c>
    </row>
    <row r="488">
      <c r="A488" s="37" t="n">
        <v>45298</v>
      </c>
      <c r="B488" s="38" t="inlineStr">
        <is>
          <t>UPIOUT/400799131327/Q080504479@ybl/Sent
via /5812</t>
        </is>
      </c>
      <c r="C488" s="38" t="inlineStr"/>
      <c r="D488" s="37" t="n">
        <v>45298</v>
      </c>
      <c r="E488" s="38" t="n">
        <v>20</v>
      </c>
      <c r="F488" s="38" t="n">
        <v>0</v>
      </c>
      <c r="G488" s="38" t="n">
        <v>40044.76</v>
      </c>
      <c r="H488" s="38" t="inlineStr"/>
      <c r="I488" s="38" t="inlineStr"/>
      <c r="J488" s="38" t="inlineStr">
        <is>
          <t>UPI Payment</t>
        </is>
      </c>
      <c r="K488" s="38" t="inlineStr">
        <is>
          <t>Personal</t>
        </is>
      </c>
      <c r="L488" s="25" t="n">
        <v>0.55</v>
      </c>
      <c r="M488" s="38" t="inlineStr">
        <is>
          <t>N/A</t>
        </is>
      </c>
    </row>
    <row r="489">
      <c r="A489" s="37" t="n">
        <v>45298</v>
      </c>
      <c r="B489" s="38" t="inlineStr">
        <is>
          <t>UPIOUT/400711080613/Q832428843@ybl/Sent
via /5814</t>
        </is>
      </c>
      <c r="C489" s="38" t="inlineStr"/>
      <c r="D489" s="37" t="n">
        <v>45298</v>
      </c>
      <c r="E489" s="38" t="n">
        <v>10</v>
      </c>
      <c r="F489" s="38" t="n">
        <v>0</v>
      </c>
      <c r="G489" s="38" t="n">
        <v>40034.76</v>
      </c>
      <c r="H489" s="38" t="inlineStr"/>
      <c r="I489" s="38" t="inlineStr"/>
      <c r="J489" s="38" t="inlineStr">
        <is>
          <t>UPI Payment</t>
        </is>
      </c>
      <c r="K489" s="38" t="inlineStr">
        <is>
          <t>Personal</t>
        </is>
      </c>
      <c r="L489" s="25" t="n">
        <v>0.55</v>
      </c>
      <c r="M489" s="38" t="inlineStr">
        <is>
          <t>N/A</t>
        </is>
      </c>
    </row>
    <row r="490">
      <c r="A490" s="21" t="n">
        <v>45299</v>
      </c>
      <c r="B490" s="22" t="inlineStr">
        <is>
          <t>UPIOUT/400813100240/rapido.rzp@icici/Payme
nt/4121</t>
        </is>
      </c>
      <c r="C490" s="22" t="inlineStr"/>
      <c r="D490" s="21" t="n">
        <v>45299</v>
      </c>
      <c r="E490" s="22" t="n">
        <v>30</v>
      </c>
      <c r="F490" s="22" t="n">
        <v>0</v>
      </c>
      <c r="G490" s="22" t="n">
        <v>40004.76</v>
      </c>
      <c r="H490" s="22" t="inlineStr"/>
      <c r="I490" s="22" t="inlineStr"/>
      <c r="J490" s="22" t="inlineStr">
        <is>
          <t>UPI - Rapido</t>
        </is>
      </c>
      <c r="K490" s="22" t="inlineStr">
        <is>
          <t>Transport</t>
        </is>
      </c>
      <c r="L490" s="34" t="n">
        <v>0.68</v>
      </c>
      <c r="M490" s="22" t="inlineStr">
        <is>
          <t>N/A</t>
        </is>
      </c>
    </row>
    <row r="491">
      <c r="A491" s="37" t="n">
        <v>45299</v>
      </c>
      <c r="B491" s="38" t="inlineStr">
        <is>
          <t>UPIOUT/400815845153/8125820265@ibl/Sent
via /0000</t>
        </is>
      </c>
      <c r="C491" s="38" t="inlineStr"/>
      <c r="D491" s="37" t="n">
        <v>45299</v>
      </c>
      <c r="E491" s="38" t="n">
        <v>10</v>
      </c>
      <c r="F491" s="38" t="n">
        <v>0</v>
      </c>
      <c r="G491" s="38" t="n">
        <v>39994.76</v>
      </c>
      <c r="H491" s="38" t="inlineStr"/>
      <c r="I491" s="38" t="inlineStr"/>
      <c r="J491" s="38" t="inlineStr">
        <is>
          <t>UPI Payment</t>
        </is>
      </c>
      <c r="K491" s="38" t="inlineStr">
        <is>
          <t>Personal</t>
        </is>
      </c>
      <c r="L491" s="25" t="n">
        <v>0.55</v>
      </c>
      <c r="M491" s="38" t="inlineStr">
        <is>
          <t>N/A</t>
        </is>
      </c>
    </row>
    <row r="492">
      <c r="A492" s="37" t="n">
        <v>45299</v>
      </c>
      <c r="B492" s="38" t="inlineStr">
        <is>
          <t>UPIOUT/400815901669/Q009697312@ybl/Sent
via /5814</t>
        </is>
      </c>
      <c r="C492" s="38" t="inlineStr"/>
      <c r="D492" s="37" t="n">
        <v>45299</v>
      </c>
      <c r="E492" s="38" t="n">
        <v>40</v>
      </c>
      <c r="F492" s="38" t="n">
        <v>0</v>
      </c>
      <c r="G492" s="38" t="n">
        <v>39954.76</v>
      </c>
      <c r="H492" s="38" t="inlineStr"/>
      <c r="I492" s="38" t="inlineStr"/>
      <c r="J492" s="38" t="inlineStr">
        <is>
          <t>UPI Payment</t>
        </is>
      </c>
      <c r="K492" s="38" t="inlineStr">
        <is>
          <t>Personal</t>
        </is>
      </c>
      <c r="L492" s="25" t="n">
        <v>0.55</v>
      </c>
      <c r="M492" s="38" t="inlineStr">
        <is>
          <t>N/A</t>
        </is>
      </c>
    </row>
    <row r="493">
      <c r="A493" s="37" t="n">
        <v>45299</v>
      </c>
      <c r="B493" s="38" t="inlineStr">
        <is>
          <t>UPIOUT/400815951173/Q832428843@ybl/Sent
via /5814</t>
        </is>
      </c>
      <c r="C493" s="38" t="inlineStr"/>
      <c r="D493" s="37" t="n">
        <v>45299</v>
      </c>
      <c r="E493" s="38" t="n">
        <v>10</v>
      </c>
      <c r="F493" s="38" t="n">
        <v>0</v>
      </c>
      <c r="G493" s="38" t="n">
        <v>39944.76</v>
      </c>
      <c r="H493" s="38" t="inlineStr"/>
      <c r="I493" s="38" t="inlineStr"/>
      <c r="J493" s="38" t="inlineStr">
        <is>
          <t>UPI Payment</t>
        </is>
      </c>
      <c r="K493" s="38" t="inlineStr">
        <is>
          <t>Personal</t>
        </is>
      </c>
      <c r="L493" s="25" t="n">
        <v>0.55</v>
      </c>
      <c r="M493" s="38" t="inlineStr">
        <is>
          <t>N/A</t>
        </is>
      </c>
    </row>
    <row r="494">
      <c r="A494" s="37" t="n">
        <v>45299</v>
      </c>
      <c r="B494" s="38" t="inlineStr">
        <is>
          <t>UPIOUT/400816648585/Vyapar.168625347624@hd
fc/7011</t>
        </is>
      </c>
      <c r="C494" s="38" t="inlineStr"/>
      <c r="D494" s="37" t="n">
        <v>45299</v>
      </c>
      <c r="E494" s="38" t="n">
        <v>15000</v>
      </c>
      <c r="F494" s="38" t="n">
        <v>0</v>
      </c>
      <c r="G494" s="38" t="n">
        <v>24944.76</v>
      </c>
      <c r="H494" s="38" t="inlineStr"/>
      <c r="I494" s="38" t="inlineStr"/>
      <c r="J494" s="38" t="inlineStr">
        <is>
          <t>UPI Payment</t>
        </is>
      </c>
      <c r="K494" s="38" t="inlineStr">
        <is>
          <t>Personal</t>
        </is>
      </c>
      <c r="L494" s="25" t="n">
        <v>0.55</v>
      </c>
      <c r="M494" s="38" t="inlineStr">
        <is>
          <t>N/A</t>
        </is>
      </c>
    </row>
    <row r="495">
      <c r="A495" s="35" t="n">
        <v>45300</v>
      </c>
      <c r="B495" s="36" t="inlineStr">
        <is>
          <t>UPIOUT/400918603553/paytm-76881028@paytm/S
en/4121</t>
        </is>
      </c>
      <c r="C495" s="36" t="inlineStr"/>
      <c r="D495" s="35" t="n">
        <v>45300</v>
      </c>
      <c r="E495" s="36" t="n">
        <v>30</v>
      </c>
      <c r="F495" s="36" t="n">
        <v>0</v>
      </c>
      <c r="G495" s="36" t="n">
        <v>24914.76</v>
      </c>
      <c r="H495" s="36" t="inlineStr"/>
      <c r="I495" s="36" t="inlineStr"/>
      <c r="J495" s="36" t="inlineStr">
        <is>
          <t>UPI - Paytm</t>
        </is>
      </c>
      <c r="K495" s="36" t="inlineStr">
        <is>
          <t>Personal</t>
        </is>
      </c>
      <c r="L495" s="34" t="n">
        <v>0.65</v>
      </c>
      <c r="M495" s="36" t="inlineStr">
        <is>
          <t>N/A</t>
        </is>
      </c>
    </row>
    <row r="496">
      <c r="A496" s="37" t="n">
        <v>45300</v>
      </c>
      <c r="B496" s="38" t="inlineStr">
        <is>
          <t>UPIOUT/400918896471/7842871935@ibl/Sent
via /0000</t>
        </is>
      </c>
      <c r="C496" s="38" t="inlineStr"/>
      <c r="D496" s="37" t="n">
        <v>45300</v>
      </c>
      <c r="E496" s="38" t="n">
        <v>2000</v>
      </c>
      <c r="F496" s="38" t="n">
        <v>0</v>
      </c>
      <c r="G496" s="38" t="n">
        <v>22914.76</v>
      </c>
      <c r="H496" s="38" t="inlineStr"/>
      <c r="I496" s="38" t="inlineStr"/>
      <c r="J496" s="38" t="inlineStr">
        <is>
          <t>UPI Payment</t>
        </is>
      </c>
      <c r="K496" s="38" t="inlineStr">
        <is>
          <t>Personal</t>
        </is>
      </c>
      <c r="L496" s="25" t="n">
        <v>0.55</v>
      </c>
      <c r="M496" s="38" t="inlineStr">
        <is>
          <t>N/A</t>
        </is>
      </c>
    </row>
    <row r="497">
      <c r="A497" s="37" t="n">
        <v>45300</v>
      </c>
      <c r="B497" s="38" t="inlineStr">
        <is>
          <t>UPIOUT/437533773514/revellythirupathi111@o
kh/0000</t>
        </is>
      </c>
      <c r="C497" s="38" t="inlineStr"/>
      <c r="D497" s="37" t="n">
        <v>45300</v>
      </c>
      <c r="E497" s="38" t="n">
        <v>10</v>
      </c>
      <c r="F497" s="38" t="n">
        <v>0</v>
      </c>
      <c r="G497" s="38" t="n">
        <v>22904.76</v>
      </c>
      <c r="H497" s="38" t="inlineStr"/>
      <c r="I497" s="38" t="inlineStr"/>
      <c r="J497" s="38" t="inlineStr">
        <is>
          <t>UPI Payment</t>
        </is>
      </c>
      <c r="K497" s="38" t="inlineStr">
        <is>
          <t>Personal</t>
        </is>
      </c>
      <c r="L497" s="25" t="n">
        <v>0.55</v>
      </c>
      <c r="M497" s="38" t="inlineStr">
        <is>
          <t>N/A</t>
        </is>
      </c>
    </row>
    <row r="498">
      <c r="A498" s="35" t="n">
        <v>45300</v>
      </c>
      <c r="B498" s="36" t="inlineStr">
        <is>
          <t>UPIOUT/400922049972/paytmqr2810050501015xg
zt/5411</t>
        </is>
      </c>
      <c r="C498" s="36" t="inlineStr"/>
      <c r="D498" s="35" t="n">
        <v>45300</v>
      </c>
      <c r="E498" s="36" t="n">
        <v>40</v>
      </c>
      <c r="F498" s="36" t="n">
        <v>0</v>
      </c>
      <c r="G498" s="36" t="n">
        <v>22864.76</v>
      </c>
      <c r="H498" s="36" t="inlineStr"/>
      <c r="I498" s="36" t="inlineStr"/>
      <c r="J498" s="36" t="inlineStr">
        <is>
          <t>UPI - Paytm</t>
        </is>
      </c>
      <c r="K498" s="36" t="inlineStr">
        <is>
          <t>Personal</t>
        </is>
      </c>
      <c r="L498" s="34" t="n">
        <v>0.65</v>
      </c>
      <c r="M498" s="36" t="inlineStr">
        <is>
          <t>N/A</t>
        </is>
      </c>
    </row>
    <row r="499">
      <c r="A499" s="37" t="n">
        <v>45300</v>
      </c>
      <c r="B499" s="38" t="inlineStr">
        <is>
          <t>UPIOUT/400922138682/Q832428843@ybl/Sent
via /5814</t>
        </is>
      </c>
      <c r="C499" s="38" t="inlineStr"/>
      <c r="D499" s="37" t="n">
        <v>45300</v>
      </c>
      <c r="E499" s="38" t="n">
        <v>10</v>
      </c>
      <c r="F499" s="38" t="n">
        <v>0</v>
      </c>
      <c r="G499" s="38" t="n">
        <v>22854.76</v>
      </c>
      <c r="H499" s="38" t="inlineStr"/>
      <c r="I499" s="38" t="inlineStr"/>
      <c r="J499" s="38" t="inlineStr">
        <is>
          <t>UPI Payment</t>
        </is>
      </c>
      <c r="K499" s="38" t="inlineStr">
        <is>
          <t>Personal</t>
        </is>
      </c>
      <c r="L499" s="25" t="n">
        <v>0.55</v>
      </c>
      <c r="M499" s="38" t="inlineStr">
        <is>
          <t>N/A</t>
        </is>
      </c>
    </row>
    <row r="500">
      <c r="A500" s="37" t="n">
        <v>45301</v>
      </c>
      <c r="B500" s="38" t="inlineStr">
        <is>
          <t>UPIOUT/401024493632/Q832428843@ybl/Sent
via /5814</t>
        </is>
      </c>
      <c r="C500" s="38" t="inlineStr"/>
      <c r="D500" s="37" t="n">
        <v>45301</v>
      </c>
      <c r="E500" s="38" t="n">
        <v>10</v>
      </c>
      <c r="F500" s="38" t="n">
        <v>0</v>
      </c>
      <c r="G500" s="38" t="n">
        <v>22844.76</v>
      </c>
      <c r="H500" s="38" t="inlineStr"/>
      <c r="I500" s="38" t="inlineStr"/>
      <c r="J500" s="38" t="inlineStr">
        <is>
          <t>UPI Payment</t>
        </is>
      </c>
      <c r="K500" s="38" t="inlineStr">
        <is>
          <t>Personal</t>
        </is>
      </c>
      <c r="L500" s="25" t="n">
        <v>0.55</v>
      </c>
      <c r="M500" s="38" t="inlineStr">
        <is>
          <t>N/A</t>
        </is>
      </c>
    </row>
    <row r="501">
      <c r="A501" s="37" t="n">
        <v>45301</v>
      </c>
      <c r="B501" s="38" t="inlineStr">
        <is>
          <t>UPIOUT/401024552860/espetashivakumar19@okh
df/0000</t>
        </is>
      </c>
      <c r="C501" s="38" t="inlineStr"/>
      <c r="D501" s="37" t="n">
        <v>45301</v>
      </c>
      <c r="E501" s="38" t="n">
        <v>1030</v>
      </c>
      <c r="F501" s="38" t="n">
        <v>0</v>
      </c>
      <c r="G501" s="38" t="n">
        <v>21814.76</v>
      </c>
      <c r="H501" s="38" t="inlineStr"/>
      <c r="I501" s="38" t="inlineStr"/>
      <c r="J501" s="38" t="inlineStr">
        <is>
          <t>UPI Payment</t>
        </is>
      </c>
      <c r="K501" s="38" t="inlineStr">
        <is>
          <t>Personal</t>
        </is>
      </c>
      <c r="L501" s="25" t="n">
        <v>0.55</v>
      </c>
      <c r="M501" s="38" t="inlineStr">
        <is>
          <t>N/A</t>
        </is>
      </c>
    </row>
    <row r="502">
      <c r="A502" s="37" t="n">
        <v>45301</v>
      </c>
      <c r="B502" s="38" t="inlineStr">
        <is>
          <t>UPIOUT/401027273243/sankar.challa.ss1@axl/
Se/0000</t>
        </is>
      </c>
      <c r="C502" s="38" t="inlineStr"/>
      <c r="D502" s="37" t="n">
        <v>45301</v>
      </c>
      <c r="E502" s="38" t="n">
        <v>34</v>
      </c>
      <c r="F502" s="38" t="n">
        <v>0</v>
      </c>
      <c r="G502" s="38" t="n">
        <v>21780.76</v>
      </c>
      <c r="H502" s="38" t="inlineStr"/>
      <c r="I502" s="38" t="inlineStr"/>
      <c r="J502" s="38" t="inlineStr">
        <is>
          <t>UPI Payment</t>
        </is>
      </c>
      <c r="K502" s="38" t="inlineStr">
        <is>
          <t>Personal</t>
        </is>
      </c>
      <c r="L502" s="25" t="n">
        <v>0.55</v>
      </c>
      <c r="M502" s="38" t="inlineStr">
        <is>
          <t>N/A</t>
        </is>
      </c>
    </row>
    <row r="503">
      <c r="A503" s="35" t="n">
        <v>45301</v>
      </c>
      <c r="B503" s="36" t="inlineStr">
        <is>
          <t>UPIOUT/401028044382/paytmqr281005050101183
o5/5812</t>
        </is>
      </c>
      <c r="C503" s="36" t="inlineStr"/>
      <c r="D503" s="35" t="n">
        <v>45301</v>
      </c>
      <c r="E503" s="36" t="n">
        <v>65</v>
      </c>
      <c r="F503" s="36" t="n">
        <v>0</v>
      </c>
      <c r="G503" s="36" t="n">
        <v>21715.76</v>
      </c>
      <c r="H503" s="36" t="inlineStr"/>
      <c r="I503" s="36" t="inlineStr"/>
      <c r="J503" s="36" t="inlineStr">
        <is>
          <t>UPI - Paytm</t>
        </is>
      </c>
      <c r="K503" s="36" t="inlineStr">
        <is>
          <t>Personal</t>
        </is>
      </c>
      <c r="L503" s="34" t="n">
        <v>0.65</v>
      </c>
      <c r="M503" s="36" t="inlineStr">
        <is>
          <t>N/A</t>
        </is>
      </c>
    </row>
    <row r="504">
      <c r="A504" s="35" t="n">
        <v>45302</v>
      </c>
      <c r="B504" s="36" t="inlineStr">
        <is>
          <t>UPIOUT/401130789136/paytm-76881028@paytm/S
en/4121</t>
        </is>
      </c>
      <c r="C504" s="36" t="inlineStr"/>
      <c r="D504" s="35" t="n">
        <v>45302</v>
      </c>
      <c r="E504" s="36" t="n">
        <v>30</v>
      </c>
      <c r="F504" s="36" t="n">
        <v>0</v>
      </c>
      <c r="G504" s="36" t="n">
        <v>21685.76</v>
      </c>
      <c r="H504" s="36" t="inlineStr"/>
      <c r="I504" s="36" t="inlineStr"/>
      <c r="J504" s="36" t="inlineStr">
        <is>
          <t>UPI - Paytm</t>
        </is>
      </c>
      <c r="K504" s="36" t="inlineStr">
        <is>
          <t>Personal</t>
        </is>
      </c>
      <c r="L504" s="34" t="n">
        <v>0.65</v>
      </c>
      <c r="M504" s="36" t="inlineStr">
        <is>
          <t>N/A</t>
        </is>
      </c>
    </row>
    <row r="505">
      <c r="A505" s="37" t="n">
        <v>45302</v>
      </c>
      <c r="B505" s="38" t="inlineStr">
        <is>
          <t>UPIOUT/401135358103/Q521384260@ybl/Sent
via /5814</t>
        </is>
      </c>
      <c r="C505" s="38" t="inlineStr"/>
      <c r="D505" s="37" t="n">
        <v>45302</v>
      </c>
      <c r="E505" s="38" t="n">
        <v>230</v>
      </c>
      <c r="F505" s="38" t="n">
        <v>0</v>
      </c>
      <c r="G505" s="38" t="n">
        <v>21455.76</v>
      </c>
      <c r="H505" s="38" t="inlineStr"/>
      <c r="I505" s="38" t="inlineStr"/>
      <c r="J505" s="38" t="inlineStr">
        <is>
          <t>UPI Payment</t>
        </is>
      </c>
      <c r="K505" s="38" t="inlineStr">
        <is>
          <t>Personal</t>
        </is>
      </c>
      <c r="L505" s="25" t="n">
        <v>0.55</v>
      </c>
      <c r="M505" s="38" t="inlineStr">
        <is>
          <t>N/A</t>
        </is>
      </c>
    </row>
    <row r="506">
      <c r="A506" s="32" t="n">
        <v>45303</v>
      </c>
      <c r="B506" s="33" t="inlineStr">
        <is>
          <t>UPIOUT/401237185950/BHARATPE.90061609177@f
bp/5499</t>
        </is>
      </c>
      <c r="C506" s="33" t="inlineStr"/>
      <c r="D506" s="32" t="n">
        <v>45303</v>
      </c>
      <c r="E506" s="33" t="n">
        <v>10</v>
      </c>
      <c r="F506" s="33" t="n">
        <v>0</v>
      </c>
      <c r="G506" s="33" t="n">
        <v>21445.76</v>
      </c>
      <c r="H506" s="33" t="inlineStr"/>
      <c r="I506" s="33" t="inlineStr"/>
      <c r="J506" s="33" t="inlineStr">
        <is>
          <t>UPI - BharatPe</t>
        </is>
      </c>
      <c r="K506" s="33" t="inlineStr">
        <is>
          <t>Personal</t>
        </is>
      </c>
      <c r="L506" s="34" t="n">
        <v>0.65</v>
      </c>
      <c r="M506" s="33" t="inlineStr">
        <is>
          <t>N/A</t>
        </is>
      </c>
    </row>
    <row r="507">
      <c r="A507" s="35" t="n">
        <v>45303</v>
      </c>
      <c r="B507" s="36" t="inlineStr">
        <is>
          <t>UPIOUT/401237597854/paytm-76881028@paytm/S
en/4121</t>
        </is>
      </c>
      <c r="C507" s="36" t="inlineStr"/>
      <c r="D507" s="35" t="n">
        <v>45303</v>
      </c>
      <c r="E507" s="36" t="n">
        <v>30</v>
      </c>
      <c r="F507" s="36" t="n">
        <v>0</v>
      </c>
      <c r="G507" s="36" t="n">
        <v>21415.76</v>
      </c>
      <c r="H507" s="36" t="inlineStr"/>
      <c r="I507" s="36" t="inlineStr"/>
      <c r="J507" s="36" t="inlineStr">
        <is>
          <t>UPI - Paytm</t>
        </is>
      </c>
      <c r="K507" s="36" t="inlineStr">
        <is>
          <t>Personal</t>
        </is>
      </c>
      <c r="L507" s="34" t="n">
        <v>0.65</v>
      </c>
      <c r="M507" s="36" t="inlineStr">
        <is>
          <t>N/A</t>
        </is>
      </c>
    </row>
    <row r="508">
      <c r="A508" s="37" t="n">
        <v>45303</v>
      </c>
      <c r="B508" s="38" t="inlineStr">
        <is>
          <t>UPIOUT/401249302545/ks8808006-3@oksbi/UPI/
0000</t>
        </is>
      </c>
      <c r="C508" s="38" t="inlineStr"/>
      <c r="D508" s="37" t="n">
        <v>45303</v>
      </c>
      <c r="E508" s="38" t="n">
        <v>10</v>
      </c>
      <c r="F508" s="38" t="n">
        <v>0</v>
      </c>
      <c r="G508" s="38" t="n">
        <v>21405.76</v>
      </c>
      <c r="H508" s="38" t="inlineStr"/>
      <c r="I508" s="38" t="inlineStr"/>
      <c r="J508" s="38" t="inlineStr">
        <is>
          <t>UPI Payment</t>
        </is>
      </c>
      <c r="K508" s="38" t="inlineStr">
        <is>
          <t>Personal</t>
        </is>
      </c>
      <c r="L508" s="25" t="n">
        <v>0.55</v>
      </c>
      <c r="M508" s="38" t="inlineStr">
        <is>
          <t>N/A</t>
        </is>
      </c>
    </row>
    <row r="509">
      <c r="A509" s="35" t="n">
        <v>45303</v>
      </c>
      <c r="B509" s="36" t="inlineStr">
        <is>
          <t>UPIOUT/401240092486/paytmqr281005050101ac5
gq/5812</t>
        </is>
      </c>
      <c r="C509" s="36" t="inlineStr"/>
      <c r="D509" s="35" t="n">
        <v>45303</v>
      </c>
      <c r="E509" s="36" t="n">
        <v>45</v>
      </c>
      <c r="F509" s="36" t="n">
        <v>0</v>
      </c>
      <c r="G509" s="36" t="n">
        <v>21360.76</v>
      </c>
      <c r="H509" s="36" t="inlineStr"/>
      <c r="I509" s="36" t="inlineStr"/>
      <c r="J509" s="36" t="inlineStr">
        <is>
          <t>UPI - Paytm</t>
        </is>
      </c>
      <c r="K509" s="36" t="inlineStr">
        <is>
          <t>Personal</t>
        </is>
      </c>
      <c r="L509" s="34" t="n">
        <v>0.65</v>
      </c>
      <c r="M509" s="36" t="inlineStr">
        <is>
          <t>N/A</t>
        </is>
      </c>
    </row>
    <row r="510">
      <c r="A510" s="35" t="n">
        <v>45304</v>
      </c>
      <c r="B510" s="36" t="inlineStr">
        <is>
          <t>UPIOUT/401342720248/paytmqr1fgibktb57@payt
m//5812</t>
        </is>
      </c>
      <c r="C510" s="36" t="inlineStr"/>
      <c r="D510" s="35" t="n">
        <v>45304</v>
      </c>
      <c r="E510" s="36" t="n">
        <v>40</v>
      </c>
      <c r="F510" s="36" t="n">
        <v>0</v>
      </c>
      <c r="G510" s="36" t="n">
        <v>21320.76</v>
      </c>
      <c r="H510" s="36" t="inlineStr"/>
      <c r="I510" s="36" t="inlineStr"/>
      <c r="J510" s="36" t="inlineStr">
        <is>
          <t>UPI - Paytm</t>
        </is>
      </c>
      <c r="K510" s="36" t="inlineStr">
        <is>
          <t>Personal</t>
        </is>
      </c>
      <c r="L510" s="34" t="n">
        <v>0.65</v>
      </c>
      <c r="M510" s="36" t="inlineStr">
        <is>
          <t>N/A</t>
        </is>
      </c>
    </row>
    <row r="511">
      <c r="A511" s="37" t="n">
        <v>45304</v>
      </c>
      <c r="B511" s="38" t="inlineStr">
        <is>
          <t>UPIOUT/401342753385/Q832428843@ybl/Sent
via /5814</t>
        </is>
      </c>
      <c r="C511" s="38" t="inlineStr"/>
      <c r="D511" s="37" t="n">
        <v>45304</v>
      </c>
      <c r="E511" s="38" t="n">
        <v>15</v>
      </c>
      <c r="F511" s="38" t="n">
        <v>0</v>
      </c>
      <c r="G511" s="38" t="n">
        <v>21305.76</v>
      </c>
      <c r="H511" s="38" t="inlineStr"/>
      <c r="I511" s="38" t="inlineStr"/>
      <c r="J511" s="38" t="inlineStr">
        <is>
          <t>UPI Payment</t>
        </is>
      </c>
      <c r="K511" s="38" t="inlineStr">
        <is>
          <t>Personal</t>
        </is>
      </c>
      <c r="L511" s="25" t="n">
        <v>0.55</v>
      </c>
      <c r="M511" s="38" t="inlineStr">
        <is>
          <t>N/A</t>
        </is>
      </c>
    </row>
    <row r="512">
      <c r="A512" s="35" t="n">
        <v>45304</v>
      </c>
      <c r="B512" s="36" t="inlineStr">
        <is>
          <t>UPIOUT/401343001326/paytm-651536@paytm/Sen
t /4112</t>
        </is>
      </c>
      <c r="C512" s="36" t="inlineStr"/>
      <c r="D512" s="35" t="n">
        <v>45304</v>
      </c>
      <c r="E512" s="36" t="n">
        <v>1583.6</v>
      </c>
      <c r="F512" s="36" t="n">
        <v>0</v>
      </c>
      <c r="G512" s="36" t="n">
        <v>19722.16</v>
      </c>
      <c r="H512" s="36" t="inlineStr"/>
      <c r="I512" s="36" t="inlineStr"/>
      <c r="J512" s="36" t="inlineStr">
        <is>
          <t>UPI - Paytm</t>
        </is>
      </c>
      <c r="K512" s="36" t="inlineStr">
        <is>
          <t>Personal</t>
        </is>
      </c>
      <c r="L512" s="34" t="n">
        <v>0.65</v>
      </c>
      <c r="M512" s="36" t="inlineStr">
        <is>
          <t>N/A</t>
        </is>
      </c>
    </row>
    <row r="513">
      <c r="A513" s="35" t="n">
        <v>45304</v>
      </c>
      <c r="B513" s="36" t="inlineStr">
        <is>
          <t>UPIOUT/401343024733/paytm-651536@paytm/Sen
t /4112</t>
        </is>
      </c>
      <c r="C513" s="36" t="inlineStr"/>
      <c r="D513" s="35" t="n">
        <v>45304</v>
      </c>
      <c r="E513" s="36" t="n">
        <v>1583.6</v>
      </c>
      <c r="F513" s="36" t="n">
        <v>0</v>
      </c>
      <c r="G513" s="36" t="n">
        <v>18138.56</v>
      </c>
      <c r="H513" s="36" t="inlineStr"/>
      <c r="I513" s="36" t="inlineStr"/>
      <c r="J513" s="36" t="inlineStr">
        <is>
          <t>UPI - Paytm</t>
        </is>
      </c>
      <c r="K513" s="36" t="inlineStr">
        <is>
          <t>Personal</t>
        </is>
      </c>
      <c r="L513" s="34" t="n">
        <v>0.65</v>
      </c>
      <c r="M513" s="36" t="inlineStr">
        <is>
          <t>N/A</t>
        </is>
      </c>
    </row>
    <row r="514">
      <c r="A514" s="37" t="n">
        <v>45304</v>
      </c>
      <c r="B514" s="38" t="inlineStr">
        <is>
          <t>UPIOUT/401344512286/Q080504479@ybl/Sent
via /5812</t>
        </is>
      </c>
      <c r="C514" s="38" t="inlineStr"/>
      <c r="D514" s="37" t="n">
        <v>45304</v>
      </c>
      <c r="E514" s="38" t="n">
        <v>20</v>
      </c>
      <c r="F514" s="38" t="n">
        <v>0</v>
      </c>
      <c r="G514" s="38" t="n">
        <v>18118.56</v>
      </c>
      <c r="H514" s="38" t="inlineStr"/>
      <c r="I514" s="38" t="inlineStr"/>
      <c r="J514" s="38" t="inlineStr">
        <is>
          <t>UPI Payment</t>
        </is>
      </c>
      <c r="K514" s="38" t="inlineStr">
        <is>
          <t>Personal</t>
        </is>
      </c>
      <c r="L514" s="25" t="n">
        <v>0.55</v>
      </c>
      <c r="M514" s="38" t="inlineStr">
        <is>
          <t>N/A</t>
        </is>
      </c>
    </row>
    <row r="515">
      <c r="A515" s="101" t="n">
        <v>45304</v>
      </c>
      <c r="B515" s="102" t="inlineStr">
        <is>
          <t>UPI IN/401370251051/8333022213@ybl/Payment
f/0000</t>
        </is>
      </c>
      <c r="C515" s="102" t="inlineStr"/>
      <c r="D515" s="101" t="n">
        <v>45304</v>
      </c>
      <c r="E515" s="102" t="n">
        <v>0</v>
      </c>
      <c r="F515" s="102" t="n">
        <v>500</v>
      </c>
      <c r="G515" s="102" t="n">
        <v>18618.56</v>
      </c>
      <c r="H515" s="102" t="inlineStr"/>
      <c r="I515" s="102" t="inlineStr"/>
      <c r="J515" s="102" t="inlineStr">
        <is>
          <t>UPI Receipt</t>
        </is>
      </c>
      <c r="K515" s="102" t="inlineStr">
        <is>
          <t>Personal</t>
        </is>
      </c>
      <c r="L515" s="25" t="n">
        <v>0.55</v>
      </c>
      <c r="M515" s="102" t="inlineStr">
        <is>
          <t>N/A</t>
        </is>
      </c>
    </row>
    <row r="516">
      <c r="A516" s="35" t="n">
        <v>45305</v>
      </c>
      <c r="B516" s="36" t="inlineStr">
        <is>
          <t>UPIOUT/401449857168/paytmqr2810050501011vq
tq/5697</t>
        </is>
      </c>
      <c r="C516" s="36" t="inlineStr"/>
      <c r="D516" s="35" t="n">
        <v>45305</v>
      </c>
      <c r="E516" s="36" t="n">
        <v>20</v>
      </c>
      <c r="F516" s="36" t="n">
        <v>0</v>
      </c>
      <c r="G516" s="36" t="n">
        <v>18598.56</v>
      </c>
      <c r="H516" s="36" t="inlineStr"/>
      <c r="I516" s="36" t="inlineStr"/>
      <c r="J516" s="36" t="inlineStr">
        <is>
          <t>UPI - Paytm</t>
        </is>
      </c>
      <c r="K516" s="36" t="inlineStr">
        <is>
          <t>Personal</t>
        </is>
      </c>
      <c r="L516" s="34" t="n">
        <v>0.65</v>
      </c>
      <c r="M516" s="36" t="inlineStr">
        <is>
          <t>N/A</t>
        </is>
      </c>
    </row>
    <row r="517">
      <c r="A517" s="37" t="n">
        <v>45305</v>
      </c>
      <c r="B517" s="38" t="inlineStr">
        <is>
          <t>UPIOUT/401451019112/Q463323667@ybl/Sent
via /5812</t>
        </is>
      </c>
      <c r="C517" s="38" t="inlineStr"/>
      <c r="D517" s="37" t="n">
        <v>45305</v>
      </c>
      <c r="E517" s="38" t="n">
        <v>130</v>
      </c>
      <c r="F517" s="38" t="n">
        <v>0</v>
      </c>
      <c r="G517" s="38" t="n">
        <v>18468.56</v>
      </c>
      <c r="H517" s="38" t="inlineStr"/>
      <c r="I517" s="38" t="inlineStr"/>
      <c r="J517" s="38" t="inlineStr">
        <is>
          <t>UPI Payment</t>
        </is>
      </c>
      <c r="K517" s="38" t="inlineStr">
        <is>
          <t>Personal</t>
        </is>
      </c>
      <c r="L517" s="25" t="n">
        <v>0.55</v>
      </c>
      <c r="M517" s="38" t="inlineStr">
        <is>
          <t>N/A</t>
        </is>
      </c>
    </row>
    <row r="518">
      <c r="A518" s="37" t="n">
        <v>45306</v>
      </c>
      <c r="B518" s="38" t="inlineStr">
        <is>
          <t>UPIOUT/401555369700/Q798355992@ybl/Sent
via /7407</t>
        </is>
      </c>
      <c r="C518" s="38" t="inlineStr"/>
      <c r="D518" s="37" t="n">
        <v>45306</v>
      </c>
      <c r="E518" s="38" t="n">
        <v>60</v>
      </c>
      <c r="F518" s="38" t="n">
        <v>0</v>
      </c>
      <c r="G518" s="38" t="n">
        <v>18408.56</v>
      </c>
      <c r="H518" s="38" t="inlineStr"/>
      <c r="I518" s="38" t="inlineStr"/>
      <c r="J518" s="38" t="inlineStr">
        <is>
          <t>UPI Payment</t>
        </is>
      </c>
      <c r="K518" s="38" t="inlineStr">
        <is>
          <t>Personal</t>
        </is>
      </c>
      <c r="L518" s="25" t="n">
        <v>0.55</v>
      </c>
      <c r="M518" s="38" t="inlineStr">
        <is>
          <t>N/A</t>
        </is>
      </c>
    </row>
    <row r="519">
      <c r="A519" s="35" t="n">
        <v>45306</v>
      </c>
      <c r="B519" s="36" t="inlineStr">
        <is>
          <t>UPIOUT/401557550024/paytmqr281005050101yr4
8i/5411</t>
        </is>
      </c>
      <c r="C519" s="36" t="inlineStr"/>
      <c r="D519" s="35" t="n">
        <v>45306</v>
      </c>
      <c r="E519" s="36" t="n">
        <v>40</v>
      </c>
      <c r="F519" s="36" t="n">
        <v>0</v>
      </c>
      <c r="G519" s="36" t="n">
        <v>18368.56</v>
      </c>
      <c r="H519" s="36" t="inlineStr"/>
      <c r="I519" s="36" t="inlineStr"/>
      <c r="J519" s="36" t="inlineStr">
        <is>
          <t>UPI - Paytm</t>
        </is>
      </c>
      <c r="K519" s="36" t="inlineStr">
        <is>
          <t>Personal</t>
        </is>
      </c>
      <c r="L519" s="34" t="n">
        <v>0.65</v>
      </c>
      <c r="M519" s="36" t="inlineStr">
        <is>
          <t>N/A</t>
        </is>
      </c>
    </row>
    <row r="520">
      <c r="A520" s="37" t="n">
        <v>45306</v>
      </c>
      <c r="B520" s="38" t="inlineStr">
        <is>
          <t>UPIOUT/401558721655/Q122299144@ybl/Sent
via /5814</t>
        </is>
      </c>
      <c r="C520" s="38" t="inlineStr"/>
      <c r="D520" s="37" t="n">
        <v>45306</v>
      </c>
      <c r="E520" s="38" t="n">
        <v>180</v>
      </c>
      <c r="F520" s="38" t="n">
        <v>0</v>
      </c>
      <c r="G520" s="38" t="n">
        <v>18188.56</v>
      </c>
      <c r="H520" s="38" t="inlineStr"/>
      <c r="I520" s="38" t="inlineStr"/>
      <c r="J520" s="38" t="inlineStr">
        <is>
          <t>UPI Payment</t>
        </is>
      </c>
      <c r="K520" s="38" t="inlineStr">
        <is>
          <t>Personal</t>
        </is>
      </c>
      <c r="L520" s="25" t="n">
        <v>0.55</v>
      </c>
      <c r="M520" s="38" t="inlineStr">
        <is>
          <t>N/A</t>
        </is>
      </c>
    </row>
    <row r="521">
      <c r="A521" s="37" t="n">
        <v>45306</v>
      </c>
      <c r="B521" s="38" t="inlineStr">
        <is>
          <t>UPIOUT/401573119507/swapnil.kandale@okicic
i//0000</t>
        </is>
      </c>
      <c r="C521" s="38" t="inlineStr"/>
      <c r="D521" s="37" t="n">
        <v>45306</v>
      </c>
      <c r="E521" s="38" t="n">
        <v>230</v>
      </c>
      <c r="F521" s="38" t="n">
        <v>0</v>
      </c>
      <c r="G521" s="38" t="n">
        <v>17958.56</v>
      </c>
      <c r="H521" s="38" t="inlineStr"/>
      <c r="I521" s="38" t="inlineStr"/>
      <c r="J521" s="38" t="inlineStr">
        <is>
          <t>UPI Payment</t>
        </is>
      </c>
      <c r="K521" s="38" t="inlineStr">
        <is>
          <t>Personal</t>
        </is>
      </c>
      <c r="L521" s="25" t="n">
        <v>0.55</v>
      </c>
      <c r="M521" s="38" t="inlineStr">
        <is>
          <t>N/A</t>
        </is>
      </c>
    </row>
    <row r="522">
      <c r="A522" s="37" t="n">
        <v>45307</v>
      </c>
      <c r="B522" s="38" t="inlineStr">
        <is>
          <t>UPIOUT/401662805161/Q753196172@ybl/Sent
via /5441</t>
        </is>
      </c>
      <c r="C522" s="38" t="inlineStr"/>
      <c r="D522" s="37" t="n">
        <v>45307</v>
      </c>
      <c r="E522" s="38" t="n">
        <v>40</v>
      </c>
      <c r="F522" s="38" t="n">
        <v>0</v>
      </c>
      <c r="G522" s="38" t="n">
        <v>17918.56</v>
      </c>
      <c r="H522" s="38" t="inlineStr"/>
      <c r="I522" s="38" t="inlineStr"/>
      <c r="J522" s="38" t="inlineStr">
        <is>
          <t>UPI Payment</t>
        </is>
      </c>
      <c r="K522" s="38" t="inlineStr">
        <is>
          <t>Personal</t>
        </is>
      </c>
      <c r="L522" s="25" t="n">
        <v>0.55</v>
      </c>
      <c r="M522" s="38" t="inlineStr">
        <is>
          <t>N/A</t>
        </is>
      </c>
    </row>
    <row r="523">
      <c r="A523" s="37" t="n">
        <v>45308</v>
      </c>
      <c r="B523" s="38" t="inlineStr">
        <is>
          <t>UPIOUT/401767500777/RIOTAAGROOFFLINE@ybl/P
ay/5046</t>
        </is>
      </c>
      <c r="C523" s="38" t="inlineStr"/>
      <c r="D523" s="37" t="n">
        <v>45308</v>
      </c>
      <c r="E523" s="38" t="n">
        <v>30</v>
      </c>
      <c r="F523" s="38" t="n">
        <v>0</v>
      </c>
      <c r="G523" s="38" t="n">
        <v>17888.56</v>
      </c>
      <c r="H523" s="38" t="inlineStr"/>
      <c r="I523" s="38" t="inlineStr"/>
      <c r="J523" s="38" t="inlineStr">
        <is>
          <t>UPI Payment</t>
        </is>
      </c>
      <c r="K523" s="38" t="inlineStr">
        <is>
          <t>Personal</t>
        </is>
      </c>
      <c r="L523" s="25" t="n">
        <v>0.55</v>
      </c>
      <c r="M523" s="38" t="inlineStr">
        <is>
          <t>N/A</t>
        </is>
      </c>
    </row>
    <row r="524">
      <c r="A524" s="35" t="n">
        <v>45309</v>
      </c>
      <c r="B524" s="36" t="inlineStr">
        <is>
          <t>UPIOUT/401872440662/paytm-76881028@paytm/S
en/4121</t>
        </is>
      </c>
      <c r="C524" s="36" t="inlineStr"/>
      <c r="D524" s="35" t="n">
        <v>45309</v>
      </c>
      <c r="E524" s="36" t="n">
        <v>30</v>
      </c>
      <c r="F524" s="36" t="n">
        <v>0</v>
      </c>
      <c r="G524" s="36" t="n">
        <v>17858.56</v>
      </c>
      <c r="H524" s="36" t="inlineStr"/>
      <c r="I524" s="36" t="inlineStr"/>
      <c r="J524" s="36" t="inlineStr">
        <is>
          <t>UPI - Paytm</t>
        </is>
      </c>
      <c r="K524" s="36" t="inlineStr">
        <is>
          <t>Personal</t>
        </is>
      </c>
      <c r="L524" s="34" t="n">
        <v>0.65</v>
      </c>
      <c r="M524" s="36" t="inlineStr">
        <is>
          <t>N/A</t>
        </is>
      </c>
    </row>
    <row r="525">
      <c r="A525" s="37" t="n">
        <v>45309</v>
      </c>
      <c r="B525" s="38" t="inlineStr">
        <is>
          <t>UPIOUT/401876380307/Q403256487@ybl/Sent
via /5812</t>
        </is>
      </c>
      <c r="C525" s="38" t="inlineStr"/>
      <c r="D525" s="37" t="n">
        <v>45309</v>
      </c>
      <c r="E525" s="38" t="n">
        <v>70</v>
      </c>
      <c r="F525" s="38" t="n">
        <v>0</v>
      </c>
      <c r="G525" s="38" t="n">
        <v>17788.56</v>
      </c>
      <c r="H525" s="38" t="inlineStr"/>
      <c r="I525" s="38" t="inlineStr"/>
      <c r="J525" s="38" t="inlineStr">
        <is>
          <t>UPI Payment</t>
        </is>
      </c>
      <c r="K525" s="38" t="inlineStr">
        <is>
          <t>Personal</t>
        </is>
      </c>
      <c r="L525" s="25" t="n">
        <v>0.55</v>
      </c>
      <c r="M525" s="38" t="inlineStr">
        <is>
          <t>N/A</t>
        </is>
      </c>
    </row>
    <row r="526">
      <c r="A526" s="35" t="n">
        <v>45310</v>
      </c>
      <c r="B526" s="36" t="inlineStr">
        <is>
          <t>UPIOUT/401977651933/paytmqri5ciai3vuc@payt
m//5812</t>
        </is>
      </c>
      <c r="C526" s="36" t="inlineStr"/>
      <c r="D526" s="35" t="n">
        <v>45310</v>
      </c>
      <c r="E526" s="36" t="n">
        <v>15</v>
      </c>
      <c r="F526" s="36" t="n">
        <v>0</v>
      </c>
      <c r="G526" s="36" t="n">
        <v>17773.56</v>
      </c>
      <c r="H526" s="36" t="inlineStr"/>
      <c r="I526" s="36" t="inlineStr"/>
      <c r="J526" s="36" t="inlineStr">
        <is>
          <t>UPI - Paytm</t>
        </is>
      </c>
      <c r="K526" s="36" t="inlineStr">
        <is>
          <t>Personal</t>
        </is>
      </c>
      <c r="L526" s="34" t="n">
        <v>0.65</v>
      </c>
      <c r="M526" s="36" t="inlineStr">
        <is>
          <t>N/A</t>
        </is>
      </c>
    </row>
    <row r="527">
      <c r="A527" s="35" t="n">
        <v>45310</v>
      </c>
      <c r="B527" s="36" t="inlineStr">
        <is>
          <t>UPIOUT/401978922833/paytmqr9cdfhlia2w@payt
m//5812</t>
        </is>
      </c>
      <c r="C527" s="36" t="inlineStr"/>
      <c r="D527" s="35" t="n">
        <v>45310</v>
      </c>
      <c r="E527" s="36" t="n">
        <v>35</v>
      </c>
      <c r="F527" s="36" t="n">
        <v>0</v>
      </c>
      <c r="G527" s="36" t="n">
        <v>17738.56</v>
      </c>
      <c r="H527" s="36" t="inlineStr"/>
      <c r="I527" s="36" t="inlineStr"/>
      <c r="J527" s="36" t="inlineStr">
        <is>
          <t>UPI - Paytm</t>
        </is>
      </c>
      <c r="K527" s="36" t="inlineStr">
        <is>
          <t>Personal</t>
        </is>
      </c>
      <c r="L527" s="34" t="n">
        <v>0.65</v>
      </c>
      <c r="M527" s="36" t="inlineStr">
        <is>
          <t>N/A</t>
        </is>
      </c>
    </row>
    <row r="528">
      <c r="A528" s="37" t="n">
        <v>45310</v>
      </c>
      <c r="B528" s="38" t="inlineStr">
        <is>
          <t>UPIOUT/401978948221/Q832428843@ybl/Sent
via /5814</t>
        </is>
      </c>
      <c r="C528" s="38" t="inlineStr"/>
      <c r="D528" s="37" t="n">
        <v>45310</v>
      </c>
      <c r="E528" s="38" t="n">
        <v>18</v>
      </c>
      <c r="F528" s="38" t="n">
        <v>0</v>
      </c>
      <c r="G528" s="38" t="n">
        <v>17720.56</v>
      </c>
      <c r="H528" s="38" t="inlineStr"/>
      <c r="I528" s="38" t="inlineStr"/>
      <c r="J528" s="38" t="inlineStr">
        <is>
          <t>UPI Payment</t>
        </is>
      </c>
      <c r="K528" s="38" t="inlineStr">
        <is>
          <t>Personal</t>
        </is>
      </c>
      <c r="L528" s="25" t="n">
        <v>0.55</v>
      </c>
      <c r="M528" s="38" t="inlineStr">
        <is>
          <t>N/A</t>
        </is>
      </c>
    </row>
    <row r="529">
      <c r="A529" s="37" t="n">
        <v>45310</v>
      </c>
      <c r="B529" s="38" t="inlineStr">
        <is>
          <t>UPIOUT/401998980420/vijaykumarbhukya99@oks
bi/0000</t>
        </is>
      </c>
      <c r="C529" s="38" t="inlineStr"/>
      <c r="D529" s="37" t="n">
        <v>45310</v>
      </c>
      <c r="E529" s="38" t="n">
        <v>2500</v>
      </c>
      <c r="F529" s="38" t="n">
        <v>0</v>
      </c>
      <c r="G529" s="38" t="n">
        <v>15220.56</v>
      </c>
      <c r="H529" s="38" t="inlineStr"/>
      <c r="I529" s="38" t="inlineStr"/>
      <c r="J529" s="38" t="inlineStr">
        <is>
          <t>UPI Payment</t>
        </is>
      </c>
      <c r="K529" s="38" t="inlineStr">
        <is>
          <t>Personal</t>
        </is>
      </c>
      <c r="L529" s="25" t="n">
        <v>0.55</v>
      </c>
      <c r="M529" s="38" t="inlineStr">
        <is>
          <t>N/A</t>
        </is>
      </c>
    </row>
    <row r="530">
      <c r="A530" s="37" t="n">
        <v>45310</v>
      </c>
      <c r="B530" s="38" t="inlineStr">
        <is>
          <t>UPIOUT/401980484344/Q079360809@ybl/Sent
via /5814</t>
        </is>
      </c>
      <c r="C530" s="38" t="inlineStr"/>
      <c r="D530" s="37" t="n">
        <v>45310</v>
      </c>
      <c r="E530" s="38" t="n">
        <v>80</v>
      </c>
      <c r="F530" s="38" t="n">
        <v>0</v>
      </c>
      <c r="G530" s="38" t="n">
        <v>15140.56</v>
      </c>
      <c r="H530" s="38" t="inlineStr"/>
      <c r="I530" s="38" t="inlineStr"/>
      <c r="J530" s="38" t="inlineStr">
        <is>
          <t>UPI Payment</t>
        </is>
      </c>
      <c r="K530" s="38" t="inlineStr">
        <is>
          <t>Personal</t>
        </is>
      </c>
      <c r="L530" s="25" t="n">
        <v>0.55</v>
      </c>
      <c r="M530" s="38" t="inlineStr">
        <is>
          <t>N/A</t>
        </is>
      </c>
    </row>
    <row r="531">
      <c r="A531" s="37" t="n">
        <v>45310</v>
      </c>
      <c r="B531" s="38" t="inlineStr">
        <is>
          <t>UPIOUT/401980625234/Q463323667@ybl/Sent
via /5812</t>
        </is>
      </c>
      <c r="C531" s="38" t="inlineStr"/>
      <c r="D531" s="37" t="n">
        <v>45310</v>
      </c>
      <c r="E531" s="38" t="n">
        <v>50</v>
      </c>
      <c r="F531" s="38" t="n">
        <v>0</v>
      </c>
      <c r="G531" s="38" t="n">
        <v>15090.56</v>
      </c>
      <c r="H531" s="38" t="inlineStr"/>
      <c r="I531" s="38" t="inlineStr"/>
      <c r="J531" s="38" t="inlineStr">
        <is>
          <t>UPI Payment</t>
        </is>
      </c>
      <c r="K531" s="38" t="inlineStr">
        <is>
          <t>Personal</t>
        </is>
      </c>
      <c r="L531" s="25" t="n">
        <v>0.55</v>
      </c>
      <c r="M531" s="38" t="inlineStr">
        <is>
          <t>N/A</t>
        </is>
      </c>
    </row>
    <row r="532">
      <c r="A532" s="37" t="n">
        <v>45311</v>
      </c>
      <c r="B532" s="38" t="inlineStr">
        <is>
          <t>UPIOUT/402083280790/Q832428843@ybl/Sent
via /5814</t>
        </is>
      </c>
      <c r="C532" s="38" t="inlineStr"/>
      <c r="D532" s="37" t="n">
        <v>45311</v>
      </c>
      <c r="E532" s="38" t="n">
        <v>30</v>
      </c>
      <c r="F532" s="38" t="n">
        <v>0</v>
      </c>
      <c r="G532" s="38" t="n">
        <v>15060.56</v>
      </c>
      <c r="H532" s="38" t="inlineStr"/>
      <c r="I532" s="38" t="inlineStr"/>
      <c r="J532" s="38" t="inlineStr">
        <is>
          <t>UPI Payment</t>
        </is>
      </c>
      <c r="K532" s="38" t="inlineStr">
        <is>
          <t>Personal</t>
        </is>
      </c>
      <c r="L532" s="25" t="n">
        <v>0.55</v>
      </c>
      <c r="M532" s="38" t="inlineStr">
        <is>
          <t>N/A</t>
        </is>
      </c>
    </row>
    <row r="533">
      <c r="A533" s="37" t="n">
        <v>45311</v>
      </c>
      <c r="B533" s="38" t="inlineStr">
        <is>
          <t>UPIOUT/402085175073/Q407907754@ybl/Sent
via /5812</t>
        </is>
      </c>
      <c r="C533" s="38" t="inlineStr"/>
      <c r="D533" s="37" t="n">
        <v>45311</v>
      </c>
      <c r="E533" s="38" t="n">
        <v>70</v>
      </c>
      <c r="F533" s="38" t="n">
        <v>0</v>
      </c>
      <c r="G533" s="38" t="n">
        <v>14990.56</v>
      </c>
      <c r="H533" s="38" t="inlineStr"/>
      <c r="I533" s="38" t="inlineStr"/>
      <c r="J533" s="38" t="inlineStr">
        <is>
          <t>UPI Payment</t>
        </is>
      </c>
      <c r="K533" s="38" t="inlineStr">
        <is>
          <t>Personal</t>
        </is>
      </c>
      <c r="L533" s="25" t="n">
        <v>0.55</v>
      </c>
      <c r="M533" s="38" t="inlineStr">
        <is>
          <t>N/A</t>
        </is>
      </c>
    </row>
    <row r="534">
      <c r="A534" s="37" t="n">
        <v>45311</v>
      </c>
      <c r="B534" s="38" t="inlineStr">
        <is>
          <t>UPIOUT/402085961127/Q832428843@ybl/Sent
via /5814</t>
        </is>
      </c>
      <c r="C534" s="38" t="inlineStr"/>
      <c r="D534" s="37" t="n">
        <v>45311</v>
      </c>
      <c r="E534" s="38" t="n">
        <v>25</v>
      </c>
      <c r="F534" s="38" t="n">
        <v>0</v>
      </c>
      <c r="G534" s="38" t="n">
        <v>14965.56</v>
      </c>
      <c r="H534" s="38" t="inlineStr"/>
      <c r="I534" s="38" t="inlineStr"/>
      <c r="J534" s="38" t="inlineStr">
        <is>
          <t>UPI Payment</t>
        </is>
      </c>
      <c r="K534" s="38" t="inlineStr">
        <is>
          <t>Personal</t>
        </is>
      </c>
      <c r="L534" s="25" t="n">
        <v>0.55</v>
      </c>
      <c r="M534" s="38" t="inlineStr">
        <is>
          <t>N/A</t>
        </is>
      </c>
    </row>
    <row r="535">
      <c r="A535" s="37" t="n">
        <v>45311</v>
      </c>
      <c r="B535" s="38" t="inlineStr">
        <is>
          <t>UPIOUT/402087456215/Q132942392@ybl/Sent
via /5451</t>
        </is>
      </c>
      <c r="C535" s="38" t="inlineStr"/>
      <c r="D535" s="37" t="n">
        <v>45311</v>
      </c>
      <c r="E535" s="38" t="n">
        <v>70</v>
      </c>
      <c r="F535" s="38" t="n">
        <v>0</v>
      </c>
      <c r="G535" s="38" t="n">
        <v>14895.56</v>
      </c>
      <c r="H535" s="38" t="inlineStr"/>
      <c r="I535" s="38" t="inlineStr"/>
      <c r="J535" s="38" t="inlineStr">
        <is>
          <t>UPI Payment</t>
        </is>
      </c>
      <c r="K535" s="38" t="inlineStr">
        <is>
          <t>Personal</t>
        </is>
      </c>
      <c r="L535" s="25" t="n">
        <v>0.55</v>
      </c>
      <c r="M535" s="38" t="inlineStr">
        <is>
          <t>N/A</t>
        </is>
      </c>
    </row>
    <row r="536">
      <c r="A536" s="58" t="n">
        <v>45312</v>
      </c>
      <c r="B536" s="59" t="inlineStr">
        <is>
          <t>NFT/NEOSIEXEDDD2024012102303226443 Mirae
Asset Mut</t>
        </is>
      </c>
      <c r="C536" s="59" t="inlineStr"/>
      <c r="D536" s="58" t="n">
        <v>45312</v>
      </c>
      <c r="E536" s="59" t="n">
        <v>1000</v>
      </c>
      <c r="F536" s="59" t="n">
        <v>0</v>
      </c>
      <c r="G536" s="59" t="n">
        <v>13895.56</v>
      </c>
      <c r="H536" s="59" t="inlineStr"/>
      <c r="I536" s="59" t="inlineStr"/>
      <c r="J536" s="59" t="inlineStr">
        <is>
          <t>MF Investment</t>
        </is>
      </c>
      <c r="K536" s="59" t="inlineStr">
        <is>
          <t>Investments</t>
        </is>
      </c>
      <c r="L536" s="18" t="n">
        <v>0.88</v>
      </c>
      <c r="M536" s="59" t="inlineStr">
        <is>
          <t>N/A</t>
        </is>
      </c>
    </row>
    <row r="537">
      <c r="A537" s="58" t="n">
        <v>45312</v>
      </c>
      <c r="B537" s="59" t="inlineStr">
        <is>
          <t>NFT/NEOSIEXEDDD2024012103010575057 Quant
Mutual Fu</t>
        </is>
      </c>
      <c r="C537" s="59" t="inlineStr"/>
      <c r="D537" s="58" t="n">
        <v>45312</v>
      </c>
      <c r="E537" s="59" t="n">
        <v>1000</v>
      </c>
      <c r="F537" s="59" t="n">
        <v>0</v>
      </c>
      <c r="G537" s="59" t="n">
        <v>12895.56</v>
      </c>
      <c r="H537" s="59" t="inlineStr"/>
      <c r="I537" s="59" t="inlineStr"/>
      <c r="J537" s="59" t="inlineStr">
        <is>
          <t>MF Investment</t>
        </is>
      </c>
      <c r="K537" s="59" t="inlineStr">
        <is>
          <t>Investments</t>
        </is>
      </c>
      <c r="L537" s="18" t="n">
        <v>0.88</v>
      </c>
      <c r="M537" s="59" t="inlineStr">
        <is>
          <t>N/A</t>
        </is>
      </c>
    </row>
    <row r="538">
      <c r="A538" s="37" t="n">
        <v>45312</v>
      </c>
      <c r="B538" s="38" t="inlineStr">
        <is>
          <t>UPIOUT/402189137235/Q832428843@ybl/Sent
via /5814</t>
        </is>
      </c>
      <c r="C538" s="38" t="inlineStr"/>
      <c r="D538" s="37" t="n">
        <v>45312</v>
      </c>
      <c r="E538" s="38" t="n">
        <v>18</v>
      </c>
      <c r="F538" s="38" t="n">
        <v>0</v>
      </c>
      <c r="G538" s="38" t="n">
        <v>12877.56</v>
      </c>
      <c r="H538" s="38" t="inlineStr"/>
      <c r="I538" s="38" t="inlineStr"/>
      <c r="J538" s="38" t="inlineStr">
        <is>
          <t>UPI Payment</t>
        </is>
      </c>
      <c r="K538" s="38" t="inlineStr">
        <is>
          <t>Personal</t>
        </is>
      </c>
      <c r="L538" s="25" t="n">
        <v>0.55</v>
      </c>
      <c r="M538" s="38" t="inlineStr">
        <is>
          <t>N/A</t>
        </is>
      </c>
    </row>
    <row r="539">
      <c r="A539" s="35" t="n">
        <v>45312</v>
      </c>
      <c r="B539" s="36" t="inlineStr">
        <is>
          <t>UPIOUT/402189348005/paytmqr281005050101121
ip/7230</t>
        </is>
      </c>
      <c r="C539" s="36" t="inlineStr"/>
      <c r="D539" s="35" t="n">
        <v>45312</v>
      </c>
      <c r="E539" s="36" t="n">
        <v>280</v>
      </c>
      <c r="F539" s="36" t="n">
        <v>0</v>
      </c>
      <c r="G539" s="36" t="n">
        <v>12597.56</v>
      </c>
      <c r="H539" s="36" t="inlineStr"/>
      <c r="I539" s="36" t="inlineStr"/>
      <c r="J539" s="36" t="inlineStr">
        <is>
          <t>UPI - Paytm</t>
        </is>
      </c>
      <c r="K539" s="36" t="inlineStr">
        <is>
          <t>Personal</t>
        </is>
      </c>
      <c r="L539" s="34" t="n">
        <v>0.65</v>
      </c>
      <c r="M539" s="36" t="inlineStr">
        <is>
          <t>N/A</t>
        </is>
      </c>
    </row>
    <row r="540">
      <c r="A540" s="37" t="n">
        <v>45312</v>
      </c>
      <c r="B540" s="38" t="inlineStr">
        <is>
          <t>UPIOUT/402190244416/Q252365001@ybl/Sent
via /5814</t>
        </is>
      </c>
      <c r="C540" s="38" t="inlineStr"/>
      <c r="D540" s="37" t="n">
        <v>45312</v>
      </c>
      <c r="E540" s="38" t="n">
        <v>160</v>
      </c>
      <c r="F540" s="38" t="n">
        <v>0</v>
      </c>
      <c r="G540" s="38" t="n">
        <v>12437.56</v>
      </c>
      <c r="H540" s="38" t="inlineStr"/>
      <c r="I540" s="38" t="inlineStr"/>
      <c r="J540" s="38" t="inlineStr">
        <is>
          <t>UPI Payment</t>
        </is>
      </c>
      <c r="K540" s="38" t="inlineStr">
        <is>
          <t>Personal</t>
        </is>
      </c>
      <c r="L540" s="25" t="n">
        <v>0.55</v>
      </c>
      <c r="M540" s="38" t="inlineStr">
        <is>
          <t>N/A</t>
        </is>
      </c>
    </row>
    <row r="541">
      <c r="A541" s="37" t="n">
        <v>45312</v>
      </c>
      <c r="B541" s="38" t="inlineStr">
        <is>
          <t>UPIOUT/402191272774/Q079360809@ybl/Sent
via /5814</t>
        </is>
      </c>
      <c r="C541" s="38" t="inlineStr"/>
      <c r="D541" s="37" t="n">
        <v>45312</v>
      </c>
      <c r="E541" s="38" t="n">
        <v>90</v>
      </c>
      <c r="F541" s="38" t="n">
        <v>0</v>
      </c>
      <c r="G541" s="38" t="n">
        <v>12347.56</v>
      </c>
      <c r="H541" s="38" t="inlineStr"/>
      <c r="I541" s="38" t="inlineStr"/>
      <c r="J541" s="38" t="inlineStr">
        <is>
          <t>UPI Payment</t>
        </is>
      </c>
      <c r="K541" s="38" t="inlineStr">
        <is>
          <t>Personal</t>
        </is>
      </c>
      <c r="L541" s="25" t="n">
        <v>0.55</v>
      </c>
      <c r="M541" s="38" t="inlineStr">
        <is>
          <t>N/A</t>
        </is>
      </c>
    </row>
    <row r="542">
      <c r="A542" s="37" t="n">
        <v>45312</v>
      </c>
      <c r="B542" s="38" t="inlineStr">
        <is>
          <t>UPIOUT/402191418505/Q463323667@ybl/Sent
via /5812</t>
        </is>
      </c>
      <c r="C542" s="38" t="inlineStr"/>
      <c r="D542" s="37" t="n">
        <v>45312</v>
      </c>
      <c r="E542" s="38" t="n">
        <v>100</v>
      </c>
      <c r="F542" s="38" t="n">
        <v>0</v>
      </c>
      <c r="G542" s="38" t="n">
        <v>12247.56</v>
      </c>
      <c r="H542" s="38" t="inlineStr"/>
      <c r="I542" s="38" t="inlineStr"/>
      <c r="J542" s="38" t="inlineStr">
        <is>
          <t>UPI Payment</t>
        </is>
      </c>
      <c r="K542" s="38" t="inlineStr">
        <is>
          <t>Personal</t>
        </is>
      </c>
      <c r="L542" s="25" t="n">
        <v>0.55</v>
      </c>
      <c r="M542" s="38" t="inlineStr">
        <is>
          <t>N/A</t>
        </is>
      </c>
    </row>
    <row r="543">
      <c r="A543" s="35" t="n">
        <v>45313</v>
      </c>
      <c r="B543" s="36" t="inlineStr">
        <is>
          <t>UPIOUT/402294217399/8885885198@paytm/Sent
vi/0000</t>
        </is>
      </c>
      <c r="C543" s="36" t="inlineStr"/>
      <c r="D543" s="35" t="n">
        <v>45313</v>
      </c>
      <c r="E543" s="36" t="n">
        <v>30</v>
      </c>
      <c r="F543" s="36" t="n">
        <v>0</v>
      </c>
      <c r="G543" s="36" t="n">
        <v>12217.56</v>
      </c>
      <c r="H543" s="36" t="inlineStr"/>
      <c r="I543" s="36" t="inlineStr"/>
      <c r="J543" s="36" t="inlineStr">
        <is>
          <t>UPI - Paytm</t>
        </is>
      </c>
      <c r="K543" s="36" t="inlineStr">
        <is>
          <t>Personal</t>
        </is>
      </c>
      <c r="L543" s="34" t="n">
        <v>0.65</v>
      </c>
      <c r="M543" s="36" t="inlineStr">
        <is>
          <t>N/A</t>
        </is>
      </c>
    </row>
    <row r="544">
      <c r="A544" s="37" t="n">
        <v>45313</v>
      </c>
      <c r="B544" s="38" t="inlineStr">
        <is>
          <t>UPIOUT/402296058764/Q798355992@ybl/Sent
via /7407</t>
        </is>
      </c>
      <c r="C544" s="38" t="inlineStr"/>
      <c r="D544" s="37" t="n">
        <v>45313</v>
      </c>
      <c r="E544" s="38" t="n">
        <v>20</v>
      </c>
      <c r="F544" s="38" t="n">
        <v>0</v>
      </c>
      <c r="G544" s="38" t="n">
        <v>12197.56</v>
      </c>
      <c r="H544" s="38" t="inlineStr"/>
      <c r="I544" s="38" t="inlineStr"/>
      <c r="J544" s="38" t="inlineStr">
        <is>
          <t>UPI Payment</t>
        </is>
      </c>
      <c r="K544" s="38" t="inlineStr">
        <is>
          <t>Personal</t>
        </is>
      </c>
      <c r="L544" s="25" t="n">
        <v>0.55</v>
      </c>
      <c r="M544" s="38" t="inlineStr">
        <is>
          <t>N/A</t>
        </is>
      </c>
    </row>
    <row r="545">
      <c r="A545" s="37" t="n">
        <v>45313</v>
      </c>
      <c r="B545" s="38" t="inlineStr">
        <is>
          <t>UPIOUT/402296553613/Q463323667@ybl/Sent
via /5812</t>
        </is>
      </c>
      <c r="C545" s="38" t="inlineStr"/>
      <c r="D545" s="37" t="n">
        <v>45313</v>
      </c>
      <c r="E545" s="38" t="n">
        <v>40</v>
      </c>
      <c r="F545" s="38" t="n">
        <v>0</v>
      </c>
      <c r="G545" s="38" t="n">
        <v>12157.56</v>
      </c>
      <c r="H545" s="38" t="inlineStr"/>
      <c r="I545" s="38" t="inlineStr"/>
      <c r="J545" s="38" t="inlineStr">
        <is>
          <t>UPI Payment</t>
        </is>
      </c>
      <c r="K545" s="38" t="inlineStr">
        <is>
          <t>Personal</t>
        </is>
      </c>
      <c r="L545" s="25" t="n">
        <v>0.55</v>
      </c>
      <c r="M545" s="38" t="inlineStr">
        <is>
          <t>N/A</t>
        </is>
      </c>
    </row>
    <row r="546">
      <c r="A546" s="35" t="n">
        <v>45313</v>
      </c>
      <c r="B546" s="36" t="inlineStr">
        <is>
          <t>UPIOUT/402296939009/paytmqr281005050101ac5
gq/5812</t>
        </is>
      </c>
      <c r="C546" s="36" t="inlineStr"/>
      <c r="D546" s="35" t="n">
        <v>45313</v>
      </c>
      <c r="E546" s="36" t="n">
        <v>70</v>
      </c>
      <c r="F546" s="36" t="n">
        <v>0</v>
      </c>
      <c r="G546" s="36" t="n">
        <v>12087.56</v>
      </c>
      <c r="H546" s="36" t="inlineStr"/>
      <c r="I546" s="36" t="inlineStr"/>
      <c r="J546" s="36" t="inlineStr">
        <is>
          <t>UPI - Paytm</t>
        </is>
      </c>
      <c r="K546" s="36" t="inlineStr">
        <is>
          <t>Personal</t>
        </is>
      </c>
      <c r="L546" s="34" t="n">
        <v>0.65</v>
      </c>
      <c r="M546" s="36" t="inlineStr">
        <is>
          <t>N/A</t>
        </is>
      </c>
    </row>
    <row r="547">
      <c r="A547" s="35" t="n">
        <v>45313</v>
      </c>
      <c r="B547" s="36" t="inlineStr">
        <is>
          <t>UPIOUT/402297023884/paytmqricl8fehbdn@payt
m//5411</t>
        </is>
      </c>
      <c r="C547" s="36" t="inlineStr"/>
      <c r="D547" s="35" t="n">
        <v>45313</v>
      </c>
      <c r="E547" s="36" t="n">
        <v>20</v>
      </c>
      <c r="F547" s="36" t="n">
        <v>0</v>
      </c>
      <c r="G547" s="36" t="n">
        <v>12067.56</v>
      </c>
      <c r="H547" s="36" t="inlineStr"/>
      <c r="I547" s="36" t="inlineStr"/>
      <c r="J547" s="36" t="inlineStr">
        <is>
          <t>UPI - Paytm</t>
        </is>
      </c>
      <c r="K547" s="36" t="inlineStr">
        <is>
          <t>Personal</t>
        </is>
      </c>
      <c r="L547" s="34" t="n">
        <v>0.65</v>
      </c>
      <c r="M547" s="36" t="inlineStr">
        <is>
          <t>N/A</t>
        </is>
      </c>
    </row>
    <row r="548">
      <c r="A548" s="97" t="n">
        <v>45313</v>
      </c>
      <c r="B548" s="98" t="inlineStr">
        <is>
          <t>UPIOUT/402319494242/swiggy@yespay/Pay for
me/5812</t>
        </is>
      </c>
      <c r="C548" s="98" t="inlineStr"/>
      <c r="D548" s="97" t="n">
        <v>45314</v>
      </c>
      <c r="E548" s="98" t="n">
        <v>160</v>
      </c>
      <c r="F548" s="98" t="n">
        <v>0</v>
      </c>
      <c r="G548" s="98" t="n">
        <v>11907.56</v>
      </c>
      <c r="H548" s="98" t="inlineStr"/>
      <c r="I548" s="98" t="inlineStr"/>
      <c r="J548" s="98" t="inlineStr">
        <is>
          <t>UPI - Swiggy</t>
        </is>
      </c>
      <c r="K548" s="98" t="inlineStr">
        <is>
          <t>Food &amp; Dining</t>
        </is>
      </c>
      <c r="L548" s="34" t="n">
        <v>0.68</v>
      </c>
      <c r="M548" s="98" t="inlineStr">
        <is>
          <t>N/A</t>
        </is>
      </c>
    </row>
    <row r="549">
      <c r="A549" s="37" t="n">
        <v>45314</v>
      </c>
      <c r="B549" s="38" t="inlineStr">
        <is>
          <t>UPIOUT/402398858011/9704030744@ybl/Sent
via /0000</t>
        </is>
      </c>
      <c r="C549" s="38" t="inlineStr"/>
      <c r="D549" s="37" t="n">
        <v>45314</v>
      </c>
      <c r="E549" s="38" t="n">
        <v>30</v>
      </c>
      <c r="F549" s="38" t="n">
        <v>0</v>
      </c>
      <c r="G549" s="38" t="n">
        <v>11877.56</v>
      </c>
      <c r="H549" s="38" t="inlineStr"/>
      <c r="I549" s="38" t="inlineStr"/>
      <c r="J549" s="38" t="inlineStr">
        <is>
          <t>UPI Payment</t>
        </is>
      </c>
      <c r="K549" s="38" t="inlineStr">
        <is>
          <t>Personal</t>
        </is>
      </c>
      <c r="L549" s="25" t="n">
        <v>0.55</v>
      </c>
      <c r="M549" s="38" t="inlineStr">
        <is>
          <t>N/A</t>
        </is>
      </c>
    </row>
    <row r="550">
      <c r="A550" s="37" t="n">
        <v>45314</v>
      </c>
      <c r="B550" s="38" t="inlineStr">
        <is>
          <t>UPIOUT/402312770524/Q963866768@ybl/Sent
via /5814</t>
        </is>
      </c>
      <c r="C550" s="38" t="inlineStr"/>
      <c r="D550" s="37" t="n">
        <v>45314</v>
      </c>
      <c r="E550" s="38" t="n">
        <v>40</v>
      </c>
      <c r="F550" s="38" t="n">
        <v>0</v>
      </c>
      <c r="G550" s="38" t="n">
        <v>11837.56</v>
      </c>
      <c r="H550" s="38" t="inlineStr"/>
      <c r="I550" s="38" t="inlineStr"/>
      <c r="J550" s="38" t="inlineStr">
        <is>
          <t>UPI Payment</t>
        </is>
      </c>
      <c r="K550" s="38" t="inlineStr">
        <is>
          <t>Personal</t>
        </is>
      </c>
      <c r="L550" s="25" t="n">
        <v>0.55</v>
      </c>
      <c r="M550" s="38" t="inlineStr">
        <is>
          <t>N/A</t>
        </is>
      </c>
    </row>
    <row r="551">
      <c r="A551" s="37" t="n">
        <v>45314</v>
      </c>
      <c r="B551" s="38" t="inlineStr">
        <is>
          <t>UPIOUT/402312785722/Q832428843@ybl/Sent
via /5814</t>
        </is>
      </c>
      <c r="C551" s="38" t="inlineStr"/>
      <c r="D551" s="37" t="n">
        <v>45314</v>
      </c>
      <c r="E551" s="38" t="n">
        <v>18</v>
      </c>
      <c r="F551" s="38" t="n">
        <v>0</v>
      </c>
      <c r="G551" s="38" t="n">
        <v>11819.56</v>
      </c>
      <c r="H551" s="38" t="inlineStr"/>
      <c r="I551" s="38" t="inlineStr"/>
      <c r="J551" s="38" t="inlineStr">
        <is>
          <t>UPI Payment</t>
        </is>
      </c>
      <c r="K551" s="38" t="inlineStr">
        <is>
          <t>Personal</t>
        </is>
      </c>
      <c r="L551" s="25" t="n">
        <v>0.55</v>
      </c>
      <c r="M551" s="38" t="inlineStr">
        <is>
          <t>N/A</t>
        </is>
      </c>
    </row>
    <row r="552">
      <c r="A552" s="35" t="n">
        <v>45315</v>
      </c>
      <c r="B552" s="36" t="inlineStr">
        <is>
          <t>UPIOUT/402415473092/paytm-76881028@paytm/S
en/4121</t>
        </is>
      </c>
      <c r="C552" s="36" t="inlineStr"/>
      <c r="D552" s="35" t="n">
        <v>45315</v>
      </c>
      <c r="E552" s="36" t="n">
        <v>30</v>
      </c>
      <c r="F552" s="36" t="n">
        <v>0</v>
      </c>
      <c r="G552" s="36" t="n">
        <v>11789.56</v>
      </c>
      <c r="H552" s="36" t="inlineStr"/>
      <c r="I552" s="36" t="inlineStr"/>
      <c r="J552" s="36" t="inlineStr">
        <is>
          <t>UPI - Paytm</t>
        </is>
      </c>
      <c r="K552" s="36" t="inlineStr">
        <is>
          <t>Personal</t>
        </is>
      </c>
      <c r="L552" s="34" t="n">
        <v>0.65</v>
      </c>
      <c r="M552" s="36" t="inlineStr">
        <is>
          <t>N/A</t>
        </is>
      </c>
    </row>
    <row r="553">
      <c r="A553" s="37" t="n">
        <v>45315</v>
      </c>
      <c r="B553" s="38" t="inlineStr">
        <is>
          <t>UPIOUT/402415586199/RIOTAAGROOFFLINE@ybl/P
ay/5046</t>
        </is>
      </c>
      <c r="C553" s="38" t="inlineStr"/>
      <c r="D553" s="37" t="n">
        <v>45315</v>
      </c>
      <c r="E553" s="38" t="n">
        <v>30</v>
      </c>
      <c r="F553" s="38" t="n">
        <v>0</v>
      </c>
      <c r="G553" s="38" t="n">
        <v>11759.56</v>
      </c>
      <c r="H553" s="38" t="inlineStr"/>
      <c r="I553" s="38" t="inlineStr"/>
      <c r="J553" s="38" t="inlineStr">
        <is>
          <t>UPI Payment</t>
        </is>
      </c>
      <c r="K553" s="38" t="inlineStr">
        <is>
          <t>Personal</t>
        </is>
      </c>
      <c r="L553" s="25" t="n">
        <v>0.55</v>
      </c>
      <c r="M553" s="38" t="inlineStr">
        <is>
          <t>N/A</t>
        </is>
      </c>
    </row>
    <row r="554">
      <c r="A554" s="35" t="n">
        <v>45315</v>
      </c>
      <c r="B554" s="36" t="inlineStr">
        <is>
          <t>UPIOUT/402419132634/paytmqr281005050101ac5
gq/5812</t>
        </is>
      </c>
      <c r="C554" s="36" t="inlineStr"/>
      <c r="D554" s="35" t="n">
        <v>45315</v>
      </c>
      <c r="E554" s="36" t="n">
        <v>45</v>
      </c>
      <c r="F554" s="36" t="n">
        <v>0</v>
      </c>
      <c r="G554" s="36" t="n">
        <v>11714.56</v>
      </c>
      <c r="H554" s="36" t="inlineStr"/>
      <c r="I554" s="36" t="inlineStr"/>
      <c r="J554" s="36" t="inlineStr">
        <is>
          <t>UPI - Paytm</t>
        </is>
      </c>
      <c r="K554" s="36" t="inlineStr">
        <is>
          <t>Personal</t>
        </is>
      </c>
      <c r="L554" s="34" t="n">
        <v>0.65</v>
      </c>
      <c r="M554" s="36" t="inlineStr">
        <is>
          <t>N/A</t>
        </is>
      </c>
    </row>
    <row r="555">
      <c r="A555" s="37" t="n">
        <v>45315</v>
      </c>
      <c r="B555" s="38" t="inlineStr">
        <is>
          <t>UPIOUT/402419186591/Q435774742@ybl/Sent
via /5441</t>
        </is>
      </c>
      <c r="C555" s="38" t="inlineStr"/>
      <c r="D555" s="37" t="n">
        <v>45315</v>
      </c>
      <c r="E555" s="38" t="n">
        <v>30</v>
      </c>
      <c r="F555" s="38" t="n">
        <v>0</v>
      </c>
      <c r="G555" s="38" t="n">
        <v>11684.56</v>
      </c>
      <c r="H555" s="38" t="inlineStr"/>
      <c r="I555" s="38" t="inlineStr"/>
      <c r="J555" s="38" t="inlineStr">
        <is>
          <t>UPI Payment</t>
        </is>
      </c>
      <c r="K555" s="38" t="inlineStr">
        <is>
          <t>Personal</t>
        </is>
      </c>
      <c r="L555" s="25" t="n">
        <v>0.55</v>
      </c>
      <c r="M555" s="38" t="inlineStr">
        <is>
          <t>N/A</t>
        </is>
      </c>
    </row>
    <row r="556">
      <c r="A556" s="35" t="n">
        <v>45315</v>
      </c>
      <c r="B556" s="36" t="inlineStr">
        <is>
          <t>UPIOUT/402420090538/paytmqr1c4oe5e6z8@payt
m//5812</t>
        </is>
      </c>
      <c r="C556" s="36" t="inlineStr"/>
      <c r="D556" s="35" t="n">
        <v>45315</v>
      </c>
      <c r="E556" s="36" t="n">
        <v>273</v>
      </c>
      <c r="F556" s="36" t="n">
        <v>0</v>
      </c>
      <c r="G556" s="36" t="n">
        <v>11411.56</v>
      </c>
      <c r="H556" s="36" t="inlineStr"/>
      <c r="I556" s="36" t="inlineStr"/>
      <c r="J556" s="36" t="inlineStr">
        <is>
          <t>UPI - Paytm</t>
        </is>
      </c>
      <c r="K556" s="36" t="inlineStr">
        <is>
          <t>Personal</t>
        </is>
      </c>
      <c r="L556" s="34" t="n">
        <v>0.65</v>
      </c>
      <c r="M556" s="36" t="inlineStr">
        <is>
          <t>N/A</t>
        </is>
      </c>
    </row>
    <row r="557">
      <c r="A557" s="37" t="n">
        <v>45315</v>
      </c>
      <c r="B557" s="38" t="inlineStr">
        <is>
          <t>UPIOUT/402420105085/Q505505464@ybl/Sent
via /5814</t>
        </is>
      </c>
      <c r="C557" s="38" t="inlineStr"/>
      <c r="D557" s="37" t="n">
        <v>45315</v>
      </c>
      <c r="E557" s="38" t="n">
        <v>30</v>
      </c>
      <c r="F557" s="38" t="n">
        <v>0</v>
      </c>
      <c r="G557" s="38" t="n">
        <v>11381.56</v>
      </c>
      <c r="H557" s="38" t="inlineStr"/>
      <c r="I557" s="38" t="inlineStr"/>
      <c r="J557" s="38" t="inlineStr">
        <is>
          <t>UPI Payment</t>
        </is>
      </c>
      <c r="K557" s="38" t="inlineStr">
        <is>
          <t>Personal</t>
        </is>
      </c>
      <c r="L557" s="25" t="n">
        <v>0.55</v>
      </c>
      <c r="M557" s="38" t="inlineStr">
        <is>
          <t>N/A</t>
        </is>
      </c>
    </row>
    <row r="558">
      <c r="A558" s="58" t="n">
        <v>45316</v>
      </c>
      <c r="B558" s="59" t="inlineStr">
        <is>
          <t>NFT/NEOSIEXEDDD2024012502152924125 Nippon
India Mu</t>
        </is>
      </c>
      <c r="C558" s="59" t="inlineStr"/>
      <c r="D558" s="58" t="n">
        <v>45316</v>
      </c>
      <c r="E558" s="59" t="n">
        <v>2000</v>
      </c>
      <c r="F558" s="59" t="n">
        <v>0</v>
      </c>
      <c r="G558" s="59" t="n">
        <v>9381.559999999999</v>
      </c>
      <c r="H558" s="59" t="inlineStr"/>
      <c r="I558" s="59" t="inlineStr"/>
      <c r="J558" s="59" t="inlineStr">
        <is>
          <t>MF Investment</t>
        </is>
      </c>
      <c r="K558" s="59" t="inlineStr">
        <is>
          <t>Investments</t>
        </is>
      </c>
      <c r="L558" s="18" t="n">
        <v>0.88</v>
      </c>
      <c r="M558" s="59" t="inlineStr">
        <is>
          <t>N/A</t>
        </is>
      </c>
    </row>
    <row r="559">
      <c r="A559" s="35" t="n">
        <v>45316</v>
      </c>
      <c r="B559" s="36" t="inlineStr">
        <is>
          <t>UPIOUT/402522042812/paytm-76881028@paytm/S
en/4121</t>
        </is>
      </c>
      <c r="C559" s="36" t="inlineStr"/>
      <c r="D559" s="35" t="n">
        <v>45316</v>
      </c>
      <c r="E559" s="36" t="n">
        <v>30</v>
      </c>
      <c r="F559" s="36" t="n">
        <v>0</v>
      </c>
      <c r="G559" s="36" t="n">
        <v>9351.559999999999</v>
      </c>
      <c r="H559" s="36" t="inlineStr"/>
      <c r="I559" s="36" t="inlineStr"/>
      <c r="J559" s="36" t="inlineStr">
        <is>
          <t>UPI - Paytm</t>
        </is>
      </c>
      <c r="K559" s="36" t="inlineStr">
        <is>
          <t>Personal</t>
        </is>
      </c>
      <c r="L559" s="34" t="n">
        <v>0.65</v>
      </c>
      <c r="M559" s="36" t="inlineStr">
        <is>
          <t>N/A</t>
        </is>
      </c>
    </row>
    <row r="560">
      <c r="A560" s="37" t="n">
        <v>45316</v>
      </c>
      <c r="B560" s="38" t="inlineStr">
        <is>
          <t>UPIOUT/402526377473/Q435774742@ybl/Sent
via /5441</t>
        </is>
      </c>
      <c r="C560" s="38" t="inlineStr"/>
      <c r="D560" s="37" t="n">
        <v>45316</v>
      </c>
      <c r="E560" s="38" t="n">
        <v>30</v>
      </c>
      <c r="F560" s="38" t="n">
        <v>0</v>
      </c>
      <c r="G560" s="38" t="n">
        <v>9321.559999999999</v>
      </c>
      <c r="H560" s="38" t="inlineStr"/>
      <c r="I560" s="38" t="inlineStr"/>
      <c r="J560" s="38" t="inlineStr">
        <is>
          <t>UPI Payment</t>
        </is>
      </c>
      <c r="K560" s="38" t="inlineStr">
        <is>
          <t>Personal</t>
        </is>
      </c>
      <c r="L560" s="25" t="n">
        <v>0.55</v>
      </c>
      <c r="M560" s="38" t="inlineStr">
        <is>
          <t>N/A</t>
        </is>
      </c>
    </row>
    <row r="561">
      <c r="A561" s="37" t="n">
        <v>45316</v>
      </c>
      <c r="B561" s="38" t="inlineStr">
        <is>
          <t>UPIOUT/402526562228/Q832428843@ybl/Sent
via /5814</t>
        </is>
      </c>
      <c r="C561" s="38" t="inlineStr"/>
      <c r="D561" s="37" t="n">
        <v>45316</v>
      </c>
      <c r="E561" s="38" t="n">
        <v>21</v>
      </c>
      <c r="F561" s="38" t="n">
        <v>0</v>
      </c>
      <c r="G561" s="38" t="n">
        <v>9300.559999999999</v>
      </c>
      <c r="H561" s="38" t="inlineStr"/>
      <c r="I561" s="38" t="inlineStr"/>
      <c r="J561" s="38" t="inlineStr">
        <is>
          <t>UPI Payment</t>
        </is>
      </c>
      <c r="K561" s="38" t="inlineStr">
        <is>
          <t>Personal</t>
        </is>
      </c>
      <c r="L561" s="25" t="n">
        <v>0.55</v>
      </c>
      <c r="M561" s="38" t="inlineStr">
        <is>
          <t>N/A</t>
        </is>
      </c>
    </row>
    <row r="562">
      <c r="A562" s="37" t="n">
        <v>45316</v>
      </c>
      <c r="B562" s="38" t="inlineStr">
        <is>
          <t>UPIOUT/402527518709/Q277191441@ybl/Sent
via /5812</t>
        </is>
      </c>
      <c r="C562" s="38" t="inlineStr"/>
      <c r="D562" s="37" t="n">
        <v>45316</v>
      </c>
      <c r="E562" s="38" t="n">
        <v>40</v>
      </c>
      <c r="F562" s="38" t="n">
        <v>0</v>
      </c>
      <c r="G562" s="38" t="n">
        <v>9260.559999999999</v>
      </c>
      <c r="H562" s="38" t="inlineStr"/>
      <c r="I562" s="38" t="inlineStr"/>
      <c r="J562" s="38" t="inlineStr">
        <is>
          <t>UPI Payment</t>
        </is>
      </c>
      <c r="K562" s="38" t="inlineStr">
        <is>
          <t>Personal</t>
        </is>
      </c>
      <c r="L562" s="25" t="n">
        <v>0.55</v>
      </c>
      <c r="M562" s="38" t="inlineStr">
        <is>
          <t>N/A</t>
        </is>
      </c>
    </row>
    <row r="563">
      <c r="A563" s="35" t="n">
        <v>45317</v>
      </c>
      <c r="B563" s="36" t="inlineStr">
        <is>
          <t>UPIOUT/402629668578/paytmqr7dy7acqk9s@payt
m//5812</t>
        </is>
      </c>
      <c r="C563" s="36" t="inlineStr"/>
      <c r="D563" s="35" t="n">
        <v>45317</v>
      </c>
      <c r="E563" s="36" t="n">
        <v>70</v>
      </c>
      <c r="F563" s="36" t="n">
        <v>0</v>
      </c>
      <c r="G563" s="36" t="n">
        <v>9190.559999999999</v>
      </c>
      <c r="H563" s="36" t="inlineStr"/>
      <c r="I563" s="36" t="inlineStr"/>
      <c r="J563" s="36" t="inlineStr">
        <is>
          <t>UPI - Paytm</t>
        </is>
      </c>
      <c r="K563" s="36" t="inlineStr">
        <is>
          <t>Personal</t>
        </is>
      </c>
      <c r="L563" s="34" t="n">
        <v>0.65</v>
      </c>
      <c r="M563" s="36" t="inlineStr">
        <is>
          <t>N/A</t>
        </is>
      </c>
    </row>
    <row r="564">
      <c r="A564" s="37" t="n">
        <v>45317</v>
      </c>
      <c r="B564" s="38" t="inlineStr">
        <is>
          <t>UPIOUT/402629733436/Q832428843@ybl/Sent
via /5814</t>
        </is>
      </c>
      <c r="C564" s="38" t="inlineStr"/>
      <c r="D564" s="37" t="n">
        <v>45317</v>
      </c>
      <c r="E564" s="38" t="n">
        <v>25</v>
      </c>
      <c r="F564" s="38" t="n">
        <v>0</v>
      </c>
      <c r="G564" s="38" t="n">
        <v>9165.559999999999</v>
      </c>
      <c r="H564" s="38" t="inlineStr"/>
      <c r="I564" s="38" t="inlineStr"/>
      <c r="J564" s="38" t="inlineStr">
        <is>
          <t>UPI Payment</t>
        </is>
      </c>
      <c r="K564" s="38" t="inlineStr">
        <is>
          <t>Personal</t>
        </is>
      </c>
      <c r="L564" s="25" t="n">
        <v>0.55</v>
      </c>
      <c r="M564" s="38" t="inlineStr">
        <is>
          <t>N/A</t>
        </is>
      </c>
    </row>
    <row r="565">
      <c r="A565" s="35" t="n">
        <v>45317</v>
      </c>
      <c r="B565" s="36" t="inlineStr">
        <is>
          <t>UPIOUT/402630884042/paytmqricl8fehbdn@payt
m//5411</t>
        </is>
      </c>
      <c r="C565" s="36" t="inlineStr"/>
      <c r="D565" s="35" t="n">
        <v>45317</v>
      </c>
      <c r="E565" s="36" t="n">
        <v>40</v>
      </c>
      <c r="F565" s="36" t="n">
        <v>0</v>
      </c>
      <c r="G565" s="36" t="n">
        <v>9125.559999999999</v>
      </c>
      <c r="H565" s="36" t="inlineStr"/>
      <c r="I565" s="36" t="inlineStr"/>
      <c r="J565" s="36" t="inlineStr">
        <is>
          <t>UPI - Paytm</t>
        </is>
      </c>
      <c r="K565" s="36" t="inlineStr">
        <is>
          <t>Personal</t>
        </is>
      </c>
      <c r="L565" s="34" t="n">
        <v>0.65</v>
      </c>
      <c r="M565" s="36" t="inlineStr">
        <is>
          <t>N/A</t>
        </is>
      </c>
    </row>
    <row r="566">
      <c r="A566" s="37" t="n">
        <v>45317</v>
      </c>
      <c r="B566" s="38" t="inlineStr">
        <is>
          <t>UPIOUT/402632057970/Q435774742@ybl/Sent
via /5441</t>
        </is>
      </c>
      <c r="C566" s="38" t="inlineStr"/>
      <c r="D566" s="37" t="n">
        <v>45317</v>
      </c>
      <c r="E566" s="38" t="n">
        <v>30</v>
      </c>
      <c r="F566" s="38" t="n">
        <v>0</v>
      </c>
      <c r="G566" s="38" t="n">
        <v>9095.559999999999</v>
      </c>
      <c r="H566" s="38" t="inlineStr"/>
      <c r="I566" s="38" t="inlineStr"/>
      <c r="J566" s="38" t="inlineStr">
        <is>
          <t>UPI Payment</t>
        </is>
      </c>
      <c r="K566" s="38" t="inlineStr">
        <is>
          <t>Personal</t>
        </is>
      </c>
      <c r="L566" s="25" t="n">
        <v>0.55</v>
      </c>
      <c r="M566" s="38" t="inlineStr">
        <is>
          <t>N/A</t>
        </is>
      </c>
    </row>
    <row r="567">
      <c r="A567" s="37" t="n">
        <v>45317</v>
      </c>
      <c r="B567" s="38" t="inlineStr">
        <is>
          <t>UPIOUT/402632066482/Q832428843@ybl/Sent
via /5814</t>
        </is>
      </c>
      <c r="C567" s="38" t="inlineStr"/>
      <c r="D567" s="37" t="n">
        <v>45317</v>
      </c>
      <c r="E567" s="38" t="n">
        <v>22</v>
      </c>
      <c r="F567" s="38" t="n">
        <v>0</v>
      </c>
      <c r="G567" s="38" t="n">
        <v>9073.559999999999</v>
      </c>
      <c r="H567" s="38" t="inlineStr"/>
      <c r="I567" s="38" t="inlineStr"/>
      <c r="J567" s="38" t="inlineStr">
        <is>
          <t>UPI Payment</t>
        </is>
      </c>
      <c r="K567" s="38" t="inlineStr">
        <is>
          <t>Personal</t>
        </is>
      </c>
      <c r="L567" s="25" t="n">
        <v>0.55</v>
      </c>
      <c r="M567" s="38" t="inlineStr">
        <is>
          <t>N/A</t>
        </is>
      </c>
    </row>
    <row r="568">
      <c r="A568" s="37" t="n">
        <v>45317</v>
      </c>
      <c r="B568" s="38" t="inlineStr">
        <is>
          <t>UPIOUT/402632654676/Q407907754@ybl/Sent
via /5812</t>
        </is>
      </c>
      <c r="C568" s="38" t="inlineStr"/>
      <c r="D568" s="37" t="n">
        <v>45317</v>
      </c>
      <c r="E568" s="38" t="n">
        <v>250</v>
      </c>
      <c r="F568" s="38" t="n">
        <v>0</v>
      </c>
      <c r="G568" s="38" t="n">
        <v>8823.559999999999</v>
      </c>
      <c r="H568" s="38" t="inlineStr"/>
      <c r="I568" s="38" t="inlineStr"/>
      <c r="J568" s="38" t="inlineStr">
        <is>
          <t>UPI Payment</t>
        </is>
      </c>
      <c r="K568" s="38" t="inlineStr">
        <is>
          <t>Personal</t>
        </is>
      </c>
      <c r="L568" s="25" t="n">
        <v>0.55</v>
      </c>
      <c r="M568" s="38" t="inlineStr">
        <is>
          <t>N/A</t>
        </is>
      </c>
    </row>
    <row r="569">
      <c r="A569" s="37" t="n">
        <v>45318</v>
      </c>
      <c r="B569" s="38" t="inlineStr">
        <is>
          <t>UPIOUT/402734417853/Q832428843@ybl/Sent
via /5814</t>
        </is>
      </c>
      <c r="C569" s="38" t="inlineStr"/>
      <c r="D569" s="37" t="n">
        <v>45318</v>
      </c>
      <c r="E569" s="38" t="n">
        <v>15</v>
      </c>
      <c r="F569" s="38" t="n">
        <v>0</v>
      </c>
      <c r="G569" s="38" t="n">
        <v>8808.559999999999</v>
      </c>
      <c r="H569" s="38" t="inlineStr"/>
      <c r="I569" s="38" t="inlineStr"/>
      <c r="J569" s="38" t="inlineStr">
        <is>
          <t>UPI Payment</t>
        </is>
      </c>
      <c r="K569" s="38" t="inlineStr">
        <is>
          <t>Personal</t>
        </is>
      </c>
      <c r="L569" s="25" t="n">
        <v>0.55</v>
      </c>
      <c r="M569" s="38" t="inlineStr">
        <is>
          <t>N/A</t>
        </is>
      </c>
    </row>
    <row r="570">
      <c r="A570" s="37" t="n">
        <v>45318</v>
      </c>
      <c r="B570" s="38" t="inlineStr">
        <is>
          <t>UPIOUT/402735485919/Q663960260@ybl/Sent
via /5814</t>
        </is>
      </c>
      <c r="C570" s="38" t="inlineStr"/>
      <c r="D570" s="37" t="n">
        <v>45318</v>
      </c>
      <c r="E570" s="38" t="n">
        <v>30</v>
      </c>
      <c r="F570" s="38" t="n">
        <v>0</v>
      </c>
      <c r="G570" s="38" t="n">
        <v>8778.559999999999</v>
      </c>
      <c r="H570" s="38" t="inlineStr"/>
      <c r="I570" s="38" t="inlineStr"/>
      <c r="J570" s="38" t="inlineStr">
        <is>
          <t>UPI Payment</t>
        </is>
      </c>
      <c r="K570" s="38" t="inlineStr">
        <is>
          <t>Personal</t>
        </is>
      </c>
      <c r="L570" s="25" t="n">
        <v>0.55</v>
      </c>
      <c r="M570" s="38" t="inlineStr">
        <is>
          <t>N/A</t>
        </is>
      </c>
    </row>
    <row r="571">
      <c r="A571" s="35" t="n">
        <v>45318</v>
      </c>
      <c r="B571" s="36" t="inlineStr">
        <is>
          <t>UPIOUT/402735496693/paytmqr281005050101135
op/5411</t>
        </is>
      </c>
      <c r="C571" s="36" t="inlineStr"/>
      <c r="D571" s="35" t="n">
        <v>45318</v>
      </c>
      <c r="E571" s="36" t="n">
        <v>45</v>
      </c>
      <c r="F571" s="36" t="n">
        <v>0</v>
      </c>
      <c r="G571" s="36" t="n">
        <v>8733.559999999999</v>
      </c>
      <c r="H571" s="36" t="inlineStr"/>
      <c r="I571" s="36" t="inlineStr"/>
      <c r="J571" s="36" t="inlineStr">
        <is>
          <t>UPI - Paytm</t>
        </is>
      </c>
      <c r="K571" s="36" t="inlineStr">
        <is>
          <t>Personal</t>
        </is>
      </c>
      <c r="L571" s="34" t="n">
        <v>0.65</v>
      </c>
      <c r="M571" s="36" t="inlineStr">
        <is>
          <t>N/A</t>
        </is>
      </c>
    </row>
    <row r="572">
      <c r="A572" s="37" t="n">
        <v>45318</v>
      </c>
      <c r="B572" s="38" t="inlineStr">
        <is>
          <t>UPIOUT/402735554762/Q832428843@ybl/Sent
via /5814</t>
        </is>
      </c>
      <c r="C572" s="38" t="inlineStr"/>
      <c r="D572" s="37" t="n">
        <v>45318</v>
      </c>
      <c r="E572" s="38" t="n">
        <v>18</v>
      </c>
      <c r="F572" s="38" t="n">
        <v>0</v>
      </c>
      <c r="G572" s="38" t="n">
        <v>8715.559999999999</v>
      </c>
      <c r="H572" s="38" t="inlineStr"/>
      <c r="I572" s="38" t="inlineStr"/>
      <c r="J572" s="38" t="inlineStr">
        <is>
          <t>UPI Payment</t>
        </is>
      </c>
      <c r="K572" s="38" t="inlineStr">
        <is>
          <t>Personal</t>
        </is>
      </c>
      <c r="L572" s="25" t="n">
        <v>0.55</v>
      </c>
      <c r="M572" s="38" t="inlineStr">
        <is>
          <t>N/A</t>
        </is>
      </c>
    </row>
    <row r="573">
      <c r="A573" s="37" t="n">
        <v>45320</v>
      </c>
      <c r="B573" s="38" t="inlineStr">
        <is>
          <t>UPIOUT/402944155385/Q832428843@ybl/Sent
via /5814</t>
        </is>
      </c>
      <c r="C573" s="38" t="inlineStr"/>
      <c r="D573" s="37" t="n">
        <v>45320</v>
      </c>
      <c r="E573" s="38" t="n">
        <v>18</v>
      </c>
      <c r="F573" s="38" t="n">
        <v>0</v>
      </c>
      <c r="G573" s="38" t="n">
        <v>8697.559999999999</v>
      </c>
      <c r="H573" s="38" t="inlineStr"/>
      <c r="I573" s="38" t="inlineStr"/>
      <c r="J573" s="38" t="inlineStr">
        <is>
          <t>UPI Payment</t>
        </is>
      </c>
      <c r="K573" s="38" t="inlineStr">
        <is>
          <t>Personal</t>
        </is>
      </c>
      <c r="L573" s="25" t="n">
        <v>0.55</v>
      </c>
      <c r="M573" s="38" t="inlineStr">
        <is>
          <t>N/A</t>
        </is>
      </c>
    </row>
    <row r="574">
      <c r="A574" s="37" t="n">
        <v>45320</v>
      </c>
      <c r="B574" s="38" t="inlineStr">
        <is>
          <t>UPIOUT/402946035595/RIOTAAGROOFFLINE@ybl/P
ay/5046</t>
        </is>
      </c>
      <c r="C574" s="38" t="inlineStr"/>
      <c r="D574" s="37" t="n">
        <v>45320</v>
      </c>
      <c r="E574" s="38" t="n">
        <v>25</v>
      </c>
      <c r="F574" s="38" t="n">
        <v>0</v>
      </c>
      <c r="G574" s="38" t="n">
        <v>8672.559999999999</v>
      </c>
      <c r="H574" s="38" t="inlineStr"/>
      <c r="I574" s="38" t="inlineStr"/>
      <c r="J574" s="38" t="inlineStr">
        <is>
          <t>UPI Payment</t>
        </is>
      </c>
      <c r="K574" s="38" t="inlineStr">
        <is>
          <t>Personal</t>
        </is>
      </c>
      <c r="L574" s="25" t="n">
        <v>0.55</v>
      </c>
      <c r="M574" s="38" t="inlineStr">
        <is>
          <t>N/A</t>
        </is>
      </c>
    </row>
    <row r="575">
      <c r="A575" s="32" t="n">
        <v>45320</v>
      </c>
      <c r="B575" s="33" t="inlineStr">
        <is>
          <t>UPIOUT/402947571271/BHARATPE.90069165751@f
bp/5814</t>
        </is>
      </c>
      <c r="C575" s="33" t="inlineStr"/>
      <c r="D575" s="32" t="n">
        <v>45320</v>
      </c>
      <c r="E575" s="33" t="n">
        <v>65</v>
      </c>
      <c r="F575" s="33" t="n">
        <v>0</v>
      </c>
      <c r="G575" s="33" t="n">
        <v>8607.559999999999</v>
      </c>
      <c r="H575" s="33" t="inlineStr"/>
      <c r="I575" s="33" t="inlineStr"/>
      <c r="J575" s="33" t="inlineStr">
        <is>
          <t>UPI - BharatPe</t>
        </is>
      </c>
      <c r="K575" s="33" t="inlineStr">
        <is>
          <t>Personal</t>
        </is>
      </c>
      <c r="L575" s="34" t="n">
        <v>0.65</v>
      </c>
      <c r="M575" s="33" t="inlineStr">
        <is>
          <t>N/A</t>
        </is>
      </c>
    </row>
    <row r="576">
      <c r="A576" s="37" t="n">
        <v>45320</v>
      </c>
      <c r="B576" s="38" t="inlineStr">
        <is>
          <t>UPIOUT/402947659656/Q963866768@ybl/Sent
via /5814</t>
        </is>
      </c>
      <c r="C576" s="38" t="inlineStr"/>
      <c r="D576" s="37" t="n">
        <v>45320</v>
      </c>
      <c r="E576" s="38" t="n">
        <v>40</v>
      </c>
      <c r="F576" s="38" t="n">
        <v>0</v>
      </c>
      <c r="G576" s="38" t="n">
        <v>8567.559999999999</v>
      </c>
      <c r="H576" s="38" t="inlineStr"/>
      <c r="I576" s="38" t="inlineStr"/>
      <c r="J576" s="38" t="inlineStr">
        <is>
          <t>UPI Payment</t>
        </is>
      </c>
      <c r="K576" s="38" t="inlineStr">
        <is>
          <t>Personal</t>
        </is>
      </c>
      <c r="L576" s="25" t="n">
        <v>0.55</v>
      </c>
      <c r="M576" s="38" t="inlineStr">
        <is>
          <t>N/A</t>
        </is>
      </c>
    </row>
    <row r="577">
      <c r="A577" s="37" t="n">
        <v>45320</v>
      </c>
      <c r="B577" s="38" t="inlineStr">
        <is>
          <t>UPIOUT/402962261017/q832428843@ybl/UPI/581
4</t>
        </is>
      </c>
      <c r="C577" s="38" t="inlineStr"/>
      <c r="D577" s="37" t="n">
        <v>45320</v>
      </c>
      <c r="E577" s="38" t="n">
        <v>20</v>
      </c>
      <c r="F577" s="38" t="n">
        <v>0</v>
      </c>
      <c r="G577" s="38" t="n">
        <v>8547.559999999999</v>
      </c>
      <c r="H577" s="38" t="inlineStr"/>
      <c r="I577" s="38" t="inlineStr"/>
      <c r="J577" s="38" t="inlineStr">
        <is>
          <t>UPI Payment</t>
        </is>
      </c>
      <c r="K577" s="38" t="inlineStr">
        <is>
          <t>Personal</t>
        </is>
      </c>
      <c r="L577" s="25" t="n">
        <v>0.55</v>
      </c>
      <c r="M577" s="38" t="inlineStr">
        <is>
          <t>N/A</t>
        </is>
      </c>
    </row>
    <row r="578">
      <c r="A578" s="32" t="n">
        <v>45320</v>
      </c>
      <c r="B578" s="33" t="inlineStr">
        <is>
          <t>UPIOUT/402948440605/BHARATPE09893450319@ye
sb/5814</t>
        </is>
      </c>
      <c r="C578" s="33" t="inlineStr"/>
      <c r="D578" s="32" t="n">
        <v>45320</v>
      </c>
      <c r="E578" s="33" t="n">
        <v>40</v>
      </c>
      <c r="F578" s="33" t="n">
        <v>0</v>
      </c>
      <c r="G578" s="33" t="n">
        <v>8507.559999999999</v>
      </c>
      <c r="H578" s="33" t="inlineStr"/>
      <c r="I578" s="33" t="inlineStr"/>
      <c r="J578" s="33" t="inlineStr">
        <is>
          <t>UPI - BharatPe</t>
        </is>
      </c>
      <c r="K578" s="33" t="inlineStr">
        <is>
          <t>Personal</t>
        </is>
      </c>
      <c r="L578" s="34" t="n">
        <v>0.65</v>
      </c>
      <c r="M578" s="33" t="inlineStr">
        <is>
          <t>N/A</t>
        </is>
      </c>
    </row>
    <row r="579">
      <c r="A579" s="35" t="n">
        <v>45321</v>
      </c>
      <c r="B579" s="36" t="inlineStr">
        <is>
          <t>UPIOUT/403050104307/paytm-76881028@paytm/S
en/4121</t>
        </is>
      </c>
      <c r="C579" s="36" t="inlineStr"/>
      <c r="D579" s="35" t="n">
        <v>45321</v>
      </c>
      <c r="E579" s="36" t="n">
        <v>30</v>
      </c>
      <c r="F579" s="36" t="n">
        <v>0</v>
      </c>
      <c r="G579" s="36" t="n">
        <v>8477.559999999999</v>
      </c>
      <c r="H579" s="36" t="inlineStr"/>
      <c r="I579" s="36" t="inlineStr"/>
      <c r="J579" s="36" t="inlineStr">
        <is>
          <t>UPI - Paytm</t>
        </is>
      </c>
      <c r="K579" s="36" t="inlineStr">
        <is>
          <t>Personal</t>
        </is>
      </c>
      <c r="L579" s="34" t="n">
        <v>0.65</v>
      </c>
      <c r="M579" s="36" t="inlineStr">
        <is>
          <t>N/A</t>
        </is>
      </c>
    </row>
    <row r="580">
      <c r="A580" s="37" t="n">
        <v>45321</v>
      </c>
      <c r="B580" s="38" t="inlineStr">
        <is>
          <t>UPIOUT/403054639044/Q963866768@ybl/Sent
via /5814</t>
        </is>
      </c>
      <c r="C580" s="38" t="inlineStr"/>
      <c r="D580" s="37" t="n">
        <v>45321</v>
      </c>
      <c r="E580" s="38" t="n">
        <v>40</v>
      </c>
      <c r="F580" s="38" t="n">
        <v>0</v>
      </c>
      <c r="G580" s="38" t="n">
        <v>8437.559999999999</v>
      </c>
      <c r="H580" s="38" t="inlineStr"/>
      <c r="I580" s="38" t="inlineStr"/>
      <c r="J580" s="38" t="inlineStr">
        <is>
          <t>UPI Payment</t>
        </is>
      </c>
      <c r="K580" s="38" t="inlineStr">
        <is>
          <t>Personal</t>
        </is>
      </c>
      <c r="L580" s="25" t="n">
        <v>0.55</v>
      </c>
      <c r="M580" s="38" t="inlineStr">
        <is>
          <t>N/A</t>
        </is>
      </c>
    </row>
    <row r="581">
      <c r="A581" s="35" t="n">
        <v>45321</v>
      </c>
      <c r="B581" s="36" t="inlineStr">
        <is>
          <t>UPIOUT/403054645483/paytmqr3pwjgh0ago@payt
m//5411</t>
        </is>
      </c>
      <c r="C581" s="36" t="inlineStr"/>
      <c r="D581" s="35" t="n">
        <v>45321</v>
      </c>
      <c r="E581" s="36" t="n">
        <v>20</v>
      </c>
      <c r="F581" s="36" t="n">
        <v>0</v>
      </c>
      <c r="G581" s="36" t="n">
        <v>8417.559999999999</v>
      </c>
      <c r="H581" s="36" t="inlineStr"/>
      <c r="I581" s="36" t="inlineStr"/>
      <c r="J581" s="36" t="inlineStr">
        <is>
          <t>UPI - Paytm</t>
        </is>
      </c>
      <c r="K581" s="36" t="inlineStr">
        <is>
          <t>Personal</t>
        </is>
      </c>
      <c r="L581" s="34" t="n">
        <v>0.65</v>
      </c>
      <c r="M581" s="36" t="inlineStr">
        <is>
          <t>N/A</t>
        </is>
      </c>
    </row>
    <row r="582">
      <c r="A582" s="32" t="n">
        <v>45321</v>
      </c>
      <c r="B582" s="33" t="inlineStr">
        <is>
          <t>UPIOUT/403054706192/BHARATPE60000005202@ye
sb/5651</t>
        </is>
      </c>
      <c r="C582" s="33" t="inlineStr"/>
      <c r="D582" s="32" t="n">
        <v>45321</v>
      </c>
      <c r="E582" s="33" t="n">
        <v>200</v>
      </c>
      <c r="F582" s="33" t="n">
        <v>0</v>
      </c>
      <c r="G582" s="33" t="n">
        <v>8217.559999999999</v>
      </c>
      <c r="H582" s="33" t="inlineStr"/>
      <c r="I582" s="33" t="inlineStr"/>
      <c r="J582" s="33" t="inlineStr">
        <is>
          <t>UPI - BharatPe</t>
        </is>
      </c>
      <c r="K582" s="33" t="inlineStr">
        <is>
          <t>Personal</t>
        </is>
      </c>
      <c r="L582" s="34" t="n">
        <v>0.65</v>
      </c>
      <c r="M582" s="33" t="inlineStr">
        <is>
          <t>N/A</t>
        </is>
      </c>
    </row>
    <row r="583">
      <c r="A583" s="35" t="n">
        <v>45321</v>
      </c>
      <c r="B583" s="36" t="inlineStr">
        <is>
          <t>UPIOUT/403055463282/paytmqricl8fehbdn@payt
m//5411</t>
        </is>
      </c>
      <c r="C583" s="36" t="inlineStr"/>
      <c r="D583" s="35" t="n">
        <v>45321</v>
      </c>
      <c r="E583" s="36" t="n">
        <v>40</v>
      </c>
      <c r="F583" s="36" t="n">
        <v>0</v>
      </c>
      <c r="G583" s="36" t="n">
        <v>8177.56</v>
      </c>
      <c r="H583" s="36" t="inlineStr"/>
      <c r="I583" s="36" t="inlineStr"/>
      <c r="J583" s="36" t="inlineStr">
        <is>
          <t>UPI - Paytm</t>
        </is>
      </c>
      <c r="K583" s="36" t="inlineStr">
        <is>
          <t>Personal</t>
        </is>
      </c>
      <c r="L583" s="34" t="n">
        <v>0.65</v>
      </c>
      <c r="M583" s="36" t="inlineStr">
        <is>
          <t>N/A</t>
        </is>
      </c>
    </row>
    <row r="584">
      <c r="A584" s="37" t="n">
        <v>45322</v>
      </c>
      <c r="B584" s="38" t="inlineStr">
        <is>
          <t>UPIOUT/403157016307/Q832428843@ybl/Sent
via /5814</t>
        </is>
      </c>
      <c r="C584" s="38" t="inlineStr"/>
      <c r="D584" s="37" t="n">
        <v>45322</v>
      </c>
      <c r="E584" s="38" t="n">
        <v>18</v>
      </c>
      <c r="F584" s="38" t="n">
        <v>0</v>
      </c>
      <c r="G584" s="38" t="n">
        <v>8159.56</v>
      </c>
      <c r="H584" s="38" t="inlineStr"/>
      <c r="I584" s="38" t="inlineStr"/>
      <c r="J584" s="38" t="inlineStr">
        <is>
          <t>UPI Payment</t>
        </is>
      </c>
      <c r="K584" s="38" t="inlineStr">
        <is>
          <t>Personal</t>
        </is>
      </c>
      <c r="L584" s="25" t="n">
        <v>0.55</v>
      </c>
      <c r="M584" s="38" t="inlineStr">
        <is>
          <t>N/A</t>
        </is>
      </c>
    </row>
    <row r="585">
      <c r="A585" s="37" t="n">
        <v>45322</v>
      </c>
      <c r="B585" s="38" t="inlineStr">
        <is>
          <t>UPIOUT/403158429476/Q407907754@ybl/Sent
via /5812</t>
        </is>
      </c>
      <c r="C585" s="38" t="inlineStr"/>
      <c r="D585" s="37" t="n">
        <v>45322</v>
      </c>
      <c r="E585" s="38" t="n">
        <v>225</v>
      </c>
      <c r="F585" s="38" t="n">
        <v>0</v>
      </c>
      <c r="G585" s="38" t="n">
        <v>7934.56</v>
      </c>
      <c r="H585" s="38" t="inlineStr"/>
      <c r="I585" s="38" t="inlineStr"/>
      <c r="J585" s="38" t="inlineStr">
        <is>
          <t>UPI Payment</t>
        </is>
      </c>
      <c r="K585" s="38" t="inlineStr">
        <is>
          <t>Personal</t>
        </is>
      </c>
      <c r="L585" s="25" t="n">
        <v>0.55</v>
      </c>
      <c r="M585" s="38" t="inlineStr">
        <is>
          <t>N/A</t>
        </is>
      </c>
    </row>
    <row r="586">
      <c r="A586" s="35" t="n">
        <v>45322</v>
      </c>
      <c r="B586" s="36" t="inlineStr">
        <is>
          <t>UPIOUT/403158446410/paytmqrpw51via7kn@payt
m//5912</t>
        </is>
      </c>
      <c r="C586" s="36" t="inlineStr"/>
      <c r="D586" s="35" t="n">
        <v>45322</v>
      </c>
      <c r="E586" s="36" t="n">
        <v>30</v>
      </c>
      <c r="F586" s="36" t="n">
        <v>0</v>
      </c>
      <c r="G586" s="36" t="n">
        <v>7904.56</v>
      </c>
      <c r="H586" s="36" t="inlineStr"/>
      <c r="I586" s="36" t="inlineStr"/>
      <c r="J586" s="36" t="inlineStr">
        <is>
          <t>UPI - Paytm</t>
        </is>
      </c>
      <c r="K586" s="36" t="inlineStr">
        <is>
          <t>Personal</t>
        </is>
      </c>
      <c r="L586" s="34" t="n">
        <v>0.65</v>
      </c>
      <c r="M586" s="36" t="inlineStr">
        <is>
          <t>N/A</t>
        </is>
      </c>
    </row>
    <row r="587">
      <c r="A587" s="37" t="n">
        <v>45322</v>
      </c>
      <c r="B587" s="38" t="inlineStr">
        <is>
          <t>UPIOUT/403158503122/Q185949983@ybl/Sent
via /5451</t>
        </is>
      </c>
      <c r="C587" s="38" t="inlineStr"/>
      <c r="D587" s="37" t="n">
        <v>45322</v>
      </c>
      <c r="E587" s="38" t="n">
        <v>10</v>
      </c>
      <c r="F587" s="38" t="n">
        <v>0</v>
      </c>
      <c r="G587" s="38" t="n">
        <v>7894.56</v>
      </c>
      <c r="H587" s="38" t="inlineStr"/>
      <c r="I587" s="38" t="inlineStr"/>
      <c r="J587" s="38" t="inlineStr">
        <is>
          <t>UPI Payment</t>
        </is>
      </c>
      <c r="K587" s="38" t="inlineStr">
        <is>
          <t>Personal</t>
        </is>
      </c>
      <c r="L587" s="25" t="n">
        <v>0.55</v>
      </c>
      <c r="M587" s="38" t="inlineStr">
        <is>
          <t>N/A</t>
        </is>
      </c>
    </row>
    <row r="588">
      <c r="A588" s="37" t="n">
        <v>45322</v>
      </c>
      <c r="B588" s="38" t="inlineStr">
        <is>
          <t>UPIOUT/403160070092/Q151311187@ybl/Sent
via /5814</t>
        </is>
      </c>
      <c r="C588" s="38" t="inlineStr"/>
      <c r="D588" s="37" t="n">
        <v>45322</v>
      </c>
      <c r="E588" s="38" t="n">
        <v>40</v>
      </c>
      <c r="F588" s="38" t="n">
        <v>0</v>
      </c>
      <c r="G588" s="38" t="n">
        <v>7854.56</v>
      </c>
      <c r="H588" s="38" t="inlineStr"/>
      <c r="I588" s="38" t="inlineStr"/>
      <c r="J588" s="38" t="inlineStr">
        <is>
          <t>UPI Payment</t>
        </is>
      </c>
      <c r="K588" s="38" t="inlineStr">
        <is>
          <t>Personal</t>
        </is>
      </c>
      <c r="L588" s="25" t="n">
        <v>0.55</v>
      </c>
      <c r="M588" s="38" t="inlineStr">
        <is>
          <t>N/A</t>
        </is>
      </c>
    </row>
    <row r="589">
      <c r="A589" s="37" t="n">
        <v>45322</v>
      </c>
      <c r="B589" s="38" t="inlineStr">
        <is>
          <t>UPIOUT/403160164019/Q082521920@ybl/Sent
via /5814</t>
        </is>
      </c>
      <c r="C589" s="38" t="inlineStr"/>
      <c r="D589" s="37" t="n">
        <v>45322</v>
      </c>
      <c r="E589" s="38" t="n">
        <v>17</v>
      </c>
      <c r="F589" s="38" t="n">
        <v>0</v>
      </c>
      <c r="G589" s="38" t="n">
        <v>7837.56</v>
      </c>
      <c r="H589" s="38" t="inlineStr"/>
      <c r="I589" s="38" t="inlineStr"/>
      <c r="J589" s="38" t="inlineStr">
        <is>
          <t>UPI Payment</t>
        </is>
      </c>
      <c r="K589" s="38" t="inlineStr">
        <is>
          <t>Personal</t>
        </is>
      </c>
      <c r="L589" s="25" t="n">
        <v>0.55</v>
      </c>
      <c r="M589" s="38" t="inlineStr">
        <is>
          <t>N/A</t>
        </is>
      </c>
    </row>
    <row r="590">
      <c r="A590" s="23" t="n">
        <v>45322</v>
      </c>
      <c r="B590" s="24" t="inlineStr">
        <is>
          <t>NFT/DR REDDYS LABOR/CITIN24416493217/CITI</t>
        </is>
      </c>
      <c r="C590" s="24" t="inlineStr"/>
      <c r="D590" s="23" t="n">
        <v>45322</v>
      </c>
      <c r="E590" s="24" t="n">
        <v>0</v>
      </c>
      <c r="F590" s="24" t="n">
        <v>22500</v>
      </c>
      <c r="G590" s="24" t="n">
        <v>30337.56</v>
      </c>
      <c r="H590" s="24" t="inlineStr"/>
      <c r="I590" s="24" t="inlineStr"/>
      <c r="J590" s="24" t="inlineStr">
        <is>
          <t>What is this?</t>
        </is>
      </c>
      <c r="K590" s="24" t="inlineStr">
        <is>
          <t>Suspense</t>
        </is>
      </c>
      <c r="L590" s="25" t="n">
        <v>0</v>
      </c>
      <c r="M590" s="24" t="inlineStr">
        <is>
          <t>N/A</t>
        </is>
      </c>
    </row>
    <row r="591">
      <c r="A591" s="37" t="n">
        <v>45324</v>
      </c>
      <c r="B591" s="38" t="inlineStr">
        <is>
          <t>UPIOUT/403372353754/Q463323667@ybl/Sent
via /5812</t>
        </is>
      </c>
      <c r="C591" s="38" t="inlineStr"/>
      <c r="D591" s="37" t="n">
        <v>45324</v>
      </c>
      <c r="E591" s="38" t="n">
        <v>40</v>
      </c>
      <c r="F591" s="38" t="n">
        <v>0</v>
      </c>
      <c r="G591" s="38" t="n">
        <v>30297.56</v>
      </c>
      <c r="H591" s="38" t="inlineStr"/>
      <c r="I591" s="38" t="inlineStr"/>
      <c r="J591" s="38" t="inlineStr">
        <is>
          <t>UPI Payment</t>
        </is>
      </c>
      <c r="K591" s="38" t="inlineStr">
        <is>
          <t>Personal</t>
        </is>
      </c>
      <c r="L591" s="25" t="n">
        <v>0.55</v>
      </c>
      <c r="M591" s="38" t="inlineStr">
        <is>
          <t>N/A</t>
        </is>
      </c>
    </row>
    <row r="592">
      <c r="A592" s="87" t="n">
        <v>45324</v>
      </c>
      <c r="B592" s="88" t="inlineStr">
        <is>
          <t>UPIOUT/403372362550/aayush20gupta@oksbi/Se
nt/0000</t>
        </is>
      </c>
      <c r="C592" s="88" t="inlineStr"/>
      <c r="D592" s="87" t="n">
        <v>45324</v>
      </c>
      <c r="E592" s="88" t="n">
        <v>9297.559999999999</v>
      </c>
      <c r="F592" s="88" t="n">
        <v>0</v>
      </c>
      <c r="G592" s="88" t="n">
        <v>21000</v>
      </c>
      <c r="H592" s="88" t="inlineStr"/>
      <c r="I592" s="88" t="inlineStr"/>
      <c r="J592" s="88" t="inlineStr">
        <is>
          <t>Contra - Kotak</t>
        </is>
      </c>
      <c r="K592" s="88" t="inlineStr">
        <is>
          <t>KOTAK 0333</t>
        </is>
      </c>
      <c r="L592" s="18" t="n">
        <v>0.9</v>
      </c>
      <c r="M592" s="88" t="inlineStr">
        <is>
          <t>N/A</t>
        </is>
      </c>
    </row>
    <row r="593">
      <c r="A593" s="37" t="n">
        <v>45324</v>
      </c>
      <c r="B593" s="38" t="inlineStr">
        <is>
          <t>UPIOUT/403373170568/Q079360809@ybl/Sent
via /5814</t>
        </is>
      </c>
      <c r="C593" s="38" t="inlineStr"/>
      <c r="D593" s="37" t="n">
        <v>45324</v>
      </c>
      <c r="E593" s="38" t="n">
        <v>90</v>
      </c>
      <c r="F593" s="38" t="n">
        <v>0</v>
      </c>
      <c r="G593" s="38" t="n">
        <v>20910</v>
      </c>
      <c r="H593" s="38" t="inlineStr"/>
      <c r="I593" s="38" t="inlineStr"/>
      <c r="J593" s="38" t="inlineStr">
        <is>
          <t>UPI Payment</t>
        </is>
      </c>
      <c r="K593" s="38" t="inlineStr">
        <is>
          <t>Personal</t>
        </is>
      </c>
      <c r="L593" s="25" t="n">
        <v>0.55</v>
      </c>
      <c r="M593" s="38" t="inlineStr">
        <is>
          <t>N/A</t>
        </is>
      </c>
    </row>
    <row r="594">
      <c r="A594" s="58" t="n">
        <v>45325</v>
      </c>
      <c r="B594" s="59" t="inlineStr">
        <is>
          <t>NFT/NEOSIEXEDDD2024020304151808688 NAVI
Mutual Fun</t>
        </is>
      </c>
      <c r="C594" s="59" t="inlineStr"/>
      <c r="D594" s="58" t="n">
        <v>45325</v>
      </c>
      <c r="E594" s="59" t="n">
        <v>1000</v>
      </c>
      <c r="F594" s="59" t="n">
        <v>0</v>
      </c>
      <c r="G594" s="59" t="n">
        <v>19910</v>
      </c>
      <c r="H594" s="59" t="inlineStr"/>
      <c r="I594" s="59" t="inlineStr"/>
      <c r="J594" s="59" t="inlineStr">
        <is>
          <t>MF Investment</t>
        </is>
      </c>
      <c r="K594" s="59" t="inlineStr">
        <is>
          <t>Investments</t>
        </is>
      </c>
      <c r="L594" s="18" t="n">
        <v>0.88</v>
      </c>
      <c r="M594" s="59" t="inlineStr">
        <is>
          <t>N/A</t>
        </is>
      </c>
    </row>
    <row r="595">
      <c r="A595" s="35" t="n">
        <v>45325</v>
      </c>
      <c r="B595" s="36" t="inlineStr">
        <is>
          <t>UPIOUT/403476548481/paytmqricl8fehbdn@payt
m//5411</t>
        </is>
      </c>
      <c r="C595" s="36" t="inlineStr"/>
      <c r="D595" s="35" t="n">
        <v>45325</v>
      </c>
      <c r="E595" s="36" t="n">
        <v>78</v>
      </c>
      <c r="F595" s="36" t="n">
        <v>0</v>
      </c>
      <c r="G595" s="36" t="n">
        <v>19832</v>
      </c>
      <c r="H595" s="36" t="inlineStr"/>
      <c r="I595" s="36" t="inlineStr"/>
      <c r="J595" s="36" t="inlineStr">
        <is>
          <t>UPI - Paytm</t>
        </is>
      </c>
      <c r="K595" s="36" t="inlineStr">
        <is>
          <t>Personal</t>
        </is>
      </c>
      <c r="L595" s="34" t="n">
        <v>0.65</v>
      </c>
      <c r="M595" s="36" t="inlineStr">
        <is>
          <t>N/A</t>
        </is>
      </c>
    </row>
    <row r="596">
      <c r="A596" s="35" t="n">
        <v>45325</v>
      </c>
      <c r="B596" s="36" t="inlineStr">
        <is>
          <t>UPIOUT/403476780982/paytmqr46ql4xg6hq@payt
m//5411</t>
        </is>
      </c>
      <c r="C596" s="36" t="inlineStr"/>
      <c r="D596" s="35" t="n">
        <v>45325</v>
      </c>
      <c r="E596" s="36" t="n">
        <v>50</v>
      </c>
      <c r="F596" s="36" t="n">
        <v>0</v>
      </c>
      <c r="G596" s="36" t="n">
        <v>19782</v>
      </c>
      <c r="H596" s="36" t="inlineStr"/>
      <c r="I596" s="36" t="inlineStr"/>
      <c r="J596" s="36" t="inlineStr">
        <is>
          <t>UPI - Paytm</t>
        </is>
      </c>
      <c r="K596" s="36" t="inlineStr">
        <is>
          <t>Personal</t>
        </is>
      </c>
      <c r="L596" s="34" t="n">
        <v>0.65</v>
      </c>
      <c r="M596" s="36" t="inlineStr">
        <is>
          <t>N/A</t>
        </is>
      </c>
    </row>
    <row r="597">
      <c r="A597" s="32" t="n">
        <v>45325</v>
      </c>
      <c r="B597" s="33" t="inlineStr">
        <is>
          <t>UPIOUT/403478205168/BHARATPE.0105308277@in
du/5065</t>
        </is>
      </c>
      <c r="C597" s="33" t="inlineStr"/>
      <c r="D597" s="32" t="n">
        <v>45325</v>
      </c>
      <c r="E597" s="33" t="n">
        <v>37</v>
      </c>
      <c r="F597" s="33" t="n">
        <v>0</v>
      </c>
      <c r="G597" s="33" t="n">
        <v>19745</v>
      </c>
      <c r="H597" s="33" t="inlineStr"/>
      <c r="I597" s="33" t="inlineStr"/>
      <c r="J597" s="33" t="inlineStr">
        <is>
          <t>UPI - BharatPe</t>
        </is>
      </c>
      <c r="K597" s="33" t="inlineStr">
        <is>
          <t>Personal</t>
        </is>
      </c>
      <c r="L597" s="34" t="n">
        <v>0.65</v>
      </c>
      <c r="M597" s="33" t="inlineStr">
        <is>
          <t>N/A</t>
        </is>
      </c>
    </row>
    <row r="598">
      <c r="A598" s="37" t="n">
        <v>45325</v>
      </c>
      <c r="B598" s="38" t="inlineStr">
        <is>
          <t>UPIOUT/403478870895/Q435774742@ybl/Sent
via /5441</t>
        </is>
      </c>
      <c r="C598" s="38" t="inlineStr"/>
      <c r="D598" s="37" t="n">
        <v>45325</v>
      </c>
      <c r="E598" s="38" t="n">
        <v>30</v>
      </c>
      <c r="F598" s="38" t="n">
        <v>0</v>
      </c>
      <c r="G598" s="38" t="n">
        <v>19715</v>
      </c>
      <c r="H598" s="38" t="inlineStr"/>
      <c r="I598" s="38" t="inlineStr"/>
      <c r="J598" s="38" t="inlineStr">
        <is>
          <t>UPI Payment</t>
        </is>
      </c>
      <c r="K598" s="38" t="inlineStr">
        <is>
          <t>Personal</t>
        </is>
      </c>
      <c r="L598" s="25" t="n">
        <v>0.55</v>
      </c>
      <c r="M598" s="38" t="inlineStr">
        <is>
          <t>N/A</t>
        </is>
      </c>
    </row>
    <row r="599">
      <c r="A599" s="37" t="n">
        <v>45325</v>
      </c>
      <c r="B599" s="38" t="inlineStr">
        <is>
          <t>UPIOUT/403479545954/Q510171333@ybl/Sent
via /5311</t>
        </is>
      </c>
      <c r="C599" s="38" t="inlineStr"/>
      <c r="D599" s="37" t="n">
        <v>45325</v>
      </c>
      <c r="E599" s="38" t="n">
        <v>40</v>
      </c>
      <c r="F599" s="38" t="n">
        <v>0</v>
      </c>
      <c r="G599" s="38" t="n">
        <v>19675</v>
      </c>
      <c r="H599" s="38" t="inlineStr"/>
      <c r="I599" s="38" t="inlineStr"/>
      <c r="J599" s="38" t="inlineStr">
        <is>
          <t>UPI Payment</t>
        </is>
      </c>
      <c r="K599" s="38" t="inlineStr">
        <is>
          <t>Personal</t>
        </is>
      </c>
      <c r="L599" s="25" t="n">
        <v>0.55</v>
      </c>
      <c r="M599" s="38" t="inlineStr">
        <is>
          <t>N/A</t>
        </is>
      </c>
    </row>
    <row r="600">
      <c r="A600" s="37" t="n">
        <v>45326</v>
      </c>
      <c r="B600" s="38" t="inlineStr">
        <is>
          <t>UPIOUT/403581606581/Q832428843@ybl/Sent
via /5814</t>
        </is>
      </c>
      <c r="C600" s="38" t="inlineStr"/>
      <c r="D600" s="37" t="n">
        <v>45326</v>
      </c>
      <c r="E600" s="38" t="n">
        <v>18</v>
      </c>
      <c r="F600" s="38" t="n">
        <v>0</v>
      </c>
      <c r="G600" s="38" t="n">
        <v>19657</v>
      </c>
      <c r="H600" s="38" t="inlineStr"/>
      <c r="I600" s="38" t="inlineStr"/>
      <c r="J600" s="38" t="inlineStr">
        <is>
          <t>UPI Payment</t>
        </is>
      </c>
      <c r="K600" s="38" t="inlineStr">
        <is>
          <t>Personal</t>
        </is>
      </c>
      <c r="L600" s="25" t="n">
        <v>0.55</v>
      </c>
      <c r="M600" s="38" t="inlineStr">
        <is>
          <t>N/A</t>
        </is>
      </c>
    </row>
    <row r="601">
      <c r="A601" s="32" t="n">
        <v>45326</v>
      </c>
      <c r="B601" s="33" t="inlineStr">
        <is>
          <t>UPIOUT/403583490912/BHARATPE.0105308277@in
du/5065</t>
        </is>
      </c>
      <c r="C601" s="33" t="inlineStr"/>
      <c r="D601" s="32" t="n">
        <v>45326</v>
      </c>
      <c r="E601" s="33" t="n">
        <v>17</v>
      </c>
      <c r="F601" s="33" t="n">
        <v>0</v>
      </c>
      <c r="G601" s="33" t="n">
        <v>19640</v>
      </c>
      <c r="H601" s="33" t="inlineStr"/>
      <c r="I601" s="33" t="inlineStr"/>
      <c r="J601" s="33" t="inlineStr">
        <is>
          <t>UPI - BharatPe</t>
        </is>
      </c>
      <c r="K601" s="33" t="inlineStr">
        <is>
          <t>Personal</t>
        </is>
      </c>
      <c r="L601" s="34" t="n">
        <v>0.65</v>
      </c>
      <c r="M601" s="33" t="inlineStr">
        <is>
          <t>N/A</t>
        </is>
      </c>
    </row>
    <row r="602">
      <c r="A602" s="37" t="n">
        <v>45326</v>
      </c>
      <c r="B602" s="38" t="inlineStr">
        <is>
          <t>UPIOUT/403584051473/Q407907754@ybl/Sent
via /5812</t>
        </is>
      </c>
      <c r="C602" s="38" t="inlineStr"/>
      <c r="D602" s="37" t="n">
        <v>45326</v>
      </c>
      <c r="E602" s="38" t="n">
        <v>30</v>
      </c>
      <c r="F602" s="38" t="n">
        <v>0</v>
      </c>
      <c r="G602" s="38" t="n">
        <v>19610</v>
      </c>
      <c r="H602" s="38" t="inlineStr"/>
      <c r="I602" s="38" t="inlineStr"/>
      <c r="J602" s="38" t="inlineStr">
        <is>
          <t>UPI Payment</t>
        </is>
      </c>
      <c r="K602" s="38" t="inlineStr">
        <is>
          <t>Personal</t>
        </is>
      </c>
      <c r="L602" s="25" t="n">
        <v>0.55</v>
      </c>
      <c r="M602" s="38" t="inlineStr">
        <is>
          <t>N/A</t>
        </is>
      </c>
    </row>
    <row r="603">
      <c r="A603" s="37" t="n">
        <v>45326</v>
      </c>
      <c r="B603" s="38" t="inlineStr">
        <is>
          <t>UPIOUT/403584334756/Q780515718@ybl/Sent
via /5814</t>
        </is>
      </c>
      <c r="C603" s="38" t="inlineStr"/>
      <c r="D603" s="37" t="n">
        <v>45326</v>
      </c>
      <c r="E603" s="38" t="n">
        <v>60</v>
      </c>
      <c r="F603" s="38" t="n">
        <v>0</v>
      </c>
      <c r="G603" s="38" t="n">
        <v>19550</v>
      </c>
      <c r="H603" s="38" t="inlineStr"/>
      <c r="I603" s="38" t="inlineStr"/>
      <c r="J603" s="38" t="inlineStr">
        <is>
          <t>UPI Payment</t>
        </is>
      </c>
      <c r="K603" s="38" t="inlineStr">
        <is>
          <t>Personal</t>
        </is>
      </c>
      <c r="L603" s="25" t="n">
        <v>0.55</v>
      </c>
      <c r="M603" s="38" t="inlineStr">
        <is>
          <t>N/A</t>
        </is>
      </c>
    </row>
    <row r="604">
      <c r="A604" s="37" t="n">
        <v>45326</v>
      </c>
      <c r="B604" s="38" t="inlineStr">
        <is>
          <t>UPIOUT/403584916498/Q234107384@ybl/Sent
via /5441</t>
        </is>
      </c>
      <c r="C604" s="38" t="inlineStr"/>
      <c r="D604" s="37" t="n">
        <v>45326</v>
      </c>
      <c r="E604" s="38" t="n">
        <v>293</v>
      </c>
      <c r="F604" s="38" t="n">
        <v>0</v>
      </c>
      <c r="G604" s="38" t="n">
        <v>19257</v>
      </c>
      <c r="H604" s="38" t="inlineStr"/>
      <c r="I604" s="38" t="inlineStr"/>
      <c r="J604" s="38" t="inlineStr">
        <is>
          <t>UPI Payment</t>
        </is>
      </c>
      <c r="K604" s="38" t="inlineStr">
        <is>
          <t>Personal</t>
        </is>
      </c>
      <c r="L604" s="25" t="n">
        <v>0.55</v>
      </c>
      <c r="M604" s="38" t="inlineStr">
        <is>
          <t>N/A</t>
        </is>
      </c>
    </row>
    <row r="605">
      <c r="A605" s="35" t="n">
        <v>45327</v>
      </c>
      <c r="B605" s="36" t="inlineStr">
        <is>
          <t>UPIOUT/403687486460/paytmqrldb7adipi0@payt
m//4121</t>
        </is>
      </c>
      <c r="C605" s="36" t="inlineStr"/>
      <c r="D605" s="35" t="n">
        <v>45327</v>
      </c>
      <c r="E605" s="36" t="n">
        <v>30</v>
      </c>
      <c r="F605" s="36" t="n">
        <v>0</v>
      </c>
      <c r="G605" s="36" t="n">
        <v>19227</v>
      </c>
      <c r="H605" s="36" t="inlineStr"/>
      <c r="I605" s="36" t="inlineStr"/>
      <c r="J605" s="36" t="inlineStr">
        <is>
          <t>UPI - Paytm</t>
        </is>
      </c>
      <c r="K605" s="36" t="inlineStr">
        <is>
          <t>Personal</t>
        </is>
      </c>
      <c r="L605" s="34" t="n">
        <v>0.65</v>
      </c>
      <c r="M605" s="36" t="inlineStr">
        <is>
          <t>N/A</t>
        </is>
      </c>
    </row>
    <row r="606">
      <c r="A606" s="35" t="n">
        <v>45327</v>
      </c>
      <c r="B606" s="36" t="inlineStr">
        <is>
          <t>UPIOUT/403689875646/paytmqr1w3dfry5ew@payt
m//4121</t>
        </is>
      </c>
      <c r="C606" s="36" t="inlineStr"/>
      <c r="D606" s="35" t="n">
        <v>45327</v>
      </c>
      <c r="E606" s="36" t="n">
        <v>10</v>
      </c>
      <c r="F606" s="36" t="n">
        <v>0</v>
      </c>
      <c r="G606" s="36" t="n">
        <v>19217</v>
      </c>
      <c r="H606" s="36" t="inlineStr"/>
      <c r="I606" s="36" t="inlineStr"/>
      <c r="J606" s="36" t="inlineStr">
        <is>
          <t>UPI - Paytm</t>
        </is>
      </c>
      <c r="K606" s="36" t="inlineStr">
        <is>
          <t>Personal</t>
        </is>
      </c>
      <c r="L606" s="34" t="n">
        <v>0.65</v>
      </c>
      <c r="M606" s="36" t="inlineStr">
        <is>
          <t>N/A</t>
        </is>
      </c>
    </row>
    <row r="607">
      <c r="A607" s="37" t="n">
        <v>45327</v>
      </c>
      <c r="B607" s="38" t="inlineStr">
        <is>
          <t>UPIOUT/403690003533/Q798355992@ybl/Sent
via /7407</t>
        </is>
      </c>
      <c r="C607" s="38" t="inlineStr"/>
      <c r="D607" s="37" t="n">
        <v>45327</v>
      </c>
      <c r="E607" s="38" t="n">
        <v>20</v>
      </c>
      <c r="F607" s="38" t="n">
        <v>0</v>
      </c>
      <c r="G607" s="38" t="n">
        <v>19197</v>
      </c>
      <c r="H607" s="38" t="inlineStr"/>
      <c r="I607" s="38" t="inlineStr"/>
      <c r="J607" s="38" t="inlineStr">
        <is>
          <t>UPI Payment</t>
        </is>
      </c>
      <c r="K607" s="38" t="inlineStr">
        <is>
          <t>Personal</t>
        </is>
      </c>
      <c r="L607" s="25" t="n">
        <v>0.55</v>
      </c>
      <c r="M607" s="38" t="inlineStr">
        <is>
          <t>N/A</t>
        </is>
      </c>
    </row>
    <row r="608">
      <c r="A608" s="37" t="n">
        <v>45327</v>
      </c>
      <c r="B608" s="38" t="inlineStr">
        <is>
          <t>UPIOUT/403690014574/Q435774742@ybl/Sent
via /5441</t>
        </is>
      </c>
      <c r="C608" s="38" t="inlineStr"/>
      <c r="D608" s="37" t="n">
        <v>45327</v>
      </c>
      <c r="E608" s="38" t="n">
        <v>30</v>
      </c>
      <c r="F608" s="38" t="n">
        <v>0</v>
      </c>
      <c r="G608" s="38" t="n">
        <v>19167</v>
      </c>
      <c r="H608" s="38" t="inlineStr"/>
      <c r="I608" s="38" t="inlineStr"/>
      <c r="J608" s="38" t="inlineStr">
        <is>
          <t>UPI Payment</t>
        </is>
      </c>
      <c r="K608" s="38" t="inlineStr">
        <is>
          <t>Personal</t>
        </is>
      </c>
      <c r="L608" s="25" t="n">
        <v>0.55</v>
      </c>
      <c r="M608" s="38" t="inlineStr">
        <is>
          <t>N/A</t>
        </is>
      </c>
    </row>
    <row r="609">
      <c r="A609" s="32" t="n">
        <v>45327</v>
      </c>
      <c r="B609" s="33" t="inlineStr">
        <is>
          <t>UPIOUT/403691092455/BHARATPE90726409079@ye
sb/5065</t>
        </is>
      </c>
      <c r="C609" s="33" t="inlineStr"/>
      <c r="D609" s="32" t="n">
        <v>45327</v>
      </c>
      <c r="E609" s="33" t="n">
        <v>10</v>
      </c>
      <c r="F609" s="33" t="n">
        <v>0</v>
      </c>
      <c r="G609" s="33" t="n">
        <v>19157</v>
      </c>
      <c r="H609" s="33" t="inlineStr"/>
      <c r="I609" s="33" t="inlineStr"/>
      <c r="J609" s="33" t="inlineStr">
        <is>
          <t>UPI - BharatPe</t>
        </is>
      </c>
      <c r="K609" s="33" t="inlineStr">
        <is>
          <t>Personal</t>
        </is>
      </c>
      <c r="L609" s="34" t="n">
        <v>0.65</v>
      </c>
      <c r="M609" s="33" t="inlineStr">
        <is>
          <t>N/A</t>
        </is>
      </c>
    </row>
    <row r="610">
      <c r="A610" s="32" t="n">
        <v>45328</v>
      </c>
      <c r="B610" s="33" t="inlineStr">
        <is>
          <t>UPIOUT/403792641625/BHARATPE90726409079@ye
sb/5065</t>
        </is>
      </c>
      <c r="C610" s="33" t="inlineStr"/>
      <c r="D610" s="32" t="n">
        <v>45328</v>
      </c>
      <c r="E610" s="33" t="n">
        <v>10</v>
      </c>
      <c r="F610" s="33" t="n">
        <v>0</v>
      </c>
      <c r="G610" s="33" t="n">
        <v>19147</v>
      </c>
      <c r="H610" s="33" t="inlineStr"/>
      <c r="I610" s="33" t="inlineStr"/>
      <c r="J610" s="33" t="inlineStr">
        <is>
          <t>UPI - BharatPe</t>
        </is>
      </c>
      <c r="K610" s="33" t="inlineStr">
        <is>
          <t>Personal</t>
        </is>
      </c>
      <c r="L610" s="34" t="n">
        <v>0.65</v>
      </c>
      <c r="M610" s="33" t="inlineStr">
        <is>
          <t>N/A</t>
        </is>
      </c>
    </row>
    <row r="611">
      <c r="A611" s="37" t="n">
        <v>45328</v>
      </c>
      <c r="B611" s="38" t="inlineStr">
        <is>
          <t>UPIOUT/403794054659/Q407907754@ybl/Sent
via /5812</t>
        </is>
      </c>
      <c r="C611" s="38" t="inlineStr"/>
      <c r="D611" s="37" t="n">
        <v>45328</v>
      </c>
      <c r="E611" s="38" t="n">
        <v>70</v>
      </c>
      <c r="F611" s="38" t="n">
        <v>0</v>
      </c>
      <c r="G611" s="38" t="n">
        <v>19077</v>
      </c>
      <c r="H611" s="38" t="inlineStr"/>
      <c r="I611" s="38" t="inlineStr"/>
      <c r="J611" s="38" t="inlineStr">
        <is>
          <t>UPI Payment</t>
        </is>
      </c>
      <c r="K611" s="38" t="inlineStr">
        <is>
          <t>Personal</t>
        </is>
      </c>
      <c r="L611" s="25" t="n">
        <v>0.55</v>
      </c>
      <c r="M611" s="38" t="inlineStr">
        <is>
          <t>N/A</t>
        </is>
      </c>
    </row>
    <row r="612">
      <c r="A612" s="37" t="n">
        <v>45328</v>
      </c>
      <c r="B612" s="38" t="inlineStr">
        <is>
          <t>UPIOUT/403795456554/Q122299144@ybl/Sent
via /5814</t>
        </is>
      </c>
      <c r="C612" s="38" t="inlineStr"/>
      <c r="D612" s="37" t="n">
        <v>45328</v>
      </c>
      <c r="E612" s="38" t="n">
        <v>170</v>
      </c>
      <c r="F612" s="38" t="n">
        <v>0</v>
      </c>
      <c r="G612" s="38" t="n">
        <v>18907</v>
      </c>
      <c r="H612" s="38" t="inlineStr"/>
      <c r="I612" s="38" t="inlineStr"/>
      <c r="J612" s="38" t="inlineStr">
        <is>
          <t>UPI Payment</t>
        </is>
      </c>
      <c r="K612" s="38" t="inlineStr">
        <is>
          <t>Personal</t>
        </is>
      </c>
      <c r="L612" s="25" t="n">
        <v>0.55</v>
      </c>
      <c r="M612" s="38" t="inlineStr">
        <is>
          <t>N/A</t>
        </is>
      </c>
    </row>
    <row r="613">
      <c r="A613" s="37" t="n">
        <v>45328</v>
      </c>
      <c r="B613" s="38" t="inlineStr">
        <is>
          <t>UPIOUT/403795478267/Q463323667@ybl/Sent
via /5812</t>
        </is>
      </c>
      <c r="C613" s="38" t="inlineStr"/>
      <c r="D613" s="37" t="n">
        <v>45328</v>
      </c>
      <c r="E613" s="38" t="n">
        <v>40</v>
      </c>
      <c r="F613" s="38" t="n">
        <v>0</v>
      </c>
      <c r="G613" s="38" t="n">
        <v>18867</v>
      </c>
      <c r="H613" s="38" t="inlineStr"/>
      <c r="I613" s="38" t="inlineStr"/>
      <c r="J613" s="38" t="inlineStr">
        <is>
          <t>UPI Payment</t>
        </is>
      </c>
      <c r="K613" s="38" t="inlineStr">
        <is>
          <t>Personal</t>
        </is>
      </c>
      <c r="L613" s="25" t="n">
        <v>0.55</v>
      </c>
      <c r="M613" s="38" t="inlineStr">
        <is>
          <t>N/A</t>
        </is>
      </c>
    </row>
    <row r="614">
      <c r="A614" s="37" t="n">
        <v>45328</v>
      </c>
      <c r="B614" s="38" t="inlineStr">
        <is>
          <t>UPIOUT/403795561949/Q651613968@ybl/Sent
via /5311</t>
        </is>
      </c>
      <c r="C614" s="38" t="inlineStr"/>
      <c r="D614" s="37" t="n">
        <v>45328</v>
      </c>
      <c r="E614" s="38" t="n">
        <v>10</v>
      </c>
      <c r="F614" s="38" t="n">
        <v>0</v>
      </c>
      <c r="G614" s="38" t="n">
        <v>18857</v>
      </c>
      <c r="H614" s="38" t="inlineStr"/>
      <c r="I614" s="38" t="inlineStr"/>
      <c r="J614" s="38" t="inlineStr">
        <is>
          <t>UPI Payment</t>
        </is>
      </c>
      <c r="K614" s="38" t="inlineStr">
        <is>
          <t>Personal</t>
        </is>
      </c>
      <c r="L614" s="25" t="n">
        <v>0.55</v>
      </c>
      <c r="M614" s="38" t="inlineStr">
        <is>
          <t>N/A</t>
        </is>
      </c>
    </row>
    <row r="615">
      <c r="A615" s="37" t="n">
        <v>45328</v>
      </c>
      <c r="B615" s="38" t="inlineStr">
        <is>
          <t>UPIOUT/403796412657/Q832428843@ybl/Sent
via /5814</t>
        </is>
      </c>
      <c r="C615" s="38" t="inlineStr"/>
      <c r="D615" s="37" t="n">
        <v>45328</v>
      </c>
      <c r="E615" s="38" t="n">
        <v>25</v>
      </c>
      <c r="F615" s="38" t="n">
        <v>0</v>
      </c>
      <c r="G615" s="38" t="n">
        <v>18832</v>
      </c>
      <c r="H615" s="38" t="inlineStr"/>
      <c r="I615" s="38" t="inlineStr"/>
      <c r="J615" s="38" t="inlineStr">
        <is>
          <t>UPI Payment</t>
        </is>
      </c>
      <c r="K615" s="38" t="inlineStr">
        <is>
          <t>Personal</t>
        </is>
      </c>
      <c r="L615" s="25" t="n">
        <v>0.55</v>
      </c>
      <c r="M615" s="38" t="inlineStr">
        <is>
          <t>N/A</t>
        </is>
      </c>
    </row>
    <row r="616">
      <c r="A616" s="37" t="n">
        <v>45328</v>
      </c>
      <c r="B616" s="38" t="inlineStr">
        <is>
          <t>UPIOUT/403797151179/Q651613968@ybl/Sent
via /5311</t>
        </is>
      </c>
      <c r="C616" s="38" t="inlineStr"/>
      <c r="D616" s="37" t="n">
        <v>45328</v>
      </c>
      <c r="E616" s="38" t="n">
        <v>70</v>
      </c>
      <c r="F616" s="38" t="n">
        <v>0</v>
      </c>
      <c r="G616" s="38" t="n">
        <v>18762</v>
      </c>
      <c r="H616" s="38" t="inlineStr"/>
      <c r="I616" s="38" t="inlineStr"/>
      <c r="J616" s="38" t="inlineStr">
        <is>
          <t>UPI Payment</t>
        </is>
      </c>
      <c r="K616" s="38" t="inlineStr">
        <is>
          <t>Personal</t>
        </is>
      </c>
      <c r="L616" s="25" t="n">
        <v>0.55</v>
      </c>
      <c r="M616" s="38" t="inlineStr">
        <is>
          <t>N/A</t>
        </is>
      </c>
    </row>
    <row r="617">
      <c r="A617" s="37" t="n">
        <v>45329</v>
      </c>
      <c r="B617" s="38" t="inlineStr">
        <is>
          <t>UPIOUT/403889285514/q022439579@ybl/UPI/581
2</t>
        </is>
      </c>
      <c r="C617" s="38" t="inlineStr"/>
      <c r="D617" s="37" t="n">
        <v>45329</v>
      </c>
      <c r="E617" s="38" t="n">
        <v>45</v>
      </c>
      <c r="F617" s="38" t="n">
        <v>0</v>
      </c>
      <c r="G617" s="38" t="n">
        <v>18717</v>
      </c>
      <c r="H617" s="38" t="inlineStr"/>
      <c r="I617" s="38" t="inlineStr"/>
      <c r="J617" s="38" t="inlineStr">
        <is>
          <t>UPI Payment</t>
        </is>
      </c>
      <c r="K617" s="38" t="inlineStr">
        <is>
          <t>Personal</t>
        </is>
      </c>
      <c r="L617" s="25" t="n">
        <v>0.55</v>
      </c>
      <c r="M617" s="38" t="inlineStr">
        <is>
          <t>N/A</t>
        </is>
      </c>
    </row>
    <row r="618">
      <c r="A618" s="37" t="n">
        <v>45329</v>
      </c>
      <c r="B618" s="38" t="inlineStr">
        <is>
          <t>UPIOUT/403810691726/Q407907754@ybl/Sent
via /5812</t>
        </is>
      </c>
      <c r="C618" s="38" t="inlineStr"/>
      <c r="D618" s="37" t="n">
        <v>45329</v>
      </c>
      <c r="E618" s="38" t="n">
        <v>80</v>
      </c>
      <c r="F618" s="38" t="n">
        <v>0</v>
      </c>
      <c r="G618" s="38" t="n">
        <v>18637</v>
      </c>
      <c r="H618" s="38" t="inlineStr"/>
      <c r="I618" s="38" t="inlineStr"/>
      <c r="J618" s="38" t="inlineStr">
        <is>
          <t>UPI Payment</t>
        </is>
      </c>
      <c r="K618" s="38" t="inlineStr">
        <is>
          <t>Personal</t>
        </is>
      </c>
      <c r="L618" s="25" t="n">
        <v>0.55</v>
      </c>
      <c r="M618" s="38" t="inlineStr">
        <is>
          <t>N/A</t>
        </is>
      </c>
    </row>
    <row r="619">
      <c r="A619" s="37" t="n">
        <v>45329</v>
      </c>
      <c r="B619" s="38" t="inlineStr">
        <is>
          <t>UPIOUT/403812623512/Q463323667@ybl/Sent
via /5812</t>
        </is>
      </c>
      <c r="C619" s="38" t="inlineStr"/>
      <c r="D619" s="37" t="n">
        <v>45329</v>
      </c>
      <c r="E619" s="38" t="n">
        <v>80</v>
      </c>
      <c r="F619" s="38" t="n">
        <v>0</v>
      </c>
      <c r="G619" s="38" t="n">
        <v>18557</v>
      </c>
      <c r="H619" s="38" t="inlineStr"/>
      <c r="I619" s="38" t="inlineStr"/>
      <c r="J619" s="38" t="inlineStr">
        <is>
          <t>UPI Payment</t>
        </is>
      </c>
      <c r="K619" s="38" t="inlineStr">
        <is>
          <t>Personal</t>
        </is>
      </c>
      <c r="L619" s="25" t="n">
        <v>0.55</v>
      </c>
      <c r="M619" s="38" t="inlineStr">
        <is>
          <t>N/A</t>
        </is>
      </c>
    </row>
    <row r="620">
      <c r="A620" s="35" t="n">
        <v>45329</v>
      </c>
      <c r="B620" s="36" t="inlineStr">
        <is>
          <t>UPIOUT/403813199530/paytmqr281005050101183
o5/5812</t>
        </is>
      </c>
      <c r="C620" s="36" t="inlineStr"/>
      <c r="D620" s="35" t="n">
        <v>45329</v>
      </c>
      <c r="E620" s="36" t="n">
        <v>75</v>
      </c>
      <c r="F620" s="36" t="n">
        <v>0</v>
      </c>
      <c r="G620" s="36" t="n">
        <v>18482</v>
      </c>
      <c r="H620" s="36" t="inlineStr"/>
      <c r="I620" s="36" t="inlineStr"/>
      <c r="J620" s="36" t="inlineStr">
        <is>
          <t>UPI - Paytm</t>
        </is>
      </c>
      <c r="K620" s="36" t="inlineStr">
        <is>
          <t>Personal</t>
        </is>
      </c>
      <c r="L620" s="34" t="n">
        <v>0.65</v>
      </c>
      <c r="M620" s="36" t="inlineStr">
        <is>
          <t>N/A</t>
        </is>
      </c>
    </row>
    <row r="621">
      <c r="A621" s="21" t="n">
        <v>45330</v>
      </c>
      <c r="B621" s="22" t="inlineStr">
        <is>
          <t>UPIOUT/403916559040/rapido.rzp@icici/Payme
nt/4121</t>
        </is>
      </c>
      <c r="C621" s="22" t="inlineStr"/>
      <c r="D621" s="21" t="n">
        <v>45330</v>
      </c>
      <c r="E621" s="22" t="n">
        <v>31</v>
      </c>
      <c r="F621" s="22" t="n">
        <v>0</v>
      </c>
      <c r="G621" s="22" t="n">
        <v>18451</v>
      </c>
      <c r="H621" s="22" t="inlineStr"/>
      <c r="I621" s="22" t="inlineStr"/>
      <c r="J621" s="22" t="inlineStr">
        <is>
          <t>UPI - Rapido</t>
        </is>
      </c>
      <c r="K621" s="22" t="inlineStr">
        <is>
          <t>Transport</t>
        </is>
      </c>
      <c r="L621" s="34" t="n">
        <v>0.68</v>
      </c>
      <c r="M621" s="22" t="inlineStr">
        <is>
          <t>N/A</t>
        </is>
      </c>
    </row>
    <row r="622">
      <c r="A622" s="37" t="n">
        <v>45330</v>
      </c>
      <c r="B622" s="38" t="inlineStr">
        <is>
          <t>UPIOUT/403919213904/Q221048493@ybl/Sent
via /7407</t>
        </is>
      </c>
      <c r="C622" s="38" t="inlineStr"/>
      <c r="D622" s="37" t="n">
        <v>45330</v>
      </c>
      <c r="E622" s="38" t="n">
        <v>10</v>
      </c>
      <c r="F622" s="38" t="n">
        <v>0</v>
      </c>
      <c r="G622" s="38" t="n">
        <v>18441</v>
      </c>
      <c r="H622" s="38" t="inlineStr"/>
      <c r="I622" s="38" t="inlineStr"/>
      <c r="J622" s="38" t="inlineStr">
        <is>
          <t>UPI Payment</t>
        </is>
      </c>
      <c r="K622" s="38" t="inlineStr">
        <is>
          <t>Personal</t>
        </is>
      </c>
      <c r="L622" s="25" t="n">
        <v>0.55</v>
      </c>
      <c r="M622" s="38" t="inlineStr">
        <is>
          <t>N/A</t>
        </is>
      </c>
    </row>
    <row r="623">
      <c r="A623" s="35" t="n">
        <v>45330</v>
      </c>
      <c r="B623" s="36" t="inlineStr">
        <is>
          <t>UPIOUT/403919599895/paytmqr281005050101ac5
gq/5812</t>
        </is>
      </c>
      <c r="C623" s="36" t="inlineStr"/>
      <c r="D623" s="35" t="n">
        <v>45330</v>
      </c>
      <c r="E623" s="36" t="n">
        <v>70</v>
      </c>
      <c r="F623" s="36" t="n">
        <v>0</v>
      </c>
      <c r="G623" s="36" t="n">
        <v>18371</v>
      </c>
      <c r="H623" s="36" t="inlineStr"/>
      <c r="I623" s="36" t="inlineStr"/>
      <c r="J623" s="36" t="inlineStr">
        <is>
          <t>UPI - Paytm</t>
        </is>
      </c>
      <c r="K623" s="36" t="inlineStr">
        <is>
          <t>Personal</t>
        </is>
      </c>
      <c r="L623" s="34" t="n">
        <v>0.65</v>
      </c>
      <c r="M623" s="36" t="inlineStr">
        <is>
          <t>N/A</t>
        </is>
      </c>
    </row>
    <row r="624">
      <c r="A624" s="37" t="n">
        <v>45330</v>
      </c>
      <c r="B624" s="38" t="inlineStr">
        <is>
          <t>UPIOUT/403919710558/Q510171333@ybl/Sent
via /5311</t>
        </is>
      </c>
      <c r="C624" s="38" t="inlineStr"/>
      <c r="D624" s="37" t="n">
        <v>45330</v>
      </c>
      <c r="E624" s="38" t="n">
        <v>10</v>
      </c>
      <c r="F624" s="38" t="n">
        <v>0</v>
      </c>
      <c r="G624" s="38" t="n">
        <v>18361</v>
      </c>
      <c r="H624" s="38" t="inlineStr"/>
      <c r="I624" s="38" t="inlineStr"/>
      <c r="J624" s="38" t="inlineStr">
        <is>
          <t>UPI Payment</t>
        </is>
      </c>
      <c r="K624" s="38" t="inlineStr">
        <is>
          <t>Personal</t>
        </is>
      </c>
      <c r="L624" s="25" t="n">
        <v>0.55</v>
      </c>
      <c r="M624" s="38" t="inlineStr">
        <is>
          <t>N/A</t>
        </is>
      </c>
    </row>
    <row r="625">
      <c r="A625" s="37" t="n">
        <v>45330</v>
      </c>
      <c r="B625" s="38" t="inlineStr">
        <is>
          <t>UPIOUT/403919918144/Q463323667@ybl/Sent
via /5812</t>
        </is>
      </c>
      <c r="C625" s="38" t="inlineStr"/>
      <c r="D625" s="37" t="n">
        <v>45330</v>
      </c>
      <c r="E625" s="38" t="n">
        <v>50</v>
      </c>
      <c r="F625" s="38" t="n">
        <v>0</v>
      </c>
      <c r="G625" s="38" t="n">
        <v>18311</v>
      </c>
      <c r="H625" s="38" t="inlineStr"/>
      <c r="I625" s="38" t="inlineStr"/>
      <c r="J625" s="38" t="inlineStr">
        <is>
          <t>UPI Payment</t>
        </is>
      </c>
      <c r="K625" s="38" t="inlineStr">
        <is>
          <t>Personal</t>
        </is>
      </c>
      <c r="L625" s="25" t="n">
        <v>0.55</v>
      </c>
      <c r="M625" s="38" t="inlineStr">
        <is>
          <t>N/A</t>
        </is>
      </c>
    </row>
    <row r="626">
      <c r="A626" s="37" t="n">
        <v>45331</v>
      </c>
      <c r="B626" s="38" t="inlineStr">
        <is>
          <t>UPIOUT/404021708967/Q082521920@ybl/Sent
via /5814</t>
        </is>
      </c>
      <c r="C626" s="38" t="inlineStr"/>
      <c r="D626" s="37" t="n">
        <v>45331</v>
      </c>
      <c r="E626" s="38" t="n">
        <v>18</v>
      </c>
      <c r="F626" s="38" t="n">
        <v>0</v>
      </c>
      <c r="G626" s="38" t="n">
        <v>18293</v>
      </c>
      <c r="H626" s="38" t="inlineStr"/>
      <c r="I626" s="38" t="inlineStr"/>
      <c r="J626" s="38" t="inlineStr">
        <is>
          <t>UPI Payment</t>
        </is>
      </c>
      <c r="K626" s="38" t="inlineStr">
        <is>
          <t>Personal</t>
        </is>
      </c>
      <c r="L626" s="25" t="n">
        <v>0.55</v>
      </c>
      <c r="M626" s="38" t="inlineStr">
        <is>
          <t>N/A</t>
        </is>
      </c>
    </row>
    <row r="627">
      <c r="A627" s="35" t="n">
        <v>45331</v>
      </c>
      <c r="B627" s="36" t="inlineStr">
        <is>
          <t>UPIOUT/404022455683/paytm-76881028@paytm/S
en/4121</t>
        </is>
      </c>
      <c r="C627" s="36" t="inlineStr"/>
      <c r="D627" s="35" t="n">
        <v>45331</v>
      </c>
      <c r="E627" s="36" t="n">
        <v>30</v>
      </c>
      <c r="F627" s="36" t="n">
        <v>0</v>
      </c>
      <c r="G627" s="36" t="n">
        <v>18263</v>
      </c>
      <c r="H627" s="36" t="inlineStr"/>
      <c r="I627" s="36" t="inlineStr"/>
      <c r="J627" s="36" t="inlineStr">
        <is>
          <t>UPI - Paytm</t>
        </is>
      </c>
      <c r="K627" s="36" t="inlineStr">
        <is>
          <t>Personal</t>
        </is>
      </c>
      <c r="L627" s="34" t="n">
        <v>0.65</v>
      </c>
      <c r="M627" s="36" t="inlineStr">
        <is>
          <t>N/A</t>
        </is>
      </c>
    </row>
    <row r="628">
      <c r="A628" s="35" t="n">
        <v>45331</v>
      </c>
      <c r="B628" s="36" t="inlineStr">
        <is>
          <t>UPIOUT/404026956609/paytmqr1u63j3b6yq@payt
m//5812</t>
        </is>
      </c>
      <c r="C628" s="36" t="inlineStr"/>
      <c r="D628" s="35" t="n">
        <v>45331</v>
      </c>
      <c r="E628" s="36" t="n">
        <v>21</v>
      </c>
      <c r="F628" s="36" t="n">
        <v>0</v>
      </c>
      <c r="G628" s="36" t="n">
        <v>18242</v>
      </c>
      <c r="H628" s="36" t="inlineStr"/>
      <c r="I628" s="36" t="inlineStr"/>
      <c r="J628" s="36" t="inlineStr">
        <is>
          <t>UPI - Paytm</t>
        </is>
      </c>
      <c r="K628" s="36" t="inlineStr">
        <is>
          <t>Personal</t>
        </is>
      </c>
      <c r="L628" s="34" t="n">
        <v>0.65</v>
      </c>
      <c r="M628" s="36" t="inlineStr">
        <is>
          <t>N/A</t>
        </is>
      </c>
    </row>
    <row r="629">
      <c r="A629" s="35" t="n">
        <v>45331</v>
      </c>
      <c r="B629" s="36" t="inlineStr">
        <is>
          <t>UPIOUT/404027005819/9542070375692@paytm/Se
nt/0000</t>
        </is>
      </c>
      <c r="C629" s="36" t="inlineStr"/>
      <c r="D629" s="35" t="n">
        <v>45331</v>
      </c>
      <c r="E629" s="36" t="n">
        <v>10</v>
      </c>
      <c r="F629" s="36" t="n">
        <v>0</v>
      </c>
      <c r="G629" s="36" t="n">
        <v>18232</v>
      </c>
      <c r="H629" s="36" t="inlineStr"/>
      <c r="I629" s="36" t="inlineStr"/>
      <c r="J629" s="36" t="inlineStr">
        <is>
          <t>UPI - Paytm</t>
        </is>
      </c>
      <c r="K629" s="36" t="inlineStr">
        <is>
          <t>Personal</t>
        </is>
      </c>
      <c r="L629" s="34" t="n">
        <v>0.65</v>
      </c>
      <c r="M629" s="36" t="inlineStr">
        <is>
          <t>N/A</t>
        </is>
      </c>
    </row>
    <row r="630">
      <c r="A630" s="37" t="n">
        <v>45331</v>
      </c>
      <c r="B630" s="38" t="inlineStr">
        <is>
          <t>UPIOUT/404027184063/Q753196172@ybl/Sent
via /5441</t>
        </is>
      </c>
      <c r="C630" s="38" t="inlineStr"/>
      <c r="D630" s="37" t="n">
        <v>45331</v>
      </c>
      <c r="E630" s="38" t="n">
        <v>30</v>
      </c>
      <c r="F630" s="38" t="n">
        <v>0</v>
      </c>
      <c r="G630" s="38" t="n">
        <v>18202</v>
      </c>
      <c r="H630" s="38" t="inlineStr"/>
      <c r="I630" s="38" t="inlineStr"/>
      <c r="J630" s="38" t="inlineStr">
        <is>
          <t>UPI Payment</t>
        </is>
      </c>
      <c r="K630" s="38" t="inlineStr">
        <is>
          <t>Personal</t>
        </is>
      </c>
      <c r="L630" s="25" t="n">
        <v>0.55</v>
      </c>
      <c r="M630" s="38" t="inlineStr">
        <is>
          <t>N/A</t>
        </is>
      </c>
    </row>
    <row r="631">
      <c r="A631" s="35" t="n">
        <v>45331</v>
      </c>
      <c r="B631" s="36" t="inlineStr">
        <is>
          <t>UPIOUT/404027628486/paytmqr281005050101ac5
gq/5812</t>
        </is>
      </c>
      <c r="C631" s="36" t="inlineStr"/>
      <c r="D631" s="35" t="n">
        <v>45331</v>
      </c>
      <c r="E631" s="36" t="n">
        <v>60</v>
      </c>
      <c r="F631" s="36" t="n">
        <v>0</v>
      </c>
      <c r="G631" s="36" t="n">
        <v>18142</v>
      </c>
      <c r="H631" s="36" t="inlineStr"/>
      <c r="I631" s="36" t="inlineStr"/>
      <c r="J631" s="36" t="inlineStr">
        <is>
          <t>UPI - Paytm</t>
        </is>
      </c>
      <c r="K631" s="36" t="inlineStr">
        <is>
          <t>Personal</t>
        </is>
      </c>
      <c r="L631" s="34" t="n">
        <v>0.65</v>
      </c>
      <c r="M631" s="36" t="inlineStr">
        <is>
          <t>N/A</t>
        </is>
      </c>
    </row>
    <row r="632">
      <c r="A632" s="37" t="n">
        <v>45331</v>
      </c>
      <c r="B632" s="38" t="inlineStr">
        <is>
          <t>UPIOUT/404029328016/Q407907754@ybl/Sent
via /5812</t>
        </is>
      </c>
      <c r="C632" s="38" t="inlineStr"/>
      <c r="D632" s="37" t="n">
        <v>45331</v>
      </c>
      <c r="E632" s="38" t="n">
        <v>690</v>
      </c>
      <c r="F632" s="38" t="n">
        <v>0</v>
      </c>
      <c r="G632" s="38" t="n">
        <v>17452</v>
      </c>
      <c r="H632" s="38" t="inlineStr"/>
      <c r="I632" s="38" t="inlineStr"/>
      <c r="J632" s="38" t="inlineStr">
        <is>
          <t>UPI Payment</t>
        </is>
      </c>
      <c r="K632" s="38" t="inlineStr">
        <is>
          <t>Personal</t>
        </is>
      </c>
      <c r="L632" s="25" t="n">
        <v>0.55</v>
      </c>
      <c r="M632" s="38" t="inlineStr">
        <is>
          <t>N/A</t>
        </is>
      </c>
    </row>
    <row r="633">
      <c r="A633" s="37" t="n">
        <v>45332</v>
      </c>
      <c r="B633" s="38" t="inlineStr">
        <is>
          <t>UPIOUT/404131425859/Q082521920@ybl/Sent
via /5814</t>
        </is>
      </c>
      <c r="C633" s="38" t="inlineStr"/>
      <c r="D633" s="37" t="n">
        <v>45332</v>
      </c>
      <c r="E633" s="38" t="n">
        <v>20</v>
      </c>
      <c r="F633" s="38" t="n">
        <v>0</v>
      </c>
      <c r="G633" s="38" t="n">
        <v>17432</v>
      </c>
      <c r="H633" s="38" t="inlineStr"/>
      <c r="I633" s="38" t="inlineStr"/>
      <c r="J633" s="38" t="inlineStr">
        <is>
          <t>UPI Payment</t>
        </is>
      </c>
      <c r="K633" s="38" t="inlineStr">
        <is>
          <t>Personal</t>
        </is>
      </c>
      <c r="L633" s="25" t="n">
        <v>0.55</v>
      </c>
      <c r="M633" s="38" t="inlineStr">
        <is>
          <t>N/A</t>
        </is>
      </c>
    </row>
    <row r="634">
      <c r="A634" s="35" t="n">
        <v>45332</v>
      </c>
      <c r="B634" s="36" t="inlineStr">
        <is>
          <t>UPIOUT/404127167813/paytm-76208552@paytm/U
PI/4112</t>
        </is>
      </c>
      <c r="C634" s="36" t="inlineStr"/>
      <c r="D634" s="35" t="n">
        <v>45332</v>
      </c>
      <c r="E634" s="36" t="n">
        <v>187.15</v>
      </c>
      <c r="F634" s="36" t="n">
        <v>0</v>
      </c>
      <c r="G634" s="36" t="n">
        <v>17244.85</v>
      </c>
      <c r="H634" s="36" t="inlineStr"/>
      <c r="I634" s="36" t="inlineStr"/>
      <c r="J634" s="36" t="inlineStr">
        <is>
          <t>UPI - Paytm</t>
        </is>
      </c>
      <c r="K634" s="36" t="inlineStr">
        <is>
          <t>Personal</t>
        </is>
      </c>
      <c r="L634" s="34" t="n">
        <v>0.65</v>
      </c>
      <c r="M634" s="36" t="inlineStr">
        <is>
          <t>N/A</t>
        </is>
      </c>
    </row>
    <row r="635">
      <c r="A635" s="37" t="n">
        <v>45332</v>
      </c>
      <c r="B635" s="38" t="inlineStr">
        <is>
          <t>UPIOUT/404133402417/Q162409196@ybl/Sent
via /5814</t>
        </is>
      </c>
      <c r="C635" s="38" t="inlineStr"/>
      <c r="D635" s="37" t="n">
        <v>45332</v>
      </c>
      <c r="E635" s="38" t="n">
        <v>45</v>
      </c>
      <c r="F635" s="38" t="n">
        <v>0</v>
      </c>
      <c r="G635" s="38" t="n">
        <v>17199.85</v>
      </c>
      <c r="H635" s="38" t="inlineStr"/>
      <c r="I635" s="38" t="inlineStr"/>
      <c r="J635" s="38" t="inlineStr">
        <is>
          <t>UPI Payment</t>
        </is>
      </c>
      <c r="K635" s="38" t="inlineStr">
        <is>
          <t>Personal</t>
        </is>
      </c>
      <c r="L635" s="25" t="n">
        <v>0.55</v>
      </c>
      <c r="M635" s="38" t="inlineStr">
        <is>
          <t>N/A</t>
        </is>
      </c>
    </row>
    <row r="636">
      <c r="A636" s="37" t="n">
        <v>45332</v>
      </c>
      <c r="B636" s="38" t="inlineStr">
        <is>
          <t>UPIOUT/404134355759/Vyapar.168625347624@hd
fc/7011</t>
        </is>
      </c>
      <c r="C636" s="38" t="inlineStr"/>
      <c r="D636" s="37" t="n">
        <v>45332</v>
      </c>
      <c r="E636" s="38" t="n">
        <v>12000</v>
      </c>
      <c r="F636" s="38" t="n">
        <v>0</v>
      </c>
      <c r="G636" s="38" t="n">
        <v>5199.85</v>
      </c>
      <c r="H636" s="38" t="inlineStr"/>
      <c r="I636" s="38" t="inlineStr"/>
      <c r="J636" s="38" t="inlineStr">
        <is>
          <t>UPI Payment</t>
        </is>
      </c>
      <c r="K636" s="38" t="inlineStr">
        <is>
          <t>Personal</t>
        </is>
      </c>
      <c r="L636" s="25" t="n">
        <v>0.55</v>
      </c>
      <c r="M636" s="38" t="inlineStr">
        <is>
          <t>N/A</t>
        </is>
      </c>
    </row>
    <row r="637">
      <c r="A637" s="37" t="n">
        <v>45332</v>
      </c>
      <c r="B637" s="38" t="inlineStr">
        <is>
          <t>UPIOUT/404134742882/Q302371189@ybl/Sent
via /5451</t>
        </is>
      </c>
      <c r="C637" s="38" t="inlineStr"/>
      <c r="D637" s="37" t="n">
        <v>45332</v>
      </c>
      <c r="E637" s="38" t="n">
        <v>10</v>
      </c>
      <c r="F637" s="38" t="n">
        <v>0</v>
      </c>
      <c r="G637" s="38" t="n">
        <v>5189.85</v>
      </c>
      <c r="H637" s="38" t="inlineStr"/>
      <c r="I637" s="38" t="inlineStr"/>
      <c r="J637" s="38" t="inlineStr">
        <is>
          <t>UPI Payment</t>
        </is>
      </c>
      <c r="K637" s="38" t="inlineStr">
        <is>
          <t>Personal</t>
        </is>
      </c>
      <c r="L637" s="25" t="n">
        <v>0.55</v>
      </c>
      <c r="M637" s="38" t="inlineStr">
        <is>
          <t>N/A</t>
        </is>
      </c>
    </row>
    <row r="638">
      <c r="A638" s="35" t="n">
        <v>45333</v>
      </c>
      <c r="B638" s="36" t="inlineStr">
        <is>
          <t>UPIOUT/404237835142/paytm-64422255@paytm/S
en/5411</t>
        </is>
      </c>
      <c r="C638" s="36" t="inlineStr"/>
      <c r="D638" s="35" t="n">
        <v>45333</v>
      </c>
      <c r="E638" s="36" t="n">
        <v>5</v>
      </c>
      <c r="F638" s="36" t="n">
        <v>0</v>
      </c>
      <c r="G638" s="36" t="n">
        <v>5184.85</v>
      </c>
      <c r="H638" s="36" t="inlineStr"/>
      <c r="I638" s="36" t="inlineStr"/>
      <c r="J638" s="36" t="inlineStr">
        <is>
          <t>UPI - Paytm</t>
        </is>
      </c>
      <c r="K638" s="36" t="inlineStr">
        <is>
          <t>Personal</t>
        </is>
      </c>
      <c r="L638" s="34" t="n">
        <v>0.65</v>
      </c>
      <c r="M638" s="36" t="inlineStr">
        <is>
          <t>N/A</t>
        </is>
      </c>
    </row>
    <row r="639">
      <c r="A639" s="32" t="n">
        <v>45333</v>
      </c>
      <c r="B639" s="33" t="inlineStr">
        <is>
          <t>UPIOUT/404239521873/BHARATPE90726368113@ye
sb/5912</t>
        </is>
      </c>
      <c r="C639" s="33" t="inlineStr"/>
      <c r="D639" s="32" t="n">
        <v>45333</v>
      </c>
      <c r="E639" s="33" t="n">
        <v>30</v>
      </c>
      <c r="F639" s="33" t="n">
        <v>0</v>
      </c>
      <c r="G639" s="33" t="n">
        <v>5154.85</v>
      </c>
      <c r="H639" s="33" t="inlineStr"/>
      <c r="I639" s="33" t="inlineStr"/>
      <c r="J639" s="33" t="inlineStr">
        <is>
          <t>UPI - BharatPe</t>
        </is>
      </c>
      <c r="K639" s="33" t="inlineStr">
        <is>
          <t>Personal</t>
        </is>
      </c>
      <c r="L639" s="34" t="n">
        <v>0.65</v>
      </c>
      <c r="M639" s="33" t="inlineStr">
        <is>
          <t>N/A</t>
        </is>
      </c>
    </row>
    <row r="640">
      <c r="A640" s="37" t="n">
        <v>45333</v>
      </c>
      <c r="B640" s="38" t="inlineStr">
        <is>
          <t>UPIOUT/404239954151/Q463323667@ybl/Sent
via /5812</t>
        </is>
      </c>
      <c r="C640" s="38" t="inlineStr"/>
      <c r="D640" s="37" t="n">
        <v>45333</v>
      </c>
      <c r="E640" s="38" t="n">
        <v>50</v>
      </c>
      <c r="F640" s="38" t="n">
        <v>0</v>
      </c>
      <c r="G640" s="38" t="n">
        <v>5104.85</v>
      </c>
      <c r="H640" s="38" t="inlineStr"/>
      <c r="I640" s="38" t="inlineStr"/>
      <c r="J640" s="38" t="inlineStr">
        <is>
          <t>UPI Payment</t>
        </is>
      </c>
      <c r="K640" s="38" t="inlineStr">
        <is>
          <t>Personal</t>
        </is>
      </c>
      <c r="L640" s="25" t="n">
        <v>0.55</v>
      </c>
      <c r="M640" s="38" t="inlineStr">
        <is>
          <t>N/A</t>
        </is>
      </c>
    </row>
    <row r="641">
      <c r="A641" s="37" t="n">
        <v>45334</v>
      </c>
      <c r="B641" s="38" t="inlineStr">
        <is>
          <t>UPIOUT/404345220956/mdkhaseem819-1@oksbi/S
en/0000</t>
        </is>
      </c>
      <c r="C641" s="38" t="inlineStr"/>
      <c r="D641" s="37" t="n">
        <v>45334</v>
      </c>
      <c r="E641" s="38" t="n">
        <v>10</v>
      </c>
      <c r="F641" s="38" t="n">
        <v>0</v>
      </c>
      <c r="G641" s="38" t="n">
        <v>5094.85</v>
      </c>
      <c r="H641" s="38" t="inlineStr"/>
      <c r="I641" s="38" t="inlineStr"/>
      <c r="J641" s="38" t="inlineStr">
        <is>
          <t>UPI Payment</t>
        </is>
      </c>
      <c r="K641" s="38" t="inlineStr">
        <is>
          <t>Personal</t>
        </is>
      </c>
      <c r="L641" s="25" t="n">
        <v>0.55</v>
      </c>
      <c r="M641" s="38" t="inlineStr">
        <is>
          <t>N/A</t>
        </is>
      </c>
    </row>
    <row r="642">
      <c r="A642" s="37" t="n">
        <v>45334</v>
      </c>
      <c r="B642" s="38" t="inlineStr">
        <is>
          <t>UPIOUT/404345404452/Q722485674@ybl/Sent
via /5411</t>
        </is>
      </c>
      <c r="C642" s="38" t="inlineStr"/>
      <c r="D642" s="37" t="n">
        <v>45334</v>
      </c>
      <c r="E642" s="38" t="n">
        <v>10</v>
      </c>
      <c r="F642" s="38" t="n">
        <v>0</v>
      </c>
      <c r="G642" s="38" t="n">
        <v>5084.85</v>
      </c>
      <c r="H642" s="38" t="inlineStr"/>
      <c r="I642" s="38" t="inlineStr"/>
      <c r="J642" s="38" t="inlineStr">
        <is>
          <t>UPI Payment</t>
        </is>
      </c>
      <c r="K642" s="38" t="inlineStr">
        <is>
          <t>Personal</t>
        </is>
      </c>
      <c r="L642" s="25" t="n">
        <v>0.55</v>
      </c>
      <c r="M642" s="38" t="inlineStr">
        <is>
          <t>N/A</t>
        </is>
      </c>
    </row>
    <row r="643">
      <c r="A643" s="37" t="n">
        <v>45334</v>
      </c>
      <c r="B643" s="38" t="inlineStr">
        <is>
          <t>UPIOUT/404345448317/Q897116130@ybl/Sent
via /5814</t>
        </is>
      </c>
      <c r="C643" s="38" t="inlineStr"/>
      <c r="D643" s="37" t="n">
        <v>45334</v>
      </c>
      <c r="E643" s="38" t="n">
        <v>40</v>
      </c>
      <c r="F643" s="38" t="n">
        <v>0</v>
      </c>
      <c r="G643" s="38" t="n">
        <v>5044.85</v>
      </c>
      <c r="H643" s="38" t="inlineStr"/>
      <c r="I643" s="38" t="inlineStr"/>
      <c r="J643" s="38" t="inlineStr">
        <is>
          <t>UPI Payment</t>
        </is>
      </c>
      <c r="K643" s="38" t="inlineStr">
        <is>
          <t>Personal</t>
        </is>
      </c>
      <c r="L643" s="25" t="n">
        <v>0.55</v>
      </c>
      <c r="M643" s="38" t="inlineStr">
        <is>
          <t>N/A</t>
        </is>
      </c>
    </row>
    <row r="644">
      <c r="A644" s="37" t="n">
        <v>45334</v>
      </c>
      <c r="B644" s="38" t="inlineStr">
        <is>
          <t>UPIOUT/404345512973/Q897116130@ybl/Sent
via /5814</t>
        </is>
      </c>
      <c r="C644" s="38" t="inlineStr"/>
      <c r="D644" s="37" t="n">
        <v>45334</v>
      </c>
      <c r="E644" s="38" t="n">
        <v>20</v>
      </c>
      <c r="F644" s="38" t="n">
        <v>0</v>
      </c>
      <c r="G644" s="38" t="n">
        <v>5024.85</v>
      </c>
      <c r="H644" s="38" t="inlineStr"/>
      <c r="I644" s="38" t="inlineStr"/>
      <c r="J644" s="38" t="inlineStr">
        <is>
          <t>UPI Payment</t>
        </is>
      </c>
      <c r="K644" s="38" t="inlineStr">
        <is>
          <t>Personal</t>
        </is>
      </c>
      <c r="L644" s="25" t="n">
        <v>0.55</v>
      </c>
      <c r="M644" s="38" t="inlineStr">
        <is>
          <t>N/A</t>
        </is>
      </c>
    </row>
    <row r="645">
      <c r="A645" s="37" t="n">
        <v>45334</v>
      </c>
      <c r="B645" s="38" t="inlineStr">
        <is>
          <t>UPIOUT/404303672367/q463323667@ybl/UPI/581
2</t>
        </is>
      </c>
      <c r="C645" s="38" t="inlineStr"/>
      <c r="D645" s="37" t="n">
        <v>45334</v>
      </c>
      <c r="E645" s="38" t="n">
        <v>40</v>
      </c>
      <c r="F645" s="38" t="n">
        <v>0</v>
      </c>
      <c r="G645" s="38" t="n">
        <v>4984.85</v>
      </c>
      <c r="H645" s="38" t="inlineStr"/>
      <c r="I645" s="38" t="inlineStr"/>
      <c r="J645" s="38" t="inlineStr">
        <is>
          <t>UPI Payment</t>
        </is>
      </c>
      <c r="K645" s="38" t="inlineStr">
        <is>
          <t>Personal</t>
        </is>
      </c>
      <c r="L645" s="25" t="n">
        <v>0.55</v>
      </c>
      <c r="M645" s="38" t="inlineStr">
        <is>
          <t>N/A</t>
        </is>
      </c>
    </row>
    <row r="646">
      <c r="A646" s="37" t="n">
        <v>45334</v>
      </c>
      <c r="B646" s="38" t="inlineStr">
        <is>
          <t>UPIOUT/404346467019/Q407907754@ybl/Sent
via /5812</t>
        </is>
      </c>
      <c r="C646" s="38" t="inlineStr"/>
      <c r="D646" s="37" t="n">
        <v>45334</v>
      </c>
      <c r="E646" s="38" t="n">
        <v>245</v>
      </c>
      <c r="F646" s="38" t="n">
        <v>0</v>
      </c>
      <c r="G646" s="38" t="n">
        <v>4739.85</v>
      </c>
      <c r="H646" s="38" t="inlineStr"/>
      <c r="I646" s="38" t="inlineStr"/>
      <c r="J646" s="38" t="inlineStr">
        <is>
          <t>UPI Payment</t>
        </is>
      </c>
      <c r="K646" s="38" t="inlineStr">
        <is>
          <t>Personal</t>
        </is>
      </c>
      <c r="L646" s="25" t="n">
        <v>0.55</v>
      </c>
      <c r="M646" s="38" t="inlineStr">
        <is>
          <t>N/A</t>
        </is>
      </c>
    </row>
    <row r="647">
      <c r="A647" s="37" t="n">
        <v>45334</v>
      </c>
      <c r="B647" s="38" t="inlineStr">
        <is>
          <t>UPIOUT/404346527024/Q185949983@ybl/Sent
via /5451</t>
        </is>
      </c>
      <c r="C647" s="38" t="inlineStr"/>
      <c r="D647" s="37" t="n">
        <v>45334</v>
      </c>
      <c r="E647" s="38" t="n">
        <v>10</v>
      </c>
      <c r="F647" s="38" t="n">
        <v>0</v>
      </c>
      <c r="G647" s="38" t="n">
        <v>4729.85</v>
      </c>
      <c r="H647" s="38" t="inlineStr"/>
      <c r="I647" s="38" t="inlineStr"/>
      <c r="J647" s="38" t="inlineStr">
        <is>
          <t>UPI Payment</t>
        </is>
      </c>
      <c r="K647" s="38" t="inlineStr">
        <is>
          <t>Personal</t>
        </is>
      </c>
      <c r="L647" s="25" t="n">
        <v>0.55</v>
      </c>
      <c r="M647" s="38" t="inlineStr">
        <is>
          <t>N/A</t>
        </is>
      </c>
    </row>
    <row r="648">
      <c r="A648" s="37" t="n">
        <v>45335</v>
      </c>
      <c r="B648" s="38" t="inlineStr">
        <is>
          <t>UPIOUT/404418742586/rgindham-1@okicici/UPI
/0000</t>
        </is>
      </c>
      <c r="C648" s="38" t="inlineStr"/>
      <c r="D648" s="37" t="n">
        <v>45335</v>
      </c>
      <c r="E648" s="38" t="n">
        <v>10</v>
      </c>
      <c r="F648" s="38" t="n">
        <v>0</v>
      </c>
      <c r="G648" s="38" t="n">
        <v>4719.85</v>
      </c>
      <c r="H648" s="38" t="inlineStr"/>
      <c r="I648" s="38" t="inlineStr"/>
      <c r="J648" s="38" t="inlineStr">
        <is>
          <t>UPI Payment</t>
        </is>
      </c>
      <c r="K648" s="38" t="inlineStr">
        <is>
          <t>Personal</t>
        </is>
      </c>
      <c r="L648" s="25" t="n">
        <v>0.55</v>
      </c>
      <c r="M648" s="38" t="inlineStr">
        <is>
          <t>N/A</t>
        </is>
      </c>
    </row>
    <row r="649">
      <c r="A649" s="37" t="n">
        <v>45335</v>
      </c>
      <c r="B649" s="38" t="inlineStr">
        <is>
          <t>UPIOUT/404453432949/Q079360809@ybl/Sent
via /5814</t>
        </is>
      </c>
      <c r="C649" s="38" t="inlineStr"/>
      <c r="D649" s="37" t="n">
        <v>45335</v>
      </c>
      <c r="E649" s="38" t="n">
        <v>90</v>
      </c>
      <c r="F649" s="38" t="n">
        <v>0</v>
      </c>
      <c r="G649" s="38" t="n">
        <v>4629.85</v>
      </c>
      <c r="H649" s="38" t="inlineStr"/>
      <c r="I649" s="38" t="inlineStr"/>
      <c r="J649" s="38" t="inlineStr">
        <is>
          <t>UPI Payment</t>
        </is>
      </c>
      <c r="K649" s="38" t="inlineStr">
        <is>
          <t>Personal</t>
        </is>
      </c>
      <c r="L649" s="25" t="n">
        <v>0.55</v>
      </c>
      <c r="M649" s="38" t="inlineStr">
        <is>
          <t>N/A</t>
        </is>
      </c>
    </row>
    <row r="650">
      <c r="A650" s="37" t="n">
        <v>45335</v>
      </c>
      <c r="B650" s="38" t="inlineStr">
        <is>
          <t>UPIOUT/404453583564/Q079360809@ybl/Sent
via /5814</t>
        </is>
      </c>
      <c r="C650" s="38" t="inlineStr"/>
      <c r="D650" s="37" t="n">
        <v>45335</v>
      </c>
      <c r="E650" s="38" t="n">
        <v>90</v>
      </c>
      <c r="F650" s="38" t="n">
        <v>0</v>
      </c>
      <c r="G650" s="38" t="n">
        <v>4539.85</v>
      </c>
      <c r="H650" s="38" t="inlineStr"/>
      <c r="I650" s="38" t="inlineStr"/>
      <c r="J650" s="38" t="inlineStr">
        <is>
          <t>UPI Payment</t>
        </is>
      </c>
      <c r="K650" s="38" t="inlineStr">
        <is>
          <t>Personal</t>
        </is>
      </c>
      <c r="L650" s="25" t="n">
        <v>0.55</v>
      </c>
      <c r="M650" s="38" t="inlineStr">
        <is>
          <t>N/A</t>
        </is>
      </c>
    </row>
    <row r="651">
      <c r="A651" s="37" t="n">
        <v>45335</v>
      </c>
      <c r="B651" s="38" t="inlineStr">
        <is>
          <t>UPIOUT/404453591116/Q463323667@ybl/Sent
via /5812</t>
        </is>
      </c>
      <c r="C651" s="38" t="inlineStr"/>
      <c r="D651" s="37" t="n">
        <v>45335</v>
      </c>
      <c r="E651" s="38" t="n">
        <v>130</v>
      </c>
      <c r="F651" s="38" t="n">
        <v>0</v>
      </c>
      <c r="G651" s="38" t="n">
        <v>4409.85</v>
      </c>
      <c r="H651" s="38" t="inlineStr"/>
      <c r="I651" s="38" t="inlineStr"/>
      <c r="J651" s="38" t="inlineStr">
        <is>
          <t>UPI Payment</t>
        </is>
      </c>
      <c r="K651" s="38" t="inlineStr">
        <is>
          <t>Personal</t>
        </is>
      </c>
      <c r="L651" s="25" t="n">
        <v>0.55</v>
      </c>
      <c r="M651" s="38" t="inlineStr">
        <is>
          <t>N/A</t>
        </is>
      </c>
    </row>
    <row r="652">
      <c r="A652" s="37" t="n">
        <v>45336</v>
      </c>
      <c r="B652" s="38" t="inlineStr">
        <is>
          <t>UPIOUT/404555383297/Q082521920@ybl/Sent
via /5814</t>
        </is>
      </c>
      <c r="C652" s="38" t="inlineStr"/>
      <c r="D652" s="37" t="n">
        <v>45336</v>
      </c>
      <c r="E652" s="38" t="n">
        <v>20</v>
      </c>
      <c r="F652" s="38" t="n">
        <v>0</v>
      </c>
      <c r="G652" s="38" t="n">
        <v>4389.85</v>
      </c>
      <c r="H652" s="38" t="inlineStr"/>
      <c r="I652" s="38" t="inlineStr"/>
      <c r="J652" s="38" t="inlineStr">
        <is>
          <t>UPI Payment</t>
        </is>
      </c>
      <c r="K652" s="38" t="inlineStr">
        <is>
          <t>Personal</t>
        </is>
      </c>
      <c r="L652" s="25" t="n">
        <v>0.55</v>
      </c>
      <c r="M652" s="38" t="inlineStr">
        <is>
          <t>N/A</t>
        </is>
      </c>
    </row>
    <row r="653">
      <c r="A653" s="35" t="n">
        <v>45336</v>
      </c>
      <c r="B653" s="36" t="inlineStr">
        <is>
          <t>UPIOUT/404555539426/paytmqr281005050101ac5
gq/5812</t>
        </is>
      </c>
      <c r="C653" s="36" t="inlineStr"/>
      <c r="D653" s="35" t="n">
        <v>45336</v>
      </c>
      <c r="E653" s="36" t="n">
        <v>60</v>
      </c>
      <c r="F653" s="36" t="n">
        <v>0</v>
      </c>
      <c r="G653" s="36" t="n">
        <v>4329.85</v>
      </c>
      <c r="H653" s="36" t="inlineStr"/>
      <c r="I653" s="36" t="inlineStr"/>
      <c r="J653" s="36" t="inlineStr">
        <is>
          <t>UPI - Paytm</t>
        </is>
      </c>
      <c r="K653" s="36" t="inlineStr">
        <is>
          <t>Personal</t>
        </is>
      </c>
      <c r="L653" s="34" t="n">
        <v>0.65</v>
      </c>
      <c r="M653" s="36" t="inlineStr">
        <is>
          <t>N/A</t>
        </is>
      </c>
    </row>
    <row r="654">
      <c r="A654" s="37" t="n">
        <v>45336</v>
      </c>
      <c r="B654" s="38" t="inlineStr">
        <is>
          <t>UPIOUT/404555653458/8185061658@ibl/Sent
via /0000</t>
        </is>
      </c>
      <c r="C654" s="38" t="inlineStr"/>
      <c r="D654" s="37" t="n">
        <v>45336</v>
      </c>
      <c r="E654" s="38" t="n">
        <v>15</v>
      </c>
      <c r="F654" s="38" t="n">
        <v>0</v>
      </c>
      <c r="G654" s="38" t="n">
        <v>4314.85</v>
      </c>
      <c r="H654" s="38" t="inlineStr"/>
      <c r="I654" s="38" t="inlineStr"/>
      <c r="J654" s="38" t="inlineStr">
        <is>
          <t>UPI Payment</t>
        </is>
      </c>
      <c r="K654" s="38" t="inlineStr">
        <is>
          <t>Personal</t>
        </is>
      </c>
      <c r="L654" s="25" t="n">
        <v>0.55</v>
      </c>
      <c r="M654" s="38" t="inlineStr">
        <is>
          <t>N/A</t>
        </is>
      </c>
    </row>
    <row r="655">
      <c r="A655" s="37" t="n">
        <v>45336</v>
      </c>
      <c r="B655" s="38" t="inlineStr">
        <is>
          <t>UPIOUT/404555700036/srinivasedigi96@okhdfc
ba/0000</t>
        </is>
      </c>
      <c r="C655" s="38" t="inlineStr"/>
      <c r="D655" s="37" t="n">
        <v>45336</v>
      </c>
      <c r="E655" s="38" t="n">
        <v>10</v>
      </c>
      <c r="F655" s="38" t="n">
        <v>0</v>
      </c>
      <c r="G655" s="38" t="n">
        <v>4304.85</v>
      </c>
      <c r="H655" s="38" t="inlineStr"/>
      <c r="I655" s="38" t="inlineStr"/>
      <c r="J655" s="38" t="inlineStr">
        <is>
          <t>UPI Payment</t>
        </is>
      </c>
      <c r="K655" s="38" t="inlineStr">
        <is>
          <t>Personal</t>
        </is>
      </c>
      <c r="L655" s="25" t="n">
        <v>0.55</v>
      </c>
      <c r="M655" s="38" t="inlineStr">
        <is>
          <t>N/A</t>
        </is>
      </c>
    </row>
    <row r="656">
      <c r="A656" s="37" t="n">
        <v>45336</v>
      </c>
      <c r="B656" s="38" t="inlineStr">
        <is>
          <t>UPIOUT/404558811907/8367309385@ibl/Sent
via /0000</t>
        </is>
      </c>
      <c r="C656" s="38" t="inlineStr"/>
      <c r="D656" s="37" t="n">
        <v>45336</v>
      </c>
      <c r="E656" s="38" t="n">
        <v>32</v>
      </c>
      <c r="F656" s="38" t="n">
        <v>0</v>
      </c>
      <c r="G656" s="38" t="n">
        <v>4272.85</v>
      </c>
      <c r="H656" s="38" t="inlineStr"/>
      <c r="I656" s="38" t="inlineStr"/>
      <c r="J656" s="38" t="inlineStr">
        <is>
          <t>UPI Payment</t>
        </is>
      </c>
      <c r="K656" s="38" t="inlineStr">
        <is>
          <t>Personal</t>
        </is>
      </c>
      <c r="L656" s="25" t="n">
        <v>0.55</v>
      </c>
      <c r="M656" s="38" t="inlineStr">
        <is>
          <t>N/A</t>
        </is>
      </c>
    </row>
    <row r="657">
      <c r="A657" s="37" t="n">
        <v>45336</v>
      </c>
      <c r="B657" s="38" t="inlineStr">
        <is>
          <t>UPIOUT/404559766130/Q407907754@ybl/Sent
via /5812</t>
        </is>
      </c>
      <c r="C657" s="38" t="inlineStr"/>
      <c r="D657" s="37" t="n">
        <v>45336</v>
      </c>
      <c r="E657" s="38" t="n">
        <v>70</v>
      </c>
      <c r="F657" s="38" t="n">
        <v>0</v>
      </c>
      <c r="G657" s="38" t="n">
        <v>4202.85</v>
      </c>
      <c r="H657" s="38" t="inlineStr"/>
      <c r="I657" s="38" t="inlineStr"/>
      <c r="J657" s="38" t="inlineStr">
        <is>
          <t>UPI Payment</t>
        </is>
      </c>
      <c r="K657" s="38" t="inlineStr">
        <is>
          <t>Personal</t>
        </is>
      </c>
      <c r="L657" s="25" t="n">
        <v>0.55</v>
      </c>
      <c r="M657" s="38" t="inlineStr">
        <is>
          <t>N/A</t>
        </is>
      </c>
    </row>
    <row r="658">
      <c r="A658" s="37" t="n">
        <v>45336</v>
      </c>
      <c r="B658" s="38" t="inlineStr">
        <is>
          <t>UPIOUT/404559853630/Q463323667@ybl/Sent
via /5812</t>
        </is>
      </c>
      <c r="C658" s="38" t="inlineStr"/>
      <c r="D658" s="37" t="n">
        <v>45336</v>
      </c>
      <c r="E658" s="38" t="n">
        <v>80</v>
      </c>
      <c r="F658" s="38" t="n">
        <v>0</v>
      </c>
      <c r="G658" s="38" t="n">
        <v>4122.85</v>
      </c>
      <c r="H658" s="38" t="inlineStr"/>
      <c r="I658" s="38" t="inlineStr"/>
      <c r="J658" s="38" t="inlineStr">
        <is>
          <t>UPI Payment</t>
        </is>
      </c>
      <c r="K658" s="38" t="inlineStr">
        <is>
          <t>Personal</t>
        </is>
      </c>
      <c r="L658" s="25" t="n">
        <v>0.55</v>
      </c>
      <c r="M658" s="38" t="inlineStr">
        <is>
          <t>N/A</t>
        </is>
      </c>
    </row>
    <row r="659">
      <c r="A659" s="37" t="n">
        <v>45337</v>
      </c>
      <c r="B659" s="38" t="inlineStr">
        <is>
          <t>UPIOUT/404661675145/Q249817394@ybl/Sent
via /5814</t>
        </is>
      </c>
      <c r="C659" s="38" t="inlineStr"/>
      <c r="D659" s="37" t="n">
        <v>45337</v>
      </c>
      <c r="E659" s="38" t="n">
        <v>20</v>
      </c>
      <c r="F659" s="38" t="n">
        <v>0</v>
      </c>
      <c r="G659" s="38" t="n">
        <v>4102.85</v>
      </c>
      <c r="H659" s="38" t="inlineStr"/>
      <c r="I659" s="38" t="inlineStr"/>
      <c r="J659" s="38" t="inlineStr">
        <is>
          <t>UPI Payment</t>
        </is>
      </c>
      <c r="K659" s="38" t="inlineStr">
        <is>
          <t>Personal</t>
        </is>
      </c>
      <c r="L659" s="25" t="n">
        <v>0.55</v>
      </c>
      <c r="M659" s="38" t="inlineStr">
        <is>
          <t>N/A</t>
        </is>
      </c>
    </row>
    <row r="660">
      <c r="A660" s="37" t="n">
        <v>45337</v>
      </c>
      <c r="B660" s="38" t="inlineStr">
        <is>
          <t>UPIOUT/404662558273/ekbalmd84999@okhdfcban
k//0000</t>
        </is>
      </c>
      <c r="C660" s="38" t="inlineStr"/>
      <c r="D660" s="37" t="n">
        <v>45337</v>
      </c>
      <c r="E660" s="38" t="n">
        <v>10</v>
      </c>
      <c r="F660" s="38" t="n">
        <v>0</v>
      </c>
      <c r="G660" s="38" t="n">
        <v>4092.85</v>
      </c>
      <c r="H660" s="38" t="inlineStr"/>
      <c r="I660" s="38" t="inlineStr"/>
      <c r="J660" s="38" t="inlineStr">
        <is>
          <t>UPI Payment</t>
        </is>
      </c>
      <c r="K660" s="38" t="inlineStr">
        <is>
          <t>Personal</t>
        </is>
      </c>
      <c r="L660" s="25" t="n">
        <v>0.55</v>
      </c>
      <c r="M660" s="38" t="inlineStr">
        <is>
          <t>N/A</t>
        </is>
      </c>
    </row>
    <row r="661">
      <c r="A661" s="37" t="n">
        <v>45337</v>
      </c>
      <c r="B661" s="38" t="inlineStr">
        <is>
          <t>UPIOUT/404662581805/Q783081478@ybl/Sent
via /4722</t>
        </is>
      </c>
      <c r="C661" s="38" t="inlineStr"/>
      <c r="D661" s="37" t="n">
        <v>45337</v>
      </c>
      <c r="E661" s="38" t="n">
        <v>10</v>
      </c>
      <c r="F661" s="38" t="n">
        <v>0</v>
      </c>
      <c r="G661" s="38" t="n">
        <v>4082.85</v>
      </c>
      <c r="H661" s="38" t="inlineStr"/>
      <c r="I661" s="38" t="inlineStr"/>
      <c r="J661" s="38" t="inlineStr">
        <is>
          <t>UPI Payment</t>
        </is>
      </c>
      <c r="K661" s="38" t="inlineStr">
        <is>
          <t>Personal</t>
        </is>
      </c>
      <c r="L661" s="25" t="n">
        <v>0.55</v>
      </c>
      <c r="M661" s="38" t="inlineStr">
        <is>
          <t>N/A</t>
        </is>
      </c>
    </row>
    <row r="662">
      <c r="A662" s="37" t="n">
        <v>45337</v>
      </c>
      <c r="B662" s="38" t="inlineStr">
        <is>
          <t>UPIOUT/404666719569/Q099545511@ybl/Sent
via /5310</t>
        </is>
      </c>
      <c r="C662" s="38" t="inlineStr"/>
      <c r="D662" s="37" t="n">
        <v>45337</v>
      </c>
      <c r="E662" s="38" t="n">
        <v>945</v>
      </c>
      <c r="F662" s="38" t="n">
        <v>0</v>
      </c>
      <c r="G662" s="38" t="n">
        <v>3137.85</v>
      </c>
      <c r="H662" s="38" t="inlineStr"/>
      <c r="I662" s="38" t="inlineStr"/>
      <c r="J662" s="38" t="inlineStr">
        <is>
          <t>UPI Payment</t>
        </is>
      </c>
      <c r="K662" s="38" t="inlineStr">
        <is>
          <t>Personal</t>
        </is>
      </c>
      <c r="L662" s="25" t="n">
        <v>0.55</v>
      </c>
      <c r="M662" s="38" t="inlineStr">
        <is>
          <t>N/A</t>
        </is>
      </c>
    </row>
    <row r="663">
      <c r="A663" s="37" t="n">
        <v>45337</v>
      </c>
      <c r="B663" s="38" t="inlineStr">
        <is>
          <t>UPIOUT/404666781168/Q311614304@ybl/Sent
via /5814</t>
        </is>
      </c>
      <c r="C663" s="38" t="inlineStr"/>
      <c r="D663" s="37" t="n">
        <v>45337</v>
      </c>
      <c r="E663" s="38" t="n">
        <v>30</v>
      </c>
      <c r="F663" s="38" t="n">
        <v>0</v>
      </c>
      <c r="G663" s="38" t="n">
        <v>3107.85</v>
      </c>
      <c r="H663" s="38" t="inlineStr"/>
      <c r="I663" s="38" t="inlineStr"/>
      <c r="J663" s="38" t="inlineStr">
        <is>
          <t>UPI Payment</t>
        </is>
      </c>
      <c r="K663" s="38" t="inlineStr">
        <is>
          <t>Personal</t>
        </is>
      </c>
      <c r="L663" s="25" t="n">
        <v>0.55</v>
      </c>
      <c r="M663" s="38" t="inlineStr">
        <is>
          <t>N/A</t>
        </is>
      </c>
    </row>
    <row r="664">
      <c r="A664" s="37" t="n">
        <v>45337</v>
      </c>
      <c r="B664" s="38" t="inlineStr">
        <is>
          <t>UPIOUT/404666834176/P539PRAGATHINAGARHYD.2
72/5814</t>
        </is>
      </c>
      <c r="C664" s="38" t="inlineStr"/>
      <c r="D664" s="37" t="n">
        <v>45337</v>
      </c>
      <c r="E664" s="38" t="n">
        <v>387.45</v>
      </c>
      <c r="F664" s="38" t="n">
        <v>0</v>
      </c>
      <c r="G664" s="38" t="n">
        <v>2720.4</v>
      </c>
      <c r="H664" s="38" t="inlineStr"/>
      <c r="I664" s="38" t="inlineStr"/>
      <c r="J664" s="38" t="inlineStr">
        <is>
          <t>UPI Payment</t>
        </is>
      </c>
      <c r="K664" s="38" t="inlineStr">
        <is>
          <t>Personal</t>
        </is>
      </c>
      <c r="L664" s="25" t="n">
        <v>0.55</v>
      </c>
      <c r="M664" s="38" t="inlineStr">
        <is>
          <t>N/A</t>
        </is>
      </c>
    </row>
    <row r="665">
      <c r="A665" s="37" t="n">
        <v>45337</v>
      </c>
      <c r="B665" s="38" t="inlineStr">
        <is>
          <t>UPIOUT/404615451511/airtelpaymentsbanklimi
te/4812</t>
        </is>
      </c>
      <c r="C665" s="38" t="inlineStr"/>
      <c r="D665" s="37" t="n">
        <v>45337</v>
      </c>
      <c r="E665" s="38" t="n">
        <v>148</v>
      </c>
      <c r="F665" s="38" t="n">
        <v>0</v>
      </c>
      <c r="G665" s="38" t="n">
        <v>2572.4</v>
      </c>
      <c r="H665" s="38" t="inlineStr"/>
      <c r="I665" s="38" t="inlineStr"/>
      <c r="J665" s="38" t="inlineStr">
        <is>
          <t>UPI Payment</t>
        </is>
      </c>
      <c r="K665" s="38" t="inlineStr">
        <is>
          <t>Personal</t>
        </is>
      </c>
      <c r="L665" s="25" t="n">
        <v>0.55</v>
      </c>
      <c r="M665" s="38" t="inlineStr">
        <is>
          <t>N/A</t>
        </is>
      </c>
    </row>
    <row r="666">
      <c r="A666" s="35" t="n">
        <v>45337</v>
      </c>
      <c r="B666" s="36" t="inlineStr">
        <is>
          <t>UPIOUT/404667188650/paytm-78551797@paytm/S
en/5137</t>
        </is>
      </c>
      <c r="C666" s="36" t="inlineStr"/>
      <c r="D666" s="35" t="n">
        <v>45337</v>
      </c>
      <c r="E666" s="36" t="n">
        <v>899</v>
      </c>
      <c r="F666" s="36" t="n">
        <v>0</v>
      </c>
      <c r="G666" s="36" t="n">
        <v>1673.4</v>
      </c>
      <c r="H666" s="36" t="inlineStr"/>
      <c r="I666" s="36" t="inlineStr"/>
      <c r="J666" s="36" t="inlineStr">
        <is>
          <t>UPI - Paytm</t>
        </is>
      </c>
      <c r="K666" s="36" t="inlineStr">
        <is>
          <t>Personal</t>
        </is>
      </c>
      <c r="L666" s="34" t="n">
        <v>0.65</v>
      </c>
      <c r="M666" s="36" t="inlineStr">
        <is>
          <t>N/A</t>
        </is>
      </c>
    </row>
    <row r="667">
      <c r="A667" s="35" t="n">
        <v>45337</v>
      </c>
      <c r="B667" s="36" t="inlineStr">
        <is>
          <t>UPIOUT/404667241676/paytmqr28100505010119u
g9/5661</t>
        </is>
      </c>
      <c r="C667" s="36" t="inlineStr"/>
      <c r="D667" s="35" t="n">
        <v>45337</v>
      </c>
      <c r="E667" s="36" t="n">
        <v>499</v>
      </c>
      <c r="F667" s="36" t="n">
        <v>0</v>
      </c>
      <c r="G667" s="36" t="n">
        <v>1174.4</v>
      </c>
      <c r="H667" s="36" t="inlineStr"/>
      <c r="I667" s="36" t="inlineStr"/>
      <c r="J667" s="36" t="inlineStr">
        <is>
          <t>UPI - Paytm</t>
        </is>
      </c>
      <c r="K667" s="36" t="inlineStr">
        <is>
          <t>Personal</t>
        </is>
      </c>
      <c r="L667" s="34" t="n">
        <v>0.65</v>
      </c>
      <c r="M667" s="36" t="inlineStr">
        <is>
          <t>N/A</t>
        </is>
      </c>
    </row>
    <row r="668">
      <c r="A668" s="89" t="n">
        <v>45337</v>
      </c>
      <c r="B668" s="90" t="inlineStr">
        <is>
          <t>UPIOUT/404667912691/olacabs.rzp@axisbank/P
ay/4121</t>
        </is>
      </c>
      <c r="C668" s="90" t="inlineStr"/>
      <c r="D668" s="89" t="n">
        <v>45337</v>
      </c>
      <c r="E668" s="90" t="n">
        <v>373</v>
      </c>
      <c r="F668" s="90" t="n">
        <v>0</v>
      </c>
      <c r="G668" s="90" t="n">
        <v>801.4</v>
      </c>
      <c r="H668" s="90" t="inlineStr"/>
      <c r="I668" s="90" t="inlineStr"/>
      <c r="J668" s="90" t="inlineStr">
        <is>
          <t>UPI - Ola</t>
        </is>
      </c>
      <c r="K668" s="90" t="inlineStr">
        <is>
          <t>Transport</t>
        </is>
      </c>
      <c r="L668" s="34" t="n">
        <v>0.68</v>
      </c>
      <c r="M668" s="90" t="inlineStr">
        <is>
          <t>N/A</t>
        </is>
      </c>
    </row>
    <row r="669">
      <c r="A669" s="37" t="n">
        <v>45338</v>
      </c>
      <c r="B669" s="38" t="inlineStr">
        <is>
          <t>UPIOUT/404770002530/Q631030271@ybl/Sent
via /5411</t>
        </is>
      </c>
      <c r="C669" s="38" t="inlineStr"/>
      <c r="D669" s="37" t="n">
        <v>45338</v>
      </c>
      <c r="E669" s="38" t="n">
        <v>20</v>
      </c>
      <c r="F669" s="38" t="n">
        <v>0</v>
      </c>
      <c r="G669" s="38" t="n">
        <v>781.4</v>
      </c>
      <c r="H669" s="38" t="inlineStr"/>
      <c r="I669" s="38" t="inlineStr"/>
      <c r="J669" s="38" t="inlineStr">
        <is>
          <t>UPI Payment</t>
        </is>
      </c>
      <c r="K669" s="38" t="inlineStr">
        <is>
          <t>Personal</t>
        </is>
      </c>
      <c r="L669" s="25" t="n">
        <v>0.55</v>
      </c>
      <c r="M669" s="38" t="inlineStr">
        <is>
          <t>N/A</t>
        </is>
      </c>
    </row>
    <row r="670">
      <c r="A670" s="35" t="n">
        <v>45339</v>
      </c>
      <c r="B670" s="36" t="inlineStr">
        <is>
          <t>UPI IN/441419198927/paytm-76208552@paytm/e
xp/0000</t>
        </is>
      </c>
      <c r="C670" s="36" t="inlineStr"/>
      <c r="D670" s="35" t="n">
        <v>45339</v>
      </c>
      <c r="E670" s="36" t="n">
        <v>0</v>
      </c>
      <c r="F670" s="36" t="n">
        <v>55.28</v>
      </c>
      <c r="G670" s="36" t="n">
        <v>836.6799999999999</v>
      </c>
      <c r="H670" s="36" t="inlineStr"/>
      <c r="I670" s="36" t="inlineStr"/>
      <c r="J670" s="36" t="inlineStr">
        <is>
          <t>UPI - Paytm</t>
        </is>
      </c>
      <c r="K670" s="36" t="inlineStr">
        <is>
          <t>Personal</t>
        </is>
      </c>
      <c r="L670" s="34" t="n">
        <v>0.65</v>
      </c>
      <c r="M670" s="36" t="inlineStr">
        <is>
          <t>N/A</t>
        </is>
      </c>
    </row>
    <row r="671">
      <c r="A671" s="35" t="n">
        <v>45340</v>
      </c>
      <c r="B671" s="36" t="inlineStr">
        <is>
          <t>UPIOUT/404917807151/paytm-76208552@paytm/U
PI/4112</t>
        </is>
      </c>
      <c r="C671" s="36" t="inlineStr"/>
      <c r="D671" s="35" t="n">
        <v>45340</v>
      </c>
      <c r="E671" s="36" t="n">
        <v>538.15</v>
      </c>
      <c r="F671" s="36" t="n">
        <v>0</v>
      </c>
      <c r="G671" s="36" t="n">
        <v>298.53</v>
      </c>
      <c r="H671" s="36" t="inlineStr"/>
      <c r="I671" s="36" t="inlineStr"/>
      <c r="J671" s="36" t="inlineStr">
        <is>
          <t>UPI - Paytm</t>
        </is>
      </c>
      <c r="K671" s="36" t="inlineStr">
        <is>
          <t>Personal</t>
        </is>
      </c>
      <c r="L671" s="34" t="n">
        <v>0.65</v>
      </c>
      <c r="M671" s="36" t="inlineStr">
        <is>
          <t>N/A</t>
        </is>
      </c>
    </row>
    <row r="672">
      <c r="A672" s="35" t="n">
        <v>45340</v>
      </c>
      <c r="B672" s="36" t="inlineStr">
        <is>
          <t>UPI IN/404947484435/paytm-76208552@paytm/e
xp/0000</t>
        </is>
      </c>
      <c r="C672" s="36" t="inlineStr"/>
      <c r="D672" s="35" t="n">
        <v>45340</v>
      </c>
      <c r="E672" s="36" t="n">
        <v>0</v>
      </c>
      <c r="F672" s="36" t="n">
        <v>538.15</v>
      </c>
      <c r="G672" s="36" t="n">
        <v>836.6799999999999</v>
      </c>
      <c r="H672" s="36" t="inlineStr"/>
      <c r="I672" s="36" t="inlineStr"/>
      <c r="J672" s="36" t="inlineStr">
        <is>
          <t>UPI - Paytm</t>
        </is>
      </c>
      <c r="K672" s="36" t="inlineStr">
        <is>
          <t>Personal</t>
        </is>
      </c>
      <c r="L672" s="34" t="n">
        <v>0.65</v>
      </c>
      <c r="M672" s="36" t="inlineStr">
        <is>
          <t>N/A</t>
        </is>
      </c>
    </row>
    <row r="673">
      <c r="A673" s="87" t="n">
        <v>45342</v>
      </c>
      <c r="B673" s="88" t="inlineStr">
        <is>
          <t>UPI IN/405190815024/9594435259@jupiteraxis
/A/0000</t>
        </is>
      </c>
      <c r="C673" s="88" t="inlineStr"/>
      <c r="D673" s="87" t="n">
        <v>45342</v>
      </c>
      <c r="E673" s="88" t="n">
        <v>0</v>
      </c>
      <c r="F673" s="88" t="n">
        <v>5000</v>
      </c>
      <c r="G673" s="88" t="n">
        <v>5836.68</v>
      </c>
      <c r="H673" s="88" t="inlineStr"/>
      <c r="I673" s="88" t="inlineStr"/>
      <c r="J673" s="88" t="inlineStr">
        <is>
          <t>Contra - Kotak</t>
        </is>
      </c>
      <c r="K673" s="88" t="inlineStr">
        <is>
          <t>KOTAK 0333</t>
        </is>
      </c>
      <c r="L673" s="18" t="n">
        <v>0.9</v>
      </c>
      <c r="M673" s="88" t="inlineStr">
        <is>
          <t>N/A</t>
        </is>
      </c>
    </row>
    <row r="674">
      <c r="A674" s="58" t="n">
        <v>45343</v>
      </c>
      <c r="B674" s="59" t="inlineStr">
        <is>
          <t>NFT/NEOSIEXEDDD2024022102305208166 Mirae
Asset Mut</t>
        </is>
      </c>
      <c r="C674" s="59" t="inlineStr"/>
      <c r="D674" s="58" t="n">
        <v>45343</v>
      </c>
      <c r="E674" s="59" t="n">
        <v>1000</v>
      </c>
      <c r="F674" s="59" t="n">
        <v>0</v>
      </c>
      <c r="G674" s="59" t="n">
        <v>4836.68</v>
      </c>
      <c r="H674" s="59" t="inlineStr"/>
      <c r="I674" s="59" t="inlineStr"/>
      <c r="J674" s="59" t="inlineStr">
        <is>
          <t>MF Investment</t>
        </is>
      </c>
      <c r="K674" s="59" t="inlineStr">
        <is>
          <t>Investments</t>
        </is>
      </c>
      <c r="L674" s="18" t="n">
        <v>0.88</v>
      </c>
      <c r="M674" s="59" t="inlineStr">
        <is>
          <t>N/A</t>
        </is>
      </c>
    </row>
    <row r="675">
      <c r="A675" s="58" t="n">
        <v>45343</v>
      </c>
      <c r="B675" s="59" t="inlineStr">
        <is>
          <t>NFT/NEOSIEXEDDD2024022103002420196 Quant
Mutual Fu</t>
        </is>
      </c>
      <c r="C675" s="59" t="inlineStr"/>
      <c r="D675" s="58" t="n">
        <v>45343</v>
      </c>
      <c r="E675" s="59" t="n">
        <v>1000</v>
      </c>
      <c r="F675" s="59" t="n">
        <v>0</v>
      </c>
      <c r="G675" s="59" t="n">
        <v>3836.68</v>
      </c>
      <c r="H675" s="59" t="inlineStr"/>
      <c r="I675" s="59" t="inlineStr"/>
      <c r="J675" s="59" t="inlineStr">
        <is>
          <t>MF Investment</t>
        </is>
      </c>
      <c r="K675" s="59" t="inlineStr">
        <is>
          <t>Investments</t>
        </is>
      </c>
      <c r="L675" s="18" t="n">
        <v>0.88</v>
      </c>
      <c r="M675" s="59" t="inlineStr">
        <is>
          <t>N/A</t>
        </is>
      </c>
    </row>
    <row r="676">
      <c r="A676" s="37" t="n">
        <v>45343</v>
      </c>
      <c r="B676" s="38" t="inlineStr">
        <is>
          <t>UPIOUT/405298398123/Q780515718@ybl/Sent
via /5814</t>
        </is>
      </c>
      <c r="C676" s="38" t="inlineStr"/>
      <c r="D676" s="37" t="n">
        <v>45343</v>
      </c>
      <c r="E676" s="38" t="n">
        <v>40</v>
      </c>
      <c r="F676" s="38" t="n">
        <v>0</v>
      </c>
      <c r="G676" s="38" t="n">
        <v>3796.68</v>
      </c>
      <c r="H676" s="38" t="inlineStr"/>
      <c r="I676" s="38" t="inlineStr"/>
      <c r="J676" s="38" t="inlineStr">
        <is>
          <t>UPI Payment</t>
        </is>
      </c>
      <c r="K676" s="38" t="inlineStr">
        <is>
          <t>Personal</t>
        </is>
      </c>
      <c r="L676" s="25" t="n">
        <v>0.55</v>
      </c>
      <c r="M676" s="38" t="inlineStr">
        <is>
          <t>N/A</t>
        </is>
      </c>
    </row>
    <row r="677">
      <c r="A677" s="37" t="n">
        <v>45343</v>
      </c>
      <c r="B677" s="38" t="inlineStr">
        <is>
          <t>UPIOUT/405299065455/Q463323667@ybl/Sent
via /5812</t>
        </is>
      </c>
      <c r="C677" s="38" t="inlineStr"/>
      <c r="D677" s="37" t="n">
        <v>45343</v>
      </c>
      <c r="E677" s="38" t="n">
        <v>50</v>
      </c>
      <c r="F677" s="38" t="n">
        <v>0</v>
      </c>
      <c r="G677" s="38" t="n">
        <v>3746.68</v>
      </c>
      <c r="H677" s="38" t="inlineStr"/>
      <c r="I677" s="38" t="inlineStr"/>
      <c r="J677" s="38" t="inlineStr">
        <is>
          <t>UPI Payment</t>
        </is>
      </c>
      <c r="K677" s="38" t="inlineStr">
        <is>
          <t>Personal</t>
        </is>
      </c>
      <c r="L677" s="25" t="n">
        <v>0.55</v>
      </c>
      <c r="M677" s="38" t="inlineStr">
        <is>
          <t>N/A</t>
        </is>
      </c>
    </row>
    <row r="678">
      <c r="A678" s="37" t="n">
        <v>45345</v>
      </c>
      <c r="B678" s="38" t="inlineStr">
        <is>
          <t>UPIOUT/405415996623/Q818010939@ybl/Sent
via /5411</t>
        </is>
      </c>
      <c r="C678" s="38" t="inlineStr"/>
      <c r="D678" s="37" t="n">
        <v>45345</v>
      </c>
      <c r="E678" s="38" t="n">
        <v>40</v>
      </c>
      <c r="F678" s="38" t="n">
        <v>0</v>
      </c>
      <c r="G678" s="38" t="n">
        <v>3706.68</v>
      </c>
      <c r="H678" s="38" t="inlineStr"/>
      <c r="I678" s="38" t="inlineStr"/>
      <c r="J678" s="38" t="inlineStr">
        <is>
          <t>UPI Payment</t>
        </is>
      </c>
      <c r="K678" s="38" t="inlineStr">
        <is>
          <t>Personal</t>
        </is>
      </c>
      <c r="L678" s="25" t="n">
        <v>0.55</v>
      </c>
      <c r="M678" s="38" t="inlineStr">
        <is>
          <t>N/A</t>
        </is>
      </c>
    </row>
    <row r="679">
      <c r="A679" s="37" t="n">
        <v>45345</v>
      </c>
      <c r="B679" s="38" t="inlineStr">
        <is>
          <t>UPIOUT/405418593746/Q463323667@ybl/Sent
via /5812</t>
        </is>
      </c>
      <c r="C679" s="38" t="inlineStr"/>
      <c r="D679" s="37" t="n">
        <v>45345</v>
      </c>
      <c r="E679" s="38" t="n">
        <v>40</v>
      </c>
      <c r="F679" s="38" t="n">
        <v>0</v>
      </c>
      <c r="G679" s="38" t="n">
        <v>3666.68</v>
      </c>
      <c r="H679" s="38" t="inlineStr"/>
      <c r="I679" s="38" t="inlineStr"/>
      <c r="J679" s="38" t="inlineStr">
        <is>
          <t>UPI Payment</t>
        </is>
      </c>
      <c r="K679" s="38" t="inlineStr">
        <is>
          <t>Personal</t>
        </is>
      </c>
      <c r="L679" s="25" t="n">
        <v>0.55</v>
      </c>
      <c r="M679" s="38" t="inlineStr">
        <is>
          <t>N/A</t>
        </is>
      </c>
    </row>
    <row r="680">
      <c r="A680" s="58" t="n">
        <v>45347</v>
      </c>
      <c r="B680" s="59" t="inlineStr">
        <is>
          <t>NFT/NEOSIEXEDDD2024022502153984272 Nippon
India Mu</t>
        </is>
      </c>
      <c r="C680" s="59" t="inlineStr"/>
      <c r="D680" s="58" t="n">
        <v>45347</v>
      </c>
      <c r="E680" s="59" t="n">
        <v>2000</v>
      </c>
      <c r="F680" s="59" t="n">
        <v>0</v>
      </c>
      <c r="G680" s="59" t="n">
        <v>1666.68</v>
      </c>
      <c r="H680" s="59" t="inlineStr"/>
      <c r="I680" s="59" t="inlineStr"/>
      <c r="J680" s="59" t="inlineStr">
        <is>
          <t>MF Investment</t>
        </is>
      </c>
      <c r="K680" s="59" t="inlineStr">
        <is>
          <t>Investments</t>
        </is>
      </c>
      <c r="L680" s="18" t="n">
        <v>0.88</v>
      </c>
      <c r="M680" s="59" t="inlineStr">
        <is>
          <t>N/A</t>
        </is>
      </c>
    </row>
    <row r="681">
      <c r="A681" s="37" t="n">
        <v>45349</v>
      </c>
      <c r="B681" s="38" t="inlineStr">
        <is>
          <t>UPIOUT/405840117409/Q463323667@ybl/Sent
via /5812</t>
        </is>
      </c>
      <c r="C681" s="38" t="inlineStr"/>
      <c r="D681" s="37" t="n">
        <v>45349</v>
      </c>
      <c r="E681" s="38" t="n">
        <v>80</v>
      </c>
      <c r="F681" s="38" t="n">
        <v>0</v>
      </c>
      <c r="G681" s="38" t="n">
        <v>1586.68</v>
      </c>
      <c r="H681" s="38" t="inlineStr"/>
      <c r="I681" s="38" t="inlineStr"/>
      <c r="J681" s="38" t="inlineStr">
        <is>
          <t>UPI Payment</t>
        </is>
      </c>
      <c r="K681" s="38" t="inlineStr">
        <is>
          <t>Personal</t>
        </is>
      </c>
      <c r="L681" s="25" t="n">
        <v>0.55</v>
      </c>
      <c r="M681" s="38" t="inlineStr">
        <is>
          <t>N/A</t>
        </is>
      </c>
    </row>
    <row r="682">
      <c r="A682" s="37" t="n">
        <v>45350</v>
      </c>
      <c r="B682" s="38" t="inlineStr">
        <is>
          <t>UPIOUT/405945947150/swapnil.kandale@okicic
i//0000</t>
        </is>
      </c>
      <c r="C682" s="38" t="inlineStr"/>
      <c r="D682" s="37" t="n">
        <v>45350</v>
      </c>
      <c r="E682" s="38" t="n">
        <v>30</v>
      </c>
      <c r="F682" s="38" t="n">
        <v>0</v>
      </c>
      <c r="G682" s="38" t="n">
        <v>1556.68</v>
      </c>
      <c r="H682" s="38" t="inlineStr"/>
      <c r="I682" s="38" t="inlineStr"/>
      <c r="J682" s="38" t="inlineStr">
        <is>
          <t>UPI Payment</t>
        </is>
      </c>
      <c r="K682" s="38" t="inlineStr">
        <is>
          <t>Personal</t>
        </is>
      </c>
      <c r="L682" s="25" t="n">
        <v>0.55</v>
      </c>
      <c r="M682" s="38" t="inlineStr">
        <is>
          <t>N/A</t>
        </is>
      </c>
    </row>
    <row r="683">
      <c r="A683" s="37" t="n">
        <v>45350</v>
      </c>
      <c r="B683" s="38" t="inlineStr">
        <is>
          <t>UPIOUT/405946179434/Q520292571@ybl/Sent
via /5814</t>
        </is>
      </c>
      <c r="C683" s="38" t="inlineStr"/>
      <c r="D683" s="37" t="n">
        <v>45350</v>
      </c>
      <c r="E683" s="38" t="n">
        <v>40</v>
      </c>
      <c r="F683" s="38" t="n">
        <v>0</v>
      </c>
      <c r="G683" s="38" t="n">
        <v>1516.68</v>
      </c>
      <c r="H683" s="38" t="inlineStr"/>
      <c r="I683" s="38" t="inlineStr"/>
      <c r="J683" s="38" t="inlineStr">
        <is>
          <t>UPI Payment</t>
        </is>
      </c>
      <c r="K683" s="38" t="inlineStr">
        <is>
          <t>Personal</t>
        </is>
      </c>
      <c r="L683" s="25" t="n">
        <v>0.55</v>
      </c>
      <c r="M683" s="38" t="inlineStr">
        <is>
          <t>N/A</t>
        </is>
      </c>
    </row>
    <row r="684">
      <c r="A684" s="37" t="n">
        <v>45350</v>
      </c>
      <c r="B684" s="38" t="inlineStr">
        <is>
          <t>UPIOUT/405946262554/Q463323667@ybl/Sent
via /5812</t>
        </is>
      </c>
      <c r="C684" s="38" t="inlineStr"/>
      <c r="D684" s="37" t="n">
        <v>45350</v>
      </c>
      <c r="E684" s="38" t="n">
        <v>50</v>
      </c>
      <c r="F684" s="38" t="n">
        <v>0</v>
      </c>
      <c r="G684" s="38" t="n">
        <v>1466.68</v>
      </c>
      <c r="H684" s="38" t="inlineStr"/>
      <c r="I684" s="38" t="inlineStr"/>
      <c r="J684" s="38" t="inlineStr">
        <is>
          <t>UPI Payment</t>
        </is>
      </c>
      <c r="K684" s="38" t="inlineStr">
        <is>
          <t>Personal</t>
        </is>
      </c>
      <c r="L684" s="25" t="n">
        <v>0.55</v>
      </c>
      <c r="M684" s="38" t="inlineStr">
        <is>
          <t>N/A</t>
        </is>
      </c>
    </row>
    <row r="685">
      <c r="A685" s="37" t="n">
        <v>45351</v>
      </c>
      <c r="B685" s="38" t="inlineStr">
        <is>
          <t>UPIOUT/406082073212/raisunilkumar882@okici
ci/0000</t>
        </is>
      </c>
      <c r="C685" s="38" t="inlineStr"/>
      <c r="D685" s="37" t="n">
        <v>45351</v>
      </c>
      <c r="E685" s="38" t="n">
        <v>150</v>
      </c>
      <c r="F685" s="38" t="n">
        <v>0</v>
      </c>
      <c r="G685" s="38" t="n">
        <v>1316.68</v>
      </c>
      <c r="H685" s="38" t="inlineStr"/>
      <c r="I685" s="38" t="inlineStr"/>
      <c r="J685" s="38" t="inlineStr">
        <is>
          <t>UPI Payment</t>
        </is>
      </c>
      <c r="K685" s="38" t="inlineStr">
        <is>
          <t>Personal</t>
        </is>
      </c>
      <c r="L685" s="25" t="n">
        <v>0.55</v>
      </c>
      <c r="M685" s="38" t="inlineStr">
        <is>
          <t>N/A</t>
        </is>
      </c>
    </row>
    <row r="686">
      <c r="A686" s="35" t="n">
        <v>45351</v>
      </c>
      <c r="B686" s="36" t="inlineStr">
        <is>
          <t>UPIOUT/406055344328/9398132619@paytm/Sent
vi/0000</t>
        </is>
      </c>
      <c r="C686" s="36" t="inlineStr"/>
      <c r="D686" s="35" t="n">
        <v>45351</v>
      </c>
      <c r="E686" s="36" t="n">
        <v>140</v>
      </c>
      <c r="F686" s="36" t="n">
        <v>0</v>
      </c>
      <c r="G686" s="36" t="n">
        <v>1176.68</v>
      </c>
      <c r="H686" s="36" t="inlineStr"/>
      <c r="I686" s="36" t="inlineStr"/>
      <c r="J686" s="36" t="inlineStr">
        <is>
          <t>UPI - Paytm</t>
        </is>
      </c>
      <c r="K686" s="36" t="inlineStr">
        <is>
          <t>Personal</t>
        </is>
      </c>
      <c r="L686" s="34" t="n">
        <v>0.65</v>
      </c>
      <c r="M686" s="36" t="inlineStr">
        <is>
          <t>N/A</t>
        </is>
      </c>
    </row>
    <row r="687">
      <c r="A687" s="93" t="n">
        <v>45351</v>
      </c>
      <c r="B687" s="94" t="inlineStr">
        <is>
          <t>UPIOUT/406055630229/gpay-11242430272@okbiz
ax/4121</t>
        </is>
      </c>
      <c r="C687" s="94" t="inlineStr"/>
      <c r="D687" s="93" t="n">
        <v>45351</v>
      </c>
      <c r="E687" s="94" t="n">
        <v>40</v>
      </c>
      <c r="F687" s="94" t="n">
        <v>0</v>
      </c>
      <c r="G687" s="94" t="n">
        <v>1136.68</v>
      </c>
      <c r="H687" s="94" t="inlineStr"/>
      <c r="I687" s="94" t="inlineStr"/>
      <c r="J687" s="94" t="inlineStr">
        <is>
          <t>UPI - Google Pay</t>
        </is>
      </c>
      <c r="K687" s="94" t="inlineStr">
        <is>
          <t>Personal</t>
        </is>
      </c>
      <c r="L687" s="34" t="n">
        <v>0.65</v>
      </c>
      <c r="M687" s="94" t="inlineStr">
        <is>
          <t>N/A</t>
        </is>
      </c>
    </row>
    <row r="688">
      <c r="A688" s="37" t="n">
        <v>45351</v>
      </c>
      <c r="B688" s="38" t="inlineStr">
        <is>
          <t>UPIOUT/406055960109/praveenkumar.goud1@ybl
/S/0000</t>
        </is>
      </c>
      <c r="C688" s="38" t="inlineStr"/>
      <c r="D688" s="37" t="n">
        <v>45351</v>
      </c>
      <c r="E688" s="38" t="n">
        <v>100</v>
      </c>
      <c r="F688" s="38" t="n">
        <v>0</v>
      </c>
      <c r="G688" s="38" t="n">
        <v>1036.68</v>
      </c>
      <c r="H688" s="38" t="inlineStr"/>
      <c r="I688" s="38" t="inlineStr"/>
      <c r="J688" s="38" t="inlineStr">
        <is>
          <t>UPI Payment</t>
        </is>
      </c>
      <c r="K688" s="38" t="inlineStr">
        <is>
          <t>Personal</t>
        </is>
      </c>
      <c r="L688" s="25" t="n">
        <v>0.55</v>
      </c>
      <c r="M688" s="38" t="inlineStr">
        <is>
          <t>N/A</t>
        </is>
      </c>
    </row>
    <row r="689">
      <c r="A689" s="37" t="n">
        <v>45351</v>
      </c>
      <c r="B689" s="38" t="inlineStr">
        <is>
          <t>UPIOUT/406055979570/Q620964543@ybl/Sent
via /5814</t>
        </is>
      </c>
      <c r="C689" s="38" t="inlineStr"/>
      <c r="D689" s="37" t="n">
        <v>45351</v>
      </c>
      <c r="E689" s="38" t="n">
        <v>85</v>
      </c>
      <c r="F689" s="38" t="n">
        <v>0</v>
      </c>
      <c r="G689" s="38" t="n">
        <v>951.6799999999999</v>
      </c>
      <c r="H689" s="38" t="inlineStr"/>
      <c r="I689" s="38" t="inlineStr"/>
      <c r="J689" s="38" t="inlineStr">
        <is>
          <t>UPI Payment</t>
        </is>
      </c>
      <c r="K689" s="38" t="inlineStr">
        <is>
          <t>Personal</t>
        </is>
      </c>
      <c r="L689" s="25" t="n">
        <v>0.55</v>
      </c>
      <c r="M689" s="38" t="inlineStr">
        <is>
          <t>N/A</t>
        </is>
      </c>
    </row>
    <row r="690">
      <c r="A690" s="37" t="n">
        <v>45351</v>
      </c>
      <c r="B690" s="38" t="inlineStr">
        <is>
          <t>UPIOUT/406056320300/Q463323667@ybl/Sent
via /5812</t>
        </is>
      </c>
      <c r="C690" s="38" t="inlineStr"/>
      <c r="D690" s="37" t="n">
        <v>45351</v>
      </c>
      <c r="E690" s="38" t="n">
        <v>80</v>
      </c>
      <c r="F690" s="38" t="n">
        <v>0</v>
      </c>
      <c r="G690" s="38" t="n">
        <v>871.6799999999999</v>
      </c>
      <c r="H690" s="38" t="inlineStr"/>
      <c r="I690" s="38" t="inlineStr"/>
      <c r="J690" s="38" t="inlineStr">
        <is>
          <t>UPI Payment</t>
        </is>
      </c>
      <c r="K690" s="38" t="inlineStr">
        <is>
          <t>Personal</t>
        </is>
      </c>
      <c r="L690" s="25" t="n">
        <v>0.55</v>
      </c>
      <c r="M690" s="38" t="inlineStr">
        <is>
          <t>N/A</t>
        </is>
      </c>
    </row>
    <row r="691">
      <c r="A691" s="37" t="n">
        <v>45352</v>
      </c>
      <c r="B691" s="38" t="inlineStr">
        <is>
          <t>UPIOUT/406162282439/Q407907754@ybl/Sent
via /5812</t>
        </is>
      </c>
      <c r="C691" s="38" t="inlineStr"/>
      <c r="D691" s="37" t="n">
        <v>45352</v>
      </c>
      <c r="E691" s="38" t="n">
        <v>20</v>
      </c>
      <c r="F691" s="38" t="n">
        <v>0</v>
      </c>
      <c r="G691" s="38" t="n">
        <v>851.6799999999999</v>
      </c>
      <c r="H691" s="38" t="inlineStr"/>
      <c r="I691" s="38" t="inlineStr"/>
      <c r="J691" s="38" t="inlineStr">
        <is>
          <t>UPI Payment</t>
        </is>
      </c>
      <c r="K691" s="38" t="inlineStr">
        <is>
          <t>Personal</t>
        </is>
      </c>
      <c r="L691" s="25" t="n">
        <v>0.55</v>
      </c>
      <c r="M691" s="38" t="inlineStr">
        <is>
          <t>N/A</t>
        </is>
      </c>
    </row>
    <row r="692">
      <c r="A692" s="35" t="n">
        <v>45352</v>
      </c>
      <c r="B692" s="36" t="inlineStr">
        <is>
          <t>UPIOUT/406162435231/paytmqr19isap9s8r@payt
m//5812</t>
        </is>
      </c>
      <c r="C692" s="36" t="inlineStr"/>
      <c r="D692" s="35" t="n">
        <v>45352</v>
      </c>
      <c r="E692" s="36" t="n">
        <v>126</v>
      </c>
      <c r="F692" s="36" t="n">
        <v>0</v>
      </c>
      <c r="G692" s="36" t="n">
        <v>725.6799999999999</v>
      </c>
      <c r="H692" s="36" t="inlineStr"/>
      <c r="I692" s="36" t="inlineStr"/>
      <c r="J692" s="36" t="inlineStr">
        <is>
          <t>UPI - Paytm</t>
        </is>
      </c>
      <c r="K692" s="36" t="inlineStr">
        <is>
          <t>Personal</t>
        </is>
      </c>
      <c r="L692" s="34" t="n">
        <v>0.65</v>
      </c>
      <c r="M692" s="36" t="inlineStr">
        <is>
          <t>N/A</t>
        </is>
      </c>
    </row>
    <row r="693">
      <c r="A693" s="23" t="n">
        <v>45352</v>
      </c>
      <c r="B693" s="24" t="inlineStr">
        <is>
          <t>NFT/DR REDDYS LABOR/CITIN24432370705/CITI</t>
        </is>
      </c>
      <c r="C693" s="24" t="inlineStr"/>
      <c r="D693" s="23" t="n">
        <v>45352</v>
      </c>
      <c r="E693" s="24" t="n">
        <v>0</v>
      </c>
      <c r="F693" s="24" t="n">
        <v>22500</v>
      </c>
      <c r="G693" s="24" t="n">
        <v>23225.68</v>
      </c>
      <c r="H693" s="24" t="inlineStr"/>
      <c r="I693" s="24" t="inlineStr"/>
      <c r="J693" s="24" t="inlineStr">
        <is>
          <t>What is this?</t>
        </is>
      </c>
      <c r="K693" s="24" t="inlineStr">
        <is>
          <t>Suspense</t>
        </is>
      </c>
      <c r="L693" s="25" t="n">
        <v>0</v>
      </c>
      <c r="M693" s="24" t="inlineStr">
        <is>
          <t>N/A</t>
        </is>
      </c>
    </row>
    <row r="694">
      <c r="A694" s="37" t="n">
        <v>45352</v>
      </c>
      <c r="B694" s="38" t="inlineStr">
        <is>
          <t>UPIOUT/406164001983/Q015480866@ybl/Sent
via /7230</t>
        </is>
      </c>
      <c r="C694" s="38" t="inlineStr"/>
      <c r="D694" s="37" t="n">
        <v>45352</v>
      </c>
      <c r="E694" s="38" t="n">
        <v>200</v>
      </c>
      <c r="F694" s="38" t="n">
        <v>0</v>
      </c>
      <c r="G694" s="38" t="n">
        <v>23025.68</v>
      </c>
      <c r="H694" s="38" t="inlineStr"/>
      <c r="I694" s="38" t="inlineStr"/>
      <c r="J694" s="38" t="inlineStr">
        <is>
          <t>UPI Payment</t>
        </is>
      </c>
      <c r="K694" s="38" t="inlineStr">
        <is>
          <t>Personal</t>
        </is>
      </c>
      <c r="L694" s="25" t="n">
        <v>0.55</v>
      </c>
      <c r="M694" s="38" t="inlineStr">
        <is>
          <t>N/A</t>
        </is>
      </c>
    </row>
    <row r="695">
      <c r="A695" s="37" t="n">
        <v>45352</v>
      </c>
      <c r="B695" s="38" t="inlineStr">
        <is>
          <t>UPIOUT/406164819034/Q241229658@ybl/Sent
via /5411</t>
        </is>
      </c>
      <c r="C695" s="38" t="inlineStr"/>
      <c r="D695" s="37" t="n">
        <v>45352</v>
      </c>
      <c r="E695" s="38" t="n">
        <v>1240</v>
      </c>
      <c r="F695" s="38" t="n">
        <v>0</v>
      </c>
      <c r="G695" s="38" t="n">
        <v>21785.68</v>
      </c>
      <c r="H695" s="38" t="inlineStr"/>
      <c r="I695" s="38" t="inlineStr"/>
      <c r="J695" s="38" t="inlineStr">
        <is>
          <t>UPI Payment</t>
        </is>
      </c>
      <c r="K695" s="38" t="inlineStr">
        <is>
          <t>Personal</t>
        </is>
      </c>
      <c r="L695" s="25" t="n">
        <v>0.55</v>
      </c>
      <c r="M695" s="38" t="inlineStr">
        <is>
          <t>N/A</t>
        </is>
      </c>
    </row>
    <row r="696">
      <c r="A696" s="37" t="n">
        <v>45352</v>
      </c>
      <c r="B696" s="38" t="inlineStr">
        <is>
          <t>UPIOUT/406164839909/Q923022406@ybl/Sent
via /5814</t>
        </is>
      </c>
      <c r="C696" s="38" t="inlineStr"/>
      <c r="D696" s="37" t="n">
        <v>45352</v>
      </c>
      <c r="E696" s="38" t="n">
        <v>100</v>
      </c>
      <c r="F696" s="38" t="n">
        <v>0</v>
      </c>
      <c r="G696" s="38" t="n">
        <v>21685.68</v>
      </c>
      <c r="H696" s="38" t="inlineStr"/>
      <c r="I696" s="38" t="inlineStr"/>
      <c r="J696" s="38" t="inlineStr">
        <is>
          <t>UPI Payment</t>
        </is>
      </c>
      <c r="K696" s="38" t="inlineStr">
        <is>
          <t>Personal</t>
        </is>
      </c>
      <c r="L696" s="25" t="n">
        <v>0.55</v>
      </c>
      <c r="M696" s="38" t="inlineStr">
        <is>
          <t>N/A</t>
        </is>
      </c>
    </row>
    <row r="697">
      <c r="A697" s="35" t="n">
        <v>45352</v>
      </c>
      <c r="B697" s="36" t="inlineStr">
        <is>
          <t>UPIOUT/406166020242/paytmqr19isap9s8r@payt
m//5812</t>
        </is>
      </c>
      <c r="C697" s="36" t="inlineStr"/>
      <c r="D697" s="35" t="n">
        <v>45352</v>
      </c>
      <c r="E697" s="36" t="n">
        <v>746</v>
      </c>
      <c r="F697" s="36" t="n">
        <v>0</v>
      </c>
      <c r="G697" s="36" t="n">
        <v>20939.68</v>
      </c>
      <c r="H697" s="36" t="inlineStr"/>
      <c r="I697" s="36" t="inlineStr"/>
      <c r="J697" s="36" t="inlineStr">
        <is>
          <t>UPI - Paytm</t>
        </is>
      </c>
      <c r="K697" s="36" t="inlineStr">
        <is>
          <t>Personal</t>
        </is>
      </c>
      <c r="L697" s="34" t="n">
        <v>0.65</v>
      </c>
      <c r="M697" s="36" t="inlineStr">
        <is>
          <t>N/A</t>
        </is>
      </c>
    </row>
    <row r="698">
      <c r="A698" s="37" t="n">
        <v>45353</v>
      </c>
      <c r="B698" s="38" t="inlineStr">
        <is>
          <t>UPIOUT/406267376037/Q832428843@ybl/Sent
via /5814</t>
        </is>
      </c>
      <c r="C698" s="38" t="inlineStr"/>
      <c r="D698" s="37" t="n">
        <v>45353</v>
      </c>
      <c r="E698" s="38" t="n">
        <v>12</v>
      </c>
      <c r="F698" s="38" t="n">
        <v>0</v>
      </c>
      <c r="G698" s="38" t="n">
        <v>20927.68</v>
      </c>
      <c r="H698" s="38" t="inlineStr"/>
      <c r="I698" s="38" t="inlineStr"/>
      <c r="J698" s="38" t="inlineStr">
        <is>
          <t>UPI Payment</t>
        </is>
      </c>
      <c r="K698" s="38" t="inlineStr">
        <is>
          <t>Personal</t>
        </is>
      </c>
      <c r="L698" s="25" t="n">
        <v>0.55</v>
      </c>
      <c r="M698" s="38" t="inlineStr">
        <is>
          <t>N/A</t>
        </is>
      </c>
    </row>
    <row r="699">
      <c r="A699" s="95" t="n">
        <v>45353</v>
      </c>
      <c r="B699" s="96" t="inlineStr">
        <is>
          <t>UPIOUT/406253592441/dmartready.42536023@hd
fc/5411</t>
        </is>
      </c>
      <c r="C699" s="96" t="inlineStr"/>
      <c r="D699" s="95" t="n">
        <v>45353</v>
      </c>
      <c r="E699" s="96" t="n">
        <v>699</v>
      </c>
      <c r="F699" s="96" t="n">
        <v>0</v>
      </c>
      <c r="G699" s="96" t="n">
        <v>20228.68</v>
      </c>
      <c r="H699" s="96" t="inlineStr"/>
      <c r="I699" s="96" t="inlineStr"/>
      <c r="J699" s="96" t="inlineStr">
        <is>
          <t>UPI - DMart</t>
        </is>
      </c>
      <c r="K699" s="96" t="inlineStr">
        <is>
          <t>Groceries</t>
        </is>
      </c>
      <c r="L699" s="18" t="n">
        <v>0.88</v>
      </c>
      <c r="M699" s="96" t="inlineStr">
        <is>
          <t>N/A</t>
        </is>
      </c>
    </row>
    <row r="700">
      <c r="A700" s="35" t="n">
        <v>45353</v>
      </c>
      <c r="B700" s="36" t="inlineStr">
        <is>
          <t>UPIOUT/406267647856/paytmqr1v2gimch4w@payt
m//5411</t>
        </is>
      </c>
      <c r="C700" s="36" t="inlineStr"/>
      <c r="D700" s="35" t="n">
        <v>45353</v>
      </c>
      <c r="E700" s="36" t="n">
        <v>62</v>
      </c>
      <c r="F700" s="36" t="n">
        <v>0</v>
      </c>
      <c r="G700" s="36" t="n">
        <v>20166.68</v>
      </c>
      <c r="H700" s="36" t="inlineStr"/>
      <c r="I700" s="36" t="inlineStr"/>
      <c r="J700" s="36" t="inlineStr">
        <is>
          <t>UPI - Paytm</t>
        </is>
      </c>
      <c r="K700" s="36" t="inlineStr">
        <is>
          <t>Personal</t>
        </is>
      </c>
      <c r="L700" s="34" t="n">
        <v>0.65</v>
      </c>
      <c r="M700" s="36" t="inlineStr">
        <is>
          <t>N/A</t>
        </is>
      </c>
    </row>
    <row r="701">
      <c r="A701" s="37" t="n">
        <v>45353</v>
      </c>
      <c r="B701" s="38" t="inlineStr">
        <is>
          <t>UPIOUT/406255701422/q588259285@ybl/UPI/544
1</t>
        </is>
      </c>
      <c r="C701" s="38" t="inlineStr"/>
      <c r="D701" s="37" t="n">
        <v>45353</v>
      </c>
      <c r="E701" s="38" t="n">
        <v>578</v>
      </c>
      <c r="F701" s="38" t="n">
        <v>0</v>
      </c>
      <c r="G701" s="38" t="n">
        <v>19588.68</v>
      </c>
      <c r="H701" s="38" t="inlineStr"/>
      <c r="I701" s="38" t="inlineStr"/>
      <c r="J701" s="38" t="inlineStr">
        <is>
          <t>UPI Payment</t>
        </is>
      </c>
      <c r="K701" s="38" t="inlineStr">
        <is>
          <t>Personal</t>
        </is>
      </c>
      <c r="L701" s="25" t="n">
        <v>0.55</v>
      </c>
      <c r="M701" s="38" t="inlineStr">
        <is>
          <t>N/A</t>
        </is>
      </c>
    </row>
    <row r="702">
      <c r="A702" s="91" t="n">
        <v>45353</v>
      </c>
      <c r="B702" s="92" t="inlineStr">
        <is>
          <t>UPIOUT/406245825171/uberrides@hdfcbank/cha
rg/5960</t>
        </is>
      </c>
      <c r="C702" s="92" t="inlineStr"/>
      <c r="D702" s="91" t="n">
        <v>45353</v>
      </c>
      <c r="E702" s="92" t="n">
        <v>484.25</v>
      </c>
      <c r="F702" s="92" t="n">
        <v>0</v>
      </c>
      <c r="G702" s="92" t="n">
        <v>19104.43</v>
      </c>
      <c r="H702" s="92" t="inlineStr"/>
      <c r="I702" s="92" t="inlineStr"/>
      <c r="J702" s="92" t="inlineStr">
        <is>
          <t>UPI - Uber</t>
        </is>
      </c>
      <c r="K702" s="92" t="inlineStr">
        <is>
          <t>Transport</t>
        </is>
      </c>
      <c r="L702" s="34" t="n">
        <v>0.68</v>
      </c>
      <c r="M702" s="92" t="inlineStr">
        <is>
          <t>N/A</t>
        </is>
      </c>
    </row>
    <row r="703">
      <c r="A703" s="93" t="n">
        <v>45354</v>
      </c>
      <c r="B703" s="94" t="inlineStr">
        <is>
          <t>UPIOUT/406375219315/gpay-11239420124@okbiz
ax/5814</t>
        </is>
      </c>
      <c r="C703" s="94" t="inlineStr"/>
      <c r="D703" s="93" t="n">
        <v>45354</v>
      </c>
      <c r="E703" s="94" t="n">
        <v>371</v>
      </c>
      <c r="F703" s="94" t="n">
        <v>0</v>
      </c>
      <c r="G703" s="94" t="n">
        <v>18733.43</v>
      </c>
      <c r="H703" s="94" t="inlineStr"/>
      <c r="I703" s="94" t="inlineStr"/>
      <c r="J703" s="94" t="inlineStr">
        <is>
          <t>UPI - Google Pay</t>
        </is>
      </c>
      <c r="K703" s="94" t="inlineStr">
        <is>
          <t>Personal</t>
        </is>
      </c>
      <c r="L703" s="34" t="n">
        <v>0.65</v>
      </c>
      <c r="M703" s="94" t="inlineStr">
        <is>
          <t>N/A</t>
        </is>
      </c>
    </row>
    <row r="704">
      <c r="A704" s="37" t="n">
        <v>45354</v>
      </c>
      <c r="B704" s="38" t="inlineStr">
        <is>
          <t>UPIOUT/406375538078/Q07483153@ybl/Sent via
J/5813</t>
        </is>
      </c>
      <c r="C704" s="38" t="inlineStr"/>
      <c r="D704" s="37" t="n">
        <v>45354</v>
      </c>
      <c r="E704" s="38" t="n">
        <v>263</v>
      </c>
      <c r="F704" s="38" t="n">
        <v>0</v>
      </c>
      <c r="G704" s="38" t="n">
        <v>18470.43</v>
      </c>
      <c r="H704" s="38" t="inlineStr"/>
      <c r="I704" s="38" t="inlineStr"/>
      <c r="J704" s="38" t="inlineStr">
        <is>
          <t>UPI Payment</t>
        </is>
      </c>
      <c r="K704" s="38" t="inlineStr">
        <is>
          <t>Personal</t>
        </is>
      </c>
      <c r="L704" s="25" t="n">
        <v>0.55</v>
      </c>
      <c r="M704" s="38" t="inlineStr">
        <is>
          <t>N/A</t>
        </is>
      </c>
    </row>
    <row r="705">
      <c r="A705" s="58" t="n">
        <v>45354</v>
      </c>
      <c r="B705" s="59" t="inlineStr">
        <is>
          <t>NFT/NEOSIEXEDDD2024030304151178179 NAVI
Mutual Fun</t>
        </is>
      </c>
      <c r="C705" s="59" t="inlineStr"/>
      <c r="D705" s="58" t="n">
        <v>45354</v>
      </c>
      <c r="E705" s="59" t="n">
        <v>1000</v>
      </c>
      <c r="F705" s="59" t="n">
        <v>0</v>
      </c>
      <c r="G705" s="59" t="n">
        <v>17470.43</v>
      </c>
      <c r="H705" s="59" t="inlineStr"/>
      <c r="I705" s="59" t="inlineStr"/>
      <c r="J705" s="59" t="inlineStr">
        <is>
          <t>MF Investment</t>
        </is>
      </c>
      <c r="K705" s="59" t="inlineStr">
        <is>
          <t>Investments</t>
        </is>
      </c>
      <c r="L705" s="18" t="n">
        <v>0.88</v>
      </c>
      <c r="M705" s="59" t="inlineStr">
        <is>
          <t>N/A</t>
        </is>
      </c>
    </row>
    <row r="706">
      <c r="A706" s="37" t="n">
        <v>45354</v>
      </c>
      <c r="B706" s="38" t="inlineStr">
        <is>
          <t>UPIOUT/406377760682/Q07483153@ybl/Sent via
J/5813</t>
        </is>
      </c>
      <c r="C706" s="38" t="inlineStr"/>
      <c r="D706" s="37" t="n">
        <v>45354</v>
      </c>
      <c r="E706" s="38" t="n">
        <v>477</v>
      </c>
      <c r="F706" s="38" t="n">
        <v>0</v>
      </c>
      <c r="G706" s="38" t="n">
        <v>16993.43</v>
      </c>
      <c r="H706" s="38" t="inlineStr"/>
      <c r="I706" s="38" t="inlineStr"/>
      <c r="J706" s="38" t="inlineStr">
        <is>
          <t>UPI Payment</t>
        </is>
      </c>
      <c r="K706" s="38" t="inlineStr">
        <is>
          <t>Personal</t>
        </is>
      </c>
      <c r="L706" s="25" t="n">
        <v>0.55</v>
      </c>
      <c r="M706" s="38" t="inlineStr">
        <is>
          <t>N/A</t>
        </is>
      </c>
    </row>
    <row r="707">
      <c r="A707" s="37" t="n">
        <v>45354</v>
      </c>
      <c r="B707" s="38" t="inlineStr">
        <is>
          <t>UPIOUT/406379187069/Q50245732@ybl/Sent via
J/5813</t>
        </is>
      </c>
      <c r="C707" s="38" t="inlineStr"/>
      <c r="D707" s="37" t="n">
        <v>45354</v>
      </c>
      <c r="E707" s="38" t="n">
        <v>103</v>
      </c>
      <c r="F707" s="38" t="n">
        <v>0</v>
      </c>
      <c r="G707" s="38" t="n">
        <v>16890.43</v>
      </c>
      <c r="H707" s="38" t="inlineStr"/>
      <c r="I707" s="38" t="inlineStr"/>
      <c r="J707" s="38" t="inlineStr">
        <is>
          <t>UPI Payment</t>
        </is>
      </c>
      <c r="K707" s="38" t="inlineStr">
        <is>
          <t>Personal</t>
        </is>
      </c>
      <c r="L707" s="25" t="n">
        <v>0.55</v>
      </c>
      <c r="M707" s="38" t="inlineStr">
        <is>
          <t>N/A</t>
        </is>
      </c>
    </row>
    <row r="708">
      <c r="A708" s="37" t="n">
        <v>45354</v>
      </c>
      <c r="B708" s="38" t="inlineStr">
        <is>
          <t>UPIOUT/406380181787/Q75895864@ybl/Sent via
J/5813</t>
        </is>
      </c>
      <c r="C708" s="38" t="inlineStr"/>
      <c r="D708" s="37" t="n">
        <v>45354</v>
      </c>
      <c r="E708" s="38" t="n">
        <v>156</v>
      </c>
      <c r="F708" s="38" t="n">
        <v>0</v>
      </c>
      <c r="G708" s="38" t="n">
        <v>16734.43</v>
      </c>
      <c r="H708" s="38" t="inlineStr"/>
      <c r="I708" s="38" t="inlineStr"/>
      <c r="J708" s="38" t="inlineStr">
        <is>
          <t>UPI Payment</t>
        </is>
      </c>
      <c r="K708" s="38" t="inlineStr">
        <is>
          <t>Personal</t>
        </is>
      </c>
      <c r="L708" s="25" t="n">
        <v>0.55</v>
      </c>
      <c r="M708" s="38" t="inlineStr">
        <is>
          <t>N/A</t>
        </is>
      </c>
    </row>
    <row r="709">
      <c r="A709" s="91" t="n">
        <v>45354</v>
      </c>
      <c r="B709" s="92" t="inlineStr">
        <is>
          <t>UPIOUT/406349558815/uberrides@hdfcbank/cha
rg/5960</t>
        </is>
      </c>
      <c r="C709" s="92" t="inlineStr"/>
      <c r="D709" s="91" t="n">
        <v>45354</v>
      </c>
      <c r="E709" s="92" t="n">
        <v>32.58</v>
      </c>
      <c r="F709" s="92" t="n">
        <v>0</v>
      </c>
      <c r="G709" s="92" t="n">
        <v>16701.85</v>
      </c>
      <c r="H709" s="92" t="inlineStr"/>
      <c r="I709" s="92" t="inlineStr"/>
      <c r="J709" s="92" t="inlineStr">
        <is>
          <t>UPI - Uber</t>
        </is>
      </c>
      <c r="K709" s="92" t="inlineStr">
        <is>
          <t>Transport</t>
        </is>
      </c>
      <c r="L709" s="34" t="n">
        <v>0.68</v>
      </c>
      <c r="M709" s="92" t="inlineStr">
        <is>
          <t>N/A</t>
        </is>
      </c>
    </row>
    <row r="710">
      <c r="A710" s="91" t="n">
        <v>45354</v>
      </c>
      <c r="B710" s="92" t="inlineStr">
        <is>
          <t>UPIOUT/406481154896/uber@axisbank/charge/4
121</t>
        </is>
      </c>
      <c r="C710" s="92" t="inlineStr"/>
      <c r="D710" s="91" t="n">
        <v>45355</v>
      </c>
      <c r="E710" s="92" t="n">
        <v>43.05</v>
      </c>
      <c r="F710" s="92" t="n">
        <v>0</v>
      </c>
      <c r="G710" s="92" t="n">
        <v>16658.8</v>
      </c>
      <c r="H710" s="92" t="inlineStr"/>
      <c r="I710" s="92" t="inlineStr"/>
      <c r="J710" s="92" t="inlineStr">
        <is>
          <t>UPI - Uber</t>
        </is>
      </c>
      <c r="K710" s="92" t="inlineStr">
        <is>
          <t>Transport</t>
        </is>
      </c>
      <c r="L710" s="34" t="n">
        <v>0.68</v>
      </c>
      <c r="M710" s="92" t="inlineStr">
        <is>
          <t>N/A</t>
        </is>
      </c>
    </row>
    <row r="711">
      <c r="A711" s="37" t="n">
        <v>45355</v>
      </c>
      <c r="B711" s="38" t="inlineStr">
        <is>
          <t>UPIOUT/406490565934/Q80015469@ybl/Sent via
J/5813</t>
        </is>
      </c>
      <c r="C711" s="38" t="inlineStr"/>
      <c r="D711" s="37" t="n">
        <v>45355</v>
      </c>
      <c r="E711" s="38" t="n">
        <v>906</v>
      </c>
      <c r="F711" s="38" t="n">
        <v>0</v>
      </c>
      <c r="G711" s="38" t="n">
        <v>15752.8</v>
      </c>
      <c r="H711" s="38" t="inlineStr"/>
      <c r="I711" s="38" t="inlineStr"/>
      <c r="J711" s="38" t="inlineStr">
        <is>
          <t>UPI Payment</t>
        </is>
      </c>
      <c r="K711" s="38" t="inlineStr">
        <is>
          <t>Personal</t>
        </is>
      </c>
      <c r="L711" s="25" t="n">
        <v>0.55</v>
      </c>
      <c r="M711" s="38" t="inlineStr">
        <is>
          <t>N/A</t>
        </is>
      </c>
    </row>
    <row r="712">
      <c r="A712" s="37" t="n">
        <v>45355</v>
      </c>
      <c r="B712" s="38" t="inlineStr">
        <is>
          <t>UPIOUT/406563666578/sudhirmalil415@okicici
/U/0000</t>
        </is>
      </c>
      <c r="C712" s="38" t="inlineStr"/>
      <c r="D712" s="37" t="n">
        <v>45356</v>
      </c>
      <c r="E712" s="38" t="n">
        <v>115</v>
      </c>
      <c r="F712" s="38" t="n">
        <v>0</v>
      </c>
      <c r="G712" s="38" t="n">
        <v>15637.8</v>
      </c>
      <c r="H712" s="38" t="inlineStr"/>
      <c r="I712" s="38" t="inlineStr"/>
      <c r="J712" s="38" t="inlineStr">
        <is>
          <t>UPI Payment</t>
        </is>
      </c>
      <c r="K712" s="38" t="inlineStr">
        <is>
          <t>Personal</t>
        </is>
      </c>
      <c r="L712" s="25" t="n">
        <v>0.55</v>
      </c>
      <c r="M712" s="38" t="inlineStr">
        <is>
          <t>N/A</t>
        </is>
      </c>
    </row>
    <row r="713">
      <c r="A713" s="37" t="n">
        <v>45356</v>
      </c>
      <c r="B713" s="38" t="inlineStr">
        <is>
          <t>UPIOUT/406592707984/Q07483153@ybl/Sent via
J/5813</t>
        </is>
      </c>
      <c r="C713" s="38" t="inlineStr"/>
      <c r="D713" s="37" t="n">
        <v>45356</v>
      </c>
      <c r="E713" s="38" t="n">
        <v>156</v>
      </c>
      <c r="F713" s="38" t="n">
        <v>0</v>
      </c>
      <c r="G713" s="38" t="n">
        <v>15481.8</v>
      </c>
      <c r="H713" s="38" t="inlineStr"/>
      <c r="I713" s="38" t="inlineStr"/>
      <c r="J713" s="38" t="inlineStr">
        <is>
          <t>UPI Payment</t>
        </is>
      </c>
      <c r="K713" s="38" t="inlineStr">
        <is>
          <t>Personal</t>
        </is>
      </c>
      <c r="L713" s="25" t="n">
        <v>0.55</v>
      </c>
      <c r="M713" s="38" t="inlineStr">
        <is>
          <t>N/A</t>
        </is>
      </c>
    </row>
    <row r="714">
      <c r="A714" s="35" t="n">
        <v>45356</v>
      </c>
      <c r="B714" s="36" t="inlineStr">
        <is>
          <t>UPIOUT/406593865507/paytmqrhdex80dh4r@payt
m//5812</t>
        </is>
      </c>
      <c r="C714" s="36" t="inlineStr"/>
      <c r="D714" s="35" t="n">
        <v>45356</v>
      </c>
      <c r="E714" s="36" t="n">
        <v>110</v>
      </c>
      <c r="F714" s="36" t="n">
        <v>0</v>
      </c>
      <c r="G714" s="36" t="n">
        <v>15371.8</v>
      </c>
      <c r="H714" s="36" t="inlineStr"/>
      <c r="I714" s="36" t="inlineStr"/>
      <c r="J714" s="36" t="inlineStr">
        <is>
          <t>UPI - Paytm</t>
        </is>
      </c>
      <c r="K714" s="36" t="inlineStr">
        <is>
          <t>Personal</t>
        </is>
      </c>
      <c r="L714" s="34" t="n">
        <v>0.65</v>
      </c>
      <c r="M714" s="36" t="inlineStr">
        <is>
          <t>N/A</t>
        </is>
      </c>
    </row>
    <row r="715">
      <c r="A715" s="37" t="n">
        <v>45356</v>
      </c>
      <c r="B715" s="38" t="inlineStr">
        <is>
          <t>UPIOUT/406595994183/Q75895864@ybl/Sent via
J/5813</t>
        </is>
      </c>
      <c r="C715" s="38" t="inlineStr"/>
      <c r="D715" s="37" t="n">
        <v>45356</v>
      </c>
      <c r="E715" s="38" t="n">
        <v>437</v>
      </c>
      <c r="F715" s="38" t="n">
        <v>0</v>
      </c>
      <c r="G715" s="38" t="n">
        <v>14934.8</v>
      </c>
      <c r="H715" s="38" t="inlineStr"/>
      <c r="I715" s="38" t="inlineStr"/>
      <c r="J715" s="38" t="inlineStr">
        <is>
          <t>UPI Payment</t>
        </is>
      </c>
      <c r="K715" s="38" t="inlineStr">
        <is>
          <t>Personal</t>
        </is>
      </c>
      <c r="L715" s="25" t="n">
        <v>0.55</v>
      </c>
      <c r="M715" s="38" t="inlineStr">
        <is>
          <t>N/A</t>
        </is>
      </c>
    </row>
    <row r="716">
      <c r="A716" s="35" t="n">
        <v>45357</v>
      </c>
      <c r="B716" s="36" t="inlineStr">
        <is>
          <t>UPIOUT/406614399474/paytm-14464838@paytm/U
PI/5812</t>
        </is>
      </c>
      <c r="C716" s="36" t="inlineStr"/>
      <c r="D716" s="35" t="n">
        <v>45357</v>
      </c>
      <c r="E716" s="36" t="n">
        <v>152.25</v>
      </c>
      <c r="F716" s="36" t="n">
        <v>0</v>
      </c>
      <c r="G716" s="36" t="n">
        <v>14782.55</v>
      </c>
      <c r="H716" s="36" t="inlineStr"/>
      <c r="I716" s="36" t="inlineStr"/>
      <c r="J716" s="36" t="inlineStr">
        <is>
          <t>UPI - Paytm</t>
        </is>
      </c>
      <c r="K716" s="36" t="inlineStr">
        <is>
          <t>Personal</t>
        </is>
      </c>
      <c r="L716" s="34" t="n">
        <v>0.65</v>
      </c>
      <c r="M716" s="36" t="inlineStr">
        <is>
          <t>N/A</t>
        </is>
      </c>
    </row>
    <row r="717">
      <c r="A717" s="37" t="n">
        <v>45357</v>
      </c>
      <c r="B717" s="38" t="inlineStr">
        <is>
          <t>UPIOUT/406611297335/Q07483153@ybl/Sent via
J/5813</t>
        </is>
      </c>
      <c r="C717" s="38" t="inlineStr"/>
      <c r="D717" s="37" t="n">
        <v>45357</v>
      </c>
      <c r="E717" s="38" t="n">
        <v>156</v>
      </c>
      <c r="F717" s="38" t="n">
        <v>0</v>
      </c>
      <c r="G717" s="38" t="n">
        <v>14626.55</v>
      </c>
      <c r="H717" s="38" t="inlineStr"/>
      <c r="I717" s="38" t="inlineStr"/>
      <c r="J717" s="38" t="inlineStr">
        <is>
          <t>UPI Payment</t>
        </is>
      </c>
      <c r="K717" s="38" t="inlineStr">
        <is>
          <t>Personal</t>
        </is>
      </c>
      <c r="L717" s="25" t="n">
        <v>0.55</v>
      </c>
      <c r="M717" s="38" t="inlineStr">
        <is>
          <t>N/A</t>
        </is>
      </c>
    </row>
    <row r="718">
      <c r="A718" s="37" t="n">
        <v>45357</v>
      </c>
      <c r="B718" s="38" t="inlineStr">
        <is>
          <t>UPIOUT/406611597260/Q07483153@ybl/Sent via
J/5813</t>
        </is>
      </c>
      <c r="C718" s="38" t="inlineStr"/>
      <c r="D718" s="37" t="n">
        <v>45357</v>
      </c>
      <c r="E718" s="38" t="n">
        <v>290</v>
      </c>
      <c r="F718" s="38" t="n">
        <v>0</v>
      </c>
      <c r="G718" s="38" t="n">
        <v>14336.55</v>
      </c>
      <c r="H718" s="38" t="inlineStr"/>
      <c r="I718" s="38" t="inlineStr"/>
      <c r="J718" s="38" t="inlineStr">
        <is>
          <t>UPI Payment</t>
        </is>
      </c>
      <c r="K718" s="38" t="inlineStr">
        <is>
          <t>Personal</t>
        </is>
      </c>
      <c r="L718" s="25" t="n">
        <v>0.55</v>
      </c>
      <c r="M718" s="38" t="inlineStr">
        <is>
          <t>N/A</t>
        </is>
      </c>
    </row>
    <row r="719">
      <c r="A719" s="37" t="n">
        <v>45357</v>
      </c>
      <c r="B719" s="38" t="inlineStr">
        <is>
          <t>UPIOUT/406612066664/Q248421440@ybl/Sent
via /5812</t>
        </is>
      </c>
      <c r="C719" s="38" t="inlineStr"/>
      <c r="D719" s="37" t="n">
        <v>45357</v>
      </c>
      <c r="E719" s="38" t="n">
        <v>35</v>
      </c>
      <c r="F719" s="38" t="n">
        <v>0</v>
      </c>
      <c r="G719" s="38" t="n">
        <v>14301.55</v>
      </c>
      <c r="H719" s="38" t="inlineStr"/>
      <c r="I719" s="38" t="inlineStr"/>
      <c r="J719" s="38" t="inlineStr">
        <is>
          <t>UPI Payment</t>
        </is>
      </c>
      <c r="K719" s="38" t="inlineStr">
        <is>
          <t>Personal</t>
        </is>
      </c>
      <c r="L719" s="25" t="n">
        <v>0.55</v>
      </c>
      <c r="M719" s="38" t="inlineStr">
        <is>
          <t>N/A</t>
        </is>
      </c>
    </row>
    <row r="720">
      <c r="A720" s="99" t="n">
        <v>45357</v>
      </c>
      <c r="B720" s="100" t="inlineStr">
        <is>
          <t>UPIOUT/406612766804/zomatoonlineorder.rzp@
ic/5811</t>
        </is>
      </c>
      <c r="C720" s="100" t="inlineStr"/>
      <c r="D720" s="99" t="n">
        <v>45357</v>
      </c>
      <c r="E720" s="100" t="n">
        <v>183.7</v>
      </c>
      <c r="F720" s="100" t="n">
        <v>0</v>
      </c>
      <c r="G720" s="100" t="n">
        <v>14117.85</v>
      </c>
      <c r="H720" s="100" t="inlineStr"/>
      <c r="I720" s="100" t="inlineStr"/>
      <c r="J720" s="100" t="inlineStr">
        <is>
          <t>UPI - Zomato</t>
        </is>
      </c>
      <c r="K720" s="100" t="inlineStr">
        <is>
          <t>Food &amp; Dining</t>
        </is>
      </c>
      <c r="L720" s="34" t="n">
        <v>0.68</v>
      </c>
      <c r="M720" s="100" t="inlineStr">
        <is>
          <t>N/A</t>
        </is>
      </c>
    </row>
    <row r="721">
      <c r="A721" s="35" t="n">
        <v>45358</v>
      </c>
      <c r="B721" s="36" t="inlineStr">
        <is>
          <t>UPIOUT/406793215766/paytm-14464838@paytm/U
PI/5812</t>
        </is>
      </c>
      <c r="C721" s="36" t="inlineStr"/>
      <c r="D721" s="35" t="n">
        <v>45358</v>
      </c>
      <c r="E721" s="36" t="n">
        <v>60</v>
      </c>
      <c r="F721" s="36" t="n">
        <v>0</v>
      </c>
      <c r="G721" s="36" t="n">
        <v>14057.85</v>
      </c>
      <c r="H721" s="36" t="inlineStr"/>
      <c r="I721" s="36" t="inlineStr"/>
      <c r="J721" s="36" t="inlineStr">
        <is>
          <t>UPI - Paytm</t>
        </is>
      </c>
      <c r="K721" s="36" t="inlineStr">
        <is>
          <t>Personal</t>
        </is>
      </c>
      <c r="L721" s="34" t="n">
        <v>0.65</v>
      </c>
      <c r="M721" s="36" t="inlineStr">
        <is>
          <t>N/A</t>
        </is>
      </c>
    </row>
    <row r="722">
      <c r="A722" s="37" t="n">
        <v>45358</v>
      </c>
      <c r="B722" s="38" t="inlineStr">
        <is>
          <t>UPIOUT/406719333882/Q80015469@ybl/Sent via
J/5813</t>
        </is>
      </c>
      <c r="C722" s="38" t="inlineStr"/>
      <c r="D722" s="37" t="n">
        <v>45358</v>
      </c>
      <c r="E722" s="38" t="n">
        <v>353</v>
      </c>
      <c r="F722" s="38" t="n">
        <v>0</v>
      </c>
      <c r="G722" s="38" t="n">
        <v>13704.85</v>
      </c>
      <c r="H722" s="38" t="inlineStr"/>
      <c r="I722" s="38" t="inlineStr"/>
      <c r="J722" s="38" t="inlineStr">
        <is>
          <t>UPI Payment</t>
        </is>
      </c>
      <c r="K722" s="38" t="inlineStr">
        <is>
          <t>Personal</t>
        </is>
      </c>
      <c r="L722" s="25" t="n">
        <v>0.55</v>
      </c>
      <c r="M722" s="38" t="inlineStr">
        <is>
          <t>N/A</t>
        </is>
      </c>
    </row>
    <row r="723">
      <c r="A723" s="37" t="n">
        <v>45358</v>
      </c>
      <c r="B723" s="38" t="inlineStr">
        <is>
          <t>UPIOUT/406720249162/Q248421440@ybl/Sent
via /5812</t>
        </is>
      </c>
      <c r="C723" s="38" t="inlineStr"/>
      <c r="D723" s="37" t="n">
        <v>45358</v>
      </c>
      <c r="E723" s="38" t="n">
        <v>40</v>
      </c>
      <c r="F723" s="38" t="n">
        <v>0</v>
      </c>
      <c r="G723" s="38" t="n">
        <v>13664.85</v>
      </c>
      <c r="H723" s="38" t="inlineStr"/>
      <c r="I723" s="38" t="inlineStr"/>
      <c r="J723" s="38" t="inlineStr">
        <is>
          <t>UPI Payment</t>
        </is>
      </c>
      <c r="K723" s="38" t="inlineStr">
        <is>
          <t>Personal</t>
        </is>
      </c>
      <c r="L723" s="25" t="n">
        <v>0.55</v>
      </c>
      <c r="M723" s="38" t="inlineStr">
        <is>
          <t>N/A</t>
        </is>
      </c>
    </row>
    <row r="724">
      <c r="A724" s="37" t="n">
        <v>45358</v>
      </c>
      <c r="B724" s="38" t="inlineStr">
        <is>
          <t>UPIOUT/406773167734/airtel66.payu@icici/UP
II/4812</t>
        </is>
      </c>
      <c r="C724" s="38" t="inlineStr"/>
      <c r="D724" s="37" t="n">
        <v>45358</v>
      </c>
      <c r="E724" s="38" t="n">
        <v>301</v>
      </c>
      <c r="F724" s="38" t="n">
        <v>0</v>
      </c>
      <c r="G724" s="38" t="n">
        <v>13363.85</v>
      </c>
      <c r="H724" s="38" t="inlineStr"/>
      <c r="I724" s="38" t="inlineStr"/>
      <c r="J724" s="38" t="inlineStr">
        <is>
          <t>UPI Payment</t>
        </is>
      </c>
      <c r="K724" s="38" t="inlineStr">
        <is>
          <t>Personal</t>
        </is>
      </c>
      <c r="L724" s="25" t="n">
        <v>0.55</v>
      </c>
      <c r="M724" s="38" t="inlineStr">
        <is>
          <t>N/A</t>
        </is>
      </c>
    </row>
    <row r="725">
      <c r="A725" s="99" t="n">
        <v>45358</v>
      </c>
      <c r="B725" s="100" t="inlineStr">
        <is>
          <t>UPIOUT/406720780563/zomato-
order@paytm/Zomat/5812</t>
        </is>
      </c>
      <c r="C725" s="100" t="inlineStr"/>
      <c r="D725" s="99" t="n">
        <v>45358</v>
      </c>
      <c r="E725" s="100" t="n">
        <v>354.42</v>
      </c>
      <c r="F725" s="100" t="n">
        <v>0</v>
      </c>
      <c r="G725" s="100" t="n">
        <v>13009.43</v>
      </c>
      <c r="H725" s="100" t="inlineStr"/>
      <c r="I725" s="100" t="inlineStr"/>
      <c r="J725" s="100" t="inlineStr">
        <is>
          <t>UPI - Zomato</t>
        </is>
      </c>
      <c r="K725" s="100" t="inlineStr">
        <is>
          <t>Food &amp; Dining</t>
        </is>
      </c>
      <c r="L725" s="34" t="n">
        <v>0.68</v>
      </c>
      <c r="M725" s="100" t="inlineStr">
        <is>
          <t>N/A</t>
        </is>
      </c>
    </row>
    <row r="726">
      <c r="A726" s="35" t="n">
        <v>45359</v>
      </c>
      <c r="B726" s="36" t="inlineStr">
        <is>
          <t>UPIOUT/406822431591/paytmqr1gs01dt6zx@payt
m//5812</t>
        </is>
      </c>
      <c r="C726" s="36" t="inlineStr"/>
      <c r="D726" s="35" t="n">
        <v>45359</v>
      </c>
      <c r="E726" s="36" t="n">
        <v>50</v>
      </c>
      <c r="F726" s="36" t="n">
        <v>0</v>
      </c>
      <c r="G726" s="36" t="n">
        <v>12959.43</v>
      </c>
      <c r="H726" s="36" t="inlineStr"/>
      <c r="I726" s="36" t="inlineStr"/>
      <c r="J726" s="36" t="inlineStr">
        <is>
          <t>UPI - Paytm</t>
        </is>
      </c>
      <c r="K726" s="36" t="inlineStr">
        <is>
          <t>Personal</t>
        </is>
      </c>
      <c r="L726" s="34" t="n">
        <v>0.65</v>
      </c>
      <c r="M726" s="36" t="inlineStr">
        <is>
          <t>N/A</t>
        </is>
      </c>
    </row>
    <row r="727">
      <c r="A727" s="35" t="n">
        <v>45359</v>
      </c>
      <c r="B727" s="36" t="inlineStr">
        <is>
          <t>UPIOUT/406891710108/paytm-14464838@paytm/U
PI/5812</t>
        </is>
      </c>
      <c r="C727" s="36" t="inlineStr"/>
      <c r="D727" s="35" t="n">
        <v>45359</v>
      </c>
      <c r="E727" s="36" t="n">
        <v>80</v>
      </c>
      <c r="F727" s="36" t="n">
        <v>0</v>
      </c>
      <c r="G727" s="36" t="n">
        <v>12879.43</v>
      </c>
      <c r="H727" s="36" t="inlineStr"/>
      <c r="I727" s="36" t="inlineStr"/>
      <c r="J727" s="36" t="inlineStr">
        <is>
          <t>UPI - Paytm</t>
        </is>
      </c>
      <c r="K727" s="36" t="inlineStr">
        <is>
          <t>Personal</t>
        </is>
      </c>
      <c r="L727" s="34" t="n">
        <v>0.65</v>
      </c>
      <c r="M727" s="36" t="inlineStr">
        <is>
          <t>N/A</t>
        </is>
      </c>
    </row>
    <row r="728">
      <c r="A728" s="99" t="n">
        <v>45359</v>
      </c>
      <c r="B728" s="100" t="inlineStr">
        <is>
          <t>UPIOUT/406824997361/zomatoindia@icici/Payv
ia/5814</t>
        </is>
      </c>
      <c r="C728" s="100" t="inlineStr"/>
      <c r="D728" s="99" t="n">
        <v>45359</v>
      </c>
      <c r="E728" s="100" t="n">
        <v>176.17</v>
      </c>
      <c r="F728" s="100" t="n">
        <v>0</v>
      </c>
      <c r="G728" s="100" t="n">
        <v>12703.26</v>
      </c>
      <c r="H728" s="100" t="inlineStr"/>
      <c r="I728" s="100" t="inlineStr"/>
      <c r="J728" s="100" t="inlineStr">
        <is>
          <t>UPI - Zomato</t>
        </is>
      </c>
      <c r="K728" s="100" t="inlineStr">
        <is>
          <t>Food &amp; Dining</t>
        </is>
      </c>
      <c r="L728" s="34" t="n">
        <v>0.68</v>
      </c>
      <c r="M728" s="100" t="inlineStr">
        <is>
          <t>N/A</t>
        </is>
      </c>
    </row>
    <row r="729">
      <c r="A729" s="99" t="n">
        <v>45359</v>
      </c>
      <c r="B729" s="100" t="inlineStr">
        <is>
          <t>UPIOUT/406826024779/payzomato@hdfcbank/Sen
t /5814</t>
        </is>
      </c>
      <c r="C729" s="100" t="inlineStr"/>
      <c r="D729" s="99" t="n">
        <v>45359</v>
      </c>
      <c r="E729" s="100" t="n">
        <v>206.42</v>
      </c>
      <c r="F729" s="100" t="n">
        <v>0</v>
      </c>
      <c r="G729" s="100" t="n">
        <v>12496.84</v>
      </c>
      <c r="H729" s="100" t="inlineStr"/>
      <c r="I729" s="100" t="inlineStr"/>
      <c r="J729" s="100" t="inlineStr">
        <is>
          <t>UPI - Zomato</t>
        </is>
      </c>
      <c r="K729" s="100" t="inlineStr">
        <is>
          <t>Food &amp; Dining</t>
        </is>
      </c>
      <c r="L729" s="34" t="n">
        <v>0.68</v>
      </c>
      <c r="M729" s="100" t="inlineStr">
        <is>
          <t>N/A</t>
        </is>
      </c>
    </row>
    <row r="730">
      <c r="A730" s="35" t="n">
        <v>45360</v>
      </c>
      <c r="B730" s="36" t="inlineStr">
        <is>
          <t>UPIOUT/406927171652/paytmqr13tn390hmf@payt
m//5812</t>
        </is>
      </c>
      <c r="C730" s="36" t="inlineStr"/>
      <c r="D730" s="35" t="n">
        <v>45360</v>
      </c>
      <c r="E730" s="36" t="n">
        <v>56</v>
      </c>
      <c r="F730" s="36" t="n">
        <v>0</v>
      </c>
      <c r="G730" s="36" t="n">
        <v>12440.84</v>
      </c>
      <c r="H730" s="36" t="inlineStr"/>
      <c r="I730" s="36" t="inlineStr"/>
      <c r="J730" s="36" t="inlineStr">
        <is>
          <t>UPI - Paytm</t>
        </is>
      </c>
      <c r="K730" s="36" t="inlineStr">
        <is>
          <t>Personal</t>
        </is>
      </c>
      <c r="L730" s="34" t="n">
        <v>0.65</v>
      </c>
      <c r="M730" s="36" t="inlineStr">
        <is>
          <t>N/A</t>
        </is>
      </c>
    </row>
    <row r="731">
      <c r="A731" s="99" t="n">
        <v>45360</v>
      </c>
      <c r="B731" s="100" t="inlineStr">
        <is>
          <t>UPIOUT/406928270847/zomato4.payu@icici/UPI
In/5411</t>
        </is>
      </c>
      <c r="C731" s="100" t="inlineStr"/>
      <c r="D731" s="99" t="n">
        <v>45360</v>
      </c>
      <c r="E731" s="100" t="n">
        <v>406.75</v>
      </c>
      <c r="F731" s="100" t="n">
        <v>0</v>
      </c>
      <c r="G731" s="100" t="n">
        <v>12034.09</v>
      </c>
      <c r="H731" s="100" t="inlineStr"/>
      <c r="I731" s="100" t="inlineStr"/>
      <c r="J731" s="100" t="inlineStr">
        <is>
          <t>UPI - Zomato</t>
        </is>
      </c>
      <c r="K731" s="100" t="inlineStr">
        <is>
          <t>Food &amp; Dining</t>
        </is>
      </c>
      <c r="L731" s="34" t="n">
        <v>0.68</v>
      </c>
      <c r="M731" s="100" t="inlineStr">
        <is>
          <t>N/A</t>
        </is>
      </c>
    </row>
    <row r="732">
      <c r="A732" s="37" t="n">
        <v>45360</v>
      </c>
      <c r="B732" s="38" t="inlineStr">
        <is>
          <t>UPIOUT/406928612130/Q75895864@ybl/Sent via
J/5813</t>
        </is>
      </c>
      <c r="C732" s="38" t="inlineStr"/>
      <c r="D732" s="37" t="n">
        <v>45360</v>
      </c>
      <c r="E732" s="38" t="n">
        <v>201</v>
      </c>
      <c r="F732" s="38" t="n">
        <v>0</v>
      </c>
      <c r="G732" s="38" t="n">
        <v>11833.09</v>
      </c>
      <c r="H732" s="38" t="inlineStr"/>
      <c r="I732" s="38" t="inlineStr"/>
      <c r="J732" s="38" t="inlineStr">
        <is>
          <t>UPI Payment</t>
        </is>
      </c>
      <c r="K732" s="38" t="inlineStr">
        <is>
          <t>Personal</t>
        </is>
      </c>
      <c r="L732" s="25" t="n">
        <v>0.55</v>
      </c>
      <c r="M732" s="38" t="inlineStr">
        <is>
          <t>N/A</t>
        </is>
      </c>
    </row>
    <row r="733">
      <c r="A733" s="37" t="n">
        <v>45360</v>
      </c>
      <c r="B733" s="38" t="inlineStr">
        <is>
          <t>UPIOUT/406929595818/qnendo126-1@oksbi/Sent
v/0000</t>
        </is>
      </c>
      <c r="C733" s="38" t="inlineStr"/>
      <c r="D733" s="37" t="n">
        <v>45360</v>
      </c>
      <c r="E733" s="38" t="n">
        <v>53</v>
      </c>
      <c r="F733" s="38" t="n">
        <v>0</v>
      </c>
      <c r="G733" s="38" t="n">
        <v>11780.09</v>
      </c>
      <c r="H733" s="38" t="inlineStr"/>
      <c r="I733" s="38" t="inlineStr"/>
      <c r="J733" s="38" t="inlineStr">
        <is>
          <t>UPI Payment</t>
        </is>
      </c>
      <c r="K733" s="38" t="inlineStr">
        <is>
          <t>Personal</t>
        </is>
      </c>
      <c r="L733" s="25" t="n">
        <v>0.55</v>
      </c>
      <c r="M733" s="38" t="inlineStr">
        <is>
          <t>N/A</t>
        </is>
      </c>
    </row>
    <row r="734">
      <c r="A734" s="37" t="n">
        <v>45360</v>
      </c>
      <c r="B734" s="38" t="inlineStr">
        <is>
          <t>UPIOUT/406930029598/westside.42529089@hdfc
ba/5699</t>
        </is>
      </c>
      <c r="C734" s="38" t="inlineStr"/>
      <c r="D734" s="37" t="n">
        <v>45360</v>
      </c>
      <c r="E734" s="38" t="n">
        <v>2904</v>
      </c>
      <c r="F734" s="38" t="n">
        <v>0</v>
      </c>
      <c r="G734" s="38" t="n">
        <v>8876.09</v>
      </c>
      <c r="H734" s="38" t="inlineStr"/>
      <c r="I734" s="38" t="inlineStr"/>
      <c r="J734" s="38" t="inlineStr">
        <is>
          <t>UPI Payment</t>
        </is>
      </c>
      <c r="K734" s="38" t="inlineStr">
        <is>
          <t>Personal</t>
        </is>
      </c>
      <c r="L734" s="25" t="n">
        <v>0.55</v>
      </c>
      <c r="M734" s="38" t="inlineStr">
        <is>
          <t>N/A</t>
        </is>
      </c>
    </row>
    <row r="735">
      <c r="A735" s="35" t="n">
        <v>45360</v>
      </c>
      <c r="B735" s="36" t="inlineStr">
        <is>
          <t>UPIOUT/406930130208/paytm-76881028@paytm/S
en/4121</t>
        </is>
      </c>
      <c r="C735" s="36" t="inlineStr"/>
      <c r="D735" s="35" t="n">
        <v>45360</v>
      </c>
      <c r="E735" s="36" t="n">
        <v>41</v>
      </c>
      <c r="F735" s="36" t="n">
        <v>0</v>
      </c>
      <c r="G735" s="36" t="n">
        <v>8835.09</v>
      </c>
      <c r="H735" s="36" t="inlineStr"/>
      <c r="I735" s="36" t="inlineStr"/>
      <c r="J735" s="36" t="inlineStr">
        <is>
          <t>UPI - Paytm</t>
        </is>
      </c>
      <c r="K735" s="36" t="inlineStr">
        <is>
          <t>Personal</t>
        </is>
      </c>
      <c r="L735" s="34" t="n">
        <v>0.65</v>
      </c>
      <c r="M735" s="36" t="inlineStr">
        <is>
          <t>N/A</t>
        </is>
      </c>
    </row>
    <row r="736">
      <c r="A736" s="35" t="n">
        <v>45360</v>
      </c>
      <c r="B736" s="36" t="inlineStr">
        <is>
          <t>UPIOUT/406930454809/paytmqr2810050501011if
wv/5411</t>
        </is>
      </c>
      <c r="C736" s="36" t="inlineStr"/>
      <c r="D736" s="35" t="n">
        <v>45360</v>
      </c>
      <c r="E736" s="36" t="n">
        <v>635</v>
      </c>
      <c r="F736" s="36" t="n">
        <v>0</v>
      </c>
      <c r="G736" s="36" t="n">
        <v>8200.09</v>
      </c>
      <c r="H736" s="36" t="inlineStr"/>
      <c r="I736" s="36" t="inlineStr"/>
      <c r="J736" s="36" t="inlineStr">
        <is>
          <t>UPI - Paytm</t>
        </is>
      </c>
      <c r="K736" s="36" t="inlineStr">
        <is>
          <t>Personal</t>
        </is>
      </c>
      <c r="L736" s="34" t="n">
        <v>0.65</v>
      </c>
      <c r="M736" s="36" t="inlineStr">
        <is>
          <t>N/A</t>
        </is>
      </c>
    </row>
    <row r="737">
      <c r="A737" s="35" t="n">
        <v>45360</v>
      </c>
      <c r="B737" s="36" t="inlineStr">
        <is>
          <t>UPIOUT/406930540309/paytmqr158p3xx8vj@payt
m//5814</t>
        </is>
      </c>
      <c r="C737" s="36" t="inlineStr"/>
      <c r="D737" s="35" t="n">
        <v>45360</v>
      </c>
      <c r="E737" s="36" t="n">
        <v>35</v>
      </c>
      <c r="F737" s="36" t="n">
        <v>0</v>
      </c>
      <c r="G737" s="36" t="n">
        <v>8165.09</v>
      </c>
      <c r="H737" s="36" t="inlineStr"/>
      <c r="I737" s="36" t="inlineStr"/>
      <c r="J737" s="36" t="inlineStr">
        <is>
          <t>UPI - Paytm</t>
        </is>
      </c>
      <c r="K737" s="36" t="inlineStr">
        <is>
          <t>Personal</t>
        </is>
      </c>
      <c r="L737" s="34" t="n">
        <v>0.65</v>
      </c>
      <c r="M737" s="36" t="inlineStr">
        <is>
          <t>N/A</t>
        </is>
      </c>
    </row>
    <row r="738">
      <c r="A738" s="99" t="n">
        <v>45360</v>
      </c>
      <c r="B738" s="100" t="inlineStr">
        <is>
          <t>UPIOUT/406930580891/zomato1paytm@hdfcbank/
Zo/5814</t>
        </is>
      </c>
      <c r="C738" s="100" t="inlineStr"/>
      <c r="D738" s="99" t="n">
        <v>45360</v>
      </c>
      <c r="E738" s="100" t="n">
        <v>292.07</v>
      </c>
      <c r="F738" s="100" t="n">
        <v>0</v>
      </c>
      <c r="G738" s="100" t="n">
        <v>7873.02</v>
      </c>
      <c r="H738" s="100" t="inlineStr"/>
      <c r="I738" s="100" t="inlineStr"/>
      <c r="J738" s="100" t="inlineStr">
        <is>
          <t>UPI - Zomato</t>
        </is>
      </c>
      <c r="K738" s="100" t="inlineStr">
        <is>
          <t>Food &amp; Dining</t>
        </is>
      </c>
      <c r="L738" s="34" t="n">
        <v>0.68</v>
      </c>
      <c r="M738" s="100" t="inlineStr">
        <is>
          <t>N/A</t>
        </is>
      </c>
    </row>
    <row r="739">
      <c r="A739" s="35" t="n">
        <v>45361</v>
      </c>
      <c r="B739" s="36" t="inlineStr">
        <is>
          <t>UPIOUT/407032697581/paytmqr1hw4xx85bm@payt
m//5812</t>
        </is>
      </c>
      <c r="C739" s="36" t="inlineStr"/>
      <c r="D739" s="35" t="n">
        <v>45361</v>
      </c>
      <c r="E739" s="36" t="n">
        <v>10</v>
      </c>
      <c r="F739" s="36" t="n">
        <v>0</v>
      </c>
      <c r="G739" s="36" t="n">
        <v>7863.02</v>
      </c>
      <c r="H739" s="36" t="inlineStr"/>
      <c r="I739" s="36" t="inlineStr"/>
      <c r="J739" s="36" t="inlineStr">
        <is>
          <t>UPI - Paytm</t>
        </is>
      </c>
      <c r="K739" s="36" t="inlineStr">
        <is>
          <t>Personal</t>
        </is>
      </c>
      <c r="L739" s="34" t="n">
        <v>0.65</v>
      </c>
      <c r="M739" s="36" t="inlineStr">
        <is>
          <t>N/A</t>
        </is>
      </c>
    </row>
    <row r="740">
      <c r="A740" s="37" t="n">
        <v>45361</v>
      </c>
      <c r="B740" s="38" t="inlineStr">
        <is>
          <t>UPIOUT/407033267925/maheshadhi1992@okhdfcb
an/0000</t>
        </is>
      </c>
      <c r="C740" s="38" t="inlineStr"/>
      <c r="D740" s="37" t="n">
        <v>45361</v>
      </c>
      <c r="E740" s="38" t="n">
        <v>105</v>
      </c>
      <c r="F740" s="38" t="n">
        <v>0</v>
      </c>
      <c r="G740" s="38" t="n">
        <v>7758.02</v>
      </c>
      <c r="H740" s="38" t="inlineStr"/>
      <c r="I740" s="38" t="inlineStr"/>
      <c r="J740" s="38" t="inlineStr">
        <is>
          <t>UPI Payment</t>
        </is>
      </c>
      <c r="K740" s="38" t="inlineStr">
        <is>
          <t>Personal</t>
        </is>
      </c>
      <c r="L740" s="25" t="n">
        <v>0.55</v>
      </c>
      <c r="M740" s="38" t="inlineStr">
        <is>
          <t>N/A</t>
        </is>
      </c>
    </row>
    <row r="741">
      <c r="A741" s="35" t="n">
        <v>45361</v>
      </c>
      <c r="B741" s="36" t="inlineStr">
        <is>
          <t>UPIOUT/407035079807/paytmqr3zacjjhvyp@payt
m//5462</t>
        </is>
      </c>
      <c r="C741" s="36" t="inlineStr"/>
      <c r="D741" s="35" t="n">
        <v>45361</v>
      </c>
      <c r="E741" s="36" t="n">
        <v>10</v>
      </c>
      <c r="F741" s="36" t="n">
        <v>0</v>
      </c>
      <c r="G741" s="36" t="n">
        <v>7748.02</v>
      </c>
      <c r="H741" s="36" t="inlineStr"/>
      <c r="I741" s="36" t="inlineStr"/>
      <c r="J741" s="36" t="inlineStr">
        <is>
          <t>UPI - Paytm</t>
        </is>
      </c>
      <c r="K741" s="36" t="inlineStr">
        <is>
          <t>Personal</t>
        </is>
      </c>
      <c r="L741" s="34" t="n">
        <v>0.65</v>
      </c>
      <c r="M741" s="36" t="inlineStr">
        <is>
          <t>N/A</t>
        </is>
      </c>
    </row>
    <row r="742">
      <c r="A742" s="21" t="n">
        <v>45361</v>
      </c>
      <c r="B742" s="22" t="inlineStr">
        <is>
          <t>UPIOUT/407035339327/rapido.rzp@icici/Payme
nt/4121</t>
        </is>
      </c>
      <c r="C742" s="22" t="inlineStr"/>
      <c r="D742" s="21" t="n">
        <v>45361</v>
      </c>
      <c r="E742" s="22" t="n">
        <v>41</v>
      </c>
      <c r="F742" s="22" t="n">
        <v>0</v>
      </c>
      <c r="G742" s="22" t="n">
        <v>7707.02</v>
      </c>
      <c r="H742" s="22" t="inlineStr"/>
      <c r="I742" s="22" t="inlineStr"/>
      <c r="J742" s="22" t="inlineStr">
        <is>
          <t>UPI - Rapido</t>
        </is>
      </c>
      <c r="K742" s="22" t="inlineStr">
        <is>
          <t>Transport</t>
        </is>
      </c>
      <c r="L742" s="34" t="n">
        <v>0.68</v>
      </c>
      <c r="M742" s="22" t="inlineStr">
        <is>
          <t>N/A</t>
        </is>
      </c>
    </row>
    <row r="743">
      <c r="A743" s="37" t="n">
        <v>45361</v>
      </c>
      <c r="B743" s="38" t="inlineStr">
        <is>
          <t>UPIOUT/407035573732/9880305563@okbizaxis/S
en/7221</t>
        </is>
      </c>
      <c r="C743" s="38" t="inlineStr"/>
      <c r="D743" s="37" t="n">
        <v>45361</v>
      </c>
      <c r="E743" s="38" t="n">
        <v>600</v>
      </c>
      <c r="F743" s="38" t="n">
        <v>0</v>
      </c>
      <c r="G743" s="38" t="n">
        <v>7107.02</v>
      </c>
      <c r="H743" s="38" t="inlineStr"/>
      <c r="I743" s="38" t="inlineStr"/>
      <c r="J743" s="38" t="inlineStr">
        <is>
          <t>UPI Payment</t>
        </is>
      </c>
      <c r="K743" s="38" t="inlineStr">
        <is>
          <t>Personal</t>
        </is>
      </c>
      <c r="L743" s="25" t="n">
        <v>0.55</v>
      </c>
      <c r="M743" s="38" t="inlineStr">
        <is>
          <t>N/A</t>
        </is>
      </c>
    </row>
    <row r="744">
      <c r="A744" s="35" t="n">
        <v>45361</v>
      </c>
      <c r="B744" s="36" t="inlineStr">
        <is>
          <t>UPIOUT/407035805226/paytmqr158p3xx8vj@payt
m//5814</t>
        </is>
      </c>
      <c r="C744" s="36" t="inlineStr"/>
      <c r="D744" s="35" t="n">
        <v>45361</v>
      </c>
      <c r="E744" s="36" t="n">
        <v>105</v>
      </c>
      <c r="F744" s="36" t="n">
        <v>0</v>
      </c>
      <c r="G744" s="36" t="n">
        <v>7002.02</v>
      </c>
      <c r="H744" s="36" t="inlineStr"/>
      <c r="I744" s="36" t="inlineStr"/>
      <c r="J744" s="36" t="inlineStr">
        <is>
          <t>UPI - Paytm</t>
        </is>
      </c>
      <c r="K744" s="36" t="inlineStr">
        <is>
          <t>Personal</t>
        </is>
      </c>
      <c r="L744" s="34" t="n">
        <v>0.65</v>
      </c>
      <c r="M744" s="36" t="inlineStr">
        <is>
          <t>N/A</t>
        </is>
      </c>
    </row>
    <row r="745">
      <c r="A745" s="99" t="n">
        <v>45361</v>
      </c>
      <c r="B745" s="100" t="inlineStr">
        <is>
          <t>UPIOUT/407036445165/payzomato@hdfcbank/Sen
t /5814</t>
        </is>
      </c>
      <c r="C745" s="100" t="inlineStr"/>
      <c r="D745" s="99" t="n">
        <v>45361</v>
      </c>
      <c r="E745" s="100" t="n">
        <v>506.17</v>
      </c>
      <c r="F745" s="100" t="n">
        <v>0</v>
      </c>
      <c r="G745" s="100" t="n">
        <v>6495.85</v>
      </c>
      <c r="H745" s="100" t="inlineStr"/>
      <c r="I745" s="100" t="inlineStr"/>
      <c r="J745" s="100" t="inlineStr">
        <is>
          <t>UPI - Zomato</t>
        </is>
      </c>
      <c r="K745" s="100" t="inlineStr">
        <is>
          <t>Food &amp; Dining</t>
        </is>
      </c>
      <c r="L745" s="34" t="n">
        <v>0.68</v>
      </c>
      <c r="M745" s="100" t="inlineStr">
        <is>
          <t>N/A</t>
        </is>
      </c>
    </row>
    <row r="746">
      <c r="A746" s="35" t="n">
        <v>45362</v>
      </c>
      <c r="B746" s="36" t="inlineStr">
        <is>
          <t>UPIOUT/407103347338/paytm-14464838@paytm/U
PI/5812</t>
        </is>
      </c>
      <c r="C746" s="36" t="inlineStr"/>
      <c r="D746" s="35" t="n">
        <v>45362</v>
      </c>
      <c r="E746" s="36" t="n">
        <v>60</v>
      </c>
      <c r="F746" s="36" t="n">
        <v>0</v>
      </c>
      <c r="G746" s="36" t="n">
        <v>6435.85</v>
      </c>
      <c r="H746" s="36" t="inlineStr"/>
      <c r="I746" s="36" t="inlineStr"/>
      <c r="J746" s="36" t="inlineStr">
        <is>
          <t>UPI - Paytm</t>
        </is>
      </c>
      <c r="K746" s="36" t="inlineStr">
        <is>
          <t>Personal</t>
        </is>
      </c>
      <c r="L746" s="34" t="n">
        <v>0.65</v>
      </c>
      <c r="M746" s="36" t="inlineStr">
        <is>
          <t>N/A</t>
        </is>
      </c>
    </row>
    <row r="747">
      <c r="A747" s="37" t="n">
        <v>45362</v>
      </c>
      <c r="B747" s="38" t="inlineStr">
        <is>
          <t>UPIOUT/407142083986/Vyapar.168072300538@hd
fc/5812</t>
        </is>
      </c>
      <c r="C747" s="38" t="inlineStr"/>
      <c r="D747" s="37" t="n">
        <v>45362</v>
      </c>
      <c r="E747" s="38" t="n">
        <v>90</v>
      </c>
      <c r="F747" s="38" t="n">
        <v>0</v>
      </c>
      <c r="G747" s="38" t="n">
        <v>6345.85</v>
      </c>
      <c r="H747" s="38" t="inlineStr"/>
      <c r="I747" s="38" t="inlineStr"/>
      <c r="J747" s="38" t="inlineStr">
        <is>
          <t>UPI Payment</t>
        </is>
      </c>
      <c r="K747" s="38" t="inlineStr">
        <is>
          <t>Personal</t>
        </is>
      </c>
      <c r="L747" s="25" t="n">
        <v>0.55</v>
      </c>
      <c r="M747" s="38" t="inlineStr">
        <is>
          <t>N/A</t>
        </is>
      </c>
    </row>
    <row r="748">
      <c r="A748" s="35" t="n">
        <v>45362</v>
      </c>
      <c r="B748" s="36" t="inlineStr">
        <is>
          <t>UPIOUT/407142262140/paytmqr281005050101ql6
bn/5411</t>
        </is>
      </c>
      <c r="C748" s="36" t="inlineStr"/>
      <c r="D748" s="35" t="n">
        <v>45362</v>
      </c>
      <c r="E748" s="36" t="n">
        <v>27</v>
      </c>
      <c r="F748" s="36" t="n">
        <v>0</v>
      </c>
      <c r="G748" s="36" t="n">
        <v>6318.85</v>
      </c>
      <c r="H748" s="36" t="inlineStr"/>
      <c r="I748" s="36" t="inlineStr"/>
      <c r="J748" s="36" t="inlineStr">
        <is>
          <t>UPI - Paytm</t>
        </is>
      </c>
      <c r="K748" s="36" t="inlineStr">
        <is>
          <t>Personal</t>
        </is>
      </c>
      <c r="L748" s="34" t="n">
        <v>0.65</v>
      </c>
      <c r="M748" s="36" t="inlineStr">
        <is>
          <t>N/A</t>
        </is>
      </c>
    </row>
    <row r="749">
      <c r="A749" s="41" t="n">
        <v>45362</v>
      </c>
      <c r="B749" s="42" t="inlineStr">
        <is>
          <t>UPIOUT/443744709527/amazonpaygrocery@yapl/
Yo/5411</t>
        </is>
      </c>
      <c r="C749" s="42" t="inlineStr"/>
      <c r="D749" s="41" t="n">
        <v>45362</v>
      </c>
      <c r="E749" s="42" t="n">
        <v>784.1799999999999</v>
      </c>
      <c r="F749" s="42" t="n">
        <v>0</v>
      </c>
      <c r="G749" s="42" t="n">
        <v>5534.67</v>
      </c>
      <c r="H749" s="42" t="inlineStr"/>
      <c r="I749" s="42" t="inlineStr"/>
      <c r="J749" s="42" t="inlineStr">
        <is>
          <t>UPI - Amazon</t>
        </is>
      </c>
      <c r="K749" s="42" t="inlineStr">
        <is>
          <t>Shopping</t>
        </is>
      </c>
      <c r="L749" s="34" t="n">
        <v>0.68</v>
      </c>
      <c r="M749" s="42" t="inlineStr">
        <is>
          <t>N/A</t>
        </is>
      </c>
    </row>
    <row r="750">
      <c r="A750" s="35" t="n">
        <v>45362</v>
      </c>
      <c r="B750" s="36" t="inlineStr">
        <is>
          <t>UPIOUT/407143589992/paytmqr3zacjjhvyp@payt
m//5462</t>
        </is>
      </c>
      <c r="C750" s="36" t="inlineStr"/>
      <c r="D750" s="35" t="n">
        <v>45362</v>
      </c>
      <c r="E750" s="36" t="n">
        <v>40</v>
      </c>
      <c r="F750" s="36" t="n">
        <v>0</v>
      </c>
      <c r="G750" s="36" t="n">
        <v>5494.67</v>
      </c>
      <c r="H750" s="36" t="inlineStr"/>
      <c r="I750" s="36" t="inlineStr"/>
      <c r="J750" s="36" t="inlineStr">
        <is>
          <t>UPI - Paytm</t>
        </is>
      </c>
      <c r="K750" s="36" t="inlineStr">
        <is>
          <t>Personal</t>
        </is>
      </c>
      <c r="L750" s="34" t="n">
        <v>0.65</v>
      </c>
      <c r="M750" s="36" t="inlineStr">
        <is>
          <t>N/A</t>
        </is>
      </c>
    </row>
    <row r="751">
      <c r="A751" s="35" t="n">
        <v>45363</v>
      </c>
      <c r="B751" s="36" t="inlineStr">
        <is>
          <t>UPIOUT/407245055193/paytmqrnyyib5udfr@payt
m//7210</t>
        </is>
      </c>
      <c r="C751" s="36" t="inlineStr"/>
      <c r="D751" s="35" t="n">
        <v>45363</v>
      </c>
      <c r="E751" s="36" t="n">
        <v>10</v>
      </c>
      <c r="F751" s="36" t="n">
        <v>0</v>
      </c>
      <c r="G751" s="36" t="n">
        <v>5484.67</v>
      </c>
      <c r="H751" s="36" t="inlineStr"/>
      <c r="I751" s="36" t="inlineStr"/>
      <c r="J751" s="36" t="inlineStr">
        <is>
          <t>UPI - Paytm</t>
        </is>
      </c>
      <c r="K751" s="36" t="inlineStr">
        <is>
          <t>Personal</t>
        </is>
      </c>
      <c r="L751" s="34" t="n">
        <v>0.65</v>
      </c>
      <c r="M751" s="36" t="inlineStr">
        <is>
          <t>N/A</t>
        </is>
      </c>
    </row>
    <row r="752">
      <c r="A752" s="37" t="n">
        <v>45363</v>
      </c>
      <c r="B752" s="38" t="inlineStr">
        <is>
          <t>UPIOUT/407239347227/toboxventuresprivatel.
pa/5812</t>
        </is>
      </c>
      <c r="C752" s="38" t="inlineStr"/>
      <c r="D752" s="37" t="n">
        <v>45363</v>
      </c>
      <c r="E752" s="38" t="n">
        <v>160</v>
      </c>
      <c r="F752" s="38" t="n">
        <v>0</v>
      </c>
      <c r="G752" s="38" t="n">
        <v>5324.67</v>
      </c>
      <c r="H752" s="38" t="inlineStr"/>
      <c r="I752" s="38" t="inlineStr"/>
      <c r="J752" s="38" t="inlineStr">
        <is>
          <t>UPI Payment</t>
        </is>
      </c>
      <c r="K752" s="38" t="inlineStr">
        <is>
          <t>Personal</t>
        </is>
      </c>
      <c r="L752" s="25" t="n">
        <v>0.55</v>
      </c>
      <c r="M752" s="38" t="inlineStr">
        <is>
          <t>N/A</t>
        </is>
      </c>
    </row>
    <row r="753">
      <c r="A753" s="37" t="n">
        <v>45363</v>
      </c>
      <c r="B753" s="38" t="inlineStr">
        <is>
          <t>UPIOUT/407240772902/toboxventuresprivatel.
pa/5812</t>
        </is>
      </c>
      <c r="C753" s="38" t="inlineStr"/>
      <c r="D753" s="37" t="n">
        <v>45363</v>
      </c>
      <c r="E753" s="38" t="n">
        <v>25</v>
      </c>
      <c r="F753" s="38" t="n">
        <v>0</v>
      </c>
      <c r="G753" s="38" t="n">
        <v>5299.67</v>
      </c>
      <c r="H753" s="38" t="inlineStr"/>
      <c r="I753" s="38" t="inlineStr"/>
      <c r="J753" s="38" t="inlineStr">
        <is>
          <t>UPI Payment</t>
        </is>
      </c>
      <c r="K753" s="38" t="inlineStr">
        <is>
          <t>Personal</t>
        </is>
      </c>
      <c r="L753" s="25" t="n">
        <v>0.55</v>
      </c>
      <c r="M753" s="38" t="inlineStr">
        <is>
          <t>N/A</t>
        </is>
      </c>
    </row>
    <row r="754">
      <c r="A754" s="37" t="n">
        <v>45363</v>
      </c>
      <c r="B754" s="38" t="inlineStr">
        <is>
          <t>UPIOUT/407248838909/TRENTWESTSIDE@ybl/Paym
en/5691</t>
        </is>
      </c>
      <c r="C754" s="38" t="inlineStr"/>
      <c r="D754" s="37" t="n">
        <v>45363</v>
      </c>
      <c r="E754" s="38" t="n">
        <v>300</v>
      </c>
      <c r="F754" s="38" t="n">
        <v>0</v>
      </c>
      <c r="G754" s="38" t="n">
        <v>4999.67</v>
      </c>
      <c r="H754" s="38" t="inlineStr"/>
      <c r="I754" s="38" t="inlineStr"/>
      <c r="J754" s="38" t="inlineStr">
        <is>
          <t>UPI Payment</t>
        </is>
      </c>
      <c r="K754" s="38" t="inlineStr">
        <is>
          <t>Personal</t>
        </is>
      </c>
      <c r="L754" s="25" t="n">
        <v>0.55</v>
      </c>
      <c r="M754" s="38" t="inlineStr">
        <is>
          <t>N/A</t>
        </is>
      </c>
    </row>
    <row r="755">
      <c r="A755" s="37" t="n">
        <v>45363</v>
      </c>
      <c r="B755" s="38" t="inlineStr">
        <is>
          <t>UPIOUT/407248965230/8457962044@ybl/Sent
via /0000</t>
        </is>
      </c>
      <c r="C755" s="38" t="inlineStr"/>
      <c r="D755" s="37" t="n">
        <v>45363</v>
      </c>
      <c r="E755" s="38" t="n">
        <v>43</v>
      </c>
      <c r="F755" s="38" t="n">
        <v>0</v>
      </c>
      <c r="G755" s="38" t="n">
        <v>4956.67</v>
      </c>
      <c r="H755" s="38" t="inlineStr"/>
      <c r="I755" s="38" t="inlineStr"/>
      <c r="J755" s="38" t="inlineStr">
        <is>
          <t>UPI Payment</t>
        </is>
      </c>
      <c r="K755" s="38" t="inlineStr">
        <is>
          <t>Personal</t>
        </is>
      </c>
      <c r="L755" s="25" t="n">
        <v>0.55</v>
      </c>
      <c r="M755" s="38" t="inlineStr">
        <is>
          <t>N/A</t>
        </is>
      </c>
    </row>
    <row r="756">
      <c r="A756" s="37" t="n">
        <v>45363</v>
      </c>
      <c r="B756" s="38" t="inlineStr">
        <is>
          <t>UPIOUT/407253791097/q248421440@ybl/UPI/581
2</t>
        </is>
      </c>
      <c r="C756" s="38" t="inlineStr"/>
      <c r="D756" s="37" t="n">
        <v>45363</v>
      </c>
      <c r="E756" s="38" t="n">
        <v>35</v>
      </c>
      <c r="F756" s="38" t="n">
        <v>0</v>
      </c>
      <c r="G756" s="38" t="n">
        <v>4921.67</v>
      </c>
      <c r="H756" s="38" t="inlineStr"/>
      <c r="I756" s="38" t="inlineStr"/>
      <c r="J756" s="38" t="inlineStr">
        <is>
          <t>UPI Payment</t>
        </is>
      </c>
      <c r="K756" s="38" t="inlineStr">
        <is>
          <t>Personal</t>
        </is>
      </c>
      <c r="L756" s="25" t="n">
        <v>0.55</v>
      </c>
      <c r="M756" s="38" t="inlineStr">
        <is>
          <t>N/A</t>
        </is>
      </c>
    </row>
    <row r="757">
      <c r="A757" s="35" t="n">
        <v>45363</v>
      </c>
      <c r="B757" s="36" t="inlineStr">
        <is>
          <t>UPIOUT/407249646306/paytmqr110em392r1@payt
m//5462</t>
        </is>
      </c>
      <c r="C757" s="36" t="inlineStr"/>
      <c r="D757" s="35" t="n">
        <v>45363</v>
      </c>
      <c r="E757" s="36" t="n">
        <v>20</v>
      </c>
      <c r="F757" s="36" t="n">
        <v>0</v>
      </c>
      <c r="G757" s="36" t="n">
        <v>4901.67</v>
      </c>
      <c r="H757" s="36" t="inlineStr"/>
      <c r="I757" s="36" t="inlineStr"/>
      <c r="J757" s="36" t="inlineStr">
        <is>
          <t>UPI - Paytm</t>
        </is>
      </c>
      <c r="K757" s="36" t="inlineStr">
        <is>
          <t>Personal</t>
        </is>
      </c>
      <c r="L757" s="34" t="n">
        <v>0.65</v>
      </c>
      <c r="M757" s="36" t="inlineStr">
        <is>
          <t>N/A</t>
        </is>
      </c>
    </row>
    <row r="758">
      <c r="A758" s="37" t="n">
        <v>45364</v>
      </c>
      <c r="B758" s="38" t="inlineStr">
        <is>
          <t>UPIOUT/407355964180/Q780242764@ybl/Sent
via /5814</t>
        </is>
      </c>
      <c r="C758" s="38" t="inlineStr"/>
      <c r="D758" s="37" t="n">
        <v>45364</v>
      </c>
      <c r="E758" s="38" t="n">
        <v>30</v>
      </c>
      <c r="F758" s="38" t="n">
        <v>0</v>
      </c>
      <c r="G758" s="38" t="n">
        <v>4871.67</v>
      </c>
      <c r="H758" s="38" t="inlineStr"/>
      <c r="I758" s="38" t="inlineStr"/>
      <c r="J758" s="38" t="inlineStr">
        <is>
          <t>UPI Payment</t>
        </is>
      </c>
      <c r="K758" s="38" t="inlineStr">
        <is>
          <t>Personal</t>
        </is>
      </c>
      <c r="L758" s="25" t="n">
        <v>0.55</v>
      </c>
      <c r="M758" s="38" t="inlineStr">
        <is>
          <t>N/A</t>
        </is>
      </c>
    </row>
    <row r="759">
      <c r="A759" s="35" t="n">
        <v>45364</v>
      </c>
      <c r="B759" s="36" t="inlineStr">
        <is>
          <t>UPIOUT/407356960767/paytmqr281005050101ql6
bn/5411</t>
        </is>
      </c>
      <c r="C759" s="36" t="inlineStr"/>
      <c r="D759" s="35" t="n">
        <v>45364</v>
      </c>
      <c r="E759" s="36" t="n">
        <v>40</v>
      </c>
      <c r="F759" s="36" t="n">
        <v>0</v>
      </c>
      <c r="G759" s="36" t="n">
        <v>4831.67</v>
      </c>
      <c r="H759" s="36" t="inlineStr"/>
      <c r="I759" s="36" t="inlineStr"/>
      <c r="J759" s="36" t="inlineStr">
        <is>
          <t>UPI - Paytm</t>
        </is>
      </c>
      <c r="K759" s="36" t="inlineStr">
        <is>
          <t>Personal</t>
        </is>
      </c>
      <c r="L759" s="34" t="n">
        <v>0.65</v>
      </c>
      <c r="M759" s="36" t="inlineStr">
        <is>
          <t>N/A</t>
        </is>
      </c>
    </row>
    <row r="760">
      <c r="A760" s="35" t="n">
        <v>45365</v>
      </c>
      <c r="B760" s="36" t="inlineStr">
        <is>
          <t>UPIOUT/407459133092/paytmqrnyyib5udfr@payt
m//7210</t>
        </is>
      </c>
      <c r="C760" s="36" t="inlineStr"/>
      <c r="D760" s="35" t="n">
        <v>45365</v>
      </c>
      <c r="E760" s="36" t="n">
        <v>20</v>
      </c>
      <c r="F760" s="36" t="n">
        <v>0</v>
      </c>
      <c r="G760" s="36" t="n">
        <v>4811.67</v>
      </c>
      <c r="H760" s="36" t="inlineStr"/>
      <c r="I760" s="36" t="inlineStr"/>
      <c r="J760" s="36" t="inlineStr">
        <is>
          <t>UPI - Paytm</t>
        </is>
      </c>
      <c r="K760" s="36" t="inlineStr">
        <is>
          <t>Personal</t>
        </is>
      </c>
      <c r="L760" s="34" t="n">
        <v>0.65</v>
      </c>
      <c r="M760" s="36" t="inlineStr">
        <is>
          <t>N/A</t>
        </is>
      </c>
    </row>
    <row r="761">
      <c r="A761" s="37" t="n">
        <v>45365</v>
      </c>
      <c r="B761" s="38" t="inlineStr">
        <is>
          <t>UPIOUT/407413363619/toboxventuresprivatel.
pa/5812</t>
        </is>
      </c>
      <c r="C761" s="38" t="inlineStr"/>
      <c r="D761" s="37" t="n">
        <v>45365</v>
      </c>
      <c r="E761" s="38" t="n">
        <v>75</v>
      </c>
      <c r="F761" s="38" t="n">
        <v>0</v>
      </c>
      <c r="G761" s="38" t="n">
        <v>4736.67</v>
      </c>
      <c r="H761" s="38" t="inlineStr"/>
      <c r="I761" s="38" t="inlineStr"/>
      <c r="J761" s="38" t="inlineStr">
        <is>
          <t>UPI Payment</t>
        </is>
      </c>
      <c r="K761" s="38" t="inlineStr">
        <is>
          <t>Personal</t>
        </is>
      </c>
      <c r="L761" s="25" t="n">
        <v>0.55</v>
      </c>
      <c r="M761" s="38" t="inlineStr">
        <is>
          <t>N/A</t>
        </is>
      </c>
    </row>
    <row r="762">
      <c r="A762" s="41" t="n">
        <v>45365</v>
      </c>
      <c r="B762" s="42" t="inlineStr">
        <is>
          <t>UPIOUT/407405707015/amazonupi@apl/Request
fr/5262</t>
        </is>
      </c>
      <c r="C762" s="42" t="inlineStr"/>
      <c r="D762" s="41" t="n">
        <v>45365</v>
      </c>
      <c r="E762" s="42" t="n">
        <v>2274</v>
      </c>
      <c r="F762" s="42" t="n">
        <v>0</v>
      </c>
      <c r="G762" s="42" t="n">
        <v>2462.67</v>
      </c>
      <c r="H762" s="42" t="inlineStr"/>
      <c r="I762" s="42" t="inlineStr"/>
      <c r="J762" s="42" t="inlineStr">
        <is>
          <t>UPI - Amazon</t>
        </is>
      </c>
      <c r="K762" s="42" t="inlineStr">
        <is>
          <t>Shopping</t>
        </is>
      </c>
      <c r="L762" s="34" t="n">
        <v>0.68</v>
      </c>
      <c r="M762" s="42" t="inlineStr">
        <is>
          <t>N/A</t>
        </is>
      </c>
    </row>
    <row r="763">
      <c r="A763" s="35" t="n">
        <v>45366</v>
      </c>
      <c r="B763" s="36" t="inlineStr">
        <is>
          <t>UPIOUT/444107705947/paytm-56505013@paytm/O
id/5399</t>
        </is>
      </c>
      <c r="C763" s="36" t="inlineStr"/>
      <c r="D763" s="35" t="n">
        <v>45366</v>
      </c>
      <c r="E763" s="36" t="n">
        <v>2099</v>
      </c>
      <c r="F763" s="36" t="n">
        <v>0</v>
      </c>
      <c r="G763" s="36" t="n">
        <v>363.67</v>
      </c>
      <c r="H763" s="36" t="inlineStr"/>
      <c r="I763" s="36" t="inlineStr"/>
      <c r="J763" s="36" t="inlineStr">
        <is>
          <t>UPI - Paytm</t>
        </is>
      </c>
      <c r="K763" s="36" t="inlineStr">
        <is>
          <t>Personal</t>
        </is>
      </c>
      <c r="L763" s="34" t="n">
        <v>0.65</v>
      </c>
      <c r="M763" s="36" t="inlineStr">
        <is>
          <t>N/A</t>
        </is>
      </c>
    </row>
    <row r="764">
      <c r="A764" s="72" t="n">
        <v>45366</v>
      </c>
      <c r="B764" s="73" t="inlineStr">
        <is>
          <t>UPI IN/407565243537/amazon.refunds@axisban
k//0000</t>
        </is>
      </c>
      <c r="C764" s="73" t="inlineStr"/>
      <c r="D764" s="72" t="n">
        <v>45366</v>
      </c>
      <c r="E764" s="73" t="n">
        <v>0</v>
      </c>
      <c r="F764" s="73" t="n">
        <v>275</v>
      </c>
      <c r="G764" s="73" t="n">
        <v>638.67</v>
      </c>
      <c r="H764" s="73" t="inlineStr"/>
      <c r="I764" s="73" t="inlineStr"/>
      <c r="J764" s="73" t="inlineStr">
        <is>
          <t>Misc Income</t>
        </is>
      </c>
      <c r="K764" s="73" t="inlineStr">
        <is>
          <t>Misc Income</t>
        </is>
      </c>
      <c r="L764" s="34" t="n">
        <v>0.7</v>
      </c>
      <c r="M764" s="73" t="inlineStr">
        <is>
          <t>N/A</t>
        </is>
      </c>
    </row>
    <row r="765">
      <c r="A765" s="87" t="n">
        <v>45366</v>
      </c>
      <c r="B765" s="88" t="inlineStr">
        <is>
          <t>UPI IN/407565255440/9594435259@jupiteraxis
/A/0000</t>
        </is>
      </c>
      <c r="C765" s="88" t="inlineStr"/>
      <c r="D765" s="87" t="n">
        <v>45366</v>
      </c>
      <c r="E765" s="88" t="n">
        <v>0</v>
      </c>
      <c r="F765" s="88" t="n">
        <v>5000</v>
      </c>
      <c r="G765" s="88" t="n">
        <v>5638.67</v>
      </c>
      <c r="H765" s="88" t="inlineStr"/>
      <c r="I765" s="88" t="inlineStr"/>
      <c r="J765" s="88" t="inlineStr">
        <is>
          <t>Contra - Kotak</t>
        </is>
      </c>
      <c r="K765" s="88" t="inlineStr">
        <is>
          <t>KOTAK 0333</t>
        </is>
      </c>
      <c r="L765" s="18" t="n">
        <v>0.9</v>
      </c>
      <c r="M765" s="88" t="inlineStr">
        <is>
          <t>N/A</t>
        </is>
      </c>
    </row>
    <row r="766">
      <c r="A766" s="58" t="n">
        <v>45366</v>
      </c>
      <c r="B766" s="59" t="inlineStr">
        <is>
          <t>NFT/NEOSIEXEDDD2024031502301538967 Mirae
Asset Mut</t>
        </is>
      </c>
      <c r="C766" s="59" t="inlineStr"/>
      <c r="D766" s="58" t="n">
        <v>45366</v>
      </c>
      <c r="E766" s="59" t="n">
        <v>2000</v>
      </c>
      <c r="F766" s="59" t="n">
        <v>0</v>
      </c>
      <c r="G766" s="59" t="n">
        <v>3638.67</v>
      </c>
      <c r="H766" s="59" t="inlineStr"/>
      <c r="I766" s="59" t="inlineStr"/>
      <c r="J766" s="59" t="inlineStr">
        <is>
          <t>MF Investment</t>
        </is>
      </c>
      <c r="K766" s="59" t="inlineStr">
        <is>
          <t>Investments</t>
        </is>
      </c>
      <c r="L766" s="18" t="n">
        <v>0.88</v>
      </c>
      <c r="M766" s="59" t="inlineStr">
        <is>
          <t>N/A</t>
        </is>
      </c>
    </row>
    <row r="767">
      <c r="A767" s="35" t="n">
        <v>45366</v>
      </c>
      <c r="B767" s="36" t="inlineStr">
        <is>
          <t>UPIOUT/407565433805/paytmqr3zacjjhvyp@payt
m//5462</t>
        </is>
      </c>
      <c r="C767" s="36" t="inlineStr"/>
      <c r="D767" s="35" t="n">
        <v>45366</v>
      </c>
      <c r="E767" s="36" t="n">
        <v>10</v>
      </c>
      <c r="F767" s="36" t="n">
        <v>0</v>
      </c>
      <c r="G767" s="36" t="n">
        <v>3628.67</v>
      </c>
      <c r="H767" s="36" t="inlineStr"/>
      <c r="I767" s="36" t="inlineStr"/>
      <c r="J767" s="36" t="inlineStr">
        <is>
          <t>UPI - Paytm</t>
        </is>
      </c>
      <c r="K767" s="36" t="inlineStr">
        <is>
          <t>Personal</t>
        </is>
      </c>
      <c r="L767" s="34" t="n">
        <v>0.65</v>
      </c>
      <c r="M767" s="36" t="inlineStr">
        <is>
          <t>N/A</t>
        </is>
      </c>
    </row>
    <row r="768">
      <c r="A768" s="72" t="n">
        <v>45366</v>
      </c>
      <c r="B768" s="73" t="inlineStr">
        <is>
          <t>UPI IN/407566501968/amazon.refunds@axisban
k//0000</t>
        </is>
      </c>
      <c r="C768" s="73" t="inlineStr"/>
      <c r="D768" s="72" t="n">
        <v>45366</v>
      </c>
      <c r="E768" s="73" t="n">
        <v>0</v>
      </c>
      <c r="F768" s="73" t="n">
        <v>1999</v>
      </c>
      <c r="G768" s="73" t="n">
        <v>5627.67</v>
      </c>
      <c r="H768" s="73" t="inlineStr"/>
      <c r="I768" s="73" t="inlineStr"/>
      <c r="J768" s="73" t="inlineStr">
        <is>
          <t>Misc Income</t>
        </is>
      </c>
      <c r="K768" s="73" t="inlineStr">
        <is>
          <t>Misc Income</t>
        </is>
      </c>
      <c r="L768" s="34" t="n">
        <v>0.7</v>
      </c>
      <c r="M768" s="73" t="inlineStr">
        <is>
          <t>N/A</t>
        </is>
      </c>
    </row>
    <row r="769">
      <c r="A769" s="35" t="n">
        <v>45366</v>
      </c>
      <c r="B769" s="36" t="inlineStr">
        <is>
          <t>UPIOUT/407567942187/paytmqrhdex80dh4r@payt
m//5812</t>
        </is>
      </c>
      <c r="C769" s="36" t="inlineStr"/>
      <c r="D769" s="35" t="n">
        <v>45366</v>
      </c>
      <c r="E769" s="36" t="n">
        <v>90</v>
      </c>
      <c r="F769" s="36" t="n">
        <v>0</v>
      </c>
      <c r="G769" s="36" t="n">
        <v>5537.67</v>
      </c>
      <c r="H769" s="36" t="inlineStr"/>
      <c r="I769" s="36" t="inlineStr"/>
      <c r="J769" s="36" t="inlineStr">
        <is>
          <t>UPI - Paytm</t>
        </is>
      </c>
      <c r="K769" s="36" t="inlineStr">
        <is>
          <t>Personal</t>
        </is>
      </c>
      <c r="L769" s="34" t="n">
        <v>0.65</v>
      </c>
      <c r="M769" s="36" t="inlineStr">
        <is>
          <t>N/A</t>
        </is>
      </c>
    </row>
    <row r="770">
      <c r="A770" s="35" t="n">
        <v>45366</v>
      </c>
      <c r="B770" s="36" t="inlineStr">
        <is>
          <t>UPIOUT/407569825797/paytmqr12a3hwe9xy@payt
m//5411</t>
        </is>
      </c>
      <c r="C770" s="36" t="inlineStr"/>
      <c r="D770" s="35" t="n">
        <v>45366</v>
      </c>
      <c r="E770" s="36" t="n">
        <v>110</v>
      </c>
      <c r="F770" s="36" t="n">
        <v>0</v>
      </c>
      <c r="G770" s="36" t="n">
        <v>5427.67</v>
      </c>
      <c r="H770" s="36" t="inlineStr"/>
      <c r="I770" s="36" t="inlineStr"/>
      <c r="J770" s="36" t="inlineStr">
        <is>
          <t>UPI - Paytm</t>
        </is>
      </c>
      <c r="K770" s="36" t="inlineStr">
        <is>
          <t>Personal</t>
        </is>
      </c>
      <c r="L770" s="34" t="n">
        <v>0.65</v>
      </c>
      <c r="M770" s="36" t="inlineStr">
        <is>
          <t>N/A</t>
        </is>
      </c>
    </row>
    <row r="771">
      <c r="A771" s="37" t="n">
        <v>45366</v>
      </c>
      <c r="B771" s="38" t="inlineStr">
        <is>
          <t>UPIOUT/407570910552/Q403465439@ybl/Sent
via /5812</t>
        </is>
      </c>
      <c r="C771" s="38" t="inlineStr"/>
      <c r="D771" s="37" t="n">
        <v>45366</v>
      </c>
      <c r="E771" s="38" t="n">
        <v>40</v>
      </c>
      <c r="F771" s="38" t="n">
        <v>0</v>
      </c>
      <c r="G771" s="38" t="n">
        <v>5387.67</v>
      </c>
      <c r="H771" s="38" t="inlineStr"/>
      <c r="I771" s="38" t="inlineStr"/>
      <c r="J771" s="38" t="inlineStr">
        <is>
          <t>UPI Payment</t>
        </is>
      </c>
      <c r="K771" s="38" t="inlineStr">
        <is>
          <t>Personal</t>
        </is>
      </c>
      <c r="L771" s="25" t="n">
        <v>0.55</v>
      </c>
      <c r="M771" s="38" t="inlineStr">
        <is>
          <t>N/A</t>
        </is>
      </c>
    </row>
    <row r="772">
      <c r="A772" s="99" t="n">
        <v>45368</v>
      </c>
      <c r="B772" s="100" t="inlineStr">
        <is>
          <t>UPIOUT/407780829526/zomatoltd9.rzp@mairtel
/P/5811</t>
        </is>
      </c>
      <c r="C772" s="100" t="inlineStr"/>
      <c r="D772" s="99" t="n">
        <v>45368</v>
      </c>
      <c r="E772" s="100" t="n">
        <v>50</v>
      </c>
      <c r="F772" s="100" t="n">
        <v>0</v>
      </c>
      <c r="G772" s="100" t="n">
        <v>5337.67</v>
      </c>
      <c r="H772" s="100" t="inlineStr"/>
      <c r="I772" s="100" t="inlineStr"/>
      <c r="J772" s="100" t="inlineStr">
        <is>
          <t>UPI - Zomato</t>
        </is>
      </c>
      <c r="K772" s="100" t="inlineStr">
        <is>
          <t>Food &amp; Dining</t>
        </is>
      </c>
      <c r="L772" s="34" t="n">
        <v>0.68</v>
      </c>
      <c r="M772" s="100" t="inlineStr">
        <is>
          <t>N/A</t>
        </is>
      </c>
    </row>
    <row r="773">
      <c r="A773" s="91" t="n">
        <v>45368</v>
      </c>
      <c r="B773" s="92" t="inlineStr">
        <is>
          <t>UPIOUT/407795938504/uberrides@hdfcbank/cha
rg/5960</t>
        </is>
      </c>
      <c r="C773" s="92" t="inlineStr"/>
      <c r="D773" s="91" t="n">
        <v>45368</v>
      </c>
      <c r="E773" s="92" t="n">
        <v>52.79</v>
      </c>
      <c r="F773" s="92" t="n">
        <v>0</v>
      </c>
      <c r="G773" s="92" t="n">
        <v>5284.88</v>
      </c>
      <c r="H773" s="92" t="inlineStr"/>
      <c r="I773" s="92" t="inlineStr"/>
      <c r="J773" s="92" t="inlineStr">
        <is>
          <t>UPI - Uber</t>
        </is>
      </c>
      <c r="K773" s="92" t="inlineStr">
        <is>
          <t>Transport</t>
        </is>
      </c>
      <c r="L773" s="34" t="n">
        <v>0.68</v>
      </c>
      <c r="M773" s="92" t="inlineStr">
        <is>
          <t>N/A</t>
        </is>
      </c>
    </row>
    <row r="774">
      <c r="A774" s="99" t="n">
        <v>45368</v>
      </c>
      <c r="B774" s="100" t="inlineStr">
        <is>
          <t>UPIOUT/407783790426/zomato-
order@paytm/Zomat/5812</t>
        </is>
      </c>
      <c r="C774" s="100" t="inlineStr"/>
      <c r="D774" s="99" t="n">
        <v>45368</v>
      </c>
      <c r="E774" s="100" t="n">
        <v>561</v>
      </c>
      <c r="F774" s="100" t="n">
        <v>0</v>
      </c>
      <c r="G774" s="100" t="n">
        <v>4723.88</v>
      </c>
      <c r="H774" s="100" t="inlineStr"/>
      <c r="I774" s="100" t="inlineStr"/>
      <c r="J774" s="100" t="inlineStr">
        <is>
          <t>UPI - Zomato</t>
        </is>
      </c>
      <c r="K774" s="100" t="inlineStr">
        <is>
          <t>Food &amp; Dining</t>
        </is>
      </c>
      <c r="L774" s="34" t="n">
        <v>0.68</v>
      </c>
      <c r="M774" s="100" t="inlineStr">
        <is>
          <t>N/A</t>
        </is>
      </c>
    </row>
    <row r="775">
      <c r="A775" s="35" t="n">
        <v>45368</v>
      </c>
      <c r="B775" s="36" t="inlineStr">
        <is>
          <t>UPI IN/407740002354/9205307900@paytm/Sent
fr/0000</t>
        </is>
      </c>
      <c r="C775" s="36" t="inlineStr"/>
      <c r="D775" s="35" t="n">
        <v>45368</v>
      </c>
      <c r="E775" s="36" t="n">
        <v>0</v>
      </c>
      <c r="F775" s="36" t="n">
        <v>300</v>
      </c>
      <c r="G775" s="36" t="n">
        <v>5023.88</v>
      </c>
      <c r="H775" s="36" t="inlineStr"/>
      <c r="I775" s="36" t="inlineStr"/>
      <c r="J775" s="36" t="inlineStr">
        <is>
          <t>UPI - Paytm</t>
        </is>
      </c>
      <c r="K775" s="36" t="inlineStr">
        <is>
          <t>Personal</t>
        </is>
      </c>
      <c r="L775" s="34" t="n">
        <v>0.65</v>
      </c>
      <c r="M775" s="36" t="inlineStr">
        <is>
          <t>N/A</t>
        </is>
      </c>
    </row>
    <row r="776">
      <c r="A776" s="91" t="n">
        <v>45368</v>
      </c>
      <c r="B776" s="92" t="inlineStr">
        <is>
          <t>UPIOUT/407784156226/uber@axisbank/charge/4
121</t>
        </is>
      </c>
      <c r="C776" s="92" t="inlineStr"/>
      <c r="D776" s="91" t="n">
        <v>45368</v>
      </c>
      <c r="E776" s="92" t="n">
        <v>64.02</v>
      </c>
      <c r="F776" s="92" t="n">
        <v>0</v>
      </c>
      <c r="G776" s="92" t="n">
        <v>4959.86</v>
      </c>
      <c r="H776" s="92" t="inlineStr"/>
      <c r="I776" s="92" t="inlineStr"/>
      <c r="J776" s="92" t="inlineStr">
        <is>
          <t>UPI - Uber</t>
        </is>
      </c>
      <c r="K776" s="92" t="inlineStr">
        <is>
          <t>Transport</t>
        </is>
      </c>
      <c r="L776" s="34" t="n">
        <v>0.68</v>
      </c>
      <c r="M776" s="92" t="inlineStr">
        <is>
          <t>N/A</t>
        </is>
      </c>
    </row>
    <row r="777">
      <c r="A777" s="35" t="n">
        <v>45369</v>
      </c>
      <c r="B777" s="36" t="inlineStr">
        <is>
          <t>UPIOUT/407885565456/paytmqrnyyib5udfr@payt
m//7210</t>
        </is>
      </c>
      <c r="C777" s="36" t="inlineStr"/>
      <c r="D777" s="35" t="n">
        <v>45369</v>
      </c>
      <c r="E777" s="36" t="n">
        <v>40</v>
      </c>
      <c r="F777" s="36" t="n">
        <v>0</v>
      </c>
      <c r="G777" s="36" t="n">
        <v>4919.86</v>
      </c>
      <c r="H777" s="36" t="inlineStr"/>
      <c r="I777" s="36" t="inlineStr"/>
      <c r="J777" s="36" t="inlineStr">
        <is>
          <t>UPI - Paytm</t>
        </is>
      </c>
      <c r="K777" s="36" t="inlineStr">
        <is>
          <t>Personal</t>
        </is>
      </c>
      <c r="L777" s="34" t="n">
        <v>0.65</v>
      </c>
      <c r="M777" s="36" t="inlineStr">
        <is>
          <t>N/A</t>
        </is>
      </c>
    </row>
    <row r="778">
      <c r="A778" s="87" t="n">
        <v>45369</v>
      </c>
      <c r="B778" s="88" t="inlineStr">
        <is>
          <t>UPI IN/407811693463/9594435259@kotak/MB
UPI/0000</t>
        </is>
      </c>
      <c r="C778" s="88" t="inlineStr"/>
      <c r="D778" s="87" t="n">
        <v>45369</v>
      </c>
      <c r="E778" s="88" t="n">
        <v>0</v>
      </c>
      <c r="F778" s="88" t="n">
        <v>1</v>
      </c>
      <c r="G778" s="88" t="n">
        <v>4920.86</v>
      </c>
      <c r="H778" s="88" t="inlineStr"/>
      <c r="I778" s="88" t="inlineStr"/>
      <c r="J778" s="88" t="inlineStr">
        <is>
          <t>Contra - Kotak</t>
        </is>
      </c>
      <c r="K778" s="88" t="inlineStr">
        <is>
          <t>KOTAK 0333</t>
        </is>
      </c>
      <c r="L778" s="18" t="n">
        <v>0.9</v>
      </c>
      <c r="M778" s="88" t="inlineStr">
        <is>
          <t>N/A</t>
        </is>
      </c>
    </row>
    <row r="779">
      <c r="A779" s="37" t="n">
        <v>45369</v>
      </c>
      <c r="B779" s="38" t="inlineStr">
        <is>
          <t>UPIOUT/407887304759/Q176042605@ybl/Sent
via /5814</t>
        </is>
      </c>
      <c r="C779" s="38" t="inlineStr"/>
      <c r="D779" s="37" t="n">
        <v>45369</v>
      </c>
      <c r="E779" s="38" t="n">
        <v>60</v>
      </c>
      <c r="F779" s="38" t="n">
        <v>0</v>
      </c>
      <c r="G779" s="38" t="n">
        <v>4860.86</v>
      </c>
      <c r="H779" s="38" t="inlineStr"/>
      <c r="I779" s="38" t="inlineStr"/>
      <c r="J779" s="38" t="inlineStr">
        <is>
          <t>UPI Payment</t>
        </is>
      </c>
      <c r="K779" s="38" t="inlineStr">
        <is>
          <t>Personal</t>
        </is>
      </c>
      <c r="L779" s="25" t="n">
        <v>0.55</v>
      </c>
      <c r="M779" s="38" t="inlineStr">
        <is>
          <t>N/A</t>
        </is>
      </c>
    </row>
    <row r="780">
      <c r="A780" s="91" t="n">
        <v>45369</v>
      </c>
      <c r="B780" s="92" t="inlineStr">
        <is>
          <t>UPIOUT/407899400299/uberrides@hdfcbank/cha
rg/5960</t>
        </is>
      </c>
      <c r="C780" s="92" t="inlineStr"/>
      <c r="D780" s="91" t="n">
        <v>45369</v>
      </c>
      <c r="E780" s="92" t="n">
        <v>37.7</v>
      </c>
      <c r="F780" s="92" t="n">
        <v>0</v>
      </c>
      <c r="G780" s="92" t="n">
        <v>4823.16</v>
      </c>
      <c r="H780" s="92" t="inlineStr"/>
      <c r="I780" s="92" t="inlineStr"/>
      <c r="J780" s="92" t="inlineStr">
        <is>
          <t>UPI - Uber</t>
        </is>
      </c>
      <c r="K780" s="92" t="inlineStr">
        <is>
          <t>Transport</t>
        </is>
      </c>
      <c r="L780" s="34" t="n">
        <v>0.68</v>
      </c>
      <c r="M780" s="92" t="inlineStr">
        <is>
          <t>N/A</t>
        </is>
      </c>
    </row>
    <row r="781">
      <c r="A781" s="37" t="n">
        <v>45369</v>
      </c>
      <c r="B781" s="38" t="inlineStr">
        <is>
          <t>UPIOUT/407890448729/Q248421440@ybl/Sent
via /5812</t>
        </is>
      </c>
      <c r="C781" s="38" t="inlineStr"/>
      <c r="D781" s="37" t="n">
        <v>45369</v>
      </c>
      <c r="E781" s="38" t="n">
        <v>40</v>
      </c>
      <c r="F781" s="38" t="n">
        <v>0</v>
      </c>
      <c r="G781" s="38" t="n">
        <v>4783.16</v>
      </c>
      <c r="H781" s="38" t="inlineStr"/>
      <c r="I781" s="38" t="inlineStr"/>
      <c r="J781" s="38" t="inlineStr">
        <is>
          <t>UPI Payment</t>
        </is>
      </c>
      <c r="K781" s="38" t="inlineStr">
        <is>
          <t>Personal</t>
        </is>
      </c>
      <c r="L781" s="25" t="n">
        <v>0.55</v>
      </c>
      <c r="M781" s="38" t="inlineStr">
        <is>
          <t>N/A</t>
        </is>
      </c>
    </row>
    <row r="782">
      <c r="A782" s="37" t="n">
        <v>45370</v>
      </c>
      <c r="B782" s="38" t="inlineStr">
        <is>
          <t>UPIOUT/407996788437/toboxventuresprivatel.
pa/5812</t>
        </is>
      </c>
      <c r="C782" s="38" t="inlineStr"/>
      <c r="D782" s="37" t="n">
        <v>45370</v>
      </c>
      <c r="E782" s="38" t="n">
        <v>152.25</v>
      </c>
      <c r="F782" s="38" t="n">
        <v>0</v>
      </c>
      <c r="G782" s="38" t="n">
        <v>4630.91</v>
      </c>
      <c r="H782" s="38" t="inlineStr"/>
      <c r="I782" s="38" t="inlineStr"/>
      <c r="J782" s="38" t="inlineStr">
        <is>
          <t>UPI Payment</t>
        </is>
      </c>
      <c r="K782" s="38" t="inlineStr">
        <is>
          <t>Personal</t>
        </is>
      </c>
      <c r="L782" s="25" t="n">
        <v>0.55</v>
      </c>
      <c r="M782" s="38" t="inlineStr">
        <is>
          <t>N/A</t>
        </is>
      </c>
    </row>
    <row r="783">
      <c r="A783" s="91" t="n">
        <v>45370</v>
      </c>
      <c r="B783" s="92" t="inlineStr">
        <is>
          <t>UPIOUT/407902419276/uberrides@hdfcbank/cha
rg/5960</t>
        </is>
      </c>
      <c r="C783" s="92" t="inlineStr"/>
      <c r="D783" s="91" t="n">
        <v>45370</v>
      </c>
      <c r="E783" s="92" t="n">
        <v>54.3</v>
      </c>
      <c r="F783" s="92" t="n">
        <v>0</v>
      </c>
      <c r="G783" s="92" t="n">
        <v>4576.61</v>
      </c>
      <c r="H783" s="92" t="inlineStr"/>
      <c r="I783" s="92" t="inlineStr"/>
      <c r="J783" s="92" t="inlineStr">
        <is>
          <t>UPI - Uber</t>
        </is>
      </c>
      <c r="K783" s="92" t="inlineStr">
        <is>
          <t>Transport</t>
        </is>
      </c>
      <c r="L783" s="34" t="n">
        <v>0.68</v>
      </c>
      <c r="M783" s="92" t="inlineStr">
        <is>
          <t>N/A</t>
        </is>
      </c>
    </row>
    <row r="784">
      <c r="A784" s="91" t="n">
        <v>45370</v>
      </c>
      <c r="B784" s="92" t="inlineStr">
        <is>
          <t>UPIOUT/407902528303/uberrides@hdfcbank/cha
rg/5960</t>
        </is>
      </c>
      <c r="C784" s="92" t="inlineStr"/>
      <c r="D784" s="91" t="n">
        <v>45370</v>
      </c>
      <c r="E784" s="92" t="n">
        <v>59.93</v>
      </c>
      <c r="F784" s="92" t="n">
        <v>0</v>
      </c>
      <c r="G784" s="92" t="n">
        <v>4516.68</v>
      </c>
      <c r="H784" s="92" t="inlineStr"/>
      <c r="I784" s="92" t="inlineStr"/>
      <c r="J784" s="92" t="inlineStr">
        <is>
          <t>UPI - Uber</t>
        </is>
      </c>
      <c r="K784" s="92" t="inlineStr">
        <is>
          <t>Transport</t>
        </is>
      </c>
      <c r="L784" s="34" t="n">
        <v>0.68</v>
      </c>
      <c r="M784" s="92" t="inlineStr">
        <is>
          <t>N/A</t>
        </is>
      </c>
    </row>
    <row r="785">
      <c r="A785" s="35" t="n">
        <v>45371</v>
      </c>
      <c r="B785" s="36" t="inlineStr">
        <is>
          <t>UPIOUT/408098760423/paytmqrnyyib5udfr@payt
m//7210</t>
        </is>
      </c>
      <c r="C785" s="36" t="inlineStr"/>
      <c r="D785" s="35" t="n">
        <v>45371</v>
      </c>
      <c r="E785" s="36" t="n">
        <v>10</v>
      </c>
      <c r="F785" s="36" t="n">
        <v>0</v>
      </c>
      <c r="G785" s="36" t="n">
        <v>4506.68</v>
      </c>
      <c r="H785" s="36" t="inlineStr"/>
      <c r="I785" s="36" t="inlineStr"/>
      <c r="J785" s="36" t="inlineStr">
        <is>
          <t>UPI - Paytm</t>
        </is>
      </c>
      <c r="K785" s="36" t="inlineStr">
        <is>
          <t>Personal</t>
        </is>
      </c>
      <c r="L785" s="34" t="n">
        <v>0.65</v>
      </c>
      <c r="M785" s="36" t="inlineStr">
        <is>
          <t>N/A</t>
        </is>
      </c>
    </row>
    <row r="786">
      <c r="A786" s="35" t="n">
        <v>45371</v>
      </c>
      <c r="B786" s="36" t="inlineStr">
        <is>
          <t>UPIOUT/408010458157/paytmqrhdex80dh4r@payt
m//5812</t>
        </is>
      </c>
      <c r="C786" s="36" t="inlineStr"/>
      <c r="D786" s="35" t="n">
        <v>45371</v>
      </c>
      <c r="E786" s="36" t="n">
        <v>110</v>
      </c>
      <c r="F786" s="36" t="n">
        <v>0</v>
      </c>
      <c r="G786" s="36" t="n">
        <v>4396.68</v>
      </c>
      <c r="H786" s="36" t="inlineStr"/>
      <c r="I786" s="36" t="inlineStr"/>
      <c r="J786" s="36" t="inlineStr">
        <is>
          <t>UPI - Paytm</t>
        </is>
      </c>
      <c r="K786" s="36" t="inlineStr">
        <is>
          <t>Personal</t>
        </is>
      </c>
      <c r="L786" s="34" t="n">
        <v>0.65</v>
      </c>
      <c r="M786" s="36" t="inlineStr">
        <is>
          <t>N/A</t>
        </is>
      </c>
    </row>
    <row r="787">
      <c r="A787" s="37" t="n">
        <v>45371</v>
      </c>
      <c r="B787" s="38" t="inlineStr">
        <is>
          <t>UPIOUT/408011712465/Q466920960@ybl/Sent
via /5814</t>
        </is>
      </c>
      <c r="C787" s="38" t="inlineStr"/>
      <c r="D787" s="37" t="n">
        <v>45371</v>
      </c>
      <c r="E787" s="38" t="n">
        <v>100</v>
      </c>
      <c r="F787" s="38" t="n">
        <v>0</v>
      </c>
      <c r="G787" s="38" t="n">
        <v>4296.68</v>
      </c>
      <c r="H787" s="38" t="inlineStr"/>
      <c r="I787" s="38" t="inlineStr"/>
      <c r="J787" s="38" t="inlineStr">
        <is>
          <t>UPI Payment</t>
        </is>
      </c>
      <c r="K787" s="38" t="inlineStr">
        <is>
          <t>Personal</t>
        </is>
      </c>
      <c r="L787" s="25" t="n">
        <v>0.55</v>
      </c>
      <c r="M787" s="38" t="inlineStr">
        <is>
          <t>N/A</t>
        </is>
      </c>
    </row>
    <row r="788">
      <c r="A788" s="35" t="n">
        <v>45371</v>
      </c>
      <c r="B788" s="36" t="inlineStr">
        <is>
          <t>UPIOUT/408013309417/paytmqr281005050101ql6
bn/5411</t>
        </is>
      </c>
      <c r="C788" s="36" t="inlineStr"/>
      <c r="D788" s="35" t="n">
        <v>45371</v>
      </c>
      <c r="E788" s="36" t="n">
        <v>40</v>
      </c>
      <c r="F788" s="36" t="n">
        <v>0</v>
      </c>
      <c r="G788" s="36" t="n">
        <v>4256.68</v>
      </c>
      <c r="H788" s="36" t="inlineStr"/>
      <c r="I788" s="36" t="inlineStr"/>
      <c r="J788" s="36" t="inlineStr">
        <is>
          <t>UPI - Paytm</t>
        </is>
      </c>
      <c r="K788" s="36" t="inlineStr">
        <is>
          <t>Personal</t>
        </is>
      </c>
      <c r="L788" s="34" t="n">
        <v>0.65</v>
      </c>
      <c r="M788" s="36" t="inlineStr">
        <is>
          <t>N/A</t>
        </is>
      </c>
    </row>
    <row r="789">
      <c r="A789" s="37" t="n">
        <v>45372</v>
      </c>
      <c r="B789" s="38" t="inlineStr">
        <is>
          <t>UPIOUT/408171113381/gokhana.payu@indus/UPI
In/7311</t>
        </is>
      </c>
      <c r="C789" s="38" t="inlineStr"/>
      <c r="D789" s="37" t="n">
        <v>45372</v>
      </c>
      <c r="E789" s="38" t="n">
        <v>180</v>
      </c>
      <c r="F789" s="38" t="n">
        <v>0</v>
      </c>
      <c r="G789" s="38" t="n">
        <v>4076.68</v>
      </c>
      <c r="H789" s="38" t="inlineStr"/>
      <c r="I789" s="38" t="inlineStr"/>
      <c r="J789" s="38" t="inlineStr">
        <is>
          <t>UPI Payment</t>
        </is>
      </c>
      <c r="K789" s="38" t="inlineStr">
        <is>
          <t>Personal</t>
        </is>
      </c>
      <c r="L789" s="25" t="n">
        <v>0.55</v>
      </c>
      <c r="M789" s="38" t="inlineStr">
        <is>
          <t>N/A</t>
        </is>
      </c>
    </row>
    <row r="790">
      <c r="A790" s="37" t="n">
        <v>45372</v>
      </c>
      <c r="B790" s="38" t="inlineStr">
        <is>
          <t>UPIOUT/408119773926/9663866505@axl/Sent
via /0000</t>
        </is>
      </c>
      <c r="C790" s="38" t="inlineStr"/>
      <c r="D790" s="37" t="n">
        <v>45372</v>
      </c>
      <c r="E790" s="38" t="n">
        <v>114</v>
      </c>
      <c r="F790" s="38" t="n">
        <v>0</v>
      </c>
      <c r="G790" s="38" t="n">
        <v>3962.68</v>
      </c>
      <c r="H790" s="38" t="inlineStr"/>
      <c r="I790" s="38" t="inlineStr"/>
      <c r="J790" s="38" t="inlineStr">
        <is>
          <t>UPI Payment</t>
        </is>
      </c>
      <c r="K790" s="38" t="inlineStr">
        <is>
          <t>Personal</t>
        </is>
      </c>
      <c r="L790" s="25" t="n">
        <v>0.55</v>
      </c>
      <c r="M790" s="38" t="inlineStr">
        <is>
          <t>N/A</t>
        </is>
      </c>
    </row>
    <row r="791">
      <c r="A791" s="37" t="n">
        <v>45372</v>
      </c>
      <c r="B791" s="38" t="inlineStr">
        <is>
          <t>UPIOUT/408119798341/Q679054446@ybl/Sent
via /8062</t>
        </is>
      </c>
      <c r="C791" s="38" t="inlineStr"/>
      <c r="D791" s="37" t="n">
        <v>45372</v>
      </c>
      <c r="E791" s="38" t="n">
        <v>700</v>
      </c>
      <c r="F791" s="38" t="n">
        <v>0</v>
      </c>
      <c r="G791" s="38" t="n">
        <v>3262.68</v>
      </c>
      <c r="H791" s="38" t="inlineStr"/>
      <c r="I791" s="38" t="inlineStr"/>
      <c r="J791" s="38" t="inlineStr">
        <is>
          <t>UPI Payment</t>
        </is>
      </c>
      <c r="K791" s="38" t="inlineStr">
        <is>
          <t>Personal</t>
        </is>
      </c>
      <c r="L791" s="25" t="n">
        <v>0.55</v>
      </c>
      <c r="M791" s="38" t="inlineStr">
        <is>
          <t>N/A</t>
        </is>
      </c>
    </row>
    <row r="792">
      <c r="A792" s="37" t="n">
        <v>45372</v>
      </c>
      <c r="B792" s="38" t="inlineStr">
        <is>
          <t>UPIOUT/408119950795/Q679054446@ybl/Sent
via /8062</t>
        </is>
      </c>
      <c r="C792" s="38" t="inlineStr"/>
      <c r="D792" s="37" t="n">
        <v>45372</v>
      </c>
      <c r="E792" s="38" t="n">
        <v>500</v>
      </c>
      <c r="F792" s="38" t="n">
        <v>0</v>
      </c>
      <c r="G792" s="38" t="n">
        <v>2762.68</v>
      </c>
      <c r="H792" s="38" t="inlineStr"/>
      <c r="I792" s="38" t="inlineStr"/>
      <c r="J792" s="38" t="inlineStr">
        <is>
          <t>UPI Payment</t>
        </is>
      </c>
      <c r="K792" s="38" t="inlineStr">
        <is>
          <t>Personal</t>
        </is>
      </c>
      <c r="L792" s="25" t="n">
        <v>0.55</v>
      </c>
      <c r="M792" s="38" t="inlineStr">
        <is>
          <t>N/A</t>
        </is>
      </c>
    </row>
    <row r="793">
      <c r="A793" s="37" t="n">
        <v>45372</v>
      </c>
      <c r="B793" s="38" t="inlineStr">
        <is>
          <t>UPIOUT/408120059448/Q413722787@ybl/Sent
via /8062</t>
        </is>
      </c>
      <c r="C793" s="38" t="inlineStr"/>
      <c r="D793" s="37" t="n">
        <v>45372</v>
      </c>
      <c r="E793" s="38" t="n">
        <v>548</v>
      </c>
      <c r="F793" s="38" t="n">
        <v>0</v>
      </c>
      <c r="G793" s="38" t="n">
        <v>2214.68</v>
      </c>
      <c r="H793" s="38" t="inlineStr"/>
      <c r="I793" s="38" t="inlineStr"/>
      <c r="J793" s="38" t="inlineStr">
        <is>
          <t>UPI Payment</t>
        </is>
      </c>
      <c r="K793" s="38" t="inlineStr">
        <is>
          <t>Personal</t>
        </is>
      </c>
      <c r="L793" s="25" t="n">
        <v>0.55</v>
      </c>
      <c r="M793" s="38" t="inlineStr">
        <is>
          <t>N/A</t>
        </is>
      </c>
    </row>
    <row r="794">
      <c r="A794" s="35" t="n">
        <v>45372</v>
      </c>
      <c r="B794" s="36" t="inlineStr">
        <is>
          <t>UPIOUT/408120182869/paytmqr1og9ixfyjn@payt
m//5814</t>
        </is>
      </c>
      <c r="C794" s="36" t="inlineStr"/>
      <c r="D794" s="35" t="n">
        <v>45372</v>
      </c>
      <c r="E794" s="36" t="n">
        <v>51</v>
      </c>
      <c r="F794" s="36" t="n">
        <v>0</v>
      </c>
      <c r="G794" s="36" t="n">
        <v>2163.68</v>
      </c>
      <c r="H794" s="36" t="inlineStr"/>
      <c r="I794" s="36" t="inlineStr"/>
      <c r="J794" s="36" t="inlineStr">
        <is>
          <t>UPI - Paytm</t>
        </is>
      </c>
      <c r="K794" s="36" t="inlineStr">
        <is>
          <t>Personal</t>
        </is>
      </c>
      <c r="L794" s="34" t="n">
        <v>0.65</v>
      </c>
      <c r="M794" s="36" t="inlineStr">
        <is>
          <t>N/A</t>
        </is>
      </c>
    </row>
    <row r="795">
      <c r="A795" s="35" t="n">
        <v>45372</v>
      </c>
      <c r="B795" s="36" t="inlineStr">
        <is>
          <t>UPIOUT/408120192874/paytmqr4dnh9rhu78@payt
m//5814</t>
        </is>
      </c>
      <c r="C795" s="36" t="inlineStr"/>
      <c r="D795" s="35" t="n">
        <v>45372</v>
      </c>
      <c r="E795" s="36" t="n">
        <v>20</v>
      </c>
      <c r="F795" s="36" t="n">
        <v>0</v>
      </c>
      <c r="G795" s="36" t="n">
        <v>2143.68</v>
      </c>
      <c r="H795" s="36" t="inlineStr"/>
      <c r="I795" s="36" t="inlineStr"/>
      <c r="J795" s="36" t="inlineStr">
        <is>
          <t>UPI - Paytm</t>
        </is>
      </c>
      <c r="K795" s="36" t="inlineStr">
        <is>
          <t>Personal</t>
        </is>
      </c>
      <c r="L795" s="34" t="n">
        <v>0.65</v>
      </c>
      <c r="M795" s="36" t="inlineStr">
        <is>
          <t>N/A</t>
        </is>
      </c>
    </row>
    <row r="796">
      <c r="A796" s="37" t="n">
        <v>45372</v>
      </c>
      <c r="B796" s="38" t="inlineStr">
        <is>
          <t>UPIOUT/408120324634/9901063032@ibl/Sent
via /0000</t>
        </is>
      </c>
      <c r="C796" s="38" t="inlineStr"/>
      <c r="D796" s="37" t="n">
        <v>45372</v>
      </c>
      <c r="E796" s="38" t="n">
        <v>86</v>
      </c>
      <c r="F796" s="38" t="n">
        <v>0</v>
      </c>
      <c r="G796" s="38" t="n">
        <v>2057.68</v>
      </c>
      <c r="H796" s="38" t="inlineStr"/>
      <c r="I796" s="38" t="inlineStr"/>
      <c r="J796" s="38" t="inlineStr">
        <is>
          <t>UPI Payment</t>
        </is>
      </c>
      <c r="K796" s="38" t="inlineStr">
        <is>
          <t>Personal</t>
        </is>
      </c>
      <c r="L796" s="25" t="n">
        <v>0.55</v>
      </c>
      <c r="M796" s="38" t="inlineStr">
        <is>
          <t>N/A</t>
        </is>
      </c>
    </row>
    <row r="797">
      <c r="A797" s="35" t="n">
        <v>45373</v>
      </c>
      <c r="B797" s="36" t="inlineStr">
        <is>
          <t>UPIOUT/408222454223/paytmqr3zacjjhvyp@payt
m//5462</t>
        </is>
      </c>
      <c r="C797" s="36" t="inlineStr"/>
      <c r="D797" s="35" t="n">
        <v>45373</v>
      </c>
      <c r="E797" s="36" t="n">
        <v>10</v>
      </c>
      <c r="F797" s="36" t="n">
        <v>0</v>
      </c>
      <c r="G797" s="36" t="n">
        <v>2047.68</v>
      </c>
      <c r="H797" s="36" t="inlineStr"/>
      <c r="I797" s="36" t="inlineStr"/>
      <c r="J797" s="36" t="inlineStr">
        <is>
          <t>UPI - Paytm</t>
        </is>
      </c>
      <c r="K797" s="36" t="inlineStr">
        <is>
          <t>Personal</t>
        </is>
      </c>
      <c r="L797" s="34" t="n">
        <v>0.65</v>
      </c>
      <c r="M797" s="36" t="inlineStr">
        <is>
          <t>N/A</t>
        </is>
      </c>
    </row>
    <row r="798">
      <c r="A798" s="35" t="n">
        <v>45373</v>
      </c>
      <c r="B798" s="36" t="inlineStr">
        <is>
          <t>UPIOUT/408222473124/paytmqr1wog9tttz4@payt
m//7210</t>
        </is>
      </c>
      <c r="C798" s="36" t="inlineStr"/>
      <c r="D798" s="35" t="n">
        <v>45373</v>
      </c>
      <c r="E798" s="36" t="n">
        <v>10</v>
      </c>
      <c r="F798" s="36" t="n">
        <v>0</v>
      </c>
      <c r="G798" s="36" t="n">
        <v>2037.68</v>
      </c>
      <c r="H798" s="36" t="inlineStr"/>
      <c r="I798" s="36" t="inlineStr"/>
      <c r="J798" s="36" t="inlineStr">
        <is>
          <t>UPI - Paytm</t>
        </is>
      </c>
      <c r="K798" s="36" t="inlineStr">
        <is>
          <t>Personal</t>
        </is>
      </c>
      <c r="L798" s="34" t="n">
        <v>0.65</v>
      </c>
      <c r="M798" s="36" t="inlineStr">
        <is>
          <t>N/A</t>
        </is>
      </c>
    </row>
    <row r="799">
      <c r="A799" s="35" t="n">
        <v>45373</v>
      </c>
      <c r="B799" s="36" t="inlineStr">
        <is>
          <t>UPIOUT/408226745693/paytmqr1xrs04ylwr@payt
m//5912</t>
        </is>
      </c>
      <c r="C799" s="36" t="inlineStr"/>
      <c r="D799" s="35" t="n">
        <v>45373</v>
      </c>
      <c r="E799" s="36" t="n">
        <v>40</v>
      </c>
      <c r="F799" s="36" t="n">
        <v>0</v>
      </c>
      <c r="G799" s="36" t="n">
        <v>1997.68</v>
      </c>
      <c r="H799" s="36" t="inlineStr"/>
      <c r="I799" s="36" t="inlineStr"/>
      <c r="J799" s="36" t="inlineStr">
        <is>
          <t>UPI - Paytm</t>
        </is>
      </c>
      <c r="K799" s="36" t="inlineStr">
        <is>
          <t>Personal</t>
        </is>
      </c>
      <c r="L799" s="34" t="n">
        <v>0.65</v>
      </c>
      <c r="M799" s="36" t="inlineStr">
        <is>
          <t>N/A</t>
        </is>
      </c>
    </row>
    <row r="800">
      <c r="A800" s="37" t="n">
        <v>45373</v>
      </c>
      <c r="B800" s="38" t="inlineStr">
        <is>
          <t>UPIOUT/408226751533/Q403465439@ybl/Sent
via /5812</t>
        </is>
      </c>
      <c r="C800" s="38" t="inlineStr"/>
      <c r="D800" s="37" t="n">
        <v>45373</v>
      </c>
      <c r="E800" s="38" t="n">
        <v>35</v>
      </c>
      <c r="F800" s="38" t="n">
        <v>0</v>
      </c>
      <c r="G800" s="38" t="n">
        <v>1962.68</v>
      </c>
      <c r="H800" s="38" t="inlineStr"/>
      <c r="I800" s="38" t="inlineStr"/>
      <c r="J800" s="38" t="inlineStr">
        <is>
          <t>UPI Payment</t>
        </is>
      </c>
      <c r="K800" s="38" t="inlineStr">
        <is>
          <t>Personal</t>
        </is>
      </c>
      <c r="L800" s="25" t="n">
        <v>0.55</v>
      </c>
      <c r="M800" s="38" t="inlineStr">
        <is>
          <t>N/A</t>
        </is>
      </c>
    </row>
    <row r="801">
      <c r="A801" s="87" t="n">
        <v>45373</v>
      </c>
      <c r="B801" s="88" t="inlineStr">
        <is>
          <t>UPI IN/408226946800/9594435259@jupiteraxis
/A/0000</t>
        </is>
      </c>
      <c r="C801" s="88" t="inlineStr"/>
      <c r="D801" s="87" t="n">
        <v>45373</v>
      </c>
      <c r="E801" s="88" t="n">
        <v>0</v>
      </c>
      <c r="F801" s="88" t="n">
        <v>2000</v>
      </c>
      <c r="G801" s="88" t="n">
        <v>3962.68</v>
      </c>
      <c r="H801" s="88" t="inlineStr"/>
      <c r="I801" s="88" t="inlineStr"/>
      <c r="J801" s="88" t="inlineStr">
        <is>
          <t>Contra - Kotak</t>
        </is>
      </c>
      <c r="K801" s="88" t="inlineStr">
        <is>
          <t>KOTAK 0333</t>
        </is>
      </c>
      <c r="L801" s="18" t="n">
        <v>0.9</v>
      </c>
      <c r="M801" s="88" t="inlineStr">
        <is>
          <t>N/A</t>
        </is>
      </c>
    </row>
    <row r="802">
      <c r="A802" s="37" t="n">
        <v>45374</v>
      </c>
      <c r="B802" s="38" t="inlineStr">
        <is>
          <t>UPIOUT/408329044203/lazypaypvtltd.rzp@icic
i//6012</t>
        </is>
      </c>
      <c r="C802" s="38" t="inlineStr"/>
      <c r="D802" s="37" t="n">
        <v>45374</v>
      </c>
      <c r="E802" s="38" t="n">
        <v>133.4</v>
      </c>
      <c r="F802" s="38" t="n">
        <v>0</v>
      </c>
      <c r="G802" s="38" t="n">
        <v>3829.28</v>
      </c>
      <c r="H802" s="38" t="inlineStr"/>
      <c r="I802" s="38" t="inlineStr"/>
      <c r="J802" s="38" t="inlineStr">
        <is>
          <t>UPI Payment</t>
        </is>
      </c>
      <c r="K802" s="38" t="inlineStr">
        <is>
          <t>Personal</t>
        </is>
      </c>
      <c r="L802" s="25" t="n">
        <v>0.55</v>
      </c>
      <c r="M802" s="38" t="inlineStr">
        <is>
          <t>N/A</t>
        </is>
      </c>
    </row>
    <row r="803">
      <c r="A803" s="30" t="n">
        <v>45374</v>
      </c>
      <c r="B803" s="31" t="inlineStr">
        <is>
          <t>SBINT:23-12-2023 to
22-03-2024[77770101840847]</t>
        </is>
      </c>
      <c r="C803" s="31" t="inlineStr"/>
      <c r="D803" s="30" t="n">
        <v>45373</v>
      </c>
      <c r="E803" s="31" t="n">
        <v>0</v>
      </c>
      <c r="F803" s="31" t="n">
        <v>113</v>
      </c>
      <c r="G803" s="31" t="n">
        <v>3942.28</v>
      </c>
      <c r="H803" s="31" t="inlineStr"/>
      <c r="I803" s="31" t="inlineStr"/>
      <c r="J803" s="31" t="inlineStr">
        <is>
          <t>Bank Interest</t>
        </is>
      </c>
      <c r="K803" s="31" t="inlineStr">
        <is>
          <t>Bank Interest</t>
        </is>
      </c>
      <c r="L803" s="18" t="n">
        <v>0.96</v>
      </c>
      <c r="M803" s="31" t="inlineStr">
        <is>
          <t>N/A</t>
        </is>
      </c>
    </row>
    <row r="804">
      <c r="A804" s="58" t="n">
        <v>45374</v>
      </c>
      <c r="B804" s="59" t="inlineStr">
        <is>
          <t>FT IMPS/IFI/408307578295/CashfreePayments/
IMPS</t>
        </is>
      </c>
      <c r="C804" s="59" t="inlineStr"/>
      <c r="D804" s="58" t="n">
        <v>45374</v>
      </c>
      <c r="E804" s="59" t="n">
        <v>0</v>
      </c>
      <c r="F804" s="59" t="n">
        <v>1.01</v>
      </c>
      <c r="G804" s="59" t="n">
        <v>3943.29</v>
      </c>
      <c r="H804" s="59" t="inlineStr"/>
      <c r="I804" s="59" t="inlineStr"/>
      <c r="J804" s="59" t="inlineStr">
        <is>
          <t>NEFT Transfer</t>
        </is>
      </c>
      <c r="K804" s="59" t="inlineStr">
        <is>
          <t>Transfer</t>
        </is>
      </c>
      <c r="L804" s="34" t="n">
        <v>0.7</v>
      </c>
      <c r="M804" s="59" t="inlineStr">
        <is>
          <t>N/A</t>
        </is>
      </c>
    </row>
    <row r="805">
      <c r="A805" s="58" t="n">
        <v>45374</v>
      </c>
      <c r="B805" s="59" t="inlineStr">
        <is>
          <t>NFT/NEOSIEXEDDD2024032303005420498 Quant
Mutual Fu</t>
        </is>
      </c>
      <c r="C805" s="59" t="inlineStr"/>
      <c r="D805" s="58" t="n">
        <v>45374</v>
      </c>
      <c r="E805" s="59" t="n">
        <v>2000</v>
      </c>
      <c r="F805" s="59" t="n">
        <v>0</v>
      </c>
      <c r="G805" s="59" t="n">
        <v>1943.29</v>
      </c>
      <c r="H805" s="59" t="inlineStr"/>
      <c r="I805" s="59" t="inlineStr"/>
      <c r="J805" s="59" t="inlineStr">
        <is>
          <t>MF Investment</t>
        </is>
      </c>
      <c r="K805" s="59" t="inlineStr">
        <is>
          <t>Investments</t>
        </is>
      </c>
      <c r="L805" s="18" t="n">
        <v>0.88</v>
      </c>
      <c r="M805" s="59" t="inlineStr">
        <is>
          <t>N/A</t>
        </is>
      </c>
    </row>
    <row r="806">
      <c r="A806" s="37" t="n">
        <v>45374</v>
      </c>
      <c r="B806" s="38" t="inlineStr">
        <is>
          <t>UPIOUT/408330336309/Q521065715@ybl/Sent
via /5812</t>
        </is>
      </c>
      <c r="C806" s="38" t="inlineStr"/>
      <c r="D806" s="37" t="n">
        <v>45374</v>
      </c>
      <c r="E806" s="38" t="n">
        <v>25</v>
      </c>
      <c r="F806" s="38" t="n">
        <v>0</v>
      </c>
      <c r="G806" s="38" t="n">
        <v>1918.29</v>
      </c>
      <c r="H806" s="38" t="inlineStr"/>
      <c r="I806" s="38" t="inlineStr"/>
      <c r="J806" s="38" t="inlineStr">
        <is>
          <t>UPI Payment</t>
        </is>
      </c>
      <c r="K806" s="38" t="inlineStr">
        <is>
          <t>Personal</t>
        </is>
      </c>
      <c r="L806" s="25" t="n">
        <v>0.55</v>
      </c>
      <c r="M806" s="38" t="inlineStr">
        <is>
          <t>N/A</t>
        </is>
      </c>
    </row>
    <row r="807">
      <c r="A807" s="37" t="n">
        <v>45374</v>
      </c>
      <c r="B807" s="38" t="inlineStr">
        <is>
          <t>UPIOUT/408330469744/kabilhussen2@axl/Sent
vi/0000</t>
        </is>
      </c>
      <c r="C807" s="38" t="inlineStr"/>
      <c r="D807" s="37" t="n">
        <v>45374</v>
      </c>
      <c r="E807" s="38" t="n">
        <v>49</v>
      </c>
      <c r="F807" s="38" t="n">
        <v>0</v>
      </c>
      <c r="G807" s="38" t="n">
        <v>1869.29</v>
      </c>
      <c r="H807" s="38" t="inlineStr"/>
      <c r="I807" s="38" t="inlineStr"/>
      <c r="J807" s="38" t="inlineStr">
        <is>
          <t>UPI Payment</t>
        </is>
      </c>
      <c r="K807" s="38" t="inlineStr">
        <is>
          <t>Personal</t>
        </is>
      </c>
      <c r="L807" s="25" t="n">
        <v>0.55</v>
      </c>
      <c r="M807" s="38" t="inlineStr">
        <is>
          <t>N/A</t>
        </is>
      </c>
    </row>
    <row r="808">
      <c r="A808" s="21" t="n">
        <v>45374</v>
      </c>
      <c r="B808" s="22" t="inlineStr">
        <is>
          <t>UPIOUT/408334537283/rapido.rzp@icici/Payme
nt/4121</t>
        </is>
      </c>
      <c r="C808" s="22" t="inlineStr"/>
      <c r="D808" s="21" t="n">
        <v>45374</v>
      </c>
      <c r="E808" s="22" t="n">
        <v>70</v>
      </c>
      <c r="F808" s="22" t="n">
        <v>0</v>
      </c>
      <c r="G808" s="22" t="n">
        <v>1799.29</v>
      </c>
      <c r="H808" s="22" t="inlineStr"/>
      <c r="I808" s="22" t="inlineStr"/>
      <c r="J808" s="22" t="inlineStr">
        <is>
          <t>UPI - Rapido</t>
        </is>
      </c>
      <c r="K808" s="22" t="inlineStr">
        <is>
          <t>Transport</t>
        </is>
      </c>
      <c r="L808" s="34" t="n">
        <v>0.68</v>
      </c>
      <c r="M808" s="22" t="inlineStr">
        <is>
          <t>N/A</t>
        </is>
      </c>
    </row>
    <row r="809">
      <c r="A809" s="35" t="n">
        <v>45374</v>
      </c>
      <c r="B809" s="36" t="inlineStr">
        <is>
          <t>UPIOUT/408334544587/paytmqr3zacjjhvyp@payt
m//5462</t>
        </is>
      </c>
      <c r="C809" s="36" t="inlineStr"/>
      <c r="D809" s="35" t="n">
        <v>45374</v>
      </c>
      <c r="E809" s="36" t="n">
        <v>20</v>
      </c>
      <c r="F809" s="36" t="n">
        <v>0</v>
      </c>
      <c r="G809" s="36" t="n">
        <v>1779.29</v>
      </c>
      <c r="H809" s="36" t="inlineStr"/>
      <c r="I809" s="36" t="inlineStr"/>
      <c r="J809" s="36" t="inlineStr">
        <is>
          <t>UPI - Paytm</t>
        </is>
      </c>
      <c r="K809" s="36" t="inlineStr">
        <is>
          <t>Personal</t>
        </is>
      </c>
      <c r="L809" s="34" t="n">
        <v>0.65</v>
      </c>
      <c r="M809" s="36" t="inlineStr">
        <is>
          <t>N/A</t>
        </is>
      </c>
    </row>
    <row r="810">
      <c r="A810" s="37" t="n">
        <v>45375</v>
      </c>
      <c r="B810" s="38" t="inlineStr">
        <is>
          <t>UPIOUT/408436252683/Q847905206@ybl/Sent
via /5411</t>
        </is>
      </c>
      <c r="C810" s="38" t="inlineStr"/>
      <c r="D810" s="37" t="n">
        <v>45375</v>
      </c>
      <c r="E810" s="38" t="n">
        <v>40</v>
      </c>
      <c r="F810" s="38" t="n">
        <v>0</v>
      </c>
      <c r="G810" s="38" t="n">
        <v>1739.29</v>
      </c>
      <c r="H810" s="38" t="inlineStr"/>
      <c r="I810" s="38" t="inlineStr"/>
      <c r="J810" s="38" t="inlineStr">
        <is>
          <t>UPI Payment</t>
        </is>
      </c>
      <c r="K810" s="38" t="inlineStr">
        <is>
          <t>Personal</t>
        </is>
      </c>
      <c r="L810" s="25" t="n">
        <v>0.55</v>
      </c>
      <c r="M810" s="38" t="inlineStr">
        <is>
          <t>N/A</t>
        </is>
      </c>
    </row>
    <row r="811">
      <c r="A811" s="35" t="n">
        <v>45375</v>
      </c>
      <c r="B811" s="36" t="inlineStr">
        <is>
          <t>UPIOUT/408436547000/paytmqr2810050501014ev
0m/5812</t>
        </is>
      </c>
      <c r="C811" s="36" t="inlineStr"/>
      <c r="D811" s="35" t="n">
        <v>45375</v>
      </c>
      <c r="E811" s="36" t="n">
        <v>42</v>
      </c>
      <c r="F811" s="36" t="n">
        <v>0</v>
      </c>
      <c r="G811" s="36" t="n">
        <v>1697.29</v>
      </c>
      <c r="H811" s="36" t="inlineStr"/>
      <c r="I811" s="36" t="inlineStr"/>
      <c r="J811" s="36" t="inlineStr">
        <is>
          <t>UPI - Paytm</t>
        </is>
      </c>
      <c r="K811" s="36" t="inlineStr">
        <is>
          <t>Personal</t>
        </is>
      </c>
      <c r="L811" s="34" t="n">
        <v>0.65</v>
      </c>
      <c r="M811" s="36" t="inlineStr">
        <is>
          <t>N/A</t>
        </is>
      </c>
    </row>
    <row r="812">
      <c r="A812" s="32" t="n">
        <v>45375</v>
      </c>
      <c r="B812" s="33" t="inlineStr">
        <is>
          <t>UPIOUT/408439896704/BHARATPE.90069128054@f
bp/5814</t>
        </is>
      </c>
      <c r="C812" s="33" t="inlineStr"/>
      <c r="D812" s="32" t="n">
        <v>45375</v>
      </c>
      <c r="E812" s="33" t="n">
        <v>40</v>
      </c>
      <c r="F812" s="33" t="n">
        <v>0</v>
      </c>
      <c r="G812" s="33" t="n">
        <v>1657.29</v>
      </c>
      <c r="H812" s="33" t="inlineStr"/>
      <c r="I812" s="33" t="inlineStr"/>
      <c r="J812" s="33" t="inlineStr">
        <is>
          <t>UPI - BharatPe</t>
        </is>
      </c>
      <c r="K812" s="33" t="inlineStr">
        <is>
          <t>Personal</t>
        </is>
      </c>
      <c r="L812" s="34" t="n">
        <v>0.65</v>
      </c>
      <c r="M812" s="33" t="inlineStr">
        <is>
          <t>N/A</t>
        </is>
      </c>
    </row>
    <row r="813">
      <c r="A813" s="35" t="n">
        <v>45375</v>
      </c>
      <c r="B813" s="36" t="inlineStr">
        <is>
          <t>UPIOUT/408440107383/paytmqrc35heq2fbz@payt
m//5411</t>
        </is>
      </c>
      <c r="C813" s="36" t="inlineStr"/>
      <c r="D813" s="35" t="n">
        <v>45375</v>
      </c>
      <c r="E813" s="36" t="n">
        <v>120</v>
      </c>
      <c r="F813" s="36" t="n">
        <v>0</v>
      </c>
      <c r="G813" s="36" t="n">
        <v>1537.29</v>
      </c>
      <c r="H813" s="36" t="inlineStr"/>
      <c r="I813" s="36" t="inlineStr"/>
      <c r="J813" s="36" t="inlineStr">
        <is>
          <t>UPI - Paytm</t>
        </is>
      </c>
      <c r="K813" s="36" t="inlineStr">
        <is>
          <t>Personal</t>
        </is>
      </c>
      <c r="L813" s="34" t="n">
        <v>0.65</v>
      </c>
      <c r="M813" s="36" t="inlineStr">
        <is>
          <t>N/A</t>
        </is>
      </c>
    </row>
    <row r="814">
      <c r="A814" s="35" t="n">
        <v>45375</v>
      </c>
      <c r="B814" s="36" t="inlineStr">
        <is>
          <t>UPIOUT/408440780565/paytmqr3zacjjhvyp@payt
m//5462</t>
        </is>
      </c>
      <c r="C814" s="36" t="inlineStr"/>
      <c r="D814" s="35" t="n">
        <v>45375</v>
      </c>
      <c r="E814" s="36" t="n">
        <v>20</v>
      </c>
      <c r="F814" s="36" t="n">
        <v>0</v>
      </c>
      <c r="G814" s="36" t="n">
        <v>1517.29</v>
      </c>
      <c r="H814" s="36" t="inlineStr"/>
      <c r="I814" s="36" t="inlineStr"/>
      <c r="J814" s="36" t="inlineStr">
        <is>
          <t>UPI - Paytm</t>
        </is>
      </c>
      <c r="K814" s="36" t="inlineStr">
        <is>
          <t>Personal</t>
        </is>
      </c>
      <c r="L814" s="34" t="n">
        <v>0.65</v>
      </c>
      <c r="M814" s="36" t="inlineStr">
        <is>
          <t>N/A</t>
        </is>
      </c>
    </row>
    <row r="815">
      <c r="A815" s="37" t="n">
        <v>45375</v>
      </c>
      <c r="B815" s="38" t="inlineStr">
        <is>
          <t>UPIOUT/408440889854/9945999658@ybl/Sent
via /0000</t>
        </is>
      </c>
      <c r="C815" s="38" t="inlineStr"/>
      <c r="D815" s="37" t="n">
        <v>45375</v>
      </c>
      <c r="E815" s="38" t="n">
        <v>48</v>
      </c>
      <c r="F815" s="38" t="n">
        <v>0</v>
      </c>
      <c r="G815" s="38" t="n">
        <v>1469.29</v>
      </c>
      <c r="H815" s="38" t="inlineStr"/>
      <c r="I815" s="38" t="inlineStr"/>
      <c r="J815" s="38" t="inlineStr">
        <is>
          <t>UPI Payment</t>
        </is>
      </c>
      <c r="K815" s="38" t="inlineStr">
        <is>
          <t>Personal</t>
        </is>
      </c>
      <c r="L815" s="25" t="n">
        <v>0.55</v>
      </c>
      <c r="M815" s="38" t="inlineStr">
        <is>
          <t>N/A</t>
        </is>
      </c>
    </row>
    <row r="816">
      <c r="A816" s="37" t="n">
        <v>45375</v>
      </c>
      <c r="B816" s="38" t="inlineStr">
        <is>
          <t>UPIOUT/408440994057/SMARTBAZAAR.27235866@h
df/5722</t>
        </is>
      </c>
      <c r="C816" s="38" t="inlineStr"/>
      <c r="D816" s="37" t="n">
        <v>45375</v>
      </c>
      <c r="E816" s="38" t="n">
        <v>75.2</v>
      </c>
      <c r="F816" s="38" t="n">
        <v>0</v>
      </c>
      <c r="G816" s="38" t="n">
        <v>1394.09</v>
      </c>
      <c r="H816" s="38" t="inlineStr"/>
      <c r="I816" s="38" t="inlineStr"/>
      <c r="J816" s="38" t="inlineStr">
        <is>
          <t>UPI Payment</t>
        </is>
      </c>
      <c r="K816" s="38" t="inlineStr">
        <is>
          <t>Personal</t>
        </is>
      </c>
      <c r="L816" s="25" t="n">
        <v>0.55</v>
      </c>
      <c r="M816" s="38" t="inlineStr">
        <is>
          <t>N/A</t>
        </is>
      </c>
    </row>
    <row r="817">
      <c r="A817" s="35" t="n">
        <v>45375</v>
      </c>
      <c r="B817" s="36" t="inlineStr">
        <is>
          <t>UPIOUT/408541863504/9351005740@paytm/Sent
vi/0000</t>
        </is>
      </c>
      <c r="C817" s="36" t="inlineStr"/>
      <c r="D817" s="35" t="n">
        <v>45376</v>
      </c>
      <c r="E817" s="36" t="n">
        <v>200</v>
      </c>
      <c r="F817" s="36" t="n">
        <v>0</v>
      </c>
      <c r="G817" s="36" t="n">
        <v>1194.09</v>
      </c>
      <c r="H817" s="36" t="inlineStr"/>
      <c r="I817" s="36" t="inlineStr"/>
      <c r="J817" s="36" t="inlineStr">
        <is>
          <t>UPI - Paytm</t>
        </is>
      </c>
      <c r="K817" s="36" t="inlineStr">
        <is>
          <t>Personal</t>
        </is>
      </c>
      <c r="L817" s="34" t="n">
        <v>0.65</v>
      </c>
      <c r="M817" s="36" t="inlineStr">
        <is>
          <t>N/A</t>
        </is>
      </c>
    </row>
    <row r="818">
      <c r="A818" s="37" t="n">
        <v>45376</v>
      </c>
      <c r="B818" s="38" t="inlineStr">
        <is>
          <t>UPIOUT/408524709060/gokhana.payu@indus/UPI
In/7311</t>
        </is>
      </c>
      <c r="C818" s="38" t="inlineStr"/>
      <c r="D818" s="37" t="n">
        <v>45376</v>
      </c>
      <c r="E818" s="38" t="n">
        <v>99</v>
      </c>
      <c r="F818" s="38" t="n">
        <v>0</v>
      </c>
      <c r="G818" s="38" t="n">
        <v>1095.09</v>
      </c>
      <c r="H818" s="38" t="inlineStr"/>
      <c r="I818" s="38" t="inlineStr"/>
      <c r="J818" s="38" t="inlineStr">
        <is>
          <t>UPI Payment</t>
        </is>
      </c>
      <c r="K818" s="38" t="inlineStr">
        <is>
          <t>Personal</t>
        </is>
      </c>
      <c r="L818" s="25" t="n">
        <v>0.55</v>
      </c>
      <c r="M818" s="38" t="inlineStr">
        <is>
          <t>N/A</t>
        </is>
      </c>
    </row>
    <row r="819">
      <c r="A819" s="37" t="n">
        <v>45376</v>
      </c>
      <c r="B819" s="38" t="inlineStr">
        <is>
          <t>UPIOUT/408525568116/gokhana.payu@indus/UPI
In/7311</t>
        </is>
      </c>
      <c r="C819" s="38" t="inlineStr"/>
      <c r="D819" s="37" t="n">
        <v>45376</v>
      </c>
      <c r="E819" s="38" t="n">
        <v>25</v>
      </c>
      <c r="F819" s="38" t="n">
        <v>0</v>
      </c>
      <c r="G819" s="38" t="n">
        <v>1070.09</v>
      </c>
      <c r="H819" s="38" t="inlineStr"/>
      <c r="I819" s="38" t="inlineStr"/>
      <c r="J819" s="38" t="inlineStr">
        <is>
          <t>UPI Payment</t>
        </is>
      </c>
      <c r="K819" s="38" t="inlineStr">
        <is>
          <t>Personal</t>
        </is>
      </c>
      <c r="L819" s="25" t="n">
        <v>0.55</v>
      </c>
      <c r="M819" s="38" t="inlineStr">
        <is>
          <t>N/A</t>
        </is>
      </c>
    </row>
    <row r="820">
      <c r="A820" s="37" t="n">
        <v>45376</v>
      </c>
      <c r="B820" s="38" t="inlineStr">
        <is>
          <t>UPIOUT/408545633501/Q995912267@ybl/Sent
via /5462</t>
        </is>
      </c>
      <c r="C820" s="38" t="inlineStr"/>
      <c r="D820" s="37" t="n">
        <v>45376</v>
      </c>
      <c r="E820" s="38" t="n">
        <v>100</v>
      </c>
      <c r="F820" s="38" t="n">
        <v>0</v>
      </c>
      <c r="G820" s="38" t="n">
        <v>970.09</v>
      </c>
      <c r="H820" s="38" t="inlineStr"/>
      <c r="I820" s="38" t="inlineStr"/>
      <c r="J820" s="38" t="inlineStr">
        <is>
          <t>UPI Payment</t>
        </is>
      </c>
      <c r="K820" s="38" t="inlineStr">
        <is>
          <t>Personal</t>
        </is>
      </c>
      <c r="L820" s="25" t="n">
        <v>0.55</v>
      </c>
      <c r="M820" s="38" t="inlineStr">
        <is>
          <t>N/A</t>
        </is>
      </c>
    </row>
    <row r="821">
      <c r="A821" s="37" t="n">
        <v>45377</v>
      </c>
      <c r="B821" s="38" t="inlineStr">
        <is>
          <t>UPIOUT/408658293874/gokhana.payu@indus/UPI
In/7311</t>
        </is>
      </c>
      <c r="C821" s="38" t="inlineStr"/>
      <c r="D821" s="37" t="n">
        <v>45377</v>
      </c>
      <c r="E821" s="38" t="n">
        <v>110</v>
      </c>
      <c r="F821" s="38" t="n">
        <v>0</v>
      </c>
      <c r="G821" s="38" t="n">
        <v>860.09</v>
      </c>
      <c r="H821" s="38" t="inlineStr"/>
      <c r="I821" s="38" t="inlineStr"/>
      <c r="J821" s="38" t="inlineStr">
        <is>
          <t>UPI Payment</t>
        </is>
      </c>
      <c r="K821" s="38" t="inlineStr">
        <is>
          <t>Personal</t>
        </is>
      </c>
      <c r="L821" s="25" t="n">
        <v>0.55</v>
      </c>
      <c r="M821" s="38" t="inlineStr">
        <is>
          <t>N/A</t>
        </is>
      </c>
    </row>
    <row r="822">
      <c r="A822" s="37" t="n">
        <v>45377</v>
      </c>
      <c r="B822" s="38" t="inlineStr">
        <is>
          <t>UPIOUT/408653357897/prakashajn8828@okicici
/S/0000</t>
        </is>
      </c>
      <c r="C822" s="38" t="inlineStr"/>
      <c r="D822" s="37" t="n">
        <v>45377</v>
      </c>
      <c r="E822" s="38" t="n">
        <v>39</v>
      </c>
      <c r="F822" s="38" t="n">
        <v>0</v>
      </c>
      <c r="G822" s="38" t="n">
        <v>821.09</v>
      </c>
      <c r="H822" s="38" t="inlineStr"/>
      <c r="I822" s="38" t="inlineStr"/>
      <c r="J822" s="38" t="inlineStr">
        <is>
          <t>UPI Payment</t>
        </is>
      </c>
      <c r="K822" s="38" t="inlineStr">
        <is>
          <t>Personal</t>
        </is>
      </c>
      <c r="L822" s="25" t="n">
        <v>0.55</v>
      </c>
      <c r="M822" s="38" t="inlineStr">
        <is>
          <t>N/A</t>
        </is>
      </c>
    </row>
    <row r="823">
      <c r="A823" s="37" t="n">
        <v>45377</v>
      </c>
      <c r="B823" s="38" t="inlineStr">
        <is>
          <t>UPIOUT/408653905238/waseemshariff24291@axl
/S/0000</t>
        </is>
      </c>
      <c r="C823" s="38" t="inlineStr"/>
      <c r="D823" s="37" t="n">
        <v>45377</v>
      </c>
      <c r="E823" s="38" t="n">
        <v>36</v>
      </c>
      <c r="F823" s="38" t="n">
        <v>0</v>
      </c>
      <c r="G823" s="38" t="n">
        <v>785.09</v>
      </c>
      <c r="H823" s="38" t="inlineStr"/>
      <c r="I823" s="38" t="inlineStr"/>
      <c r="J823" s="38" t="inlineStr">
        <is>
          <t>UPI Payment</t>
        </is>
      </c>
      <c r="K823" s="38" t="inlineStr">
        <is>
          <t>Personal</t>
        </is>
      </c>
      <c r="L823" s="25" t="n">
        <v>0.55</v>
      </c>
      <c r="M823" s="38" t="inlineStr">
        <is>
          <t>N/A</t>
        </is>
      </c>
    </row>
    <row r="824">
      <c r="A824" s="35" t="n">
        <v>45377</v>
      </c>
      <c r="B824" s="36" t="inlineStr">
        <is>
          <t>UPIOUT/408654363694/paytmqr110em392r1@payt
m//5462</t>
        </is>
      </c>
      <c r="C824" s="36" t="inlineStr"/>
      <c r="D824" s="35" t="n">
        <v>45377</v>
      </c>
      <c r="E824" s="36" t="n">
        <v>25</v>
      </c>
      <c r="F824" s="36" t="n">
        <v>0</v>
      </c>
      <c r="G824" s="36" t="n">
        <v>760.09</v>
      </c>
      <c r="H824" s="36" t="inlineStr"/>
      <c r="I824" s="36" t="inlineStr"/>
      <c r="J824" s="36" t="inlineStr">
        <is>
          <t>UPI - Paytm</t>
        </is>
      </c>
      <c r="K824" s="36" t="inlineStr">
        <is>
          <t>Personal</t>
        </is>
      </c>
      <c r="L824" s="34" t="n">
        <v>0.65</v>
      </c>
      <c r="M824" s="36" t="inlineStr">
        <is>
          <t>N/A</t>
        </is>
      </c>
    </row>
    <row r="825">
      <c r="A825" s="37" t="n">
        <v>45378</v>
      </c>
      <c r="B825" s="38" t="inlineStr">
        <is>
          <t>UPIOUT/408794601952/gokhana.payu@indus/UPI
In/7311</t>
        </is>
      </c>
      <c r="C825" s="38" t="inlineStr"/>
      <c r="D825" s="37" t="n">
        <v>45378</v>
      </c>
      <c r="E825" s="38" t="n">
        <v>70</v>
      </c>
      <c r="F825" s="38" t="n">
        <v>0</v>
      </c>
      <c r="G825" s="38" t="n">
        <v>690.09</v>
      </c>
      <c r="H825" s="38" t="inlineStr"/>
      <c r="I825" s="38" t="inlineStr"/>
      <c r="J825" s="38" t="inlineStr">
        <is>
          <t>UPI Payment</t>
        </is>
      </c>
      <c r="K825" s="38" t="inlineStr">
        <is>
          <t>Personal</t>
        </is>
      </c>
      <c r="L825" s="25" t="n">
        <v>0.55</v>
      </c>
      <c r="M825" s="38" t="inlineStr">
        <is>
          <t>N/A</t>
        </is>
      </c>
    </row>
    <row r="826">
      <c r="A826" s="37" t="n">
        <v>45378</v>
      </c>
      <c r="B826" s="38" t="inlineStr">
        <is>
          <t>UPIOUT/408794716230/gokhana.payu@indus/UPI
In/7311</t>
        </is>
      </c>
      <c r="C826" s="38" t="inlineStr"/>
      <c r="D826" s="37" t="n">
        <v>45378</v>
      </c>
      <c r="E826" s="38" t="n">
        <v>25</v>
      </c>
      <c r="F826" s="38" t="n">
        <v>0</v>
      </c>
      <c r="G826" s="38" t="n">
        <v>665.09</v>
      </c>
      <c r="H826" s="38" t="inlineStr"/>
      <c r="I826" s="38" t="inlineStr"/>
      <c r="J826" s="38" t="inlineStr">
        <is>
          <t>UPI Payment</t>
        </is>
      </c>
      <c r="K826" s="38" t="inlineStr">
        <is>
          <t>Personal</t>
        </is>
      </c>
      <c r="L826" s="25" t="n">
        <v>0.55</v>
      </c>
      <c r="M826" s="38" t="inlineStr">
        <is>
          <t>N/A</t>
        </is>
      </c>
    </row>
    <row r="827">
      <c r="A827" s="37" t="n">
        <v>45378</v>
      </c>
      <c r="B827" s="38" t="inlineStr">
        <is>
          <t>UPIOUT/408795986875/gokhana.payu@indus/UPI
In/7311</t>
        </is>
      </c>
      <c r="C827" s="38" t="inlineStr"/>
      <c r="D827" s="37" t="n">
        <v>45378</v>
      </c>
      <c r="E827" s="38" t="n">
        <v>200</v>
      </c>
      <c r="F827" s="38" t="n">
        <v>0</v>
      </c>
      <c r="G827" s="38" t="n">
        <v>465.09</v>
      </c>
      <c r="H827" s="38" t="inlineStr"/>
      <c r="I827" s="38" t="inlineStr"/>
      <c r="J827" s="38" t="inlineStr">
        <is>
          <t>UPI Payment</t>
        </is>
      </c>
      <c r="K827" s="38" t="inlineStr">
        <is>
          <t>Personal</t>
        </is>
      </c>
      <c r="L827" s="25" t="n">
        <v>0.55</v>
      </c>
      <c r="M827" s="38" t="inlineStr">
        <is>
          <t>N/A</t>
        </is>
      </c>
    </row>
    <row r="828">
      <c r="A828" s="37" t="n">
        <v>45379</v>
      </c>
      <c r="B828" s="38" t="inlineStr">
        <is>
          <t>UPIOUT/408831449979/toboxventuresprivatel.
pa/5812</t>
        </is>
      </c>
      <c r="C828" s="38" t="inlineStr"/>
      <c r="D828" s="37" t="n">
        <v>45379</v>
      </c>
      <c r="E828" s="38" t="n">
        <v>99</v>
      </c>
      <c r="F828" s="38" t="n">
        <v>0</v>
      </c>
      <c r="G828" s="38" t="n">
        <v>366.09</v>
      </c>
      <c r="H828" s="38" t="inlineStr"/>
      <c r="I828" s="38" t="inlineStr"/>
      <c r="J828" s="38" t="inlineStr">
        <is>
          <t>UPI Payment</t>
        </is>
      </c>
      <c r="K828" s="38" t="inlineStr">
        <is>
          <t>Personal</t>
        </is>
      </c>
      <c r="L828" s="25" t="n">
        <v>0.55</v>
      </c>
      <c r="M828" s="38" t="inlineStr">
        <is>
          <t>N/A</t>
        </is>
      </c>
    </row>
    <row r="829">
      <c r="A829" s="37" t="n">
        <v>45379</v>
      </c>
      <c r="B829" s="38" t="inlineStr">
        <is>
          <t>UPIOUT/408866496281/Q403465439@ybl/Sent
via /5812</t>
        </is>
      </c>
      <c r="C829" s="38" t="inlineStr"/>
      <c r="D829" s="37" t="n">
        <v>45379</v>
      </c>
      <c r="E829" s="38" t="n">
        <v>35</v>
      </c>
      <c r="F829" s="38" t="n">
        <v>0</v>
      </c>
      <c r="G829" s="38" t="n">
        <v>331.09</v>
      </c>
      <c r="H829" s="38" t="inlineStr"/>
      <c r="I829" s="38" t="inlineStr"/>
      <c r="J829" s="38" t="inlineStr">
        <is>
          <t>UPI Payment</t>
        </is>
      </c>
      <c r="K829" s="38" t="inlineStr">
        <is>
          <t>Personal</t>
        </is>
      </c>
      <c r="L829" s="25" t="n">
        <v>0.55</v>
      </c>
      <c r="M829" s="38" t="inlineStr">
        <is>
          <t>N/A</t>
        </is>
      </c>
    </row>
    <row r="830">
      <c r="A830" s="35" t="n">
        <v>45379</v>
      </c>
      <c r="B830" s="36" t="inlineStr">
        <is>
          <t>UPIOUT/408845702991/vilpremum@paytm/UPI/48
14</t>
        </is>
      </c>
      <c r="C830" s="36" t="inlineStr"/>
      <c r="D830" s="35" t="n">
        <v>45379</v>
      </c>
      <c r="E830" s="36" t="n">
        <v>10</v>
      </c>
      <c r="F830" s="36" t="n">
        <v>0</v>
      </c>
      <c r="G830" s="36" t="n">
        <v>321.09</v>
      </c>
      <c r="H830" s="36" t="inlineStr"/>
      <c r="I830" s="36" t="inlineStr"/>
      <c r="J830" s="36" t="inlineStr">
        <is>
          <t>UPI - Paytm</t>
        </is>
      </c>
      <c r="K830" s="36" t="inlineStr">
        <is>
          <t>Personal</t>
        </is>
      </c>
      <c r="L830" s="34" t="n">
        <v>0.65</v>
      </c>
      <c r="M830" s="36" t="inlineStr">
        <is>
          <t>N/A</t>
        </is>
      </c>
    </row>
    <row r="831">
      <c r="A831" s="37" t="n">
        <v>45379</v>
      </c>
      <c r="B831" s="38" t="inlineStr">
        <is>
          <t>UPIOUT/408866646073/Q995912267@ybl/Sent
via /5462</t>
        </is>
      </c>
      <c r="C831" s="38" t="inlineStr"/>
      <c r="D831" s="37" t="n">
        <v>45379</v>
      </c>
      <c r="E831" s="38" t="n">
        <v>35</v>
      </c>
      <c r="F831" s="38" t="n">
        <v>0</v>
      </c>
      <c r="G831" s="38" t="n">
        <v>286.09</v>
      </c>
      <c r="H831" s="38" t="inlineStr"/>
      <c r="I831" s="38" t="inlineStr"/>
      <c r="J831" s="38" t="inlineStr">
        <is>
          <t>UPI Payment</t>
        </is>
      </c>
      <c r="K831" s="38" t="inlineStr">
        <is>
          <t>Personal</t>
        </is>
      </c>
      <c r="L831" s="25" t="n">
        <v>0.55</v>
      </c>
      <c r="M831" s="38" t="inlineStr">
        <is>
          <t>N/A</t>
        </is>
      </c>
    </row>
    <row r="832">
      <c r="A832" s="35" t="n">
        <v>45379</v>
      </c>
      <c r="B832" s="36" t="inlineStr">
        <is>
          <t>UPIOUT/408867487569/paytmqr3zacjjhvyp@payt
m//5462</t>
        </is>
      </c>
      <c r="C832" s="36" t="inlineStr"/>
      <c r="D832" s="35" t="n">
        <v>45379</v>
      </c>
      <c r="E832" s="36" t="n">
        <v>40</v>
      </c>
      <c r="F832" s="36" t="n">
        <v>0</v>
      </c>
      <c r="G832" s="36" t="n">
        <v>246.09</v>
      </c>
      <c r="H832" s="36" t="inlineStr"/>
      <c r="I832" s="36" t="inlineStr"/>
      <c r="J832" s="36" t="inlineStr">
        <is>
          <t>UPI - Paytm</t>
        </is>
      </c>
      <c r="K832" s="36" t="inlineStr">
        <is>
          <t>Personal</t>
        </is>
      </c>
      <c r="L832" s="34" t="n">
        <v>0.65</v>
      </c>
      <c r="M832" s="36" t="inlineStr">
        <is>
          <t>N/A</t>
        </is>
      </c>
    </row>
    <row r="833">
      <c r="A833" s="35" t="n">
        <v>45380</v>
      </c>
      <c r="B833" s="36" t="inlineStr">
        <is>
          <t>UPIOUT/408969561525/paytmqr1munx5557c@payt
m//5462</t>
        </is>
      </c>
      <c r="C833" s="36" t="inlineStr"/>
      <c r="D833" s="35" t="n">
        <v>45380</v>
      </c>
      <c r="E833" s="36" t="n">
        <v>10</v>
      </c>
      <c r="F833" s="36" t="n">
        <v>0</v>
      </c>
      <c r="G833" s="36" t="n">
        <v>236.09</v>
      </c>
      <c r="H833" s="36" t="inlineStr"/>
      <c r="I833" s="36" t="inlineStr"/>
      <c r="J833" s="36" t="inlineStr">
        <is>
          <t>UPI - Paytm</t>
        </is>
      </c>
      <c r="K833" s="36" t="inlineStr">
        <is>
          <t>Personal</t>
        </is>
      </c>
      <c r="L833" s="34" t="n">
        <v>0.65</v>
      </c>
      <c r="M833" s="36" t="inlineStr">
        <is>
          <t>N/A</t>
        </is>
      </c>
    </row>
    <row r="834">
      <c r="A834" s="37" t="n">
        <v>45380</v>
      </c>
      <c r="B834" s="38" t="inlineStr">
        <is>
          <t>UPIOUT/408970975049/toboxventuresprivatel.
pa/5812</t>
        </is>
      </c>
      <c r="C834" s="38" t="inlineStr"/>
      <c r="D834" s="37" t="n">
        <v>45380</v>
      </c>
      <c r="E834" s="38" t="n">
        <v>70</v>
      </c>
      <c r="F834" s="38" t="n">
        <v>0</v>
      </c>
      <c r="G834" s="38" t="n">
        <v>166.09</v>
      </c>
      <c r="H834" s="38" t="inlineStr"/>
      <c r="I834" s="38" t="inlineStr"/>
      <c r="J834" s="38" t="inlineStr">
        <is>
          <t>UPI Payment</t>
        </is>
      </c>
      <c r="K834" s="38" t="inlineStr">
        <is>
          <t>Personal</t>
        </is>
      </c>
      <c r="L834" s="25" t="n">
        <v>0.55</v>
      </c>
      <c r="M834" s="38" t="inlineStr">
        <is>
          <t>N/A</t>
        </is>
      </c>
    </row>
    <row r="835">
      <c r="A835" s="37" t="n">
        <v>45380</v>
      </c>
      <c r="B835" s="38" t="inlineStr">
        <is>
          <t>UPIOUT/408971409242/toboxventuresprivatel.
pa/5812</t>
        </is>
      </c>
      <c r="C835" s="38" t="inlineStr"/>
      <c r="D835" s="37" t="n">
        <v>45380</v>
      </c>
      <c r="E835" s="38" t="n">
        <v>50</v>
      </c>
      <c r="F835" s="38" t="n">
        <v>0</v>
      </c>
      <c r="G835" s="38" t="n">
        <v>116.09</v>
      </c>
      <c r="H835" s="38" t="inlineStr"/>
      <c r="I835" s="38" t="inlineStr"/>
      <c r="J835" s="38" t="inlineStr">
        <is>
          <t>UPI Payment</t>
        </is>
      </c>
      <c r="K835" s="38" t="inlineStr">
        <is>
          <t>Personal</t>
        </is>
      </c>
      <c r="L835" s="25" t="n">
        <v>0.55</v>
      </c>
      <c r="M835" s="38" t="inlineStr">
        <is>
          <t>N/A</t>
        </is>
      </c>
    </row>
    <row r="836">
      <c r="A836" s="35" t="n">
        <v>45381</v>
      </c>
      <c r="B836" s="36" t="inlineStr">
        <is>
          <t>UPIOUT/409076767454/paytmqryue9ksrtp5@payt
m//5812</t>
        </is>
      </c>
      <c r="C836" s="36" t="inlineStr"/>
      <c r="D836" s="35" t="n">
        <v>45381</v>
      </c>
      <c r="E836" s="36" t="n">
        <v>20</v>
      </c>
      <c r="F836" s="36" t="n">
        <v>0</v>
      </c>
      <c r="G836" s="36" t="n">
        <v>96.09</v>
      </c>
      <c r="H836" s="36" t="inlineStr"/>
      <c r="I836" s="36" t="inlineStr"/>
      <c r="J836" s="36" t="inlineStr">
        <is>
          <t>UPI - Paytm</t>
        </is>
      </c>
      <c r="K836" s="36" t="inlineStr">
        <is>
          <t>Personal</t>
        </is>
      </c>
      <c r="L836" s="34" t="n">
        <v>0.65</v>
      </c>
      <c r="M836" s="36" t="inlineStr">
        <is>
          <t>N/A</t>
        </is>
      </c>
    </row>
    <row r="837">
      <c r="A837" s="37" t="n">
        <v>45381</v>
      </c>
      <c r="B837" s="38" t="inlineStr">
        <is>
          <t>UPIOUT/409078285351/Vyapar.168072300538@hd
fc/5812</t>
        </is>
      </c>
      <c r="C837" s="38" t="inlineStr"/>
      <c r="D837" s="37" t="n">
        <v>45381</v>
      </c>
      <c r="E837" s="38" t="n">
        <v>35</v>
      </c>
      <c r="F837" s="38" t="n">
        <v>0</v>
      </c>
      <c r="G837" s="38" t="n">
        <v>61.09</v>
      </c>
      <c r="H837" s="38" t="inlineStr"/>
      <c r="I837" s="38" t="inlineStr"/>
      <c r="J837" s="38" t="inlineStr">
        <is>
          <t>UPI Payment</t>
        </is>
      </c>
      <c r="K837" s="38" t="inlineStr">
        <is>
          <t>Personal</t>
        </is>
      </c>
      <c r="L837" s="25" t="n">
        <v>0.55</v>
      </c>
      <c r="M837" s="38" t="inlineStr">
        <is>
          <t>N/A</t>
        </is>
      </c>
    </row>
    <row r="838">
      <c r="A838" s="35" t="n">
        <v>45381</v>
      </c>
      <c r="B838" s="36" t="inlineStr">
        <is>
          <t>UPIOUT/409080976317/paytmqr1un7bk4a3z@payt
m//5812</t>
        </is>
      </c>
      <c r="C838" s="36" t="inlineStr"/>
      <c r="D838" s="35" t="n">
        <v>45381</v>
      </c>
      <c r="E838" s="36" t="n">
        <v>60</v>
      </c>
      <c r="F838" s="36" t="n">
        <v>0</v>
      </c>
      <c r="G838" s="36" t="n">
        <v>1.09</v>
      </c>
      <c r="H838" s="36" t="inlineStr"/>
      <c r="I838" s="36" t="inlineStr"/>
      <c r="J838" s="36" t="inlineStr">
        <is>
          <t>UPI - Paytm</t>
        </is>
      </c>
      <c r="K838" s="36" t="inlineStr">
        <is>
          <t>Personal</t>
        </is>
      </c>
      <c r="L838" s="34" t="n">
        <v>0.65</v>
      </c>
      <c r="M838" s="36" t="inlineStr">
        <is>
          <t>N/A</t>
        </is>
      </c>
    </row>
    <row r="839">
      <c r="A839" s="87" t="n">
        <v>45381</v>
      </c>
      <c r="B839" s="88" t="inlineStr">
        <is>
          <t>UPI IN/409021378087/9594435259@kotak/MB
UPI/0000</t>
        </is>
      </c>
      <c r="C839" s="88" t="inlineStr"/>
      <c r="D839" s="87" t="n">
        <v>45381</v>
      </c>
      <c r="E839" s="88" t="n">
        <v>0</v>
      </c>
      <c r="F839" s="88" t="n">
        <v>1</v>
      </c>
      <c r="G839" s="88" t="n">
        <v>2.09</v>
      </c>
      <c r="H839" s="88" t="inlineStr"/>
      <c r="I839" s="88" t="inlineStr"/>
      <c r="J839" s="88" t="inlineStr">
        <is>
          <t>Contra - Kotak</t>
        </is>
      </c>
      <c r="K839" s="88" t="inlineStr">
        <is>
          <t>KOTAK 0333</t>
        </is>
      </c>
      <c r="L839" s="18" t="n">
        <v>0.9</v>
      </c>
      <c r="M839" s="88" t="inlineStr">
        <is>
          <t>N/A</t>
        </is>
      </c>
    </row>
    <row r="840">
      <c r="A840" s="87" t="n">
        <v>45381</v>
      </c>
      <c r="B840" s="88" t="inlineStr">
        <is>
          <t>UPI IN/409021381201/9594435259@kotak/MB
UPI/0000</t>
        </is>
      </c>
      <c r="C840" s="88" t="inlineStr"/>
      <c r="D840" s="87" t="n">
        <v>45381</v>
      </c>
      <c r="E840" s="88" t="n">
        <v>0</v>
      </c>
      <c r="F840" s="88" t="n">
        <v>1998</v>
      </c>
      <c r="G840" s="88" t="n">
        <v>2000.09</v>
      </c>
      <c r="H840" s="88" t="inlineStr"/>
      <c r="I840" s="88" t="inlineStr"/>
      <c r="J840" s="88" t="inlineStr">
        <is>
          <t>Contra - Kotak</t>
        </is>
      </c>
      <c r="K840" s="88" t="inlineStr">
        <is>
          <t>KOTAK 0333</t>
        </is>
      </c>
      <c r="L840" s="18" t="n">
        <v>0.9</v>
      </c>
      <c r="M840" s="88" t="inlineStr">
        <is>
          <t>N/A</t>
        </is>
      </c>
    </row>
    <row r="841">
      <c r="A841" s="37" t="n">
        <v>45382</v>
      </c>
      <c r="B841" s="38" t="inlineStr">
        <is>
          <t>UPIOUT/409184031557/Q502213842@ybl/Sent
via /5814</t>
        </is>
      </c>
      <c r="C841" s="38" t="inlineStr"/>
      <c r="D841" s="37" t="n">
        <v>45382</v>
      </c>
      <c r="E841" s="38" t="n">
        <v>80</v>
      </c>
      <c r="F841" s="38" t="n">
        <v>0</v>
      </c>
      <c r="G841" s="38" t="n">
        <v>1920.09</v>
      </c>
      <c r="H841" s="38" t="inlineStr"/>
      <c r="I841" s="38" t="inlineStr"/>
      <c r="J841" s="38" t="inlineStr">
        <is>
          <t>UPI Payment</t>
        </is>
      </c>
      <c r="K841" s="38" t="inlineStr">
        <is>
          <t>Personal</t>
        </is>
      </c>
      <c r="L841" s="25" t="n">
        <v>0.55</v>
      </c>
      <c r="M841" s="38" t="inlineStr">
        <is>
          <t>N/A</t>
        </is>
      </c>
    </row>
    <row r="842">
      <c r="A842" s="37" t="n">
        <v>45382</v>
      </c>
      <c r="B842" s="38" t="inlineStr">
        <is>
          <t>UPIOUT/409184122243/Q328371456@ybl/Sent
via /5812</t>
        </is>
      </c>
      <c r="C842" s="38" t="inlineStr"/>
      <c r="D842" s="37" t="n">
        <v>45382</v>
      </c>
      <c r="E842" s="38" t="n">
        <v>30</v>
      </c>
      <c r="F842" s="38" t="n">
        <v>0</v>
      </c>
      <c r="G842" s="38" t="n">
        <v>1890.09</v>
      </c>
      <c r="H842" s="38" t="inlineStr"/>
      <c r="I842" s="38" t="inlineStr"/>
      <c r="J842" s="38" t="inlineStr">
        <is>
          <t>UPI Payment</t>
        </is>
      </c>
      <c r="K842" s="38" t="inlineStr">
        <is>
          <t>Personal</t>
        </is>
      </c>
      <c r="L842" s="25" t="n">
        <v>0.55</v>
      </c>
      <c r="M842" s="38" t="inlineStr">
        <is>
          <t>N/A</t>
        </is>
      </c>
    </row>
    <row r="843">
      <c r="A843" s="103" t="n">
        <v>45382</v>
      </c>
      <c r="B843" s="104" t="inlineStr">
        <is>
          <t>UPIOUT/409145904712/grofersindiaprivatelim
it/5411</t>
        </is>
      </c>
      <c r="C843" s="104" t="inlineStr"/>
      <c r="D843" s="103" t="n">
        <v>45382</v>
      </c>
      <c r="E843" s="104" t="n">
        <v>593</v>
      </c>
      <c r="F843" s="104" t="n">
        <v>0</v>
      </c>
      <c r="G843" s="104" t="n">
        <v>1297.09</v>
      </c>
      <c r="H843" s="104" t="inlineStr"/>
      <c r="I843" s="104" t="inlineStr"/>
      <c r="J843" s="104" t="inlineStr">
        <is>
          <t>UPI - Blinkit</t>
        </is>
      </c>
      <c r="K843" s="104" t="inlineStr">
        <is>
          <t>Groceries</t>
        </is>
      </c>
      <c r="L843" s="34" t="n">
        <v>0.68</v>
      </c>
      <c r="M843" s="104" t="inlineStr">
        <is>
          <t>N/A</t>
        </is>
      </c>
    </row>
    <row r="844">
      <c r="A844" s="41" t="n">
        <v>45382</v>
      </c>
      <c r="B844" s="42" t="inlineStr">
        <is>
          <t>UPIOUT/409166803480/amazonpaygrocery@yapl/
Yo/5411</t>
        </is>
      </c>
      <c r="C844" s="42" t="inlineStr"/>
      <c r="D844" s="41" t="n">
        <v>45382</v>
      </c>
      <c r="E844" s="42" t="n">
        <v>335</v>
      </c>
      <c r="F844" s="42" t="n">
        <v>0</v>
      </c>
      <c r="G844" s="42" t="n">
        <v>962.09</v>
      </c>
      <c r="H844" s="42" t="inlineStr"/>
      <c r="I844" s="42" t="inlineStr"/>
      <c r="J844" s="42" t="inlineStr">
        <is>
          <t>UPI - Amazon</t>
        </is>
      </c>
      <c r="K844" s="42" t="inlineStr">
        <is>
          <t>Shopping</t>
        </is>
      </c>
      <c r="L844" s="34" t="n">
        <v>0.68</v>
      </c>
      <c r="M844" s="42" t="inlineStr">
        <is>
          <t>N/A</t>
        </is>
      </c>
    </row>
    <row r="845">
      <c r="A845" s="35" t="n">
        <v>45382</v>
      </c>
      <c r="B845" s="36" t="inlineStr">
        <is>
          <t>UPIOUT/409187786854/paytmqr281005050101z94
56/5411</t>
        </is>
      </c>
      <c r="C845" s="36" t="inlineStr"/>
      <c r="D845" s="35" t="n">
        <v>45382</v>
      </c>
      <c r="E845" s="36" t="n">
        <v>35</v>
      </c>
      <c r="F845" s="36" t="n">
        <v>0</v>
      </c>
      <c r="G845" s="36" t="n">
        <v>927.09</v>
      </c>
      <c r="H845" s="36" t="inlineStr"/>
      <c r="I845" s="36" t="inlineStr"/>
      <c r="J845" s="36" t="inlineStr">
        <is>
          <t>UPI - Paytm</t>
        </is>
      </c>
      <c r="K845" s="36" t="inlineStr">
        <is>
          <t>Personal</t>
        </is>
      </c>
      <c r="L845" s="34" t="n">
        <v>0.65</v>
      </c>
      <c r="M845" s="36" t="inlineStr">
        <is>
          <t>N/A</t>
        </is>
      </c>
    </row>
    <row r="846">
      <c r="A846" s="35" t="n">
        <v>45382</v>
      </c>
      <c r="B846" s="36" t="inlineStr">
        <is>
          <t>UPIOUT/409187823907/paytmqr1munx5557c@payt
m//5462</t>
        </is>
      </c>
      <c r="C846" s="36" t="inlineStr"/>
      <c r="D846" s="35" t="n">
        <v>45382</v>
      </c>
      <c r="E846" s="36" t="n">
        <v>16</v>
      </c>
      <c r="F846" s="36" t="n">
        <v>0</v>
      </c>
      <c r="G846" s="36" t="n">
        <v>911.09</v>
      </c>
      <c r="H846" s="36" t="inlineStr"/>
      <c r="I846" s="36" t="inlineStr"/>
      <c r="J846" s="36" t="inlineStr">
        <is>
          <t>UPI - Paytm</t>
        </is>
      </c>
      <c r="K846" s="36" t="inlineStr">
        <is>
          <t>Personal</t>
        </is>
      </c>
      <c r="L846" s="34" t="n">
        <v>0.65</v>
      </c>
      <c r="M846" s="36" t="inlineStr">
        <is>
          <t>N/A</t>
        </is>
      </c>
    </row>
    <row r="847">
      <c r="A847" s="37" t="n">
        <v>45382</v>
      </c>
      <c r="B847" s="38" t="inlineStr">
        <is>
          <t>UPIOUT/409293678666/toboxventuresprivatel.
pa/5812</t>
        </is>
      </c>
      <c r="C847" s="38" t="inlineStr"/>
      <c r="D847" s="37" t="n">
        <v>45383</v>
      </c>
      <c r="E847" s="38" t="n">
        <v>60</v>
      </c>
      <c r="F847" s="38" t="n">
        <v>0</v>
      </c>
      <c r="G847" s="38" t="n">
        <v>851.09</v>
      </c>
      <c r="H847" s="38" t="inlineStr"/>
      <c r="I847" s="38" t="inlineStr"/>
      <c r="J847" s="38" t="inlineStr">
        <is>
          <t>UPI Payment</t>
        </is>
      </c>
      <c r="K847" s="38" t="inlineStr">
        <is>
          <t>Personal</t>
        </is>
      </c>
      <c r="L847" s="25" t="n">
        <v>0.55</v>
      </c>
      <c r="M847" s="38" t="inlineStr">
        <is>
          <t>N/A</t>
        </is>
      </c>
    </row>
    <row r="848">
      <c r="A848" s="35" t="n">
        <v>45382</v>
      </c>
      <c r="B848" s="36" t="inlineStr">
        <is>
          <t>UPIOUT/409294834191/paytmqr1ibz7j076p@payt
m//5311</t>
        </is>
      </c>
      <c r="C848" s="36" t="inlineStr"/>
      <c r="D848" s="35" t="n">
        <v>45383</v>
      </c>
      <c r="E848" s="36" t="n">
        <v>20</v>
      </c>
      <c r="F848" s="36" t="n">
        <v>0</v>
      </c>
      <c r="G848" s="36" t="n">
        <v>831.09</v>
      </c>
      <c r="H848" s="36" t="inlineStr"/>
      <c r="I848" s="36" t="inlineStr"/>
      <c r="J848" s="36" t="inlineStr">
        <is>
          <t>UPI - Paytm</t>
        </is>
      </c>
      <c r="K848" s="36" t="inlineStr">
        <is>
          <t>Personal</t>
        </is>
      </c>
      <c r="L848" s="34" t="n">
        <v>0.65</v>
      </c>
      <c r="M848" s="36" t="inlineStr">
        <is>
          <t>N/A</t>
        </is>
      </c>
    </row>
    <row r="849">
      <c r="A849" s="35" t="n">
        <v>45382</v>
      </c>
      <c r="B849" s="36" t="inlineStr">
        <is>
          <t>UPIOUT/409295559930/paytmqr110em392r1@payt
m//5462</t>
        </is>
      </c>
      <c r="C849" s="36" t="inlineStr"/>
      <c r="D849" s="35" t="n">
        <v>45383</v>
      </c>
      <c r="E849" s="36" t="n">
        <v>60</v>
      </c>
      <c r="F849" s="36" t="n">
        <v>0</v>
      </c>
      <c r="G849" s="36" t="n">
        <v>771.09</v>
      </c>
      <c r="H849" s="36" t="inlineStr"/>
      <c r="I849" s="36" t="inlineStr"/>
      <c r="J849" s="36" t="inlineStr">
        <is>
          <t>UPI - Paytm</t>
        </is>
      </c>
      <c r="K849" s="36" t="inlineStr">
        <is>
          <t>Personal</t>
        </is>
      </c>
      <c r="L849" s="34" t="n">
        <v>0.65</v>
      </c>
      <c r="M849" s="36" t="inlineStr">
        <is>
          <t>N/A</t>
        </is>
      </c>
    </row>
    <row r="850">
      <c r="A850" s="23" t="n"/>
      <c r="B850" s="24" t="inlineStr">
        <is>
          <t>GRAND TOTAL</t>
        </is>
      </c>
      <c r="C850" s="24" t="inlineStr"/>
      <c r="D850" s="23" t="n"/>
      <c r="E850" s="24" t="n">
        <v>179753.05</v>
      </c>
      <c r="F850" s="24" t="n">
        <v>180494.28</v>
      </c>
      <c r="G850" s="24" t="n">
        <v/>
      </c>
      <c r="H850" s="24" t="inlineStr"/>
      <c r="I850" s="24" t="inlineStr"/>
      <c r="J850" s="24" t="inlineStr">
        <is>
          <t>What is this?</t>
        </is>
      </c>
      <c r="K850" s="24" t="inlineStr">
        <is>
          <t>Suspense</t>
        </is>
      </c>
      <c r="L850" s="25" t="n">
        <v>0</v>
      </c>
      <c r="M850" s="24" t="inlineStr">
        <is>
          <t>N/A</t>
        </is>
      </c>
    </row>
  </sheetData>
  <autoFilter ref="A9:M8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52" customWidth="1" min="2" max="2"/>
    <col hidden="1" width="21" customWidth="1" min="3" max="3"/>
    <col hidden="1" width="14" customWidth="1" min="4" max="4"/>
    <col width="8" customWidth="1" min="5" max="5"/>
    <col width="11" customWidth="1" min="6" max="6"/>
    <col hidden="1" width="12" customWidth="1" min="7" max="7"/>
    <col hidden="1" width="15" customWidth="1" min="8" max="8"/>
    <col hidden="1" width="19" customWidth="1" min="9" max="9"/>
    <col width="20" customWidth="1" min="10" max="10"/>
    <col width="17" customWidth="1" min="11" max="11"/>
    <col width="14" customWidth="1" min="12" max="12"/>
    <col width="9" customWidth="1" min="13" max="13"/>
  </cols>
  <sheetData>
    <row r="1">
      <c r="B1" s="1" t="inlineStr">
        <is>
          <t>Kotak Mahindra Bank Narration Sheet</t>
        </is>
      </c>
    </row>
    <row r="2">
      <c r="B2" s="2" t="inlineStr">
        <is>
          <t>Colour Legend of Categories:</t>
        </is>
      </c>
    </row>
    <row r="3">
      <c r="B3" s="11" t="inlineStr">
        <is>
          <t>Auto Sweep FD</t>
        </is>
      </c>
      <c r="C3" s="78" t="inlineStr">
        <is>
          <t>Contra - Jupiter</t>
        </is>
      </c>
      <c r="D3" s="14" t="inlineStr">
        <is>
          <t>Contra - Self</t>
        </is>
      </c>
      <c r="E3" s="85" t="inlineStr">
        <is>
          <t>IMPS Receipt</t>
        </is>
      </c>
      <c r="F3" s="105" t="inlineStr">
        <is>
          <t>Salary</t>
        </is>
      </c>
    </row>
    <row r="4">
      <c r="B4" s="12" t="inlineStr">
        <is>
          <t>Card Purchase</t>
        </is>
      </c>
      <c r="C4" s="9" t="inlineStr">
        <is>
          <t>Bank Interest</t>
        </is>
      </c>
    </row>
    <row r="6">
      <c r="A6" s="15" t="inlineStr">
        <is>
          <t>Date</t>
        </is>
      </c>
      <c r="B6" s="15" t="inlineStr">
        <is>
          <t>Particulars</t>
        </is>
      </c>
      <c r="C6" s="15" t="inlineStr">
        <is>
          <t>Ref</t>
        </is>
      </c>
      <c r="D6" s="15" t="inlineStr">
        <is>
          <t>Value_Date</t>
        </is>
      </c>
      <c r="E6" s="15" t="inlineStr">
        <is>
          <t>DR</t>
        </is>
      </c>
      <c r="F6" s="15" t="inlineStr">
        <is>
          <t>CR</t>
        </is>
      </c>
      <c r="G6" s="15" t="inlineStr">
        <is>
          <t>Balance</t>
        </is>
      </c>
      <c r="H6" s="15" t="inlineStr">
        <is>
          <t>Beneficiary</t>
        </is>
      </c>
      <c r="I6" s="15" t="inlineStr">
        <is>
          <t>Human_Narration</t>
        </is>
      </c>
      <c r="J6" s="15" t="inlineStr">
        <is>
          <t>Auto_Narration</t>
        </is>
      </c>
      <c r="K6" s="15" t="inlineStr">
        <is>
          <t>Account_Head</t>
        </is>
      </c>
      <c r="L6" s="15" t="inlineStr">
        <is>
          <t>Confidence</t>
        </is>
      </c>
      <c r="M6" s="15" t="inlineStr">
        <is>
          <t>Match</t>
        </is>
      </c>
    </row>
    <row r="7">
      <c r="A7" s="35" t="n">
        <v>45366</v>
      </c>
      <c r="B7" s="36" t="inlineStr">
        <is>
          <t>TRANS</t>
        </is>
      </c>
      <c r="C7" s="36" t="inlineStr">
        <is>
          <t>FCM-24031594KVJN</t>
        </is>
      </c>
      <c r="D7" s="35" t="n">
        <v>45366</v>
      </c>
      <c r="E7" s="36" t="n">
        <v>0</v>
      </c>
      <c r="F7" s="36" t="n">
        <v>9109</v>
      </c>
      <c r="G7" s="36" t="n">
        <v>9109</v>
      </c>
      <c r="H7" s="36" t="inlineStr"/>
      <c r="I7" s="36" t="inlineStr"/>
      <c r="J7" s="36" t="inlineStr">
        <is>
          <t>Auto Sweep FD</t>
        </is>
      </c>
      <c r="K7" s="36" t="inlineStr">
        <is>
          <t>Auto Sweep FD</t>
        </is>
      </c>
      <c r="L7" s="34" t="n">
        <v>0.75</v>
      </c>
      <c r="M7" s="36" t="inlineStr">
        <is>
          <t>N/A</t>
        </is>
      </c>
    </row>
    <row r="8">
      <c r="A8" s="87" t="n">
        <v>45369</v>
      </c>
      <c r="B8" s="88" t="inlineStr">
        <is>
          <t>UPI/AAYUSH KUMAR GU/407811693463/MB UPI</t>
        </is>
      </c>
      <c r="C8" s="88" t="inlineStr">
        <is>
          <t>UPI-407898263279</t>
        </is>
      </c>
      <c r="D8" s="87" t="n">
        <v>45369</v>
      </c>
      <c r="E8" s="88" t="n">
        <v>1</v>
      </c>
      <c r="F8" s="88" t="n">
        <v>0</v>
      </c>
      <c r="G8" s="88" t="n">
        <v>9108</v>
      </c>
      <c r="H8" s="88" t="inlineStr"/>
      <c r="I8" s="88" t="inlineStr"/>
      <c r="J8" s="88" t="inlineStr">
        <is>
          <t>Contra - Jupiter</t>
        </is>
      </c>
      <c r="K8" s="88" t="inlineStr">
        <is>
          <t>FEDERAL 0847</t>
        </is>
      </c>
      <c r="L8" s="18" t="n">
        <v>0.95</v>
      </c>
      <c r="M8" s="88" t="inlineStr">
        <is>
          <t>N/A</t>
        </is>
      </c>
    </row>
    <row r="9">
      <c r="A9" s="41" t="n">
        <v>45369</v>
      </c>
      <c r="B9" s="42" t="inlineStr">
        <is>
          <t>UPI/AAYUSH KUMAR GU/407811695179/MB UPI</t>
        </is>
      </c>
      <c r="C9" s="42" t="inlineStr">
        <is>
          <t>UPI-407898305881</t>
        </is>
      </c>
      <c r="D9" s="41" t="n">
        <v>45369</v>
      </c>
      <c r="E9" s="42" t="n">
        <v>4999</v>
      </c>
      <c r="F9" s="42" t="n">
        <v>0</v>
      </c>
      <c r="G9" s="42" t="n">
        <v>4109</v>
      </c>
      <c r="H9" s="42" t="inlineStr"/>
      <c r="I9" s="42" t="inlineStr"/>
      <c r="J9" s="42" t="inlineStr">
        <is>
          <t>Contra - Self</t>
        </is>
      </c>
      <c r="K9" s="42" t="inlineStr">
        <is>
          <t>Transfer</t>
        </is>
      </c>
      <c r="L9" s="34" t="n">
        <v>0.8</v>
      </c>
      <c r="M9" s="42" t="inlineStr">
        <is>
          <t>N/A</t>
        </is>
      </c>
    </row>
    <row r="10">
      <c r="A10" s="41" t="n">
        <v>45370</v>
      </c>
      <c r="B10" s="42" t="inlineStr">
        <is>
          <t>UPI/AAYUSH KUMAR GU/407908004025/MB UPI</t>
        </is>
      </c>
      <c r="C10" s="42" t="inlineStr">
        <is>
          <t>UPI-407933197636</t>
        </is>
      </c>
      <c r="D10" s="41" t="n">
        <v>45370</v>
      </c>
      <c r="E10" s="42" t="n">
        <v>4109</v>
      </c>
      <c r="F10" s="42" t="n">
        <v>0</v>
      </c>
      <c r="G10" s="42" t="n">
        <v>0</v>
      </c>
      <c r="H10" s="42" t="inlineStr"/>
      <c r="I10" s="42" t="inlineStr"/>
      <c r="J10" s="42" t="inlineStr">
        <is>
          <t>Contra - Self</t>
        </is>
      </c>
      <c r="K10" s="42" t="inlineStr">
        <is>
          <t>Transfer</t>
        </is>
      </c>
      <c r="L10" s="34" t="n">
        <v>0.8</v>
      </c>
      <c r="M10" s="42" t="inlineStr">
        <is>
          <t>N/A</t>
        </is>
      </c>
    </row>
    <row r="11">
      <c r="A11" s="101" t="n">
        <v>45374</v>
      </c>
      <c r="B11" s="102" t="inlineStr">
        <is>
          <t>Recd:IMPS/408307273704/CASHFREE P/KKBK/X0008/BAV</t>
        </is>
      </c>
      <c r="C11" s="102" t="inlineStr">
        <is>
          <t>IMPS-408307596920</t>
        </is>
      </c>
      <c r="D11" s="101" t="n">
        <v>45374</v>
      </c>
      <c r="E11" s="102" t="n">
        <v>0</v>
      </c>
      <c r="F11" s="102" t="n">
        <v>1.01</v>
      </c>
      <c r="G11" s="102" t="n">
        <v>1.01</v>
      </c>
      <c r="H11" s="102" t="inlineStr"/>
      <c r="I11" s="102" t="inlineStr"/>
      <c r="J11" s="102" t="inlineStr">
        <is>
          <t>IMPS Receipt</t>
        </is>
      </c>
      <c r="K11" s="102" t="inlineStr">
        <is>
          <t>Personal</t>
        </is>
      </c>
      <c r="L11" s="34" t="n">
        <v>0.72</v>
      </c>
      <c r="M11" s="102" t="inlineStr">
        <is>
          <t>N/A</t>
        </is>
      </c>
    </row>
    <row r="12">
      <c r="A12" s="106" t="n">
        <v>45380</v>
      </c>
      <c r="B12" s="107" t="inlineStr">
        <is>
          <t>SALARYTRANS</t>
        </is>
      </c>
      <c r="C12" s="107" t="inlineStr">
        <is>
          <t>FCM-2403299ES9MP</t>
        </is>
      </c>
      <c r="D12" s="106" t="n">
        <v>45380</v>
      </c>
      <c r="E12" s="107" t="n">
        <v>0</v>
      </c>
      <c r="F12" s="107" t="n">
        <v>63942</v>
      </c>
      <c r="G12" s="107" t="n">
        <v>63943.01</v>
      </c>
      <c r="H12" s="107" t="inlineStr"/>
      <c r="I12" s="107" t="inlineStr"/>
      <c r="J12" s="107" t="inlineStr">
        <is>
          <t>Salary</t>
        </is>
      </c>
      <c r="K12" s="107" t="inlineStr">
        <is>
          <t>Salary</t>
        </is>
      </c>
      <c r="L12" s="18" t="n">
        <v>0.95</v>
      </c>
      <c r="M12" s="107" t="inlineStr">
        <is>
          <t>N/A</t>
        </is>
      </c>
    </row>
    <row r="13">
      <c r="A13" s="87" t="n">
        <v>45381</v>
      </c>
      <c r="B13" s="88" t="inlineStr">
        <is>
          <t>UPI/AAYUSH KUMAR GU/409021378087/MB UPI</t>
        </is>
      </c>
      <c r="C13" s="88" t="inlineStr">
        <is>
          <t>UPI-409009155467</t>
        </is>
      </c>
      <c r="D13" s="87" t="n">
        <v>45381</v>
      </c>
      <c r="E13" s="88" t="n">
        <v>1</v>
      </c>
      <c r="F13" s="88" t="n">
        <v>0</v>
      </c>
      <c r="G13" s="88" t="n">
        <v>63942.01</v>
      </c>
      <c r="H13" s="88" t="inlineStr"/>
      <c r="I13" s="88" t="inlineStr"/>
      <c r="J13" s="88" t="inlineStr">
        <is>
          <t>Contra - Jupiter</t>
        </is>
      </c>
      <c r="K13" s="88" t="inlineStr">
        <is>
          <t>FEDERAL 0847</t>
        </is>
      </c>
      <c r="L13" s="18" t="n">
        <v>0.95</v>
      </c>
      <c r="M13" s="88" t="inlineStr">
        <is>
          <t>N/A</t>
        </is>
      </c>
    </row>
    <row r="14">
      <c r="A14" s="87" t="n">
        <v>45381</v>
      </c>
      <c r="B14" s="88" t="inlineStr">
        <is>
          <t>UPI/AAYUSH KUMAR GU/409021379488/MB UPI</t>
        </is>
      </c>
      <c r="C14" s="88" t="inlineStr">
        <is>
          <t>UPI-409009192485</t>
        </is>
      </c>
      <c r="D14" s="87" t="n">
        <v>45381</v>
      </c>
      <c r="E14" s="88" t="n">
        <v>1998</v>
      </c>
      <c r="F14" s="88" t="n">
        <v>0</v>
      </c>
      <c r="G14" s="88" t="n">
        <v>61944.01</v>
      </c>
      <c r="H14" s="88" t="inlineStr"/>
      <c r="I14" s="88" t="inlineStr"/>
      <c r="J14" s="88" t="inlineStr">
        <is>
          <t>Contra - Jupiter</t>
        </is>
      </c>
      <c r="K14" s="88" t="inlineStr">
        <is>
          <t>FEDERAL 0847</t>
        </is>
      </c>
      <c r="L14" s="18" t="n">
        <v>0.95</v>
      </c>
      <c r="M14" s="88" t="inlineStr">
        <is>
          <t>N/A</t>
        </is>
      </c>
    </row>
    <row r="15">
      <c r="A15" s="87" t="n">
        <v>45381</v>
      </c>
      <c r="B15" s="88" t="inlineStr">
        <is>
          <t>UPI/AAYUSH KUMAR GU/409021381201/MB UPI</t>
        </is>
      </c>
      <c r="C15" s="88" t="inlineStr">
        <is>
          <t>UPI-409009233431</t>
        </is>
      </c>
      <c r="D15" s="87" t="n">
        <v>45381</v>
      </c>
      <c r="E15" s="88" t="n">
        <v>1998</v>
      </c>
      <c r="F15" s="88" t="n">
        <v>0</v>
      </c>
      <c r="G15" s="88" t="n">
        <v>59946.01</v>
      </c>
      <c r="H15" s="88" t="inlineStr"/>
      <c r="I15" s="88" t="inlineStr"/>
      <c r="J15" s="88" t="inlineStr">
        <is>
          <t>Contra - Jupiter</t>
        </is>
      </c>
      <c r="K15" s="88" t="inlineStr">
        <is>
          <t>FEDERAL 0847</t>
        </is>
      </c>
      <c r="L15" s="18" t="n">
        <v>0.95</v>
      </c>
      <c r="M15" s="88" t="inlineStr">
        <is>
          <t>N/A</t>
        </is>
      </c>
    </row>
    <row r="16">
      <c r="A16" s="37" t="n">
        <v>45382</v>
      </c>
      <c r="B16" s="38" t="inlineStr">
        <is>
          <t>PCD/4395/GYFTR COM/7840089543310324/20:49</t>
        </is>
      </c>
      <c r="C16" s="38" t="n">
        <v>409115178316</v>
      </c>
      <c r="D16" s="37" t="n">
        <v>45382</v>
      </c>
      <c r="E16" s="38" t="n">
        <v>245</v>
      </c>
      <c r="F16" s="38" t="n">
        <v>0</v>
      </c>
      <c r="G16" s="38" t="n">
        <v>59701.01</v>
      </c>
      <c r="H16" s="38" t="inlineStr"/>
      <c r="I16" s="38" t="inlineStr"/>
      <c r="J16" s="38" t="inlineStr">
        <is>
          <t>Card Purchase</t>
        </is>
      </c>
      <c r="K16" s="38" t="inlineStr">
        <is>
          <t>Personal</t>
        </is>
      </c>
      <c r="L16" s="18" t="n">
        <v>0.88</v>
      </c>
      <c r="M16" s="38" t="inlineStr">
        <is>
          <t>N/A</t>
        </is>
      </c>
    </row>
    <row r="17">
      <c r="A17" s="30" t="n">
        <v>45383</v>
      </c>
      <c r="B17" s="31" t="inlineStr">
        <is>
          <t>Int.Pd:3649610333:01-01-2024 to 31-03-2024</t>
        </is>
      </c>
      <c r="C17" s="31" t="n">
        <v/>
      </c>
      <c r="D17" s="30" t="n">
        <v>45382</v>
      </c>
      <c r="E17" s="31" t="n">
        <v>0</v>
      </c>
      <c r="F17" s="31" t="n">
        <v>21</v>
      </c>
      <c r="G17" s="31" t="n">
        <v>59722.01</v>
      </c>
      <c r="H17" s="31" t="inlineStr"/>
      <c r="I17" s="31" t="inlineStr"/>
      <c r="J17" s="31" t="inlineStr">
        <is>
          <t>Bank Interest</t>
        </is>
      </c>
      <c r="K17" s="31" t="inlineStr">
        <is>
          <t>Bank Interest</t>
        </is>
      </c>
      <c r="L17" s="18" t="n">
        <v>0.95</v>
      </c>
      <c r="M17" s="31" t="inlineStr">
        <is>
          <t>N/A</t>
        </is>
      </c>
    </row>
  </sheetData>
  <autoFilter ref="A6:M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45" customWidth="1" min="2" max="2"/>
    <col hidden="1" width="54" customWidth="1" min="3" max="3"/>
    <col hidden="1" width="14" customWidth="1" min="4" max="4"/>
    <col width="7" customWidth="1" min="5" max="5"/>
    <col width="10" customWidth="1" min="6" max="6"/>
    <col hidden="1" width="11" customWidth="1" min="7" max="7"/>
    <col hidden="1" width="15" customWidth="1" min="8" max="8"/>
    <col hidden="1" width="19" customWidth="1" min="9" max="9"/>
    <col width="18" customWidth="1" min="10" max="10"/>
    <col width="17" customWidth="1" min="11" max="11"/>
    <col width="14" customWidth="1" min="12" max="12"/>
    <col width="9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6" t="inlineStr">
        <is>
          <t>What is this?</t>
        </is>
      </c>
      <c r="C3" s="9" t="inlineStr">
        <is>
          <t>Bank Interest</t>
        </is>
      </c>
    </row>
    <row r="5">
      <c r="A5" s="15" t="inlineStr">
        <is>
          <t>Date</t>
        </is>
      </c>
      <c r="B5" s="15" t="inlineStr">
        <is>
          <t>Particulars</t>
        </is>
      </c>
      <c r="C5" s="15" t="inlineStr">
        <is>
          <t>Ref</t>
        </is>
      </c>
      <c r="D5" s="15" t="inlineStr">
        <is>
          <t>Value_Date</t>
        </is>
      </c>
      <c r="E5" s="15" t="inlineStr">
        <is>
          <t>DR</t>
        </is>
      </c>
      <c r="F5" s="15" t="inlineStr">
        <is>
          <t>CR</t>
        </is>
      </c>
      <c r="G5" s="15" t="inlineStr">
        <is>
          <t>Balance</t>
        </is>
      </c>
      <c r="H5" s="15" t="inlineStr">
        <is>
          <t>Beneficiary</t>
        </is>
      </c>
      <c r="I5" s="15" t="inlineStr">
        <is>
          <t>Human_Narration</t>
        </is>
      </c>
      <c r="J5" s="15" t="inlineStr">
        <is>
          <t>Auto_Narration</t>
        </is>
      </c>
      <c r="K5" s="15" t="inlineStr">
        <is>
          <t>Account_Head</t>
        </is>
      </c>
      <c r="L5" s="15" t="inlineStr">
        <is>
          <t>Confidence</t>
        </is>
      </c>
      <c r="M5" s="15" t="inlineStr">
        <is>
          <t>Match</t>
        </is>
      </c>
    </row>
    <row r="6">
      <c r="A6" s="23" t="n">
        <v>45211</v>
      </c>
      <c r="B6" s="24" t="inlineStr">
        <is>
          <t xml:space="preserve">   BY TRANSFER-INB Deposit / Investment--</t>
        </is>
      </c>
      <c r="C6" s="24" t="inlineStr">
        <is>
          <t>IF38973887               TRANSFER FROM 20276981227</t>
        </is>
      </c>
      <c r="D6" s="23" t="n">
        <v>45211</v>
      </c>
      <c r="E6" s="24" t="n">
        <v>0</v>
      </c>
      <c r="F6" s="24" t="n">
        <v>5000</v>
      </c>
      <c r="G6" s="24" t="n">
        <v>22941</v>
      </c>
      <c r="H6" s="24" t="inlineStr"/>
      <c r="I6" s="24" t="inlineStr"/>
      <c r="J6" s="24" t="inlineStr">
        <is>
          <t>What is this?</t>
        </is>
      </c>
      <c r="K6" s="24" t="inlineStr">
        <is>
          <t>Suspense</t>
        </is>
      </c>
      <c r="L6" s="25" t="n">
        <v>0</v>
      </c>
      <c r="M6" s="24" t="inlineStr">
        <is>
          <t>N/A</t>
        </is>
      </c>
    </row>
    <row r="7">
      <c r="A7" s="30" t="n">
        <v>45382</v>
      </c>
      <c r="B7" s="31" t="inlineStr">
        <is>
          <t xml:space="preserve">   CREDIT INTEREST---</t>
        </is>
      </c>
      <c r="C7" s="31" t="n">
        <v/>
      </c>
      <c r="D7" s="30" t="n">
        <v>45382</v>
      </c>
      <c r="E7" s="31" t="n">
        <v>0</v>
      </c>
      <c r="F7" s="31" t="n">
        <v>1422</v>
      </c>
      <c r="G7" s="31" t="n">
        <v>24363</v>
      </c>
      <c r="H7" s="31" t="inlineStr"/>
      <c r="I7" s="31" t="inlineStr"/>
      <c r="J7" s="31" t="inlineStr">
        <is>
          <t>Bank Interest</t>
        </is>
      </c>
      <c r="K7" s="31" t="inlineStr">
        <is>
          <t>Bank Interest</t>
        </is>
      </c>
      <c r="L7" s="18" t="n">
        <v>0.9</v>
      </c>
      <c r="M7" s="31" t="inlineStr">
        <is>
          <t>N/A</t>
        </is>
      </c>
    </row>
  </sheetData>
  <autoFilter ref="A5:M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1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width="60" customWidth="1" min="2" max="2"/>
    <col hidden="1" width="54" customWidth="1" min="3" max="3"/>
    <col hidden="1" width="14" customWidth="1" min="4" max="4"/>
    <col width="11" customWidth="1" min="5" max="5"/>
    <col width="12" customWidth="1" min="6" max="6"/>
    <col hidden="1" width="13" customWidth="1" min="7" max="7"/>
    <col hidden="1" width="15" customWidth="1" min="8" max="8"/>
    <col hidden="1" width="19" customWidth="1" min="9" max="9"/>
    <col width="27" customWidth="1" min="10" max="10"/>
    <col width="27" customWidth="1" min="11" max="11"/>
    <col width="14" customWidth="1" min="12" max="12"/>
    <col width="9" customWidth="1" min="13" max="13"/>
  </cols>
  <sheetData>
    <row r="1">
      <c r="B1" s="1" t="inlineStr">
        <is>
          <t>State Bank of India Narration Sheet</t>
        </is>
      </c>
    </row>
    <row r="2">
      <c r="B2" s="2" t="inlineStr">
        <is>
          <t>Colour Legend of Categories:</t>
        </is>
      </c>
    </row>
    <row r="3">
      <c r="B3" s="85" t="inlineStr">
        <is>
          <t>Received - Ayushi M</t>
        </is>
      </c>
      <c r="C3" s="12" t="inlineStr">
        <is>
          <t>UPI Payment</t>
        </is>
      </c>
      <c r="D3" s="85" t="inlineStr">
        <is>
          <t>Received - Prashant</t>
        </is>
      </c>
      <c r="E3" s="45" t="inlineStr">
        <is>
          <t>Zerodha Broking</t>
        </is>
      </c>
      <c r="F3" s="11" t="inlineStr">
        <is>
          <t>UPI - Paytm</t>
        </is>
      </c>
    </row>
    <row r="4">
      <c r="B4" s="83" t="inlineStr">
        <is>
          <t>UPI - Swiggy</t>
        </is>
      </c>
      <c r="C4" s="5" t="inlineStr">
        <is>
          <t>UPI - IRCTC</t>
        </is>
      </c>
      <c r="D4" s="7" t="inlineStr">
        <is>
          <t>Transfer - Ajay Gupta</t>
        </is>
      </c>
      <c r="E4" s="80" t="inlineStr">
        <is>
          <t>UPI - Uber</t>
        </is>
      </c>
      <c r="F4" s="48" t="inlineStr">
        <is>
          <t>Dividend Income</t>
        </is>
      </c>
    </row>
    <row r="5">
      <c r="B5" s="46" t="inlineStr">
        <is>
          <t>Cash Withdrawal</t>
        </is>
      </c>
      <c r="C5" s="81" t="inlineStr">
        <is>
          <t>UPI - Google Pay</t>
        </is>
      </c>
      <c r="D5" s="6" t="inlineStr">
        <is>
          <t>What is this?</t>
        </is>
      </c>
      <c r="E5" s="84" t="inlineStr">
        <is>
          <t>UPI - Zomato</t>
        </is>
      </c>
      <c r="F5" s="13" t="inlineStr">
        <is>
          <t>Received - Archit Gupta</t>
        </is>
      </c>
    </row>
    <row r="6">
      <c r="B6" s="13" t="inlineStr">
        <is>
          <t>Transfer - Archit Gupta</t>
        </is>
      </c>
      <c r="C6" s="85" t="inlineStr">
        <is>
          <t>Received - Ganesh B</t>
        </is>
      </c>
      <c r="D6" s="14" t="inlineStr">
        <is>
          <t>UPI - Amazon</t>
        </is>
      </c>
      <c r="E6" s="85" t="inlineStr">
        <is>
          <t>Received - Dealskar</t>
        </is>
      </c>
      <c r="F6" s="85" t="inlineStr">
        <is>
          <t>Received - Tanuja M</t>
        </is>
      </c>
    </row>
    <row r="7">
      <c r="B7" s="85" t="inlineStr">
        <is>
          <t>Received - Sangam P</t>
        </is>
      </c>
      <c r="C7" s="10" t="inlineStr">
        <is>
          <t>UPI - BharatPe</t>
        </is>
      </c>
      <c r="D7" s="108" t="inlineStr">
        <is>
          <t>UPI - MedPlus</t>
        </is>
      </c>
      <c r="E7" s="45" t="inlineStr">
        <is>
          <t>NEFT Transfer</t>
        </is>
      </c>
      <c r="F7" s="85" t="inlineStr">
        <is>
          <t>Received - Pranav</t>
        </is>
      </c>
    </row>
    <row r="8">
      <c r="B8" s="85" t="inlineStr">
        <is>
          <t>Received - Shashank</t>
        </is>
      </c>
      <c r="C8" s="85" t="inlineStr">
        <is>
          <t>Received - Vendekin</t>
        </is>
      </c>
      <c r="D8" s="85" t="inlineStr">
        <is>
          <t>Received - Monish K</t>
        </is>
      </c>
      <c r="E8" s="85" t="inlineStr">
        <is>
          <t>Received - Adarsh N</t>
        </is>
      </c>
      <c r="F8" s="78" t="inlineStr">
        <is>
          <t>Contra - Jupiter</t>
        </is>
      </c>
    </row>
    <row r="9">
      <c r="B9" s="9" t="inlineStr">
        <is>
          <t>Bank Interest</t>
        </is>
      </c>
      <c r="C9" s="85" t="inlineStr">
        <is>
          <t>Received - Gaurav S</t>
        </is>
      </c>
      <c r="D9" s="85" t="inlineStr">
        <is>
          <t>Received - Tirtha T</t>
        </is>
      </c>
      <c r="E9" s="85" t="inlineStr">
        <is>
          <t>Received - Shivansh</t>
        </is>
      </c>
      <c r="F9" s="85" t="inlineStr">
        <is>
          <t>Received - Nitish K</t>
        </is>
      </c>
    </row>
    <row r="10">
      <c r="B10" s="85" t="inlineStr">
        <is>
          <t>Received - Vysakh R K</t>
        </is>
      </c>
      <c r="C10" s="85" t="inlineStr">
        <is>
          <t>Received - Vivek Ku</t>
        </is>
      </c>
      <c r="D10" s="85" t="inlineStr">
        <is>
          <t>Received - Aditi  G</t>
        </is>
      </c>
    </row>
    <row r="12">
      <c r="A12" s="15" t="inlineStr">
        <is>
          <t>Date</t>
        </is>
      </c>
      <c r="B12" s="15" t="inlineStr">
        <is>
          <t>Particulars</t>
        </is>
      </c>
      <c r="C12" s="15" t="inlineStr">
        <is>
          <t>Ref</t>
        </is>
      </c>
      <c r="D12" s="15" t="inlineStr">
        <is>
          <t>Value_Date</t>
        </is>
      </c>
      <c r="E12" s="15" t="inlineStr">
        <is>
          <t>DR</t>
        </is>
      </c>
      <c r="F12" s="15" t="inlineStr">
        <is>
          <t>CR</t>
        </is>
      </c>
      <c r="G12" s="15" t="inlineStr">
        <is>
          <t>Balance</t>
        </is>
      </c>
      <c r="H12" s="15" t="inlineStr">
        <is>
          <t>Beneficiary</t>
        </is>
      </c>
      <c r="I12" s="15" t="inlineStr">
        <is>
          <t>Human_Narration</t>
        </is>
      </c>
      <c r="J12" s="15" t="inlineStr">
        <is>
          <t>Auto_Narration</t>
        </is>
      </c>
      <c r="K12" s="15" t="inlineStr">
        <is>
          <t>Account_Head</t>
        </is>
      </c>
      <c r="L12" s="15" t="inlineStr">
        <is>
          <t>Confidence</t>
        </is>
      </c>
      <c r="M12" s="15" t="inlineStr">
        <is>
          <t>Match</t>
        </is>
      </c>
    </row>
    <row r="13">
      <c r="A13" s="101" t="n">
        <v>45017</v>
      </c>
      <c r="B13" s="102" t="inlineStr">
        <is>
          <t xml:space="preserve">   BY TRANSFER-UPI/CR/309169418415/AYUSHI M/PUNB/nainamitta/UPI--</t>
        </is>
      </c>
      <c r="C13" s="102" t="inlineStr">
        <is>
          <t>TRANSFER FROM 4693130162091</t>
        </is>
      </c>
      <c r="D13" s="101" t="n">
        <v>45017</v>
      </c>
      <c r="E13" s="102" t="n">
        <v>0</v>
      </c>
      <c r="F13" s="102" t="n">
        <v>95</v>
      </c>
      <c r="G13" s="102" t="n">
        <v>124490.27</v>
      </c>
      <c r="H13" s="102" t="inlineStr"/>
      <c r="I13" s="102" t="inlineStr"/>
      <c r="J13" s="102" t="inlineStr">
        <is>
          <t>Received - Ayushi M</t>
        </is>
      </c>
      <c r="K13" s="102" t="inlineStr">
        <is>
          <t>Personal</t>
        </is>
      </c>
      <c r="L13" s="25" t="n">
        <v>0.55</v>
      </c>
      <c r="M13" s="102" t="inlineStr">
        <is>
          <t>N/A</t>
        </is>
      </c>
    </row>
    <row r="14">
      <c r="A14" s="37" t="n">
        <v>45017</v>
      </c>
      <c r="B14" s="38" t="inlineStr">
        <is>
          <t xml:space="preserve">   TO TRANSFER-UPI/DR/309140926569/BANANA L/HDFC/bananaleaf/UPI--</t>
        </is>
      </c>
      <c r="C14" s="38" t="inlineStr">
        <is>
          <t>TRANSFER TO 4692478162093</t>
        </is>
      </c>
      <c r="D14" s="37" t="n">
        <v>45017</v>
      </c>
      <c r="E14" s="38" t="n">
        <v>70</v>
      </c>
      <c r="F14" s="38" t="n">
        <v>0</v>
      </c>
      <c r="G14" s="38" t="n">
        <v>124420.27</v>
      </c>
      <c r="H14" s="38" t="inlineStr">
        <is>
          <t>Banana L</t>
        </is>
      </c>
      <c r="I14" s="38" t="inlineStr"/>
      <c r="J14" s="38" t="inlineStr">
        <is>
          <t>UPI Payment</t>
        </is>
      </c>
      <c r="K14" s="38" t="inlineStr">
        <is>
          <t>Personal</t>
        </is>
      </c>
      <c r="L14" s="25" t="n">
        <v>0.55</v>
      </c>
      <c r="M14" s="38" t="inlineStr">
        <is>
          <t>N/A</t>
        </is>
      </c>
    </row>
    <row r="15">
      <c r="A15" s="37" t="n">
        <v>45018</v>
      </c>
      <c r="B15" s="38" t="inlineStr">
        <is>
          <t xml:space="preserve">   TO TRANSFER-UPI/DR/309276354517/LUCKY DH/YESB/q57871899@/UPI--</t>
        </is>
      </c>
      <c r="C15" s="38" t="inlineStr">
        <is>
          <t>TRANSFER TO 5098091162092</t>
        </is>
      </c>
      <c r="D15" s="37" t="n">
        <v>45018</v>
      </c>
      <c r="E15" s="38" t="n">
        <v>90</v>
      </c>
      <c r="F15" s="38" t="n">
        <v>0</v>
      </c>
      <c r="G15" s="38" t="n">
        <v>124330.27</v>
      </c>
      <c r="H15" s="38" t="inlineStr">
        <is>
          <t>Lucky Dh</t>
        </is>
      </c>
      <c r="I15" s="38" t="inlineStr"/>
      <c r="J15" s="38" t="inlineStr">
        <is>
          <t>UPI Payment</t>
        </is>
      </c>
      <c r="K15" s="38" t="inlineStr">
        <is>
          <t>Personal</t>
        </is>
      </c>
      <c r="L15" s="25" t="n">
        <v>0.55</v>
      </c>
      <c r="M15" s="38" t="inlineStr">
        <is>
          <t>N/A</t>
        </is>
      </c>
    </row>
    <row r="16">
      <c r="A16" s="101" t="n">
        <v>45018</v>
      </c>
      <c r="B16" s="102" t="inlineStr">
        <is>
          <t xml:space="preserve">   BY TRANSFER-UPI/CR/309286549772/PRASHANT/HDFC/pkaps1997@/UPI--</t>
        </is>
      </c>
      <c r="C16" s="102" t="inlineStr">
        <is>
          <t>TRANSFER FROM 4695271162095</t>
        </is>
      </c>
      <c r="D16" s="101" t="n">
        <v>45018</v>
      </c>
      <c r="E16" s="102" t="n">
        <v>0</v>
      </c>
      <c r="F16" s="102" t="n">
        <v>30</v>
      </c>
      <c r="G16" s="102" t="n">
        <v>124360.27</v>
      </c>
      <c r="H16" s="102" t="inlineStr"/>
      <c r="I16" s="102" t="inlineStr"/>
      <c r="J16" s="102" t="inlineStr">
        <is>
          <t>Received - Prashant</t>
        </is>
      </c>
      <c r="K16" s="102" t="inlineStr">
        <is>
          <t>Personal</t>
        </is>
      </c>
      <c r="L16" s="25" t="n">
        <v>0.55</v>
      </c>
      <c r="M16" s="102" t="inlineStr">
        <is>
          <t>N/A</t>
        </is>
      </c>
    </row>
    <row r="17">
      <c r="A17" s="37" t="n">
        <v>45018</v>
      </c>
      <c r="B17" s="38" t="inlineStr">
        <is>
          <t xml:space="preserve">   TO TRANSFER-UPI/DR/309274214572/PRATYAY /SBIN/7073096110/NA--</t>
        </is>
      </c>
      <c r="C17" s="38" t="inlineStr">
        <is>
          <t>TRANSFER TO 5098127162096</t>
        </is>
      </c>
      <c r="D17" s="37" t="n">
        <v>45018</v>
      </c>
      <c r="E17" s="38" t="n">
        <v>210</v>
      </c>
      <c r="F17" s="38" t="n">
        <v>0</v>
      </c>
      <c r="G17" s="38" t="n">
        <v>124150.27</v>
      </c>
      <c r="H17" s="38" t="inlineStr">
        <is>
          <t>Pratyay</t>
        </is>
      </c>
      <c r="I17" s="38" t="inlineStr"/>
      <c r="J17" s="38" t="inlineStr">
        <is>
          <t>UPI Payment</t>
        </is>
      </c>
      <c r="K17" s="38" t="inlineStr">
        <is>
          <t>Personal</t>
        </is>
      </c>
      <c r="L17" s="25" t="n">
        <v>0.55</v>
      </c>
      <c r="M17" s="38" t="inlineStr">
        <is>
          <t>N/A</t>
        </is>
      </c>
    </row>
    <row r="18">
      <c r="A18" s="37" t="n">
        <v>45018</v>
      </c>
      <c r="B18" s="38" t="inlineStr">
        <is>
          <t xml:space="preserve">   TO TRANSFER-UPI/DR/345885628443/WWW VODA/HDFC/vodafone1./UPI--</t>
        </is>
      </c>
      <c r="C18" s="38" t="inlineStr">
        <is>
          <t>TRANSFER TO 5098093162090</t>
        </is>
      </c>
      <c r="D18" s="37" t="n">
        <v>45018</v>
      </c>
      <c r="E18" s="38" t="n">
        <v>459</v>
      </c>
      <c r="F18" s="38" t="n">
        <v>0</v>
      </c>
      <c r="G18" s="38" t="n">
        <v>123691.27</v>
      </c>
      <c r="H18" s="38" t="inlineStr">
        <is>
          <t>Www Voda</t>
        </is>
      </c>
      <c r="I18" s="38" t="inlineStr"/>
      <c r="J18" s="38" t="inlineStr">
        <is>
          <t>UPI Payment</t>
        </is>
      </c>
      <c r="K18" s="38" t="inlineStr">
        <is>
          <t>Personal</t>
        </is>
      </c>
      <c r="L18" s="25" t="n">
        <v>0.55</v>
      </c>
      <c r="M18" s="38" t="inlineStr">
        <is>
          <t>N/A</t>
        </is>
      </c>
    </row>
    <row r="19">
      <c r="A19" s="37" t="n">
        <v>45018</v>
      </c>
      <c r="B19" s="38" t="inlineStr">
        <is>
          <t xml:space="preserve">   TO TRANSFER-UPI/DR/309277368845/KUNAL BH/HDFC/kunalbhard/UPI--</t>
        </is>
      </c>
      <c r="C19" s="38" t="inlineStr">
        <is>
          <t>TRANSFER TO 5099812162090</t>
        </is>
      </c>
      <c r="D19" s="37" t="n">
        <v>45018</v>
      </c>
      <c r="E19" s="38" t="n">
        <v>71</v>
      </c>
      <c r="F19" s="38" t="n">
        <v>0</v>
      </c>
      <c r="G19" s="38" t="n">
        <v>123620.27</v>
      </c>
      <c r="H19" s="38" t="inlineStr">
        <is>
          <t>Kunal Bh</t>
        </is>
      </c>
      <c r="I19" s="38" t="inlineStr"/>
      <c r="J19" s="38" t="inlineStr">
        <is>
          <t>UPI Payment</t>
        </is>
      </c>
      <c r="K19" s="38" t="inlineStr">
        <is>
          <t>Personal</t>
        </is>
      </c>
      <c r="L19" s="25" t="n">
        <v>0.55</v>
      </c>
      <c r="M19" s="38" t="inlineStr">
        <is>
          <t>N/A</t>
        </is>
      </c>
    </row>
    <row r="20">
      <c r="A20" s="58" t="n">
        <v>45019</v>
      </c>
      <c r="B20" s="59" t="inlineStr">
        <is>
          <t xml:space="preserve">   TO TRANSFER-UPI/DR/345945568018/Zerodha /HDFC/zerodhabro/08956--</t>
        </is>
      </c>
      <c r="C20" s="59" t="inlineStr">
        <is>
          <t>TRANSFER TO 4695788162098</t>
        </is>
      </c>
      <c r="D20" s="58" t="n">
        <v>45019</v>
      </c>
      <c r="E20" s="59" t="n">
        <v>5000</v>
      </c>
      <c r="F20" s="59" t="n">
        <v>0</v>
      </c>
      <c r="G20" s="59" t="n">
        <v>118620.27</v>
      </c>
      <c r="H20" s="59" t="inlineStr"/>
      <c r="I20" s="59" t="inlineStr"/>
      <c r="J20" s="59" t="inlineStr">
        <is>
          <t>Zerodha Broking</t>
        </is>
      </c>
      <c r="K20" s="59" t="inlineStr">
        <is>
          <t>Zerodha Broking Limited</t>
        </is>
      </c>
      <c r="L20" s="18" t="n">
        <v>0.88</v>
      </c>
      <c r="M20" s="59" t="inlineStr">
        <is>
          <t>N/A</t>
        </is>
      </c>
    </row>
    <row r="21">
      <c r="A21" s="35" t="n">
        <v>45020</v>
      </c>
      <c r="B21" s="36" t="inlineStr">
        <is>
          <t xml:space="preserve">   TO TRANSFER-UPI/DR/309414339465/SEVEN SP/PYTM/paytmqr281/UPI--</t>
        </is>
      </c>
      <c r="C21" s="36" t="inlineStr">
        <is>
          <t>TRANSFER TO 5097637162094</t>
        </is>
      </c>
      <c r="D21" s="35" t="n">
        <v>45020</v>
      </c>
      <c r="E21" s="36" t="n">
        <v>250</v>
      </c>
      <c r="F21" s="36" t="n">
        <v>0</v>
      </c>
      <c r="G21" s="36" t="n">
        <v>118370.27</v>
      </c>
      <c r="H21" s="36" t="inlineStr"/>
      <c r="I21" s="36" t="inlineStr"/>
      <c r="J21" s="36" t="inlineStr">
        <is>
          <t>UPI - Paytm</t>
        </is>
      </c>
      <c r="K21" s="36" t="inlineStr">
        <is>
          <t>Personal</t>
        </is>
      </c>
      <c r="L21" s="34" t="n">
        <v>0.65</v>
      </c>
      <c r="M21" s="36" t="inlineStr">
        <is>
          <t>N/A</t>
        </is>
      </c>
    </row>
    <row r="22">
      <c r="A22" s="35" t="n">
        <v>45020</v>
      </c>
      <c r="B22" s="36" t="inlineStr">
        <is>
          <t xml:space="preserve">   TO TRANSFER-UPI/DR/346087812550/SEVEN SP/PYTM/paytmqr281/UPI--</t>
        </is>
      </c>
      <c r="C22" s="36" t="inlineStr">
        <is>
          <t>TRANSFER TO 5097617162098</t>
        </is>
      </c>
      <c r="D22" s="35" t="n">
        <v>45020</v>
      </c>
      <c r="E22" s="36" t="n">
        <v>30</v>
      </c>
      <c r="F22" s="36" t="n">
        <v>0</v>
      </c>
      <c r="G22" s="36" t="n">
        <v>118340.27</v>
      </c>
      <c r="H22" s="36" t="inlineStr"/>
      <c r="I22" s="36" t="inlineStr"/>
      <c r="J22" s="36" t="inlineStr">
        <is>
          <t>UPI - Paytm</t>
        </is>
      </c>
      <c r="K22" s="36" t="inlineStr">
        <is>
          <t>Personal</t>
        </is>
      </c>
      <c r="L22" s="34" t="n">
        <v>0.65</v>
      </c>
      <c r="M22" s="36" t="inlineStr">
        <is>
          <t>N/A</t>
        </is>
      </c>
    </row>
    <row r="23">
      <c r="A23" s="37" t="n">
        <v>45021</v>
      </c>
      <c r="B23" s="38" t="inlineStr">
        <is>
          <t xml:space="preserve">   TO TRANSFER-UPI/DR/309564429050/BANANA L/HDFC/bananaleaf/UPI--</t>
        </is>
      </c>
      <c r="C23" s="38" t="inlineStr">
        <is>
          <t>TRANSFER TO 4692551162099</t>
        </is>
      </c>
      <c r="D23" s="37" t="n">
        <v>45021</v>
      </c>
      <c r="E23" s="38" t="n">
        <v>70</v>
      </c>
      <c r="F23" s="38" t="n">
        <v>0</v>
      </c>
      <c r="G23" s="38" t="n">
        <v>118270.27</v>
      </c>
      <c r="H23" s="38" t="inlineStr">
        <is>
          <t>Banana L</t>
        </is>
      </c>
      <c r="I23" s="38" t="inlineStr"/>
      <c r="J23" s="38" t="inlineStr">
        <is>
          <t>UPI Payment</t>
        </is>
      </c>
      <c r="K23" s="38" t="inlineStr">
        <is>
          <t>Personal</t>
        </is>
      </c>
      <c r="L23" s="25" t="n">
        <v>0.55</v>
      </c>
      <c r="M23" s="38" t="inlineStr">
        <is>
          <t>N/A</t>
        </is>
      </c>
    </row>
    <row r="24">
      <c r="A24" s="37" t="n">
        <v>45022</v>
      </c>
      <c r="B24" s="38" t="inlineStr">
        <is>
          <t xml:space="preserve">   TO TRANSFER-UPI/DR/309682616023/Mr  AADA/YESB/q423863729/UPI--</t>
        </is>
      </c>
      <c r="C24" s="38" t="inlineStr">
        <is>
          <t>TRANSFER TO 5097803162095</t>
        </is>
      </c>
      <c r="D24" s="37" t="n">
        <v>45022</v>
      </c>
      <c r="E24" s="38" t="n">
        <v>104</v>
      </c>
      <c r="F24" s="38" t="n">
        <v>0</v>
      </c>
      <c r="G24" s="38" t="n">
        <v>118166.27</v>
      </c>
      <c r="H24" s="38" t="inlineStr">
        <is>
          <t>Mr  Aada</t>
        </is>
      </c>
      <c r="I24" s="38" t="inlineStr"/>
      <c r="J24" s="38" t="inlineStr">
        <is>
          <t>UPI Payment</t>
        </is>
      </c>
      <c r="K24" s="38" t="inlineStr">
        <is>
          <t>Personal</t>
        </is>
      </c>
      <c r="L24" s="25" t="n">
        <v>0.55</v>
      </c>
      <c r="M24" s="38" t="inlineStr">
        <is>
          <t>N/A</t>
        </is>
      </c>
    </row>
    <row r="25">
      <c r="A25" s="97" t="n">
        <v>45022</v>
      </c>
      <c r="B25" s="98" t="inlineStr">
        <is>
          <t xml:space="preserve">   TO TRANSFER-UPI/DR/309673159840/Swiggy/UTIB/swiggyupi@/Swiggy--</t>
        </is>
      </c>
      <c r="C25" s="98" t="inlineStr">
        <is>
          <t>TRANSFER TO 5097808162090</t>
        </is>
      </c>
      <c r="D25" s="97" t="n">
        <v>45022</v>
      </c>
      <c r="E25" s="98" t="n">
        <v>306</v>
      </c>
      <c r="F25" s="98" t="n">
        <v>0</v>
      </c>
      <c r="G25" s="98" t="n">
        <v>117860.27</v>
      </c>
      <c r="H25" s="98" t="inlineStr"/>
      <c r="I25" s="98" t="inlineStr"/>
      <c r="J25" s="98" t="inlineStr">
        <is>
          <t>UPI - Swiggy</t>
        </is>
      </c>
      <c r="K25" s="98" t="inlineStr">
        <is>
          <t>Food &amp; Dining</t>
        </is>
      </c>
      <c r="L25" s="34" t="n">
        <v>0.68</v>
      </c>
      <c r="M25" s="98" t="inlineStr">
        <is>
          <t>N/A</t>
        </is>
      </c>
    </row>
    <row r="26">
      <c r="A26" s="21" t="n">
        <v>45023</v>
      </c>
      <c r="B26" s="22" t="inlineStr">
        <is>
          <t xml:space="preserve">   TO TRANSFER-UPI/DR/309789529764/IRCTC CF/HDFC/irctc.cf@h/IRCTC--</t>
        </is>
      </c>
      <c r="C26" s="22" t="inlineStr">
        <is>
          <t>TRANSFER TO 4692595162098</t>
        </is>
      </c>
      <c r="D26" s="21" t="n">
        <v>45023</v>
      </c>
      <c r="E26" s="22" t="n">
        <v>1448.95</v>
      </c>
      <c r="F26" s="22" t="n">
        <v>0</v>
      </c>
      <c r="G26" s="22" t="n">
        <v>116411.32</v>
      </c>
      <c r="H26" s="22" t="inlineStr"/>
      <c r="I26" s="22" t="inlineStr"/>
      <c r="J26" s="22" t="inlineStr">
        <is>
          <t>UPI - IRCTC</t>
        </is>
      </c>
      <c r="K26" s="22" t="inlineStr">
        <is>
          <t>Travel</t>
        </is>
      </c>
      <c r="L26" s="18" t="n">
        <v>0.88</v>
      </c>
      <c r="M26" s="22" t="inlineStr">
        <is>
          <t>N/A</t>
        </is>
      </c>
    </row>
    <row r="27">
      <c r="A27" s="21" t="n">
        <v>45023</v>
      </c>
      <c r="B27" s="22" t="inlineStr">
        <is>
          <t xml:space="preserve">   TO TRANSFER-UPI/DR/309789705434/IRCTC CF/HDFC/irctc.cf@h/IRCTC--</t>
        </is>
      </c>
      <c r="C27" s="22" t="inlineStr">
        <is>
          <t>TRANSFER TO 4696934162097</t>
        </is>
      </c>
      <c r="D27" s="21" t="n">
        <v>45023</v>
      </c>
      <c r="E27" s="22" t="n">
        <v>902.15</v>
      </c>
      <c r="F27" s="22" t="n">
        <v>0</v>
      </c>
      <c r="G27" s="22" t="n">
        <v>115509.17</v>
      </c>
      <c r="H27" s="22" t="inlineStr"/>
      <c r="I27" s="22" t="inlineStr"/>
      <c r="J27" s="22" t="inlineStr">
        <is>
          <t>UPI - IRCTC</t>
        </is>
      </c>
      <c r="K27" s="22" t="inlineStr">
        <is>
          <t>Travel</t>
        </is>
      </c>
      <c r="L27" s="18" t="n">
        <v>0.88</v>
      </c>
      <c r="M27" s="22" t="inlineStr">
        <is>
          <t>N/A</t>
        </is>
      </c>
    </row>
    <row r="28">
      <c r="A28" s="37" t="n">
        <v>45023</v>
      </c>
      <c r="B28" s="38" t="inlineStr">
        <is>
          <t xml:space="preserve">   TO TRANSFER-UPI/DR/309720030395/Mr  AADA/YESB/q143041833/UPI--</t>
        </is>
      </c>
      <c r="C28" s="38" t="inlineStr">
        <is>
          <t>TRANSFER TO 4696933162098</t>
        </is>
      </c>
      <c r="D28" s="37" t="n">
        <v>45023</v>
      </c>
      <c r="E28" s="38" t="n">
        <v>20</v>
      </c>
      <c r="F28" s="38" t="n">
        <v>0</v>
      </c>
      <c r="G28" s="38" t="n">
        <v>115489.17</v>
      </c>
      <c r="H28" s="38" t="inlineStr">
        <is>
          <t>Mr  Aada</t>
        </is>
      </c>
      <c r="I28" s="38" t="inlineStr"/>
      <c r="J28" s="38" t="inlineStr">
        <is>
          <t>UPI Payment</t>
        </is>
      </c>
      <c r="K28" s="38" t="inlineStr">
        <is>
          <t>Personal</t>
        </is>
      </c>
      <c r="L28" s="25" t="n">
        <v>0.55</v>
      </c>
      <c r="M28" s="38" t="inlineStr">
        <is>
          <t>N/A</t>
        </is>
      </c>
    </row>
    <row r="29">
      <c r="A29" s="21" t="n">
        <v>45023</v>
      </c>
      <c r="B29" s="22" t="inlineStr">
        <is>
          <t xml:space="preserve">   TO TRANSFER-UPI/DR/309790935099/IRCTC CF/HDFC/irctc.cf@h/IRCTC--</t>
        </is>
      </c>
      <c r="C29" s="22" t="inlineStr">
        <is>
          <t>TRANSFER TO 4696185162096</t>
        </is>
      </c>
      <c r="D29" s="21" t="n">
        <v>45023</v>
      </c>
      <c r="E29" s="22" t="n">
        <v>602.15</v>
      </c>
      <c r="F29" s="22" t="n">
        <v>0</v>
      </c>
      <c r="G29" s="22" t="n">
        <v>114887.02</v>
      </c>
      <c r="H29" s="22" t="inlineStr"/>
      <c r="I29" s="22" t="inlineStr"/>
      <c r="J29" s="22" t="inlineStr">
        <is>
          <t>UPI - IRCTC</t>
        </is>
      </c>
      <c r="K29" s="22" t="inlineStr">
        <is>
          <t>Travel</t>
        </is>
      </c>
      <c r="L29" s="18" t="n">
        <v>0.88</v>
      </c>
      <c r="M29" s="22" t="inlineStr">
        <is>
          <t>N/A</t>
        </is>
      </c>
    </row>
    <row r="30">
      <c r="A30" s="37" t="n">
        <v>45023</v>
      </c>
      <c r="B30" s="38" t="inlineStr">
        <is>
          <t xml:space="preserve">   TO TRANSFER-UPI/DR/309732235881/BANANA L/HDFC/bananaleaf/UPI--</t>
        </is>
      </c>
      <c r="C30" s="38" t="inlineStr">
        <is>
          <t>TRANSFER TO 4692597162096</t>
        </is>
      </c>
      <c r="D30" s="37" t="n">
        <v>45023</v>
      </c>
      <c r="E30" s="38" t="n">
        <v>110</v>
      </c>
      <c r="F30" s="38" t="n">
        <v>0</v>
      </c>
      <c r="G30" s="38" t="n">
        <v>114777.02</v>
      </c>
      <c r="H30" s="38" t="inlineStr">
        <is>
          <t>Banana L</t>
        </is>
      </c>
      <c r="I30" s="38" t="inlineStr"/>
      <c r="J30" s="38" t="inlineStr">
        <is>
          <t>UPI Payment</t>
        </is>
      </c>
      <c r="K30" s="38" t="inlineStr">
        <is>
          <t>Personal</t>
        </is>
      </c>
      <c r="L30" s="25" t="n">
        <v>0.55</v>
      </c>
      <c r="M30" s="38" t="inlineStr">
        <is>
          <t>N/A</t>
        </is>
      </c>
    </row>
    <row r="31">
      <c r="A31" s="37" t="n">
        <v>45024</v>
      </c>
      <c r="B31" s="38" t="inlineStr">
        <is>
          <t xml:space="preserve">   TO TRANSFER-UPI/DR/309845925383/Mr  AADA/YESB/q143041833/UPI--</t>
        </is>
      </c>
      <c r="C31" s="38" t="inlineStr">
        <is>
          <t>TRANSFER TO 4696969162097</t>
        </is>
      </c>
      <c r="D31" s="37" t="n">
        <v>45024</v>
      </c>
      <c r="E31" s="38" t="n">
        <v>40</v>
      </c>
      <c r="F31" s="38" t="n">
        <v>0</v>
      </c>
      <c r="G31" s="38" t="n">
        <v>114737.02</v>
      </c>
      <c r="H31" s="38" t="inlineStr">
        <is>
          <t>Mr  Aada</t>
        </is>
      </c>
      <c r="I31" s="38" t="inlineStr"/>
      <c r="J31" s="38" t="inlineStr">
        <is>
          <t>UPI Payment</t>
        </is>
      </c>
      <c r="K31" s="38" t="inlineStr">
        <is>
          <t>Personal</t>
        </is>
      </c>
      <c r="L31" s="25" t="n">
        <v>0.55</v>
      </c>
      <c r="M31" s="38" t="inlineStr">
        <is>
          <t>N/A</t>
        </is>
      </c>
    </row>
    <row r="32">
      <c r="A32" s="35" t="n">
        <v>45024</v>
      </c>
      <c r="B32" s="36" t="inlineStr">
        <is>
          <t xml:space="preserve">   TO TRANSFER-UPI/DR/309870836173/SEVEN SP/PYTM/paytmqr281/UPI--</t>
        </is>
      </c>
      <c r="C32" s="36" t="inlineStr">
        <is>
          <t>TRANSFER TO 5098011162097</t>
        </is>
      </c>
      <c r="D32" s="35" t="n">
        <v>45024</v>
      </c>
      <c r="E32" s="36" t="n">
        <v>60</v>
      </c>
      <c r="F32" s="36" t="n">
        <v>0</v>
      </c>
      <c r="G32" s="36" t="n">
        <v>114677.02</v>
      </c>
      <c r="H32" s="36" t="inlineStr"/>
      <c r="I32" s="36" t="inlineStr"/>
      <c r="J32" s="36" t="inlineStr">
        <is>
          <t>UPI - Paytm</t>
        </is>
      </c>
      <c r="K32" s="36" t="inlineStr">
        <is>
          <t>Personal</t>
        </is>
      </c>
      <c r="L32" s="34" t="n">
        <v>0.65</v>
      </c>
      <c r="M32" s="36" t="inlineStr">
        <is>
          <t>N/A</t>
        </is>
      </c>
    </row>
    <row r="33">
      <c r="A33" s="37" t="n">
        <v>45024</v>
      </c>
      <c r="B33" s="38" t="inlineStr">
        <is>
          <t xml:space="preserve">   TO TRANSFER-UPI/DR/309861185569/Raj  Rani/SBIN/lalsinghla/UPI--</t>
        </is>
      </c>
      <c r="C33" s="38" t="inlineStr">
        <is>
          <t>TRANSFER TO 4694361162091</t>
        </is>
      </c>
      <c r="D33" s="37" t="n">
        <v>45024</v>
      </c>
      <c r="E33" s="38" t="n">
        <v>132</v>
      </c>
      <c r="F33" s="38" t="n">
        <v>0</v>
      </c>
      <c r="G33" s="38" t="n">
        <v>114545.02</v>
      </c>
      <c r="H33" s="38" t="inlineStr">
        <is>
          <t>Raj  Rani</t>
        </is>
      </c>
      <c r="I33" s="38" t="inlineStr"/>
      <c r="J33" s="38" t="inlineStr">
        <is>
          <t>UPI Payment</t>
        </is>
      </c>
      <c r="K33" s="38" t="inlineStr">
        <is>
          <t>Personal</t>
        </is>
      </c>
      <c r="L33" s="25" t="n">
        <v>0.55</v>
      </c>
      <c r="M33" s="38" t="inlineStr">
        <is>
          <t>N/A</t>
        </is>
      </c>
    </row>
    <row r="34">
      <c r="A34" s="26" t="n">
        <v>45024</v>
      </c>
      <c r="B34" s="27" t="inlineStr">
        <is>
          <t xml:space="preserve">   TO TRANSFER-UPI/DR/309864621113/AJAY GUPTA/HDFC/slietajayg/UPI--</t>
        </is>
      </c>
      <c r="C34" s="27" t="inlineStr">
        <is>
          <t>TRANSFER TO 4694315162096</t>
        </is>
      </c>
      <c r="D34" s="26" t="n">
        <v>45024</v>
      </c>
      <c r="E34" s="27" t="n">
        <v>100</v>
      </c>
      <c r="F34" s="27" t="n">
        <v>0</v>
      </c>
      <c r="G34" s="27" t="n">
        <v>114445.02</v>
      </c>
      <c r="H34" s="27" t="inlineStr"/>
      <c r="I34" s="27" t="inlineStr"/>
      <c r="J34" s="27" t="inlineStr">
        <is>
          <t>Transfer - Ajay Gupta</t>
        </is>
      </c>
      <c r="K34" s="27" t="inlineStr">
        <is>
          <t>Ajay Gupta</t>
        </is>
      </c>
      <c r="L34" s="18" t="n">
        <v>0.88</v>
      </c>
      <c r="M34" s="27" t="inlineStr">
        <is>
          <t>N/A</t>
        </is>
      </c>
    </row>
    <row r="35">
      <c r="A35" s="37" t="n">
        <v>45025</v>
      </c>
      <c r="B35" s="38" t="inlineStr">
        <is>
          <t xml:space="preserve">   TO TRANSFER-UPI/DR/309973408594/JAGDISH/PYTM/7742506388/UPI--</t>
        </is>
      </c>
      <c r="C35" s="38" t="inlineStr">
        <is>
          <t>TRANSFER TO 5098150162096</t>
        </is>
      </c>
      <c r="D35" s="37" t="n">
        <v>45025</v>
      </c>
      <c r="E35" s="38" t="n">
        <v>125</v>
      </c>
      <c r="F35" s="38" t="n">
        <v>0</v>
      </c>
      <c r="G35" s="38" t="n">
        <v>114320.02</v>
      </c>
      <c r="H35" s="38" t="inlineStr">
        <is>
          <t>Jagdish</t>
        </is>
      </c>
      <c r="I35" s="38" t="inlineStr"/>
      <c r="J35" s="38" t="inlineStr">
        <is>
          <t>UPI Payment</t>
        </is>
      </c>
      <c r="K35" s="38" t="inlineStr">
        <is>
          <t>Personal</t>
        </is>
      </c>
      <c r="L35" s="25" t="n">
        <v>0.55</v>
      </c>
      <c r="M35" s="38" t="inlineStr">
        <is>
          <t>N/A</t>
        </is>
      </c>
    </row>
    <row r="36">
      <c r="A36" s="91" t="n">
        <v>45025</v>
      </c>
      <c r="B36" s="92" t="inlineStr">
        <is>
          <t xml:space="preserve">   TO TRANSFER-UPI/DR/309994513204/UBER IND/HDFC/uberrides@/charg--</t>
        </is>
      </c>
      <c r="C36" s="92" t="inlineStr">
        <is>
          <t>TRANSFER TO 4897696162090</t>
        </is>
      </c>
      <c r="D36" s="91" t="n">
        <v>45025</v>
      </c>
      <c r="E36" s="92" t="n">
        <v>48.52</v>
      </c>
      <c r="F36" s="92" t="n">
        <v>0</v>
      </c>
      <c r="G36" s="92" t="n">
        <v>114271.5</v>
      </c>
      <c r="H36" s="92" t="inlineStr"/>
      <c r="I36" s="92" t="inlineStr"/>
      <c r="J36" s="92" t="inlineStr">
        <is>
          <t>UPI - Uber</t>
        </is>
      </c>
      <c r="K36" s="92" t="inlineStr">
        <is>
          <t>Transport</t>
        </is>
      </c>
      <c r="L36" s="34" t="n">
        <v>0.68</v>
      </c>
      <c r="M36" s="92" t="inlineStr">
        <is>
          <t>N/A</t>
        </is>
      </c>
    </row>
    <row r="37">
      <c r="A37" s="64" t="n">
        <v>45027</v>
      </c>
      <c r="B37" s="65" t="inlineStr">
        <is>
          <t xml:space="preserve">   BULK POSTING-C23854246658     41774260032INTERIM DIVIDEND ACCOU--</t>
        </is>
      </c>
      <c r="C37" s="65" t="n">
        <v/>
      </c>
      <c r="D37" s="64" t="n">
        <v>45027</v>
      </c>
      <c r="E37" s="65" t="n">
        <v>0</v>
      </c>
      <c r="F37" s="65" t="n">
        <v>10</v>
      </c>
      <c r="G37" s="65" t="n">
        <v>114281.5</v>
      </c>
      <c r="H37" s="65" t="inlineStr"/>
      <c r="I37" s="65" t="inlineStr"/>
      <c r="J37" s="65" t="inlineStr">
        <is>
          <t>Dividend Income</t>
        </is>
      </c>
      <c r="K37" s="65" t="inlineStr">
        <is>
          <t>Dividend Income</t>
        </is>
      </c>
      <c r="L37" s="18" t="n">
        <v>0.85</v>
      </c>
      <c r="M37" s="65" t="inlineStr">
        <is>
          <t>N/A</t>
        </is>
      </c>
    </row>
    <row r="38">
      <c r="A38" s="21" t="n">
        <v>45027</v>
      </c>
      <c r="B38" s="22" t="inlineStr">
        <is>
          <t xml:space="preserve">   BY TRANSFER-UPI/CR/310198604104/IRCTC CF/HDFC/irctc.cf@h/UPI R--</t>
        </is>
      </c>
      <c r="C38" s="22" t="inlineStr">
        <is>
          <t>TRANSFER FROM 4897733162090</t>
        </is>
      </c>
      <c r="D38" s="21" t="n">
        <v>45027</v>
      </c>
      <c r="E38" s="22" t="n">
        <v>0</v>
      </c>
      <c r="F38" s="22" t="n">
        <v>830</v>
      </c>
      <c r="G38" s="22" t="n">
        <v>115111.5</v>
      </c>
      <c r="H38" s="22" t="inlineStr"/>
      <c r="I38" s="22" t="inlineStr"/>
      <c r="J38" s="22" t="inlineStr">
        <is>
          <t>UPI - IRCTC</t>
        </is>
      </c>
      <c r="K38" s="22" t="inlineStr">
        <is>
          <t>Travel</t>
        </is>
      </c>
      <c r="L38" s="34" t="n">
        <v>0.68</v>
      </c>
      <c r="M38" s="22" t="inlineStr">
        <is>
          <t>N/A</t>
        </is>
      </c>
    </row>
    <row r="39">
      <c r="A39" s="37" t="n">
        <v>45028</v>
      </c>
      <c r="B39" s="38" t="inlineStr">
        <is>
          <t xml:space="preserve">   TO TRANSFER-UPI/DR/310294768781/S SARGUNAM/YESB/q200088506/UPI--</t>
        </is>
      </c>
      <c r="C39" s="38" t="inlineStr">
        <is>
          <t>TRANSFER TO 4897692162094</t>
        </is>
      </c>
      <c r="D39" s="37" t="n">
        <v>45028</v>
      </c>
      <c r="E39" s="38" t="n">
        <v>100</v>
      </c>
      <c r="F39" s="38" t="n">
        <v>0</v>
      </c>
      <c r="G39" s="38" t="n">
        <v>115011.5</v>
      </c>
      <c r="H39" s="38" t="inlineStr">
        <is>
          <t>S Sargunam</t>
        </is>
      </c>
      <c r="I39" s="38" t="inlineStr"/>
      <c r="J39" s="38" t="inlineStr">
        <is>
          <t>UPI Payment</t>
        </is>
      </c>
      <c r="K39" s="38" t="inlineStr">
        <is>
          <t>Personal</t>
        </is>
      </c>
      <c r="L39" s="25" t="n">
        <v>0.55</v>
      </c>
      <c r="M39" s="38" t="inlineStr">
        <is>
          <t>N/A</t>
        </is>
      </c>
    </row>
    <row r="40">
      <c r="A40" s="37" t="n">
        <v>45028</v>
      </c>
      <c r="B40" s="38" t="inlineStr">
        <is>
          <t xml:space="preserve">   TO TRANSFER-UPI/DR/310298964851/Bharti A/HDFC/airtel.pay/UPITr--</t>
        </is>
      </c>
      <c r="C40" s="38" t="inlineStr">
        <is>
          <t>TRANSFER TO 4897692162094</t>
        </is>
      </c>
      <c r="D40" s="37" t="n">
        <v>45028</v>
      </c>
      <c r="E40" s="38" t="n">
        <v>155</v>
      </c>
      <c r="F40" s="38" t="n">
        <v>0</v>
      </c>
      <c r="G40" s="38" t="n">
        <v>114856.5</v>
      </c>
      <c r="H40" s="38" t="inlineStr">
        <is>
          <t>Bharti A</t>
        </is>
      </c>
      <c r="I40" s="38" t="inlineStr"/>
      <c r="J40" s="38" t="inlineStr">
        <is>
          <t>UPI Payment</t>
        </is>
      </c>
      <c r="K40" s="38" t="inlineStr">
        <is>
          <t>Personal</t>
        </is>
      </c>
      <c r="L40" s="25" t="n">
        <v>0.55</v>
      </c>
      <c r="M40" s="38" t="inlineStr">
        <is>
          <t>N/A</t>
        </is>
      </c>
    </row>
    <row r="41">
      <c r="A41" s="37" t="n">
        <v>45028</v>
      </c>
      <c r="B41" s="38" t="inlineStr">
        <is>
          <t xml:space="preserve">   TO TRANSFER-UPI/DR/310299085532/billdesk/ICIC/billdesk.p/UPI--</t>
        </is>
      </c>
      <c r="C41" s="38" t="inlineStr">
        <is>
          <t>TRANSFER TO 4897692162094</t>
        </is>
      </c>
      <c r="D41" s="37" t="n">
        <v>45028</v>
      </c>
      <c r="E41" s="38" t="n">
        <v>148</v>
      </c>
      <c r="F41" s="38" t="n">
        <v>0</v>
      </c>
      <c r="G41" s="38" t="n">
        <v>114708.5</v>
      </c>
      <c r="H41" s="38" t="inlineStr">
        <is>
          <t>Billdesk</t>
        </is>
      </c>
      <c r="I41" s="38" t="inlineStr"/>
      <c r="J41" s="38" t="inlineStr">
        <is>
          <t>UPI Payment</t>
        </is>
      </c>
      <c r="K41" s="38" t="inlineStr">
        <is>
          <t>Personal</t>
        </is>
      </c>
      <c r="L41" s="25" t="n">
        <v>0.55</v>
      </c>
      <c r="M41" s="38" t="inlineStr">
        <is>
          <t>N/A</t>
        </is>
      </c>
    </row>
    <row r="42">
      <c r="A42" s="35" t="n">
        <v>45029</v>
      </c>
      <c r="B42" s="36" t="inlineStr">
        <is>
          <t xml:space="preserve">   TO TRANSFER-UPI/DR/346932073976/Shankar /PYTM/paytmqr281/UPI--</t>
        </is>
      </c>
      <c r="C42" s="36" t="inlineStr">
        <is>
          <t>TRANSFER TO 4897693162093</t>
        </is>
      </c>
      <c r="D42" s="35" t="n">
        <v>45029</v>
      </c>
      <c r="E42" s="36" t="n">
        <v>80</v>
      </c>
      <c r="F42" s="36" t="n">
        <v>0</v>
      </c>
      <c r="G42" s="36" t="n">
        <v>114628.5</v>
      </c>
      <c r="H42" s="36" t="inlineStr"/>
      <c r="I42" s="36" t="inlineStr"/>
      <c r="J42" s="36" t="inlineStr">
        <is>
          <t>UPI - Paytm</t>
        </is>
      </c>
      <c r="K42" s="36" t="inlineStr">
        <is>
          <t>Personal</t>
        </is>
      </c>
      <c r="L42" s="34" t="n">
        <v>0.65</v>
      </c>
      <c r="M42" s="36" t="inlineStr">
        <is>
          <t>N/A</t>
        </is>
      </c>
    </row>
    <row r="43">
      <c r="A43" s="21" t="n">
        <v>45031</v>
      </c>
      <c r="B43" s="22" t="inlineStr">
        <is>
          <t xml:space="preserve">   TO TRANSFER-UPI/DR/310511348614/IRCTC Ap/PYTM/paytm-irct/Oid10--</t>
        </is>
      </c>
      <c r="C43" s="22" t="inlineStr">
        <is>
          <t>TRANSFER TO 4897695162091</t>
        </is>
      </c>
      <c r="D43" s="21" t="n">
        <v>45031</v>
      </c>
      <c r="E43" s="22" t="n">
        <v>1398.95</v>
      </c>
      <c r="F43" s="22" t="n">
        <v>0</v>
      </c>
      <c r="G43" s="22" t="n">
        <v>113229.55</v>
      </c>
      <c r="H43" s="22" t="inlineStr"/>
      <c r="I43" s="22" t="inlineStr"/>
      <c r="J43" s="22" t="inlineStr">
        <is>
          <t>UPI - IRCTC</t>
        </is>
      </c>
      <c r="K43" s="22" t="inlineStr">
        <is>
          <t>Travel</t>
        </is>
      </c>
      <c r="L43" s="18" t="n">
        <v>0.88</v>
      </c>
      <c r="M43" s="22" t="inlineStr">
        <is>
          <t>N/A</t>
        </is>
      </c>
    </row>
    <row r="44">
      <c r="A44" s="35" t="n">
        <v>45031</v>
      </c>
      <c r="B44" s="36" t="inlineStr">
        <is>
          <t xml:space="preserve">   TO TRANSFER-UPI/DR/347115434891/PATISSER/PYTM/paytmqr281/UPI--</t>
        </is>
      </c>
      <c r="C44" s="36" t="inlineStr">
        <is>
          <t>TRANSFER TO 4897695162091</t>
        </is>
      </c>
      <c r="D44" s="35" t="n">
        <v>45031</v>
      </c>
      <c r="E44" s="36" t="n">
        <v>110</v>
      </c>
      <c r="F44" s="36" t="n">
        <v>0</v>
      </c>
      <c r="G44" s="36" t="n">
        <v>113119.55</v>
      </c>
      <c r="H44" s="36" t="inlineStr"/>
      <c r="I44" s="36" t="inlineStr"/>
      <c r="J44" s="36" t="inlineStr">
        <is>
          <t>UPI - Paytm</t>
        </is>
      </c>
      <c r="K44" s="36" t="inlineStr">
        <is>
          <t>Personal</t>
        </is>
      </c>
      <c r="L44" s="34" t="n">
        <v>0.65</v>
      </c>
      <c r="M44" s="36" t="inlineStr">
        <is>
          <t>N/A</t>
        </is>
      </c>
    </row>
    <row r="45">
      <c r="A45" s="37" t="n">
        <v>45031</v>
      </c>
      <c r="B45" s="38" t="inlineStr">
        <is>
          <t xml:space="preserve">   TO TRANSFER-UPI/DR/347130328853/BHAWANI /YESB/q385374207/UPI--</t>
        </is>
      </c>
      <c r="C45" s="38" t="inlineStr">
        <is>
          <t>TRANSFER TO 4897695162091</t>
        </is>
      </c>
      <c r="D45" s="37" t="n">
        <v>45031</v>
      </c>
      <c r="E45" s="38" t="n">
        <v>50</v>
      </c>
      <c r="F45" s="38" t="n">
        <v>0</v>
      </c>
      <c r="G45" s="38" t="n">
        <v>113069.55</v>
      </c>
      <c r="H45" s="38" t="inlineStr">
        <is>
          <t>Bhawani</t>
        </is>
      </c>
      <c r="I45" s="38" t="inlineStr"/>
      <c r="J45" s="38" t="inlineStr">
        <is>
          <t>UPI Payment</t>
        </is>
      </c>
      <c r="K45" s="38" t="inlineStr">
        <is>
          <t>Personal</t>
        </is>
      </c>
      <c r="L45" s="25" t="n">
        <v>0.55</v>
      </c>
      <c r="M45" s="38" t="inlineStr">
        <is>
          <t>N/A</t>
        </is>
      </c>
    </row>
    <row r="46">
      <c r="A46" s="37" t="n">
        <v>45031</v>
      </c>
      <c r="B46" s="38" t="inlineStr">
        <is>
          <t xml:space="preserve">   TO TRANSFER-UPI/DR/310500511889/Fudr/ICIC/fudr.cf@ic/3187 Bli--</t>
        </is>
      </c>
      <c r="C46" s="38" t="inlineStr">
        <is>
          <t>TRANSFER TO 4897695162091</t>
        </is>
      </c>
      <c r="D46" s="37" t="n">
        <v>45031</v>
      </c>
      <c r="E46" s="38" t="n">
        <v>220</v>
      </c>
      <c r="F46" s="38" t="n">
        <v>0</v>
      </c>
      <c r="G46" s="38" t="n">
        <v>112849.55</v>
      </c>
      <c r="H46" s="38" t="inlineStr">
        <is>
          <t>Fudr</t>
        </is>
      </c>
      <c r="I46" s="38" t="inlineStr"/>
      <c r="J46" s="38" t="inlineStr">
        <is>
          <t>UPI Payment</t>
        </is>
      </c>
      <c r="K46" s="38" t="inlineStr">
        <is>
          <t>Personal</t>
        </is>
      </c>
      <c r="L46" s="25" t="n">
        <v>0.55</v>
      </c>
      <c r="M46" s="38" t="inlineStr">
        <is>
          <t>N/A</t>
        </is>
      </c>
    </row>
    <row r="47">
      <c r="A47" s="60" t="n">
        <v>45032</v>
      </c>
      <c r="B47" s="61" t="inlineStr">
        <is>
          <t xml:space="preserve">   ATM WDL-ATM CASH 7132  CP JHALAWAR           JHALRAPATAN--</t>
        </is>
      </c>
      <c r="C47" s="61" t="n">
        <v/>
      </c>
      <c r="D47" s="60" t="n">
        <v>45032</v>
      </c>
      <c r="E47" s="61" t="n">
        <v>2000</v>
      </c>
      <c r="F47" s="61" t="n">
        <v>0</v>
      </c>
      <c r="G47" s="61" t="n">
        <v>110849.55</v>
      </c>
      <c r="H47" s="61" t="inlineStr"/>
      <c r="I47" s="61" t="inlineStr"/>
      <c r="J47" s="61" t="inlineStr">
        <is>
          <t>Cash Withdrawal</t>
        </is>
      </c>
      <c r="K47" s="61" t="inlineStr">
        <is>
          <t>Cash</t>
        </is>
      </c>
      <c r="L47" s="18" t="n">
        <v>0.92</v>
      </c>
      <c r="M47" s="61" t="inlineStr">
        <is>
          <t>N/A</t>
        </is>
      </c>
    </row>
    <row r="48">
      <c r="A48" s="64" t="n">
        <v>45033</v>
      </c>
      <c r="B48" s="65" t="inlineStr">
        <is>
          <t xml:space="preserve">   BULK POSTING-ACHCr HDFC01032000010237 VEDANTA LIMITE--</t>
        </is>
      </c>
      <c r="C48" s="65" t="n">
        <v/>
      </c>
      <c r="D48" s="64" t="n">
        <v>45033</v>
      </c>
      <c r="E48" s="65" t="n">
        <v>0</v>
      </c>
      <c r="F48" s="65" t="n">
        <v>348.5</v>
      </c>
      <c r="G48" s="65" t="n">
        <v>111198.05</v>
      </c>
      <c r="H48" s="65" t="inlineStr"/>
      <c r="I48" s="65" t="inlineStr"/>
      <c r="J48" s="65" t="inlineStr">
        <is>
          <t>Dividend Income</t>
        </is>
      </c>
      <c r="K48" s="65" t="inlineStr">
        <is>
          <t>Dividend Income</t>
        </is>
      </c>
      <c r="L48" s="18" t="n">
        <v>0.85</v>
      </c>
      <c r="M48" s="65" t="inlineStr">
        <is>
          <t>N/A</t>
        </is>
      </c>
    </row>
    <row r="49">
      <c r="A49" s="37" t="n">
        <v>45034</v>
      </c>
      <c r="B49" s="38" t="inlineStr">
        <is>
          <t xml:space="preserve">   TO TRANSFER-UPI/DR/310875568731/gaurav v/UTIB/fcbizcxqia/UPI--</t>
        </is>
      </c>
      <c r="C49" s="38" t="inlineStr">
        <is>
          <t>TRANSFER TO 4897691162095</t>
        </is>
      </c>
      <c r="D49" s="37" t="n">
        <v>45034</v>
      </c>
      <c r="E49" s="38" t="n">
        <v>20</v>
      </c>
      <c r="F49" s="38" t="n">
        <v>0</v>
      </c>
      <c r="G49" s="38" t="n">
        <v>111178.05</v>
      </c>
      <c r="H49" s="38" t="inlineStr">
        <is>
          <t>Gaurav V</t>
        </is>
      </c>
      <c r="I49" s="38" t="inlineStr"/>
      <c r="J49" s="38" t="inlineStr">
        <is>
          <t>UPI Payment</t>
        </is>
      </c>
      <c r="K49" s="38" t="inlineStr">
        <is>
          <t>Personal</t>
        </is>
      </c>
      <c r="L49" s="25" t="n">
        <v>0.55</v>
      </c>
      <c r="M49" s="38" t="inlineStr">
        <is>
          <t>N/A</t>
        </is>
      </c>
    </row>
    <row r="50">
      <c r="A50" s="93" t="n">
        <v>45034</v>
      </c>
      <c r="B50" s="94" t="inlineStr">
        <is>
          <t xml:space="preserve">   BY TRANSFER-UPI/CR/310863283715/GOOGLEPAY/UTIB/goog-payme/UPI--</t>
        </is>
      </c>
      <c r="C50" s="94" t="inlineStr">
        <is>
          <t>TRANSFER FROM 4897733162090</t>
        </is>
      </c>
      <c r="D50" s="93" t="n">
        <v>45034</v>
      </c>
      <c r="E50" s="94" t="n">
        <v>0</v>
      </c>
      <c r="F50" s="94" t="n">
        <v>11</v>
      </c>
      <c r="G50" s="94" t="n">
        <v>111189.05</v>
      </c>
      <c r="H50" s="94" t="inlineStr"/>
      <c r="I50" s="94" t="inlineStr"/>
      <c r="J50" s="94" t="inlineStr">
        <is>
          <t>UPI - Google Pay</t>
        </is>
      </c>
      <c r="K50" s="94" t="inlineStr">
        <is>
          <t>Personal</t>
        </is>
      </c>
      <c r="L50" s="34" t="n">
        <v>0.65</v>
      </c>
      <c r="M50" s="94" t="inlineStr">
        <is>
          <t>N/A</t>
        </is>
      </c>
    </row>
    <row r="51">
      <c r="A51" s="93" t="n">
        <v>45034</v>
      </c>
      <c r="B51" s="94" t="inlineStr">
        <is>
          <t xml:space="preserve">   BY TRANSFER-UPI/CR/310863285848/GOOGLEPAY/UTIB/goog-payme/UPI--</t>
        </is>
      </c>
      <c r="C51" s="94" t="inlineStr">
        <is>
          <t>TRANSFER FROM 4897733162090</t>
        </is>
      </c>
      <c r="D51" s="93" t="n">
        <v>45034</v>
      </c>
      <c r="E51" s="94" t="n">
        <v>0</v>
      </c>
      <c r="F51" s="94" t="n">
        <v>6</v>
      </c>
      <c r="G51" s="94" t="n">
        <v>111195.05</v>
      </c>
      <c r="H51" s="94" t="inlineStr"/>
      <c r="I51" s="94" t="inlineStr"/>
      <c r="J51" s="94" t="inlineStr">
        <is>
          <t>UPI - Google Pay</t>
        </is>
      </c>
      <c r="K51" s="94" t="inlineStr">
        <is>
          <t>Personal</t>
        </is>
      </c>
      <c r="L51" s="34" t="n">
        <v>0.65</v>
      </c>
      <c r="M51" s="94" t="inlineStr">
        <is>
          <t>N/A</t>
        </is>
      </c>
    </row>
    <row r="52">
      <c r="A52" s="37" t="n">
        <v>45034</v>
      </c>
      <c r="B52" s="38" t="inlineStr">
        <is>
          <t xml:space="preserve">   TO TRANSFER-UPI/DR/310863414173/Plaksha /utib/plakshauni/Onlin--</t>
        </is>
      </c>
      <c r="C52" s="38" t="inlineStr">
        <is>
          <t>TRANSFER TO 4897691162095</t>
        </is>
      </c>
      <c r="D52" s="37" t="n">
        <v>45034</v>
      </c>
      <c r="E52" s="38" t="n">
        <v>7500</v>
      </c>
      <c r="F52" s="38" t="n">
        <v>0</v>
      </c>
      <c r="G52" s="38" t="n">
        <v>103695.05</v>
      </c>
      <c r="H52" s="38" t="inlineStr">
        <is>
          <t>Plaksha</t>
        </is>
      </c>
      <c r="I52" s="38" t="inlineStr"/>
      <c r="J52" s="38" t="inlineStr">
        <is>
          <t>UPI Payment</t>
        </is>
      </c>
      <c r="K52" s="38" t="inlineStr">
        <is>
          <t>Personal</t>
        </is>
      </c>
      <c r="L52" s="25" t="n">
        <v>0.55</v>
      </c>
      <c r="M52" s="38" t="inlineStr">
        <is>
          <t>N/A</t>
        </is>
      </c>
    </row>
    <row r="53">
      <c r="A53" s="37" t="n">
        <v>45034</v>
      </c>
      <c r="B53" s="38" t="inlineStr">
        <is>
          <t xml:space="preserve">   TO TRANSFER-UPI/DR/310897017239/KUNAL EA/YESB/q811125368/UPI--</t>
        </is>
      </c>
      <c r="C53" s="38" t="inlineStr">
        <is>
          <t>TRANSFER TO 4897691162095</t>
        </is>
      </c>
      <c r="D53" s="37" t="n">
        <v>45034</v>
      </c>
      <c r="E53" s="38" t="n">
        <v>105</v>
      </c>
      <c r="F53" s="38" t="n">
        <v>0</v>
      </c>
      <c r="G53" s="38" t="n">
        <v>103590.05</v>
      </c>
      <c r="H53" s="38" t="inlineStr">
        <is>
          <t>Kunal Ea</t>
        </is>
      </c>
      <c r="I53" s="38" t="inlineStr"/>
      <c r="J53" s="38" t="inlineStr">
        <is>
          <t>UPI Payment</t>
        </is>
      </c>
      <c r="K53" s="38" t="inlineStr">
        <is>
          <t>Personal</t>
        </is>
      </c>
      <c r="L53" s="25" t="n">
        <v>0.55</v>
      </c>
      <c r="M53" s="38" t="inlineStr">
        <is>
          <t>N/A</t>
        </is>
      </c>
    </row>
    <row r="54">
      <c r="A54" s="37" t="n">
        <v>45035</v>
      </c>
      <c r="B54" s="38" t="inlineStr">
        <is>
          <t xml:space="preserve">   TO TRANSFER-UPI/DR/310930088166/Shubham /SBIN/9920780107/UPI--</t>
        </is>
      </c>
      <c r="C54" s="38" t="inlineStr">
        <is>
          <t>TRANSFER TO 4897692162094</t>
        </is>
      </c>
      <c r="D54" s="37" t="n">
        <v>45035</v>
      </c>
      <c r="E54" s="38" t="n">
        <v>830</v>
      </c>
      <c r="F54" s="38" t="n">
        <v>0</v>
      </c>
      <c r="G54" s="38" t="n">
        <v>102760.05</v>
      </c>
      <c r="H54" s="38" t="inlineStr">
        <is>
          <t>Shubham</t>
        </is>
      </c>
      <c r="I54" s="38" t="inlineStr"/>
      <c r="J54" s="38" t="inlineStr">
        <is>
          <t>UPI Payment</t>
        </is>
      </c>
      <c r="K54" s="38" t="inlineStr">
        <is>
          <t>Personal</t>
        </is>
      </c>
      <c r="L54" s="25" t="n">
        <v>0.55</v>
      </c>
      <c r="M54" s="38" t="inlineStr">
        <is>
          <t>N/A</t>
        </is>
      </c>
    </row>
    <row r="55">
      <c r="A55" s="37" t="n">
        <v>45035</v>
      </c>
      <c r="B55" s="38" t="inlineStr">
        <is>
          <t xml:space="preserve">   TO TRANSFER-UPI/DR/310932343001/Praful B/SBIN/q508793729/UPI--</t>
        </is>
      </c>
      <c r="C55" s="38" t="inlineStr">
        <is>
          <t>TRANSFER TO 4897692162094</t>
        </is>
      </c>
      <c r="D55" s="37" t="n">
        <v>45035</v>
      </c>
      <c r="E55" s="38" t="n">
        <v>30</v>
      </c>
      <c r="F55" s="38" t="n">
        <v>0</v>
      </c>
      <c r="G55" s="38" t="n">
        <v>102730.05</v>
      </c>
      <c r="H55" s="38" t="inlineStr">
        <is>
          <t>Praful B</t>
        </is>
      </c>
      <c r="I55" s="38" t="inlineStr"/>
      <c r="J55" s="38" t="inlineStr">
        <is>
          <t>UPI Payment</t>
        </is>
      </c>
      <c r="K55" s="38" t="inlineStr">
        <is>
          <t>Personal</t>
        </is>
      </c>
      <c r="L55" s="25" t="n">
        <v>0.55</v>
      </c>
      <c r="M55" s="38" t="inlineStr">
        <is>
          <t>N/A</t>
        </is>
      </c>
    </row>
    <row r="56">
      <c r="A56" s="37" t="n">
        <v>45035</v>
      </c>
      <c r="B56" s="38" t="inlineStr">
        <is>
          <t xml:space="preserve">   TO TRANSFER-UPI/DR/310932978826/KUNAL EA/YESB/q811125368/UPI--</t>
        </is>
      </c>
      <c r="C56" s="38" t="inlineStr">
        <is>
          <t>TRANSFER TO 4897692162094</t>
        </is>
      </c>
      <c r="D56" s="37" t="n">
        <v>45035</v>
      </c>
      <c r="E56" s="38" t="n">
        <v>70</v>
      </c>
      <c r="F56" s="38" t="n">
        <v>0</v>
      </c>
      <c r="G56" s="38" t="n">
        <v>102660.05</v>
      </c>
      <c r="H56" s="38" t="inlineStr">
        <is>
          <t>Kunal Ea</t>
        </is>
      </c>
      <c r="I56" s="38" t="inlineStr"/>
      <c r="J56" s="38" t="inlineStr">
        <is>
          <t>UPI Payment</t>
        </is>
      </c>
      <c r="K56" s="38" t="inlineStr">
        <is>
          <t>Personal</t>
        </is>
      </c>
      <c r="L56" s="25" t="n">
        <v>0.55</v>
      </c>
      <c r="M56" s="38" t="inlineStr">
        <is>
          <t>N/A</t>
        </is>
      </c>
    </row>
    <row r="57">
      <c r="A57" s="23" t="n">
        <v>45036</v>
      </c>
      <c r="B57" s="24" t="inlineStr">
        <is>
          <t xml:space="preserve">   TO TRANSFER-COMM - OTHER MISC. SERVICES--</t>
        </is>
      </c>
      <c r="C57" s="24" t="inlineStr">
        <is>
          <t>TRANSFER TO 98353116696</t>
        </is>
      </c>
      <c r="D57" s="23" t="n">
        <v>45036</v>
      </c>
      <c r="E57" s="24" t="n">
        <v>177</v>
      </c>
      <c r="F57" s="24" t="n">
        <v>0</v>
      </c>
      <c r="G57" s="24" t="n">
        <v>102483.05</v>
      </c>
      <c r="H57" s="24" t="inlineStr"/>
      <c r="I57" s="24" t="inlineStr"/>
      <c r="J57" s="24" t="inlineStr">
        <is>
          <t>What is this?</t>
        </is>
      </c>
      <c r="K57" s="24" t="inlineStr">
        <is>
          <t>Suspense</t>
        </is>
      </c>
      <c r="L57" s="25" t="n">
        <v>0</v>
      </c>
      <c r="M57" s="24" t="inlineStr">
        <is>
          <t>N/A</t>
        </is>
      </c>
    </row>
    <row r="58">
      <c r="A58" s="99" t="n">
        <v>45037</v>
      </c>
      <c r="B58" s="100" t="inlineStr">
        <is>
          <t xml:space="preserve">   TO TRANSFER-UPI/DR/347733861273/Zomato Ltd/PYTM/zomato-ord/Oid--</t>
        </is>
      </c>
      <c r="C58" s="100" t="inlineStr">
        <is>
          <t>TRANSFER TO 4897694162092</t>
        </is>
      </c>
      <c r="D58" s="99" t="n">
        <v>45037</v>
      </c>
      <c r="E58" s="100" t="n">
        <v>370.25</v>
      </c>
      <c r="F58" s="100" t="n">
        <v>0</v>
      </c>
      <c r="G58" s="100" t="n">
        <v>102112.8</v>
      </c>
      <c r="H58" s="100" t="inlineStr"/>
      <c r="I58" s="100" t="inlineStr"/>
      <c r="J58" s="100" t="inlineStr">
        <is>
          <t>UPI - Zomato</t>
        </is>
      </c>
      <c r="K58" s="100" t="inlineStr">
        <is>
          <t>Food &amp; Dining</t>
        </is>
      </c>
      <c r="L58" s="34" t="n">
        <v>0.68</v>
      </c>
      <c r="M58" s="100" t="inlineStr">
        <is>
          <t>N/A</t>
        </is>
      </c>
    </row>
    <row r="59">
      <c r="A59" s="37" t="n">
        <v>45038</v>
      </c>
      <c r="B59" s="38" t="inlineStr">
        <is>
          <t xml:space="preserve">   TO TRANSFER-UPI/DR/311214897545/khatabook/ICIC/ktb.ru6532/UPI--</t>
        </is>
      </c>
      <c r="C59" s="38" t="inlineStr">
        <is>
          <t>TRANSFER TO 4897695162091</t>
        </is>
      </c>
      <c r="D59" s="37" t="n">
        <v>45038</v>
      </c>
      <c r="E59" s="38" t="n">
        <v>20</v>
      </c>
      <c r="F59" s="38" t="n">
        <v>0</v>
      </c>
      <c r="G59" s="38" t="n">
        <v>102092.8</v>
      </c>
      <c r="H59" s="38" t="inlineStr">
        <is>
          <t>Khatabook</t>
        </is>
      </c>
      <c r="I59" s="38" t="inlineStr"/>
      <c r="J59" s="38" t="inlineStr">
        <is>
          <t>UPI Payment</t>
        </is>
      </c>
      <c r="K59" s="38" t="inlineStr">
        <is>
          <t>Personal</t>
        </is>
      </c>
      <c r="L59" s="25" t="n">
        <v>0.55</v>
      </c>
      <c r="M59" s="38" t="inlineStr">
        <is>
          <t>N/A</t>
        </is>
      </c>
    </row>
    <row r="60">
      <c r="A60" s="35" t="n">
        <v>45038</v>
      </c>
      <c r="B60" s="36" t="inlineStr">
        <is>
          <t xml:space="preserve">   TO TRANSFER-UPI/DR/311215008854/Om Super/PYTM/paytmqr281/UPI--</t>
        </is>
      </c>
      <c r="C60" s="36" t="inlineStr">
        <is>
          <t>TRANSFER TO 4897695162091</t>
        </is>
      </c>
      <c r="D60" s="35" t="n">
        <v>45038</v>
      </c>
      <c r="E60" s="36" t="n">
        <v>31</v>
      </c>
      <c r="F60" s="36" t="n">
        <v>0</v>
      </c>
      <c r="G60" s="36" t="n">
        <v>102061.8</v>
      </c>
      <c r="H60" s="36" t="inlineStr"/>
      <c r="I60" s="36" t="inlineStr"/>
      <c r="J60" s="36" t="inlineStr">
        <is>
          <t>UPI - Paytm</t>
        </is>
      </c>
      <c r="K60" s="36" t="inlineStr">
        <is>
          <t>Personal</t>
        </is>
      </c>
      <c r="L60" s="34" t="n">
        <v>0.65</v>
      </c>
      <c r="M60" s="36" t="inlineStr">
        <is>
          <t>N/A</t>
        </is>
      </c>
    </row>
    <row r="61">
      <c r="A61" s="37" t="n">
        <v>45041</v>
      </c>
      <c r="B61" s="38" t="inlineStr">
        <is>
          <t xml:space="preserve">   TO TRANSFER-UPI/DR/348124957377/Mr HAROO/YESB/q840523701/UPI--</t>
        </is>
      </c>
      <c r="C61" s="38" t="inlineStr">
        <is>
          <t>TRANSFER TO 4897691162095</t>
        </is>
      </c>
      <c r="D61" s="37" t="n">
        <v>45041</v>
      </c>
      <c r="E61" s="38" t="n">
        <v>30</v>
      </c>
      <c r="F61" s="38" t="n">
        <v>0</v>
      </c>
      <c r="G61" s="38" t="n">
        <v>102031.8</v>
      </c>
      <c r="H61" s="38" t="inlineStr">
        <is>
          <t>Mr Haroo</t>
        </is>
      </c>
      <c r="I61" s="38" t="inlineStr"/>
      <c r="J61" s="38" t="inlineStr">
        <is>
          <t>UPI Payment</t>
        </is>
      </c>
      <c r="K61" s="38" t="inlineStr">
        <is>
          <t>Personal</t>
        </is>
      </c>
      <c r="L61" s="25" t="n">
        <v>0.55</v>
      </c>
      <c r="M61" s="38" t="inlineStr">
        <is>
          <t>N/A</t>
        </is>
      </c>
    </row>
    <row r="62">
      <c r="A62" s="37" t="n">
        <v>45042</v>
      </c>
      <c r="B62" s="38" t="inlineStr">
        <is>
          <t xml:space="preserve">   TO TRANSFER-UPI/DR/311647973323/olamoney1/HDFC/olamoney1./UPI--</t>
        </is>
      </c>
      <c r="C62" s="38" t="inlineStr">
        <is>
          <t>TRANSFER TO 4897692162094</t>
        </is>
      </c>
      <c r="D62" s="37" t="n">
        <v>45042</v>
      </c>
      <c r="E62" s="38" t="n">
        <v>69</v>
      </c>
      <c r="F62" s="38" t="n">
        <v>0</v>
      </c>
      <c r="G62" s="38" t="n">
        <v>101962.8</v>
      </c>
      <c r="H62" s="38" t="inlineStr">
        <is>
          <t>Olamoney1</t>
        </is>
      </c>
      <c r="I62" s="38" t="inlineStr"/>
      <c r="J62" s="38" t="inlineStr">
        <is>
          <t>UPI Payment</t>
        </is>
      </c>
      <c r="K62" s="38" t="inlineStr">
        <is>
          <t>Personal</t>
        </is>
      </c>
      <c r="L62" s="25" t="n">
        <v>0.55</v>
      </c>
      <c r="M62" s="38" t="inlineStr">
        <is>
          <t>N/A</t>
        </is>
      </c>
    </row>
    <row r="63">
      <c r="A63" s="37" t="n">
        <v>45042</v>
      </c>
      <c r="B63" s="38" t="inlineStr">
        <is>
          <t xml:space="preserve">   TO TRANSFER-UPI/DR/311605861496/Vodafone/PYTM/vilpremum@/UPI--</t>
        </is>
      </c>
      <c r="C63" s="38" t="inlineStr">
        <is>
          <t>TRANSFER TO 4897692162094</t>
        </is>
      </c>
      <c r="D63" s="37" t="n">
        <v>45042</v>
      </c>
      <c r="E63" s="38" t="n">
        <v>50</v>
      </c>
      <c r="F63" s="38" t="n">
        <v>0</v>
      </c>
      <c r="G63" s="38" t="n">
        <v>101912.8</v>
      </c>
      <c r="H63" s="38" t="inlineStr">
        <is>
          <t>Vodafone</t>
        </is>
      </c>
      <c r="I63" s="38" t="inlineStr"/>
      <c r="J63" s="38" t="inlineStr">
        <is>
          <t>UPI Payment</t>
        </is>
      </c>
      <c r="K63" s="38" t="inlineStr">
        <is>
          <t>Personal</t>
        </is>
      </c>
      <c r="L63" s="25" t="n">
        <v>0.55</v>
      </c>
      <c r="M63" s="38" t="inlineStr">
        <is>
          <t>N/A</t>
        </is>
      </c>
    </row>
    <row r="64">
      <c r="A64" s="35" t="n">
        <v>45042</v>
      </c>
      <c r="B64" s="36" t="inlineStr">
        <is>
          <t xml:space="preserve">   TO TRANSFER-UPI/DR/311672052419/MEDPLUS /PYTM/paytm-7097/UPI--</t>
        </is>
      </c>
      <c r="C64" s="36" t="inlineStr">
        <is>
          <t>TRANSFER TO 4897692162094</t>
        </is>
      </c>
      <c r="D64" s="35" t="n">
        <v>45042</v>
      </c>
      <c r="E64" s="36" t="n">
        <v>991.8200000000001</v>
      </c>
      <c r="F64" s="36" t="n">
        <v>0</v>
      </c>
      <c r="G64" s="36" t="n">
        <v>100920.98</v>
      </c>
      <c r="H64" s="36" t="inlineStr"/>
      <c r="I64" s="36" t="inlineStr"/>
      <c r="J64" s="36" t="inlineStr">
        <is>
          <t>UPI - Paytm</t>
        </is>
      </c>
      <c r="K64" s="36" t="inlineStr">
        <is>
          <t>Personal</t>
        </is>
      </c>
      <c r="L64" s="34" t="n">
        <v>0.65</v>
      </c>
      <c r="M64" s="36" t="inlineStr">
        <is>
          <t>N/A</t>
        </is>
      </c>
    </row>
    <row r="65">
      <c r="A65" s="37" t="n">
        <v>45043</v>
      </c>
      <c r="B65" s="38" t="inlineStr">
        <is>
          <t xml:space="preserve">   TO TRANSFER-UPI/DR/311707651627/VIDYA AS/YESB/q580300757/UPI--</t>
        </is>
      </c>
      <c r="C65" s="38" t="inlineStr">
        <is>
          <t>TRANSFER TO 4897693162093</t>
        </is>
      </c>
      <c r="D65" s="37" t="n">
        <v>45043</v>
      </c>
      <c r="E65" s="38" t="n">
        <v>278</v>
      </c>
      <c r="F65" s="38" t="n">
        <v>0</v>
      </c>
      <c r="G65" s="38" t="n">
        <v>100642.98</v>
      </c>
      <c r="H65" s="38" t="inlineStr">
        <is>
          <t>Vidya As</t>
        </is>
      </c>
      <c r="I65" s="38" t="inlineStr"/>
      <c r="J65" s="38" t="inlineStr">
        <is>
          <t>UPI Payment</t>
        </is>
      </c>
      <c r="K65" s="38" t="inlineStr">
        <is>
          <t>Personal</t>
        </is>
      </c>
      <c r="L65" s="25" t="n">
        <v>0.55</v>
      </c>
      <c r="M65" s="38" t="inlineStr">
        <is>
          <t>N/A</t>
        </is>
      </c>
    </row>
    <row r="66">
      <c r="A66" s="39" t="n">
        <v>45043</v>
      </c>
      <c r="B66" s="40" t="inlineStr">
        <is>
          <t xml:space="preserve">   BY TRANSFER-UPI/CR/311760370847/ARCHIT G/UTIB/archit4801/UPI--</t>
        </is>
      </c>
      <c r="C66" s="40" t="inlineStr">
        <is>
          <t>TRANSFER FROM 4897735162098</t>
        </is>
      </c>
      <c r="D66" s="39" t="n">
        <v>45043</v>
      </c>
      <c r="E66" s="40" t="n">
        <v>0</v>
      </c>
      <c r="F66" s="40" t="n">
        <v>100</v>
      </c>
      <c r="G66" s="40" t="n">
        <v>100742.98</v>
      </c>
      <c r="H66" s="40" t="inlineStr"/>
      <c r="I66" s="40" t="inlineStr"/>
      <c r="J66" s="40" t="inlineStr">
        <is>
          <t>Received - Archit Gupta</t>
        </is>
      </c>
      <c r="K66" s="40" t="inlineStr">
        <is>
          <t>Archit Gupta</t>
        </is>
      </c>
      <c r="L66" s="18" t="n">
        <v>0.85</v>
      </c>
      <c r="M66" s="40" t="inlineStr">
        <is>
          <t>N/A</t>
        </is>
      </c>
    </row>
    <row r="67">
      <c r="A67" s="39" t="n">
        <v>45043</v>
      </c>
      <c r="B67" s="40" t="inlineStr">
        <is>
          <t xml:space="preserve">   TO TRANSFER-UPI/DR/311713120224/ARCHIT G/UTIB/archit4801/UPI--</t>
        </is>
      </c>
      <c r="C67" s="40" t="inlineStr">
        <is>
          <t>TRANSFER TO 4897693162093</t>
        </is>
      </c>
      <c r="D67" s="39" t="n">
        <v>45043</v>
      </c>
      <c r="E67" s="40" t="n">
        <v>100</v>
      </c>
      <c r="F67" s="40" t="n">
        <v>0</v>
      </c>
      <c r="G67" s="40" t="n">
        <v>100642.98</v>
      </c>
      <c r="H67" s="40" t="inlineStr"/>
      <c r="I67" s="40" t="inlineStr"/>
      <c r="J67" s="40" t="inlineStr">
        <is>
          <t>Transfer - Archit Gupta</t>
        </is>
      </c>
      <c r="K67" s="40" t="inlineStr">
        <is>
          <t>Archit Gupta</t>
        </is>
      </c>
      <c r="L67" s="18" t="n">
        <v>0.85</v>
      </c>
      <c r="M67" s="40" t="inlineStr">
        <is>
          <t>N/A</t>
        </is>
      </c>
    </row>
    <row r="68">
      <c r="A68" s="101" t="n">
        <v>45044</v>
      </c>
      <c r="B68" s="102" t="inlineStr">
        <is>
          <t xml:space="preserve">   BY TRANSFER-UPI/CR/311802002996/GANESH B/HDFC/shelke49@o/UPI--</t>
        </is>
      </c>
      <c r="C68" s="102" t="inlineStr">
        <is>
          <t>TRANSFER FROM 4897736162097</t>
        </is>
      </c>
      <c r="D68" s="101" t="n">
        <v>45044</v>
      </c>
      <c r="E68" s="102" t="n">
        <v>0</v>
      </c>
      <c r="F68" s="102" t="n">
        <v>670</v>
      </c>
      <c r="G68" s="102" t="n">
        <v>101312.98</v>
      </c>
      <c r="H68" s="102" t="inlineStr"/>
      <c r="I68" s="102" t="inlineStr"/>
      <c r="J68" s="102" t="inlineStr">
        <is>
          <t>Received - Ganesh B</t>
        </is>
      </c>
      <c r="K68" s="102" t="inlineStr">
        <is>
          <t>Personal</t>
        </is>
      </c>
      <c r="L68" s="25" t="n">
        <v>0.55</v>
      </c>
      <c r="M68" s="102" t="inlineStr">
        <is>
          <t>N/A</t>
        </is>
      </c>
    </row>
    <row r="69">
      <c r="A69" s="37" t="n">
        <v>45044</v>
      </c>
      <c r="B69" s="38" t="inlineStr">
        <is>
          <t xml:space="preserve">   TO TRANSFER-UPI/DR/311826037356/VIDYA AS/YESB/q503684025/UPI--</t>
        </is>
      </c>
      <c r="C69" s="38" t="inlineStr">
        <is>
          <t>TRANSFER TO 4897694162092</t>
        </is>
      </c>
      <c r="D69" s="37" t="n">
        <v>45044</v>
      </c>
      <c r="E69" s="38" t="n">
        <v>108</v>
      </c>
      <c r="F69" s="38" t="n">
        <v>0</v>
      </c>
      <c r="G69" s="38" t="n">
        <v>101204.98</v>
      </c>
      <c r="H69" s="38" t="inlineStr">
        <is>
          <t>Vidya As</t>
        </is>
      </c>
      <c r="I69" s="38" t="inlineStr"/>
      <c r="J69" s="38" t="inlineStr">
        <is>
          <t>UPI Payment</t>
        </is>
      </c>
      <c r="K69" s="38" t="inlineStr">
        <is>
          <t>Personal</t>
        </is>
      </c>
      <c r="L69" s="25" t="n">
        <v>0.55</v>
      </c>
      <c r="M69" s="38" t="inlineStr">
        <is>
          <t>N/A</t>
        </is>
      </c>
    </row>
    <row r="70">
      <c r="A70" s="37" t="n">
        <v>45044</v>
      </c>
      <c r="B70" s="38" t="inlineStr">
        <is>
          <t xml:space="preserve">   TO TRANSFER-UPI/DR/311843627938/VIDYA AS/YESB/q503684025/UPI--</t>
        </is>
      </c>
      <c r="C70" s="38" t="inlineStr">
        <is>
          <t>TRANSFER TO 4897694162092</t>
        </is>
      </c>
      <c r="D70" s="37" t="n">
        <v>45044</v>
      </c>
      <c r="E70" s="38" t="n">
        <v>256</v>
      </c>
      <c r="F70" s="38" t="n">
        <v>0</v>
      </c>
      <c r="G70" s="38" t="n">
        <v>100948.98</v>
      </c>
      <c r="H70" s="38" t="inlineStr">
        <is>
          <t>Vidya As</t>
        </is>
      </c>
      <c r="I70" s="38" t="inlineStr"/>
      <c r="J70" s="38" t="inlineStr">
        <is>
          <t>UPI Payment</t>
        </is>
      </c>
      <c r="K70" s="38" t="inlineStr">
        <is>
          <t>Personal</t>
        </is>
      </c>
      <c r="L70" s="25" t="n">
        <v>0.55</v>
      </c>
      <c r="M70" s="38" t="inlineStr">
        <is>
          <t>N/A</t>
        </is>
      </c>
    </row>
    <row r="71">
      <c r="A71" s="37" t="n">
        <v>45044</v>
      </c>
      <c r="B71" s="38" t="inlineStr">
        <is>
          <t xml:space="preserve">   TO TRANSFER-UPI/DR/311846413894/MANISH H/YESB/q423659019/UPI--</t>
        </is>
      </c>
      <c r="C71" s="38" t="inlineStr">
        <is>
          <t>TRANSFER TO 4897694162092</t>
        </is>
      </c>
      <c r="D71" s="37" t="n">
        <v>45044</v>
      </c>
      <c r="E71" s="38" t="n">
        <v>45</v>
      </c>
      <c r="F71" s="38" t="n">
        <v>0</v>
      </c>
      <c r="G71" s="38" t="n">
        <v>100903.98</v>
      </c>
      <c r="H71" s="38" t="inlineStr">
        <is>
          <t>Manish H</t>
        </is>
      </c>
      <c r="I71" s="38" t="inlineStr"/>
      <c r="J71" s="38" t="inlineStr">
        <is>
          <t>UPI Payment</t>
        </is>
      </c>
      <c r="K71" s="38" t="inlineStr">
        <is>
          <t>Personal</t>
        </is>
      </c>
      <c r="L71" s="25" t="n">
        <v>0.55</v>
      </c>
      <c r="M71" s="38" t="inlineStr">
        <is>
          <t>N/A</t>
        </is>
      </c>
    </row>
    <row r="72">
      <c r="A72" s="37" t="n">
        <v>45045</v>
      </c>
      <c r="B72" s="38" t="inlineStr">
        <is>
          <t xml:space="preserve">   TO TRANSFER-UPI/DR/348556626391/Pawan Tr/PYTM/add-money@/Oid20--</t>
        </is>
      </c>
      <c r="C72" s="38" t="inlineStr">
        <is>
          <t>TRANSFER TO 4897695162091</t>
        </is>
      </c>
      <c r="D72" s="37" t="n">
        <v>45045</v>
      </c>
      <c r="E72" s="38" t="n">
        <v>840</v>
      </c>
      <c r="F72" s="38" t="n">
        <v>0</v>
      </c>
      <c r="G72" s="38" t="n">
        <v>100063.98</v>
      </c>
      <c r="H72" s="38" t="inlineStr">
        <is>
          <t>Pawan Tr</t>
        </is>
      </c>
      <c r="I72" s="38" t="inlineStr"/>
      <c r="J72" s="38" t="inlineStr">
        <is>
          <t>UPI Payment</t>
        </is>
      </c>
      <c r="K72" s="38" t="inlineStr">
        <is>
          <t>Personal</t>
        </is>
      </c>
      <c r="L72" s="25" t="n">
        <v>0.55</v>
      </c>
      <c r="M72" s="38" t="inlineStr">
        <is>
          <t>N/A</t>
        </is>
      </c>
    </row>
    <row r="73">
      <c r="A73" s="37" t="n">
        <v>45046</v>
      </c>
      <c r="B73" s="38" t="inlineStr">
        <is>
          <t xml:space="preserve">   TO TRANSFER-UPI/DR/312001785589/MANISH H/YESB/q423659019/UPI--</t>
        </is>
      </c>
      <c r="C73" s="38" t="inlineStr">
        <is>
          <t>TRANSFER TO 4897696162090</t>
        </is>
      </c>
      <c r="D73" s="37" t="n">
        <v>45046</v>
      </c>
      <c r="E73" s="38" t="n">
        <v>90</v>
      </c>
      <c r="F73" s="38" t="n">
        <v>0</v>
      </c>
      <c r="G73" s="38" t="n">
        <v>99973.98</v>
      </c>
      <c r="H73" s="38" t="inlineStr">
        <is>
          <t>Manish H</t>
        </is>
      </c>
      <c r="I73" s="38" t="inlineStr"/>
      <c r="J73" s="38" t="inlineStr">
        <is>
          <t>UPI Payment</t>
        </is>
      </c>
      <c r="K73" s="38" t="inlineStr">
        <is>
          <t>Personal</t>
        </is>
      </c>
      <c r="L73" s="25" t="n">
        <v>0.55</v>
      </c>
      <c r="M73" s="38" t="inlineStr">
        <is>
          <t>N/A</t>
        </is>
      </c>
    </row>
    <row r="74">
      <c r="A74" s="37" t="n">
        <v>45047</v>
      </c>
      <c r="B74" s="38" t="inlineStr">
        <is>
          <t xml:space="preserve">   TO TRANSFER-UPI/DR/312122469551/SHAIKH A/BARB/q892555202/UPI--</t>
        </is>
      </c>
      <c r="C74" s="38" t="inlineStr">
        <is>
          <t>TRANSFER TO 4897690162095</t>
        </is>
      </c>
      <c r="D74" s="37" t="n">
        <v>45047</v>
      </c>
      <c r="E74" s="38" t="n">
        <v>90</v>
      </c>
      <c r="F74" s="38" t="n">
        <v>0</v>
      </c>
      <c r="G74" s="38" t="n">
        <v>99883.98</v>
      </c>
      <c r="H74" s="38" t="inlineStr">
        <is>
          <t>Shaikh A</t>
        </is>
      </c>
      <c r="I74" s="38" t="inlineStr"/>
      <c r="J74" s="38" t="inlineStr">
        <is>
          <t>UPI Payment</t>
        </is>
      </c>
      <c r="K74" s="38" t="inlineStr">
        <is>
          <t>Personal</t>
        </is>
      </c>
      <c r="L74" s="25" t="n">
        <v>0.55</v>
      </c>
      <c r="M74" s="38" t="inlineStr">
        <is>
          <t>N/A</t>
        </is>
      </c>
    </row>
    <row r="75">
      <c r="A75" s="41" t="n">
        <v>45050</v>
      </c>
      <c r="B75" s="42" t="inlineStr">
        <is>
          <t xml:space="preserve">   TO TRANSFER-UPI/DR/349051186055/Amazon I/YESB/amazon@yap/You a--</t>
        </is>
      </c>
      <c r="C75" s="42" t="inlineStr">
        <is>
          <t>TRANSFER TO 4897693162093</t>
        </is>
      </c>
      <c r="D75" s="41" t="n">
        <v>45050</v>
      </c>
      <c r="E75" s="42" t="n">
        <v>574</v>
      </c>
      <c r="F75" s="42" t="n">
        <v>0</v>
      </c>
      <c r="G75" s="42" t="n">
        <v>99309.98</v>
      </c>
      <c r="H75" s="42" t="inlineStr"/>
      <c r="I75" s="42" t="inlineStr"/>
      <c r="J75" s="42" t="inlineStr">
        <is>
          <t>UPI - Amazon</t>
        </is>
      </c>
      <c r="K75" s="42" t="inlineStr">
        <is>
          <t>Shopping</t>
        </is>
      </c>
      <c r="L75" s="34" t="n">
        <v>0.68</v>
      </c>
      <c r="M75" s="42" t="inlineStr">
        <is>
          <t>N/A</t>
        </is>
      </c>
    </row>
    <row r="76">
      <c r="A76" s="37" t="n">
        <v>45051</v>
      </c>
      <c r="B76" s="38" t="inlineStr">
        <is>
          <t xml:space="preserve">   TO TRANSFER-UPI/DR/312566575884/Chartere/ICIC/charteredb/Ticke--</t>
        </is>
      </c>
      <c r="C76" s="38" t="inlineStr">
        <is>
          <t>TRANSFER TO 4897694162092</t>
        </is>
      </c>
      <c r="D76" s="37" t="n">
        <v>45051</v>
      </c>
      <c r="E76" s="38" t="n">
        <v>260</v>
      </c>
      <c r="F76" s="38" t="n">
        <v>0</v>
      </c>
      <c r="G76" s="38" t="n">
        <v>99049.98</v>
      </c>
      <c r="H76" s="38" t="inlineStr">
        <is>
          <t>Chartere</t>
        </is>
      </c>
      <c r="I76" s="38" t="inlineStr"/>
      <c r="J76" s="38" t="inlineStr">
        <is>
          <t>UPI Payment</t>
        </is>
      </c>
      <c r="K76" s="38" t="inlineStr">
        <is>
          <t>Personal</t>
        </is>
      </c>
      <c r="L76" s="25" t="n">
        <v>0.55</v>
      </c>
      <c r="M76" s="38" t="inlineStr">
        <is>
          <t>N/A</t>
        </is>
      </c>
    </row>
    <row r="77">
      <c r="A77" s="37" t="n">
        <v>45052</v>
      </c>
      <c r="B77" s="38" t="inlineStr">
        <is>
          <t xml:space="preserve">   TO TRANSFER-UPI/DR/312614273914/VIDYA AS/YESB/q503684025/UPI--</t>
        </is>
      </c>
      <c r="C77" s="38" t="inlineStr">
        <is>
          <t>TRANSFER TO 4897695162091</t>
        </is>
      </c>
      <c r="D77" s="37" t="n">
        <v>45052</v>
      </c>
      <c r="E77" s="38" t="n">
        <v>152</v>
      </c>
      <c r="F77" s="38" t="n">
        <v>0</v>
      </c>
      <c r="G77" s="38" t="n">
        <v>98897.98</v>
      </c>
      <c r="H77" s="38" t="inlineStr">
        <is>
          <t>Vidya As</t>
        </is>
      </c>
      <c r="I77" s="38" t="inlineStr"/>
      <c r="J77" s="38" t="inlineStr">
        <is>
          <t>UPI Payment</t>
        </is>
      </c>
      <c r="K77" s="38" t="inlineStr">
        <is>
          <t>Personal</t>
        </is>
      </c>
      <c r="L77" s="25" t="n">
        <v>0.55</v>
      </c>
      <c r="M77" s="38" t="inlineStr">
        <is>
          <t>N/A</t>
        </is>
      </c>
    </row>
    <row r="78">
      <c r="A78" s="37" t="n">
        <v>45053</v>
      </c>
      <c r="B78" s="38" t="inlineStr">
        <is>
          <t xml:space="preserve">   TO TRANSFER-UPI/DR/312742845901/Mr GOKUL/YESB/q641750174/UPI--</t>
        </is>
      </c>
      <c r="C78" s="38" t="inlineStr">
        <is>
          <t>TRANSFER TO 4897696162090</t>
        </is>
      </c>
      <c r="D78" s="37" t="n">
        <v>45053</v>
      </c>
      <c r="E78" s="38" t="n">
        <v>160</v>
      </c>
      <c r="F78" s="38" t="n">
        <v>0</v>
      </c>
      <c r="G78" s="38" t="n">
        <v>98737.98</v>
      </c>
      <c r="H78" s="38" t="inlineStr">
        <is>
          <t>Mr Gokul</t>
        </is>
      </c>
      <c r="I78" s="38" t="inlineStr"/>
      <c r="J78" s="38" t="inlineStr">
        <is>
          <t>UPI Payment</t>
        </is>
      </c>
      <c r="K78" s="38" t="inlineStr">
        <is>
          <t>Personal</t>
        </is>
      </c>
      <c r="L78" s="25" t="n">
        <v>0.55</v>
      </c>
      <c r="M78" s="38" t="inlineStr">
        <is>
          <t>N/A</t>
        </is>
      </c>
    </row>
    <row r="79">
      <c r="A79" s="37" t="n">
        <v>45053</v>
      </c>
      <c r="B79" s="38" t="inlineStr">
        <is>
          <t xml:space="preserve">   TO TRANSFER-UPI/DR/312748080382/SELLADUR/YESB/q908014599/UPI--</t>
        </is>
      </c>
      <c r="C79" s="38" t="inlineStr">
        <is>
          <t>TRANSFER TO 4897696162090</t>
        </is>
      </c>
      <c r="D79" s="37" t="n">
        <v>45053</v>
      </c>
      <c r="E79" s="38" t="n">
        <v>20</v>
      </c>
      <c r="F79" s="38" t="n">
        <v>0</v>
      </c>
      <c r="G79" s="38" t="n">
        <v>98717.98</v>
      </c>
      <c r="H79" s="38" t="inlineStr">
        <is>
          <t>Selladur</t>
        </is>
      </c>
      <c r="I79" s="38" t="inlineStr"/>
      <c r="J79" s="38" t="inlineStr">
        <is>
          <t>UPI Payment</t>
        </is>
      </c>
      <c r="K79" s="38" t="inlineStr">
        <is>
          <t>Personal</t>
        </is>
      </c>
      <c r="L79" s="25" t="n">
        <v>0.55</v>
      </c>
      <c r="M79" s="38" t="inlineStr">
        <is>
          <t>N/A</t>
        </is>
      </c>
    </row>
    <row r="80">
      <c r="A80" s="93" t="n">
        <v>45053</v>
      </c>
      <c r="B80" s="94" t="inlineStr">
        <is>
          <t xml:space="preserve">   TO TRANSFER-UPI/DR/312748240642/VIKASH N/UTIB/gpay-11203/UPI--</t>
        </is>
      </c>
      <c r="C80" s="94" t="inlineStr">
        <is>
          <t>TRANSFER TO 4897696162090</t>
        </is>
      </c>
      <c r="D80" s="93" t="n">
        <v>45053</v>
      </c>
      <c r="E80" s="94" t="n">
        <v>160</v>
      </c>
      <c r="F80" s="94" t="n">
        <v>0</v>
      </c>
      <c r="G80" s="94" t="n">
        <v>98557.98</v>
      </c>
      <c r="H80" s="94" t="inlineStr"/>
      <c r="I80" s="94" t="inlineStr"/>
      <c r="J80" s="94" t="inlineStr">
        <is>
          <t>UPI - Google Pay</t>
        </is>
      </c>
      <c r="K80" s="94" t="inlineStr">
        <is>
          <t>Personal</t>
        </is>
      </c>
      <c r="L80" s="34" t="n">
        <v>0.65</v>
      </c>
      <c r="M80" s="94" t="inlineStr">
        <is>
          <t>N/A</t>
        </is>
      </c>
    </row>
    <row r="81">
      <c r="A81" s="37" t="n">
        <v>45053</v>
      </c>
      <c r="B81" s="38" t="inlineStr">
        <is>
          <t xml:space="preserve">   TO TRANSFER-UPI/DR/312756449530/DEALSKAR/HDFC/dealskart./Pay v--</t>
        </is>
      </c>
      <c r="C81" s="38" t="inlineStr">
        <is>
          <t>TRANSFER TO 4897696162090</t>
        </is>
      </c>
      <c r="D81" s="37" t="n">
        <v>45053</v>
      </c>
      <c r="E81" s="38" t="n">
        <v>8603.99</v>
      </c>
      <c r="F81" s="38" t="n">
        <v>0</v>
      </c>
      <c r="G81" s="38" t="n">
        <v>89953.99000000001</v>
      </c>
      <c r="H81" s="38" t="inlineStr">
        <is>
          <t>Dealskar</t>
        </is>
      </c>
      <c r="I81" s="38" t="inlineStr"/>
      <c r="J81" s="38" t="inlineStr">
        <is>
          <t>UPI Payment</t>
        </is>
      </c>
      <c r="K81" s="38" t="inlineStr">
        <is>
          <t>Personal</t>
        </is>
      </c>
      <c r="L81" s="25" t="n">
        <v>0.55</v>
      </c>
      <c r="M81" s="38" t="inlineStr">
        <is>
          <t>N/A</t>
        </is>
      </c>
    </row>
    <row r="82">
      <c r="A82" s="37" t="n">
        <v>45054</v>
      </c>
      <c r="B82" s="38" t="inlineStr">
        <is>
          <t xml:space="preserve">   TO TRANSFER-UPI/DR/312809834902/Dealskart/ICIC/dealskart./UPI--</t>
        </is>
      </c>
      <c r="C82" s="38" t="inlineStr">
        <is>
          <t>TRANSFER TO 4897690162095</t>
        </is>
      </c>
      <c r="D82" s="37" t="n">
        <v>45054</v>
      </c>
      <c r="E82" s="38" t="n">
        <v>8603.99</v>
      </c>
      <c r="F82" s="38" t="n">
        <v>0</v>
      </c>
      <c r="G82" s="38" t="n">
        <v>81350</v>
      </c>
      <c r="H82" s="38" t="inlineStr">
        <is>
          <t>Dealskart</t>
        </is>
      </c>
      <c r="I82" s="38" t="inlineStr"/>
      <c r="J82" s="38" t="inlineStr">
        <is>
          <t>UPI Payment</t>
        </is>
      </c>
      <c r="K82" s="38" t="inlineStr">
        <is>
          <t>Personal</t>
        </is>
      </c>
      <c r="L82" s="25" t="n">
        <v>0.55</v>
      </c>
      <c r="M82" s="38" t="inlineStr">
        <is>
          <t>N/A</t>
        </is>
      </c>
    </row>
    <row r="83">
      <c r="A83" s="37" t="n">
        <v>45055</v>
      </c>
      <c r="B83" s="38" t="inlineStr">
        <is>
          <t xml:space="preserve">   TO TRANSFER-UPI/DR/312936447271/SACHIN M/KKBK/q157094653/UPI--</t>
        </is>
      </c>
      <c r="C83" s="38" t="inlineStr">
        <is>
          <t>TRANSFER TO 4897691162095</t>
        </is>
      </c>
      <c r="D83" s="37" t="n">
        <v>45055</v>
      </c>
      <c r="E83" s="38" t="n">
        <v>20</v>
      </c>
      <c r="F83" s="38" t="n">
        <v>0</v>
      </c>
      <c r="G83" s="38" t="n">
        <v>81330</v>
      </c>
      <c r="H83" s="38" t="inlineStr">
        <is>
          <t>Sachin M</t>
        </is>
      </c>
      <c r="I83" s="38" t="inlineStr"/>
      <c r="J83" s="38" t="inlineStr">
        <is>
          <t>UPI Payment</t>
        </is>
      </c>
      <c r="K83" s="38" t="inlineStr">
        <is>
          <t>Personal</t>
        </is>
      </c>
      <c r="L83" s="25" t="n">
        <v>0.55</v>
      </c>
      <c r="M83" s="38" t="inlineStr">
        <is>
          <t>N/A</t>
        </is>
      </c>
    </row>
    <row r="84">
      <c r="A84" s="23" t="n">
        <v>45055</v>
      </c>
      <c r="B84" s="24" t="inlineStr">
        <is>
          <t xml:space="preserve">   BY TRANSFER-INB IMPS312927083932/1234567890/XX0168/Accountval--</t>
        </is>
      </c>
      <c r="C84" s="24" t="inlineStr">
        <is>
          <t xml:space="preserve">MAD000299902490          MAD000299902490          </t>
        </is>
      </c>
      <c r="D84" s="23" t="n">
        <v>45055</v>
      </c>
      <c r="E84" s="24" t="n">
        <v>0</v>
      </c>
      <c r="F84" s="24" t="n">
        <v>1</v>
      </c>
      <c r="G84" s="24" t="n">
        <v>81331</v>
      </c>
      <c r="H84" s="24" t="inlineStr"/>
      <c r="I84" s="24" t="inlineStr"/>
      <c r="J84" s="24" t="inlineStr">
        <is>
          <t>What is this?</t>
        </is>
      </c>
      <c r="K84" s="24" t="inlineStr">
        <is>
          <t>Suspense</t>
        </is>
      </c>
      <c r="L84" s="25" t="n">
        <v>0</v>
      </c>
      <c r="M84" s="24" t="inlineStr">
        <is>
          <t>N/A</t>
        </is>
      </c>
    </row>
    <row r="85">
      <c r="A85" s="41" t="n">
        <v>45055</v>
      </c>
      <c r="B85" s="42" t="inlineStr">
        <is>
          <t xml:space="preserve">   TO TRANSFER-UPI/DR/349520104043/AMAZONPA/UTIB/amazonupi@/Reque--</t>
        </is>
      </c>
      <c r="C85" s="42" t="inlineStr">
        <is>
          <t>TRANSFER TO 4897691162095</t>
        </is>
      </c>
      <c r="D85" s="41" t="n">
        <v>45055</v>
      </c>
      <c r="E85" s="42" t="n">
        <v>673.8099999999999</v>
      </c>
      <c r="F85" s="42" t="n">
        <v>0</v>
      </c>
      <c r="G85" s="42" t="n">
        <v>80657.19</v>
      </c>
      <c r="H85" s="42" t="inlineStr"/>
      <c r="I85" s="42" t="inlineStr"/>
      <c r="J85" s="42" t="inlineStr">
        <is>
          <t>UPI - Amazon</t>
        </is>
      </c>
      <c r="K85" s="42" t="inlineStr">
        <is>
          <t>Shopping</t>
        </is>
      </c>
      <c r="L85" s="34" t="n">
        <v>0.68</v>
      </c>
      <c r="M85" s="42" t="inlineStr">
        <is>
          <t>N/A</t>
        </is>
      </c>
    </row>
    <row r="86">
      <c r="A86" s="99" t="n">
        <v>45057</v>
      </c>
      <c r="B86" s="100" t="inlineStr">
        <is>
          <t xml:space="preserve">   TO TRANSFER-UPI/DR/349743575884/Zomato Ltd/PYTM/zomato-ord/Oid--</t>
        </is>
      </c>
      <c r="C86" s="100" t="inlineStr">
        <is>
          <t>TRANSFER TO 4897693162093</t>
        </is>
      </c>
      <c r="D86" s="99" t="n">
        <v>45057</v>
      </c>
      <c r="E86" s="100" t="n">
        <v>101.63</v>
      </c>
      <c r="F86" s="100" t="n">
        <v>0</v>
      </c>
      <c r="G86" s="100" t="n">
        <v>80555.56</v>
      </c>
      <c r="H86" s="100" t="inlineStr"/>
      <c r="I86" s="100" t="inlineStr"/>
      <c r="J86" s="100" t="inlineStr">
        <is>
          <t>UPI - Zomato</t>
        </is>
      </c>
      <c r="K86" s="100" t="inlineStr">
        <is>
          <t>Food &amp; Dining</t>
        </is>
      </c>
      <c r="L86" s="34" t="n">
        <v>0.68</v>
      </c>
      <c r="M86" s="100" t="inlineStr">
        <is>
          <t>N/A</t>
        </is>
      </c>
    </row>
    <row r="87">
      <c r="A87" s="37" t="n">
        <v>45059</v>
      </c>
      <c r="B87" s="38" t="inlineStr">
        <is>
          <t xml:space="preserve">   TO TRANSFER-UPI/DR/313314795672/BHARAT S/IOBA/8424852034/Payme--</t>
        </is>
      </c>
      <c r="C87" s="38" t="inlineStr">
        <is>
          <t>TRANSFER TO 4897695162091</t>
        </is>
      </c>
      <c r="D87" s="37" t="n">
        <v>45059</v>
      </c>
      <c r="E87" s="38" t="n">
        <v>240</v>
      </c>
      <c r="F87" s="38" t="n">
        <v>0</v>
      </c>
      <c r="G87" s="38" t="n">
        <v>80315.56</v>
      </c>
      <c r="H87" s="38" t="inlineStr">
        <is>
          <t>Bharat S</t>
        </is>
      </c>
      <c r="I87" s="38" t="inlineStr"/>
      <c r="J87" s="38" t="inlineStr">
        <is>
          <t>UPI Payment</t>
        </is>
      </c>
      <c r="K87" s="38" t="inlineStr">
        <is>
          <t>Personal</t>
        </is>
      </c>
      <c r="L87" s="25" t="n">
        <v>0.55</v>
      </c>
      <c r="M87" s="38" t="inlineStr">
        <is>
          <t>N/A</t>
        </is>
      </c>
    </row>
    <row r="88">
      <c r="A88" s="37" t="n">
        <v>45059</v>
      </c>
      <c r="B88" s="38" t="inlineStr">
        <is>
          <t xml:space="preserve">   TO TRANSFER-UPI/DR/313378896787/MANISH H/YESB/q423659019/UPI--</t>
        </is>
      </c>
      <c r="C88" s="38" t="inlineStr">
        <is>
          <t>TRANSFER TO 4897695162091</t>
        </is>
      </c>
      <c r="D88" s="37" t="n">
        <v>45059</v>
      </c>
      <c r="E88" s="38" t="n">
        <v>60</v>
      </c>
      <c r="F88" s="38" t="n">
        <v>0</v>
      </c>
      <c r="G88" s="38" t="n">
        <v>80255.56</v>
      </c>
      <c r="H88" s="38" t="inlineStr">
        <is>
          <t>Manish H</t>
        </is>
      </c>
      <c r="I88" s="38" t="inlineStr"/>
      <c r="J88" s="38" t="inlineStr">
        <is>
          <t>UPI Payment</t>
        </is>
      </c>
      <c r="K88" s="38" t="inlineStr">
        <is>
          <t>Personal</t>
        </is>
      </c>
      <c r="L88" s="25" t="n">
        <v>0.55</v>
      </c>
      <c r="M88" s="38" t="inlineStr">
        <is>
          <t>N/A</t>
        </is>
      </c>
    </row>
    <row r="89">
      <c r="A89" s="101" t="n">
        <v>45060</v>
      </c>
      <c r="B89" s="102" t="inlineStr">
        <is>
          <t xml:space="preserve">   BY TRANSFER-UPI/CR/313471029938/DEALSKAR/HDFC/dealskart./Refun--</t>
        </is>
      </c>
      <c r="C89" s="102" t="inlineStr">
        <is>
          <t>TRANSFER FROM 4897738162095</t>
        </is>
      </c>
      <c r="D89" s="101" t="n">
        <v>45060</v>
      </c>
      <c r="E89" s="102" t="n">
        <v>0</v>
      </c>
      <c r="F89" s="102" t="n">
        <v>8603.99</v>
      </c>
      <c r="G89" s="102" t="n">
        <v>88859.55</v>
      </c>
      <c r="H89" s="102" t="inlineStr"/>
      <c r="I89" s="102" t="inlineStr"/>
      <c r="J89" s="102" t="inlineStr">
        <is>
          <t>Received - Dealskar</t>
        </is>
      </c>
      <c r="K89" s="102" t="inlineStr">
        <is>
          <t>Personal</t>
        </is>
      </c>
      <c r="L89" s="25" t="n">
        <v>0.55</v>
      </c>
      <c r="M89" s="102" t="inlineStr">
        <is>
          <t>N/A</t>
        </is>
      </c>
    </row>
    <row r="90">
      <c r="A90" s="37" t="n">
        <v>45061</v>
      </c>
      <c r="B90" s="38" t="inlineStr">
        <is>
          <t xml:space="preserve">   TO TRANSFER-UPI/DR/313547141124/KUNAL EA/YESB/q811125368/UPI--</t>
        </is>
      </c>
      <c r="C90" s="38" t="inlineStr">
        <is>
          <t>TRANSFER TO 4897690162095</t>
        </is>
      </c>
      <c r="D90" s="37" t="n">
        <v>45061</v>
      </c>
      <c r="E90" s="38" t="n">
        <v>70</v>
      </c>
      <c r="F90" s="38" t="n">
        <v>0</v>
      </c>
      <c r="G90" s="38" t="n">
        <v>88789.55</v>
      </c>
      <c r="H90" s="38" t="inlineStr">
        <is>
          <t>Kunal Ea</t>
        </is>
      </c>
      <c r="I90" s="38" t="inlineStr"/>
      <c r="J90" s="38" t="inlineStr">
        <is>
          <t>UPI Payment</t>
        </is>
      </c>
      <c r="K90" s="38" t="inlineStr">
        <is>
          <t>Personal</t>
        </is>
      </c>
      <c r="L90" s="25" t="n">
        <v>0.55</v>
      </c>
      <c r="M90" s="38" t="inlineStr">
        <is>
          <t>N/A</t>
        </is>
      </c>
    </row>
    <row r="91">
      <c r="A91" s="101" t="n">
        <v>45062</v>
      </c>
      <c r="B91" s="102" t="inlineStr">
        <is>
          <t xml:space="preserve">   BY TRANSFER-UPI/CR/313699004509/TANUJA M/KKBK/tanujami10/UPI--</t>
        </is>
      </c>
      <c r="C91" s="102" t="inlineStr">
        <is>
          <t>TRANSFER FROM 4897733162090</t>
        </is>
      </c>
      <c r="D91" s="101" t="n">
        <v>45062</v>
      </c>
      <c r="E91" s="102" t="n">
        <v>0</v>
      </c>
      <c r="F91" s="102" t="n">
        <v>100</v>
      </c>
      <c r="G91" s="102" t="n">
        <v>88889.55</v>
      </c>
      <c r="H91" s="102" t="inlineStr"/>
      <c r="I91" s="102" t="inlineStr"/>
      <c r="J91" s="102" t="inlineStr">
        <is>
          <t>Received - Tanuja M</t>
        </is>
      </c>
      <c r="K91" s="102" t="inlineStr">
        <is>
          <t>Personal</t>
        </is>
      </c>
      <c r="L91" s="25" t="n">
        <v>0.55</v>
      </c>
      <c r="M91" s="102" t="inlineStr">
        <is>
          <t>N/A</t>
        </is>
      </c>
    </row>
    <row r="92">
      <c r="A92" s="41" t="n">
        <v>45062</v>
      </c>
      <c r="B92" s="42" t="inlineStr">
        <is>
          <t xml:space="preserve">   TO TRANSFER-UPI/DR/350218976885/amazon p/YESB/amazonpayg/You a--</t>
        </is>
      </c>
      <c r="C92" s="42" t="inlineStr">
        <is>
          <t>TRANSFER TO 4897691162095</t>
        </is>
      </c>
      <c r="D92" s="41" t="n">
        <v>45062</v>
      </c>
      <c r="E92" s="42" t="n">
        <v>537</v>
      </c>
      <c r="F92" s="42" t="n">
        <v>0</v>
      </c>
      <c r="G92" s="42" t="n">
        <v>88352.55</v>
      </c>
      <c r="H92" s="42" t="inlineStr"/>
      <c r="I92" s="42" t="inlineStr"/>
      <c r="J92" s="42" t="inlineStr">
        <is>
          <t>UPI - Amazon</t>
        </is>
      </c>
      <c r="K92" s="42" t="inlineStr">
        <is>
          <t>Shopping</t>
        </is>
      </c>
      <c r="L92" s="34" t="n">
        <v>0.68</v>
      </c>
      <c r="M92" s="42" t="inlineStr">
        <is>
          <t>N/A</t>
        </is>
      </c>
    </row>
    <row r="93">
      <c r="A93" s="101" t="n">
        <v>45063</v>
      </c>
      <c r="B93" s="102" t="inlineStr">
        <is>
          <t xml:space="preserve">   BY TRANSFER-UPI/CR/313714445586/SANGAM P/SBIN/8447569696/Sent--</t>
        </is>
      </c>
      <c r="C93" s="102" t="inlineStr">
        <is>
          <t>TRANSFER FROM 4897734162099</t>
        </is>
      </c>
      <c r="D93" s="101" t="n">
        <v>45063</v>
      </c>
      <c r="E93" s="102" t="n">
        <v>0</v>
      </c>
      <c r="F93" s="102" t="n">
        <v>250</v>
      </c>
      <c r="G93" s="102" t="n">
        <v>88602.55</v>
      </c>
      <c r="H93" s="102" t="inlineStr"/>
      <c r="I93" s="102" t="inlineStr"/>
      <c r="J93" s="102" t="inlineStr">
        <is>
          <t>Received - Sangam P</t>
        </is>
      </c>
      <c r="K93" s="102" t="inlineStr">
        <is>
          <t>Personal</t>
        </is>
      </c>
      <c r="L93" s="25" t="n">
        <v>0.55</v>
      </c>
      <c r="M93" s="102" t="inlineStr">
        <is>
          <t>N/A</t>
        </is>
      </c>
    </row>
    <row r="94">
      <c r="A94" s="37" t="n">
        <v>45063</v>
      </c>
      <c r="B94" s="38" t="inlineStr">
        <is>
          <t xml:space="preserve">   TO TRANSFER-UPI/DR/313718027907/KUNAL EA/YESB/q811125368/UPI--</t>
        </is>
      </c>
      <c r="C94" s="38" t="inlineStr">
        <is>
          <t>TRANSFER TO 4897692162094</t>
        </is>
      </c>
      <c r="D94" s="37" t="n">
        <v>45063</v>
      </c>
      <c r="E94" s="38" t="n">
        <v>140</v>
      </c>
      <c r="F94" s="38" t="n">
        <v>0</v>
      </c>
      <c r="G94" s="38" t="n">
        <v>88462.55</v>
      </c>
      <c r="H94" s="38" t="inlineStr">
        <is>
          <t>Kunal Ea</t>
        </is>
      </c>
      <c r="I94" s="38" t="inlineStr"/>
      <c r="J94" s="38" t="inlineStr">
        <is>
          <t>UPI Payment</t>
        </is>
      </c>
      <c r="K94" s="38" t="inlineStr">
        <is>
          <t>Personal</t>
        </is>
      </c>
      <c r="L94" s="25" t="n">
        <v>0.55</v>
      </c>
      <c r="M94" s="38" t="inlineStr">
        <is>
          <t>N/A</t>
        </is>
      </c>
    </row>
    <row r="95">
      <c r="A95" s="37" t="n">
        <v>45064</v>
      </c>
      <c r="B95" s="38" t="inlineStr">
        <is>
          <t xml:space="preserve">   TO TRANSFER-UPI/DR/313829232261/KUNAL EA/YESB/q811125368/milk--</t>
        </is>
      </c>
      <c r="C95" s="38" t="inlineStr">
        <is>
          <t>TRANSFER TO 4897693162093</t>
        </is>
      </c>
      <c r="D95" s="37" t="n">
        <v>45064</v>
      </c>
      <c r="E95" s="38" t="n">
        <v>35</v>
      </c>
      <c r="F95" s="38" t="n">
        <v>0</v>
      </c>
      <c r="G95" s="38" t="n">
        <v>88427.55</v>
      </c>
      <c r="H95" s="38" t="inlineStr">
        <is>
          <t>Kunal Ea</t>
        </is>
      </c>
      <c r="I95" s="38" t="inlineStr"/>
      <c r="J95" s="38" t="inlineStr">
        <is>
          <t>UPI Payment</t>
        </is>
      </c>
      <c r="K95" s="38" t="inlineStr">
        <is>
          <t>Personal</t>
        </is>
      </c>
      <c r="L95" s="25" t="n">
        <v>0.55</v>
      </c>
      <c r="M95" s="38" t="inlineStr">
        <is>
          <t>N/A</t>
        </is>
      </c>
    </row>
    <row r="96">
      <c r="A96" s="64" t="n">
        <v>45064</v>
      </c>
      <c r="B96" s="65" t="inlineStr">
        <is>
          <t xml:space="preserve">   BULK POSTING-ACHCr NACH00000000006422 LAURUS LABS LI--</t>
        </is>
      </c>
      <c r="C96" s="65" t="n">
        <v/>
      </c>
      <c r="D96" s="64" t="n">
        <v>45064</v>
      </c>
      <c r="E96" s="65" t="n">
        <v>0</v>
      </c>
      <c r="F96" s="65" t="n">
        <v>30</v>
      </c>
      <c r="G96" s="65" t="n">
        <v>88457.55</v>
      </c>
      <c r="H96" s="65" t="inlineStr"/>
      <c r="I96" s="65" t="inlineStr"/>
      <c r="J96" s="65" t="inlineStr">
        <is>
          <t>Dividend Income</t>
        </is>
      </c>
      <c r="K96" s="65" t="inlineStr">
        <is>
          <t>Dividend Income</t>
        </is>
      </c>
      <c r="L96" s="18" t="n">
        <v>0.85</v>
      </c>
      <c r="M96" s="65" t="inlineStr">
        <is>
          <t>N/A</t>
        </is>
      </c>
    </row>
    <row r="97">
      <c r="A97" s="37" t="n">
        <v>45064</v>
      </c>
      <c r="B97" s="38" t="inlineStr">
        <is>
          <t xml:space="preserve">   TO TRANSFER-UPI/DR/313851087707/The Man /YESB/themancomp/UPI--</t>
        </is>
      </c>
      <c r="C97" s="38" t="inlineStr">
        <is>
          <t>TRANSFER TO 4897693162093</t>
        </is>
      </c>
      <c r="D97" s="37" t="n">
        <v>45064</v>
      </c>
      <c r="E97" s="38" t="n">
        <v>325</v>
      </c>
      <c r="F97" s="38" t="n">
        <v>0</v>
      </c>
      <c r="G97" s="38" t="n">
        <v>88132.55</v>
      </c>
      <c r="H97" s="38" t="inlineStr">
        <is>
          <t>The Man</t>
        </is>
      </c>
      <c r="I97" s="38" t="inlineStr"/>
      <c r="J97" s="38" t="inlineStr">
        <is>
          <t>UPI Payment</t>
        </is>
      </c>
      <c r="K97" s="38" t="inlineStr">
        <is>
          <t>Personal</t>
        </is>
      </c>
      <c r="L97" s="25" t="n">
        <v>0.55</v>
      </c>
      <c r="M97" s="38" t="inlineStr">
        <is>
          <t>N/A</t>
        </is>
      </c>
    </row>
    <row r="98">
      <c r="A98" s="32" t="n">
        <v>45065</v>
      </c>
      <c r="B98" s="33" t="inlineStr">
        <is>
          <t xml:space="preserve">   TO TRANSFER-UPI/DR/313915167003/Bharatpe/ICIC/bharatpe.9/Pay T--</t>
        </is>
      </c>
      <c r="C98" s="33" t="inlineStr">
        <is>
          <t>TRANSFER TO 4897694162092</t>
        </is>
      </c>
      <c r="D98" s="32" t="n">
        <v>45065</v>
      </c>
      <c r="E98" s="33" t="n">
        <v>549</v>
      </c>
      <c r="F98" s="33" t="n">
        <v>0</v>
      </c>
      <c r="G98" s="33" t="n">
        <v>87583.55</v>
      </c>
      <c r="H98" s="33" t="inlineStr"/>
      <c r="I98" s="33" t="inlineStr"/>
      <c r="J98" s="33" t="inlineStr">
        <is>
          <t>UPI - BharatPe</t>
        </is>
      </c>
      <c r="K98" s="33" t="inlineStr">
        <is>
          <t>Personal</t>
        </is>
      </c>
      <c r="L98" s="34" t="n">
        <v>0.65</v>
      </c>
      <c r="M98" s="33" t="inlineStr">
        <is>
          <t>N/A</t>
        </is>
      </c>
    </row>
    <row r="99">
      <c r="A99" s="37" t="n">
        <v>45066</v>
      </c>
      <c r="B99" s="38" t="inlineStr">
        <is>
          <t xml:space="preserve">   TO TRANSFER-UPI/DR/314003100568/Add Mone/PYTM/add-money@/UPI--</t>
        </is>
      </c>
      <c r="C99" s="38" t="inlineStr">
        <is>
          <t>TRANSFER TO 4897695162091</t>
        </is>
      </c>
      <c r="D99" s="37" t="n">
        <v>45066</v>
      </c>
      <c r="E99" s="38" t="n">
        <v>129</v>
      </c>
      <c r="F99" s="38" t="n">
        <v>0</v>
      </c>
      <c r="G99" s="38" t="n">
        <v>87454.55</v>
      </c>
      <c r="H99" s="38" t="inlineStr">
        <is>
          <t>Add Mone</t>
        </is>
      </c>
      <c r="I99" s="38" t="inlineStr"/>
      <c r="J99" s="38" t="inlineStr">
        <is>
          <t>UPI Payment</t>
        </is>
      </c>
      <c r="K99" s="38" t="inlineStr">
        <is>
          <t>Personal</t>
        </is>
      </c>
      <c r="L99" s="25" t="n">
        <v>0.55</v>
      </c>
      <c r="M99" s="38" t="inlineStr">
        <is>
          <t>N/A</t>
        </is>
      </c>
    </row>
    <row r="100">
      <c r="A100" s="21" t="n">
        <v>45066</v>
      </c>
      <c r="B100" s="22" t="inlineStr">
        <is>
          <t xml:space="preserve">   TO TRANSFER-UPI/DR/314083727068/IRCTC CF/HDFC/irctc.cf@h/IRCTC--</t>
        </is>
      </c>
      <c r="C100" s="22" t="inlineStr">
        <is>
          <t>TRANSFER TO 4897695162091</t>
        </is>
      </c>
      <c r="D100" s="21" t="n">
        <v>45066</v>
      </c>
      <c r="E100" s="22" t="n">
        <v>142.15</v>
      </c>
      <c r="F100" s="22" t="n">
        <v>0</v>
      </c>
      <c r="G100" s="22" t="n">
        <v>87312.39999999999</v>
      </c>
      <c r="H100" s="22" t="inlineStr"/>
      <c r="I100" s="22" t="inlineStr"/>
      <c r="J100" s="22" t="inlineStr">
        <is>
          <t>UPI - IRCTC</t>
        </is>
      </c>
      <c r="K100" s="22" t="inlineStr">
        <is>
          <t>Travel</t>
        </is>
      </c>
      <c r="L100" s="18" t="n">
        <v>0.88</v>
      </c>
      <c r="M100" s="22" t="inlineStr">
        <is>
          <t>N/A</t>
        </is>
      </c>
    </row>
    <row r="101">
      <c r="A101" s="109" t="n">
        <v>45066</v>
      </c>
      <c r="B101" s="110" t="inlineStr">
        <is>
          <t xml:space="preserve">   TO TRANSFER-UPI/DR/350602864629/MedPlus/YESB/MEDPLUSMAH/Paymen--</t>
        </is>
      </c>
      <c r="C101" s="110" t="inlineStr">
        <is>
          <t>TRANSFER TO 4897695162091</t>
        </is>
      </c>
      <c r="D101" s="109" t="n">
        <v>45066</v>
      </c>
      <c r="E101" s="110" t="n">
        <v>832.67</v>
      </c>
      <c r="F101" s="110" t="n">
        <v>0</v>
      </c>
      <c r="G101" s="110" t="n">
        <v>86479.73</v>
      </c>
      <c r="H101" s="110" t="inlineStr"/>
      <c r="I101" s="110" t="inlineStr"/>
      <c r="J101" s="110" t="inlineStr">
        <is>
          <t>UPI - MedPlus</t>
        </is>
      </c>
      <c r="K101" s="110" t="inlineStr">
        <is>
          <t>Healthcare</t>
        </is>
      </c>
      <c r="L101" s="34" t="n">
        <v>0.68</v>
      </c>
      <c r="M101" s="110" t="inlineStr">
        <is>
          <t>N/A</t>
        </is>
      </c>
    </row>
    <row r="102">
      <c r="A102" s="101" t="n">
        <v>45066</v>
      </c>
      <c r="B102" s="102" t="inlineStr">
        <is>
          <t xml:space="preserve">   BY TRANSFER-UPI/CR/314003323481/SANGAM P/PYTM/sangamprav/UPI--</t>
        </is>
      </c>
      <c r="C102" s="102" t="inlineStr">
        <is>
          <t>TRANSFER FROM 4897737162096</t>
        </is>
      </c>
      <c r="D102" s="101" t="n">
        <v>45066</v>
      </c>
      <c r="E102" s="102" t="n">
        <v>0</v>
      </c>
      <c r="F102" s="102" t="n">
        <v>287</v>
      </c>
      <c r="G102" s="102" t="n">
        <v>86766.73</v>
      </c>
      <c r="H102" s="102" t="inlineStr"/>
      <c r="I102" s="102" t="inlineStr"/>
      <c r="J102" s="102" t="inlineStr">
        <is>
          <t>Received - Sangam P</t>
        </is>
      </c>
      <c r="K102" s="102" t="inlineStr">
        <is>
          <t>Personal</t>
        </is>
      </c>
      <c r="L102" s="25" t="n">
        <v>0.55</v>
      </c>
      <c r="M102" s="102" t="inlineStr">
        <is>
          <t>N/A</t>
        </is>
      </c>
    </row>
    <row r="103">
      <c r="A103" s="91" t="n">
        <v>45067</v>
      </c>
      <c r="B103" s="92" t="inlineStr">
        <is>
          <t xml:space="preserve">   TO TRANSFER-UPI/DR/314186708272/UBER IND/HDFC/uberrides@/charg--</t>
        </is>
      </c>
      <c r="C103" s="92" t="inlineStr">
        <is>
          <t>TRANSFER TO 4897696162090</t>
        </is>
      </c>
      <c r="D103" s="91" t="n">
        <v>45067</v>
      </c>
      <c r="E103" s="92" t="n">
        <v>209.47</v>
      </c>
      <c r="F103" s="92" t="n">
        <v>0</v>
      </c>
      <c r="G103" s="92" t="n">
        <v>86557.25999999999</v>
      </c>
      <c r="H103" s="92" t="inlineStr"/>
      <c r="I103" s="92" t="inlineStr"/>
      <c r="J103" s="92" t="inlineStr">
        <is>
          <t>UPI - Uber</t>
        </is>
      </c>
      <c r="K103" s="92" t="inlineStr">
        <is>
          <t>Transport</t>
        </is>
      </c>
      <c r="L103" s="34" t="n">
        <v>0.68</v>
      </c>
      <c r="M103" s="92" t="inlineStr">
        <is>
          <t>N/A</t>
        </is>
      </c>
    </row>
    <row r="104">
      <c r="A104" s="37" t="n">
        <v>45068</v>
      </c>
      <c r="B104" s="38" t="inlineStr">
        <is>
          <t xml:space="preserve">   TO TRANSFER-UPI/DR/314244285451/OLA Post/HDFC/olamoney1./UPI--</t>
        </is>
      </c>
      <c r="C104" s="38" t="inlineStr">
        <is>
          <t>TRANSFER TO 4897690162095</t>
        </is>
      </c>
      <c r="D104" s="37" t="n">
        <v>45068</v>
      </c>
      <c r="E104" s="38" t="n">
        <v>91</v>
      </c>
      <c r="F104" s="38" t="n">
        <v>0</v>
      </c>
      <c r="G104" s="38" t="n">
        <v>86466.25999999999</v>
      </c>
      <c r="H104" s="38" t="inlineStr">
        <is>
          <t>Ola Post</t>
        </is>
      </c>
      <c r="I104" s="38" t="inlineStr"/>
      <c r="J104" s="38" t="inlineStr">
        <is>
          <t>UPI Payment</t>
        </is>
      </c>
      <c r="K104" s="38" t="inlineStr">
        <is>
          <t>Personal</t>
        </is>
      </c>
      <c r="L104" s="25" t="n">
        <v>0.55</v>
      </c>
      <c r="M104" s="38" t="inlineStr">
        <is>
          <t>N/A</t>
        </is>
      </c>
    </row>
    <row r="105">
      <c r="A105" s="37" t="n">
        <v>45071</v>
      </c>
      <c r="B105" s="38" t="inlineStr">
        <is>
          <t xml:space="preserve">   TO TRANSFER-UPI/DR/314585312544/Mr  AADA/YESB/q964606339/UPI--</t>
        </is>
      </c>
      <c r="C105" s="38" t="inlineStr">
        <is>
          <t>TRANSFER TO 4897693162093</t>
        </is>
      </c>
      <c r="D105" s="37" t="n">
        <v>45071</v>
      </c>
      <c r="E105" s="38" t="n">
        <v>105</v>
      </c>
      <c r="F105" s="38" t="n">
        <v>0</v>
      </c>
      <c r="G105" s="38" t="n">
        <v>86361.25999999999</v>
      </c>
      <c r="H105" s="38" t="inlineStr">
        <is>
          <t>Mr  Aada</t>
        </is>
      </c>
      <c r="I105" s="38" t="inlineStr"/>
      <c r="J105" s="38" t="inlineStr">
        <is>
          <t>UPI Payment</t>
        </is>
      </c>
      <c r="K105" s="38" t="inlineStr">
        <is>
          <t>Personal</t>
        </is>
      </c>
      <c r="L105" s="25" t="n">
        <v>0.55</v>
      </c>
      <c r="M105" s="38" t="inlineStr">
        <is>
          <t>N/A</t>
        </is>
      </c>
    </row>
    <row r="106">
      <c r="A106" s="35" t="n">
        <v>45074</v>
      </c>
      <c r="B106" s="36" t="inlineStr">
        <is>
          <t xml:space="preserve">   TO TRANSFER-UPI/DR/314881967653/SEVEN SP/PYTM/paytmqr281/UPI--</t>
        </is>
      </c>
      <c r="C106" s="36" t="inlineStr">
        <is>
          <t>TRANSFER TO 4897696162090</t>
        </is>
      </c>
      <c r="D106" s="35" t="n">
        <v>45074</v>
      </c>
      <c r="E106" s="36" t="n">
        <v>70</v>
      </c>
      <c r="F106" s="36" t="n">
        <v>0</v>
      </c>
      <c r="G106" s="36" t="n">
        <v>86291.25999999999</v>
      </c>
      <c r="H106" s="36" t="inlineStr"/>
      <c r="I106" s="36" t="inlineStr"/>
      <c r="J106" s="36" t="inlineStr">
        <is>
          <t>UPI - Paytm</t>
        </is>
      </c>
      <c r="K106" s="36" t="inlineStr">
        <is>
          <t>Personal</t>
        </is>
      </c>
      <c r="L106" s="34" t="n">
        <v>0.65</v>
      </c>
      <c r="M106" s="36" t="inlineStr">
        <is>
          <t>N/A</t>
        </is>
      </c>
    </row>
    <row r="107">
      <c r="A107" s="23" t="n">
        <v>45075</v>
      </c>
      <c r="B107" s="24" t="inlineStr">
        <is>
          <t xml:space="preserve">   BY TRANSFER-INB IMPS314909556711/7352813446/XX1167/opentxn994--</t>
        </is>
      </c>
      <c r="C107" s="24" t="inlineStr">
        <is>
          <t xml:space="preserve">MAD000312162118          MAD000312162118          </t>
        </is>
      </c>
      <c r="D107" s="23" t="n">
        <v>45075</v>
      </c>
      <c r="E107" s="24" t="n">
        <v>0</v>
      </c>
      <c r="F107" s="24" t="n">
        <v>36042.33</v>
      </c>
      <c r="G107" s="24" t="n">
        <v>122333.59</v>
      </c>
      <c r="H107" s="24" t="inlineStr"/>
      <c r="I107" s="24" t="inlineStr"/>
      <c r="J107" s="24" t="inlineStr">
        <is>
          <t>What is this?</t>
        </is>
      </c>
      <c r="K107" s="24" t="inlineStr">
        <is>
          <t>Suspense</t>
        </is>
      </c>
      <c r="L107" s="25" t="n">
        <v>0</v>
      </c>
      <c r="M107" s="24" t="inlineStr">
        <is>
          <t>N/A</t>
        </is>
      </c>
    </row>
    <row r="108">
      <c r="A108" s="37" t="n">
        <v>45075</v>
      </c>
      <c r="B108" s="38" t="inlineStr">
        <is>
          <t xml:space="preserve">   TO TRANSFER-UPI/DR/314929747278/Mr  AADA/YESB/q739730170/UPI--</t>
        </is>
      </c>
      <c r="C108" s="38" t="inlineStr">
        <is>
          <t>TRANSFER TO 4897690162095</t>
        </is>
      </c>
      <c r="D108" s="37" t="n">
        <v>45075</v>
      </c>
      <c r="E108" s="38" t="n">
        <v>40</v>
      </c>
      <c r="F108" s="38" t="n">
        <v>0</v>
      </c>
      <c r="G108" s="38" t="n">
        <v>122293.59</v>
      </c>
      <c r="H108" s="38" t="inlineStr">
        <is>
          <t>Mr  Aada</t>
        </is>
      </c>
      <c r="I108" s="38" t="inlineStr"/>
      <c r="J108" s="38" t="inlineStr">
        <is>
          <t>UPI Payment</t>
        </is>
      </c>
      <c r="K108" s="38" t="inlineStr">
        <is>
          <t>Personal</t>
        </is>
      </c>
      <c r="L108" s="25" t="n">
        <v>0.55</v>
      </c>
      <c r="M108" s="38" t="inlineStr">
        <is>
          <t>N/A</t>
        </is>
      </c>
    </row>
    <row r="109">
      <c r="A109" s="37" t="n">
        <v>45075</v>
      </c>
      <c r="B109" s="38" t="inlineStr">
        <is>
          <t xml:space="preserve">   TO TRANSFER-UPI/DR/314932994602/Vendekin/ICIC/vendekin@i/UPI--</t>
        </is>
      </c>
      <c r="C109" s="38" t="inlineStr">
        <is>
          <t>TRANSFER TO 4897690162095</t>
        </is>
      </c>
      <c r="D109" s="37" t="n">
        <v>45075</v>
      </c>
      <c r="E109" s="38" t="n">
        <v>60</v>
      </c>
      <c r="F109" s="38" t="n">
        <v>0</v>
      </c>
      <c r="G109" s="38" t="n">
        <v>122233.59</v>
      </c>
      <c r="H109" s="38" t="inlineStr">
        <is>
          <t>Vendekin</t>
        </is>
      </c>
      <c r="I109" s="38" t="inlineStr"/>
      <c r="J109" s="38" t="inlineStr">
        <is>
          <t>UPI Payment</t>
        </is>
      </c>
      <c r="K109" s="38" t="inlineStr">
        <is>
          <t>Personal</t>
        </is>
      </c>
      <c r="L109" s="25" t="n">
        <v>0.55</v>
      </c>
      <c r="M109" s="38" t="inlineStr">
        <is>
          <t>N/A</t>
        </is>
      </c>
    </row>
    <row r="110">
      <c r="A110" s="58" t="n">
        <v>45076</v>
      </c>
      <c r="B110" s="59" t="inlineStr">
        <is>
          <t xml:space="preserve">   TO TRANSFER-UPI/DR/315052294962/Zerodha /HDFC/zerodhabro/16100--</t>
        </is>
      </c>
      <c r="C110" s="59" t="inlineStr">
        <is>
          <t>TRANSFER TO 4897691162095</t>
        </is>
      </c>
      <c r="D110" s="58" t="n">
        <v>45076</v>
      </c>
      <c r="E110" s="59" t="n">
        <v>10000</v>
      </c>
      <c r="F110" s="59" t="n">
        <v>0</v>
      </c>
      <c r="G110" s="59" t="n">
        <v>112233.59</v>
      </c>
      <c r="H110" s="59" t="inlineStr"/>
      <c r="I110" s="59" t="inlineStr"/>
      <c r="J110" s="59" t="inlineStr">
        <is>
          <t>Zerodha Broking</t>
        </is>
      </c>
      <c r="K110" s="59" t="inlineStr">
        <is>
          <t>Zerodha Broking Limited</t>
        </is>
      </c>
      <c r="L110" s="18" t="n">
        <v>0.88</v>
      </c>
      <c r="M110" s="59" t="inlineStr">
        <is>
          <t>N/A</t>
        </is>
      </c>
    </row>
    <row r="111">
      <c r="A111" s="21" t="n">
        <v>45076</v>
      </c>
      <c r="B111" s="22" t="inlineStr">
        <is>
          <t xml:space="preserve">   TO TRANSFER-UPI/DR/315005745609/IRCTC CF/HDFC/irctc.cf@h/IRCTC--</t>
        </is>
      </c>
      <c r="C111" s="22" t="inlineStr">
        <is>
          <t>TRANSFER TO 4897691162095</t>
        </is>
      </c>
      <c r="D111" s="21" t="n">
        <v>45076</v>
      </c>
      <c r="E111" s="22" t="n">
        <v>2513.6</v>
      </c>
      <c r="F111" s="22" t="n">
        <v>0</v>
      </c>
      <c r="G111" s="22" t="n">
        <v>109719.99</v>
      </c>
      <c r="H111" s="22" t="inlineStr"/>
      <c r="I111" s="22" t="inlineStr"/>
      <c r="J111" s="22" t="inlineStr">
        <is>
          <t>UPI - IRCTC</t>
        </is>
      </c>
      <c r="K111" s="22" t="inlineStr">
        <is>
          <t>Travel</t>
        </is>
      </c>
      <c r="L111" s="18" t="n">
        <v>0.88</v>
      </c>
      <c r="M111" s="22" t="inlineStr">
        <is>
          <t>N/A</t>
        </is>
      </c>
    </row>
    <row r="112">
      <c r="A112" s="21" t="n">
        <v>45076</v>
      </c>
      <c r="B112" s="22" t="inlineStr">
        <is>
          <t xml:space="preserve">   TO TRANSFER-UPI/DR/315005845994/IRCTC CF/HDFC/irctc.cf@h/IRCTC--</t>
        </is>
      </c>
      <c r="C112" s="22" t="inlineStr">
        <is>
          <t>TRANSFER TO 4897691162095</t>
        </is>
      </c>
      <c r="D112" s="21" t="n">
        <v>45076</v>
      </c>
      <c r="E112" s="22" t="n">
        <v>4964.3</v>
      </c>
      <c r="F112" s="22" t="n">
        <v>0</v>
      </c>
      <c r="G112" s="22" t="n">
        <v>104755.69</v>
      </c>
      <c r="H112" s="22" t="inlineStr"/>
      <c r="I112" s="22" t="inlineStr"/>
      <c r="J112" s="22" t="inlineStr">
        <is>
          <t>UPI - IRCTC</t>
        </is>
      </c>
      <c r="K112" s="22" t="inlineStr">
        <is>
          <t>Travel</t>
        </is>
      </c>
      <c r="L112" s="18" t="n">
        <v>0.88</v>
      </c>
      <c r="M112" s="22" t="inlineStr">
        <is>
          <t>N/A</t>
        </is>
      </c>
    </row>
    <row r="113">
      <c r="A113" s="21" t="n">
        <v>45076</v>
      </c>
      <c r="B113" s="22" t="inlineStr">
        <is>
          <t xml:space="preserve">   TO TRANSFER-UPI/DR/315005843853/IRCTC CF/HDFC/irctc.cf@h/IRCTC--</t>
        </is>
      </c>
      <c r="C113" s="22" t="inlineStr">
        <is>
          <t>TRANSFER TO 4897691162095</t>
        </is>
      </c>
      <c r="D113" s="21" t="n">
        <v>45076</v>
      </c>
      <c r="E113" s="22" t="n">
        <v>1758.95</v>
      </c>
      <c r="F113" s="22" t="n">
        <v>0</v>
      </c>
      <c r="G113" s="22" t="n">
        <v>102996.74</v>
      </c>
      <c r="H113" s="22" t="inlineStr"/>
      <c r="I113" s="22" t="inlineStr"/>
      <c r="J113" s="22" t="inlineStr">
        <is>
          <t>UPI - IRCTC</t>
        </is>
      </c>
      <c r="K113" s="22" t="inlineStr">
        <is>
          <t>Travel</t>
        </is>
      </c>
      <c r="L113" s="18" t="n">
        <v>0.88</v>
      </c>
      <c r="M113" s="22" t="inlineStr">
        <is>
          <t>N/A</t>
        </is>
      </c>
    </row>
    <row r="114">
      <c r="A114" s="21" t="n">
        <v>45076</v>
      </c>
      <c r="B114" s="22" t="inlineStr">
        <is>
          <t xml:space="preserve">   TO TRANSFER-UPI/DR/315005851838/IRCTC CF/HDFC/irctc.cf@h/IRCTC--</t>
        </is>
      </c>
      <c r="C114" s="22" t="inlineStr">
        <is>
          <t>TRANSFER TO 4897691162095</t>
        </is>
      </c>
      <c r="D114" s="21" t="n">
        <v>45076</v>
      </c>
      <c r="E114" s="22" t="n">
        <v>187.15</v>
      </c>
      <c r="F114" s="22" t="n">
        <v>0</v>
      </c>
      <c r="G114" s="22" t="n">
        <v>102809.59</v>
      </c>
      <c r="H114" s="22" t="inlineStr"/>
      <c r="I114" s="22" t="inlineStr"/>
      <c r="J114" s="22" t="inlineStr">
        <is>
          <t>UPI - IRCTC</t>
        </is>
      </c>
      <c r="K114" s="22" t="inlineStr">
        <is>
          <t>Travel</t>
        </is>
      </c>
      <c r="L114" s="18" t="n">
        <v>0.88</v>
      </c>
      <c r="M114" s="22" t="inlineStr">
        <is>
          <t>N/A</t>
        </is>
      </c>
    </row>
    <row r="115">
      <c r="A115" s="37" t="n">
        <v>45077</v>
      </c>
      <c r="B115" s="38" t="inlineStr">
        <is>
          <t xml:space="preserve">   TO TRANSFER-UPI/DR/315174038513/Bharti A/HDFC/airtel.pay/UPITr--</t>
        </is>
      </c>
      <c r="C115" s="38" t="inlineStr">
        <is>
          <t>TRANSFER TO 4897692162094</t>
        </is>
      </c>
      <c r="D115" s="37" t="n">
        <v>45077</v>
      </c>
      <c r="E115" s="38" t="n">
        <v>65</v>
      </c>
      <c r="F115" s="38" t="n">
        <v>0</v>
      </c>
      <c r="G115" s="38" t="n">
        <v>102744.59</v>
      </c>
      <c r="H115" s="38" t="inlineStr">
        <is>
          <t>Bharti A</t>
        </is>
      </c>
      <c r="I115" s="38" t="inlineStr"/>
      <c r="J115" s="38" t="inlineStr">
        <is>
          <t>UPI Payment</t>
        </is>
      </c>
      <c r="K115" s="38" t="inlineStr">
        <is>
          <t>Personal</t>
        </is>
      </c>
      <c r="L115" s="25" t="n">
        <v>0.55</v>
      </c>
      <c r="M115" s="38" t="inlineStr">
        <is>
          <t>N/A</t>
        </is>
      </c>
    </row>
    <row r="116">
      <c r="A116" s="37" t="n">
        <v>45078</v>
      </c>
      <c r="B116" s="38" t="inlineStr">
        <is>
          <t xml:space="preserve">   TO TRANSFER-UPI/DR/315225154838/Mr  AADA/YESB/q964606339/UPI--</t>
        </is>
      </c>
      <c r="C116" s="38" t="inlineStr">
        <is>
          <t>TRANSFER TO 4897693162093</t>
        </is>
      </c>
      <c r="D116" s="37" t="n">
        <v>45078</v>
      </c>
      <c r="E116" s="38" t="n">
        <v>70</v>
      </c>
      <c r="F116" s="38" t="n">
        <v>0</v>
      </c>
      <c r="G116" s="38" t="n">
        <v>102674.59</v>
      </c>
      <c r="H116" s="38" t="inlineStr">
        <is>
          <t>Mr  Aada</t>
        </is>
      </c>
      <c r="I116" s="38" t="inlineStr"/>
      <c r="J116" s="38" t="inlineStr">
        <is>
          <t>UPI Payment</t>
        </is>
      </c>
      <c r="K116" s="38" t="inlineStr">
        <is>
          <t>Personal</t>
        </is>
      </c>
      <c r="L116" s="25" t="n">
        <v>0.55</v>
      </c>
      <c r="M116" s="38" t="inlineStr">
        <is>
          <t>N/A</t>
        </is>
      </c>
    </row>
    <row r="117">
      <c r="A117" s="37" t="n">
        <v>45078</v>
      </c>
      <c r="B117" s="38" t="inlineStr">
        <is>
          <t xml:space="preserve">   TO TRANSFER-UPI/DR/351835527439/PRANAV  /CNRB/pranavalig/kulch--</t>
        </is>
      </c>
      <c r="C117" s="38" t="inlineStr">
        <is>
          <t>TRANSFER TO 4897694162092</t>
        </is>
      </c>
      <c r="D117" s="37" t="n">
        <v>45078</v>
      </c>
      <c r="E117" s="38" t="n">
        <v>126</v>
      </c>
      <c r="F117" s="38" t="n">
        <v>0</v>
      </c>
      <c r="G117" s="38" t="n">
        <v>102548.59</v>
      </c>
      <c r="H117" s="38" t="inlineStr">
        <is>
          <t>Pranav</t>
        </is>
      </c>
      <c r="I117" s="38" t="inlineStr"/>
      <c r="J117" s="38" t="inlineStr">
        <is>
          <t>UPI Payment</t>
        </is>
      </c>
      <c r="K117" s="38" t="inlineStr">
        <is>
          <t>Personal</t>
        </is>
      </c>
      <c r="L117" s="25" t="n">
        <v>0.55</v>
      </c>
      <c r="M117" s="38" t="inlineStr">
        <is>
          <t>N/A</t>
        </is>
      </c>
    </row>
    <row r="118">
      <c r="A118" s="21" t="n">
        <v>45080</v>
      </c>
      <c r="B118" s="22" t="inlineStr">
        <is>
          <t xml:space="preserve">   BY TRANSFER-UPI/CR/315415718044/IRCTC CF/HDFC/irctc.cf@h/UPI R--</t>
        </is>
      </c>
      <c r="C118" s="22" t="inlineStr">
        <is>
          <t>TRANSFER FROM 4897737162096</t>
        </is>
      </c>
      <c r="D118" s="21" t="n">
        <v>45080</v>
      </c>
      <c r="E118" s="22" t="n">
        <v>0</v>
      </c>
      <c r="F118" s="22" t="n">
        <v>2425</v>
      </c>
      <c r="G118" s="22" t="n">
        <v>104973.59</v>
      </c>
      <c r="H118" s="22" t="inlineStr"/>
      <c r="I118" s="22" t="inlineStr"/>
      <c r="J118" s="22" t="inlineStr">
        <is>
          <t>UPI - IRCTC</t>
        </is>
      </c>
      <c r="K118" s="22" t="inlineStr">
        <is>
          <t>Travel</t>
        </is>
      </c>
      <c r="L118" s="34" t="n">
        <v>0.68</v>
      </c>
      <c r="M118" s="22" t="inlineStr">
        <is>
          <t>N/A</t>
        </is>
      </c>
    </row>
    <row r="119">
      <c r="A119" s="35" t="n">
        <v>45081</v>
      </c>
      <c r="B119" s="36" t="inlineStr">
        <is>
          <t xml:space="preserve">   TO TRANSFER-UPI/DR/315533591396/SEVEN SP/PYTM/paytmqr281/UPI--</t>
        </is>
      </c>
      <c r="C119" s="36" t="inlineStr">
        <is>
          <t>TRANSFER TO 4897696162090</t>
        </is>
      </c>
      <c r="D119" s="35" t="n">
        <v>45081</v>
      </c>
      <c r="E119" s="36" t="n">
        <v>60</v>
      </c>
      <c r="F119" s="36" t="n">
        <v>0</v>
      </c>
      <c r="G119" s="36" t="n">
        <v>104913.59</v>
      </c>
      <c r="H119" s="36" t="inlineStr"/>
      <c r="I119" s="36" t="inlineStr"/>
      <c r="J119" s="36" t="inlineStr">
        <is>
          <t>UPI - Paytm</t>
        </is>
      </c>
      <c r="K119" s="36" t="inlineStr">
        <is>
          <t>Personal</t>
        </is>
      </c>
      <c r="L119" s="34" t="n">
        <v>0.65</v>
      </c>
      <c r="M119" s="36" t="inlineStr">
        <is>
          <t>N/A</t>
        </is>
      </c>
    </row>
    <row r="120">
      <c r="A120" s="37" t="n">
        <v>45082</v>
      </c>
      <c r="B120" s="38" t="inlineStr">
        <is>
          <t xml:space="preserve">   TO TRANSFER-UPI/DR/315686538704/Mr  AADA/YESB/q739730170/UPI--</t>
        </is>
      </c>
      <c r="C120" s="38" t="inlineStr">
        <is>
          <t>TRANSFER TO 4897690162095</t>
        </is>
      </c>
      <c r="D120" s="37" t="n">
        <v>45082</v>
      </c>
      <c r="E120" s="38" t="n">
        <v>20</v>
      </c>
      <c r="F120" s="38" t="n">
        <v>0</v>
      </c>
      <c r="G120" s="38" t="n">
        <v>104893.59</v>
      </c>
      <c r="H120" s="38" t="inlineStr">
        <is>
          <t>Mr  Aada</t>
        </is>
      </c>
      <c r="I120" s="38" t="inlineStr"/>
      <c r="J120" s="38" t="inlineStr">
        <is>
          <t>UPI Payment</t>
        </is>
      </c>
      <c r="K120" s="38" t="inlineStr">
        <is>
          <t>Personal</t>
        </is>
      </c>
      <c r="L120" s="25" t="n">
        <v>0.55</v>
      </c>
      <c r="M120" s="38" t="inlineStr">
        <is>
          <t>N/A</t>
        </is>
      </c>
    </row>
    <row r="121">
      <c r="A121" s="37" t="n">
        <v>45082</v>
      </c>
      <c r="B121" s="38" t="inlineStr">
        <is>
          <t xml:space="preserve">   TO TRANSFER-UPI/DR/315691996331/Vendekin/ICIC/vendekin@i/UPI--</t>
        </is>
      </c>
      <c r="C121" s="38" t="inlineStr">
        <is>
          <t>TRANSFER TO 4897691162095</t>
        </is>
      </c>
      <c r="D121" s="37" t="n">
        <v>45082</v>
      </c>
      <c r="E121" s="38" t="n">
        <v>20</v>
      </c>
      <c r="F121" s="38" t="n">
        <v>0</v>
      </c>
      <c r="G121" s="38" t="n">
        <v>104873.59</v>
      </c>
      <c r="H121" s="38" t="inlineStr">
        <is>
          <t>Vendekin</t>
        </is>
      </c>
      <c r="I121" s="38" t="inlineStr"/>
      <c r="J121" s="38" t="inlineStr">
        <is>
          <t>UPI Payment</t>
        </is>
      </c>
      <c r="K121" s="38" t="inlineStr">
        <is>
          <t>Personal</t>
        </is>
      </c>
      <c r="L121" s="25" t="n">
        <v>0.55</v>
      </c>
      <c r="M121" s="38" t="inlineStr">
        <is>
          <t>N/A</t>
        </is>
      </c>
    </row>
    <row r="122">
      <c r="A122" s="37" t="n">
        <v>45083</v>
      </c>
      <c r="B122" s="38" t="inlineStr">
        <is>
          <t xml:space="preserve">   TO TRANSFER-UPI/DR/315722210284/Mr  AADA/YESB/q739730170/UPI--</t>
        </is>
      </c>
      <c r="C122" s="38" t="inlineStr">
        <is>
          <t>TRANSFER TO 4897691162095</t>
        </is>
      </c>
      <c r="D122" s="37" t="n">
        <v>45083</v>
      </c>
      <c r="E122" s="38" t="n">
        <v>50</v>
      </c>
      <c r="F122" s="38" t="n">
        <v>0</v>
      </c>
      <c r="G122" s="38" t="n">
        <v>104823.59</v>
      </c>
      <c r="H122" s="38" t="inlineStr">
        <is>
          <t>Mr  Aada</t>
        </is>
      </c>
      <c r="I122" s="38" t="inlineStr"/>
      <c r="J122" s="38" t="inlineStr">
        <is>
          <t>UPI Payment</t>
        </is>
      </c>
      <c r="K122" s="38" t="inlineStr">
        <is>
          <t>Personal</t>
        </is>
      </c>
      <c r="L122" s="25" t="n">
        <v>0.55</v>
      </c>
      <c r="M122" s="38" t="inlineStr">
        <is>
          <t>N/A</t>
        </is>
      </c>
    </row>
    <row r="123">
      <c r="A123" s="37" t="n">
        <v>45084</v>
      </c>
      <c r="B123" s="38" t="inlineStr">
        <is>
          <t xml:space="preserve">   TO TRANSFER-UPI/DR/315860809837/Mr  AADA/YESB/q739730170/UPI--</t>
        </is>
      </c>
      <c r="C123" s="38" t="inlineStr">
        <is>
          <t>TRANSFER TO 4897692162094</t>
        </is>
      </c>
      <c r="D123" s="37" t="n">
        <v>45084</v>
      </c>
      <c r="E123" s="38" t="n">
        <v>50</v>
      </c>
      <c r="F123" s="38" t="n">
        <v>0</v>
      </c>
      <c r="G123" s="38" t="n">
        <v>104773.59</v>
      </c>
      <c r="H123" s="38" t="inlineStr">
        <is>
          <t>Mr  Aada</t>
        </is>
      </c>
      <c r="I123" s="38" t="inlineStr"/>
      <c r="J123" s="38" t="inlineStr">
        <is>
          <t>UPI Payment</t>
        </is>
      </c>
      <c r="K123" s="38" t="inlineStr">
        <is>
          <t>Personal</t>
        </is>
      </c>
      <c r="L123" s="25" t="n">
        <v>0.55</v>
      </c>
      <c r="M123" s="38" t="inlineStr">
        <is>
          <t>N/A</t>
        </is>
      </c>
    </row>
    <row r="124">
      <c r="A124" s="58" t="n">
        <v>45085</v>
      </c>
      <c r="B124" s="59" t="inlineStr">
        <is>
          <t xml:space="preserve">   BY TRANSFER-NEFT*ICIC0099999*CMS3336346983*CENTRAL DEPOSITORY--</t>
        </is>
      </c>
      <c r="C124" s="59" t="inlineStr">
        <is>
          <t>TRANSFER FROM 4697187044302</t>
        </is>
      </c>
      <c r="D124" s="58" t="n">
        <v>45085</v>
      </c>
      <c r="E124" s="59" t="n">
        <v>0</v>
      </c>
      <c r="F124" s="59" t="n">
        <v>122.23</v>
      </c>
      <c r="G124" s="59" t="n">
        <v>104895.82</v>
      </c>
      <c r="H124" s="59" t="inlineStr"/>
      <c r="I124" s="59" t="inlineStr"/>
      <c r="J124" s="59" t="inlineStr">
        <is>
          <t>NEFT Transfer</t>
        </is>
      </c>
      <c r="K124" s="59" t="inlineStr">
        <is>
          <t>Transfer</t>
        </is>
      </c>
      <c r="L124" s="34" t="n">
        <v>0.7</v>
      </c>
      <c r="M124" s="59" t="inlineStr">
        <is>
          <t>N/A</t>
        </is>
      </c>
    </row>
    <row r="125">
      <c r="A125" s="37" t="n">
        <v>45085</v>
      </c>
      <c r="B125" s="38" t="inlineStr">
        <is>
          <t xml:space="preserve">   TO TRANSFER-UPI/DR/315996684695/La Pino /ICIC/lapinozpiz/Onlin--</t>
        </is>
      </c>
      <c r="C125" s="38" t="inlineStr">
        <is>
          <t>TRANSFER TO 4897693162093</t>
        </is>
      </c>
      <c r="D125" s="37" t="n">
        <v>45085</v>
      </c>
      <c r="E125" s="38" t="n">
        <v>552.96</v>
      </c>
      <c r="F125" s="38" t="n">
        <v>0</v>
      </c>
      <c r="G125" s="38" t="n">
        <v>104342.86</v>
      </c>
      <c r="H125" s="38" t="inlineStr">
        <is>
          <t>La Pino</t>
        </is>
      </c>
      <c r="I125" s="38" t="inlineStr"/>
      <c r="J125" s="38" t="inlineStr">
        <is>
          <t>UPI Payment</t>
        </is>
      </c>
      <c r="K125" s="38" t="inlineStr">
        <is>
          <t>Personal</t>
        </is>
      </c>
      <c r="L125" s="25" t="n">
        <v>0.55</v>
      </c>
      <c r="M125" s="38" t="inlineStr">
        <is>
          <t>N/A</t>
        </is>
      </c>
    </row>
    <row r="126">
      <c r="A126" s="101" t="n">
        <v>45085</v>
      </c>
      <c r="B126" s="102" t="inlineStr">
        <is>
          <t xml:space="preserve">   BY TRANSFER-UPI/CR/315985102753/PRANAV  /CNRB/pranavalig/UPI--</t>
        </is>
      </c>
      <c r="C126" s="102" t="inlineStr">
        <is>
          <t>TRANSFER FROM 4897735162098</t>
        </is>
      </c>
      <c r="D126" s="101" t="n">
        <v>45085</v>
      </c>
      <c r="E126" s="102" t="n">
        <v>0</v>
      </c>
      <c r="F126" s="102" t="n">
        <v>184</v>
      </c>
      <c r="G126" s="102" t="n">
        <v>104526.86</v>
      </c>
      <c r="H126" s="102" t="inlineStr"/>
      <c r="I126" s="102" t="inlineStr"/>
      <c r="J126" s="102" t="inlineStr">
        <is>
          <t>Received - Pranav</t>
        </is>
      </c>
      <c r="K126" s="102" t="inlineStr">
        <is>
          <t>Personal</t>
        </is>
      </c>
      <c r="L126" s="25" t="n">
        <v>0.55</v>
      </c>
      <c r="M126" s="102" t="inlineStr">
        <is>
          <t>N/A</t>
        </is>
      </c>
    </row>
    <row r="127">
      <c r="A127" s="101" t="n">
        <v>45085</v>
      </c>
      <c r="B127" s="102" t="inlineStr">
        <is>
          <t xml:space="preserve">   BY TRANSFER-UPI/CR/352540355915/SHASHANK/HDFC/9880498899/NA--</t>
        </is>
      </c>
      <c r="C127" s="102" t="inlineStr">
        <is>
          <t>TRANSFER FROM 4897736162097</t>
        </is>
      </c>
      <c r="D127" s="101" t="n">
        <v>45085</v>
      </c>
      <c r="E127" s="102" t="n">
        <v>0</v>
      </c>
      <c r="F127" s="102" t="n">
        <v>185</v>
      </c>
      <c r="G127" s="102" t="n">
        <v>104711.86</v>
      </c>
      <c r="H127" s="102" t="inlineStr"/>
      <c r="I127" s="102" t="inlineStr"/>
      <c r="J127" s="102" t="inlineStr">
        <is>
          <t>Received - Shashank</t>
        </is>
      </c>
      <c r="K127" s="102" t="inlineStr">
        <is>
          <t>Personal</t>
        </is>
      </c>
      <c r="L127" s="25" t="n">
        <v>0.55</v>
      </c>
      <c r="M127" s="102" t="inlineStr">
        <is>
          <t>N/A</t>
        </is>
      </c>
    </row>
    <row r="128">
      <c r="A128" s="37" t="n">
        <v>45086</v>
      </c>
      <c r="B128" s="38" t="inlineStr">
        <is>
          <t xml:space="preserve">   TO TRANSFER-UPI/DR/316015768349/Mr  AADA/YESB/q739730170/UPI--</t>
        </is>
      </c>
      <c r="C128" s="38" t="inlineStr">
        <is>
          <t>TRANSFER TO 4897694162092</t>
        </is>
      </c>
      <c r="D128" s="37" t="n">
        <v>45086</v>
      </c>
      <c r="E128" s="38" t="n">
        <v>50</v>
      </c>
      <c r="F128" s="38" t="n">
        <v>0</v>
      </c>
      <c r="G128" s="38" t="n">
        <v>104661.86</v>
      </c>
      <c r="H128" s="38" t="inlineStr">
        <is>
          <t>Mr  Aada</t>
        </is>
      </c>
      <c r="I128" s="38" t="inlineStr"/>
      <c r="J128" s="38" t="inlineStr">
        <is>
          <t>UPI Payment</t>
        </is>
      </c>
      <c r="K128" s="38" t="inlineStr">
        <is>
          <t>Personal</t>
        </is>
      </c>
      <c r="L128" s="25" t="n">
        <v>0.55</v>
      </c>
      <c r="M128" s="38" t="inlineStr">
        <is>
          <t>N/A</t>
        </is>
      </c>
    </row>
    <row r="129">
      <c r="A129" s="101" t="n">
        <v>45086</v>
      </c>
      <c r="B129" s="102" t="inlineStr">
        <is>
          <t xml:space="preserve">   BY TRANSFER-UPI/CR/352625454171/SHASHANK/HDFC/9880498899/NA--</t>
        </is>
      </c>
      <c r="C129" s="102" t="inlineStr">
        <is>
          <t>TRANSFER FROM 4897736162097</t>
        </is>
      </c>
      <c r="D129" s="101" t="n">
        <v>45086</v>
      </c>
      <c r="E129" s="102" t="n">
        <v>0</v>
      </c>
      <c r="F129" s="102" t="n">
        <v>40</v>
      </c>
      <c r="G129" s="102" t="n">
        <v>104701.86</v>
      </c>
      <c r="H129" s="102" t="inlineStr"/>
      <c r="I129" s="102" t="inlineStr"/>
      <c r="J129" s="102" t="inlineStr">
        <is>
          <t>Received - Shashank</t>
        </is>
      </c>
      <c r="K129" s="102" t="inlineStr">
        <is>
          <t>Personal</t>
        </is>
      </c>
      <c r="L129" s="25" t="n">
        <v>0.55</v>
      </c>
      <c r="M129" s="102" t="inlineStr">
        <is>
          <t>N/A</t>
        </is>
      </c>
    </row>
    <row r="130">
      <c r="A130" s="35" t="n">
        <v>45086</v>
      </c>
      <c r="B130" s="36" t="inlineStr">
        <is>
          <t xml:space="preserve">   TO TRANSFER-UPI/DR/316024513339/SEVEN SP/PYTM/paytmqr281/UPI--</t>
        </is>
      </c>
      <c r="C130" s="36" t="inlineStr">
        <is>
          <t>TRANSFER TO 4897694162092</t>
        </is>
      </c>
      <c r="D130" s="35" t="n">
        <v>45086</v>
      </c>
      <c r="E130" s="36" t="n">
        <v>80</v>
      </c>
      <c r="F130" s="36" t="n">
        <v>0</v>
      </c>
      <c r="G130" s="36" t="n">
        <v>104621.86</v>
      </c>
      <c r="H130" s="36" t="inlineStr"/>
      <c r="I130" s="36" t="inlineStr"/>
      <c r="J130" s="36" t="inlineStr">
        <is>
          <t>UPI - Paytm</t>
        </is>
      </c>
      <c r="K130" s="36" t="inlineStr">
        <is>
          <t>Personal</t>
        </is>
      </c>
      <c r="L130" s="34" t="n">
        <v>0.65</v>
      </c>
      <c r="M130" s="36" t="inlineStr">
        <is>
          <t>N/A</t>
        </is>
      </c>
    </row>
    <row r="131">
      <c r="A131" s="37" t="n">
        <v>45087</v>
      </c>
      <c r="B131" s="38" t="inlineStr">
        <is>
          <t xml:space="preserve">   TO TRANSFER-UPI/DR/316158166186/Mr  AADA/YESB/q964606339/UPI--</t>
        </is>
      </c>
      <c r="C131" s="38" t="inlineStr">
        <is>
          <t>TRANSFER TO 4897695162091</t>
        </is>
      </c>
      <c r="D131" s="37" t="n">
        <v>45087</v>
      </c>
      <c r="E131" s="38" t="n">
        <v>90</v>
      </c>
      <c r="F131" s="38" t="n">
        <v>0</v>
      </c>
      <c r="G131" s="38" t="n">
        <v>104531.86</v>
      </c>
      <c r="H131" s="38" t="inlineStr">
        <is>
          <t>Mr  Aada</t>
        </is>
      </c>
      <c r="I131" s="38" t="inlineStr"/>
      <c r="J131" s="38" t="inlineStr">
        <is>
          <t>UPI Payment</t>
        </is>
      </c>
      <c r="K131" s="38" t="inlineStr">
        <is>
          <t>Personal</t>
        </is>
      </c>
      <c r="L131" s="25" t="n">
        <v>0.55</v>
      </c>
      <c r="M131" s="38" t="inlineStr">
        <is>
          <t>N/A</t>
        </is>
      </c>
    </row>
    <row r="132">
      <c r="A132" s="37" t="n">
        <v>45088</v>
      </c>
      <c r="B132" s="38" t="inlineStr">
        <is>
          <t xml:space="preserve">   TO TRANSFER-UPI/DR/316202351740/Vendekin/ICIC/vendekin@i/UPI--</t>
        </is>
      </c>
      <c r="C132" s="38" t="inlineStr">
        <is>
          <t>TRANSFER TO 4897696162090</t>
        </is>
      </c>
      <c r="D132" s="37" t="n">
        <v>45088</v>
      </c>
      <c r="E132" s="38" t="n">
        <v>80</v>
      </c>
      <c r="F132" s="38" t="n">
        <v>0</v>
      </c>
      <c r="G132" s="38" t="n">
        <v>104451.86</v>
      </c>
      <c r="H132" s="38" t="inlineStr">
        <is>
          <t>Vendekin</t>
        </is>
      </c>
      <c r="I132" s="38" t="inlineStr"/>
      <c r="J132" s="38" t="inlineStr">
        <is>
          <t>UPI Payment</t>
        </is>
      </c>
      <c r="K132" s="38" t="inlineStr">
        <is>
          <t>Personal</t>
        </is>
      </c>
      <c r="L132" s="25" t="n">
        <v>0.55</v>
      </c>
      <c r="M132" s="38" t="inlineStr">
        <is>
          <t>N/A</t>
        </is>
      </c>
    </row>
    <row r="133">
      <c r="A133" s="101" t="n">
        <v>45088</v>
      </c>
      <c r="B133" s="102" t="inlineStr">
        <is>
          <t xml:space="preserve">   BY TRANSFER-UPI/CR/316271164767/Vendekin/ICIC/vendekin@i/vende--</t>
        </is>
      </c>
      <c r="C133" s="102" t="inlineStr">
        <is>
          <t>TRANSFER FROM 4897738162095</t>
        </is>
      </c>
      <c r="D133" s="101" t="n">
        <v>45088</v>
      </c>
      <c r="E133" s="102" t="n">
        <v>0</v>
      </c>
      <c r="F133" s="102" t="n">
        <v>80</v>
      </c>
      <c r="G133" s="102" t="n">
        <v>104531.86</v>
      </c>
      <c r="H133" s="102" t="inlineStr"/>
      <c r="I133" s="102" t="inlineStr"/>
      <c r="J133" s="102" t="inlineStr">
        <is>
          <t>Received - Vendekin</t>
        </is>
      </c>
      <c r="K133" s="102" t="inlineStr">
        <is>
          <t>Personal</t>
        </is>
      </c>
      <c r="L133" s="25" t="n">
        <v>0.55</v>
      </c>
      <c r="M133" s="102" t="inlineStr">
        <is>
          <t>N/A</t>
        </is>
      </c>
    </row>
    <row r="134">
      <c r="A134" s="37" t="n">
        <v>45088</v>
      </c>
      <c r="B134" s="38" t="inlineStr">
        <is>
          <t xml:space="preserve">   TO TRANSFER-UPI/DR/316202758430/Mr  AADA/YESB/q964606339/UPI--</t>
        </is>
      </c>
      <c r="C134" s="38" t="inlineStr">
        <is>
          <t>TRANSFER TO 4897696162090</t>
        </is>
      </c>
      <c r="D134" s="37" t="n">
        <v>45088</v>
      </c>
      <c r="E134" s="38" t="n">
        <v>110</v>
      </c>
      <c r="F134" s="38" t="n">
        <v>0</v>
      </c>
      <c r="G134" s="38" t="n">
        <v>104421.86</v>
      </c>
      <c r="H134" s="38" t="inlineStr">
        <is>
          <t>Mr  Aada</t>
        </is>
      </c>
      <c r="I134" s="38" t="inlineStr"/>
      <c r="J134" s="38" t="inlineStr">
        <is>
          <t>UPI Payment</t>
        </is>
      </c>
      <c r="K134" s="38" t="inlineStr">
        <is>
          <t>Personal</t>
        </is>
      </c>
      <c r="L134" s="25" t="n">
        <v>0.55</v>
      </c>
      <c r="M134" s="38" t="inlineStr">
        <is>
          <t>N/A</t>
        </is>
      </c>
    </row>
    <row r="135">
      <c r="A135" s="64" t="n">
        <v>45089</v>
      </c>
      <c r="B135" s="65" t="inlineStr">
        <is>
          <t xml:space="preserve">   BULK POSTING-ACHCr ICIC04933000011905 VEDANTA LIMITE--</t>
        </is>
      </c>
      <c r="C135" s="65" t="n">
        <v/>
      </c>
      <c r="D135" s="64" t="n">
        <v>45089</v>
      </c>
      <c r="E135" s="65" t="n">
        <v>0</v>
      </c>
      <c r="F135" s="65" t="n">
        <v>573.5</v>
      </c>
      <c r="G135" s="65" t="n">
        <v>104995.36</v>
      </c>
      <c r="H135" s="65" t="inlineStr"/>
      <c r="I135" s="65" t="inlineStr"/>
      <c r="J135" s="65" t="inlineStr">
        <is>
          <t>Dividend Income</t>
        </is>
      </c>
      <c r="K135" s="65" t="inlineStr">
        <is>
          <t>Dividend Income</t>
        </is>
      </c>
      <c r="L135" s="18" t="n">
        <v>0.85</v>
      </c>
      <c r="M135" s="65" t="inlineStr">
        <is>
          <t>N/A</t>
        </is>
      </c>
    </row>
    <row r="136">
      <c r="A136" s="37" t="n">
        <v>45089</v>
      </c>
      <c r="B136" s="38" t="inlineStr">
        <is>
          <t xml:space="preserve">   TO TRANSFER-UPI/DR/316351822248/Vendekin/ICIC/vendekin@i/UPI--</t>
        </is>
      </c>
      <c r="C136" s="38" t="inlineStr">
        <is>
          <t>TRANSFER TO 4897691162095</t>
        </is>
      </c>
      <c r="D136" s="37" t="n">
        <v>45089</v>
      </c>
      <c r="E136" s="38" t="n">
        <v>40</v>
      </c>
      <c r="F136" s="38" t="n">
        <v>0</v>
      </c>
      <c r="G136" s="38" t="n">
        <v>104955.36</v>
      </c>
      <c r="H136" s="38" t="inlineStr">
        <is>
          <t>Vendekin</t>
        </is>
      </c>
      <c r="I136" s="38" t="inlineStr"/>
      <c r="J136" s="38" t="inlineStr">
        <is>
          <t>UPI Payment</t>
        </is>
      </c>
      <c r="K136" s="38" t="inlineStr">
        <is>
          <t>Personal</t>
        </is>
      </c>
      <c r="L136" s="25" t="n">
        <v>0.55</v>
      </c>
      <c r="M136" s="38" t="inlineStr">
        <is>
          <t>N/A</t>
        </is>
      </c>
    </row>
    <row r="137">
      <c r="A137" s="101" t="n">
        <v>45089</v>
      </c>
      <c r="B137" s="102" t="inlineStr">
        <is>
          <t xml:space="preserve">   BY TRANSFER-UPI/CR/316374839586/Vendekin/ICIC/vendekin@i/vende--</t>
        </is>
      </c>
      <c r="C137" s="102" t="inlineStr">
        <is>
          <t>TRANSFER FROM 4897733162090</t>
        </is>
      </c>
      <c r="D137" s="101" t="n">
        <v>45089</v>
      </c>
      <c r="E137" s="102" t="n">
        <v>0</v>
      </c>
      <c r="F137" s="102" t="n">
        <v>40</v>
      </c>
      <c r="G137" s="102" t="n">
        <v>104995.36</v>
      </c>
      <c r="H137" s="102" t="inlineStr"/>
      <c r="I137" s="102" t="inlineStr"/>
      <c r="J137" s="102" t="inlineStr">
        <is>
          <t>Received - Vendekin</t>
        </is>
      </c>
      <c r="K137" s="102" t="inlineStr">
        <is>
          <t>Personal</t>
        </is>
      </c>
      <c r="L137" s="25" t="n">
        <v>0.55</v>
      </c>
      <c r="M137" s="102" t="inlineStr">
        <is>
          <t>N/A</t>
        </is>
      </c>
    </row>
    <row r="138">
      <c r="A138" s="37" t="n">
        <v>45089</v>
      </c>
      <c r="B138" s="38" t="inlineStr">
        <is>
          <t xml:space="preserve">   TO TRANSFER-UPI/DR/316351881817/Mr  AADA/YESB/q964606339/UPI--</t>
        </is>
      </c>
      <c r="C138" s="38" t="inlineStr">
        <is>
          <t>TRANSFER TO 4897691162095</t>
        </is>
      </c>
      <c r="D138" s="37" t="n">
        <v>45089</v>
      </c>
      <c r="E138" s="38" t="n">
        <v>30</v>
      </c>
      <c r="F138" s="38" t="n">
        <v>0</v>
      </c>
      <c r="G138" s="38" t="n">
        <v>104965.36</v>
      </c>
      <c r="H138" s="38" t="inlineStr">
        <is>
          <t>Mr  Aada</t>
        </is>
      </c>
      <c r="I138" s="38" t="inlineStr"/>
      <c r="J138" s="38" t="inlineStr">
        <is>
          <t>UPI Payment</t>
        </is>
      </c>
      <c r="K138" s="38" t="inlineStr">
        <is>
          <t>Personal</t>
        </is>
      </c>
      <c r="L138" s="25" t="n">
        <v>0.55</v>
      </c>
      <c r="M138" s="38" t="inlineStr">
        <is>
          <t>N/A</t>
        </is>
      </c>
    </row>
    <row r="139">
      <c r="A139" s="37" t="n">
        <v>45090</v>
      </c>
      <c r="B139" s="38" t="inlineStr">
        <is>
          <t xml:space="preserve">   TO TRANSFER-UPI/DR/316463813881/Vendekin/ICIC/vendekin@i/UPI--</t>
        </is>
      </c>
      <c r="C139" s="38" t="inlineStr">
        <is>
          <t>TRANSFER TO 4897691162095</t>
        </is>
      </c>
      <c r="D139" s="37" t="n">
        <v>45090</v>
      </c>
      <c r="E139" s="38" t="n">
        <v>20</v>
      </c>
      <c r="F139" s="38" t="n">
        <v>0</v>
      </c>
      <c r="G139" s="38" t="n">
        <v>104945.36</v>
      </c>
      <c r="H139" s="38" t="inlineStr">
        <is>
          <t>Vendekin</t>
        </is>
      </c>
      <c r="I139" s="38" t="inlineStr"/>
      <c r="J139" s="38" t="inlineStr">
        <is>
          <t>UPI Payment</t>
        </is>
      </c>
      <c r="K139" s="38" t="inlineStr">
        <is>
          <t>Personal</t>
        </is>
      </c>
      <c r="L139" s="25" t="n">
        <v>0.55</v>
      </c>
      <c r="M139" s="38" t="inlineStr">
        <is>
          <t>N/A</t>
        </is>
      </c>
    </row>
    <row r="140">
      <c r="A140" s="37" t="n">
        <v>45090</v>
      </c>
      <c r="B140" s="38" t="inlineStr">
        <is>
          <t xml:space="preserve">   TO TRANSFER-UPI/DR/316486673464/Mr  AADA/YESB/q964606339/groce--</t>
        </is>
      </c>
      <c r="C140" s="38" t="inlineStr">
        <is>
          <t>TRANSFER TO 4897691162095</t>
        </is>
      </c>
      <c r="D140" s="37" t="n">
        <v>45090</v>
      </c>
      <c r="E140" s="38" t="n">
        <v>70</v>
      </c>
      <c r="F140" s="38" t="n">
        <v>0</v>
      </c>
      <c r="G140" s="38" t="n">
        <v>104875.36</v>
      </c>
      <c r="H140" s="38" t="inlineStr">
        <is>
          <t>Mr  Aada</t>
        </is>
      </c>
      <c r="I140" s="38" t="inlineStr"/>
      <c r="J140" s="38" t="inlineStr">
        <is>
          <t>UPI Payment</t>
        </is>
      </c>
      <c r="K140" s="38" t="inlineStr">
        <is>
          <t>Personal</t>
        </is>
      </c>
      <c r="L140" s="25" t="n">
        <v>0.55</v>
      </c>
      <c r="M140" s="38" t="inlineStr">
        <is>
          <t>N/A</t>
        </is>
      </c>
    </row>
    <row r="141">
      <c r="A141" s="101" t="n">
        <v>45091</v>
      </c>
      <c r="B141" s="102" t="inlineStr">
        <is>
          <t xml:space="preserve">   BY TRANSFER-UPI/CR/316567060362/MONISH K/ICIC/8296488092/Payme--</t>
        </is>
      </c>
      <c r="C141" s="102" t="inlineStr">
        <is>
          <t>TRANSFER FROM 4897734162099</t>
        </is>
      </c>
      <c r="D141" s="101" t="n">
        <v>45091</v>
      </c>
      <c r="E141" s="102" t="n">
        <v>0</v>
      </c>
      <c r="F141" s="102" t="n">
        <v>6434</v>
      </c>
      <c r="G141" s="102" t="n">
        <v>111309.36</v>
      </c>
      <c r="H141" s="102" t="inlineStr"/>
      <c r="I141" s="102" t="inlineStr"/>
      <c r="J141" s="102" t="inlineStr">
        <is>
          <t>Received - Monish K</t>
        </is>
      </c>
      <c r="K141" s="102" t="inlineStr">
        <is>
          <t>Personal</t>
        </is>
      </c>
      <c r="L141" s="25" t="n">
        <v>0.55</v>
      </c>
      <c r="M141" s="102" t="inlineStr">
        <is>
          <t>N/A</t>
        </is>
      </c>
    </row>
    <row r="142">
      <c r="A142" s="35" t="n">
        <v>45091</v>
      </c>
      <c r="B142" s="36" t="inlineStr">
        <is>
          <t xml:space="preserve">   TO TRANSFER-UPI/DR/316521968604/MLML WINES/PYTM/paytmqr1tb/UPI--</t>
        </is>
      </c>
      <c r="C142" s="36" t="inlineStr">
        <is>
          <t>TRANSFER TO 4897692162094</t>
        </is>
      </c>
      <c r="D142" s="35" t="n">
        <v>45091</v>
      </c>
      <c r="E142" s="36" t="n">
        <v>200</v>
      </c>
      <c r="F142" s="36" t="n">
        <v>0</v>
      </c>
      <c r="G142" s="36" t="n">
        <v>111109.36</v>
      </c>
      <c r="H142" s="36" t="inlineStr"/>
      <c r="I142" s="36" t="inlineStr"/>
      <c r="J142" s="36" t="inlineStr">
        <is>
          <t>UPI - Paytm</t>
        </is>
      </c>
      <c r="K142" s="36" t="inlineStr">
        <is>
          <t>Personal</t>
        </is>
      </c>
      <c r="L142" s="34" t="n">
        <v>0.65</v>
      </c>
      <c r="M142" s="36" t="inlineStr">
        <is>
          <t>N/A</t>
        </is>
      </c>
    </row>
    <row r="143">
      <c r="A143" s="101" t="n">
        <v>45091</v>
      </c>
      <c r="B143" s="102" t="inlineStr">
        <is>
          <t xml:space="preserve">   BY TRANSFER-UPI/CR/316541102451/ADARSH N/HDFC/adusma02-1/UPI--</t>
        </is>
      </c>
      <c r="C143" s="102" t="inlineStr">
        <is>
          <t>TRANSFER FROM 4897734162099</t>
        </is>
      </c>
      <c r="D143" s="101" t="n">
        <v>45091</v>
      </c>
      <c r="E143" s="102" t="n">
        <v>0</v>
      </c>
      <c r="F143" s="102" t="n">
        <v>100</v>
      </c>
      <c r="G143" s="102" t="n">
        <v>111209.36</v>
      </c>
      <c r="H143" s="102" t="inlineStr"/>
      <c r="I143" s="102" t="inlineStr"/>
      <c r="J143" s="102" t="inlineStr">
        <is>
          <t>Received - Adarsh N</t>
        </is>
      </c>
      <c r="K143" s="102" t="inlineStr">
        <is>
          <t>Personal</t>
        </is>
      </c>
      <c r="L143" s="25" t="n">
        <v>0.55</v>
      </c>
      <c r="M143" s="102" t="inlineStr">
        <is>
          <t>N/A</t>
        </is>
      </c>
    </row>
    <row r="144">
      <c r="A144" s="37" t="n">
        <v>45091</v>
      </c>
      <c r="B144" s="38" t="inlineStr">
        <is>
          <t xml:space="preserve">   TO TRANSFER-UPI/DR/316524431336/TAJASVI /SBIN/tejasvisin/UPI--</t>
        </is>
      </c>
      <c r="C144" s="38" t="inlineStr">
        <is>
          <t>TRANSFER TO 4897692162094</t>
        </is>
      </c>
      <c r="D144" s="37" t="n">
        <v>45091</v>
      </c>
      <c r="E144" s="38" t="n">
        <v>75</v>
      </c>
      <c r="F144" s="38" t="n">
        <v>0</v>
      </c>
      <c r="G144" s="38" t="n">
        <v>111134.36</v>
      </c>
      <c r="H144" s="38" t="inlineStr">
        <is>
          <t>Tajasvi</t>
        </is>
      </c>
      <c r="I144" s="38" t="inlineStr"/>
      <c r="J144" s="38" t="inlineStr">
        <is>
          <t>UPI Payment</t>
        </is>
      </c>
      <c r="K144" s="38" t="inlineStr">
        <is>
          <t>Personal</t>
        </is>
      </c>
      <c r="L144" s="25" t="n">
        <v>0.55</v>
      </c>
      <c r="M144" s="38" t="inlineStr">
        <is>
          <t>N/A</t>
        </is>
      </c>
    </row>
    <row r="145">
      <c r="A145" s="37" t="n">
        <v>45093</v>
      </c>
      <c r="B145" s="38" t="inlineStr">
        <is>
          <t xml:space="preserve">   TO TRANSFER-UPI/DR/316703476731/Vendekin/ICIC/vendekin@i/UPI--</t>
        </is>
      </c>
      <c r="C145" s="38" t="inlineStr">
        <is>
          <t>TRANSFER TO 4897695162091</t>
        </is>
      </c>
      <c r="D145" s="37" t="n">
        <v>45093</v>
      </c>
      <c r="E145" s="38" t="n">
        <v>40</v>
      </c>
      <c r="F145" s="38" t="n">
        <v>0</v>
      </c>
      <c r="G145" s="38" t="n">
        <v>111094.36</v>
      </c>
      <c r="H145" s="38" t="inlineStr">
        <is>
          <t>Vendekin</t>
        </is>
      </c>
      <c r="I145" s="38" t="inlineStr"/>
      <c r="J145" s="38" t="inlineStr">
        <is>
          <t>UPI Payment</t>
        </is>
      </c>
      <c r="K145" s="38" t="inlineStr">
        <is>
          <t>Personal</t>
        </is>
      </c>
      <c r="L145" s="25" t="n">
        <v>0.55</v>
      </c>
      <c r="M145" s="38" t="inlineStr">
        <is>
          <t>N/A</t>
        </is>
      </c>
    </row>
    <row r="146">
      <c r="A146" s="37" t="n">
        <v>45094</v>
      </c>
      <c r="B146" s="38" t="inlineStr">
        <is>
          <t xml:space="preserve">   TO TRANSFER-UPI/DR/316823119553/Mr  AADA/YESB/q964606339/UPI--</t>
        </is>
      </c>
      <c r="C146" s="38" t="inlineStr">
        <is>
          <t>TRANSFER TO 4897695162091</t>
        </is>
      </c>
      <c r="D146" s="37" t="n">
        <v>45094</v>
      </c>
      <c r="E146" s="38" t="n">
        <v>10</v>
      </c>
      <c r="F146" s="38" t="n">
        <v>0</v>
      </c>
      <c r="G146" s="38" t="n">
        <v>111084.36</v>
      </c>
      <c r="H146" s="38" t="inlineStr">
        <is>
          <t>Mr  Aada</t>
        </is>
      </c>
      <c r="I146" s="38" t="inlineStr"/>
      <c r="J146" s="38" t="inlineStr">
        <is>
          <t>UPI Payment</t>
        </is>
      </c>
      <c r="K146" s="38" t="inlineStr">
        <is>
          <t>Personal</t>
        </is>
      </c>
      <c r="L146" s="25" t="n">
        <v>0.55</v>
      </c>
      <c r="M146" s="38" t="inlineStr">
        <is>
          <t>N/A</t>
        </is>
      </c>
    </row>
    <row r="147">
      <c r="A147" s="97" t="n">
        <v>45094</v>
      </c>
      <c r="B147" s="98" t="inlineStr">
        <is>
          <t xml:space="preserve">   TO TRANSFER-UPI/DR/316882168944/SWIGGY/YESB/swiggy@yes/Debit M--</t>
        </is>
      </c>
      <c r="C147" s="98" t="inlineStr">
        <is>
          <t>TRANSFER TO 4897695162091</t>
        </is>
      </c>
      <c r="D147" s="97" t="n">
        <v>45094</v>
      </c>
      <c r="E147" s="98" t="n">
        <v>180</v>
      </c>
      <c r="F147" s="98" t="n">
        <v>0</v>
      </c>
      <c r="G147" s="98" t="n">
        <v>110904.36</v>
      </c>
      <c r="H147" s="98" t="inlineStr"/>
      <c r="I147" s="98" t="inlineStr"/>
      <c r="J147" s="98" t="inlineStr">
        <is>
          <t>UPI - Swiggy</t>
        </is>
      </c>
      <c r="K147" s="98" t="inlineStr">
        <is>
          <t>Food &amp; Dining</t>
        </is>
      </c>
      <c r="L147" s="34" t="n">
        <v>0.68</v>
      </c>
      <c r="M147" s="98" t="inlineStr">
        <is>
          <t>N/A</t>
        </is>
      </c>
    </row>
    <row r="148">
      <c r="A148" s="35" t="n">
        <v>45095</v>
      </c>
      <c r="B148" s="36" t="inlineStr">
        <is>
          <t xml:space="preserve">   TO TRANSFER-UPI/DR/316976440157/Airtel/PYTM/paytm-6879/Airtel--</t>
        </is>
      </c>
      <c r="C148" s="36" t="inlineStr">
        <is>
          <t>TRANSFER TO 4897696162090</t>
        </is>
      </c>
      <c r="D148" s="35" t="n">
        <v>45095</v>
      </c>
      <c r="E148" s="36" t="n">
        <v>455</v>
      </c>
      <c r="F148" s="36" t="n">
        <v>0</v>
      </c>
      <c r="G148" s="36" t="n">
        <v>110449.36</v>
      </c>
      <c r="H148" s="36" t="inlineStr"/>
      <c r="I148" s="36" t="inlineStr"/>
      <c r="J148" s="36" t="inlineStr">
        <is>
          <t>UPI - Paytm</t>
        </is>
      </c>
      <c r="K148" s="36" t="inlineStr">
        <is>
          <t>Personal</t>
        </is>
      </c>
      <c r="L148" s="34" t="n">
        <v>0.65</v>
      </c>
      <c r="M148" s="36" t="inlineStr">
        <is>
          <t>N/A</t>
        </is>
      </c>
    </row>
    <row r="149">
      <c r="A149" s="37" t="n">
        <v>45095</v>
      </c>
      <c r="B149" s="38" t="inlineStr">
        <is>
          <t xml:space="preserve">   TO TRANSFER-UPI/DR/316980693155/BANANA L/HDFC/bananaleaf/UPI--</t>
        </is>
      </c>
      <c r="C149" s="38" t="inlineStr">
        <is>
          <t>TRANSFER TO 4897696162090</t>
        </is>
      </c>
      <c r="D149" s="37" t="n">
        <v>45095</v>
      </c>
      <c r="E149" s="38" t="n">
        <v>80</v>
      </c>
      <c r="F149" s="38" t="n">
        <v>0</v>
      </c>
      <c r="G149" s="38" t="n">
        <v>110369.36</v>
      </c>
      <c r="H149" s="38" t="inlineStr">
        <is>
          <t>Banana L</t>
        </is>
      </c>
      <c r="I149" s="38" t="inlineStr"/>
      <c r="J149" s="38" t="inlineStr">
        <is>
          <t>UPI Payment</t>
        </is>
      </c>
      <c r="K149" s="38" t="inlineStr">
        <is>
          <t>Personal</t>
        </is>
      </c>
      <c r="L149" s="25" t="n">
        <v>0.55</v>
      </c>
      <c r="M149" s="38" t="inlineStr">
        <is>
          <t>N/A</t>
        </is>
      </c>
    </row>
    <row r="150">
      <c r="A150" s="37" t="n">
        <v>45095</v>
      </c>
      <c r="B150" s="38" t="inlineStr">
        <is>
          <t xml:space="preserve">   TO TRANSFER-UPI/DR/316982751716/Mr  AADA/YESB/q739730170/UPI--</t>
        </is>
      </c>
      <c r="C150" s="38" t="inlineStr">
        <is>
          <t>TRANSFER TO 4897696162090</t>
        </is>
      </c>
      <c r="D150" s="37" t="n">
        <v>45095</v>
      </c>
      <c r="E150" s="38" t="n">
        <v>40</v>
      </c>
      <c r="F150" s="38" t="n">
        <v>0</v>
      </c>
      <c r="G150" s="38" t="n">
        <v>110329.36</v>
      </c>
      <c r="H150" s="38" t="inlineStr">
        <is>
          <t>Mr  Aada</t>
        </is>
      </c>
      <c r="I150" s="38" t="inlineStr"/>
      <c r="J150" s="38" t="inlineStr">
        <is>
          <t>UPI Payment</t>
        </is>
      </c>
      <c r="K150" s="38" t="inlineStr">
        <is>
          <t>Personal</t>
        </is>
      </c>
      <c r="L150" s="25" t="n">
        <v>0.55</v>
      </c>
      <c r="M150" s="38" t="inlineStr">
        <is>
          <t>N/A</t>
        </is>
      </c>
    </row>
    <row r="151">
      <c r="A151" s="37" t="n">
        <v>45096</v>
      </c>
      <c r="B151" s="38" t="inlineStr">
        <is>
          <t xml:space="preserve">   TO TRANSFER-UPI/DR/317016348442/Mr  AADA/YESB/q739730170/UPI--</t>
        </is>
      </c>
      <c r="C151" s="38" t="inlineStr">
        <is>
          <t>TRANSFER TO 4897690162095</t>
        </is>
      </c>
      <c r="D151" s="37" t="n">
        <v>45096</v>
      </c>
      <c r="E151" s="38" t="n">
        <v>40</v>
      </c>
      <c r="F151" s="38" t="n">
        <v>0</v>
      </c>
      <c r="G151" s="38" t="n">
        <v>110289.36</v>
      </c>
      <c r="H151" s="38" t="inlineStr">
        <is>
          <t>Mr  Aada</t>
        </is>
      </c>
      <c r="I151" s="38" t="inlineStr"/>
      <c r="J151" s="38" t="inlineStr">
        <is>
          <t>UPI Payment</t>
        </is>
      </c>
      <c r="K151" s="38" t="inlineStr">
        <is>
          <t>Personal</t>
        </is>
      </c>
      <c r="L151" s="25" t="n">
        <v>0.55</v>
      </c>
      <c r="M151" s="38" t="inlineStr">
        <is>
          <t>N/A</t>
        </is>
      </c>
    </row>
    <row r="152">
      <c r="A152" s="37" t="n">
        <v>45096</v>
      </c>
      <c r="B152" s="38" t="inlineStr">
        <is>
          <t xml:space="preserve">   TO TRANSFER-UPI/DR/317020952524/Mr  AADA/YESB/q964606339/groce--</t>
        </is>
      </c>
      <c r="C152" s="38" t="inlineStr">
        <is>
          <t>TRANSFER TO 4897690162095</t>
        </is>
      </c>
      <c r="D152" s="37" t="n">
        <v>45096</v>
      </c>
      <c r="E152" s="38" t="n">
        <v>30</v>
      </c>
      <c r="F152" s="38" t="n">
        <v>0</v>
      </c>
      <c r="G152" s="38" t="n">
        <v>110259.36</v>
      </c>
      <c r="H152" s="38" t="inlineStr">
        <is>
          <t>Mr  Aada</t>
        </is>
      </c>
      <c r="I152" s="38" t="inlineStr"/>
      <c r="J152" s="38" t="inlineStr">
        <is>
          <t>UPI Payment</t>
        </is>
      </c>
      <c r="K152" s="38" t="inlineStr">
        <is>
          <t>Personal</t>
        </is>
      </c>
      <c r="L152" s="25" t="n">
        <v>0.55</v>
      </c>
      <c r="M152" s="38" t="inlineStr">
        <is>
          <t>N/A</t>
        </is>
      </c>
    </row>
    <row r="153">
      <c r="A153" s="23" t="n">
        <v>45098</v>
      </c>
      <c r="B153" s="24" t="inlineStr">
        <is>
          <t xml:space="preserve">   TO TRANSFER-INB Paytm Payments Bank LTD--</t>
        </is>
      </c>
      <c r="C153" s="24" t="inlineStr">
        <is>
          <t>3062114030165544977IGAPTMRLX0               TRANSF</t>
        </is>
      </c>
      <c r="D153" s="23" t="n">
        <v>45098</v>
      </c>
      <c r="E153" s="24" t="n">
        <v>472.12</v>
      </c>
      <c r="F153" s="24" t="n">
        <v>0</v>
      </c>
      <c r="G153" s="24" t="n">
        <v>109787.24</v>
      </c>
      <c r="H153" s="24" t="inlineStr"/>
      <c r="I153" s="24" t="inlineStr"/>
      <c r="J153" s="24" t="inlineStr">
        <is>
          <t>What is this?</t>
        </is>
      </c>
      <c r="K153" s="24" t="inlineStr">
        <is>
          <t>Suspense</t>
        </is>
      </c>
      <c r="L153" s="25" t="n">
        <v>0</v>
      </c>
      <c r="M153" s="24" t="inlineStr">
        <is>
          <t>N/A</t>
        </is>
      </c>
    </row>
    <row r="154">
      <c r="A154" s="37" t="n">
        <v>45098</v>
      </c>
      <c r="B154" s="38" t="inlineStr">
        <is>
          <t xml:space="preserve">   TO TRANSFER-UPI/DR/317278326584/Mr  AADA/YESB/q423863729/UPI--</t>
        </is>
      </c>
      <c r="C154" s="38" t="inlineStr">
        <is>
          <t>TRANSFER TO 4897692162094</t>
        </is>
      </c>
      <c r="D154" s="37" t="n">
        <v>45098</v>
      </c>
      <c r="E154" s="38" t="n">
        <v>70</v>
      </c>
      <c r="F154" s="38" t="n">
        <v>0</v>
      </c>
      <c r="G154" s="38" t="n">
        <v>109717.24</v>
      </c>
      <c r="H154" s="38" t="inlineStr">
        <is>
          <t>Mr  Aada</t>
        </is>
      </c>
      <c r="I154" s="38" t="inlineStr"/>
      <c r="J154" s="38" t="inlineStr">
        <is>
          <t>UPI Payment</t>
        </is>
      </c>
      <c r="K154" s="38" t="inlineStr">
        <is>
          <t>Personal</t>
        </is>
      </c>
      <c r="L154" s="25" t="n">
        <v>0.55</v>
      </c>
      <c r="M154" s="38" t="inlineStr">
        <is>
          <t>N/A</t>
        </is>
      </c>
    </row>
    <row r="155">
      <c r="A155" s="37" t="n">
        <v>45098</v>
      </c>
      <c r="B155" s="38" t="inlineStr">
        <is>
          <t xml:space="preserve">   TO TRANSFER-UPI/DR/317287823112/Mr  AADA/YESB/q964606339/UPI--</t>
        </is>
      </c>
      <c r="C155" s="38" t="inlineStr">
        <is>
          <t>TRANSFER TO 4897692162094</t>
        </is>
      </c>
      <c r="D155" s="37" t="n">
        <v>45098</v>
      </c>
      <c r="E155" s="38" t="n">
        <v>30</v>
      </c>
      <c r="F155" s="38" t="n">
        <v>0</v>
      </c>
      <c r="G155" s="38" t="n">
        <v>109687.24</v>
      </c>
      <c r="H155" s="38" t="inlineStr">
        <is>
          <t>Mr  Aada</t>
        </is>
      </c>
      <c r="I155" s="38" t="inlineStr"/>
      <c r="J155" s="38" t="inlineStr">
        <is>
          <t>UPI Payment</t>
        </is>
      </c>
      <c r="K155" s="38" t="inlineStr">
        <is>
          <t>Personal</t>
        </is>
      </c>
      <c r="L155" s="25" t="n">
        <v>0.55</v>
      </c>
      <c r="M155" s="38" t="inlineStr">
        <is>
          <t>N/A</t>
        </is>
      </c>
    </row>
    <row r="156">
      <c r="A156" s="35" t="n">
        <v>45099</v>
      </c>
      <c r="B156" s="36" t="inlineStr">
        <is>
          <t xml:space="preserve">   TO TRANSFER-UPI/DR/317322294332/AMANPREE/PYTM/paytmqrn78/UPI--</t>
        </is>
      </c>
      <c r="C156" s="36" t="inlineStr">
        <is>
          <t>TRANSFER TO 4897693162093</t>
        </is>
      </c>
      <c r="D156" s="35" t="n">
        <v>45099</v>
      </c>
      <c r="E156" s="36" t="n">
        <v>210</v>
      </c>
      <c r="F156" s="36" t="n">
        <v>0</v>
      </c>
      <c r="G156" s="36" t="n">
        <v>109477.24</v>
      </c>
      <c r="H156" s="36" t="inlineStr"/>
      <c r="I156" s="36" t="inlineStr"/>
      <c r="J156" s="36" t="inlineStr">
        <is>
          <t>UPI - Paytm</t>
        </is>
      </c>
      <c r="K156" s="36" t="inlineStr">
        <is>
          <t>Personal</t>
        </is>
      </c>
      <c r="L156" s="34" t="n">
        <v>0.65</v>
      </c>
      <c r="M156" s="36" t="inlineStr">
        <is>
          <t>N/A</t>
        </is>
      </c>
    </row>
    <row r="157">
      <c r="A157" s="87" t="n">
        <v>45099</v>
      </c>
      <c r="B157" s="88" t="inlineStr">
        <is>
          <t xml:space="preserve">   TO TRANSFER-UPI/DR/317381933693/AAYUSH K/FDRL/9594435259/ADDMO--</t>
        </is>
      </c>
      <c r="C157" s="88" t="inlineStr">
        <is>
          <t>TRANSFER TO 4897694162092</t>
        </is>
      </c>
      <c r="D157" s="87" t="n">
        <v>45099</v>
      </c>
      <c r="E157" s="88" t="n">
        <v>190</v>
      </c>
      <c r="F157" s="88" t="n">
        <v>0</v>
      </c>
      <c r="G157" s="88" t="n">
        <v>109287.24</v>
      </c>
      <c r="H157" s="88" t="inlineStr"/>
      <c r="I157" s="88" t="inlineStr"/>
      <c r="J157" s="88" t="inlineStr">
        <is>
          <t>Contra - Jupiter</t>
        </is>
      </c>
      <c r="K157" s="88" t="inlineStr">
        <is>
          <t>FEDERAL 0847</t>
        </is>
      </c>
      <c r="L157" s="18" t="n">
        <v>0.9</v>
      </c>
      <c r="M157" s="88" t="inlineStr">
        <is>
          <t>N/A</t>
        </is>
      </c>
    </row>
    <row r="158">
      <c r="A158" s="37" t="n">
        <v>45100</v>
      </c>
      <c r="B158" s="38" t="inlineStr">
        <is>
          <t xml:space="preserve">   TO TRANSFER-UPI/DR/317442373536/Mr  AADA/YESB/q964606339/groce--</t>
        </is>
      </c>
      <c r="C158" s="38" t="inlineStr">
        <is>
          <t>TRANSFER TO 4897694162092</t>
        </is>
      </c>
      <c r="D158" s="37" t="n">
        <v>45100</v>
      </c>
      <c r="E158" s="38" t="n">
        <v>20</v>
      </c>
      <c r="F158" s="38" t="n">
        <v>0</v>
      </c>
      <c r="G158" s="38" t="n">
        <v>109267.24</v>
      </c>
      <c r="H158" s="38" t="inlineStr">
        <is>
          <t>Mr  Aada</t>
        </is>
      </c>
      <c r="I158" s="38" t="inlineStr"/>
      <c r="J158" s="38" t="inlineStr">
        <is>
          <t>UPI Payment</t>
        </is>
      </c>
      <c r="K158" s="38" t="inlineStr">
        <is>
          <t>Personal</t>
        </is>
      </c>
      <c r="L158" s="25" t="n">
        <v>0.55</v>
      </c>
      <c r="M158" s="38" t="inlineStr">
        <is>
          <t>N/A</t>
        </is>
      </c>
    </row>
    <row r="159">
      <c r="A159" s="37" t="n">
        <v>45102</v>
      </c>
      <c r="B159" s="38" t="inlineStr">
        <is>
          <t xml:space="preserve">   TO TRANSFER-UPI/DR/317697275352/SHASHANK P/HDFC/9880498899/UPI--</t>
        </is>
      </c>
      <c r="C159" s="38" t="inlineStr">
        <is>
          <t>TRANSFER TO 4897696162090</t>
        </is>
      </c>
      <c r="D159" s="37" t="n">
        <v>45102</v>
      </c>
      <c r="E159" s="38" t="n">
        <v>1200</v>
      </c>
      <c r="F159" s="38" t="n">
        <v>0</v>
      </c>
      <c r="G159" s="38" t="n">
        <v>108067.24</v>
      </c>
      <c r="H159" s="38" t="inlineStr">
        <is>
          <t>Shashank P</t>
        </is>
      </c>
      <c r="I159" s="38" t="inlineStr"/>
      <c r="J159" s="38" t="inlineStr">
        <is>
          <t>UPI Payment</t>
        </is>
      </c>
      <c r="K159" s="38" t="inlineStr">
        <is>
          <t>Personal</t>
        </is>
      </c>
      <c r="L159" s="25" t="n">
        <v>0.55</v>
      </c>
      <c r="M159" s="38" t="inlineStr">
        <is>
          <t>N/A</t>
        </is>
      </c>
    </row>
    <row r="160">
      <c r="A160" s="35" t="n">
        <v>45102</v>
      </c>
      <c r="B160" s="36" t="inlineStr">
        <is>
          <t xml:space="preserve">   TO TRANSFER-UPI/DR/317697330759/SEVEN SP/PYTM/paytmqr281/UPI--</t>
        </is>
      </c>
      <c r="C160" s="36" t="inlineStr">
        <is>
          <t>TRANSFER TO 4897696162090</t>
        </is>
      </c>
      <c r="D160" s="35" t="n">
        <v>45102</v>
      </c>
      <c r="E160" s="36" t="n">
        <v>40</v>
      </c>
      <c r="F160" s="36" t="n">
        <v>0</v>
      </c>
      <c r="G160" s="36" t="n">
        <v>108027.24</v>
      </c>
      <c r="H160" s="36" t="inlineStr"/>
      <c r="I160" s="36" t="inlineStr"/>
      <c r="J160" s="36" t="inlineStr">
        <is>
          <t>UPI - Paytm</t>
        </is>
      </c>
      <c r="K160" s="36" t="inlineStr">
        <is>
          <t>Personal</t>
        </is>
      </c>
      <c r="L160" s="34" t="n">
        <v>0.65</v>
      </c>
      <c r="M160" s="36" t="inlineStr">
        <is>
          <t>N/A</t>
        </is>
      </c>
    </row>
    <row r="161">
      <c r="A161" s="37" t="n">
        <v>45102</v>
      </c>
      <c r="B161" s="38" t="inlineStr">
        <is>
          <t xml:space="preserve">   TO TRANSFER-UPI/DR/354217681522/Vi/PYTM/vilpremum@/UPI--</t>
        </is>
      </c>
      <c r="C161" s="38" t="inlineStr">
        <is>
          <t>TRANSFER TO 4897696162090</t>
        </is>
      </c>
      <c r="D161" s="37" t="n">
        <v>45102</v>
      </c>
      <c r="E161" s="38" t="n">
        <v>459</v>
      </c>
      <c r="F161" s="38" t="n">
        <v>0</v>
      </c>
      <c r="G161" s="38" t="n">
        <v>107568.24</v>
      </c>
      <c r="H161" s="38" t="inlineStr">
        <is>
          <t>Vi</t>
        </is>
      </c>
      <c r="I161" s="38" t="inlineStr"/>
      <c r="J161" s="38" t="inlineStr">
        <is>
          <t>UPI Payment</t>
        </is>
      </c>
      <c r="K161" s="38" t="inlineStr">
        <is>
          <t>Personal</t>
        </is>
      </c>
      <c r="L161" s="25" t="n">
        <v>0.55</v>
      </c>
      <c r="M161" s="38" t="inlineStr">
        <is>
          <t>N/A</t>
        </is>
      </c>
    </row>
    <row r="162">
      <c r="A162" s="30" t="n">
        <v>45102</v>
      </c>
      <c r="B162" s="31" t="inlineStr">
        <is>
          <t xml:space="preserve">   CREDIT INTEREST---</t>
        </is>
      </c>
      <c r="C162" s="31" t="n">
        <v/>
      </c>
      <c r="D162" s="30" t="n">
        <v>45102</v>
      </c>
      <c r="E162" s="31" t="n">
        <v>0</v>
      </c>
      <c r="F162" s="31" t="n">
        <v>704</v>
      </c>
      <c r="G162" s="31" t="n">
        <v>108272.24</v>
      </c>
      <c r="H162" s="31" t="inlineStr"/>
      <c r="I162" s="31" t="inlineStr"/>
      <c r="J162" s="31" t="inlineStr">
        <is>
          <t>Bank Interest</t>
        </is>
      </c>
      <c r="K162" s="31" t="inlineStr">
        <is>
          <t>Bank Interest</t>
        </is>
      </c>
      <c r="L162" s="18" t="n">
        <v>0.9</v>
      </c>
      <c r="M162" s="31" t="inlineStr">
        <is>
          <t>N/A</t>
        </is>
      </c>
    </row>
    <row r="163">
      <c r="A163" s="37" t="n">
        <v>45103</v>
      </c>
      <c r="B163" s="38" t="inlineStr">
        <is>
          <t xml:space="preserve">   TO TRANSFER-UPI/DR/317765827066/Vendekin/ICIC/vendekin@i/UPI--</t>
        </is>
      </c>
      <c r="C163" s="38" t="inlineStr">
        <is>
          <t>TRANSFER TO 4897691162095</t>
        </is>
      </c>
      <c r="D163" s="37" t="n">
        <v>45103</v>
      </c>
      <c r="E163" s="38" t="n">
        <v>20</v>
      </c>
      <c r="F163" s="38" t="n">
        <v>0</v>
      </c>
      <c r="G163" s="38" t="n">
        <v>108252.24</v>
      </c>
      <c r="H163" s="38" t="inlineStr">
        <is>
          <t>Vendekin</t>
        </is>
      </c>
      <c r="I163" s="38" t="inlineStr"/>
      <c r="J163" s="38" t="inlineStr">
        <is>
          <t>UPI Payment</t>
        </is>
      </c>
      <c r="K163" s="38" t="inlineStr">
        <is>
          <t>Personal</t>
        </is>
      </c>
      <c r="L163" s="25" t="n">
        <v>0.55</v>
      </c>
      <c r="M163" s="38" t="inlineStr">
        <is>
          <t>N/A</t>
        </is>
      </c>
    </row>
    <row r="164">
      <c r="A164" s="37" t="n">
        <v>45104</v>
      </c>
      <c r="B164" s="38" t="inlineStr">
        <is>
          <t xml:space="preserve">   TO TRANSFER-UPI/DR/317878909672/Mr  AADA/YESB/q739730170/UPI--</t>
        </is>
      </c>
      <c r="C164" s="38" t="inlineStr">
        <is>
          <t>TRANSFER TO 4897691162095</t>
        </is>
      </c>
      <c r="D164" s="37" t="n">
        <v>45104</v>
      </c>
      <c r="E164" s="38" t="n">
        <v>10</v>
      </c>
      <c r="F164" s="38" t="n">
        <v>0</v>
      </c>
      <c r="G164" s="38" t="n">
        <v>108242.24</v>
      </c>
      <c r="H164" s="38" t="inlineStr">
        <is>
          <t>Mr  Aada</t>
        </is>
      </c>
      <c r="I164" s="38" t="inlineStr"/>
      <c r="J164" s="38" t="inlineStr">
        <is>
          <t>UPI Payment</t>
        </is>
      </c>
      <c r="K164" s="38" t="inlineStr">
        <is>
          <t>Personal</t>
        </is>
      </c>
      <c r="L164" s="25" t="n">
        <v>0.55</v>
      </c>
      <c r="M164" s="38" t="inlineStr">
        <is>
          <t>N/A</t>
        </is>
      </c>
    </row>
    <row r="165">
      <c r="A165" s="37" t="n">
        <v>45104</v>
      </c>
      <c r="B165" s="38" t="inlineStr">
        <is>
          <t xml:space="preserve">   TO TRANSFER-UPI/DR/317895169831/Mr  AADA/YESB/q739730170/UPI--</t>
        </is>
      </c>
      <c r="C165" s="38" t="inlineStr">
        <is>
          <t>TRANSFER TO 4897691162095</t>
        </is>
      </c>
      <c r="D165" s="37" t="n">
        <v>45104</v>
      </c>
      <c r="E165" s="38" t="n">
        <v>20</v>
      </c>
      <c r="F165" s="38" t="n">
        <v>0</v>
      </c>
      <c r="G165" s="38" t="n">
        <v>108222.24</v>
      </c>
      <c r="H165" s="38" t="inlineStr">
        <is>
          <t>Mr  Aada</t>
        </is>
      </c>
      <c r="I165" s="38" t="inlineStr"/>
      <c r="J165" s="38" t="inlineStr">
        <is>
          <t>UPI Payment</t>
        </is>
      </c>
      <c r="K165" s="38" t="inlineStr">
        <is>
          <t>Personal</t>
        </is>
      </c>
      <c r="L165" s="25" t="n">
        <v>0.55</v>
      </c>
      <c r="M165" s="38" t="inlineStr">
        <is>
          <t>N/A</t>
        </is>
      </c>
    </row>
    <row r="166">
      <c r="A166" s="35" t="n">
        <v>45105</v>
      </c>
      <c r="B166" s="36" t="inlineStr">
        <is>
          <t xml:space="preserve">   TO TRANSFER-UPI/DR/317916606073/SEVEN SP/PYTM/paytmqr281/UPI--</t>
        </is>
      </c>
      <c r="C166" s="36" t="inlineStr">
        <is>
          <t>TRANSFER TO 4897692162094</t>
        </is>
      </c>
      <c r="D166" s="35" t="n">
        <v>45105</v>
      </c>
      <c r="E166" s="36" t="n">
        <v>160</v>
      </c>
      <c r="F166" s="36" t="n">
        <v>0</v>
      </c>
      <c r="G166" s="36" t="n">
        <v>108062.24</v>
      </c>
      <c r="H166" s="36" t="inlineStr"/>
      <c r="I166" s="36" t="inlineStr"/>
      <c r="J166" s="36" t="inlineStr">
        <is>
          <t>UPI - Paytm</t>
        </is>
      </c>
      <c r="K166" s="36" t="inlineStr">
        <is>
          <t>Personal</t>
        </is>
      </c>
      <c r="L166" s="34" t="n">
        <v>0.65</v>
      </c>
      <c r="M166" s="36" t="inlineStr">
        <is>
          <t>N/A</t>
        </is>
      </c>
    </row>
    <row r="167">
      <c r="A167" s="101" t="n">
        <v>45105</v>
      </c>
      <c r="B167" s="102" t="inlineStr">
        <is>
          <t xml:space="preserve">   BY TRANSFER-UPI/CR/317968678553/GAURAV S/KKBK/gauravsing/UPI--</t>
        </is>
      </c>
      <c r="C167" s="102" t="inlineStr">
        <is>
          <t>TRANSFER FROM 4897734162099</t>
        </is>
      </c>
      <c r="D167" s="101" t="n">
        <v>45105</v>
      </c>
      <c r="E167" s="102" t="n">
        <v>0</v>
      </c>
      <c r="F167" s="102" t="n">
        <v>60</v>
      </c>
      <c r="G167" s="102" t="n">
        <v>108122.24</v>
      </c>
      <c r="H167" s="102" t="inlineStr"/>
      <c r="I167" s="102" t="inlineStr"/>
      <c r="J167" s="102" t="inlineStr">
        <is>
          <t>Received - Gaurav S</t>
        </is>
      </c>
      <c r="K167" s="102" t="inlineStr">
        <is>
          <t>Personal</t>
        </is>
      </c>
      <c r="L167" s="25" t="n">
        <v>0.55</v>
      </c>
      <c r="M167" s="102" t="inlineStr">
        <is>
          <t>N/A</t>
        </is>
      </c>
    </row>
    <row r="168">
      <c r="A168" s="37" t="n">
        <v>45105</v>
      </c>
      <c r="B168" s="38" t="inlineStr">
        <is>
          <t xml:space="preserve">   TO TRANSFER-UPI/DR/317932368474/Vendekin/ICIC/vendekin@i/UPI--</t>
        </is>
      </c>
      <c r="C168" s="38" t="inlineStr">
        <is>
          <t>TRANSFER TO 4897692162094</t>
        </is>
      </c>
      <c r="D168" s="37" t="n">
        <v>45105</v>
      </c>
      <c r="E168" s="38" t="n">
        <v>20</v>
      </c>
      <c r="F168" s="38" t="n">
        <v>0</v>
      </c>
      <c r="G168" s="38" t="n">
        <v>108102.24</v>
      </c>
      <c r="H168" s="38" t="inlineStr">
        <is>
          <t>Vendekin</t>
        </is>
      </c>
      <c r="I168" s="38" t="inlineStr"/>
      <c r="J168" s="38" t="inlineStr">
        <is>
          <t>UPI Payment</t>
        </is>
      </c>
      <c r="K168" s="38" t="inlineStr">
        <is>
          <t>Personal</t>
        </is>
      </c>
      <c r="L168" s="25" t="n">
        <v>0.55</v>
      </c>
      <c r="M168" s="38" t="inlineStr">
        <is>
          <t>N/A</t>
        </is>
      </c>
    </row>
    <row r="169">
      <c r="A169" s="35" t="n">
        <v>45106</v>
      </c>
      <c r="B169" s="36" t="inlineStr">
        <is>
          <t xml:space="preserve">   TO TRANSFER-UPI/DR/318041657131/SEVEN SP/PYTM/paytmqr281/UPI--</t>
        </is>
      </c>
      <c r="C169" s="36" t="inlineStr">
        <is>
          <t>TRANSFER TO 4897693162093</t>
        </is>
      </c>
      <c r="D169" s="35" t="n">
        <v>45106</v>
      </c>
      <c r="E169" s="36" t="n">
        <v>30</v>
      </c>
      <c r="F169" s="36" t="n">
        <v>0</v>
      </c>
      <c r="G169" s="36" t="n">
        <v>108072.24</v>
      </c>
      <c r="H169" s="36" t="inlineStr"/>
      <c r="I169" s="36" t="inlineStr"/>
      <c r="J169" s="36" t="inlineStr">
        <is>
          <t>UPI - Paytm</t>
        </is>
      </c>
      <c r="K169" s="36" t="inlineStr">
        <is>
          <t>Personal</t>
        </is>
      </c>
      <c r="L169" s="34" t="n">
        <v>0.65</v>
      </c>
      <c r="M169" s="36" t="inlineStr">
        <is>
          <t>N/A</t>
        </is>
      </c>
    </row>
    <row r="170">
      <c r="A170" s="37" t="n">
        <v>45106</v>
      </c>
      <c r="B170" s="38" t="inlineStr">
        <is>
          <t xml:space="preserve">   TO TRANSFER-UPI/DR/318048750928/Mr  AADA/YESB/q739730170/UPI--</t>
        </is>
      </c>
      <c r="C170" s="38" t="inlineStr">
        <is>
          <t>TRANSFER TO 4897693162093</t>
        </is>
      </c>
      <c r="D170" s="37" t="n">
        <v>45106</v>
      </c>
      <c r="E170" s="38" t="n">
        <v>10</v>
      </c>
      <c r="F170" s="38" t="n">
        <v>0</v>
      </c>
      <c r="G170" s="38" t="n">
        <v>108062.24</v>
      </c>
      <c r="H170" s="38" t="inlineStr">
        <is>
          <t>Mr  Aada</t>
        </is>
      </c>
      <c r="I170" s="38" t="inlineStr"/>
      <c r="J170" s="38" t="inlineStr">
        <is>
          <t>UPI Payment</t>
        </is>
      </c>
      <c r="K170" s="38" t="inlineStr">
        <is>
          <t>Personal</t>
        </is>
      </c>
      <c r="L170" s="25" t="n">
        <v>0.55</v>
      </c>
      <c r="M170" s="38" t="inlineStr">
        <is>
          <t>N/A</t>
        </is>
      </c>
    </row>
    <row r="171">
      <c r="A171" s="37" t="n">
        <v>45108</v>
      </c>
      <c r="B171" s="38" t="inlineStr">
        <is>
          <t xml:space="preserve">   TO TRANSFER-UPI/DR/318210431133/Mr  AADA/YESB/q964606339/UPI--</t>
        </is>
      </c>
      <c r="C171" s="38" t="inlineStr">
        <is>
          <t>TRANSFER TO 4897695162091</t>
        </is>
      </c>
      <c r="D171" s="37" t="n">
        <v>45108</v>
      </c>
      <c r="E171" s="38" t="n">
        <v>20</v>
      </c>
      <c r="F171" s="38" t="n">
        <v>0</v>
      </c>
      <c r="G171" s="38" t="n">
        <v>108042.24</v>
      </c>
      <c r="H171" s="38" t="inlineStr">
        <is>
          <t>Mr  Aada</t>
        </is>
      </c>
      <c r="I171" s="38" t="inlineStr"/>
      <c r="J171" s="38" t="inlineStr">
        <is>
          <t>UPI Payment</t>
        </is>
      </c>
      <c r="K171" s="38" t="inlineStr">
        <is>
          <t>Personal</t>
        </is>
      </c>
      <c r="L171" s="25" t="n">
        <v>0.55</v>
      </c>
      <c r="M171" s="38" t="inlineStr">
        <is>
          <t>N/A</t>
        </is>
      </c>
    </row>
    <row r="172">
      <c r="A172" s="37" t="n">
        <v>45108</v>
      </c>
      <c r="B172" s="38" t="inlineStr">
        <is>
          <t xml:space="preserve">   TO TRANSFER-UPI/DR/318215794065/Vendekin/ICIC/vendekin@i/UPI--</t>
        </is>
      </c>
      <c r="C172" s="38" t="inlineStr">
        <is>
          <t>TRANSFER TO 4897695162091</t>
        </is>
      </c>
      <c r="D172" s="37" t="n">
        <v>45108</v>
      </c>
      <c r="E172" s="38" t="n">
        <v>40</v>
      </c>
      <c r="F172" s="38" t="n">
        <v>0</v>
      </c>
      <c r="G172" s="38" t="n">
        <v>108002.24</v>
      </c>
      <c r="H172" s="38" t="inlineStr">
        <is>
          <t>Vendekin</t>
        </is>
      </c>
      <c r="I172" s="38" t="inlineStr"/>
      <c r="J172" s="38" t="inlineStr">
        <is>
          <t>UPI Payment</t>
        </is>
      </c>
      <c r="K172" s="38" t="inlineStr">
        <is>
          <t>Personal</t>
        </is>
      </c>
      <c r="L172" s="25" t="n">
        <v>0.55</v>
      </c>
      <c r="M172" s="38" t="inlineStr">
        <is>
          <t>N/A</t>
        </is>
      </c>
    </row>
    <row r="173">
      <c r="A173" s="101" t="n">
        <v>45108</v>
      </c>
      <c r="B173" s="102" t="inlineStr">
        <is>
          <t xml:space="preserve">   BY TRANSFER-UPI/CR/318221579807/Vendekin/ICIC/vendekin@i/vende--</t>
        </is>
      </c>
      <c r="C173" s="102" t="inlineStr">
        <is>
          <t>TRANSFER FROM 4897737162096</t>
        </is>
      </c>
      <c r="D173" s="101" t="n">
        <v>45108</v>
      </c>
      <c r="E173" s="102" t="n">
        <v>0</v>
      </c>
      <c r="F173" s="102" t="n">
        <v>40</v>
      </c>
      <c r="G173" s="102" t="n">
        <v>108042.24</v>
      </c>
      <c r="H173" s="102" t="inlineStr"/>
      <c r="I173" s="102" t="inlineStr"/>
      <c r="J173" s="102" t="inlineStr">
        <is>
          <t>Received - Vendekin</t>
        </is>
      </c>
      <c r="K173" s="102" t="inlineStr">
        <is>
          <t>Personal</t>
        </is>
      </c>
      <c r="L173" s="25" t="n">
        <v>0.55</v>
      </c>
      <c r="M173" s="102" t="inlineStr">
        <is>
          <t>N/A</t>
        </is>
      </c>
    </row>
    <row r="174">
      <c r="A174" s="37" t="n">
        <v>45108</v>
      </c>
      <c r="B174" s="38" t="inlineStr">
        <is>
          <t xml:space="preserve">   TO TRANSFER-UPI/DR/318215841765/Vendekin/ICIC/vendekin@i/UPI--</t>
        </is>
      </c>
      <c r="C174" s="38" t="inlineStr">
        <is>
          <t>TRANSFER TO 4897695162091</t>
        </is>
      </c>
      <c r="D174" s="37" t="n">
        <v>45108</v>
      </c>
      <c r="E174" s="38" t="n">
        <v>40</v>
      </c>
      <c r="F174" s="38" t="n">
        <v>0</v>
      </c>
      <c r="G174" s="38" t="n">
        <v>108002.24</v>
      </c>
      <c r="H174" s="38" t="inlineStr">
        <is>
          <t>Vendekin</t>
        </is>
      </c>
      <c r="I174" s="38" t="inlineStr"/>
      <c r="J174" s="38" t="inlineStr">
        <is>
          <t>UPI Payment</t>
        </is>
      </c>
      <c r="K174" s="38" t="inlineStr">
        <is>
          <t>Personal</t>
        </is>
      </c>
      <c r="L174" s="25" t="n">
        <v>0.55</v>
      </c>
      <c r="M174" s="38" t="inlineStr">
        <is>
          <t>N/A</t>
        </is>
      </c>
    </row>
    <row r="175">
      <c r="A175" s="101" t="n">
        <v>45108</v>
      </c>
      <c r="B175" s="102" t="inlineStr">
        <is>
          <t xml:space="preserve">   BY TRANSFER-UPI/CR/318221585103/Vendekin/ICIC/vendekin@i/vende--</t>
        </is>
      </c>
      <c r="C175" s="102" t="inlineStr">
        <is>
          <t>TRANSFER FROM 4897737162096</t>
        </is>
      </c>
      <c r="D175" s="101" t="n">
        <v>45108</v>
      </c>
      <c r="E175" s="102" t="n">
        <v>0</v>
      </c>
      <c r="F175" s="102" t="n">
        <v>20</v>
      </c>
      <c r="G175" s="102" t="n">
        <v>108022.24</v>
      </c>
      <c r="H175" s="102" t="inlineStr"/>
      <c r="I175" s="102" t="inlineStr"/>
      <c r="J175" s="102" t="inlineStr">
        <is>
          <t>Received - Vendekin</t>
        </is>
      </c>
      <c r="K175" s="102" t="inlineStr">
        <is>
          <t>Personal</t>
        </is>
      </c>
      <c r="L175" s="25" t="n">
        <v>0.55</v>
      </c>
      <c r="M175" s="102" t="inlineStr">
        <is>
          <t>N/A</t>
        </is>
      </c>
    </row>
    <row r="176">
      <c r="A176" s="37" t="n">
        <v>45108</v>
      </c>
      <c r="B176" s="38" t="inlineStr">
        <is>
          <t xml:space="preserve">   TO TRANSFER-UPI/DR/318232705458/Vendekin/ICIC/vendekin@i/UPI--</t>
        </is>
      </c>
      <c r="C176" s="38" t="inlineStr">
        <is>
          <t>TRANSFER TO 4897695162091</t>
        </is>
      </c>
      <c r="D176" s="37" t="n">
        <v>45108</v>
      </c>
      <c r="E176" s="38" t="n">
        <v>40</v>
      </c>
      <c r="F176" s="38" t="n">
        <v>0</v>
      </c>
      <c r="G176" s="38" t="n">
        <v>107982.24</v>
      </c>
      <c r="H176" s="38" t="inlineStr">
        <is>
          <t>Vendekin</t>
        </is>
      </c>
      <c r="I176" s="38" t="inlineStr"/>
      <c r="J176" s="38" t="inlineStr">
        <is>
          <t>UPI Payment</t>
        </is>
      </c>
      <c r="K176" s="38" t="inlineStr">
        <is>
          <t>Personal</t>
        </is>
      </c>
      <c r="L176" s="25" t="n">
        <v>0.55</v>
      </c>
      <c r="M176" s="38" t="inlineStr">
        <is>
          <t>N/A</t>
        </is>
      </c>
    </row>
    <row r="177">
      <c r="A177" s="37" t="n">
        <v>45108</v>
      </c>
      <c r="B177" s="38" t="inlineStr">
        <is>
          <t xml:space="preserve">   TO TRANSFER-UPI/DR/318227210384/Vendekin/ICIC/vendekin@i/UPI--</t>
        </is>
      </c>
      <c r="C177" s="38" t="inlineStr">
        <is>
          <t>TRANSFER TO 4897695162091</t>
        </is>
      </c>
      <c r="D177" s="37" t="n">
        <v>45108</v>
      </c>
      <c r="E177" s="38" t="n">
        <v>40</v>
      </c>
      <c r="F177" s="38" t="n">
        <v>0</v>
      </c>
      <c r="G177" s="38" t="n">
        <v>107942.24</v>
      </c>
      <c r="H177" s="38" t="inlineStr">
        <is>
          <t>Vendekin</t>
        </is>
      </c>
      <c r="I177" s="38" t="inlineStr"/>
      <c r="J177" s="38" t="inlineStr">
        <is>
          <t>UPI Payment</t>
        </is>
      </c>
      <c r="K177" s="38" t="inlineStr">
        <is>
          <t>Personal</t>
        </is>
      </c>
      <c r="L177" s="25" t="n">
        <v>0.55</v>
      </c>
      <c r="M177" s="38" t="inlineStr">
        <is>
          <t>N/A</t>
        </is>
      </c>
    </row>
    <row r="178">
      <c r="A178" s="37" t="n">
        <v>45109</v>
      </c>
      <c r="B178" s="38" t="inlineStr">
        <is>
          <t xml:space="preserve">   TO TRANSFER-UPI/DR/318342378569/Vendekin/ICIC/vendekin@i/UPI--</t>
        </is>
      </c>
      <c r="C178" s="38" t="inlineStr">
        <is>
          <t>TRANSFER TO 4897696162090</t>
        </is>
      </c>
      <c r="D178" s="37" t="n">
        <v>45109</v>
      </c>
      <c r="E178" s="38" t="n">
        <v>60</v>
      </c>
      <c r="F178" s="38" t="n">
        <v>0</v>
      </c>
      <c r="G178" s="38" t="n">
        <v>107882.24</v>
      </c>
      <c r="H178" s="38" t="inlineStr">
        <is>
          <t>Vendekin</t>
        </is>
      </c>
      <c r="I178" s="38" t="inlineStr"/>
      <c r="J178" s="38" t="inlineStr">
        <is>
          <t>UPI Payment</t>
        </is>
      </c>
      <c r="K178" s="38" t="inlineStr">
        <is>
          <t>Personal</t>
        </is>
      </c>
      <c r="L178" s="25" t="n">
        <v>0.55</v>
      </c>
      <c r="M178" s="38" t="inlineStr">
        <is>
          <t>N/A</t>
        </is>
      </c>
    </row>
    <row r="179">
      <c r="A179" s="35" t="n">
        <v>45109</v>
      </c>
      <c r="B179" s="36" t="inlineStr">
        <is>
          <t xml:space="preserve">   TO TRANSFER-UPI/DR/318359964641/SEVEN SP/PYTM/paytmqr281/UPI--</t>
        </is>
      </c>
      <c r="C179" s="36" t="inlineStr">
        <is>
          <t>TRANSFER TO 4897696162090</t>
        </is>
      </c>
      <c r="D179" s="35" t="n">
        <v>45109</v>
      </c>
      <c r="E179" s="36" t="n">
        <v>130</v>
      </c>
      <c r="F179" s="36" t="n">
        <v>0</v>
      </c>
      <c r="G179" s="36" t="n">
        <v>107752.24</v>
      </c>
      <c r="H179" s="36" t="inlineStr"/>
      <c r="I179" s="36" t="inlineStr"/>
      <c r="J179" s="36" t="inlineStr">
        <is>
          <t>UPI - Paytm</t>
        </is>
      </c>
      <c r="K179" s="36" t="inlineStr">
        <is>
          <t>Personal</t>
        </is>
      </c>
      <c r="L179" s="34" t="n">
        <v>0.65</v>
      </c>
      <c r="M179" s="36" t="inlineStr">
        <is>
          <t>N/A</t>
        </is>
      </c>
    </row>
    <row r="180">
      <c r="A180" s="23" t="n">
        <v>45110</v>
      </c>
      <c r="B180" s="24" t="inlineStr">
        <is>
          <t xml:space="preserve">   BY TRANSFER-FUD TR FR JSW STEEL LTD--</t>
        </is>
      </c>
      <c r="C180" s="24" t="inlineStr">
        <is>
          <t xml:space="preserve">TRANSFER FROM 11083986061                         </t>
        </is>
      </c>
      <c r="D180" s="23" t="n">
        <v>45110</v>
      </c>
      <c r="E180" s="24" t="n">
        <v>0</v>
      </c>
      <c r="F180" s="24" t="n">
        <v>10000</v>
      </c>
      <c r="G180" s="24" t="n">
        <v>117752.24</v>
      </c>
      <c r="H180" s="24" t="inlineStr"/>
      <c r="I180" s="24" t="inlineStr"/>
      <c r="J180" s="24" t="inlineStr">
        <is>
          <t>What is this?</t>
        </is>
      </c>
      <c r="K180" s="24" t="inlineStr">
        <is>
          <t>Suspense</t>
        </is>
      </c>
      <c r="L180" s="25" t="n">
        <v>0</v>
      </c>
      <c r="M180" s="24" t="inlineStr">
        <is>
          <t>N/A</t>
        </is>
      </c>
    </row>
    <row r="181">
      <c r="A181" s="37" t="n">
        <v>45110</v>
      </c>
      <c r="B181" s="38" t="inlineStr">
        <is>
          <t xml:space="preserve">   TO TRANSFER-UPI/DR/318497563455/Mr  AADA/YESB/q739730170/UPI--</t>
        </is>
      </c>
      <c r="C181" s="38" t="inlineStr">
        <is>
          <t>TRANSFER TO 4897690162095</t>
        </is>
      </c>
      <c r="D181" s="37" t="n">
        <v>45110</v>
      </c>
      <c r="E181" s="38" t="n">
        <v>60</v>
      </c>
      <c r="F181" s="38" t="n">
        <v>0</v>
      </c>
      <c r="G181" s="38" t="n">
        <v>117692.24</v>
      </c>
      <c r="H181" s="38" t="inlineStr">
        <is>
          <t>Mr  Aada</t>
        </is>
      </c>
      <c r="I181" s="38" t="inlineStr"/>
      <c r="J181" s="38" t="inlineStr">
        <is>
          <t>UPI Payment</t>
        </is>
      </c>
      <c r="K181" s="38" t="inlineStr">
        <is>
          <t>Personal</t>
        </is>
      </c>
      <c r="L181" s="25" t="n">
        <v>0.55</v>
      </c>
      <c r="M181" s="38" t="inlineStr">
        <is>
          <t>N/A</t>
        </is>
      </c>
    </row>
    <row r="182">
      <c r="A182" s="37" t="n">
        <v>45111</v>
      </c>
      <c r="B182" s="38" t="inlineStr">
        <is>
          <t xml:space="preserve">   TO TRANSFER-UPI/DR/318500074285/Vendekin/ICIC/vendekin@i/UPI--</t>
        </is>
      </c>
      <c r="C182" s="38" t="inlineStr">
        <is>
          <t>TRANSFER TO 4897691162095</t>
        </is>
      </c>
      <c r="D182" s="37" t="n">
        <v>45111</v>
      </c>
      <c r="E182" s="38" t="n">
        <v>20</v>
      </c>
      <c r="F182" s="38" t="n">
        <v>0</v>
      </c>
      <c r="G182" s="38" t="n">
        <v>117672.24</v>
      </c>
      <c r="H182" s="38" t="inlineStr">
        <is>
          <t>Vendekin</t>
        </is>
      </c>
      <c r="I182" s="38" t="inlineStr"/>
      <c r="J182" s="38" t="inlineStr">
        <is>
          <t>UPI Payment</t>
        </is>
      </c>
      <c r="K182" s="38" t="inlineStr">
        <is>
          <t>Personal</t>
        </is>
      </c>
      <c r="L182" s="25" t="n">
        <v>0.55</v>
      </c>
      <c r="M182" s="38" t="inlineStr">
        <is>
          <t>N/A</t>
        </is>
      </c>
    </row>
    <row r="183">
      <c r="A183" s="37" t="n">
        <v>45111</v>
      </c>
      <c r="B183" s="38" t="inlineStr">
        <is>
          <t xml:space="preserve">   TO TRANSFER-UPI/DR/318513180895/Vendekin/ICIC/vendekin@i/UPI--</t>
        </is>
      </c>
      <c r="C183" s="38" t="inlineStr">
        <is>
          <t>TRANSFER TO 4897691162095</t>
        </is>
      </c>
      <c r="D183" s="37" t="n">
        <v>45111</v>
      </c>
      <c r="E183" s="38" t="n">
        <v>20</v>
      </c>
      <c r="F183" s="38" t="n">
        <v>0</v>
      </c>
      <c r="G183" s="38" t="n">
        <v>117652.24</v>
      </c>
      <c r="H183" s="38" t="inlineStr">
        <is>
          <t>Vendekin</t>
        </is>
      </c>
      <c r="I183" s="38" t="inlineStr"/>
      <c r="J183" s="38" t="inlineStr">
        <is>
          <t>UPI Payment</t>
        </is>
      </c>
      <c r="K183" s="38" t="inlineStr">
        <is>
          <t>Personal</t>
        </is>
      </c>
      <c r="L183" s="25" t="n">
        <v>0.55</v>
      </c>
      <c r="M183" s="38" t="inlineStr">
        <is>
          <t>N/A</t>
        </is>
      </c>
    </row>
    <row r="184">
      <c r="A184" s="97" t="n">
        <v>45111</v>
      </c>
      <c r="B184" s="98" t="inlineStr">
        <is>
          <t xml:space="preserve">   TO TRANSFER-UPI/DR/318531421683/SWIGGY/ICIC/upiswiggy@/Payment--</t>
        </is>
      </c>
      <c r="C184" s="98" t="inlineStr">
        <is>
          <t>TRANSFER TO 4897691162095</t>
        </is>
      </c>
      <c r="D184" s="97" t="n">
        <v>45111</v>
      </c>
      <c r="E184" s="98" t="n">
        <v>190</v>
      </c>
      <c r="F184" s="98" t="n">
        <v>0</v>
      </c>
      <c r="G184" s="98" t="n">
        <v>117462.24</v>
      </c>
      <c r="H184" s="98" t="inlineStr"/>
      <c r="I184" s="98" t="inlineStr"/>
      <c r="J184" s="98" t="inlineStr">
        <is>
          <t>UPI - Swiggy</t>
        </is>
      </c>
      <c r="K184" s="98" t="inlineStr">
        <is>
          <t>Food &amp; Dining</t>
        </is>
      </c>
      <c r="L184" s="34" t="n">
        <v>0.68</v>
      </c>
      <c r="M184" s="98" t="inlineStr">
        <is>
          <t>N/A</t>
        </is>
      </c>
    </row>
    <row r="185">
      <c r="A185" s="35" t="n">
        <v>45112</v>
      </c>
      <c r="B185" s="36" t="inlineStr">
        <is>
          <t xml:space="preserve">   TO TRANSFER-UPI/DR/355281447295/SEVEN SP/PYTM/paytmqr281/UPI--</t>
        </is>
      </c>
      <c r="C185" s="36" t="inlineStr">
        <is>
          <t>TRANSFER TO 4897692162094</t>
        </is>
      </c>
      <c r="D185" s="35" t="n">
        <v>45112</v>
      </c>
      <c r="E185" s="36" t="n">
        <v>40</v>
      </c>
      <c r="F185" s="36" t="n">
        <v>0</v>
      </c>
      <c r="G185" s="36" t="n">
        <v>117422.24</v>
      </c>
      <c r="H185" s="36" t="inlineStr"/>
      <c r="I185" s="36" t="inlineStr"/>
      <c r="J185" s="36" t="inlineStr">
        <is>
          <t>UPI - Paytm</t>
        </is>
      </c>
      <c r="K185" s="36" t="inlineStr">
        <is>
          <t>Personal</t>
        </is>
      </c>
      <c r="L185" s="34" t="n">
        <v>0.65</v>
      </c>
      <c r="M185" s="36" t="inlineStr">
        <is>
          <t>N/A</t>
        </is>
      </c>
    </row>
    <row r="186">
      <c r="A186" s="97" t="n">
        <v>45112</v>
      </c>
      <c r="B186" s="98" t="inlineStr">
        <is>
          <t xml:space="preserve">   TO TRANSFER-UPI/DR/318633751449/SWIGGY/ICIC/upiswiggy@/Payment--</t>
        </is>
      </c>
      <c r="C186" s="98" t="inlineStr">
        <is>
          <t>TRANSFER TO 4897692162094</t>
        </is>
      </c>
      <c r="D186" s="97" t="n">
        <v>45112</v>
      </c>
      <c r="E186" s="98" t="n">
        <v>185</v>
      </c>
      <c r="F186" s="98" t="n">
        <v>0</v>
      </c>
      <c r="G186" s="98" t="n">
        <v>117237.24</v>
      </c>
      <c r="H186" s="98" t="inlineStr"/>
      <c r="I186" s="98" t="inlineStr"/>
      <c r="J186" s="98" t="inlineStr">
        <is>
          <t>UPI - Swiggy</t>
        </is>
      </c>
      <c r="K186" s="98" t="inlineStr">
        <is>
          <t>Food &amp; Dining</t>
        </is>
      </c>
      <c r="L186" s="34" t="n">
        <v>0.68</v>
      </c>
      <c r="M186" s="98" t="inlineStr">
        <is>
          <t>N/A</t>
        </is>
      </c>
    </row>
    <row r="187">
      <c r="A187" s="37" t="n">
        <v>45112</v>
      </c>
      <c r="B187" s="38" t="inlineStr">
        <is>
          <t xml:space="preserve">   TO TRANSFER-UPI/DR/355242955542/Mr  AADA/YESB/q739730170/UPI--</t>
        </is>
      </c>
      <c r="C187" s="38" t="inlineStr">
        <is>
          <t>TRANSFER TO 4897692162094</t>
        </is>
      </c>
      <c r="D187" s="37" t="n">
        <v>45112</v>
      </c>
      <c r="E187" s="38" t="n">
        <v>20</v>
      </c>
      <c r="F187" s="38" t="n">
        <v>0</v>
      </c>
      <c r="G187" s="38" t="n">
        <v>117217.24</v>
      </c>
      <c r="H187" s="38" t="inlineStr">
        <is>
          <t>Mr  Aada</t>
        </is>
      </c>
      <c r="I187" s="38" t="inlineStr"/>
      <c r="J187" s="38" t="inlineStr">
        <is>
          <t>UPI Payment</t>
        </is>
      </c>
      <c r="K187" s="38" t="inlineStr">
        <is>
          <t>Personal</t>
        </is>
      </c>
      <c r="L187" s="25" t="n">
        <v>0.55</v>
      </c>
      <c r="M187" s="38" t="inlineStr">
        <is>
          <t>N/A</t>
        </is>
      </c>
    </row>
    <row r="188">
      <c r="A188" s="58" t="n">
        <v>45112</v>
      </c>
      <c r="B188" s="59" t="inlineStr">
        <is>
          <t xml:space="preserve">   BY TRANSFER-NEFT*YESB0000001*YESB31864353562*ZERODHA BROKING L--</t>
        </is>
      </c>
      <c r="C188" s="59" t="inlineStr">
        <is>
          <t>TRANSFER FROM 4697245044307</t>
        </is>
      </c>
      <c r="D188" s="58" t="n">
        <v>45112</v>
      </c>
      <c r="E188" s="59" t="n">
        <v>0</v>
      </c>
      <c r="F188" s="59" t="n">
        <v>929.8200000000001</v>
      </c>
      <c r="G188" s="59" t="n">
        <v>118147.06</v>
      </c>
      <c r="H188" s="59" t="inlineStr"/>
      <c r="I188" s="59" t="inlineStr"/>
      <c r="J188" s="59" t="inlineStr">
        <is>
          <t>NEFT Transfer</t>
        </is>
      </c>
      <c r="K188" s="59" t="inlineStr">
        <is>
          <t>Transfer</t>
        </is>
      </c>
      <c r="L188" s="34" t="n">
        <v>0.7</v>
      </c>
      <c r="M188" s="59" t="inlineStr">
        <is>
          <t>N/A</t>
        </is>
      </c>
    </row>
    <row r="189">
      <c r="A189" s="37" t="n">
        <v>45112</v>
      </c>
      <c r="B189" s="38" t="inlineStr">
        <is>
          <t xml:space="preserve">   TO TRANSFER-UPI/DR/318607271205/Vendekin/ICIC/vendekin@i/UPI--</t>
        </is>
      </c>
      <c r="C189" s="38" t="inlineStr">
        <is>
          <t>TRANSFER TO 4897692162094</t>
        </is>
      </c>
      <c r="D189" s="37" t="n">
        <v>45112</v>
      </c>
      <c r="E189" s="38" t="n">
        <v>50</v>
      </c>
      <c r="F189" s="38" t="n">
        <v>0</v>
      </c>
      <c r="G189" s="38" t="n">
        <v>118097.06</v>
      </c>
      <c r="H189" s="38" t="inlineStr">
        <is>
          <t>Vendekin</t>
        </is>
      </c>
      <c r="I189" s="38" t="inlineStr"/>
      <c r="J189" s="38" t="inlineStr">
        <is>
          <t>UPI Payment</t>
        </is>
      </c>
      <c r="K189" s="38" t="inlineStr">
        <is>
          <t>Personal</t>
        </is>
      </c>
      <c r="L189" s="25" t="n">
        <v>0.55</v>
      </c>
      <c r="M189" s="38" t="inlineStr">
        <is>
          <t>N/A</t>
        </is>
      </c>
    </row>
    <row r="190">
      <c r="A190" s="35" t="n">
        <v>45113</v>
      </c>
      <c r="B190" s="36" t="inlineStr">
        <is>
          <t xml:space="preserve">   TO TRANSFER-UPI/DR/318780111144/SEVEN SP/PYTM/paytmqr281/UPI--</t>
        </is>
      </c>
      <c r="C190" s="36" t="inlineStr">
        <is>
          <t>TRANSFER TO 4897693162093</t>
        </is>
      </c>
      <c r="D190" s="35" t="n">
        <v>45113</v>
      </c>
      <c r="E190" s="36" t="n">
        <v>60</v>
      </c>
      <c r="F190" s="36" t="n">
        <v>0</v>
      </c>
      <c r="G190" s="36" t="n">
        <v>118037.06</v>
      </c>
      <c r="H190" s="36" t="inlineStr"/>
      <c r="I190" s="36" t="inlineStr"/>
      <c r="J190" s="36" t="inlineStr">
        <is>
          <t>UPI - Paytm</t>
        </is>
      </c>
      <c r="K190" s="36" t="inlineStr">
        <is>
          <t>Personal</t>
        </is>
      </c>
      <c r="L190" s="34" t="n">
        <v>0.65</v>
      </c>
      <c r="M190" s="36" t="inlineStr">
        <is>
          <t>N/A</t>
        </is>
      </c>
    </row>
    <row r="191">
      <c r="A191" s="37" t="n">
        <v>45113</v>
      </c>
      <c r="B191" s="38" t="inlineStr">
        <is>
          <t xml:space="preserve">   TO TRANSFER-UPI/DR/318771888243/mohdjave/UTIB/mohdjaved6/UPI--</t>
        </is>
      </c>
      <c r="C191" s="38" t="inlineStr">
        <is>
          <t>TRANSFER TO 4897693162093</t>
        </is>
      </c>
      <c r="D191" s="37" t="n">
        <v>45113</v>
      </c>
      <c r="E191" s="38" t="n">
        <v>180</v>
      </c>
      <c r="F191" s="38" t="n">
        <v>0</v>
      </c>
      <c r="G191" s="38" t="n">
        <v>117857.06</v>
      </c>
      <c r="H191" s="38" t="inlineStr">
        <is>
          <t>Mohdjave</t>
        </is>
      </c>
      <c r="I191" s="38" t="inlineStr"/>
      <c r="J191" s="38" t="inlineStr">
        <is>
          <t>UPI Payment</t>
        </is>
      </c>
      <c r="K191" s="38" t="inlineStr">
        <is>
          <t>Personal</t>
        </is>
      </c>
      <c r="L191" s="25" t="n">
        <v>0.55</v>
      </c>
      <c r="M191" s="38" t="inlineStr">
        <is>
          <t>N/A</t>
        </is>
      </c>
    </row>
    <row r="192">
      <c r="A192" s="35" t="n">
        <v>45113</v>
      </c>
      <c r="B192" s="36" t="inlineStr">
        <is>
          <t xml:space="preserve">   TO TRANSFER-UPI/DR/355364795490/Raja Singh/PYTM/paytmqr166/rai--</t>
        </is>
      </c>
      <c r="C192" s="36" t="inlineStr">
        <is>
          <t>TRANSFER TO 4897693162093</t>
        </is>
      </c>
      <c r="D192" s="35" t="n">
        <v>45113</v>
      </c>
      <c r="E192" s="36" t="n">
        <v>30</v>
      </c>
      <c r="F192" s="36" t="n">
        <v>0</v>
      </c>
      <c r="G192" s="36" t="n">
        <v>117827.06</v>
      </c>
      <c r="H192" s="36" t="inlineStr"/>
      <c r="I192" s="36" t="inlineStr"/>
      <c r="J192" s="36" t="inlineStr">
        <is>
          <t>UPI - Paytm</t>
        </is>
      </c>
      <c r="K192" s="36" t="inlineStr">
        <is>
          <t>Personal</t>
        </is>
      </c>
      <c r="L192" s="34" t="n">
        <v>0.65</v>
      </c>
      <c r="M192" s="36" t="inlineStr">
        <is>
          <t>N/A</t>
        </is>
      </c>
    </row>
    <row r="193">
      <c r="A193" s="37" t="n">
        <v>45113</v>
      </c>
      <c r="B193" s="38" t="inlineStr">
        <is>
          <t xml:space="preserve">   TO TRANSFER-UPI/DR/318792838816/Mr JAGTA/CBIN/jagtarchan/UPI--</t>
        </is>
      </c>
      <c r="C193" s="38" t="inlineStr">
        <is>
          <t>TRANSFER TO 4897693162093</t>
        </is>
      </c>
      <c r="D193" s="37" t="n">
        <v>45113</v>
      </c>
      <c r="E193" s="38" t="n">
        <v>160</v>
      </c>
      <c r="F193" s="38" t="n">
        <v>0</v>
      </c>
      <c r="G193" s="38" t="n">
        <v>117667.06</v>
      </c>
      <c r="H193" s="38" t="inlineStr">
        <is>
          <t>Mr Jagta</t>
        </is>
      </c>
      <c r="I193" s="38" t="inlineStr"/>
      <c r="J193" s="38" t="inlineStr">
        <is>
          <t>UPI Payment</t>
        </is>
      </c>
      <c r="K193" s="38" t="inlineStr">
        <is>
          <t>Personal</t>
        </is>
      </c>
      <c r="L193" s="25" t="n">
        <v>0.55</v>
      </c>
      <c r="M193" s="38" t="inlineStr">
        <is>
          <t>N/A</t>
        </is>
      </c>
    </row>
    <row r="194">
      <c r="A194" s="101" t="n">
        <v>45113</v>
      </c>
      <c r="B194" s="102" t="inlineStr">
        <is>
          <t xml:space="preserve">   BY TRANSFER-UPI/CR/355341498822/SHASHANK/HDFC/9880498899/Sent--</t>
        </is>
      </c>
      <c r="C194" s="102" t="inlineStr">
        <is>
          <t>TRANSFER FROM 4897735162098</t>
        </is>
      </c>
      <c r="D194" s="101" t="n">
        <v>45113</v>
      </c>
      <c r="E194" s="102" t="n">
        <v>0</v>
      </c>
      <c r="F194" s="102" t="n">
        <v>90</v>
      </c>
      <c r="G194" s="102" t="n">
        <v>117757.06</v>
      </c>
      <c r="H194" s="102" t="inlineStr"/>
      <c r="I194" s="102" t="inlineStr"/>
      <c r="J194" s="102" t="inlineStr">
        <is>
          <t>Received - Shashank</t>
        </is>
      </c>
      <c r="K194" s="102" t="inlineStr">
        <is>
          <t>Personal</t>
        </is>
      </c>
      <c r="L194" s="25" t="n">
        <v>0.55</v>
      </c>
      <c r="M194" s="102" t="inlineStr">
        <is>
          <t>N/A</t>
        </is>
      </c>
    </row>
    <row r="195">
      <c r="A195" s="37" t="n">
        <v>45113</v>
      </c>
      <c r="B195" s="38" t="inlineStr">
        <is>
          <t xml:space="preserve">   TO TRANSFER-UPI/DR/355489401799/Vendekin/ICIC/vendekin@i/UPI--</t>
        </is>
      </c>
      <c r="C195" s="38" t="inlineStr">
        <is>
          <t>TRANSFER TO 4897694162092</t>
        </is>
      </c>
      <c r="D195" s="37" t="n">
        <v>45113</v>
      </c>
      <c r="E195" s="38" t="n">
        <v>40</v>
      </c>
      <c r="F195" s="38" t="n">
        <v>0</v>
      </c>
      <c r="G195" s="38" t="n">
        <v>117717.06</v>
      </c>
      <c r="H195" s="38" t="inlineStr">
        <is>
          <t>Vendekin</t>
        </is>
      </c>
      <c r="I195" s="38" t="inlineStr"/>
      <c r="J195" s="38" t="inlineStr">
        <is>
          <t>UPI Payment</t>
        </is>
      </c>
      <c r="K195" s="38" t="inlineStr">
        <is>
          <t>Personal</t>
        </is>
      </c>
      <c r="L195" s="25" t="n">
        <v>0.55</v>
      </c>
      <c r="M195" s="38" t="inlineStr">
        <is>
          <t>N/A</t>
        </is>
      </c>
    </row>
    <row r="196">
      <c r="A196" s="64" t="n">
        <v>45114</v>
      </c>
      <c r="B196" s="65" t="inlineStr">
        <is>
          <t xml:space="preserve">   BULK POSTING-ACHCr SBIN03975000029599 SAGAR CEMENTS--</t>
        </is>
      </c>
      <c r="C196" s="65" t="n">
        <v/>
      </c>
      <c r="D196" s="64" t="n">
        <v>45114</v>
      </c>
      <c r="E196" s="65" t="n">
        <v>0</v>
      </c>
      <c r="F196" s="65" t="n">
        <v>10.5</v>
      </c>
      <c r="G196" s="65" t="n">
        <v>117727.56</v>
      </c>
      <c r="H196" s="65" t="inlineStr"/>
      <c r="I196" s="65" t="inlineStr"/>
      <c r="J196" s="65" t="inlineStr">
        <is>
          <t>Dividend Income</t>
        </is>
      </c>
      <c r="K196" s="65" t="inlineStr">
        <is>
          <t>Dividend Income</t>
        </is>
      </c>
      <c r="L196" s="18" t="n">
        <v>0.85</v>
      </c>
      <c r="M196" s="65" t="inlineStr">
        <is>
          <t>N/A</t>
        </is>
      </c>
    </row>
    <row r="197">
      <c r="A197" s="35" t="n">
        <v>45114</v>
      </c>
      <c r="B197" s="36" t="inlineStr">
        <is>
          <t xml:space="preserve">   TO TRANSFER-UPI/DR/318805688671/SEVEN SP/PYTM/paytmqr281/UPI--</t>
        </is>
      </c>
      <c r="C197" s="36" t="inlineStr">
        <is>
          <t>TRANSFER TO 4897694162092</t>
        </is>
      </c>
      <c r="D197" s="35" t="n">
        <v>45114</v>
      </c>
      <c r="E197" s="36" t="n">
        <v>40</v>
      </c>
      <c r="F197" s="36" t="n">
        <v>0</v>
      </c>
      <c r="G197" s="36" t="n">
        <v>117687.56</v>
      </c>
      <c r="H197" s="36" t="inlineStr"/>
      <c r="I197" s="36" t="inlineStr"/>
      <c r="J197" s="36" t="inlineStr">
        <is>
          <t>UPI - Paytm</t>
        </is>
      </c>
      <c r="K197" s="36" t="inlineStr">
        <is>
          <t>Personal</t>
        </is>
      </c>
      <c r="L197" s="34" t="n">
        <v>0.65</v>
      </c>
      <c r="M197" s="36" t="inlineStr">
        <is>
          <t>N/A</t>
        </is>
      </c>
    </row>
    <row r="198">
      <c r="A198" s="35" t="n">
        <v>45114</v>
      </c>
      <c r="B198" s="36" t="inlineStr">
        <is>
          <t xml:space="preserve">   TO TRANSFER-UPI/DR/318830429927/SEVEN SP/PYTM/paytmqr281/UPI--</t>
        </is>
      </c>
      <c r="C198" s="36" t="inlineStr">
        <is>
          <t>TRANSFER TO 4897694162092</t>
        </is>
      </c>
      <c r="D198" s="35" t="n">
        <v>45114</v>
      </c>
      <c r="E198" s="36" t="n">
        <v>50</v>
      </c>
      <c r="F198" s="36" t="n">
        <v>0</v>
      </c>
      <c r="G198" s="36" t="n">
        <v>117637.56</v>
      </c>
      <c r="H198" s="36" t="inlineStr"/>
      <c r="I198" s="36" t="inlineStr"/>
      <c r="J198" s="36" t="inlineStr">
        <is>
          <t>UPI - Paytm</t>
        </is>
      </c>
      <c r="K198" s="36" t="inlineStr">
        <is>
          <t>Personal</t>
        </is>
      </c>
      <c r="L198" s="34" t="n">
        <v>0.65</v>
      </c>
      <c r="M198" s="36" t="inlineStr">
        <is>
          <t>N/A</t>
        </is>
      </c>
    </row>
    <row r="199">
      <c r="A199" s="37" t="n">
        <v>45114</v>
      </c>
      <c r="B199" s="38" t="inlineStr">
        <is>
          <t xml:space="preserve">   TO TRANSFER-UPI/DR/318859119082/Mr  AADA/YESB/q739730170/UPI--</t>
        </is>
      </c>
      <c r="C199" s="38" t="inlineStr">
        <is>
          <t>TRANSFER TO 4897694162092</t>
        </is>
      </c>
      <c r="D199" s="37" t="n">
        <v>45114</v>
      </c>
      <c r="E199" s="38" t="n">
        <v>20</v>
      </c>
      <c r="F199" s="38" t="n">
        <v>0</v>
      </c>
      <c r="G199" s="38" t="n">
        <v>117617.56</v>
      </c>
      <c r="H199" s="38" t="inlineStr">
        <is>
          <t>Mr  Aada</t>
        </is>
      </c>
      <c r="I199" s="38" t="inlineStr"/>
      <c r="J199" s="38" t="inlineStr">
        <is>
          <t>UPI Payment</t>
        </is>
      </c>
      <c r="K199" s="38" t="inlineStr">
        <is>
          <t>Personal</t>
        </is>
      </c>
      <c r="L199" s="25" t="n">
        <v>0.55</v>
      </c>
      <c r="M199" s="38" t="inlineStr">
        <is>
          <t>N/A</t>
        </is>
      </c>
    </row>
    <row r="200">
      <c r="A200" s="37" t="n">
        <v>45114</v>
      </c>
      <c r="B200" s="38" t="inlineStr">
        <is>
          <t xml:space="preserve">   TO TRANSFER-UPI/DR/318828567938/Vendekin/ICIC/vendekin@i/UPI--</t>
        </is>
      </c>
      <c r="C200" s="38" t="inlineStr">
        <is>
          <t>TRANSFER TO 4897695162091</t>
        </is>
      </c>
      <c r="D200" s="37" t="n">
        <v>45114</v>
      </c>
      <c r="E200" s="38" t="n">
        <v>20</v>
      </c>
      <c r="F200" s="38" t="n">
        <v>0</v>
      </c>
      <c r="G200" s="38" t="n">
        <v>117597.56</v>
      </c>
      <c r="H200" s="38" t="inlineStr">
        <is>
          <t>Vendekin</t>
        </is>
      </c>
      <c r="I200" s="38" t="inlineStr"/>
      <c r="J200" s="38" t="inlineStr">
        <is>
          <t>UPI Payment</t>
        </is>
      </c>
      <c r="K200" s="38" t="inlineStr">
        <is>
          <t>Personal</t>
        </is>
      </c>
      <c r="L200" s="25" t="n">
        <v>0.55</v>
      </c>
      <c r="M200" s="38" t="inlineStr">
        <is>
          <t>N/A</t>
        </is>
      </c>
    </row>
    <row r="201">
      <c r="A201" s="37" t="n">
        <v>45115</v>
      </c>
      <c r="B201" s="38" t="inlineStr">
        <is>
          <t xml:space="preserve">   TO TRANSFER-UPI/DR/318929616938/Vendekin/ICIC/vendekin@i/UPI--</t>
        </is>
      </c>
      <c r="C201" s="38" t="inlineStr">
        <is>
          <t>TRANSFER TO 4897695162091</t>
        </is>
      </c>
      <c r="D201" s="37" t="n">
        <v>45115</v>
      </c>
      <c r="E201" s="38" t="n">
        <v>50</v>
      </c>
      <c r="F201" s="38" t="n">
        <v>0</v>
      </c>
      <c r="G201" s="38" t="n">
        <v>117547.56</v>
      </c>
      <c r="H201" s="38" t="inlineStr">
        <is>
          <t>Vendekin</t>
        </is>
      </c>
      <c r="I201" s="38" t="inlineStr"/>
      <c r="J201" s="38" t="inlineStr">
        <is>
          <t>UPI Payment</t>
        </is>
      </c>
      <c r="K201" s="38" t="inlineStr">
        <is>
          <t>Personal</t>
        </is>
      </c>
      <c r="L201" s="25" t="n">
        <v>0.55</v>
      </c>
      <c r="M201" s="38" t="inlineStr">
        <is>
          <t>N/A</t>
        </is>
      </c>
    </row>
    <row r="202">
      <c r="A202" s="37" t="n">
        <v>45116</v>
      </c>
      <c r="B202" s="38" t="inlineStr">
        <is>
          <t xml:space="preserve">   TO TRANSFER-UPI/DR/319077070635/HARSH BI/BKID/harshbin06/UPI--</t>
        </is>
      </c>
      <c r="C202" s="38" t="inlineStr">
        <is>
          <t>TRANSFER TO 4897696162090</t>
        </is>
      </c>
      <c r="D202" s="37" t="n">
        <v>45116</v>
      </c>
      <c r="E202" s="38" t="n">
        <v>85</v>
      </c>
      <c r="F202" s="38" t="n">
        <v>0</v>
      </c>
      <c r="G202" s="38" t="n">
        <v>117462.56</v>
      </c>
      <c r="H202" s="38" t="inlineStr">
        <is>
          <t>Harsh Bi</t>
        </is>
      </c>
      <c r="I202" s="38" t="inlineStr"/>
      <c r="J202" s="38" t="inlineStr">
        <is>
          <t>UPI Payment</t>
        </is>
      </c>
      <c r="K202" s="38" t="inlineStr">
        <is>
          <t>Personal</t>
        </is>
      </c>
      <c r="L202" s="25" t="n">
        <v>0.55</v>
      </c>
      <c r="M202" s="38" t="inlineStr">
        <is>
          <t>N/A</t>
        </is>
      </c>
    </row>
    <row r="203">
      <c r="A203" s="37" t="n">
        <v>45116</v>
      </c>
      <c r="B203" s="38" t="inlineStr">
        <is>
          <t xml:space="preserve">   TO TRANSFER-UPI/DR/319077214945/PRANAV  /CNRB/pranavalig/UPI--</t>
        </is>
      </c>
      <c r="C203" s="38" t="inlineStr">
        <is>
          <t>TRANSFER TO 4897696162090</t>
        </is>
      </c>
      <c r="D203" s="37" t="n">
        <v>45116</v>
      </c>
      <c r="E203" s="38" t="n">
        <v>65</v>
      </c>
      <c r="F203" s="38" t="n">
        <v>0</v>
      </c>
      <c r="G203" s="38" t="n">
        <v>117397.56</v>
      </c>
      <c r="H203" s="38" t="inlineStr">
        <is>
          <t>Pranav</t>
        </is>
      </c>
      <c r="I203" s="38" t="inlineStr"/>
      <c r="J203" s="38" t="inlineStr">
        <is>
          <t>UPI Payment</t>
        </is>
      </c>
      <c r="K203" s="38" t="inlineStr">
        <is>
          <t>Personal</t>
        </is>
      </c>
      <c r="L203" s="25" t="n">
        <v>0.55</v>
      </c>
      <c r="M203" s="38" t="inlineStr">
        <is>
          <t>N/A</t>
        </is>
      </c>
    </row>
    <row r="204">
      <c r="A204" s="35" t="n">
        <v>45116</v>
      </c>
      <c r="B204" s="36" t="inlineStr">
        <is>
          <t xml:space="preserve">   TO TRANSFER-UPI/DR/319039993372/SEVEN SP/PYTM/paytmqr281/UPI--</t>
        </is>
      </c>
      <c r="C204" s="36" t="inlineStr">
        <is>
          <t>TRANSFER TO 4897696162090</t>
        </is>
      </c>
      <c r="D204" s="35" t="n">
        <v>45116</v>
      </c>
      <c r="E204" s="36" t="n">
        <v>110</v>
      </c>
      <c r="F204" s="36" t="n">
        <v>0</v>
      </c>
      <c r="G204" s="36" t="n">
        <v>117287.56</v>
      </c>
      <c r="H204" s="36" t="inlineStr"/>
      <c r="I204" s="36" t="inlineStr"/>
      <c r="J204" s="36" t="inlineStr">
        <is>
          <t>UPI - Paytm</t>
        </is>
      </c>
      <c r="K204" s="36" t="inlineStr">
        <is>
          <t>Personal</t>
        </is>
      </c>
      <c r="L204" s="34" t="n">
        <v>0.65</v>
      </c>
      <c r="M204" s="36" t="inlineStr">
        <is>
          <t>N/A</t>
        </is>
      </c>
    </row>
    <row r="205">
      <c r="A205" s="37" t="n">
        <v>45117</v>
      </c>
      <c r="B205" s="38" t="inlineStr">
        <is>
          <t xml:space="preserve">   TO TRANSFER-UPI/DR/319120422999/Vendekin/ICIC/vendekin@i/UPI--</t>
        </is>
      </c>
      <c r="C205" s="38" t="inlineStr">
        <is>
          <t>TRANSFER TO 4897690162095</t>
        </is>
      </c>
      <c r="D205" s="37" t="n">
        <v>45117</v>
      </c>
      <c r="E205" s="38" t="n">
        <v>60</v>
      </c>
      <c r="F205" s="38" t="n">
        <v>0</v>
      </c>
      <c r="G205" s="38" t="n">
        <v>117227.56</v>
      </c>
      <c r="H205" s="38" t="inlineStr">
        <is>
          <t>Vendekin</t>
        </is>
      </c>
      <c r="I205" s="38" t="inlineStr"/>
      <c r="J205" s="38" t="inlineStr">
        <is>
          <t>UPI Payment</t>
        </is>
      </c>
      <c r="K205" s="38" t="inlineStr">
        <is>
          <t>Personal</t>
        </is>
      </c>
      <c r="L205" s="25" t="n">
        <v>0.55</v>
      </c>
      <c r="M205" s="38" t="inlineStr">
        <is>
          <t>N/A</t>
        </is>
      </c>
    </row>
    <row r="206">
      <c r="A206" s="101" t="n">
        <v>45117</v>
      </c>
      <c r="B206" s="102" t="inlineStr">
        <is>
          <t xml:space="preserve">   BY TRANSFER-UPI/CR/319147053909/Vendekin/ICIC/vendekin@i/vende--</t>
        </is>
      </c>
      <c r="C206" s="102" t="inlineStr">
        <is>
          <t>TRANSFER FROM 4897732162091</t>
        </is>
      </c>
      <c r="D206" s="101" t="n">
        <v>45117</v>
      </c>
      <c r="E206" s="102" t="n">
        <v>0</v>
      </c>
      <c r="F206" s="102" t="n">
        <v>20</v>
      </c>
      <c r="G206" s="102" t="n">
        <v>117247.56</v>
      </c>
      <c r="H206" s="102" t="inlineStr"/>
      <c r="I206" s="102" t="inlineStr"/>
      <c r="J206" s="102" t="inlineStr">
        <is>
          <t>Received - Vendekin</t>
        </is>
      </c>
      <c r="K206" s="102" t="inlineStr">
        <is>
          <t>Personal</t>
        </is>
      </c>
      <c r="L206" s="25" t="n">
        <v>0.55</v>
      </c>
      <c r="M206" s="102" t="inlineStr">
        <is>
          <t>N/A</t>
        </is>
      </c>
    </row>
    <row r="207">
      <c r="A207" s="37" t="n">
        <v>45117</v>
      </c>
      <c r="B207" s="38" t="inlineStr">
        <is>
          <t xml:space="preserve">   TO TRANSFER-UPI/DR/319120475889/Vendekin/ICIC/vendekin@i/UPI--</t>
        </is>
      </c>
      <c r="C207" s="38" t="inlineStr">
        <is>
          <t>TRANSFER TO 4897690162095</t>
        </is>
      </c>
      <c r="D207" s="37" t="n">
        <v>45117</v>
      </c>
      <c r="E207" s="38" t="n">
        <v>20</v>
      </c>
      <c r="F207" s="38" t="n">
        <v>0</v>
      </c>
      <c r="G207" s="38" t="n">
        <v>117227.56</v>
      </c>
      <c r="H207" s="38" t="inlineStr">
        <is>
          <t>Vendekin</t>
        </is>
      </c>
      <c r="I207" s="38" t="inlineStr"/>
      <c r="J207" s="38" t="inlineStr">
        <is>
          <t>UPI Payment</t>
        </is>
      </c>
      <c r="K207" s="38" t="inlineStr">
        <is>
          <t>Personal</t>
        </is>
      </c>
      <c r="L207" s="25" t="n">
        <v>0.55</v>
      </c>
      <c r="M207" s="38" t="inlineStr">
        <is>
          <t>N/A</t>
        </is>
      </c>
    </row>
    <row r="208">
      <c r="A208" s="101" t="n">
        <v>45117</v>
      </c>
      <c r="B208" s="102" t="inlineStr">
        <is>
          <t xml:space="preserve">   BY TRANSFER-UPI/CR/319147056718/Vendekin/ICIC/vendekin@i/vende--</t>
        </is>
      </c>
      <c r="C208" s="102" t="inlineStr">
        <is>
          <t>TRANSFER FROM 4897732162091</t>
        </is>
      </c>
      <c r="D208" s="101" t="n">
        <v>45117</v>
      </c>
      <c r="E208" s="102" t="n">
        <v>0</v>
      </c>
      <c r="F208" s="102" t="n">
        <v>20</v>
      </c>
      <c r="G208" s="102" t="n">
        <v>117247.56</v>
      </c>
      <c r="H208" s="102" t="inlineStr"/>
      <c r="I208" s="102" t="inlineStr"/>
      <c r="J208" s="102" t="inlineStr">
        <is>
          <t>Received - Vendekin</t>
        </is>
      </c>
      <c r="K208" s="102" t="inlineStr">
        <is>
          <t>Personal</t>
        </is>
      </c>
      <c r="L208" s="25" t="n">
        <v>0.55</v>
      </c>
      <c r="M208" s="102" t="inlineStr">
        <is>
          <t>N/A</t>
        </is>
      </c>
    </row>
    <row r="209">
      <c r="A209" s="37" t="n">
        <v>45118</v>
      </c>
      <c r="B209" s="38" t="inlineStr">
        <is>
          <t xml:space="preserve">   TO TRANSFER-UPI/DR/355843225547/Vendekin/ICIC/vendekin@i/UPI--</t>
        </is>
      </c>
      <c r="C209" s="38" t="inlineStr">
        <is>
          <t>TRANSFER TO 4897691162095</t>
        </is>
      </c>
      <c r="D209" s="37" t="n">
        <v>45118</v>
      </c>
      <c r="E209" s="38" t="n">
        <v>70</v>
      </c>
      <c r="F209" s="38" t="n">
        <v>0</v>
      </c>
      <c r="G209" s="38" t="n">
        <v>117177.56</v>
      </c>
      <c r="H209" s="38" t="inlineStr">
        <is>
          <t>Vendekin</t>
        </is>
      </c>
      <c r="I209" s="38" t="inlineStr"/>
      <c r="J209" s="38" t="inlineStr">
        <is>
          <t>UPI Payment</t>
        </is>
      </c>
      <c r="K209" s="38" t="inlineStr">
        <is>
          <t>Personal</t>
        </is>
      </c>
      <c r="L209" s="25" t="n">
        <v>0.55</v>
      </c>
      <c r="M209" s="38" t="inlineStr">
        <is>
          <t>N/A</t>
        </is>
      </c>
    </row>
    <row r="210">
      <c r="A210" s="101" t="n">
        <v>45118</v>
      </c>
      <c r="B210" s="102" t="inlineStr">
        <is>
          <t xml:space="preserve">   BY TRANSFER-UPI/CR/319248370432/Vendekin/ICIC/vendekin@i/vende--</t>
        </is>
      </c>
      <c r="C210" s="102" t="inlineStr">
        <is>
          <t>TRANSFER FROM 4897733162090</t>
        </is>
      </c>
      <c r="D210" s="101" t="n">
        <v>45118</v>
      </c>
      <c r="E210" s="102" t="n">
        <v>0</v>
      </c>
      <c r="F210" s="102" t="n">
        <v>40</v>
      </c>
      <c r="G210" s="102" t="n">
        <v>117217.56</v>
      </c>
      <c r="H210" s="102" t="inlineStr"/>
      <c r="I210" s="102" t="inlineStr"/>
      <c r="J210" s="102" t="inlineStr">
        <is>
          <t>Received - Vendekin</t>
        </is>
      </c>
      <c r="K210" s="102" t="inlineStr">
        <is>
          <t>Personal</t>
        </is>
      </c>
      <c r="L210" s="25" t="n">
        <v>0.55</v>
      </c>
      <c r="M210" s="102" t="inlineStr">
        <is>
          <t>N/A</t>
        </is>
      </c>
    </row>
    <row r="211">
      <c r="A211" s="35" t="n">
        <v>45118</v>
      </c>
      <c r="B211" s="36" t="inlineStr">
        <is>
          <t xml:space="preserve">   TO TRANSFER-UPI/DR/319258953660/SEVEN SP/PYTM/paytmqr281/UPI--</t>
        </is>
      </c>
      <c r="C211" s="36" t="inlineStr">
        <is>
          <t>TRANSFER TO 4897691162095</t>
        </is>
      </c>
      <c r="D211" s="35" t="n">
        <v>45118</v>
      </c>
      <c r="E211" s="36" t="n">
        <v>170</v>
      </c>
      <c r="F211" s="36" t="n">
        <v>0</v>
      </c>
      <c r="G211" s="36" t="n">
        <v>117047.56</v>
      </c>
      <c r="H211" s="36" t="inlineStr"/>
      <c r="I211" s="36" t="inlineStr"/>
      <c r="J211" s="36" t="inlineStr">
        <is>
          <t>UPI - Paytm</t>
        </is>
      </c>
      <c r="K211" s="36" t="inlineStr">
        <is>
          <t>Personal</t>
        </is>
      </c>
      <c r="L211" s="34" t="n">
        <v>0.65</v>
      </c>
      <c r="M211" s="36" t="inlineStr">
        <is>
          <t>N/A</t>
        </is>
      </c>
    </row>
    <row r="212">
      <c r="A212" s="35" t="n">
        <v>45119</v>
      </c>
      <c r="B212" s="36" t="inlineStr">
        <is>
          <t xml:space="preserve">   TO TRANSFER-UPI/DR/319382308169/SEVEN SP/PYTM/paytmqr281/UPI--</t>
        </is>
      </c>
      <c r="C212" s="36" t="inlineStr">
        <is>
          <t>TRANSFER TO 4897692162094</t>
        </is>
      </c>
      <c r="D212" s="35" t="n">
        <v>45119</v>
      </c>
      <c r="E212" s="36" t="n">
        <v>40</v>
      </c>
      <c r="F212" s="36" t="n">
        <v>0</v>
      </c>
      <c r="G212" s="36" t="n">
        <v>117007.56</v>
      </c>
      <c r="H212" s="36" t="inlineStr"/>
      <c r="I212" s="36" t="inlineStr"/>
      <c r="J212" s="36" t="inlineStr">
        <is>
          <t>UPI - Paytm</t>
        </is>
      </c>
      <c r="K212" s="36" t="inlineStr">
        <is>
          <t>Personal</t>
        </is>
      </c>
      <c r="L212" s="34" t="n">
        <v>0.65</v>
      </c>
      <c r="M212" s="36" t="inlineStr">
        <is>
          <t>N/A</t>
        </is>
      </c>
    </row>
    <row r="213">
      <c r="A213" s="37" t="n">
        <v>45119</v>
      </c>
      <c r="B213" s="38" t="inlineStr">
        <is>
          <t xml:space="preserve">   TO TRANSFER-UPI/DR/319399294182/Mr  AADA/YESB/q423863729/UPI--</t>
        </is>
      </c>
      <c r="C213" s="38" t="inlineStr">
        <is>
          <t>TRANSFER TO 4897692162094</t>
        </is>
      </c>
      <c r="D213" s="37" t="n">
        <v>45119</v>
      </c>
      <c r="E213" s="38" t="n">
        <v>20</v>
      </c>
      <c r="F213" s="38" t="n">
        <v>0</v>
      </c>
      <c r="G213" s="38" t="n">
        <v>116987.56</v>
      </c>
      <c r="H213" s="38" t="inlineStr">
        <is>
          <t>Mr  Aada</t>
        </is>
      </c>
      <c r="I213" s="38" t="inlineStr"/>
      <c r="J213" s="38" t="inlineStr">
        <is>
          <t>UPI Payment</t>
        </is>
      </c>
      <c r="K213" s="38" t="inlineStr">
        <is>
          <t>Personal</t>
        </is>
      </c>
      <c r="L213" s="25" t="n">
        <v>0.55</v>
      </c>
      <c r="M213" s="38" t="inlineStr">
        <is>
          <t>N/A</t>
        </is>
      </c>
    </row>
    <row r="214">
      <c r="A214" s="37" t="n">
        <v>45120</v>
      </c>
      <c r="B214" s="38" t="inlineStr">
        <is>
          <t xml:space="preserve">   TO TRANSFER-UPI/DR/319434338456/Mr  AADA/YESB/q964606339/UPI--</t>
        </is>
      </c>
      <c r="C214" s="38" t="inlineStr">
        <is>
          <t>TRANSFER TO 4897693162093</t>
        </is>
      </c>
      <c r="D214" s="37" t="n">
        <v>45120</v>
      </c>
      <c r="E214" s="38" t="n">
        <v>20</v>
      </c>
      <c r="F214" s="38" t="n">
        <v>0</v>
      </c>
      <c r="G214" s="38" t="n">
        <v>116967.56</v>
      </c>
      <c r="H214" s="38" t="inlineStr">
        <is>
          <t>Mr  Aada</t>
        </is>
      </c>
      <c r="I214" s="38" t="inlineStr"/>
      <c r="J214" s="38" t="inlineStr">
        <is>
          <t>UPI Payment</t>
        </is>
      </c>
      <c r="K214" s="38" t="inlineStr">
        <is>
          <t>Personal</t>
        </is>
      </c>
      <c r="L214" s="25" t="n">
        <v>0.55</v>
      </c>
      <c r="M214" s="38" t="inlineStr">
        <is>
          <t>N/A</t>
        </is>
      </c>
    </row>
    <row r="215">
      <c r="A215" s="101" t="n">
        <v>45120</v>
      </c>
      <c r="B215" s="102" t="inlineStr">
        <is>
          <t xml:space="preserve">   BY TRANSFER-UPI/CR/319446314350/TIRTHA T/UBIN/9938240112/Sent--</t>
        </is>
      </c>
      <c r="C215" s="102" t="inlineStr">
        <is>
          <t>TRANSFER FROM 4897735162098</t>
        </is>
      </c>
      <c r="D215" s="101" t="n">
        <v>45120</v>
      </c>
      <c r="E215" s="102" t="n">
        <v>0</v>
      </c>
      <c r="F215" s="102" t="n">
        <v>60</v>
      </c>
      <c r="G215" s="102" t="n">
        <v>117027.56</v>
      </c>
      <c r="H215" s="102" t="inlineStr"/>
      <c r="I215" s="102" t="inlineStr"/>
      <c r="J215" s="102" t="inlineStr">
        <is>
          <t>Received - Tirtha T</t>
        </is>
      </c>
      <c r="K215" s="102" t="inlineStr">
        <is>
          <t>Personal</t>
        </is>
      </c>
      <c r="L215" s="25" t="n">
        <v>0.55</v>
      </c>
      <c r="M215" s="102" t="inlineStr">
        <is>
          <t>N/A</t>
        </is>
      </c>
    </row>
    <row r="216">
      <c r="A216" s="37" t="n">
        <v>45121</v>
      </c>
      <c r="B216" s="38" t="inlineStr">
        <is>
          <t xml:space="preserve">   TO TRANSFER-UPI/DR/319556457121/VISHAL K/PSIB/khanvishal/UPI--</t>
        </is>
      </c>
      <c r="C216" s="38" t="inlineStr">
        <is>
          <t>TRANSFER TO 4897694162092</t>
        </is>
      </c>
      <c r="D216" s="37" t="n">
        <v>45121</v>
      </c>
      <c r="E216" s="38" t="n">
        <v>50</v>
      </c>
      <c r="F216" s="38" t="n">
        <v>0</v>
      </c>
      <c r="G216" s="38" t="n">
        <v>116977.56</v>
      </c>
      <c r="H216" s="38" t="inlineStr">
        <is>
          <t>Vishal K</t>
        </is>
      </c>
      <c r="I216" s="38" t="inlineStr"/>
      <c r="J216" s="38" t="inlineStr">
        <is>
          <t>UPI Payment</t>
        </is>
      </c>
      <c r="K216" s="38" t="inlineStr">
        <is>
          <t>Personal</t>
        </is>
      </c>
      <c r="L216" s="25" t="n">
        <v>0.55</v>
      </c>
      <c r="M216" s="38" t="inlineStr">
        <is>
          <t>N/A</t>
        </is>
      </c>
    </row>
    <row r="217">
      <c r="A217" s="37" t="n">
        <v>45121</v>
      </c>
      <c r="B217" s="38" t="inlineStr">
        <is>
          <t xml:space="preserve">   TO TRANSFER-UPI/DR/319563994886/Mr  AADA/YESB/q739730170/UPI--</t>
        </is>
      </c>
      <c r="C217" s="38" t="inlineStr">
        <is>
          <t>TRANSFER TO 4897694162092</t>
        </is>
      </c>
      <c r="D217" s="37" t="n">
        <v>45121</v>
      </c>
      <c r="E217" s="38" t="n">
        <v>10</v>
      </c>
      <c r="F217" s="38" t="n">
        <v>0</v>
      </c>
      <c r="G217" s="38" t="n">
        <v>116967.56</v>
      </c>
      <c r="H217" s="38" t="inlineStr">
        <is>
          <t>Mr  Aada</t>
        </is>
      </c>
      <c r="I217" s="38" t="inlineStr"/>
      <c r="J217" s="38" t="inlineStr">
        <is>
          <t>UPI Payment</t>
        </is>
      </c>
      <c r="K217" s="38" t="inlineStr">
        <is>
          <t>Personal</t>
        </is>
      </c>
      <c r="L217" s="25" t="n">
        <v>0.55</v>
      </c>
      <c r="M217" s="38" t="inlineStr">
        <is>
          <t>N/A</t>
        </is>
      </c>
    </row>
    <row r="218">
      <c r="A218" s="37" t="n">
        <v>45121</v>
      </c>
      <c r="B218" s="38" t="inlineStr">
        <is>
          <t xml:space="preserve">   TO TRANSFER-UPI/DR/319573997616/Mr  AADA/YESB/q739730170/UPI--</t>
        </is>
      </c>
      <c r="C218" s="38" t="inlineStr">
        <is>
          <t>TRANSFER TO 4897694162092</t>
        </is>
      </c>
      <c r="D218" s="37" t="n">
        <v>45121</v>
      </c>
      <c r="E218" s="38" t="n">
        <v>60</v>
      </c>
      <c r="F218" s="38" t="n">
        <v>0</v>
      </c>
      <c r="G218" s="38" t="n">
        <v>116907.56</v>
      </c>
      <c r="H218" s="38" t="inlineStr">
        <is>
          <t>Mr  Aada</t>
        </is>
      </c>
      <c r="I218" s="38" t="inlineStr"/>
      <c r="J218" s="38" t="inlineStr">
        <is>
          <t>UPI Payment</t>
        </is>
      </c>
      <c r="K218" s="38" t="inlineStr">
        <is>
          <t>Personal</t>
        </is>
      </c>
      <c r="L218" s="25" t="n">
        <v>0.55</v>
      </c>
      <c r="M218" s="38" t="inlineStr">
        <is>
          <t>N/A</t>
        </is>
      </c>
    </row>
    <row r="219">
      <c r="A219" s="37" t="n">
        <v>45121</v>
      </c>
      <c r="B219" s="38" t="inlineStr">
        <is>
          <t xml:space="preserve">   TO TRANSFER-UPI/DR/319580930153/JUZHAR S/PYTM/9592001871/UPI--</t>
        </is>
      </c>
      <c r="C219" s="38" t="inlineStr">
        <is>
          <t>TRANSFER TO 4897694162092</t>
        </is>
      </c>
      <c r="D219" s="37" t="n">
        <v>45121</v>
      </c>
      <c r="E219" s="38" t="n">
        <v>80</v>
      </c>
      <c r="F219" s="38" t="n">
        <v>0</v>
      </c>
      <c r="G219" s="38" t="n">
        <v>116827.56</v>
      </c>
      <c r="H219" s="38" t="inlineStr">
        <is>
          <t>Juzhar S</t>
        </is>
      </c>
      <c r="I219" s="38" t="inlineStr"/>
      <c r="J219" s="38" t="inlineStr">
        <is>
          <t>UPI Payment</t>
        </is>
      </c>
      <c r="K219" s="38" t="inlineStr">
        <is>
          <t>Personal</t>
        </is>
      </c>
      <c r="L219" s="25" t="n">
        <v>0.55</v>
      </c>
      <c r="M219" s="38" t="inlineStr">
        <is>
          <t>N/A</t>
        </is>
      </c>
    </row>
    <row r="220">
      <c r="A220" s="37" t="n">
        <v>45121</v>
      </c>
      <c r="B220" s="38" t="inlineStr">
        <is>
          <t xml:space="preserve">   TO TRANSFER-UPI/DR/356157752953/Vendekin/ICIC/vendekin@i/UPI--</t>
        </is>
      </c>
      <c r="C220" s="38" t="inlineStr">
        <is>
          <t>TRANSFER TO 4897694162092</t>
        </is>
      </c>
      <c r="D220" s="37" t="n">
        <v>45121</v>
      </c>
      <c r="E220" s="38" t="n">
        <v>40</v>
      </c>
      <c r="F220" s="38" t="n">
        <v>0</v>
      </c>
      <c r="G220" s="38" t="n">
        <v>116787.56</v>
      </c>
      <c r="H220" s="38" t="inlineStr">
        <is>
          <t>Vendekin</t>
        </is>
      </c>
      <c r="I220" s="38" t="inlineStr"/>
      <c r="J220" s="38" t="inlineStr">
        <is>
          <t>UPI Payment</t>
        </is>
      </c>
      <c r="K220" s="38" t="inlineStr">
        <is>
          <t>Personal</t>
        </is>
      </c>
      <c r="L220" s="25" t="n">
        <v>0.55</v>
      </c>
      <c r="M220" s="38" t="inlineStr">
        <is>
          <t>N/A</t>
        </is>
      </c>
    </row>
    <row r="221">
      <c r="A221" s="37" t="n">
        <v>45121</v>
      </c>
      <c r="B221" s="38" t="inlineStr">
        <is>
          <t xml:space="preserve">   TO TRANSFER-UPI/DR/319583282509/PRANAV  /CNRB/pranavalig/UPI--</t>
        </is>
      </c>
      <c r="C221" s="38" t="inlineStr">
        <is>
          <t>TRANSFER TO 4897694162092</t>
        </is>
      </c>
      <c r="D221" s="37" t="n">
        <v>45121</v>
      </c>
      <c r="E221" s="38" t="n">
        <v>800</v>
      </c>
      <c r="F221" s="38" t="n">
        <v>0</v>
      </c>
      <c r="G221" s="38" t="n">
        <v>115987.56</v>
      </c>
      <c r="H221" s="38" t="inlineStr">
        <is>
          <t>Pranav</t>
        </is>
      </c>
      <c r="I221" s="38" t="inlineStr"/>
      <c r="J221" s="38" t="inlineStr">
        <is>
          <t>UPI Payment</t>
        </is>
      </c>
      <c r="K221" s="38" t="inlineStr">
        <is>
          <t>Personal</t>
        </is>
      </c>
      <c r="L221" s="25" t="n">
        <v>0.55</v>
      </c>
      <c r="M221" s="38" t="inlineStr">
        <is>
          <t>N/A</t>
        </is>
      </c>
    </row>
    <row r="222">
      <c r="A222" s="37" t="n">
        <v>45122</v>
      </c>
      <c r="B222" s="38" t="inlineStr">
        <is>
          <t xml:space="preserve">   TO TRANSFER-UPI/DR/319652188652/Vendekin/ICIC/vendekin@i/UPI--</t>
        </is>
      </c>
      <c r="C222" s="38" t="inlineStr">
        <is>
          <t>TRANSFER TO 4897695162091</t>
        </is>
      </c>
      <c r="D222" s="37" t="n">
        <v>45122</v>
      </c>
      <c r="E222" s="38" t="n">
        <v>40</v>
      </c>
      <c r="F222" s="38" t="n">
        <v>0</v>
      </c>
      <c r="G222" s="38" t="n">
        <v>115947.56</v>
      </c>
      <c r="H222" s="38" t="inlineStr">
        <is>
          <t>Vendekin</t>
        </is>
      </c>
      <c r="I222" s="38" t="inlineStr"/>
      <c r="J222" s="38" t="inlineStr">
        <is>
          <t>UPI Payment</t>
        </is>
      </c>
      <c r="K222" s="38" t="inlineStr">
        <is>
          <t>Personal</t>
        </is>
      </c>
      <c r="L222" s="25" t="n">
        <v>0.55</v>
      </c>
      <c r="M222" s="38" t="inlineStr">
        <is>
          <t>N/A</t>
        </is>
      </c>
    </row>
    <row r="223">
      <c r="A223" s="37" t="n">
        <v>45122</v>
      </c>
      <c r="B223" s="38" t="inlineStr">
        <is>
          <t xml:space="preserve">   TO TRANSFER-UPI/DR/319613752833/PAWAN VE/BARB/johnverma1/UPI--</t>
        </is>
      </c>
      <c r="C223" s="38" t="inlineStr">
        <is>
          <t>TRANSFER TO 4897695162091</t>
        </is>
      </c>
      <c r="D223" s="37" t="n">
        <v>45122</v>
      </c>
      <c r="E223" s="38" t="n">
        <v>300</v>
      </c>
      <c r="F223" s="38" t="n">
        <v>0</v>
      </c>
      <c r="G223" s="38" t="n">
        <v>115647.56</v>
      </c>
      <c r="H223" s="38" t="inlineStr">
        <is>
          <t>Pawan Ve</t>
        </is>
      </c>
      <c r="I223" s="38" t="inlineStr"/>
      <c r="J223" s="38" t="inlineStr">
        <is>
          <t>UPI Payment</t>
        </is>
      </c>
      <c r="K223" s="38" t="inlineStr">
        <is>
          <t>Personal</t>
        </is>
      </c>
      <c r="L223" s="25" t="n">
        <v>0.55</v>
      </c>
      <c r="M223" s="38" t="inlineStr">
        <is>
          <t>N/A</t>
        </is>
      </c>
    </row>
    <row r="224">
      <c r="A224" s="37" t="n">
        <v>45122</v>
      </c>
      <c r="B224" s="38" t="inlineStr">
        <is>
          <t xml:space="preserve">   TO TRANSFER-UPI/DR/356209104098/pankaj98/PUNB/pankaj9878/UPI--</t>
        </is>
      </c>
      <c r="C224" s="38" t="inlineStr">
        <is>
          <t>TRANSFER TO 4897695162091</t>
        </is>
      </c>
      <c r="D224" s="37" t="n">
        <v>45122</v>
      </c>
      <c r="E224" s="38" t="n">
        <v>30</v>
      </c>
      <c r="F224" s="38" t="n">
        <v>0</v>
      </c>
      <c r="G224" s="38" t="n">
        <v>115617.56</v>
      </c>
      <c r="H224" s="38" t="inlineStr">
        <is>
          <t>Pankaj98</t>
        </is>
      </c>
      <c r="I224" s="38" t="inlineStr"/>
      <c r="J224" s="38" t="inlineStr">
        <is>
          <t>UPI Payment</t>
        </is>
      </c>
      <c r="K224" s="38" t="inlineStr">
        <is>
          <t>Personal</t>
        </is>
      </c>
      <c r="L224" s="25" t="n">
        <v>0.55</v>
      </c>
      <c r="M224" s="38" t="inlineStr">
        <is>
          <t>N/A</t>
        </is>
      </c>
    </row>
    <row r="225">
      <c r="A225" s="37" t="n">
        <v>45123</v>
      </c>
      <c r="B225" s="38" t="inlineStr">
        <is>
          <t xml:space="preserve">   TO TRANSFER-UPI/DR/356387998807/98804988/HDFC/9880498899/UPI--</t>
        </is>
      </c>
      <c r="C225" s="38" t="inlineStr">
        <is>
          <t>TRANSFER TO 4897696162090</t>
        </is>
      </c>
      <c r="D225" s="37" t="n">
        <v>45123</v>
      </c>
      <c r="E225" s="38" t="n">
        <v>460</v>
      </c>
      <c r="F225" s="38" t="n">
        <v>0</v>
      </c>
      <c r="G225" s="38" t="n">
        <v>115157.56</v>
      </c>
      <c r="H225" s="38" t="inlineStr"/>
      <c r="I225" s="38" t="inlineStr"/>
      <c r="J225" s="38" t="inlineStr">
        <is>
          <t>UPI Payment</t>
        </is>
      </c>
      <c r="K225" s="38" t="inlineStr">
        <is>
          <t>Personal</t>
        </is>
      </c>
      <c r="L225" s="25" t="n">
        <v>0.55</v>
      </c>
      <c r="M225" s="38" t="inlineStr">
        <is>
          <t>N/A</t>
        </is>
      </c>
    </row>
    <row r="226">
      <c r="A226" s="37" t="n">
        <v>45123</v>
      </c>
      <c r="B226" s="38" t="inlineStr">
        <is>
          <t xml:space="preserve">   TO TRANSFER-UPI/DR/356309400717/K PRAMOD/HDFC/kpramodkri/UPI--</t>
        </is>
      </c>
      <c r="C226" s="38" t="inlineStr">
        <is>
          <t>TRANSFER TO 4897696162090</t>
        </is>
      </c>
      <c r="D226" s="37" t="n">
        <v>45123</v>
      </c>
      <c r="E226" s="38" t="n">
        <v>400</v>
      </c>
      <c r="F226" s="38" t="n">
        <v>0</v>
      </c>
      <c r="G226" s="38" t="n">
        <v>114757.56</v>
      </c>
      <c r="H226" s="38" t="inlineStr">
        <is>
          <t>K Pramod</t>
        </is>
      </c>
      <c r="I226" s="38" t="inlineStr"/>
      <c r="J226" s="38" t="inlineStr">
        <is>
          <t>UPI Payment</t>
        </is>
      </c>
      <c r="K226" s="38" t="inlineStr">
        <is>
          <t>Personal</t>
        </is>
      </c>
      <c r="L226" s="25" t="n">
        <v>0.55</v>
      </c>
      <c r="M226" s="38" t="inlineStr">
        <is>
          <t>N/A</t>
        </is>
      </c>
    </row>
    <row r="227">
      <c r="A227" s="35" t="n">
        <v>45123</v>
      </c>
      <c r="B227" s="36" t="inlineStr">
        <is>
          <t xml:space="preserve">   TO TRANSFER-UPI/DR/319745421204/SEVEN SP/PYTM/paytmqr281/UPI--</t>
        </is>
      </c>
      <c r="C227" s="36" t="inlineStr">
        <is>
          <t>TRANSFER TO 4897696162090</t>
        </is>
      </c>
      <c r="D227" s="35" t="n">
        <v>45123</v>
      </c>
      <c r="E227" s="36" t="n">
        <v>30</v>
      </c>
      <c r="F227" s="36" t="n">
        <v>0</v>
      </c>
      <c r="G227" s="36" t="n">
        <v>114727.56</v>
      </c>
      <c r="H227" s="36" t="inlineStr"/>
      <c r="I227" s="36" t="inlineStr"/>
      <c r="J227" s="36" t="inlineStr">
        <is>
          <t>UPI - Paytm</t>
        </is>
      </c>
      <c r="K227" s="36" t="inlineStr">
        <is>
          <t>Personal</t>
        </is>
      </c>
      <c r="L227" s="34" t="n">
        <v>0.65</v>
      </c>
      <c r="M227" s="36" t="inlineStr">
        <is>
          <t>N/A</t>
        </is>
      </c>
    </row>
    <row r="228">
      <c r="A228" s="35" t="n">
        <v>45123</v>
      </c>
      <c r="B228" s="36" t="inlineStr">
        <is>
          <t xml:space="preserve">   TO TRANSFER-UPI/DR/356313525417/SEVEN SP/PYTM/paytmqr281/UPI--</t>
        </is>
      </c>
      <c r="C228" s="36" t="inlineStr">
        <is>
          <t>TRANSFER TO 4897696162090</t>
        </is>
      </c>
      <c r="D228" s="35" t="n">
        <v>45123</v>
      </c>
      <c r="E228" s="36" t="n">
        <v>50</v>
      </c>
      <c r="F228" s="36" t="n">
        <v>0</v>
      </c>
      <c r="G228" s="36" t="n">
        <v>114677.56</v>
      </c>
      <c r="H228" s="36" t="inlineStr"/>
      <c r="I228" s="36" t="inlineStr"/>
      <c r="J228" s="36" t="inlineStr">
        <is>
          <t>UPI - Paytm</t>
        </is>
      </c>
      <c r="K228" s="36" t="inlineStr">
        <is>
          <t>Personal</t>
        </is>
      </c>
      <c r="L228" s="34" t="n">
        <v>0.65</v>
      </c>
      <c r="M228" s="36" t="inlineStr">
        <is>
          <t>N/A</t>
        </is>
      </c>
    </row>
    <row r="229">
      <c r="A229" s="37" t="n">
        <v>45123</v>
      </c>
      <c r="B229" s="38" t="inlineStr">
        <is>
          <t xml:space="preserve">   TO TRANSFER-UPI/DR/356392452966/K PRAMOD/HDFC/kpramodkri/UPI--</t>
        </is>
      </c>
      <c r="C229" s="38" t="inlineStr">
        <is>
          <t>TRANSFER TO 4897696162090</t>
        </is>
      </c>
      <c r="D229" s="37" t="n">
        <v>45123</v>
      </c>
      <c r="E229" s="38" t="n">
        <v>250</v>
      </c>
      <c r="F229" s="38" t="n">
        <v>0</v>
      </c>
      <c r="G229" s="38" t="n">
        <v>114427.56</v>
      </c>
      <c r="H229" s="38" t="inlineStr">
        <is>
          <t>K Pramod</t>
        </is>
      </c>
      <c r="I229" s="38" t="inlineStr"/>
      <c r="J229" s="38" t="inlineStr">
        <is>
          <t>UPI Payment</t>
        </is>
      </c>
      <c r="K229" s="38" t="inlineStr">
        <is>
          <t>Personal</t>
        </is>
      </c>
      <c r="L229" s="25" t="n">
        <v>0.55</v>
      </c>
      <c r="M229" s="38" t="inlineStr">
        <is>
          <t>N/A</t>
        </is>
      </c>
    </row>
    <row r="230">
      <c r="A230" s="93" t="n">
        <v>45123</v>
      </c>
      <c r="B230" s="94" t="inlineStr">
        <is>
          <t xml:space="preserve">   BY TRANSFER-UPI/CR/319753948919/GOOGLEPAY/UTIB/goog-payme/UPI--</t>
        </is>
      </c>
      <c r="C230" s="94" t="inlineStr">
        <is>
          <t>TRANSFER FROM 4897738162095</t>
        </is>
      </c>
      <c r="D230" s="93" t="n">
        <v>45123</v>
      </c>
      <c r="E230" s="94" t="n">
        <v>0</v>
      </c>
      <c r="F230" s="94" t="n">
        <v>6</v>
      </c>
      <c r="G230" s="94" t="n">
        <v>114433.56</v>
      </c>
      <c r="H230" s="94" t="inlineStr"/>
      <c r="I230" s="94" t="inlineStr"/>
      <c r="J230" s="94" t="inlineStr">
        <is>
          <t>UPI - Google Pay</t>
        </is>
      </c>
      <c r="K230" s="94" t="inlineStr">
        <is>
          <t>Personal</t>
        </is>
      </c>
      <c r="L230" s="34" t="n">
        <v>0.65</v>
      </c>
      <c r="M230" s="94" t="inlineStr">
        <is>
          <t>N/A</t>
        </is>
      </c>
    </row>
    <row r="231">
      <c r="A231" s="35" t="n">
        <v>45123</v>
      </c>
      <c r="B231" s="36" t="inlineStr">
        <is>
          <t xml:space="preserve">   TO TRANSFER-UPI/DR/319717153589/ANIL KAP/KKBK/paytmqr281/UPI--</t>
        </is>
      </c>
      <c r="C231" s="36" t="inlineStr">
        <is>
          <t>TRANSFER TO 4897696162090</t>
        </is>
      </c>
      <c r="D231" s="35" t="n">
        <v>45123</v>
      </c>
      <c r="E231" s="36" t="n">
        <v>20</v>
      </c>
      <c r="F231" s="36" t="n">
        <v>0</v>
      </c>
      <c r="G231" s="36" t="n">
        <v>114413.56</v>
      </c>
      <c r="H231" s="36" t="inlineStr"/>
      <c r="I231" s="36" t="inlineStr"/>
      <c r="J231" s="36" t="inlineStr">
        <is>
          <t>UPI - Paytm</t>
        </is>
      </c>
      <c r="K231" s="36" t="inlineStr">
        <is>
          <t>Personal</t>
        </is>
      </c>
      <c r="L231" s="34" t="n">
        <v>0.65</v>
      </c>
      <c r="M231" s="36" t="inlineStr">
        <is>
          <t>N/A</t>
        </is>
      </c>
    </row>
    <row r="232">
      <c r="A232" s="37" t="n">
        <v>45124</v>
      </c>
      <c r="B232" s="38" t="inlineStr">
        <is>
          <t xml:space="preserve">   TO TRANSFER-UPI/DR/319836036755/Vendekin/ICIC/vendekin@i/UPI--</t>
        </is>
      </c>
      <c r="C232" s="38" t="inlineStr">
        <is>
          <t>TRANSFER TO 4897690162095</t>
        </is>
      </c>
      <c r="D232" s="37" t="n">
        <v>45124</v>
      </c>
      <c r="E232" s="38" t="n">
        <v>20</v>
      </c>
      <c r="F232" s="38" t="n">
        <v>0</v>
      </c>
      <c r="G232" s="38" t="n">
        <v>114393.56</v>
      </c>
      <c r="H232" s="38" t="inlineStr">
        <is>
          <t>Vendekin</t>
        </is>
      </c>
      <c r="I232" s="38" t="inlineStr"/>
      <c r="J232" s="38" t="inlineStr">
        <is>
          <t>UPI Payment</t>
        </is>
      </c>
      <c r="K232" s="38" t="inlineStr">
        <is>
          <t>Personal</t>
        </is>
      </c>
      <c r="L232" s="25" t="n">
        <v>0.55</v>
      </c>
      <c r="M232" s="38" t="inlineStr">
        <is>
          <t>N/A</t>
        </is>
      </c>
    </row>
    <row r="233">
      <c r="A233" s="37" t="n">
        <v>45124</v>
      </c>
      <c r="B233" s="38" t="inlineStr">
        <is>
          <t xml:space="preserve">   TO TRANSFER-UPI/DR/319848949633/Vendekin/ICIC/vendekin@i/UPI--</t>
        </is>
      </c>
      <c r="C233" s="38" t="inlineStr">
        <is>
          <t>TRANSFER TO 4897690162095</t>
        </is>
      </c>
      <c r="D233" s="37" t="n">
        <v>45124</v>
      </c>
      <c r="E233" s="38" t="n">
        <v>40</v>
      </c>
      <c r="F233" s="38" t="n">
        <v>0</v>
      </c>
      <c r="G233" s="38" t="n">
        <v>114353.56</v>
      </c>
      <c r="H233" s="38" t="inlineStr">
        <is>
          <t>Vendekin</t>
        </is>
      </c>
      <c r="I233" s="38" t="inlineStr"/>
      <c r="J233" s="38" t="inlineStr">
        <is>
          <t>UPI Payment</t>
        </is>
      </c>
      <c r="K233" s="38" t="inlineStr">
        <is>
          <t>Personal</t>
        </is>
      </c>
      <c r="L233" s="25" t="n">
        <v>0.55</v>
      </c>
      <c r="M233" s="38" t="inlineStr">
        <is>
          <t>N/A</t>
        </is>
      </c>
    </row>
    <row r="234">
      <c r="A234" s="37" t="n">
        <v>45124</v>
      </c>
      <c r="B234" s="38" t="inlineStr">
        <is>
          <t xml:space="preserve">   TO TRANSFER-UPI/DR/319854376167/Mr  AADA/YESB/q739730170/UPI--</t>
        </is>
      </c>
      <c r="C234" s="38" t="inlineStr">
        <is>
          <t>TRANSFER TO 4897690162095</t>
        </is>
      </c>
      <c r="D234" s="37" t="n">
        <v>45124</v>
      </c>
      <c r="E234" s="38" t="n">
        <v>20</v>
      </c>
      <c r="F234" s="38" t="n">
        <v>0</v>
      </c>
      <c r="G234" s="38" t="n">
        <v>114333.56</v>
      </c>
      <c r="H234" s="38" t="inlineStr">
        <is>
          <t>Mr  Aada</t>
        </is>
      </c>
      <c r="I234" s="38" t="inlineStr"/>
      <c r="J234" s="38" t="inlineStr">
        <is>
          <t>UPI Payment</t>
        </is>
      </c>
      <c r="K234" s="38" t="inlineStr">
        <is>
          <t>Personal</t>
        </is>
      </c>
      <c r="L234" s="25" t="n">
        <v>0.55</v>
      </c>
      <c r="M234" s="38" t="inlineStr">
        <is>
          <t>N/A</t>
        </is>
      </c>
    </row>
    <row r="235">
      <c r="A235" s="32" t="n">
        <v>45125</v>
      </c>
      <c r="B235" s="33" t="inlineStr">
        <is>
          <t xml:space="preserve">   TO TRANSFER-UPI/DR/319969935288/PAWANDEE/YESB/bharatpe90/Pay t--</t>
        </is>
      </c>
      <c r="C235" s="33" t="inlineStr">
        <is>
          <t>TRANSFER TO 4897691162095</t>
        </is>
      </c>
      <c r="D235" s="32" t="n">
        <v>45125</v>
      </c>
      <c r="E235" s="33" t="n">
        <v>150</v>
      </c>
      <c r="F235" s="33" t="n">
        <v>0</v>
      </c>
      <c r="G235" s="33" t="n">
        <v>114183.56</v>
      </c>
      <c r="H235" s="33" t="inlineStr"/>
      <c r="I235" s="33" t="inlineStr"/>
      <c r="J235" s="33" t="inlineStr">
        <is>
          <t>UPI - BharatPe</t>
        </is>
      </c>
      <c r="K235" s="33" t="inlineStr">
        <is>
          <t>Personal</t>
        </is>
      </c>
      <c r="L235" s="34" t="n">
        <v>0.65</v>
      </c>
      <c r="M235" s="33" t="inlineStr">
        <is>
          <t>N/A</t>
        </is>
      </c>
    </row>
    <row r="236">
      <c r="A236" s="37" t="n">
        <v>45125</v>
      </c>
      <c r="B236" s="38" t="inlineStr">
        <is>
          <t xml:space="preserve">   TO TRANSFER-UPI/DR/319980677219/LOVEPREE/SBIN/manaklovep/UPI--</t>
        </is>
      </c>
      <c r="C236" s="38" t="inlineStr">
        <is>
          <t>TRANSFER TO 4897691162095</t>
        </is>
      </c>
      <c r="D236" s="37" t="n">
        <v>45125</v>
      </c>
      <c r="E236" s="38" t="n">
        <v>165</v>
      </c>
      <c r="F236" s="38" t="n">
        <v>0</v>
      </c>
      <c r="G236" s="38" t="n">
        <v>114018.56</v>
      </c>
      <c r="H236" s="38" t="inlineStr">
        <is>
          <t>Lovepree</t>
        </is>
      </c>
      <c r="I236" s="38" t="inlineStr"/>
      <c r="J236" s="38" t="inlineStr">
        <is>
          <t>UPI Payment</t>
        </is>
      </c>
      <c r="K236" s="38" t="inlineStr">
        <is>
          <t>Personal</t>
        </is>
      </c>
      <c r="L236" s="25" t="n">
        <v>0.55</v>
      </c>
      <c r="M236" s="38" t="inlineStr">
        <is>
          <t>N/A</t>
        </is>
      </c>
    </row>
    <row r="237">
      <c r="A237" s="101" t="n">
        <v>45125</v>
      </c>
      <c r="B237" s="102" t="inlineStr">
        <is>
          <t xml:space="preserve">   BY TRANSFER-UPI/CR/356534588023/SHIVANSH/PUNB/6355284382/NA--</t>
        </is>
      </c>
      <c r="C237" s="102" t="inlineStr">
        <is>
          <t>TRANSFER FROM 4897733162090</t>
        </is>
      </c>
      <c r="D237" s="101" t="n">
        <v>45125</v>
      </c>
      <c r="E237" s="102" t="n">
        <v>0</v>
      </c>
      <c r="F237" s="102" t="n">
        <v>80</v>
      </c>
      <c r="G237" s="102" t="n">
        <v>114098.56</v>
      </c>
      <c r="H237" s="102" t="inlineStr"/>
      <c r="I237" s="102" t="inlineStr"/>
      <c r="J237" s="102" t="inlineStr">
        <is>
          <t>Received - Shivansh</t>
        </is>
      </c>
      <c r="K237" s="102" t="inlineStr">
        <is>
          <t>Personal</t>
        </is>
      </c>
      <c r="L237" s="25" t="n">
        <v>0.55</v>
      </c>
      <c r="M237" s="102" t="inlineStr">
        <is>
          <t>N/A</t>
        </is>
      </c>
    </row>
    <row r="238">
      <c r="A238" s="35" t="n">
        <v>45125</v>
      </c>
      <c r="B238" s="36" t="inlineStr">
        <is>
          <t xml:space="preserve">   TO TRANSFER-UPI/DR/356537115037/SEVEN SP/PYTM/paytmqr281/UPI--</t>
        </is>
      </c>
      <c r="C238" s="36" t="inlineStr">
        <is>
          <t>TRANSFER TO 4897691162095</t>
        </is>
      </c>
      <c r="D238" s="35" t="n">
        <v>45125</v>
      </c>
      <c r="E238" s="36" t="n">
        <v>150</v>
      </c>
      <c r="F238" s="36" t="n">
        <v>0</v>
      </c>
      <c r="G238" s="36" t="n">
        <v>113948.56</v>
      </c>
      <c r="H238" s="36" t="inlineStr"/>
      <c r="I238" s="36" t="inlineStr"/>
      <c r="J238" s="36" t="inlineStr">
        <is>
          <t>UPI - Paytm</t>
        </is>
      </c>
      <c r="K238" s="36" t="inlineStr">
        <is>
          <t>Personal</t>
        </is>
      </c>
      <c r="L238" s="34" t="n">
        <v>0.65</v>
      </c>
      <c r="M238" s="36" t="inlineStr">
        <is>
          <t>N/A</t>
        </is>
      </c>
    </row>
    <row r="239">
      <c r="A239" s="37" t="n">
        <v>45125</v>
      </c>
      <c r="B239" s="38" t="inlineStr">
        <is>
          <t xml:space="preserve">   TO TRANSFER-UPI/DR/319982121482/Vendekin/ICIC/vendekin@i/UPI--</t>
        </is>
      </c>
      <c r="C239" s="38" t="inlineStr">
        <is>
          <t>TRANSFER TO 4897691162095</t>
        </is>
      </c>
      <c r="D239" s="37" t="n">
        <v>45125</v>
      </c>
      <c r="E239" s="38" t="n">
        <v>60</v>
      </c>
      <c r="F239" s="38" t="n">
        <v>0</v>
      </c>
      <c r="G239" s="38" t="n">
        <v>113888.56</v>
      </c>
      <c r="H239" s="38" t="inlineStr">
        <is>
          <t>Vendekin</t>
        </is>
      </c>
      <c r="I239" s="38" t="inlineStr"/>
      <c r="J239" s="38" t="inlineStr">
        <is>
          <t>UPI Payment</t>
        </is>
      </c>
      <c r="K239" s="38" t="inlineStr">
        <is>
          <t>Personal</t>
        </is>
      </c>
      <c r="L239" s="25" t="n">
        <v>0.55</v>
      </c>
      <c r="M239" s="38" t="inlineStr">
        <is>
          <t>N/A</t>
        </is>
      </c>
    </row>
    <row r="240">
      <c r="A240" s="101" t="n">
        <v>45125</v>
      </c>
      <c r="B240" s="102" t="inlineStr">
        <is>
          <t xml:space="preserve">   BY TRANSFER-UPI/CR/319948400384/SHASHANK/HDFC/9880498899/Sent--</t>
        </is>
      </c>
      <c r="C240" s="102" t="inlineStr">
        <is>
          <t>TRANSFER FROM 4897733162090</t>
        </is>
      </c>
      <c r="D240" s="101" t="n">
        <v>45125</v>
      </c>
      <c r="E240" s="102" t="n">
        <v>0</v>
      </c>
      <c r="F240" s="102" t="n">
        <v>20</v>
      </c>
      <c r="G240" s="102" t="n">
        <v>113908.56</v>
      </c>
      <c r="H240" s="102" t="inlineStr"/>
      <c r="I240" s="102" t="inlineStr"/>
      <c r="J240" s="102" t="inlineStr">
        <is>
          <t>Received - Shashank</t>
        </is>
      </c>
      <c r="K240" s="102" t="inlineStr">
        <is>
          <t>Personal</t>
        </is>
      </c>
      <c r="L240" s="25" t="n">
        <v>0.55</v>
      </c>
      <c r="M240" s="102" t="inlineStr">
        <is>
          <t>N/A</t>
        </is>
      </c>
    </row>
    <row r="241">
      <c r="A241" s="37" t="n">
        <v>45126</v>
      </c>
      <c r="B241" s="38" t="inlineStr">
        <is>
          <t xml:space="preserve">   TO TRANSFER-UPI/DR/320019966857/Mr  AADA/YESB/q739730170/UPI--</t>
        </is>
      </c>
      <c r="C241" s="38" t="inlineStr">
        <is>
          <t>TRANSFER TO 4897692162094</t>
        </is>
      </c>
      <c r="D241" s="37" t="n">
        <v>45126</v>
      </c>
      <c r="E241" s="38" t="n">
        <v>40</v>
      </c>
      <c r="F241" s="38" t="n">
        <v>0</v>
      </c>
      <c r="G241" s="38" t="n">
        <v>113868.56</v>
      </c>
      <c r="H241" s="38" t="inlineStr">
        <is>
          <t>Mr  Aada</t>
        </is>
      </c>
      <c r="I241" s="38" t="inlineStr"/>
      <c r="J241" s="38" t="inlineStr">
        <is>
          <t>UPI Payment</t>
        </is>
      </c>
      <c r="K241" s="38" t="inlineStr">
        <is>
          <t>Personal</t>
        </is>
      </c>
      <c r="L241" s="25" t="n">
        <v>0.55</v>
      </c>
      <c r="M241" s="38" t="inlineStr">
        <is>
          <t>N/A</t>
        </is>
      </c>
    </row>
    <row r="242">
      <c r="A242" s="23" t="n">
        <v>45126</v>
      </c>
      <c r="B242" s="24" t="inlineStr">
        <is>
          <t xml:space="preserve">   by debit card-OTHPG 628167      IND*LinkedIn          MUMBAI--</t>
        </is>
      </c>
      <c r="C242" s="24" t="n">
        <v/>
      </c>
      <c r="D242" s="23" t="n">
        <v>45126</v>
      </c>
      <c r="E242" s="24" t="n">
        <v>2</v>
      </c>
      <c r="F242" s="24" t="n">
        <v>0</v>
      </c>
      <c r="G242" s="24" t="n">
        <v>113866.56</v>
      </c>
      <c r="H242" s="24" t="inlineStr"/>
      <c r="I242" s="24" t="inlineStr"/>
      <c r="J242" s="24" t="inlineStr">
        <is>
          <t>What is this?</t>
        </is>
      </c>
      <c r="K242" s="24" t="inlineStr">
        <is>
          <t>Suspense</t>
        </is>
      </c>
      <c r="L242" s="25" t="n">
        <v>0</v>
      </c>
      <c r="M242" s="24" t="inlineStr">
        <is>
          <t>N/A</t>
        </is>
      </c>
    </row>
    <row r="243">
      <c r="A243" s="37" t="n">
        <v>45126</v>
      </c>
      <c r="B243" s="38" t="inlineStr">
        <is>
          <t xml:space="preserve">   TO TRANSFER-UPI/DR/320025869820/Vendekin/ICIC/vendekin@i/UPI--</t>
        </is>
      </c>
      <c r="C243" s="38" t="inlineStr">
        <is>
          <t>TRANSFER TO 4897693162093</t>
        </is>
      </c>
      <c r="D243" s="37" t="n">
        <v>45126</v>
      </c>
      <c r="E243" s="38" t="n">
        <v>60</v>
      </c>
      <c r="F243" s="38" t="n">
        <v>0</v>
      </c>
      <c r="G243" s="38" t="n">
        <v>113806.56</v>
      </c>
      <c r="H243" s="38" t="inlineStr">
        <is>
          <t>Vendekin</t>
        </is>
      </c>
      <c r="I243" s="38" t="inlineStr"/>
      <c r="J243" s="38" t="inlineStr">
        <is>
          <t>UPI Payment</t>
        </is>
      </c>
      <c r="K243" s="38" t="inlineStr">
        <is>
          <t>Personal</t>
        </is>
      </c>
      <c r="L243" s="25" t="n">
        <v>0.55</v>
      </c>
      <c r="M243" s="38" t="inlineStr">
        <is>
          <t>N/A</t>
        </is>
      </c>
    </row>
    <row r="244">
      <c r="A244" s="101" t="n">
        <v>45126</v>
      </c>
      <c r="B244" s="102" t="inlineStr">
        <is>
          <t xml:space="preserve">   BY TRANSFER-UPI/CR/320072526336/Vendekin/ICIC/vendekin@i/vende--</t>
        </is>
      </c>
      <c r="C244" s="102" t="inlineStr">
        <is>
          <t>TRANSFER FROM 4897735162098</t>
        </is>
      </c>
      <c r="D244" s="101" t="n">
        <v>45126</v>
      </c>
      <c r="E244" s="102" t="n">
        <v>0</v>
      </c>
      <c r="F244" s="102" t="n">
        <v>20</v>
      </c>
      <c r="G244" s="102" t="n">
        <v>113826.56</v>
      </c>
      <c r="H244" s="102" t="inlineStr"/>
      <c r="I244" s="102" t="inlineStr"/>
      <c r="J244" s="102" t="inlineStr">
        <is>
          <t>Received - Vendekin</t>
        </is>
      </c>
      <c r="K244" s="102" t="inlineStr">
        <is>
          <t>Personal</t>
        </is>
      </c>
      <c r="L244" s="25" t="n">
        <v>0.55</v>
      </c>
      <c r="M244" s="102" t="inlineStr">
        <is>
          <t>N/A</t>
        </is>
      </c>
    </row>
    <row r="245">
      <c r="A245" s="37" t="n">
        <v>45126</v>
      </c>
      <c r="B245" s="38" t="inlineStr">
        <is>
          <t xml:space="preserve">   TO TRANSFER-UPI/DR/320026045534/Leaf Stu/YESB/leafstudio/UPI--</t>
        </is>
      </c>
      <c r="C245" s="38" t="inlineStr">
        <is>
          <t>TRANSFER TO 4897693162093</t>
        </is>
      </c>
      <c r="D245" s="37" t="n">
        <v>45126</v>
      </c>
      <c r="E245" s="38" t="n">
        <v>50</v>
      </c>
      <c r="F245" s="38" t="n">
        <v>0</v>
      </c>
      <c r="G245" s="38" t="n">
        <v>113776.56</v>
      </c>
      <c r="H245" s="38" t="inlineStr">
        <is>
          <t>Leaf Stu</t>
        </is>
      </c>
      <c r="I245" s="38" t="inlineStr"/>
      <c r="J245" s="38" t="inlineStr">
        <is>
          <t>UPI Payment</t>
        </is>
      </c>
      <c r="K245" s="38" t="inlineStr">
        <is>
          <t>Personal</t>
        </is>
      </c>
      <c r="L245" s="25" t="n">
        <v>0.55</v>
      </c>
      <c r="M245" s="38" t="inlineStr">
        <is>
          <t>N/A</t>
        </is>
      </c>
    </row>
    <row r="246">
      <c r="A246" s="35" t="n">
        <v>45127</v>
      </c>
      <c r="B246" s="36" t="inlineStr">
        <is>
          <t xml:space="preserve">   TO TRANSFER-UPI/DR/320138502002/SEVEN SP/PYTM/paytmqr281/UPI--</t>
        </is>
      </c>
      <c r="C246" s="36" t="inlineStr">
        <is>
          <t>TRANSFER TO 4897693162093</t>
        </is>
      </c>
      <c r="D246" s="35" t="n">
        <v>45127</v>
      </c>
      <c r="E246" s="36" t="n">
        <v>50</v>
      </c>
      <c r="F246" s="36" t="n">
        <v>0</v>
      </c>
      <c r="G246" s="36" t="n">
        <v>113726.56</v>
      </c>
      <c r="H246" s="36" t="inlineStr"/>
      <c r="I246" s="36" t="inlineStr"/>
      <c r="J246" s="36" t="inlineStr">
        <is>
          <t>UPI - Paytm</t>
        </is>
      </c>
      <c r="K246" s="36" t="inlineStr">
        <is>
          <t>Personal</t>
        </is>
      </c>
      <c r="L246" s="34" t="n">
        <v>0.65</v>
      </c>
      <c r="M246" s="36" t="inlineStr">
        <is>
          <t>N/A</t>
        </is>
      </c>
    </row>
    <row r="247">
      <c r="A247" s="37" t="n">
        <v>45127</v>
      </c>
      <c r="B247" s="38" t="inlineStr">
        <is>
          <t xml:space="preserve">   TO TRANSFER-UPI/DR/320138812953/Vendekin/ICIC/vendekin@i/UPI--</t>
        </is>
      </c>
      <c r="C247" s="38" t="inlineStr">
        <is>
          <t>TRANSFER TO 4897693162093</t>
        </is>
      </c>
      <c r="D247" s="37" t="n">
        <v>45127</v>
      </c>
      <c r="E247" s="38" t="n">
        <v>70</v>
      </c>
      <c r="F247" s="38" t="n">
        <v>0</v>
      </c>
      <c r="G247" s="38" t="n">
        <v>113656.56</v>
      </c>
      <c r="H247" s="38" t="inlineStr">
        <is>
          <t>Vendekin</t>
        </is>
      </c>
      <c r="I247" s="38" t="inlineStr"/>
      <c r="J247" s="38" t="inlineStr">
        <is>
          <t>UPI Payment</t>
        </is>
      </c>
      <c r="K247" s="38" t="inlineStr">
        <is>
          <t>Personal</t>
        </is>
      </c>
      <c r="L247" s="25" t="n">
        <v>0.55</v>
      </c>
      <c r="M247" s="38" t="inlineStr">
        <is>
          <t>N/A</t>
        </is>
      </c>
    </row>
    <row r="248">
      <c r="A248" s="101" t="n">
        <v>45127</v>
      </c>
      <c r="B248" s="102" t="inlineStr">
        <is>
          <t xml:space="preserve">   BY TRANSFER-UPI/CR/320173925946/Vendekin/ICIC/vendekin@i/vende--</t>
        </is>
      </c>
      <c r="C248" s="102" t="inlineStr">
        <is>
          <t>TRANSFER FROM 4897735162098</t>
        </is>
      </c>
      <c r="D248" s="101" t="n">
        <v>45127</v>
      </c>
      <c r="E248" s="102" t="n">
        <v>0</v>
      </c>
      <c r="F248" s="102" t="n">
        <v>20</v>
      </c>
      <c r="G248" s="102" t="n">
        <v>113676.56</v>
      </c>
      <c r="H248" s="102" t="inlineStr"/>
      <c r="I248" s="102" t="inlineStr"/>
      <c r="J248" s="102" t="inlineStr">
        <is>
          <t>Received - Vendekin</t>
        </is>
      </c>
      <c r="K248" s="102" t="inlineStr">
        <is>
          <t>Personal</t>
        </is>
      </c>
      <c r="L248" s="25" t="n">
        <v>0.55</v>
      </c>
      <c r="M248" s="102" t="inlineStr">
        <is>
          <t>N/A</t>
        </is>
      </c>
    </row>
    <row r="249">
      <c r="A249" s="101" t="n">
        <v>45127</v>
      </c>
      <c r="B249" s="102" t="inlineStr">
        <is>
          <t xml:space="preserve">   BY TRANSFER-UPI/CR/356792387965/NITISH K/SBIN/7978999722/Payme--</t>
        </is>
      </c>
      <c r="C249" s="102" t="inlineStr">
        <is>
          <t>TRANSFER FROM 4897735162098</t>
        </is>
      </c>
      <c r="D249" s="101" t="n">
        <v>45127</v>
      </c>
      <c r="E249" s="102" t="n">
        <v>0</v>
      </c>
      <c r="F249" s="102" t="n">
        <v>80</v>
      </c>
      <c r="G249" s="102" t="n">
        <v>113756.56</v>
      </c>
      <c r="H249" s="102" t="inlineStr"/>
      <c r="I249" s="102" t="inlineStr"/>
      <c r="J249" s="102" t="inlineStr">
        <is>
          <t>Received - Nitish K</t>
        </is>
      </c>
      <c r="K249" s="102" t="inlineStr">
        <is>
          <t>Personal</t>
        </is>
      </c>
      <c r="L249" s="25" t="n">
        <v>0.55</v>
      </c>
      <c r="M249" s="102" t="inlineStr">
        <is>
          <t>N/A</t>
        </is>
      </c>
    </row>
    <row r="250">
      <c r="A250" s="37" t="n">
        <v>45128</v>
      </c>
      <c r="B250" s="38" t="inlineStr">
        <is>
          <t xml:space="preserve">   TO TRANSFER-UPI/DR/320293174995/RAJESH K/BARB/pandeyraje/UPI--</t>
        </is>
      </c>
      <c r="C250" s="38" t="inlineStr">
        <is>
          <t>TRANSFER TO 4897694162092</t>
        </is>
      </c>
      <c r="D250" s="37" t="n">
        <v>45128</v>
      </c>
      <c r="E250" s="38" t="n">
        <v>280</v>
      </c>
      <c r="F250" s="38" t="n">
        <v>0</v>
      </c>
      <c r="G250" s="38" t="n">
        <v>113476.56</v>
      </c>
      <c r="H250" s="38" t="inlineStr">
        <is>
          <t>Rajesh K</t>
        </is>
      </c>
      <c r="I250" s="38" t="inlineStr"/>
      <c r="J250" s="38" t="inlineStr">
        <is>
          <t>UPI Payment</t>
        </is>
      </c>
      <c r="K250" s="38" t="inlineStr">
        <is>
          <t>Personal</t>
        </is>
      </c>
      <c r="L250" s="25" t="n">
        <v>0.55</v>
      </c>
      <c r="M250" s="38" t="inlineStr">
        <is>
          <t>N/A</t>
        </is>
      </c>
    </row>
    <row r="251">
      <c r="A251" s="37" t="n">
        <v>45129</v>
      </c>
      <c r="B251" s="38" t="inlineStr">
        <is>
          <t xml:space="preserve">   TO TRANSFER-UPI/DR/320319987083/UDEMY/HDFC/billdeskpg/Pay--</t>
        </is>
      </c>
      <c r="C251" s="38" t="inlineStr">
        <is>
          <t>TRANSFER TO 4897695162091</t>
        </is>
      </c>
      <c r="D251" s="37" t="n">
        <v>45129</v>
      </c>
      <c r="E251" s="38" t="n">
        <v>449</v>
      </c>
      <c r="F251" s="38" t="n">
        <v>0</v>
      </c>
      <c r="G251" s="38" t="n">
        <v>113027.56</v>
      </c>
      <c r="H251" s="38" t="inlineStr">
        <is>
          <t>Udemy</t>
        </is>
      </c>
      <c r="I251" s="38" t="inlineStr"/>
      <c r="J251" s="38" t="inlineStr">
        <is>
          <t>UPI Payment</t>
        </is>
      </c>
      <c r="K251" s="38" t="inlineStr">
        <is>
          <t>Personal</t>
        </is>
      </c>
      <c r="L251" s="25" t="n">
        <v>0.55</v>
      </c>
      <c r="M251" s="38" t="inlineStr">
        <is>
          <t>N/A</t>
        </is>
      </c>
    </row>
    <row r="252">
      <c r="A252" s="37" t="n">
        <v>45129</v>
      </c>
      <c r="B252" s="38" t="inlineStr">
        <is>
          <t xml:space="preserve">   TO TRANSFER-UPI/DR/320325771366/NANDINI /YESB/q428890108/UPI--</t>
        </is>
      </c>
      <c r="C252" s="38" t="inlineStr">
        <is>
          <t>TRANSFER TO 4897695162091</t>
        </is>
      </c>
      <c r="D252" s="37" t="n">
        <v>45129</v>
      </c>
      <c r="E252" s="38" t="n">
        <v>1344</v>
      </c>
      <c r="F252" s="38" t="n">
        <v>0</v>
      </c>
      <c r="G252" s="38" t="n">
        <v>111683.56</v>
      </c>
      <c r="H252" s="38" t="inlineStr">
        <is>
          <t>Nandini</t>
        </is>
      </c>
      <c r="I252" s="38" t="inlineStr"/>
      <c r="J252" s="38" t="inlineStr">
        <is>
          <t>UPI Payment</t>
        </is>
      </c>
      <c r="K252" s="38" t="inlineStr">
        <is>
          <t>Personal</t>
        </is>
      </c>
      <c r="L252" s="25" t="n">
        <v>0.55</v>
      </c>
      <c r="M252" s="38" t="inlineStr">
        <is>
          <t>N/A</t>
        </is>
      </c>
    </row>
    <row r="253">
      <c r="A253" s="37" t="n">
        <v>45129</v>
      </c>
      <c r="B253" s="38" t="inlineStr">
        <is>
          <t xml:space="preserve">   TO TRANSFER-UPI/DR/320326887365/ANKUR   ./KKBK/ankurbajaj/UPI--</t>
        </is>
      </c>
      <c r="C253" s="38" t="inlineStr">
        <is>
          <t>TRANSFER TO 4897695162091</t>
        </is>
      </c>
      <c r="D253" s="37" t="n">
        <v>45129</v>
      </c>
      <c r="E253" s="38" t="n">
        <v>127</v>
      </c>
      <c r="F253" s="38" t="n">
        <v>0</v>
      </c>
      <c r="G253" s="38" t="n">
        <v>111556.56</v>
      </c>
      <c r="H253" s="38" t="inlineStr">
        <is>
          <t>Ankur   .</t>
        </is>
      </c>
      <c r="I253" s="38" t="inlineStr"/>
      <c r="J253" s="38" t="inlineStr">
        <is>
          <t>UPI Payment</t>
        </is>
      </c>
      <c r="K253" s="38" t="inlineStr">
        <is>
          <t>Personal</t>
        </is>
      </c>
      <c r="L253" s="25" t="n">
        <v>0.55</v>
      </c>
      <c r="M253" s="38" t="inlineStr">
        <is>
          <t>N/A</t>
        </is>
      </c>
    </row>
    <row r="254">
      <c r="A254" s="101" t="n">
        <v>45129</v>
      </c>
      <c r="B254" s="102" t="inlineStr">
        <is>
          <t xml:space="preserve">   BY TRANSFER-UPI/CR/356940477067/SHASHANK/HDFC/9880498899/Sent--</t>
        </is>
      </c>
      <c r="C254" s="102" t="inlineStr">
        <is>
          <t>TRANSFER FROM 4897737162096</t>
        </is>
      </c>
      <c r="D254" s="101" t="n">
        <v>45129</v>
      </c>
      <c r="E254" s="102" t="n">
        <v>0</v>
      </c>
      <c r="F254" s="102" t="n">
        <v>450</v>
      </c>
      <c r="G254" s="102" t="n">
        <v>112006.56</v>
      </c>
      <c r="H254" s="102" t="inlineStr"/>
      <c r="I254" s="102" t="inlineStr"/>
      <c r="J254" s="102" t="inlineStr">
        <is>
          <t>Received - Shashank</t>
        </is>
      </c>
      <c r="K254" s="102" t="inlineStr">
        <is>
          <t>Personal</t>
        </is>
      </c>
      <c r="L254" s="25" t="n">
        <v>0.55</v>
      </c>
      <c r="M254" s="102" t="inlineStr">
        <is>
          <t>N/A</t>
        </is>
      </c>
    </row>
    <row r="255">
      <c r="A255" s="101" t="n">
        <v>45129</v>
      </c>
      <c r="B255" s="102" t="inlineStr">
        <is>
          <t xml:space="preserve">   BY TRANSFER-UPI/CR/356940631219/VYSAKH R K/UTIB/9447970836/NA--</t>
        </is>
      </c>
      <c r="C255" s="102" t="inlineStr">
        <is>
          <t>TRANSFER FROM 4897737162096</t>
        </is>
      </c>
      <c r="D255" s="101" t="n">
        <v>45129</v>
      </c>
      <c r="E255" s="102" t="n">
        <v>0</v>
      </c>
      <c r="F255" s="102" t="n">
        <v>500</v>
      </c>
      <c r="G255" s="102" t="n">
        <v>112506.56</v>
      </c>
      <c r="H255" s="102" t="inlineStr"/>
      <c r="I255" s="102" t="inlineStr"/>
      <c r="J255" s="102" t="inlineStr">
        <is>
          <t>Received - Vysakh R K</t>
        </is>
      </c>
      <c r="K255" s="102" t="inlineStr">
        <is>
          <t>Personal</t>
        </is>
      </c>
      <c r="L255" s="25" t="n">
        <v>0.55</v>
      </c>
      <c r="M255" s="102" t="inlineStr">
        <is>
          <t>N/A</t>
        </is>
      </c>
    </row>
    <row r="256">
      <c r="A256" s="87" t="n">
        <v>45130</v>
      </c>
      <c r="B256" s="88" t="inlineStr">
        <is>
          <t xml:space="preserve">   TO TRANSFER-UPI/DR/320471883328/AAYUSH K/FDRL/9594435259/ADDMO--</t>
        </is>
      </c>
      <c r="C256" s="88" t="inlineStr">
        <is>
          <t>TRANSFER TO 4897696162090</t>
        </is>
      </c>
      <c r="D256" s="87" t="n">
        <v>45130</v>
      </c>
      <c r="E256" s="88" t="n">
        <v>199</v>
      </c>
      <c r="F256" s="88" t="n">
        <v>0</v>
      </c>
      <c r="G256" s="88" t="n">
        <v>112307.56</v>
      </c>
      <c r="H256" s="88" t="inlineStr"/>
      <c r="I256" s="88" t="inlineStr"/>
      <c r="J256" s="88" t="inlineStr">
        <is>
          <t>Contra - Jupiter</t>
        </is>
      </c>
      <c r="K256" s="88" t="inlineStr">
        <is>
          <t>FEDERAL 0847</t>
        </is>
      </c>
      <c r="L256" s="18" t="n">
        <v>0.9</v>
      </c>
      <c r="M256" s="88" t="inlineStr">
        <is>
          <t>N/A</t>
        </is>
      </c>
    </row>
    <row r="257">
      <c r="A257" s="37" t="n">
        <v>45130</v>
      </c>
      <c r="B257" s="38" t="inlineStr">
        <is>
          <t xml:space="preserve">   TO TRANSFER-UPI/DR/320429894945/EURONETG/ICIC/euronetgpa/UPI--</t>
        </is>
      </c>
      <c r="C257" s="38" t="inlineStr">
        <is>
          <t>TRANSFER TO 4897696162090</t>
        </is>
      </c>
      <c r="D257" s="37" t="n">
        <v>45130</v>
      </c>
      <c r="E257" s="38" t="n">
        <v>199</v>
      </c>
      <c r="F257" s="38" t="n">
        <v>0</v>
      </c>
      <c r="G257" s="38" t="n">
        <v>112108.56</v>
      </c>
      <c r="H257" s="38" t="inlineStr">
        <is>
          <t>Euronetg</t>
        </is>
      </c>
      <c r="I257" s="38" t="inlineStr"/>
      <c r="J257" s="38" t="inlineStr">
        <is>
          <t>UPI Payment</t>
        </is>
      </c>
      <c r="K257" s="38" t="inlineStr">
        <is>
          <t>Personal</t>
        </is>
      </c>
      <c r="L257" s="25" t="n">
        <v>0.55</v>
      </c>
      <c r="M257" s="38" t="inlineStr">
        <is>
          <t>N/A</t>
        </is>
      </c>
    </row>
    <row r="258">
      <c r="A258" s="37" t="n">
        <v>45130</v>
      </c>
      <c r="B258" s="38" t="inlineStr">
        <is>
          <t xml:space="preserve">   TO TRANSFER-UPI/DR/320435208368/UDEMY/HDFC/billdeskpg/Pay--</t>
        </is>
      </c>
      <c r="C258" s="38" t="inlineStr">
        <is>
          <t>TRANSFER TO 4897696162090</t>
        </is>
      </c>
      <c r="D258" s="37" t="n">
        <v>45130</v>
      </c>
      <c r="E258" s="38" t="n">
        <v>1347</v>
      </c>
      <c r="F258" s="38" t="n">
        <v>0</v>
      </c>
      <c r="G258" s="38" t="n">
        <v>110761.56</v>
      </c>
      <c r="H258" s="38" t="inlineStr">
        <is>
          <t>Udemy</t>
        </is>
      </c>
      <c r="I258" s="38" t="inlineStr"/>
      <c r="J258" s="38" t="inlineStr">
        <is>
          <t>UPI Payment</t>
        </is>
      </c>
      <c r="K258" s="38" t="inlineStr">
        <is>
          <t>Personal</t>
        </is>
      </c>
      <c r="L258" s="25" t="n">
        <v>0.55</v>
      </c>
      <c r="M258" s="38" t="inlineStr">
        <is>
          <t>N/A</t>
        </is>
      </c>
    </row>
    <row r="259">
      <c r="A259" s="37" t="n">
        <v>45130</v>
      </c>
      <c r="B259" s="38" t="inlineStr">
        <is>
          <t xml:space="preserve">   TO TRANSFER-UPI/DR/320444540066/Mr  AADA/YESB/q739730170/UPI--</t>
        </is>
      </c>
      <c r="C259" s="38" t="inlineStr">
        <is>
          <t>TRANSFER TO 4897696162090</t>
        </is>
      </c>
      <c r="D259" s="37" t="n">
        <v>45130</v>
      </c>
      <c r="E259" s="38" t="n">
        <v>40</v>
      </c>
      <c r="F259" s="38" t="n">
        <v>0</v>
      </c>
      <c r="G259" s="38" t="n">
        <v>110721.56</v>
      </c>
      <c r="H259" s="38" t="inlineStr">
        <is>
          <t>Mr  Aada</t>
        </is>
      </c>
      <c r="I259" s="38" t="inlineStr"/>
      <c r="J259" s="38" t="inlineStr">
        <is>
          <t>UPI Payment</t>
        </is>
      </c>
      <c r="K259" s="38" t="inlineStr">
        <is>
          <t>Personal</t>
        </is>
      </c>
      <c r="L259" s="25" t="n">
        <v>0.55</v>
      </c>
      <c r="M259" s="38" t="inlineStr">
        <is>
          <t>N/A</t>
        </is>
      </c>
    </row>
    <row r="260">
      <c r="A260" s="37" t="n">
        <v>45130</v>
      </c>
      <c r="B260" s="38" t="inlineStr">
        <is>
          <t xml:space="preserve">   TO TRANSFER-UPI/DR/320451849429/Shashank/HDFC/9880498899/UPI--</t>
        </is>
      </c>
      <c r="C260" s="38" t="inlineStr">
        <is>
          <t>TRANSFER TO 4897696162090</t>
        </is>
      </c>
      <c r="D260" s="37" t="n">
        <v>45130</v>
      </c>
      <c r="E260" s="38" t="n">
        <v>265</v>
      </c>
      <c r="F260" s="38" t="n">
        <v>0</v>
      </c>
      <c r="G260" s="38" t="n">
        <v>110456.56</v>
      </c>
      <c r="H260" s="38" t="inlineStr">
        <is>
          <t>Shashank</t>
        </is>
      </c>
      <c r="I260" s="38" t="inlineStr"/>
      <c r="J260" s="38" t="inlineStr">
        <is>
          <t>UPI Payment</t>
        </is>
      </c>
      <c r="K260" s="38" t="inlineStr">
        <is>
          <t>Personal</t>
        </is>
      </c>
      <c r="L260" s="25" t="n">
        <v>0.55</v>
      </c>
      <c r="M260" s="38" t="inlineStr">
        <is>
          <t>N/A</t>
        </is>
      </c>
    </row>
    <row r="261">
      <c r="A261" s="37" t="n">
        <v>45130</v>
      </c>
      <c r="B261" s="38" t="inlineStr">
        <is>
          <t xml:space="preserve">   TO TRANSFER-UPI/DR/320452786327/K PRAMOD/HDFC/kpramodkri/UPI--</t>
        </is>
      </c>
      <c r="C261" s="38" t="inlineStr">
        <is>
          <t>TRANSFER TO 4897696162090</t>
        </is>
      </c>
      <c r="D261" s="37" t="n">
        <v>45130</v>
      </c>
      <c r="E261" s="38" t="n">
        <v>2000</v>
      </c>
      <c r="F261" s="38" t="n">
        <v>0</v>
      </c>
      <c r="G261" s="38" t="n">
        <v>108456.56</v>
      </c>
      <c r="H261" s="38" t="inlineStr">
        <is>
          <t>K Pramod</t>
        </is>
      </c>
      <c r="I261" s="38" t="inlineStr"/>
      <c r="J261" s="38" t="inlineStr">
        <is>
          <t>UPI Payment</t>
        </is>
      </c>
      <c r="K261" s="38" t="inlineStr">
        <is>
          <t>Personal</t>
        </is>
      </c>
      <c r="L261" s="25" t="n">
        <v>0.55</v>
      </c>
      <c r="M261" s="38" t="inlineStr">
        <is>
          <t>N/A</t>
        </is>
      </c>
    </row>
    <row r="262">
      <c r="A262" s="35" t="n">
        <v>45130</v>
      </c>
      <c r="B262" s="36" t="inlineStr">
        <is>
          <t xml:space="preserve">   TO TRANSFER-UPI/DR/320453633505/SEVEN SP/PYTM/paytmqr281/UPI--</t>
        </is>
      </c>
      <c r="C262" s="36" t="inlineStr">
        <is>
          <t>TRANSFER TO 4897696162090</t>
        </is>
      </c>
      <c r="D262" s="35" t="n">
        <v>45130</v>
      </c>
      <c r="E262" s="36" t="n">
        <v>60</v>
      </c>
      <c r="F262" s="36" t="n">
        <v>0</v>
      </c>
      <c r="G262" s="36" t="n">
        <v>108396.56</v>
      </c>
      <c r="H262" s="36" t="inlineStr"/>
      <c r="I262" s="36" t="inlineStr"/>
      <c r="J262" s="36" t="inlineStr">
        <is>
          <t>UPI - Paytm</t>
        </is>
      </c>
      <c r="K262" s="36" t="inlineStr">
        <is>
          <t>Personal</t>
        </is>
      </c>
      <c r="L262" s="34" t="n">
        <v>0.65</v>
      </c>
      <c r="M262" s="36" t="inlineStr">
        <is>
          <t>N/A</t>
        </is>
      </c>
    </row>
    <row r="263">
      <c r="A263" s="37" t="n">
        <v>45131</v>
      </c>
      <c r="B263" s="38" t="inlineStr">
        <is>
          <t xml:space="preserve">   TO TRANSFER-UPI/DR/320595876900/SAJAN  ./SBIN/sajankalya/UPI--</t>
        </is>
      </c>
      <c r="C263" s="38" t="inlineStr">
        <is>
          <t>TRANSFER TO 4897690162095</t>
        </is>
      </c>
      <c r="D263" s="37" t="n">
        <v>45131</v>
      </c>
      <c r="E263" s="38" t="n">
        <v>160</v>
      </c>
      <c r="F263" s="38" t="n">
        <v>0</v>
      </c>
      <c r="G263" s="38" t="n">
        <v>108236.56</v>
      </c>
      <c r="H263" s="38" t="inlineStr">
        <is>
          <t>Sajan  .</t>
        </is>
      </c>
      <c r="I263" s="38" t="inlineStr"/>
      <c r="J263" s="38" t="inlineStr">
        <is>
          <t>UPI Payment</t>
        </is>
      </c>
      <c r="K263" s="38" t="inlineStr">
        <is>
          <t>Personal</t>
        </is>
      </c>
      <c r="L263" s="25" t="n">
        <v>0.55</v>
      </c>
      <c r="M263" s="38" t="inlineStr">
        <is>
          <t>N/A</t>
        </is>
      </c>
    </row>
    <row r="264">
      <c r="A264" s="35" t="n">
        <v>45131</v>
      </c>
      <c r="B264" s="36" t="inlineStr">
        <is>
          <t xml:space="preserve">   TO TRANSFER-UPI/DR/320596919366/OTTIMO C/PYTM/paytmqr1ez/UPI--</t>
        </is>
      </c>
      <c r="C264" s="36" t="inlineStr">
        <is>
          <t>TRANSFER TO 4897690162095</t>
        </is>
      </c>
      <c r="D264" s="35" t="n">
        <v>45131</v>
      </c>
      <c r="E264" s="36" t="n">
        <v>261</v>
      </c>
      <c r="F264" s="36" t="n">
        <v>0</v>
      </c>
      <c r="G264" s="36" t="n">
        <v>107975.56</v>
      </c>
      <c r="H264" s="36" t="inlineStr"/>
      <c r="I264" s="36" t="inlineStr"/>
      <c r="J264" s="36" t="inlineStr">
        <is>
          <t>UPI - Paytm</t>
        </is>
      </c>
      <c r="K264" s="36" t="inlineStr">
        <is>
          <t>Personal</t>
        </is>
      </c>
      <c r="L264" s="34" t="n">
        <v>0.65</v>
      </c>
      <c r="M264" s="36" t="inlineStr">
        <is>
          <t>N/A</t>
        </is>
      </c>
    </row>
    <row r="265">
      <c r="A265" s="35" t="n">
        <v>45133</v>
      </c>
      <c r="B265" s="36" t="inlineStr">
        <is>
          <t xml:space="preserve">   TO TRANSFER-UPI/DR/320763921231/Forbes F/PYTM/paytmqr281/UPI--</t>
        </is>
      </c>
      <c r="C265" s="36" t="inlineStr">
        <is>
          <t>TRANSFER TO 4897692162094</t>
        </is>
      </c>
      <c r="D265" s="35" t="n">
        <v>45133</v>
      </c>
      <c r="E265" s="36" t="n">
        <v>20</v>
      </c>
      <c r="F265" s="36" t="n">
        <v>0</v>
      </c>
      <c r="G265" s="36" t="n">
        <v>107955.56</v>
      </c>
      <c r="H265" s="36" t="inlineStr"/>
      <c r="I265" s="36" t="inlineStr"/>
      <c r="J265" s="36" t="inlineStr">
        <is>
          <t>UPI - Paytm</t>
        </is>
      </c>
      <c r="K265" s="36" t="inlineStr">
        <is>
          <t>Personal</t>
        </is>
      </c>
      <c r="L265" s="34" t="n">
        <v>0.65</v>
      </c>
      <c r="M265" s="36" t="inlineStr">
        <is>
          <t>N/A</t>
        </is>
      </c>
    </row>
    <row r="266">
      <c r="A266" s="37" t="n">
        <v>45134</v>
      </c>
      <c r="B266" s="38" t="inlineStr">
        <is>
          <t xml:space="preserve">   TO TRANSFER-UPI/DR/320824641684/WWW NAUK/HDFC/naukri.pay/UPIIn--</t>
        </is>
      </c>
      <c r="C266" s="38" t="inlineStr">
        <is>
          <t>TRANSFER TO 4897693162093</t>
        </is>
      </c>
      <c r="D266" s="37" t="n">
        <v>45134</v>
      </c>
      <c r="E266" s="38" t="n">
        <v>5000.22</v>
      </c>
      <c r="F266" s="38" t="n">
        <v>0</v>
      </c>
      <c r="G266" s="38" t="n">
        <v>102955.34</v>
      </c>
      <c r="H266" s="38" t="inlineStr">
        <is>
          <t>Www Nauk</t>
        </is>
      </c>
      <c r="I266" s="38" t="inlineStr"/>
      <c r="J266" s="38" t="inlineStr">
        <is>
          <t>UPI Payment</t>
        </is>
      </c>
      <c r="K266" s="38" t="inlineStr">
        <is>
          <t>Personal</t>
        </is>
      </c>
      <c r="L266" s="25" t="n">
        <v>0.55</v>
      </c>
      <c r="M266" s="38" t="inlineStr">
        <is>
          <t>N/A</t>
        </is>
      </c>
    </row>
    <row r="267">
      <c r="A267" s="23" t="n">
        <v>45135</v>
      </c>
      <c r="B267" s="24" t="inlineStr">
        <is>
          <t xml:space="preserve">   BULK POSTING-     00000011669 230723 LinkedIn\E 510 CRYSTAL--</t>
        </is>
      </c>
      <c r="C267" s="24" t="n">
        <v/>
      </c>
      <c r="D267" s="23" t="n">
        <v>45135</v>
      </c>
      <c r="E267" s="24" t="n">
        <v>0</v>
      </c>
      <c r="F267" s="24" t="n">
        <v>2</v>
      </c>
      <c r="G267" s="24" t="n">
        <v>102957.34</v>
      </c>
      <c r="H267" s="24" t="inlineStr"/>
      <c r="I267" s="24" t="inlineStr"/>
      <c r="J267" s="24" t="inlineStr">
        <is>
          <t>What is this?</t>
        </is>
      </c>
      <c r="K267" s="24" t="inlineStr">
        <is>
          <t>Suspense</t>
        </is>
      </c>
      <c r="L267" s="25" t="n">
        <v>0</v>
      </c>
      <c r="M267" s="24" t="inlineStr">
        <is>
          <t>N/A</t>
        </is>
      </c>
    </row>
    <row r="268">
      <c r="A268" s="21" t="n">
        <v>45135</v>
      </c>
      <c r="B268" s="22" t="inlineStr">
        <is>
          <t xml:space="preserve">   BY TRANSFER-UPI/CR/320957129328/IRCTC CF/HDFC/irctc.cf@h/UPI R--</t>
        </is>
      </c>
      <c r="C268" s="22" t="inlineStr">
        <is>
          <t>TRANSFER FROM 4897736162097</t>
        </is>
      </c>
      <c r="D268" s="21" t="n">
        <v>45135</v>
      </c>
      <c r="E268" s="22" t="n">
        <v>0</v>
      </c>
      <c r="F268" s="22" t="n">
        <v>2260.28</v>
      </c>
      <c r="G268" s="22" t="n">
        <v>105217.62</v>
      </c>
      <c r="H268" s="22" t="inlineStr"/>
      <c r="I268" s="22" t="inlineStr"/>
      <c r="J268" s="22" t="inlineStr">
        <is>
          <t>UPI - IRCTC</t>
        </is>
      </c>
      <c r="K268" s="22" t="inlineStr">
        <is>
          <t>Travel</t>
        </is>
      </c>
      <c r="L268" s="34" t="n">
        <v>0.68</v>
      </c>
      <c r="M268" s="22" t="inlineStr">
        <is>
          <t>N/A</t>
        </is>
      </c>
    </row>
    <row r="269">
      <c r="A269" s="21" t="n">
        <v>45135</v>
      </c>
      <c r="B269" s="22" t="inlineStr">
        <is>
          <t xml:space="preserve">   BY TRANSFER-UPI/CR/320957375093/IRCTC CF/HDFC/irctc.cf@h/UPI R--</t>
        </is>
      </c>
      <c r="C269" s="22" t="inlineStr">
        <is>
          <t>TRANSFER FROM 4897736162097</t>
        </is>
      </c>
      <c r="D269" s="21" t="n">
        <v>45135</v>
      </c>
      <c r="E269" s="22" t="n">
        <v>0</v>
      </c>
      <c r="F269" s="22" t="n">
        <v>1545.28</v>
      </c>
      <c r="G269" s="22" t="n">
        <v>106762.9</v>
      </c>
      <c r="H269" s="22" t="inlineStr"/>
      <c r="I269" s="22" t="inlineStr"/>
      <c r="J269" s="22" t="inlineStr">
        <is>
          <t>UPI - IRCTC</t>
        </is>
      </c>
      <c r="K269" s="22" t="inlineStr">
        <is>
          <t>Travel</t>
        </is>
      </c>
      <c r="L269" s="34" t="n">
        <v>0.68</v>
      </c>
      <c r="M269" s="22" t="inlineStr">
        <is>
          <t>N/A</t>
        </is>
      </c>
    </row>
    <row r="270">
      <c r="A270" s="37" t="n">
        <v>45136</v>
      </c>
      <c r="B270" s="38" t="inlineStr">
        <is>
          <t xml:space="preserve">   TO TRANSFER-UPI/DR/320929705505/Vendekin/ICIC/vendekin@i/UPI--</t>
        </is>
      </c>
      <c r="C270" s="38" t="inlineStr">
        <is>
          <t>TRANSFER TO 4897695162091</t>
        </is>
      </c>
      <c r="D270" s="37" t="n">
        <v>45136</v>
      </c>
      <c r="E270" s="38" t="n">
        <v>100</v>
      </c>
      <c r="F270" s="38" t="n">
        <v>0</v>
      </c>
      <c r="G270" s="38" t="n">
        <v>106662.9</v>
      </c>
      <c r="H270" s="38" t="inlineStr">
        <is>
          <t>Vendekin</t>
        </is>
      </c>
      <c r="I270" s="38" t="inlineStr"/>
      <c r="J270" s="38" t="inlineStr">
        <is>
          <t>UPI Payment</t>
        </is>
      </c>
      <c r="K270" s="38" t="inlineStr">
        <is>
          <t>Personal</t>
        </is>
      </c>
      <c r="L270" s="25" t="n">
        <v>0.55</v>
      </c>
      <c r="M270" s="38" t="inlineStr">
        <is>
          <t>N/A</t>
        </is>
      </c>
    </row>
    <row r="271">
      <c r="A271" s="35" t="n">
        <v>45136</v>
      </c>
      <c r="B271" s="36" t="inlineStr">
        <is>
          <t xml:space="preserve">   TO TRANSFER-UPI/DR/357678946367/SEVEN SP/PYTM/paytmqr281/UPI--</t>
        </is>
      </c>
      <c r="C271" s="36" t="inlineStr">
        <is>
          <t>TRANSFER TO 4897695162091</t>
        </is>
      </c>
      <c r="D271" s="35" t="n">
        <v>45136</v>
      </c>
      <c r="E271" s="36" t="n">
        <v>60</v>
      </c>
      <c r="F271" s="36" t="n">
        <v>0</v>
      </c>
      <c r="G271" s="36" t="n">
        <v>106602.9</v>
      </c>
      <c r="H271" s="36" t="inlineStr"/>
      <c r="I271" s="36" t="inlineStr"/>
      <c r="J271" s="36" t="inlineStr">
        <is>
          <t>UPI - Paytm</t>
        </is>
      </c>
      <c r="K271" s="36" t="inlineStr">
        <is>
          <t>Personal</t>
        </is>
      </c>
      <c r="L271" s="34" t="n">
        <v>0.65</v>
      </c>
      <c r="M271" s="36" t="inlineStr">
        <is>
          <t>N/A</t>
        </is>
      </c>
    </row>
    <row r="272">
      <c r="A272" s="21" t="n">
        <v>45136</v>
      </c>
      <c r="B272" s="22" t="inlineStr">
        <is>
          <t xml:space="preserve">   BY TRANSFER-UPI/CR/321059353898/IRCTC CF/HDFC/irctc.cf@h/UPI R--</t>
        </is>
      </c>
      <c r="C272" s="22" t="inlineStr">
        <is>
          <t>TRANSFER FROM 4897737162096</t>
        </is>
      </c>
      <c r="D272" s="21" t="n">
        <v>45136</v>
      </c>
      <c r="E272" s="22" t="n">
        <v>0</v>
      </c>
      <c r="F272" s="22" t="n">
        <v>55.28</v>
      </c>
      <c r="G272" s="22" t="n">
        <v>106658.18</v>
      </c>
      <c r="H272" s="22" t="inlineStr"/>
      <c r="I272" s="22" t="inlineStr"/>
      <c r="J272" s="22" t="inlineStr">
        <is>
          <t>UPI - IRCTC</t>
        </is>
      </c>
      <c r="K272" s="22" t="inlineStr">
        <is>
          <t>Travel</t>
        </is>
      </c>
      <c r="L272" s="34" t="n">
        <v>0.68</v>
      </c>
      <c r="M272" s="22" t="inlineStr">
        <is>
          <t>N/A</t>
        </is>
      </c>
    </row>
    <row r="273">
      <c r="A273" s="101" t="n">
        <v>45137</v>
      </c>
      <c r="B273" s="102" t="inlineStr">
        <is>
          <t xml:space="preserve">   BY TRANSFER-UPI/CR/357737417710/VIVEK KU/SBIN/9818076031/Payme--</t>
        </is>
      </c>
      <c r="C273" s="102" t="inlineStr">
        <is>
          <t>TRANSFER FROM 4897738162095</t>
        </is>
      </c>
      <c r="D273" s="101" t="n">
        <v>45137</v>
      </c>
      <c r="E273" s="102" t="n">
        <v>0</v>
      </c>
      <c r="F273" s="102" t="n">
        <v>130</v>
      </c>
      <c r="G273" s="102" t="n">
        <v>106788.18</v>
      </c>
      <c r="H273" s="102" t="inlineStr"/>
      <c r="I273" s="102" t="inlineStr"/>
      <c r="J273" s="102" t="inlineStr">
        <is>
          <t>Received - Vivek Ku</t>
        </is>
      </c>
      <c r="K273" s="102" t="inlineStr">
        <is>
          <t>Personal</t>
        </is>
      </c>
      <c r="L273" s="25" t="n">
        <v>0.55</v>
      </c>
      <c r="M273" s="102" t="inlineStr">
        <is>
          <t>N/A</t>
        </is>
      </c>
    </row>
    <row r="274">
      <c r="A274" s="35" t="n">
        <v>45137</v>
      </c>
      <c r="B274" s="36" t="inlineStr">
        <is>
          <t xml:space="preserve">   TO TRANSFER-UPI/DR/321195464326/SEVEN SP/PYTM/paytmqr281/UPI--</t>
        </is>
      </c>
      <c r="C274" s="36" t="inlineStr">
        <is>
          <t>TRANSFER TO 4897696162090</t>
        </is>
      </c>
      <c r="D274" s="35" t="n">
        <v>45137</v>
      </c>
      <c r="E274" s="36" t="n">
        <v>50</v>
      </c>
      <c r="F274" s="36" t="n">
        <v>0</v>
      </c>
      <c r="G274" s="36" t="n">
        <v>106738.18</v>
      </c>
      <c r="H274" s="36" t="inlineStr"/>
      <c r="I274" s="36" t="inlineStr"/>
      <c r="J274" s="36" t="inlineStr">
        <is>
          <t>UPI - Paytm</t>
        </is>
      </c>
      <c r="K274" s="36" t="inlineStr">
        <is>
          <t>Personal</t>
        </is>
      </c>
      <c r="L274" s="34" t="n">
        <v>0.65</v>
      </c>
      <c r="M274" s="36" t="inlineStr">
        <is>
          <t>N/A</t>
        </is>
      </c>
    </row>
    <row r="275">
      <c r="A275" s="35" t="n">
        <v>45137</v>
      </c>
      <c r="B275" s="36" t="inlineStr">
        <is>
          <t xml:space="preserve">   TO TRANSFER-UPI/DR/321178168433/SEVEN SP/PYTM/paytmqr281/UPI--</t>
        </is>
      </c>
      <c r="C275" s="36" t="inlineStr">
        <is>
          <t>TRANSFER TO 4897696162090</t>
        </is>
      </c>
      <c r="D275" s="35" t="n">
        <v>45137</v>
      </c>
      <c r="E275" s="36" t="n">
        <v>100</v>
      </c>
      <c r="F275" s="36" t="n">
        <v>0</v>
      </c>
      <c r="G275" s="36" t="n">
        <v>106638.18</v>
      </c>
      <c r="H275" s="36" t="inlineStr"/>
      <c r="I275" s="36" t="inlineStr"/>
      <c r="J275" s="36" t="inlineStr">
        <is>
          <t>UPI - Paytm</t>
        </is>
      </c>
      <c r="K275" s="36" t="inlineStr">
        <is>
          <t>Personal</t>
        </is>
      </c>
      <c r="L275" s="34" t="n">
        <v>0.65</v>
      </c>
      <c r="M275" s="36" t="inlineStr">
        <is>
          <t>N/A</t>
        </is>
      </c>
    </row>
    <row r="276">
      <c r="A276" s="37" t="n">
        <v>45138</v>
      </c>
      <c r="B276" s="38" t="inlineStr">
        <is>
          <t xml:space="preserve">   TO TRANSFER-UPI/DR/357804306519/Mr  AADA/YESB/q739730170/UPI--</t>
        </is>
      </c>
      <c r="C276" s="38" t="inlineStr">
        <is>
          <t>TRANSFER TO 4897690162095</t>
        </is>
      </c>
      <c r="D276" s="37" t="n">
        <v>45138</v>
      </c>
      <c r="E276" s="38" t="n">
        <v>50</v>
      </c>
      <c r="F276" s="38" t="n">
        <v>0</v>
      </c>
      <c r="G276" s="38" t="n">
        <v>106588.18</v>
      </c>
      <c r="H276" s="38" t="inlineStr">
        <is>
          <t>Mr  Aada</t>
        </is>
      </c>
      <c r="I276" s="38" t="inlineStr"/>
      <c r="J276" s="38" t="inlineStr">
        <is>
          <t>UPI Payment</t>
        </is>
      </c>
      <c r="K276" s="38" t="inlineStr">
        <is>
          <t>Personal</t>
        </is>
      </c>
      <c r="L276" s="25" t="n">
        <v>0.55</v>
      </c>
      <c r="M276" s="38" t="inlineStr">
        <is>
          <t>N/A</t>
        </is>
      </c>
    </row>
    <row r="277">
      <c r="A277" s="37" t="n">
        <v>45138</v>
      </c>
      <c r="B277" s="38" t="inlineStr">
        <is>
          <t xml:space="preserve">   TO TRANSFER-UPI/DR/321223588766/LOVEPREE/AUBL/lovelybhat/UPI--</t>
        </is>
      </c>
      <c r="C277" s="38" t="inlineStr">
        <is>
          <t>TRANSFER TO 4897690162095</t>
        </is>
      </c>
      <c r="D277" s="37" t="n">
        <v>45138</v>
      </c>
      <c r="E277" s="38" t="n">
        <v>270</v>
      </c>
      <c r="F277" s="38" t="n">
        <v>0</v>
      </c>
      <c r="G277" s="38" t="n">
        <v>106318.18</v>
      </c>
      <c r="H277" s="38" t="inlineStr">
        <is>
          <t>Lovepree</t>
        </is>
      </c>
      <c r="I277" s="38" t="inlineStr"/>
      <c r="J277" s="38" t="inlineStr">
        <is>
          <t>UPI Payment</t>
        </is>
      </c>
      <c r="K277" s="38" t="inlineStr">
        <is>
          <t>Personal</t>
        </is>
      </c>
      <c r="L277" s="25" t="n">
        <v>0.55</v>
      </c>
      <c r="M277" s="38" t="inlineStr">
        <is>
          <t>N/A</t>
        </is>
      </c>
    </row>
    <row r="278">
      <c r="A278" s="87" t="n">
        <v>45138</v>
      </c>
      <c r="B278" s="88" t="inlineStr">
        <is>
          <t xml:space="preserve">   TO TRANSFER-UPI/DR/321287516546/AAYUSH K/FDRL/9594435259/ADDMO--</t>
        </is>
      </c>
      <c r="C278" s="88" t="inlineStr">
        <is>
          <t>TRANSFER TO 4897690162095</t>
        </is>
      </c>
      <c r="D278" s="87" t="n">
        <v>45138</v>
      </c>
      <c r="E278" s="88" t="n">
        <v>1000</v>
      </c>
      <c r="F278" s="88" t="n">
        <v>0</v>
      </c>
      <c r="G278" s="88" t="n">
        <v>105318.18</v>
      </c>
      <c r="H278" s="88" t="inlineStr"/>
      <c r="I278" s="88" t="inlineStr"/>
      <c r="J278" s="88" t="inlineStr">
        <is>
          <t>Contra - Jupiter</t>
        </is>
      </c>
      <c r="K278" s="88" t="inlineStr">
        <is>
          <t>FEDERAL 0847</t>
        </is>
      </c>
      <c r="L278" s="18" t="n">
        <v>0.9</v>
      </c>
      <c r="M278" s="88" t="inlineStr">
        <is>
          <t>N/A</t>
        </is>
      </c>
    </row>
    <row r="279">
      <c r="A279" s="37" t="n">
        <v>45138</v>
      </c>
      <c r="B279" s="38" t="inlineStr">
        <is>
          <t xml:space="preserve">   TO TRANSFER-UPI/DR/321227436150/Param  C/SBIN/0008288006/UPI--</t>
        </is>
      </c>
      <c r="C279" s="38" t="inlineStr">
        <is>
          <t>TRANSFER TO 4897690162095</t>
        </is>
      </c>
      <c r="D279" s="37" t="n">
        <v>45138</v>
      </c>
      <c r="E279" s="38" t="n">
        <v>350</v>
      </c>
      <c r="F279" s="38" t="n">
        <v>0</v>
      </c>
      <c r="G279" s="38" t="n">
        <v>104968.18</v>
      </c>
      <c r="H279" s="38" t="inlineStr">
        <is>
          <t>Param  C</t>
        </is>
      </c>
      <c r="I279" s="38" t="inlineStr"/>
      <c r="J279" s="38" t="inlineStr">
        <is>
          <t>UPI Payment</t>
        </is>
      </c>
      <c r="K279" s="38" t="inlineStr">
        <is>
          <t>Personal</t>
        </is>
      </c>
      <c r="L279" s="25" t="n">
        <v>0.55</v>
      </c>
      <c r="M279" s="38" t="inlineStr">
        <is>
          <t>N/A</t>
        </is>
      </c>
    </row>
    <row r="280">
      <c r="A280" s="37" t="n">
        <v>45139</v>
      </c>
      <c r="B280" s="38" t="inlineStr">
        <is>
          <t xml:space="preserve">   TO TRANSFER-UPI/DR/321363072206/Vendekin/ICIC/vendekin@i/UPI--</t>
        </is>
      </c>
      <c r="C280" s="38" t="inlineStr">
        <is>
          <t>TRANSFER TO 4897692162094</t>
        </is>
      </c>
      <c r="D280" s="37" t="n">
        <v>45139</v>
      </c>
      <c r="E280" s="38" t="n">
        <v>20</v>
      </c>
      <c r="F280" s="38" t="n">
        <v>0</v>
      </c>
      <c r="G280" s="38" t="n">
        <v>104948.18</v>
      </c>
      <c r="H280" s="38" t="inlineStr">
        <is>
          <t>Vendekin</t>
        </is>
      </c>
      <c r="I280" s="38" t="inlineStr"/>
      <c r="J280" s="38" t="inlineStr">
        <is>
          <t>UPI Payment</t>
        </is>
      </c>
      <c r="K280" s="38" t="inlineStr">
        <is>
          <t>Personal</t>
        </is>
      </c>
      <c r="L280" s="25" t="n">
        <v>0.55</v>
      </c>
      <c r="M280" s="38" t="inlineStr">
        <is>
          <t>N/A</t>
        </is>
      </c>
    </row>
    <row r="281">
      <c r="A281" s="37" t="n">
        <v>45140</v>
      </c>
      <c r="B281" s="38" t="inlineStr">
        <is>
          <t xml:space="preserve">   TO TRANSFER-UPI/DR/321442229067/Plaksha /utib/plakshauni/Onlin--</t>
        </is>
      </c>
      <c r="C281" s="38" t="inlineStr">
        <is>
          <t>TRANSFER TO 4897692162094</t>
        </is>
      </c>
      <c r="D281" s="37" t="n">
        <v>45140</v>
      </c>
      <c r="E281" s="38" t="n">
        <v>24687</v>
      </c>
      <c r="F281" s="38" t="n">
        <v>0</v>
      </c>
      <c r="G281" s="38" t="n">
        <v>80261.17999999999</v>
      </c>
      <c r="H281" s="38" t="inlineStr">
        <is>
          <t>Plaksha</t>
        </is>
      </c>
      <c r="I281" s="38" t="inlineStr"/>
      <c r="J281" s="38" t="inlineStr">
        <is>
          <t>UPI Payment</t>
        </is>
      </c>
      <c r="K281" s="38" t="inlineStr">
        <is>
          <t>Personal</t>
        </is>
      </c>
      <c r="L281" s="25" t="n">
        <v>0.55</v>
      </c>
      <c r="M281" s="38" t="inlineStr">
        <is>
          <t>N/A</t>
        </is>
      </c>
    </row>
    <row r="282">
      <c r="A282" s="37" t="n">
        <v>45140</v>
      </c>
      <c r="B282" s="38" t="inlineStr">
        <is>
          <t xml:space="preserve">   TO TRANSFER-UPI/DR/321479181332/98825462/UCBA/9882546237/UPI--</t>
        </is>
      </c>
      <c r="C282" s="38" t="inlineStr">
        <is>
          <t>TRANSFER TO 4897692162094</t>
        </is>
      </c>
      <c r="D282" s="37" t="n">
        <v>45140</v>
      </c>
      <c r="E282" s="38" t="n">
        <v>10</v>
      </c>
      <c r="F282" s="38" t="n">
        <v>0</v>
      </c>
      <c r="G282" s="38" t="n">
        <v>80251.17999999999</v>
      </c>
      <c r="H282" s="38" t="inlineStr"/>
      <c r="I282" s="38" t="inlineStr"/>
      <c r="J282" s="38" t="inlineStr">
        <is>
          <t>UPI Payment</t>
        </is>
      </c>
      <c r="K282" s="38" t="inlineStr">
        <is>
          <t>Personal</t>
        </is>
      </c>
      <c r="L282" s="25" t="n">
        <v>0.55</v>
      </c>
      <c r="M282" s="38" t="inlineStr">
        <is>
          <t>N/A</t>
        </is>
      </c>
    </row>
    <row r="283">
      <c r="A283" s="37" t="n">
        <v>45140</v>
      </c>
      <c r="B283" s="38" t="inlineStr">
        <is>
          <t xml:space="preserve">   TO TRANSFER-UPI/DR/358021601389/Vendekin/ICIC/vendekin@i/UPI--</t>
        </is>
      </c>
      <c r="C283" s="38" t="inlineStr">
        <is>
          <t>TRANSFER TO 4897692162094</t>
        </is>
      </c>
      <c r="D283" s="37" t="n">
        <v>45140</v>
      </c>
      <c r="E283" s="38" t="n">
        <v>40</v>
      </c>
      <c r="F283" s="38" t="n">
        <v>0</v>
      </c>
      <c r="G283" s="38" t="n">
        <v>80211.17999999999</v>
      </c>
      <c r="H283" s="38" t="inlineStr">
        <is>
          <t>Vendekin</t>
        </is>
      </c>
      <c r="I283" s="38" t="inlineStr"/>
      <c r="J283" s="38" t="inlineStr">
        <is>
          <t>UPI Payment</t>
        </is>
      </c>
      <c r="K283" s="38" t="inlineStr">
        <is>
          <t>Personal</t>
        </is>
      </c>
      <c r="L283" s="25" t="n">
        <v>0.55</v>
      </c>
      <c r="M283" s="38" t="inlineStr">
        <is>
          <t>N/A</t>
        </is>
      </c>
    </row>
    <row r="284">
      <c r="A284" s="35" t="n">
        <v>45141</v>
      </c>
      <c r="B284" s="36" t="inlineStr">
        <is>
          <t xml:space="preserve">   TO TRANSFER-UPI/DR/321512182909/PaytmUser/HDFC/9568987093/UPI--</t>
        </is>
      </c>
      <c r="C284" s="36" t="inlineStr">
        <is>
          <t>TRANSFER TO 4897693162093</t>
        </is>
      </c>
      <c r="D284" s="35" t="n">
        <v>45141</v>
      </c>
      <c r="E284" s="36" t="n">
        <v>140</v>
      </c>
      <c r="F284" s="36" t="n">
        <v>0</v>
      </c>
      <c r="G284" s="36" t="n">
        <v>80071.17999999999</v>
      </c>
      <c r="H284" s="36" t="inlineStr"/>
      <c r="I284" s="36" t="inlineStr"/>
      <c r="J284" s="36" t="inlineStr">
        <is>
          <t>UPI - Paytm</t>
        </is>
      </c>
      <c r="K284" s="36" t="inlineStr">
        <is>
          <t>Personal</t>
        </is>
      </c>
      <c r="L284" s="34" t="n">
        <v>0.65</v>
      </c>
      <c r="M284" s="36" t="inlineStr">
        <is>
          <t>N/A</t>
        </is>
      </c>
    </row>
    <row r="285">
      <c r="A285" s="37" t="n">
        <v>45141</v>
      </c>
      <c r="B285" s="38" t="inlineStr">
        <is>
          <t xml:space="preserve">   TO TRANSFER-UPI/DR/358157721577/PARDEEP /UTIB/fcbizrcmqf/UPI--</t>
        </is>
      </c>
      <c r="C285" s="38" t="inlineStr">
        <is>
          <t>TRANSFER TO 4897693162093</t>
        </is>
      </c>
      <c r="D285" s="37" t="n">
        <v>45141</v>
      </c>
      <c r="E285" s="38" t="n">
        <v>785</v>
      </c>
      <c r="F285" s="38" t="n">
        <v>0</v>
      </c>
      <c r="G285" s="38" t="n">
        <v>79286.17999999999</v>
      </c>
      <c r="H285" s="38" t="inlineStr">
        <is>
          <t>Pardeep</t>
        </is>
      </c>
      <c r="I285" s="38" t="inlineStr"/>
      <c r="J285" s="38" t="inlineStr">
        <is>
          <t>UPI Payment</t>
        </is>
      </c>
      <c r="K285" s="38" t="inlineStr">
        <is>
          <t>Personal</t>
        </is>
      </c>
      <c r="L285" s="25" t="n">
        <v>0.55</v>
      </c>
      <c r="M285" s="38" t="inlineStr">
        <is>
          <t>N/A</t>
        </is>
      </c>
    </row>
    <row r="286">
      <c r="A286" s="37" t="n">
        <v>45141</v>
      </c>
      <c r="B286" s="38" t="inlineStr">
        <is>
          <t xml:space="preserve">   TO TRANSFER-UPI/DR/321515506788/HARJINDE/HDFC/harjinders/UPI--</t>
        </is>
      </c>
      <c r="C286" s="38" t="inlineStr">
        <is>
          <t>TRANSFER TO 4897693162093</t>
        </is>
      </c>
      <c r="D286" s="37" t="n">
        <v>45141</v>
      </c>
      <c r="E286" s="38" t="n">
        <v>135</v>
      </c>
      <c r="F286" s="38" t="n">
        <v>0</v>
      </c>
      <c r="G286" s="38" t="n">
        <v>79151.17999999999</v>
      </c>
      <c r="H286" s="38" t="inlineStr">
        <is>
          <t>Harjinde</t>
        </is>
      </c>
      <c r="I286" s="38" t="inlineStr"/>
      <c r="J286" s="38" t="inlineStr">
        <is>
          <t>UPI Payment</t>
        </is>
      </c>
      <c r="K286" s="38" t="inlineStr">
        <is>
          <t>Personal</t>
        </is>
      </c>
      <c r="L286" s="25" t="n">
        <v>0.55</v>
      </c>
      <c r="M286" s="38" t="inlineStr">
        <is>
          <t>N/A</t>
        </is>
      </c>
    </row>
    <row r="287">
      <c r="A287" s="37" t="n">
        <v>45141</v>
      </c>
      <c r="B287" s="38" t="inlineStr">
        <is>
          <t xml:space="preserve">   TO TRANSFER-UPI/DR/358164233861/Vendekin/ICIC/vendekin@i/UPI--</t>
        </is>
      </c>
      <c r="C287" s="38" t="inlineStr">
        <is>
          <t>TRANSFER TO 4897693162093</t>
        </is>
      </c>
      <c r="D287" s="37" t="n">
        <v>45141</v>
      </c>
      <c r="E287" s="38" t="n">
        <v>20</v>
      </c>
      <c r="F287" s="38" t="n">
        <v>0</v>
      </c>
      <c r="G287" s="38" t="n">
        <v>79131.17999999999</v>
      </c>
      <c r="H287" s="38" t="inlineStr">
        <is>
          <t>Vendekin</t>
        </is>
      </c>
      <c r="I287" s="38" t="inlineStr"/>
      <c r="J287" s="38" t="inlineStr">
        <is>
          <t>UPI Payment</t>
        </is>
      </c>
      <c r="K287" s="38" t="inlineStr">
        <is>
          <t>Personal</t>
        </is>
      </c>
      <c r="L287" s="25" t="n">
        <v>0.55</v>
      </c>
      <c r="M287" s="38" t="inlineStr">
        <is>
          <t>N/A</t>
        </is>
      </c>
    </row>
    <row r="288">
      <c r="A288" s="35" t="n">
        <v>45142</v>
      </c>
      <c r="B288" s="36" t="inlineStr">
        <is>
          <t xml:space="preserve">   TO TRANSFER-UPI/DR/321638636562/SEVEN SP/PYTM/paytmqr281/UPI--</t>
        </is>
      </c>
      <c r="C288" s="36" t="inlineStr">
        <is>
          <t>TRANSFER TO 4897694162092</t>
        </is>
      </c>
      <c r="D288" s="35" t="n">
        <v>45142</v>
      </c>
      <c r="E288" s="36" t="n">
        <v>50</v>
      </c>
      <c r="F288" s="36" t="n">
        <v>0</v>
      </c>
      <c r="G288" s="36" t="n">
        <v>79081.17999999999</v>
      </c>
      <c r="H288" s="36" t="inlineStr"/>
      <c r="I288" s="36" t="inlineStr"/>
      <c r="J288" s="36" t="inlineStr">
        <is>
          <t>UPI - Paytm</t>
        </is>
      </c>
      <c r="K288" s="36" t="inlineStr">
        <is>
          <t>Personal</t>
        </is>
      </c>
      <c r="L288" s="34" t="n">
        <v>0.65</v>
      </c>
      <c r="M288" s="36" t="inlineStr">
        <is>
          <t>N/A</t>
        </is>
      </c>
    </row>
    <row r="289">
      <c r="A289" s="64" t="n">
        <v>45142</v>
      </c>
      <c r="B289" s="65" t="inlineStr">
        <is>
          <t xml:space="preserve">   BULK POSTING-ACHCr UTIB00788000017240 KFIL FNL 2022--</t>
        </is>
      </c>
      <c r="C289" s="65" t="n">
        <v/>
      </c>
      <c r="D289" s="64" t="n">
        <v>45142</v>
      </c>
      <c r="E289" s="65" t="n">
        <v>0</v>
      </c>
      <c r="F289" s="65" t="n">
        <v>60</v>
      </c>
      <c r="G289" s="65" t="n">
        <v>79141.17999999999</v>
      </c>
      <c r="H289" s="65" t="inlineStr"/>
      <c r="I289" s="65" t="inlineStr"/>
      <c r="J289" s="65" t="inlineStr">
        <is>
          <t>Dividend Income</t>
        </is>
      </c>
      <c r="K289" s="65" t="inlineStr">
        <is>
          <t>Dividend Income</t>
        </is>
      </c>
      <c r="L289" s="18" t="n">
        <v>0.85</v>
      </c>
      <c r="M289" s="65" t="inlineStr">
        <is>
          <t>N/A</t>
        </is>
      </c>
    </row>
    <row r="290">
      <c r="A290" s="64" t="n">
        <v>45142</v>
      </c>
      <c r="B290" s="65" t="inlineStr">
        <is>
          <t xml:space="preserve">   BULK POSTING-ACHCr HDFC01208000010673 ORIENTCEMENTLT--</t>
        </is>
      </c>
      <c r="C290" s="65" t="n">
        <v/>
      </c>
      <c r="D290" s="64" t="n">
        <v>45142</v>
      </c>
      <c r="E290" s="65" t="n">
        <v>0</v>
      </c>
      <c r="F290" s="65" t="n">
        <v>30</v>
      </c>
      <c r="G290" s="65" t="n">
        <v>79171.17999999999</v>
      </c>
      <c r="H290" s="65" t="inlineStr"/>
      <c r="I290" s="65" t="inlineStr"/>
      <c r="J290" s="65" t="inlineStr">
        <is>
          <t>Dividend Income</t>
        </is>
      </c>
      <c r="K290" s="65" t="inlineStr">
        <is>
          <t>Dividend Income</t>
        </is>
      </c>
      <c r="L290" s="18" t="n">
        <v>0.85</v>
      </c>
      <c r="M290" s="65" t="inlineStr">
        <is>
          <t>N/A</t>
        </is>
      </c>
    </row>
    <row r="291">
      <c r="A291" s="37" t="n">
        <v>45142</v>
      </c>
      <c r="B291" s="38" t="inlineStr">
        <is>
          <t xml:space="preserve">   TO TRANSFER-UPI/DR/321661547406/Vendekin/ICIC/vendekin@i/UPI--</t>
        </is>
      </c>
      <c r="C291" s="38" t="inlineStr">
        <is>
          <t>TRANSFER TO 4897694162092</t>
        </is>
      </c>
      <c r="D291" s="37" t="n">
        <v>45142</v>
      </c>
      <c r="E291" s="38" t="n">
        <v>20</v>
      </c>
      <c r="F291" s="38" t="n">
        <v>0</v>
      </c>
      <c r="G291" s="38" t="n">
        <v>79151.17999999999</v>
      </c>
      <c r="H291" s="38" t="inlineStr">
        <is>
          <t>Vendekin</t>
        </is>
      </c>
      <c r="I291" s="38" t="inlineStr"/>
      <c r="J291" s="38" t="inlineStr">
        <is>
          <t>UPI Payment</t>
        </is>
      </c>
      <c r="K291" s="38" t="inlineStr">
        <is>
          <t>Personal</t>
        </is>
      </c>
      <c r="L291" s="25" t="n">
        <v>0.55</v>
      </c>
      <c r="M291" s="38" t="inlineStr">
        <is>
          <t>N/A</t>
        </is>
      </c>
    </row>
    <row r="292">
      <c r="A292" s="101" t="n">
        <v>45142</v>
      </c>
      <c r="B292" s="102" t="inlineStr">
        <is>
          <t xml:space="preserve">   BY TRANSFER-UPI/CR/321618641582/Vendekin/ICIC/vendekin@i/vende--</t>
        </is>
      </c>
      <c r="C292" s="102" t="inlineStr">
        <is>
          <t>TRANSFER FROM 4897736162097</t>
        </is>
      </c>
      <c r="D292" s="101" t="n">
        <v>45142</v>
      </c>
      <c r="E292" s="102" t="n">
        <v>0</v>
      </c>
      <c r="F292" s="102" t="n">
        <v>20</v>
      </c>
      <c r="G292" s="102" t="n">
        <v>79171.17999999999</v>
      </c>
      <c r="H292" s="102" t="inlineStr"/>
      <c r="I292" s="102" t="inlineStr"/>
      <c r="J292" s="102" t="inlineStr">
        <is>
          <t>Received - Vendekin</t>
        </is>
      </c>
      <c r="K292" s="102" t="inlineStr">
        <is>
          <t>Personal</t>
        </is>
      </c>
      <c r="L292" s="25" t="n">
        <v>0.55</v>
      </c>
      <c r="M292" s="102" t="inlineStr">
        <is>
          <t>N/A</t>
        </is>
      </c>
    </row>
    <row r="293">
      <c r="A293" s="21" t="n">
        <v>45142</v>
      </c>
      <c r="B293" s="22" t="inlineStr">
        <is>
          <t xml:space="preserve">   TO TRANSFER-UPI/DR/321676708133/IRCTC CF/HDFC/irctc.cf@h/IRCTC--</t>
        </is>
      </c>
      <c r="C293" s="22" t="inlineStr">
        <is>
          <t>TRANSFER TO 4897694162092</t>
        </is>
      </c>
      <c r="D293" s="21" t="n">
        <v>45142</v>
      </c>
      <c r="E293" s="22" t="n">
        <v>2493.95</v>
      </c>
      <c r="F293" s="22" t="n">
        <v>0</v>
      </c>
      <c r="G293" s="22" t="n">
        <v>76677.23</v>
      </c>
      <c r="H293" s="22" t="inlineStr"/>
      <c r="I293" s="22" t="inlineStr"/>
      <c r="J293" s="22" t="inlineStr">
        <is>
          <t>UPI - IRCTC</t>
        </is>
      </c>
      <c r="K293" s="22" t="inlineStr">
        <is>
          <t>Travel</t>
        </is>
      </c>
      <c r="L293" s="18" t="n">
        <v>0.88</v>
      </c>
      <c r="M293" s="22" t="inlineStr">
        <is>
          <t>N/A</t>
        </is>
      </c>
    </row>
    <row r="294">
      <c r="A294" s="21" t="n">
        <v>45145</v>
      </c>
      <c r="B294" s="22" t="inlineStr">
        <is>
          <t xml:space="preserve">   BY TRANSFER-UPI/CR/321982792010/IRCTC CF/HDFC/irctc.cf@h/UPI R--</t>
        </is>
      </c>
      <c r="C294" s="22" t="inlineStr">
        <is>
          <t>TRANSFER FROM 4897732162091</t>
        </is>
      </c>
      <c r="D294" s="21" t="n">
        <v>45145</v>
      </c>
      <c r="E294" s="22" t="n">
        <v>0</v>
      </c>
      <c r="F294" s="22" t="n">
        <v>2260.28</v>
      </c>
      <c r="G294" s="22" t="n">
        <v>78937.50999999999</v>
      </c>
      <c r="H294" s="22" t="inlineStr"/>
      <c r="I294" s="22" t="inlineStr"/>
      <c r="J294" s="22" t="inlineStr">
        <is>
          <t>UPI - IRCTC</t>
        </is>
      </c>
      <c r="K294" s="22" t="inlineStr">
        <is>
          <t>Travel</t>
        </is>
      </c>
      <c r="L294" s="34" t="n">
        <v>0.68</v>
      </c>
      <c r="M294" s="22" t="inlineStr">
        <is>
          <t>N/A</t>
        </is>
      </c>
    </row>
    <row r="295">
      <c r="A295" s="37" t="n">
        <v>45146</v>
      </c>
      <c r="B295" s="38" t="inlineStr">
        <is>
          <t xml:space="preserve">   TO TRANSFER-UPI/DR/322079768455/SUSHIL K/IPOS/q762550979/UPI--</t>
        </is>
      </c>
      <c r="C295" s="38" t="inlineStr">
        <is>
          <t>TRANSFER TO 4897691162095</t>
        </is>
      </c>
      <c r="D295" s="37" t="n">
        <v>45146</v>
      </c>
      <c r="E295" s="38" t="n">
        <v>50</v>
      </c>
      <c r="F295" s="38" t="n">
        <v>0</v>
      </c>
      <c r="G295" s="38" t="n">
        <v>78887.50999999999</v>
      </c>
      <c r="H295" s="38" t="inlineStr">
        <is>
          <t>Sushil K</t>
        </is>
      </c>
      <c r="I295" s="38" t="inlineStr"/>
      <c r="J295" s="38" t="inlineStr">
        <is>
          <t>UPI Payment</t>
        </is>
      </c>
      <c r="K295" s="38" t="inlineStr">
        <is>
          <t>Personal</t>
        </is>
      </c>
      <c r="L295" s="25" t="n">
        <v>0.55</v>
      </c>
      <c r="M295" s="38" t="inlineStr">
        <is>
          <t>N/A</t>
        </is>
      </c>
    </row>
    <row r="296">
      <c r="A296" s="37" t="n">
        <v>45147</v>
      </c>
      <c r="B296" s="38" t="inlineStr">
        <is>
          <t xml:space="preserve">   TO TRANSFER-UPI/DR/322190143328/MUTHUPAT/YESB/q840913628/UPI--</t>
        </is>
      </c>
      <c r="C296" s="38" t="inlineStr">
        <is>
          <t>TRANSFER TO 4897692162094</t>
        </is>
      </c>
      <c r="D296" s="37" t="n">
        <v>45147</v>
      </c>
      <c r="E296" s="38" t="n">
        <v>20</v>
      </c>
      <c r="F296" s="38" t="n">
        <v>0</v>
      </c>
      <c r="G296" s="38" t="n">
        <v>78867.50999999999</v>
      </c>
      <c r="H296" s="38" t="inlineStr">
        <is>
          <t>Muthupat</t>
        </is>
      </c>
      <c r="I296" s="38" t="inlineStr"/>
      <c r="J296" s="38" t="inlineStr">
        <is>
          <t>UPI Payment</t>
        </is>
      </c>
      <c r="K296" s="38" t="inlineStr">
        <is>
          <t>Personal</t>
        </is>
      </c>
      <c r="L296" s="25" t="n">
        <v>0.55</v>
      </c>
      <c r="M296" s="38" t="inlineStr">
        <is>
          <t>N/A</t>
        </is>
      </c>
    </row>
    <row r="297">
      <c r="A297" s="58" t="n">
        <v>45147</v>
      </c>
      <c r="B297" s="59" t="inlineStr">
        <is>
          <t xml:space="preserve">   TO TRANSFER-UPI/DR/322190996382/Zerodha /HDFC/zerodhabro/88981--</t>
        </is>
      </c>
      <c r="C297" s="59" t="inlineStr">
        <is>
          <t>TRANSFER TO 4897692162094</t>
        </is>
      </c>
      <c r="D297" s="58" t="n">
        <v>45147</v>
      </c>
      <c r="E297" s="59" t="n">
        <v>5000</v>
      </c>
      <c r="F297" s="59" t="n">
        <v>0</v>
      </c>
      <c r="G297" s="59" t="n">
        <v>73867.50999999999</v>
      </c>
      <c r="H297" s="59" t="inlineStr"/>
      <c r="I297" s="59" t="inlineStr"/>
      <c r="J297" s="59" t="inlineStr">
        <is>
          <t>Zerodha Broking</t>
        </is>
      </c>
      <c r="K297" s="59" t="inlineStr">
        <is>
          <t>Zerodha Broking Limited</t>
        </is>
      </c>
      <c r="L297" s="18" t="n">
        <v>0.88</v>
      </c>
      <c r="M297" s="59" t="inlineStr">
        <is>
          <t>N/A</t>
        </is>
      </c>
    </row>
    <row r="298">
      <c r="A298" s="37" t="n">
        <v>45148</v>
      </c>
      <c r="B298" s="38" t="inlineStr">
        <is>
          <t xml:space="preserve">   TO TRANSFER-UPI/DR/358867738820/IBIBO GR/ICIC/redbus.pay/UPI--</t>
        </is>
      </c>
      <c r="C298" s="38" t="inlineStr">
        <is>
          <t>TRANSFER TO 4897693162093</t>
        </is>
      </c>
      <c r="D298" s="37" t="n">
        <v>45148</v>
      </c>
      <c r="E298" s="38" t="n">
        <v>475</v>
      </c>
      <c r="F298" s="38" t="n">
        <v>0</v>
      </c>
      <c r="G298" s="38" t="n">
        <v>73392.50999999999</v>
      </c>
      <c r="H298" s="38" t="inlineStr">
        <is>
          <t>Ibibo Gr</t>
        </is>
      </c>
      <c r="I298" s="38" t="inlineStr"/>
      <c r="J298" s="38" t="inlineStr">
        <is>
          <t>UPI Payment</t>
        </is>
      </c>
      <c r="K298" s="38" t="inlineStr">
        <is>
          <t>Personal</t>
        </is>
      </c>
      <c r="L298" s="25" t="n">
        <v>0.55</v>
      </c>
      <c r="M298" s="38" t="inlineStr">
        <is>
          <t>N/A</t>
        </is>
      </c>
    </row>
    <row r="299">
      <c r="A299" s="101" t="n">
        <v>45148</v>
      </c>
      <c r="B299" s="102" t="inlineStr">
        <is>
          <t xml:space="preserve">   BY TRANSFER-UPI/CR/358866157759/ADITI  G/SBIN/9039494395/Payme--</t>
        </is>
      </c>
      <c r="C299" s="102" t="inlineStr">
        <is>
          <t>TRANSFER FROM 4897735162098</t>
        </is>
      </c>
      <c r="D299" s="101" t="n">
        <v>45148</v>
      </c>
      <c r="E299" s="102" t="n">
        <v>0</v>
      </c>
      <c r="F299" s="102" t="n">
        <v>475</v>
      </c>
      <c r="G299" s="102" t="n">
        <v>73867.50999999999</v>
      </c>
      <c r="H299" s="102" t="inlineStr"/>
      <c r="I299" s="102" t="inlineStr"/>
      <c r="J299" s="102" t="inlineStr">
        <is>
          <t>Received - Aditi  G</t>
        </is>
      </c>
      <c r="K299" s="102" t="inlineStr">
        <is>
          <t>Personal</t>
        </is>
      </c>
      <c r="L299" s="25" t="n">
        <v>0.55</v>
      </c>
      <c r="M299" s="102" t="inlineStr">
        <is>
          <t>N/A</t>
        </is>
      </c>
    </row>
    <row r="300">
      <c r="A300" s="37" t="n">
        <v>45149</v>
      </c>
      <c r="B300" s="38" t="inlineStr">
        <is>
          <t xml:space="preserve">   TO TRANSFER-UPI/DR/358982994448/ARAGHYOD/MAHB/anyk@mahb/UPI--</t>
        </is>
      </c>
      <c r="C300" s="38" t="inlineStr">
        <is>
          <t>TRANSFER TO 4897694162092</t>
        </is>
      </c>
      <c r="D300" s="37" t="n">
        <v>45149</v>
      </c>
      <c r="E300" s="38" t="n">
        <v>1500</v>
      </c>
      <c r="F300" s="38" t="n">
        <v>0</v>
      </c>
      <c r="G300" s="38" t="n">
        <v>72367.50999999999</v>
      </c>
      <c r="H300" s="38" t="inlineStr">
        <is>
          <t>Araghyod</t>
        </is>
      </c>
      <c r="I300" s="38" t="inlineStr"/>
      <c r="J300" s="38" t="inlineStr">
        <is>
          <t>UPI Payment</t>
        </is>
      </c>
      <c r="K300" s="38" t="inlineStr">
        <is>
          <t>Personal</t>
        </is>
      </c>
      <c r="L300" s="25" t="n">
        <v>0.55</v>
      </c>
      <c r="M300" s="38" t="inlineStr">
        <is>
          <t>N/A</t>
        </is>
      </c>
    </row>
    <row r="301">
      <c r="A301" s="32" t="n">
        <v>45151</v>
      </c>
      <c r="B301" s="33" t="inlineStr">
        <is>
          <t xml:space="preserve">   TO TRANSFER-UPI/DR/322526028539/HARI OM /FDRL/bharatpe.9/Pay T--</t>
        </is>
      </c>
      <c r="C301" s="33" t="inlineStr">
        <is>
          <t>TRANSFER TO 4897696162090</t>
        </is>
      </c>
      <c r="D301" s="32" t="n">
        <v>45151</v>
      </c>
      <c r="E301" s="33" t="n">
        <v>605</v>
      </c>
      <c r="F301" s="33" t="n">
        <v>0</v>
      </c>
      <c r="G301" s="33" t="n">
        <v>71762.50999999999</v>
      </c>
      <c r="H301" s="33" t="inlineStr"/>
      <c r="I301" s="33" t="inlineStr"/>
      <c r="J301" s="33" t="inlineStr">
        <is>
          <t>UPI - BharatPe</t>
        </is>
      </c>
      <c r="K301" s="33" t="inlineStr">
        <is>
          <t>Personal</t>
        </is>
      </c>
      <c r="L301" s="34" t="n">
        <v>0.65</v>
      </c>
      <c r="M301" s="33" t="inlineStr">
        <is>
          <t>N/A</t>
        </is>
      </c>
    </row>
    <row r="302">
      <c r="A302" s="37" t="n">
        <v>45151</v>
      </c>
      <c r="B302" s="38" t="inlineStr">
        <is>
          <t xml:space="preserve">   TO TRANSFER-UPI/DR/322500575226/REDBUS/HDFC/redbus1.pa/UPI--</t>
        </is>
      </c>
      <c r="C302" s="38" t="inlineStr">
        <is>
          <t>TRANSFER TO 4897696162090</t>
        </is>
      </c>
      <c r="D302" s="37" t="n">
        <v>45151</v>
      </c>
      <c r="E302" s="38" t="n">
        <v>475</v>
      </c>
      <c r="F302" s="38" t="n">
        <v>0</v>
      </c>
      <c r="G302" s="38" t="n">
        <v>71287.50999999999</v>
      </c>
      <c r="H302" s="38" t="inlineStr">
        <is>
          <t>Redbus</t>
        </is>
      </c>
      <c r="I302" s="38" t="inlineStr"/>
      <c r="J302" s="38" t="inlineStr">
        <is>
          <t>UPI Payment</t>
        </is>
      </c>
      <c r="K302" s="38" t="inlineStr">
        <is>
          <t>Personal</t>
        </is>
      </c>
      <c r="L302" s="25" t="n">
        <v>0.55</v>
      </c>
      <c r="M302" s="38" t="inlineStr">
        <is>
          <t>N/A</t>
        </is>
      </c>
    </row>
    <row r="303">
      <c r="A303" s="35" t="n">
        <v>45152</v>
      </c>
      <c r="B303" s="36" t="inlineStr">
        <is>
          <t xml:space="preserve">   TO TRANSFER-UPI/DR/322649034646/Krushnas/PYTM/paytmqrrqs/UPI--</t>
        </is>
      </c>
      <c r="C303" s="36" t="inlineStr">
        <is>
          <t>TRANSFER TO 4897690162095</t>
        </is>
      </c>
      <c r="D303" s="35" t="n">
        <v>45152</v>
      </c>
      <c r="E303" s="36" t="n">
        <v>122</v>
      </c>
      <c r="F303" s="36" t="n">
        <v>0</v>
      </c>
      <c r="G303" s="36" t="n">
        <v>71165.50999999999</v>
      </c>
      <c r="H303" s="36" t="inlineStr"/>
      <c r="I303" s="36" t="inlineStr"/>
      <c r="J303" s="36" t="inlineStr">
        <is>
          <t>UPI - Paytm</t>
        </is>
      </c>
      <c r="K303" s="36" t="inlineStr">
        <is>
          <t>Personal</t>
        </is>
      </c>
      <c r="L303" s="34" t="n">
        <v>0.65</v>
      </c>
      <c r="M303" s="36" t="inlineStr">
        <is>
          <t>N/A</t>
        </is>
      </c>
    </row>
    <row r="304">
      <c r="A304" s="64" t="n">
        <v>45152</v>
      </c>
      <c r="B304" s="65" t="inlineStr">
        <is>
          <t xml:space="preserve">   BULK POSTING-ACHCr IBKL00249000010274 ITCLIMITED--</t>
        </is>
      </c>
      <c r="C304" s="65" t="n">
        <v/>
      </c>
      <c r="D304" s="64" t="n">
        <v>45152</v>
      </c>
      <c r="E304" s="65" t="n">
        <v>0</v>
      </c>
      <c r="F304" s="65" t="n">
        <v>95</v>
      </c>
      <c r="G304" s="65" t="n">
        <v>71260.50999999999</v>
      </c>
      <c r="H304" s="65" t="inlineStr"/>
      <c r="I304" s="65" t="inlineStr"/>
      <c r="J304" s="65" t="inlineStr">
        <is>
          <t>Dividend Income</t>
        </is>
      </c>
      <c r="K304" s="65" t="inlineStr">
        <is>
          <t>Dividend Income</t>
        </is>
      </c>
      <c r="L304" s="18" t="n">
        <v>0.85</v>
      </c>
      <c r="M304" s="65" t="inlineStr">
        <is>
          <t>N/A</t>
        </is>
      </c>
    </row>
    <row r="305">
      <c r="A305" s="37" t="n">
        <v>45152</v>
      </c>
      <c r="B305" s="38" t="inlineStr">
        <is>
          <t xml:space="preserve">   TO TRANSFER-UPI/DR/322627307930/AMOL SAN/YESB/q737575486/UPI--</t>
        </is>
      </c>
      <c r="C305" s="38" t="inlineStr">
        <is>
          <t>TRANSFER TO 4897690162095</t>
        </is>
      </c>
      <c r="D305" s="37" t="n">
        <v>45152</v>
      </c>
      <c r="E305" s="38" t="n">
        <v>80</v>
      </c>
      <c r="F305" s="38" t="n">
        <v>0</v>
      </c>
      <c r="G305" s="38" t="n">
        <v>71180.50999999999</v>
      </c>
      <c r="H305" s="38" t="inlineStr">
        <is>
          <t>Amol San</t>
        </is>
      </c>
      <c r="I305" s="38" t="inlineStr"/>
      <c r="J305" s="38" t="inlineStr">
        <is>
          <t>UPI Payment</t>
        </is>
      </c>
      <c r="K305" s="38" t="inlineStr">
        <is>
          <t>Personal</t>
        </is>
      </c>
      <c r="L305" s="25" t="n">
        <v>0.55</v>
      </c>
      <c r="M305" s="38" t="inlineStr">
        <is>
          <t>N/A</t>
        </is>
      </c>
    </row>
    <row r="306">
      <c r="A306" s="37" t="n">
        <v>45154</v>
      </c>
      <c r="B306" s="38" t="inlineStr">
        <is>
          <t xml:space="preserve">   TO TRANSFER-UPI/DR/322899850164/SUSHIL K/IPOS/q641920445/UPI--</t>
        </is>
      </c>
      <c r="C306" s="38" t="inlineStr">
        <is>
          <t>TRANSFER TO 4897692162094</t>
        </is>
      </c>
      <c r="D306" s="37" t="n">
        <v>45154</v>
      </c>
      <c r="E306" s="38" t="n">
        <v>200</v>
      </c>
      <c r="F306" s="38" t="n">
        <v>0</v>
      </c>
      <c r="G306" s="38" t="n">
        <v>70980.50999999999</v>
      </c>
      <c r="H306" s="38" t="inlineStr">
        <is>
          <t>Sushil K</t>
        </is>
      </c>
      <c r="I306" s="38" t="inlineStr"/>
      <c r="J306" s="38" t="inlineStr">
        <is>
          <t>UPI Payment</t>
        </is>
      </c>
      <c r="K306" s="38" t="inlineStr">
        <is>
          <t>Personal</t>
        </is>
      </c>
      <c r="L306" s="25" t="n">
        <v>0.55</v>
      </c>
      <c r="M306" s="38" t="inlineStr">
        <is>
          <t>N/A</t>
        </is>
      </c>
    </row>
    <row r="307">
      <c r="A307" s="37" t="n">
        <v>45154</v>
      </c>
      <c r="B307" s="38" t="inlineStr">
        <is>
          <t xml:space="preserve">   TO TRANSFER-UPI/DR/322841052454/SUSHIL K/IPOS/q641920445/UPI--</t>
        </is>
      </c>
      <c r="C307" s="38" t="inlineStr">
        <is>
          <t>TRANSFER TO 4897692162094</t>
        </is>
      </c>
      <c r="D307" s="37" t="n">
        <v>45154</v>
      </c>
      <c r="E307" s="38" t="n">
        <v>50</v>
      </c>
      <c r="F307" s="38" t="n">
        <v>0</v>
      </c>
      <c r="G307" s="38" t="n">
        <v>70930.50999999999</v>
      </c>
      <c r="H307" s="38" t="inlineStr">
        <is>
          <t>Sushil K</t>
        </is>
      </c>
      <c r="I307" s="38" t="inlineStr"/>
      <c r="J307" s="38" t="inlineStr">
        <is>
          <t>UPI Payment</t>
        </is>
      </c>
      <c r="K307" s="38" t="inlineStr">
        <is>
          <t>Personal</t>
        </is>
      </c>
      <c r="L307" s="25" t="n">
        <v>0.55</v>
      </c>
      <c r="M307" s="38" t="inlineStr">
        <is>
          <t>N/A</t>
        </is>
      </c>
    </row>
    <row r="308">
      <c r="A308" s="37" t="n">
        <v>45155</v>
      </c>
      <c r="B308" s="38" t="inlineStr">
        <is>
          <t xml:space="preserve">   TO TRANSFER-UPI/DR/322980455536/ARAGHYOD/MAHB/anyk@mahb/UPI--</t>
        </is>
      </c>
      <c r="C308" s="38" t="inlineStr">
        <is>
          <t>TRANSFER TO 4897693162093</t>
        </is>
      </c>
      <c r="D308" s="37" t="n">
        <v>45155</v>
      </c>
      <c r="E308" s="38" t="n">
        <v>250</v>
      </c>
      <c r="F308" s="38" t="n">
        <v>0</v>
      </c>
      <c r="G308" s="38" t="n">
        <v>70680.50999999999</v>
      </c>
      <c r="H308" s="38" t="inlineStr">
        <is>
          <t>Araghyod</t>
        </is>
      </c>
      <c r="I308" s="38" t="inlineStr"/>
      <c r="J308" s="38" t="inlineStr">
        <is>
          <t>UPI Payment</t>
        </is>
      </c>
      <c r="K308" s="38" t="inlineStr">
        <is>
          <t>Personal</t>
        </is>
      </c>
      <c r="L308" s="25" t="n">
        <v>0.55</v>
      </c>
      <c r="M308" s="38" t="inlineStr">
        <is>
          <t>N/A</t>
        </is>
      </c>
    </row>
    <row r="309">
      <c r="A309" s="35" t="n">
        <v>45155</v>
      </c>
      <c r="B309" s="36" t="inlineStr">
        <is>
          <t xml:space="preserve">   TO TRANSFER-UPI/DR/322940352119/CLEARTRI/PYTM/paytm-3548/OidLB--</t>
        </is>
      </c>
      <c r="C309" s="36" t="inlineStr">
        <is>
          <t>TRANSFER TO 4897693162093</t>
        </is>
      </c>
      <c r="D309" s="35" t="n">
        <v>45155</v>
      </c>
      <c r="E309" s="36" t="n">
        <v>2266</v>
      </c>
      <c r="F309" s="36" t="n">
        <v>0</v>
      </c>
      <c r="G309" s="36" t="n">
        <v>68414.50999999999</v>
      </c>
      <c r="H309" s="36" t="inlineStr"/>
      <c r="I309" s="36" t="inlineStr"/>
      <c r="J309" s="36" t="inlineStr">
        <is>
          <t>UPI - Paytm</t>
        </is>
      </c>
      <c r="K309" s="36" t="inlineStr">
        <is>
          <t>Personal</t>
        </is>
      </c>
      <c r="L309" s="34" t="n">
        <v>0.65</v>
      </c>
      <c r="M309" s="36" t="inlineStr">
        <is>
          <t>N/A</t>
        </is>
      </c>
    </row>
    <row r="310">
      <c r="A310" s="21" t="n">
        <v>45156</v>
      </c>
      <c r="B310" s="22" t="inlineStr">
        <is>
          <t xml:space="preserve">   TO TRANSFER-UPI/DR/323004578780/IRCTC Ap/PYTM/paytm-irct/Oid10--</t>
        </is>
      </c>
      <c r="C310" s="22" t="inlineStr">
        <is>
          <t>TRANSFER TO 4897694162092</t>
        </is>
      </c>
      <c r="D310" s="21" t="n">
        <v>45156</v>
      </c>
      <c r="E310" s="22" t="n">
        <v>101.8</v>
      </c>
      <c r="F310" s="22" t="n">
        <v>0</v>
      </c>
      <c r="G310" s="22" t="n">
        <v>68312.71000000001</v>
      </c>
      <c r="H310" s="22" t="inlineStr"/>
      <c r="I310" s="22" t="inlineStr"/>
      <c r="J310" s="22" t="inlineStr">
        <is>
          <t>UPI - IRCTC</t>
        </is>
      </c>
      <c r="K310" s="22" t="inlineStr">
        <is>
          <t>Travel</t>
        </is>
      </c>
      <c r="L310" s="18" t="n">
        <v>0.88</v>
      </c>
      <c r="M310" s="22" t="inlineStr">
        <is>
          <t>N/A</t>
        </is>
      </c>
    </row>
    <row r="311">
      <c r="A311" s="35" t="n">
        <v>45156</v>
      </c>
      <c r="B311" s="36" t="inlineStr">
        <is>
          <t xml:space="preserve">   TO TRANSFER-UPI/DR/323020145631/UDIPI RE/PYTM/paytmqr281/UPI--</t>
        </is>
      </c>
      <c r="C311" s="36" t="inlineStr">
        <is>
          <t>TRANSFER TO 4897694162092</t>
        </is>
      </c>
      <c r="D311" s="35" t="n">
        <v>45156</v>
      </c>
      <c r="E311" s="36" t="n">
        <v>197</v>
      </c>
      <c r="F311" s="36" t="n">
        <v>0</v>
      </c>
      <c r="G311" s="36" t="n">
        <v>68115.71000000001</v>
      </c>
      <c r="H311" s="36" t="inlineStr"/>
      <c r="I311" s="36" t="inlineStr"/>
      <c r="J311" s="36" t="inlineStr">
        <is>
          <t>UPI - Paytm</t>
        </is>
      </c>
      <c r="K311" s="36" t="inlineStr">
        <is>
          <t>Personal</t>
        </is>
      </c>
      <c r="L311" s="34" t="n">
        <v>0.65</v>
      </c>
      <c r="M311" s="36" t="inlineStr">
        <is>
          <t>N/A</t>
        </is>
      </c>
    </row>
  </sheetData>
  <autoFilter ref="A12:M3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4" customWidth="1" min="1" max="1"/>
    <col hidden="1" width="14" customWidth="1" min="2" max="2"/>
    <col width="13" customWidth="1" min="3" max="3"/>
    <col width="13" customWidth="1" min="4" max="4"/>
    <col hidden="1" width="15" customWidth="1" min="5" max="5"/>
    <col width="27" customWidth="1" min="6" max="6"/>
    <col width="14" customWidth="1" min="7" max="7"/>
    <col width="27" customWidth="1" min="8" max="8"/>
    <col width="16" customWidth="1" min="9" max="9"/>
    <col hidden="1" width="12" customWidth="1" min="10" max="10"/>
    <col width="60" customWidth="1" min="11" max="11"/>
    <col width="26" customWidth="1" min="12" max="12"/>
    <col width="24" customWidth="1" min="13" max="13"/>
  </cols>
  <sheetData>
    <row r="1">
      <c r="A1" s="15" t="inlineStr">
        <is>
          <t>TX Date</t>
        </is>
      </c>
      <c r="B1" s="15" t="inlineStr">
        <is>
          <t>Date</t>
        </is>
      </c>
      <c r="C1" s="15" t="inlineStr">
        <is>
          <t>DR</t>
        </is>
      </c>
      <c r="D1" s="15" t="inlineStr">
        <is>
          <t>CR</t>
        </is>
      </c>
      <c r="E1" s="15" t="inlineStr">
        <is>
          <t>Beneficiary</t>
        </is>
      </c>
      <c r="F1" s="15" t="inlineStr">
        <is>
          <t>Narration</t>
        </is>
      </c>
      <c r="G1" s="15" t="inlineStr">
        <is>
          <t>Confidence</t>
        </is>
      </c>
      <c r="H1" s="15" t="inlineStr">
        <is>
          <t>Account Head</t>
        </is>
      </c>
      <c r="I1" s="15" t="inlineStr">
        <is>
          <t>Account No</t>
        </is>
      </c>
      <c r="J1" s="15" t="inlineStr">
        <is>
          <t>Kya Hai?</t>
        </is>
      </c>
      <c r="K1" s="15" t="inlineStr">
        <is>
          <t>Particulars</t>
        </is>
      </c>
      <c r="L1" s="15" t="inlineStr">
        <is>
          <t>Bank</t>
        </is>
      </c>
      <c r="M1" s="15" t="inlineStr">
        <is>
          <t>Duplicate</t>
        </is>
      </c>
    </row>
    <row r="2">
      <c r="A2" s="101" t="n">
        <v>45017</v>
      </c>
      <c r="B2" s="101" t="n">
        <v>45017</v>
      </c>
      <c r="C2" s="102" t="n">
        <v>0</v>
      </c>
      <c r="D2" s="102" t="n">
        <v>95</v>
      </c>
      <c r="E2" s="102" t="inlineStr"/>
      <c r="F2" s="102" t="inlineStr">
        <is>
          <t>Received - Ayushi M</t>
        </is>
      </c>
      <c r="G2" s="25" t="n">
        <v>0.55</v>
      </c>
      <c r="H2" s="102" t="inlineStr">
        <is>
          <t>Personal</t>
        </is>
      </c>
      <c r="I2" s="102" t="inlineStr">
        <is>
          <t>SBI 1227</t>
        </is>
      </c>
      <c r="J2" s="102" t="inlineStr"/>
      <c r="K2" s="102" t="inlineStr">
        <is>
          <t xml:space="preserve">   BY TRANSFER-UPI/CR/309169418415/AYUSHI M/PUNB/nainamitta/UPI--</t>
        </is>
      </c>
      <c r="L2" s="102" t="inlineStr">
        <is>
          <t>State Bank of India</t>
        </is>
      </c>
      <c r="M2" s="102" t="inlineStr"/>
    </row>
    <row r="3">
      <c r="A3" s="37" t="n">
        <v>45017</v>
      </c>
      <c r="B3" s="37" t="n">
        <v>45017</v>
      </c>
      <c r="C3" s="38" t="n">
        <v>70</v>
      </c>
      <c r="D3" s="38" t="n">
        <v>0</v>
      </c>
      <c r="E3" s="38" t="inlineStr">
        <is>
          <t>Banana L</t>
        </is>
      </c>
      <c r="F3" s="38" t="inlineStr">
        <is>
          <t>UPI Payment</t>
        </is>
      </c>
      <c r="G3" s="25" t="n">
        <v>0.55</v>
      </c>
      <c r="H3" s="38" t="inlineStr">
        <is>
          <t>Personal</t>
        </is>
      </c>
      <c r="I3" s="38" t="inlineStr">
        <is>
          <t>SBI 1227</t>
        </is>
      </c>
      <c r="J3" s="38" t="inlineStr"/>
      <c r="K3" s="38" t="inlineStr">
        <is>
          <t xml:space="preserve">   TO TRANSFER-UPI/DR/309140926569/BANANA L/HDFC/bananaleaf/UPI--</t>
        </is>
      </c>
      <c r="L3" s="38" t="inlineStr">
        <is>
          <t>State Bank of India</t>
        </is>
      </c>
      <c r="M3" s="38" t="inlineStr"/>
    </row>
    <row r="4">
      <c r="A4" s="41" t="n">
        <v>45017</v>
      </c>
      <c r="B4" s="41" t="n">
        <v>45017</v>
      </c>
      <c r="C4" s="42" t="n">
        <v>50000</v>
      </c>
      <c r="D4" s="42" t="n">
        <v>0</v>
      </c>
      <c r="E4" s="42" t="inlineStr"/>
      <c r="F4" s="42" t="inlineStr">
        <is>
          <t>Contra - Axis</t>
        </is>
      </c>
      <c r="G4" s="18" t="n">
        <v>0.9</v>
      </c>
      <c r="H4" s="42" t="inlineStr">
        <is>
          <t>AXIS</t>
        </is>
      </c>
      <c r="I4" s="42" t="inlineStr">
        <is>
          <t>HDFC 5413</t>
        </is>
      </c>
      <c r="J4" s="42" t="inlineStr"/>
      <c r="K4" s="42" t="inlineStr">
        <is>
          <t>NEFT DR-UTIB0002656-AAYUSH KUMAR GUPTA-NETBANK, MUM-N091232397833081-TRANSFER FROM HDFC</t>
        </is>
      </c>
      <c r="L4" s="42" t="inlineStr">
        <is>
          <t>HDFC Bank</t>
        </is>
      </c>
      <c r="M4" s="42" t="inlineStr"/>
    </row>
    <row r="5">
      <c r="A5" s="16" t="n">
        <v>45018</v>
      </c>
      <c r="B5" s="16" t="n">
        <v>45018</v>
      </c>
      <c r="C5" s="17" t="n">
        <v>0</v>
      </c>
      <c r="D5" s="17" t="n">
        <v>50000</v>
      </c>
      <c r="E5" s="17" t="inlineStr"/>
      <c r="F5" s="17" t="inlineStr">
        <is>
          <t>Contra - HDFC</t>
        </is>
      </c>
      <c r="G5" s="18" t="n">
        <v>0.9</v>
      </c>
      <c r="H5" s="17" t="inlineStr">
        <is>
          <t>HDFC 5413</t>
        </is>
      </c>
      <c r="I5" s="17" t="inlineStr">
        <is>
          <t>AXIS</t>
        </is>
      </c>
      <c r="J5" s="17" t="inlineStr"/>
      <c r="K5" s="17" t="inlineStr">
        <is>
          <t>NEFT/N091232397833081/AAYUSH KU/HDFC BANK/Transfe</t>
        </is>
      </c>
      <c r="L5" s="17" t="inlineStr">
        <is>
          <t>Axis Bank</t>
        </is>
      </c>
      <c r="M5" s="17" t="inlineStr"/>
    </row>
    <row r="6">
      <c r="A6" s="37" t="n">
        <v>45018</v>
      </c>
      <c r="B6" s="37" t="n">
        <v>45018</v>
      </c>
      <c r="C6" s="38" t="n">
        <v>90</v>
      </c>
      <c r="D6" s="38" t="n">
        <v>0</v>
      </c>
      <c r="E6" s="38" t="inlineStr">
        <is>
          <t>Lucky Dh</t>
        </is>
      </c>
      <c r="F6" s="38" t="inlineStr">
        <is>
          <t>UPI Payment</t>
        </is>
      </c>
      <c r="G6" s="25" t="n">
        <v>0.55</v>
      </c>
      <c r="H6" s="38" t="inlineStr">
        <is>
          <t>Personal</t>
        </is>
      </c>
      <c r="I6" s="38" t="inlineStr">
        <is>
          <t>SBI 1227</t>
        </is>
      </c>
      <c r="J6" s="38" t="inlineStr"/>
      <c r="K6" s="38" t="inlineStr">
        <is>
          <t xml:space="preserve">   TO TRANSFER-UPI/DR/309276354517/LUCKY DH/YESB/q57871899@/UPI--</t>
        </is>
      </c>
      <c r="L6" s="38" t="inlineStr">
        <is>
          <t>State Bank of India</t>
        </is>
      </c>
      <c r="M6" s="38" t="inlineStr"/>
    </row>
    <row r="7">
      <c r="A7" s="101" t="n">
        <v>45018</v>
      </c>
      <c r="B7" s="101" t="n">
        <v>45018</v>
      </c>
      <c r="C7" s="102" t="n">
        <v>0</v>
      </c>
      <c r="D7" s="102" t="n">
        <v>30</v>
      </c>
      <c r="E7" s="102" t="inlineStr"/>
      <c r="F7" s="102" t="inlineStr">
        <is>
          <t>Received - Prashant</t>
        </is>
      </c>
      <c r="G7" s="25" t="n">
        <v>0.55</v>
      </c>
      <c r="H7" s="102" t="inlineStr">
        <is>
          <t>Personal</t>
        </is>
      </c>
      <c r="I7" s="102" t="inlineStr">
        <is>
          <t>SBI 1227</t>
        </is>
      </c>
      <c r="J7" s="102" t="inlineStr"/>
      <c r="K7" s="102" t="inlineStr">
        <is>
          <t xml:space="preserve">   BY TRANSFER-UPI/CR/309286549772/PRASHANT/HDFC/pkaps1997@/UPI--</t>
        </is>
      </c>
      <c r="L7" s="102" t="inlineStr">
        <is>
          <t>State Bank of India</t>
        </is>
      </c>
      <c r="M7" s="102" t="inlineStr"/>
    </row>
    <row r="8">
      <c r="A8" s="37" t="n">
        <v>45018</v>
      </c>
      <c r="B8" s="37" t="n">
        <v>45018</v>
      </c>
      <c r="C8" s="38" t="n">
        <v>210</v>
      </c>
      <c r="D8" s="38" t="n">
        <v>0</v>
      </c>
      <c r="E8" s="38" t="inlineStr">
        <is>
          <t>Pratyay</t>
        </is>
      </c>
      <c r="F8" s="38" t="inlineStr">
        <is>
          <t>UPI Payment</t>
        </is>
      </c>
      <c r="G8" s="25" t="n">
        <v>0.55</v>
      </c>
      <c r="H8" s="38" t="inlineStr">
        <is>
          <t>Personal</t>
        </is>
      </c>
      <c r="I8" s="38" t="inlineStr">
        <is>
          <t>SBI 1227</t>
        </is>
      </c>
      <c r="J8" s="38" t="inlineStr"/>
      <c r="K8" s="38" t="inlineStr">
        <is>
          <t xml:space="preserve">   TO TRANSFER-UPI/DR/309274214572/PRATYAY /SBIN/7073096110/NA--</t>
        </is>
      </c>
      <c r="L8" s="38" t="inlineStr">
        <is>
          <t>State Bank of India</t>
        </is>
      </c>
      <c r="M8" s="38" t="inlineStr"/>
    </row>
    <row r="9">
      <c r="A9" s="37" t="n">
        <v>45018</v>
      </c>
      <c r="B9" s="37" t="n">
        <v>45018</v>
      </c>
      <c r="C9" s="38" t="n">
        <v>459</v>
      </c>
      <c r="D9" s="38" t="n">
        <v>0</v>
      </c>
      <c r="E9" s="38" t="inlineStr">
        <is>
          <t>Www Voda</t>
        </is>
      </c>
      <c r="F9" s="38" t="inlineStr">
        <is>
          <t>UPI Payment</t>
        </is>
      </c>
      <c r="G9" s="25" t="n">
        <v>0.55</v>
      </c>
      <c r="H9" s="38" t="inlineStr">
        <is>
          <t>Personal</t>
        </is>
      </c>
      <c r="I9" s="38" t="inlineStr">
        <is>
          <t>SBI 1227</t>
        </is>
      </c>
      <c r="J9" s="38" t="inlineStr"/>
      <c r="K9" s="38" t="inlineStr">
        <is>
          <t xml:space="preserve">   TO TRANSFER-UPI/DR/345885628443/WWW VODA/HDFC/vodafone1./UPI--</t>
        </is>
      </c>
      <c r="L9" s="38" t="inlineStr">
        <is>
          <t>State Bank of India</t>
        </is>
      </c>
      <c r="M9" s="38" t="inlineStr"/>
    </row>
    <row r="10">
      <c r="A10" s="37" t="n">
        <v>45018</v>
      </c>
      <c r="B10" s="37" t="n">
        <v>45018</v>
      </c>
      <c r="C10" s="38" t="n">
        <v>71</v>
      </c>
      <c r="D10" s="38" t="n">
        <v>0</v>
      </c>
      <c r="E10" s="38" t="inlineStr">
        <is>
          <t>Kunal Bh</t>
        </is>
      </c>
      <c r="F10" s="38" t="inlineStr">
        <is>
          <t>UPI Payment</t>
        </is>
      </c>
      <c r="G10" s="25" t="n">
        <v>0.55</v>
      </c>
      <c r="H10" s="38" t="inlineStr">
        <is>
          <t>Personal</t>
        </is>
      </c>
      <c r="I10" s="38" t="inlineStr">
        <is>
          <t>SBI 1227</t>
        </is>
      </c>
      <c r="J10" s="38" t="inlineStr"/>
      <c r="K10" s="38" t="inlineStr">
        <is>
          <t xml:space="preserve">   TO TRANSFER-UPI/DR/309277368845/KUNAL BH/HDFC/kunalbhard/UPI--</t>
        </is>
      </c>
      <c r="L10" s="38" t="inlineStr">
        <is>
          <t>State Bank of India</t>
        </is>
      </c>
      <c r="M10" s="38" t="inlineStr"/>
    </row>
    <row r="11">
      <c r="A11" s="54" t="n">
        <v>45019</v>
      </c>
      <c r="B11" s="54" t="n">
        <v>45019</v>
      </c>
      <c r="C11" s="55" t="n">
        <v>0</v>
      </c>
      <c r="D11" s="55" t="n">
        <v>4287.59</v>
      </c>
      <c r="E11" s="55" t="inlineStr"/>
      <c r="F11" s="55" t="inlineStr">
        <is>
          <t>HDFC Securities - Sell</t>
        </is>
      </c>
      <c r="G11" s="18" t="n">
        <v>0.97</v>
      </c>
      <c r="H11" s="55" t="inlineStr">
        <is>
          <t>HDFC Securities</t>
        </is>
      </c>
      <c r="I11" s="55" t="inlineStr">
        <is>
          <t>HDFC 5413</t>
        </is>
      </c>
      <c r="J11" s="55" t="inlineStr"/>
      <c r="K11" s="55" t="inlineStr">
        <is>
          <t>NET PO FROM HSL A/C 2554606-00602340029427</t>
        </is>
      </c>
      <c r="L11" s="55" t="inlineStr">
        <is>
          <t>HDFC Bank</t>
        </is>
      </c>
      <c r="M11" s="55" t="inlineStr"/>
    </row>
    <row r="12">
      <c r="A12" s="41" t="n">
        <v>45019</v>
      </c>
      <c r="B12" s="41" t="n">
        <v>45019</v>
      </c>
      <c r="C12" s="42" t="n">
        <v>0</v>
      </c>
      <c r="D12" s="42" t="n">
        <v>57999</v>
      </c>
      <c r="E12" s="42" t="inlineStr"/>
      <c r="F12" s="42" t="inlineStr">
        <is>
          <t>Contra - Axis</t>
        </is>
      </c>
      <c r="G12" s="18" t="n">
        <v>0.9</v>
      </c>
      <c r="H12" s="42" t="inlineStr">
        <is>
          <t>AXIS</t>
        </is>
      </c>
      <c r="I12" s="42" t="inlineStr">
        <is>
          <t>HDFC 5413</t>
        </is>
      </c>
      <c r="J12" s="42" t="inlineStr"/>
      <c r="K12" s="42" t="inlineStr">
        <is>
          <t>NEFT CR-UTIB0000115-JINDAL SAW LIMITED-AAYUSH KUMAR GUPTA-AXISCN0231261220</t>
        </is>
      </c>
      <c r="L12" s="42" t="inlineStr">
        <is>
          <t>HDFC Bank</t>
        </is>
      </c>
      <c r="M12" s="42" t="inlineStr"/>
    </row>
    <row r="13">
      <c r="A13" s="41" t="n">
        <v>45019</v>
      </c>
      <c r="B13" s="41" t="n">
        <v>45019</v>
      </c>
      <c r="C13" s="42" t="n">
        <v>387.51</v>
      </c>
      <c r="D13" s="42" t="n">
        <v>0</v>
      </c>
      <c r="E13" s="42" t="inlineStr"/>
      <c r="F13" s="42" t="inlineStr">
        <is>
          <t>HDFC Securities - Buy</t>
        </is>
      </c>
      <c r="G13" s="18" t="n">
        <v>0.97</v>
      </c>
      <c r="H13" s="42" t="inlineStr">
        <is>
          <t>HDFC Securities</t>
        </is>
      </c>
      <c r="I13" s="42" t="inlineStr">
        <is>
          <t>HDFC 5413</t>
        </is>
      </c>
      <c r="J13" s="42" t="inlineStr"/>
      <c r="K13" s="42" t="inlineStr">
        <is>
          <t>NET PI TO HSL SEC A/C 2554606-00602340029427</t>
        </is>
      </c>
      <c r="L13" s="42" t="inlineStr">
        <is>
          <t>HDFC Bank</t>
        </is>
      </c>
      <c r="M13" s="42" t="inlineStr"/>
    </row>
    <row r="14">
      <c r="A14" s="58" t="n">
        <v>45019</v>
      </c>
      <c r="B14" s="58" t="n">
        <v>45019</v>
      </c>
      <c r="C14" s="59" t="n">
        <v>5000</v>
      </c>
      <c r="D14" s="59" t="n">
        <v>0</v>
      </c>
      <c r="E14" s="59" t="inlineStr"/>
      <c r="F14" s="59" t="inlineStr">
        <is>
          <t>Zerodha Broking</t>
        </is>
      </c>
      <c r="G14" s="18" t="n">
        <v>0.88</v>
      </c>
      <c r="H14" s="59" t="inlineStr">
        <is>
          <t>Zerodha Broking Limited</t>
        </is>
      </c>
      <c r="I14" s="59" t="inlineStr">
        <is>
          <t>SBI 1227</t>
        </is>
      </c>
      <c r="J14" s="59" t="inlineStr"/>
      <c r="K14" s="59" t="inlineStr">
        <is>
          <t xml:space="preserve">   TO TRANSFER-UPI/DR/345945568018/Zerodha /HDFC/zerodhabro/08956--</t>
        </is>
      </c>
      <c r="L14" s="59" t="inlineStr">
        <is>
          <t>State Bank of India</t>
        </is>
      </c>
      <c r="M14" s="59" t="inlineStr"/>
    </row>
    <row r="15">
      <c r="A15" s="35" t="n">
        <v>45020</v>
      </c>
      <c r="B15" s="35" t="n">
        <v>45020</v>
      </c>
      <c r="C15" s="36" t="n">
        <v>30</v>
      </c>
      <c r="D15" s="36" t="n">
        <v>0</v>
      </c>
      <c r="E15" s="36" t="inlineStr"/>
      <c r="F15" s="36" t="inlineStr">
        <is>
          <t>UPI - Paytm</t>
        </is>
      </c>
      <c r="G15" s="34" t="n">
        <v>0.65</v>
      </c>
      <c r="H15" s="36" t="inlineStr">
        <is>
          <t>Personal</t>
        </is>
      </c>
      <c r="I15" s="36" t="inlineStr">
        <is>
          <t>SBI 1227</t>
        </is>
      </c>
      <c r="J15" s="36" t="inlineStr"/>
      <c r="K15" s="36" t="inlineStr">
        <is>
          <t xml:space="preserve">   TO TRANSFER-UPI/DR/346087812550/SEVEN SP/PYTM/paytmqr281/UPI--</t>
        </is>
      </c>
      <c r="L15" s="36" t="inlineStr">
        <is>
          <t>State Bank of India</t>
        </is>
      </c>
      <c r="M15" s="36" t="inlineStr"/>
    </row>
    <row r="16">
      <c r="A16" s="35" t="n">
        <v>45020</v>
      </c>
      <c r="B16" s="35" t="n">
        <v>45020</v>
      </c>
      <c r="C16" s="36" t="n">
        <v>250</v>
      </c>
      <c r="D16" s="36" t="n">
        <v>0</v>
      </c>
      <c r="E16" s="36" t="inlineStr"/>
      <c r="F16" s="36" t="inlineStr">
        <is>
          <t>UPI - Paytm</t>
        </is>
      </c>
      <c r="G16" s="34" t="n">
        <v>0.65</v>
      </c>
      <c r="H16" s="36" t="inlineStr">
        <is>
          <t>Personal</t>
        </is>
      </c>
      <c r="I16" s="36" t="inlineStr">
        <is>
          <t>SBI 1227</t>
        </is>
      </c>
      <c r="J16" s="36" t="inlineStr"/>
      <c r="K16" s="36" t="inlineStr">
        <is>
          <t xml:space="preserve">   TO TRANSFER-UPI/DR/309414339465/SEVEN SP/PYTM/paytmqr281/UPI--</t>
        </is>
      </c>
      <c r="L16" s="36" t="inlineStr">
        <is>
          <t>State Bank of India</t>
        </is>
      </c>
      <c r="M16" s="36" t="inlineStr"/>
    </row>
    <row r="17">
      <c r="A17" s="41" t="n">
        <v>45021</v>
      </c>
      <c r="B17" s="41" t="n">
        <v>45021</v>
      </c>
      <c r="C17" s="42" t="n">
        <v>21810.69</v>
      </c>
      <c r="D17" s="42" t="n">
        <v>0</v>
      </c>
      <c r="E17" s="42" t="inlineStr"/>
      <c r="F17" s="42" t="inlineStr">
        <is>
          <t>HDFC Securities - Buy</t>
        </is>
      </c>
      <c r="G17" s="18" t="n">
        <v>0.97</v>
      </c>
      <c r="H17" s="42" t="inlineStr">
        <is>
          <t>HDFC Securities</t>
        </is>
      </c>
      <c r="I17" s="42" t="inlineStr">
        <is>
          <t>HDFC 5413</t>
        </is>
      </c>
      <c r="J17" s="42" t="inlineStr"/>
      <c r="K17" s="42" t="inlineStr">
        <is>
          <t>NET PI TO HSL SEC A/C 2554606-00602340029427</t>
        </is>
      </c>
      <c r="L17" s="42" t="inlineStr">
        <is>
          <t>HDFC Bank</t>
        </is>
      </c>
      <c r="M17" s="42" t="inlineStr"/>
    </row>
    <row r="18">
      <c r="A18" s="37" t="n">
        <v>45021</v>
      </c>
      <c r="B18" s="37" t="n">
        <v>45021</v>
      </c>
      <c r="C18" s="38" t="n">
        <v>70</v>
      </c>
      <c r="D18" s="38" t="n">
        <v>0</v>
      </c>
      <c r="E18" s="38" t="inlineStr">
        <is>
          <t>Banana L</t>
        </is>
      </c>
      <c r="F18" s="38" t="inlineStr">
        <is>
          <t>UPI Payment</t>
        </is>
      </c>
      <c r="G18" s="25" t="n">
        <v>0.55</v>
      </c>
      <c r="H18" s="38" t="inlineStr">
        <is>
          <t>Personal</t>
        </is>
      </c>
      <c r="I18" s="38" t="inlineStr">
        <is>
          <t>SBI 1227</t>
        </is>
      </c>
      <c r="J18" s="38" t="inlineStr"/>
      <c r="K18" s="38" t="inlineStr">
        <is>
          <t xml:space="preserve">   TO TRANSFER-UPI/DR/309564429050/BANANA L/HDFC/bananaleaf/UPI--</t>
        </is>
      </c>
      <c r="L18" s="38" t="inlineStr">
        <is>
          <t>State Bank of India</t>
        </is>
      </c>
      <c r="M18" s="38" t="inlineStr"/>
    </row>
    <row r="19">
      <c r="A19" s="37" t="n">
        <v>45022</v>
      </c>
      <c r="B19" s="37" t="n">
        <v>45022</v>
      </c>
      <c r="C19" s="38" t="n">
        <v>104</v>
      </c>
      <c r="D19" s="38" t="n">
        <v>0</v>
      </c>
      <c r="E19" s="38" t="inlineStr">
        <is>
          <t>Mr  Aada</t>
        </is>
      </c>
      <c r="F19" s="38" t="inlineStr">
        <is>
          <t>UPI Payment</t>
        </is>
      </c>
      <c r="G19" s="25" t="n">
        <v>0.55</v>
      </c>
      <c r="H19" s="38" t="inlineStr">
        <is>
          <t>Personal</t>
        </is>
      </c>
      <c r="I19" s="38" t="inlineStr">
        <is>
          <t>SBI 1227</t>
        </is>
      </c>
      <c r="J19" s="38" t="inlineStr"/>
      <c r="K19" s="38" t="inlineStr">
        <is>
          <t xml:space="preserve">   TO TRANSFER-UPI/DR/309682616023/Mr  AADA/YESB/q423863729/UPI--</t>
        </is>
      </c>
      <c r="L19" s="38" t="inlineStr">
        <is>
          <t>State Bank of India</t>
        </is>
      </c>
      <c r="M19" s="38" t="inlineStr"/>
    </row>
    <row r="20">
      <c r="A20" s="97" t="n">
        <v>45022</v>
      </c>
      <c r="B20" s="97" t="n">
        <v>45022</v>
      </c>
      <c r="C20" s="98" t="n">
        <v>306</v>
      </c>
      <c r="D20" s="98" t="n">
        <v>0</v>
      </c>
      <c r="E20" s="98" t="inlineStr"/>
      <c r="F20" s="98" t="inlineStr">
        <is>
          <t>UPI - Swiggy</t>
        </is>
      </c>
      <c r="G20" s="34" t="n">
        <v>0.68</v>
      </c>
      <c r="H20" s="98" t="inlineStr">
        <is>
          <t>Food &amp; Dining</t>
        </is>
      </c>
      <c r="I20" s="98" t="inlineStr">
        <is>
          <t>SBI 1227</t>
        </is>
      </c>
      <c r="J20" s="98" t="inlineStr"/>
      <c r="K20" s="98" t="inlineStr">
        <is>
          <t xml:space="preserve">   TO TRANSFER-UPI/DR/309673159840/Swiggy/UTIB/swiggyupi@/Swiggy--</t>
        </is>
      </c>
      <c r="L20" s="98" t="inlineStr">
        <is>
          <t>State Bank of India</t>
        </is>
      </c>
      <c r="M20" s="98" t="inlineStr"/>
    </row>
    <row r="21">
      <c r="A21" s="41" t="n">
        <v>45022</v>
      </c>
      <c r="B21" s="41" t="n">
        <v>45022</v>
      </c>
      <c r="C21" s="42" t="n">
        <v>115.7</v>
      </c>
      <c r="D21" s="42" t="n">
        <v>0</v>
      </c>
      <c r="E21" s="42" t="inlineStr"/>
      <c r="F21" s="42" t="inlineStr">
        <is>
          <t>HDFC Securities - Buy</t>
        </is>
      </c>
      <c r="G21" s="18" t="n">
        <v>0.97</v>
      </c>
      <c r="H21" s="42" t="inlineStr">
        <is>
          <t>HDFC Securities</t>
        </is>
      </c>
      <c r="I21" s="42" t="inlineStr">
        <is>
          <t>HDFC 5413</t>
        </is>
      </c>
      <c r="J21" s="42" t="inlineStr"/>
      <c r="K21" s="42" t="inlineStr">
        <is>
          <t>NET PI TO HSL SEC A/C 2554606-00602340029427</t>
        </is>
      </c>
      <c r="L21" s="42" t="inlineStr">
        <is>
          <t>HDFC Bank</t>
        </is>
      </c>
      <c r="M21" s="42" t="inlineStr"/>
    </row>
    <row r="22">
      <c r="A22" s="54" t="n">
        <v>45022</v>
      </c>
      <c r="B22" s="54" t="n">
        <v>45022</v>
      </c>
      <c r="C22" s="55" t="n">
        <v>0</v>
      </c>
      <c r="D22" s="55" t="n">
        <v>1699.23</v>
      </c>
      <c r="E22" s="55" t="inlineStr"/>
      <c r="F22" s="55" t="inlineStr">
        <is>
          <t>HDFC Securities - Sell</t>
        </is>
      </c>
      <c r="G22" s="18" t="n">
        <v>0.97</v>
      </c>
      <c r="H22" s="55" t="inlineStr">
        <is>
          <t>HDFC Securities</t>
        </is>
      </c>
      <c r="I22" s="55" t="inlineStr">
        <is>
          <t>HDFC 5413</t>
        </is>
      </c>
      <c r="J22" s="55" t="inlineStr"/>
      <c r="K22" s="55" t="inlineStr">
        <is>
          <t>NET PO FROM HSL A/C 2554606-00602340029427</t>
        </is>
      </c>
      <c r="L22" s="55" t="inlineStr">
        <is>
          <t>HDFC Bank</t>
        </is>
      </c>
      <c r="M22" s="55" t="inlineStr"/>
    </row>
    <row r="23">
      <c r="A23" s="23" t="n">
        <v>45023</v>
      </c>
      <c r="B23" s="23" t="n">
        <v>45023</v>
      </c>
      <c r="C23" s="24" t="n">
        <v>0</v>
      </c>
      <c r="D23" s="24" t="n">
        <v>1880</v>
      </c>
      <c r="E23" s="24" t="inlineStr"/>
      <c r="F23" s="24" t="inlineStr">
        <is>
          <t>What is this?</t>
        </is>
      </c>
      <c r="G23" s="25" t="n">
        <v>0</v>
      </c>
      <c r="H23" s="24" t="inlineStr">
        <is>
          <t>Suspense</t>
        </is>
      </c>
      <c r="I23" s="24" t="inlineStr">
        <is>
          <t>HDFC 5413</t>
        </is>
      </c>
      <c r="J23" s="24" t="inlineStr"/>
      <c r="K23" s="24" t="inlineStr">
        <is>
          <t>00602300000434-021333684</t>
        </is>
      </c>
      <c r="L23" s="24" t="inlineStr">
        <is>
          <t>HDFC Bank</t>
        </is>
      </c>
      <c r="M23" s="24" t="inlineStr"/>
    </row>
    <row r="24">
      <c r="A24" s="21" t="n">
        <v>45023</v>
      </c>
      <c r="B24" s="21" t="n">
        <v>45023</v>
      </c>
      <c r="C24" s="22" t="n">
        <v>902.15</v>
      </c>
      <c r="D24" s="22" t="n">
        <v>0</v>
      </c>
      <c r="E24" s="22" t="inlineStr"/>
      <c r="F24" s="22" t="inlineStr">
        <is>
          <t>UPI - IRCTC</t>
        </is>
      </c>
      <c r="G24" s="18" t="n">
        <v>0.88</v>
      </c>
      <c r="H24" s="22" t="inlineStr">
        <is>
          <t>Travel</t>
        </is>
      </c>
      <c r="I24" s="22" t="inlineStr">
        <is>
          <t>SBI 1227</t>
        </is>
      </c>
      <c r="J24" s="22" t="inlineStr"/>
      <c r="K24" s="22" t="inlineStr">
        <is>
          <t xml:space="preserve">   TO TRANSFER-UPI/DR/309789705434/IRCTC CF/HDFC/irctc.cf@h/IRCTC--</t>
        </is>
      </c>
      <c r="L24" s="22" t="inlineStr">
        <is>
          <t>State Bank of India</t>
        </is>
      </c>
      <c r="M24" s="22" t="inlineStr"/>
    </row>
    <row r="25">
      <c r="A25" s="37" t="n">
        <v>45023</v>
      </c>
      <c r="B25" s="37" t="n">
        <v>45023</v>
      </c>
      <c r="C25" s="38" t="n">
        <v>110</v>
      </c>
      <c r="D25" s="38" t="n">
        <v>0</v>
      </c>
      <c r="E25" s="38" t="inlineStr">
        <is>
          <t>Banana L</t>
        </is>
      </c>
      <c r="F25" s="38" t="inlineStr">
        <is>
          <t>UPI Payment</t>
        </is>
      </c>
      <c r="G25" s="25" t="n">
        <v>0.55</v>
      </c>
      <c r="H25" s="38" t="inlineStr">
        <is>
          <t>Personal</t>
        </is>
      </c>
      <c r="I25" s="38" t="inlineStr">
        <is>
          <t>SBI 1227</t>
        </is>
      </c>
      <c r="J25" s="38" t="inlineStr"/>
      <c r="K25" s="38" t="inlineStr">
        <is>
          <t xml:space="preserve">   TO TRANSFER-UPI/DR/309732235881/BANANA L/HDFC/bananaleaf/UPI--</t>
        </is>
      </c>
      <c r="L25" s="38" t="inlineStr">
        <is>
          <t>State Bank of India</t>
        </is>
      </c>
      <c r="M25" s="38" t="inlineStr"/>
    </row>
    <row r="26">
      <c r="A26" s="21" t="n">
        <v>45023</v>
      </c>
      <c r="B26" s="21" t="n">
        <v>45023</v>
      </c>
      <c r="C26" s="22" t="n">
        <v>602.15</v>
      </c>
      <c r="D26" s="22" t="n">
        <v>0</v>
      </c>
      <c r="E26" s="22" t="inlineStr"/>
      <c r="F26" s="22" t="inlineStr">
        <is>
          <t>UPI - IRCTC</t>
        </is>
      </c>
      <c r="G26" s="18" t="n">
        <v>0.88</v>
      </c>
      <c r="H26" s="22" t="inlineStr">
        <is>
          <t>Travel</t>
        </is>
      </c>
      <c r="I26" s="22" t="inlineStr">
        <is>
          <t>SBI 1227</t>
        </is>
      </c>
      <c r="J26" s="22" t="inlineStr"/>
      <c r="K26" s="22" t="inlineStr">
        <is>
          <t xml:space="preserve">   TO TRANSFER-UPI/DR/309790935099/IRCTC CF/HDFC/irctc.cf@h/IRCTC--</t>
        </is>
      </c>
      <c r="L26" s="22" t="inlineStr">
        <is>
          <t>State Bank of India</t>
        </is>
      </c>
      <c r="M26" s="22" t="inlineStr"/>
    </row>
    <row r="27">
      <c r="A27" s="37" t="n">
        <v>45023</v>
      </c>
      <c r="B27" s="37" t="n">
        <v>45023</v>
      </c>
      <c r="C27" s="38" t="n">
        <v>20</v>
      </c>
      <c r="D27" s="38" t="n">
        <v>0</v>
      </c>
      <c r="E27" s="38" t="inlineStr">
        <is>
          <t>Mr  Aada</t>
        </is>
      </c>
      <c r="F27" s="38" t="inlineStr">
        <is>
          <t>UPI Payment</t>
        </is>
      </c>
      <c r="G27" s="25" t="n">
        <v>0.55</v>
      </c>
      <c r="H27" s="38" t="inlineStr">
        <is>
          <t>Personal</t>
        </is>
      </c>
      <c r="I27" s="38" t="inlineStr">
        <is>
          <t>SBI 1227</t>
        </is>
      </c>
      <c r="J27" s="38" t="inlineStr"/>
      <c r="K27" s="38" t="inlineStr">
        <is>
          <t xml:space="preserve">   TO TRANSFER-UPI/DR/309720030395/Mr  AADA/YESB/q143041833/UPI--</t>
        </is>
      </c>
      <c r="L27" s="38" t="inlineStr">
        <is>
          <t>State Bank of India</t>
        </is>
      </c>
      <c r="M27" s="38" t="inlineStr"/>
    </row>
    <row r="28">
      <c r="A28" s="21" t="n">
        <v>45023</v>
      </c>
      <c r="B28" s="21" t="n">
        <v>45023</v>
      </c>
      <c r="C28" s="22" t="n">
        <v>1448.95</v>
      </c>
      <c r="D28" s="22" t="n">
        <v>0</v>
      </c>
      <c r="E28" s="22" t="inlineStr"/>
      <c r="F28" s="22" t="inlineStr">
        <is>
          <t>UPI - IRCTC</t>
        </is>
      </c>
      <c r="G28" s="18" t="n">
        <v>0.88</v>
      </c>
      <c r="H28" s="22" t="inlineStr">
        <is>
          <t>Travel</t>
        </is>
      </c>
      <c r="I28" s="22" t="inlineStr">
        <is>
          <t>SBI 1227</t>
        </is>
      </c>
      <c r="J28" s="22" t="inlineStr"/>
      <c r="K28" s="22" t="inlineStr">
        <is>
          <t xml:space="preserve">   TO TRANSFER-UPI/DR/309789529764/IRCTC CF/HDFC/irctc.cf@h/IRCTC--</t>
        </is>
      </c>
      <c r="L28" s="22" t="inlineStr">
        <is>
          <t>State Bank of India</t>
        </is>
      </c>
      <c r="M28" s="22" t="inlineStr"/>
    </row>
    <row r="29">
      <c r="A29" s="35" t="n">
        <v>45024</v>
      </c>
      <c r="B29" s="35" t="n">
        <v>45024</v>
      </c>
      <c r="C29" s="36" t="n">
        <v>60</v>
      </c>
      <c r="D29" s="36" t="n">
        <v>0</v>
      </c>
      <c r="E29" s="36" t="inlineStr"/>
      <c r="F29" s="36" t="inlineStr">
        <is>
          <t>UPI - Paytm</t>
        </is>
      </c>
      <c r="G29" s="34" t="n">
        <v>0.65</v>
      </c>
      <c r="H29" s="36" t="inlineStr">
        <is>
          <t>Personal</t>
        </is>
      </c>
      <c r="I29" s="36" t="inlineStr">
        <is>
          <t>SBI 1227</t>
        </is>
      </c>
      <c r="J29" s="36" t="inlineStr"/>
      <c r="K29" s="36" t="inlineStr">
        <is>
          <t xml:space="preserve">   TO TRANSFER-UPI/DR/309870836173/SEVEN SP/PYTM/paytmqr281/UPI--</t>
        </is>
      </c>
      <c r="L29" s="36" t="inlineStr">
        <is>
          <t>State Bank of India</t>
        </is>
      </c>
      <c r="M29" s="36" t="inlineStr"/>
    </row>
    <row r="30">
      <c r="A30" s="37" t="n">
        <v>45024</v>
      </c>
      <c r="B30" s="37" t="n">
        <v>45024</v>
      </c>
      <c r="C30" s="38" t="n">
        <v>40</v>
      </c>
      <c r="D30" s="38" t="n">
        <v>0</v>
      </c>
      <c r="E30" s="38" t="inlineStr">
        <is>
          <t>Mr  Aada</t>
        </is>
      </c>
      <c r="F30" s="38" t="inlineStr">
        <is>
          <t>UPI Payment</t>
        </is>
      </c>
      <c r="G30" s="25" t="n">
        <v>0.55</v>
      </c>
      <c r="H30" s="38" t="inlineStr">
        <is>
          <t>Personal</t>
        </is>
      </c>
      <c r="I30" s="38" t="inlineStr">
        <is>
          <t>SBI 1227</t>
        </is>
      </c>
      <c r="J30" s="38" t="inlineStr"/>
      <c r="K30" s="38" t="inlineStr">
        <is>
          <t xml:space="preserve">   TO TRANSFER-UPI/DR/309845925383/Mr  AADA/YESB/q143041833/UPI--</t>
        </is>
      </c>
      <c r="L30" s="38" t="inlineStr">
        <is>
          <t>State Bank of India</t>
        </is>
      </c>
      <c r="M30" s="38" t="inlineStr"/>
    </row>
    <row r="31">
      <c r="A31" s="26" t="n">
        <v>45024</v>
      </c>
      <c r="B31" s="26" t="n">
        <v>45024</v>
      </c>
      <c r="C31" s="27" t="n">
        <v>100</v>
      </c>
      <c r="D31" s="27" t="n">
        <v>0</v>
      </c>
      <c r="E31" s="27" t="inlineStr"/>
      <c r="F31" s="27" t="inlineStr">
        <is>
          <t>Transfer - Ajay Gupta</t>
        </is>
      </c>
      <c r="G31" s="18" t="n">
        <v>0.88</v>
      </c>
      <c r="H31" s="27" t="inlineStr">
        <is>
          <t>Ajay Gupta</t>
        </is>
      </c>
      <c r="I31" s="27" t="inlineStr">
        <is>
          <t>SBI 1227</t>
        </is>
      </c>
      <c r="J31" s="27" t="inlineStr"/>
      <c r="K31" s="27" t="inlineStr">
        <is>
          <t xml:space="preserve">   TO TRANSFER-UPI/DR/309864621113/AJAY GUPTA/HDFC/slietajayg/UPI--</t>
        </is>
      </c>
      <c r="L31" s="27" t="inlineStr">
        <is>
          <t>State Bank of India</t>
        </is>
      </c>
      <c r="M31" s="27" t="inlineStr"/>
    </row>
    <row r="32">
      <c r="A32" s="37" t="n">
        <v>45024</v>
      </c>
      <c r="B32" s="37" t="n">
        <v>45024</v>
      </c>
      <c r="C32" s="38" t="n">
        <v>132</v>
      </c>
      <c r="D32" s="38" t="n">
        <v>0</v>
      </c>
      <c r="E32" s="38" t="inlineStr">
        <is>
          <t>Raj  Rani</t>
        </is>
      </c>
      <c r="F32" s="38" t="inlineStr">
        <is>
          <t>UPI Payment</t>
        </is>
      </c>
      <c r="G32" s="25" t="n">
        <v>0.55</v>
      </c>
      <c r="H32" s="38" t="inlineStr">
        <is>
          <t>Personal</t>
        </is>
      </c>
      <c r="I32" s="38" t="inlineStr">
        <is>
          <t>SBI 1227</t>
        </is>
      </c>
      <c r="J32" s="38" t="inlineStr"/>
      <c r="K32" s="38" t="inlineStr">
        <is>
          <t xml:space="preserve">   TO TRANSFER-UPI/DR/309861185569/Raj  Rani/SBIN/lalsinghla/UPI--</t>
        </is>
      </c>
      <c r="L32" s="38" t="inlineStr">
        <is>
          <t>State Bank of India</t>
        </is>
      </c>
      <c r="M32" s="38" t="inlineStr"/>
    </row>
    <row r="33">
      <c r="A33" s="37" t="n">
        <v>45024</v>
      </c>
      <c r="B33" s="37" t="n">
        <v>45024</v>
      </c>
      <c r="C33" s="38" t="n">
        <v>10</v>
      </c>
      <c r="D33" s="38" t="n">
        <v>0</v>
      </c>
      <c r="E33" s="38" t="inlineStr"/>
      <c r="F33" s="38" t="inlineStr">
        <is>
          <t>UPI Payment</t>
        </is>
      </c>
      <c r="G33" s="25" t="n">
        <v>0.55</v>
      </c>
      <c r="H33" s="38" t="inlineStr">
        <is>
          <t>Personal</t>
        </is>
      </c>
      <c r="I33" s="38" t="inlineStr">
        <is>
          <t>FEDERAL 0847</t>
        </is>
      </c>
      <c r="J33" s="38" t="inlineStr"/>
      <c r="K33" s="38" t="inlineStr">
        <is>
          <t>UPIOUT/309826882296/Q143041833@ybl/Sent
via /5311</t>
        </is>
      </c>
      <c r="L33" s="38" t="inlineStr">
        <is>
          <t>Federal Bank (Jupiter)</t>
        </is>
      </c>
      <c r="M33" s="38" t="inlineStr"/>
    </row>
    <row r="34">
      <c r="A34" s="37" t="n">
        <v>45025</v>
      </c>
      <c r="B34" s="37" t="n">
        <v>45025</v>
      </c>
      <c r="C34" s="38" t="n">
        <v>125</v>
      </c>
      <c r="D34" s="38" t="n">
        <v>0</v>
      </c>
      <c r="E34" s="38" t="inlineStr">
        <is>
          <t>Jagdish</t>
        </is>
      </c>
      <c r="F34" s="38" t="inlineStr">
        <is>
          <t>UPI Payment</t>
        </is>
      </c>
      <c r="G34" s="25" t="n">
        <v>0.55</v>
      </c>
      <c r="H34" s="38" t="inlineStr">
        <is>
          <t>Personal</t>
        </is>
      </c>
      <c r="I34" s="38" t="inlineStr">
        <is>
          <t>SBI 1227</t>
        </is>
      </c>
      <c r="J34" s="38" t="inlineStr"/>
      <c r="K34" s="38" t="inlineStr">
        <is>
          <t xml:space="preserve">   TO TRANSFER-UPI/DR/309973408594/JAGDISH/PYTM/7742506388/UPI--</t>
        </is>
      </c>
      <c r="L34" s="38" t="inlineStr">
        <is>
          <t>State Bank of India</t>
        </is>
      </c>
      <c r="M34" s="38" t="inlineStr"/>
    </row>
    <row r="35">
      <c r="A35" s="91" t="n">
        <v>45025</v>
      </c>
      <c r="B35" s="91" t="n">
        <v>45025</v>
      </c>
      <c r="C35" s="92" t="n">
        <v>48.52</v>
      </c>
      <c r="D35" s="92" t="n">
        <v>0</v>
      </c>
      <c r="E35" s="92" t="inlineStr"/>
      <c r="F35" s="92" t="inlineStr">
        <is>
          <t>UPI - Uber</t>
        </is>
      </c>
      <c r="G35" s="34" t="n">
        <v>0.68</v>
      </c>
      <c r="H35" s="92" t="inlineStr">
        <is>
          <t>Transport</t>
        </is>
      </c>
      <c r="I35" s="92" t="inlineStr">
        <is>
          <t>SBI 1227</t>
        </is>
      </c>
      <c r="J35" s="92" t="inlineStr"/>
      <c r="K35" s="92" t="inlineStr">
        <is>
          <t xml:space="preserve">   TO TRANSFER-UPI/DR/309994513204/UBER IND/HDFC/uberrides@/charg--</t>
        </is>
      </c>
      <c r="L35" s="92" t="inlineStr">
        <is>
          <t>State Bank of India</t>
        </is>
      </c>
      <c r="M35" s="92" t="inlineStr"/>
    </row>
    <row r="36">
      <c r="A36" s="41" t="n">
        <v>45026</v>
      </c>
      <c r="B36" s="41" t="n">
        <v>45026</v>
      </c>
      <c r="C36" s="42" t="n">
        <v>466.16</v>
      </c>
      <c r="D36" s="42" t="n">
        <v>0</v>
      </c>
      <c r="E36" s="42" t="inlineStr"/>
      <c r="F36" s="42" t="inlineStr">
        <is>
          <t>HDFC Securities - Buy</t>
        </is>
      </c>
      <c r="G36" s="18" t="n">
        <v>0.97</v>
      </c>
      <c r="H36" s="42" t="inlineStr">
        <is>
          <t>HDFC Securities</t>
        </is>
      </c>
      <c r="I36" s="42" t="inlineStr">
        <is>
          <t>HDFC 5413</t>
        </is>
      </c>
      <c r="J36" s="42" t="inlineStr"/>
      <c r="K36" s="42" t="inlineStr">
        <is>
          <t>NET PI TO HSL SEC A/C 2554606-00602340029427</t>
        </is>
      </c>
      <c r="L36" s="42" t="inlineStr">
        <is>
          <t>HDFC Bank</t>
        </is>
      </c>
      <c r="M36" s="42" t="inlineStr"/>
    </row>
    <row r="37">
      <c r="A37" s="54" t="n">
        <v>45026</v>
      </c>
      <c r="B37" s="54" t="n">
        <v>45026</v>
      </c>
      <c r="C37" s="55" t="n">
        <v>0</v>
      </c>
      <c r="D37" s="55" t="n">
        <v>662.12</v>
      </c>
      <c r="E37" s="55" t="inlineStr"/>
      <c r="F37" s="55" t="inlineStr">
        <is>
          <t>HDFC Securities - Sell</t>
        </is>
      </c>
      <c r="G37" s="18" t="n">
        <v>0.97</v>
      </c>
      <c r="H37" s="55" t="inlineStr">
        <is>
          <t>HDFC Securities</t>
        </is>
      </c>
      <c r="I37" s="55" t="inlineStr">
        <is>
          <t>HDFC 5413</t>
        </is>
      </c>
      <c r="J37" s="55" t="inlineStr"/>
      <c r="K37" s="55" t="inlineStr">
        <is>
          <t>NET PO FROM HSL A/C 2554606-00602340029427</t>
        </is>
      </c>
      <c r="L37" s="55" t="inlineStr">
        <is>
          <t>HDFC Bank</t>
        </is>
      </c>
      <c r="M37" s="55" t="inlineStr"/>
    </row>
    <row r="38">
      <c r="A38" s="21" t="n">
        <v>45027</v>
      </c>
      <c r="B38" s="21" t="n">
        <v>45027</v>
      </c>
      <c r="C38" s="22" t="n">
        <v>0</v>
      </c>
      <c r="D38" s="22" t="n">
        <v>830</v>
      </c>
      <c r="E38" s="22" t="inlineStr"/>
      <c r="F38" s="22" t="inlineStr">
        <is>
          <t>UPI - IRCTC</t>
        </is>
      </c>
      <c r="G38" s="34" t="n">
        <v>0.68</v>
      </c>
      <c r="H38" s="22" t="inlineStr">
        <is>
          <t>Travel</t>
        </is>
      </c>
      <c r="I38" s="22" t="inlineStr">
        <is>
          <t>SBI 1227</t>
        </is>
      </c>
      <c r="J38" s="22" t="inlineStr"/>
      <c r="K38" s="22" t="inlineStr">
        <is>
          <t xml:space="preserve">   BY TRANSFER-UPI/CR/310198604104/IRCTC CF/HDFC/irctc.cf@h/UPI R--</t>
        </is>
      </c>
      <c r="L38" s="22" t="inlineStr">
        <is>
          <t>State Bank of India</t>
        </is>
      </c>
      <c r="M38" s="22" t="inlineStr"/>
    </row>
    <row r="39">
      <c r="A39" s="41" t="n">
        <v>45027</v>
      </c>
      <c r="B39" s="41" t="n">
        <v>45027</v>
      </c>
      <c r="C39" s="42" t="n">
        <v>116.86</v>
      </c>
      <c r="D39" s="42" t="n">
        <v>0</v>
      </c>
      <c r="E39" s="42" t="inlineStr"/>
      <c r="F39" s="42" t="inlineStr">
        <is>
          <t>HDFC Securities - Buy</t>
        </is>
      </c>
      <c r="G39" s="18" t="n">
        <v>0.97</v>
      </c>
      <c r="H39" s="42" t="inlineStr">
        <is>
          <t>HDFC Securities</t>
        </is>
      </c>
      <c r="I39" s="42" t="inlineStr">
        <is>
          <t>HDFC 5413</t>
        </is>
      </c>
      <c r="J39" s="42" t="inlineStr"/>
      <c r="K39" s="42" t="inlineStr">
        <is>
          <t>NET PI TO HSL SEC A/C 2554606-00602340029427</t>
        </is>
      </c>
      <c r="L39" s="42" t="inlineStr">
        <is>
          <t>HDFC Bank</t>
        </is>
      </c>
      <c r="M39" s="42" t="inlineStr"/>
    </row>
    <row r="40">
      <c r="A40" s="54" t="n">
        <v>45027</v>
      </c>
      <c r="B40" s="54" t="n">
        <v>45027</v>
      </c>
      <c r="C40" s="55" t="n">
        <v>0</v>
      </c>
      <c r="D40" s="55" t="n">
        <v>334.27</v>
      </c>
      <c r="E40" s="55" t="inlineStr"/>
      <c r="F40" s="55" t="inlineStr">
        <is>
          <t>HDFC Securities - Sell</t>
        </is>
      </c>
      <c r="G40" s="18" t="n">
        <v>0.97</v>
      </c>
      <c r="H40" s="55" t="inlineStr">
        <is>
          <t>HDFC Securities</t>
        </is>
      </c>
      <c r="I40" s="55" t="inlineStr">
        <is>
          <t>HDFC 5413</t>
        </is>
      </c>
      <c r="J40" s="55" t="inlineStr"/>
      <c r="K40" s="55" t="inlineStr">
        <is>
          <t>NET PO FROM HSL A/C 2554606-00602340029427</t>
        </is>
      </c>
      <c r="L40" s="55" t="inlineStr">
        <is>
          <t>HDFC Bank</t>
        </is>
      </c>
      <c r="M40" s="55" t="inlineStr"/>
    </row>
    <row r="41">
      <c r="A41" s="64" t="n">
        <v>45027</v>
      </c>
      <c r="B41" s="64" t="n">
        <v>45027</v>
      </c>
      <c r="C41" s="65" t="n">
        <v>0</v>
      </c>
      <c r="D41" s="65" t="n">
        <v>10</v>
      </c>
      <c r="E41" s="65" t="inlineStr"/>
      <c r="F41" s="65" t="inlineStr">
        <is>
          <t>Dividend Income</t>
        </is>
      </c>
      <c r="G41" s="18" t="n">
        <v>0.85</v>
      </c>
      <c r="H41" s="65" t="inlineStr">
        <is>
          <t>Dividend Income</t>
        </is>
      </c>
      <c r="I41" s="65" t="inlineStr">
        <is>
          <t>SBI 1227</t>
        </is>
      </c>
      <c r="J41" s="65" t="inlineStr"/>
      <c r="K41" s="65" t="inlineStr">
        <is>
          <t xml:space="preserve">   BULK POSTING-C23854246658     41774260032INTERIM DIVIDEND ACCOU--</t>
        </is>
      </c>
      <c r="L41" s="65" t="inlineStr">
        <is>
          <t>State Bank of India</t>
        </is>
      </c>
      <c r="M41" s="65" t="inlineStr"/>
    </row>
    <row r="42">
      <c r="A42" s="37" t="n">
        <v>45028</v>
      </c>
      <c r="B42" s="37" t="n">
        <v>45028</v>
      </c>
      <c r="C42" s="38" t="n">
        <v>148</v>
      </c>
      <c r="D42" s="38" t="n">
        <v>0</v>
      </c>
      <c r="E42" s="38" t="inlineStr">
        <is>
          <t>Billdesk</t>
        </is>
      </c>
      <c r="F42" s="38" t="inlineStr">
        <is>
          <t>UPI Payment</t>
        </is>
      </c>
      <c r="G42" s="25" t="n">
        <v>0.55</v>
      </c>
      <c r="H42" s="38" t="inlineStr">
        <is>
          <t>Personal</t>
        </is>
      </c>
      <c r="I42" s="38" t="inlineStr">
        <is>
          <t>SBI 1227</t>
        </is>
      </c>
      <c r="J42" s="38" t="inlineStr"/>
      <c r="K42" s="38" t="inlineStr">
        <is>
          <t xml:space="preserve">   TO TRANSFER-UPI/DR/310299085532/billdesk/ICIC/billdesk.p/UPI--</t>
        </is>
      </c>
      <c r="L42" s="38" t="inlineStr">
        <is>
          <t>State Bank of India</t>
        </is>
      </c>
      <c r="M42" s="38" t="inlineStr"/>
    </row>
    <row r="43">
      <c r="A43" s="37" t="n">
        <v>45028</v>
      </c>
      <c r="B43" s="37" t="n">
        <v>45028</v>
      </c>
      <c r="C43" s="38" t="n">
        <v>155</v>
      </c>
      <c r="D43" s="38" t="n">
        <v>0</v>
      </c>
      <c r="E43" s="38" t="inlineStr">
        <is>
          <t>Bharti A</t>
        </is>
      </c>
      <c r="F43" s="38" t="inlineStr">
        <is>
          <t>UPI Payment</t>
        </is>
      </c>
      <c r="G43" s="25" t="n">
        <v>0.55</v>
      </c>
      <c r="H43" s="38" t="inlineStr">
        <is>
          <t>Personal</t>
        </is>
      </c>
      <c r="I43" s="38" t="inlineStr">
        <is>
          <t>SBI 1227</t>
        </is>
      </c>
      <c r="J43" s="38" t="inlineStr"/>
      <c r="K43" s="38" t="inlineStr">
        <is>
          <t xml:space="preserve">   TO TRANSFER-UPI/DR/310298964851/Bharti A/HDFC/airtel.pay/UPITr--</t>
        </is>
      </c>
      <c r="L43" s="38" t="inlineStr">
        <is>
          <t>State Bank of India</t>
        </is>
      </c>
      <c r="M43" s="38" t="inlineStr"/>
    </row>
    <row r="44">
      <c r="A44" s="41" t="n">
        <v>45028</v>
      </c>
      <c r="B44" s="41" t="n">
        <v>45028</v>
      </c>
      <c r="C44" s="42" t="n">
        <v>117.03</v>
      </c>
      <c r="D44" s="42" t="n">
        <v>0</v>
      </c>
      <c r="E44" s="42" t="inlineStr"/>
      <c r="F44" s="42" t="inlineStr">
        <is>
          <t>HDFC Securities - Buy</t>
        </is>
      </c>
      <c r="G44" s="18" t="n">
        <v>0.97</v>
      </c>
      <c r="H44" s="42" t="inlineStr">
        <is>
          <t>HDFC Securities</t>
        </is>
      </c>
      <c r="I44" s="42" t="inlineStr">
        <is>
          <t>HDFC 5413</t>
        </is>
      </c>
      <c r="J44" s="42" t="inlineStr"/>
      <c r="K44" s="42" t="inlineStr">
        <is>
          <t>NET PI TO HSL SEC A/C 2554606-00602340029427</t>
        </is>
      </c>
      <c r="L44" s="42" t="inlineStr">
        <is>
          <t>HDFC Bank</t>
        </is>
      </c>
      <c r="M44" s="42" t="inlineStr"/>
    </row>
    <row r="45">
      <c r="A45" s="37" t="n">
        <v>45028</v>
      </c>
      <c r="B45" s="37" t="n">
        <v>45028</v>
      </c>
      <c r="C45" s="38" t="n">
        <v>100</v>
      </c>
      <c r="D45" s="38" t="n">
        <v>0</v>
      </c>
      <c r="E45" s="38" t="inlineStr">
        <is>
          <t>S Sargunam</t>
        </is>
      </c>
      <c r="F45" s="38" t="inlineStr">
        <is>
          <t>UPI Payment</t>
        </is>
      </c>
      <c r="G45" s="25" t="n">
        <v>0.55</v>
      </c>
      <c r="H45" s="38" t="inlineStr">
        <is>
          <t>Personal</t>
        </is>
      </c>
      <c r="I45" s="38" t="inlineStr">
        <is>
          <t>SBI 1227</t>
        </is>
      </c>
      <c r="J45" s="38" t="inlineStr"/>
      <c r="K45" s="38" t="inlineStr">
        <is>
          <t xml:space="preserve">   TO TRANSFER-UPI/DR/310294768781/S SARGUNAM/YESB/q200088506/UPI--</t>
        </is>
      </c>
      <c r="L45" s="38" t="inlineStr">
        <is>
          <t>State Bank of India</t>
        </is>
      </c>
      <c r="M45" s="38" t="inlineStr"/>
    </row>
    <row r="46">
      <c r="A46" s="54" t="n">
        <v>45028</v>
      </c>
      <c r="B46" s="54" t="n">
        <v>45028</v>
      </c>
      <c r="C46" s="55" t="n">
        <v>0</v>
      </c>
      <c r="D46" s="55" t="n">
        <v>1340.99</v>
      </c>
      <c r="E46" s="55" t="inlineStr"/>
      <c r="F46" s="55" t="inlineStr">
        <is>
          <t>HDFC Securities - Sell</t>
        </is>
      </c>
      <c r="G46" s="18" t="n">
        <v>0.97</v>
      </c>
      <c r="H46" s="55" t="inlineStr">
        <is>
          <t>HDFC Securities</t>
        </is>
      </c>
      <c r="I46" s="55" t="inlineStr">
        <is>
          <t>HDFC 5413</t>
        </is>
      </c>
      <c r="J46" s="55" t="inlineStr"/>
      <c r="K46" s="55" t="inlineStr">
        <is>
          <t>NET PO FROM HSL A/C 2554606-00602340029427</t>
        </is>
      </c>
      <c r="L46" s="55" t="inlineStr">
        <is>
          <t>HDFC Bank</t>
        </is>
      </c>
      <c r="M46" s="55" t="inlineStr"/>
    </row>
    <row r="47">
      <c r="A47" s="56" t="n">
        <v>45029</v>
      </c>
      <c r="B47" s="56" t="n">
        <v>45029</v>
      </c>
      <c r="C47" s="57" t="n">
        <v>590</v>
      </c>
      <c r="D47" s="57" t="n">
        <v>0</v>
      </c>
      <c r="E47" s="57" t="inlineStr"/>
      <c r="F47" s="57" t="inlineStr">
        <is>
          <t>Depository Charges</t>
        </is>
      </c>
      <c r="G47" s="18" t="n">
        <v>0.93</v>
      </c>
      <c r="H47" s="57" t="inlineStr">
        <is>
          <t>Depository Charges</t>
        </is>
      </c>
      <c r="I47" s="57" t="inlineStr">
        <is>
          <t>HDFC 5413</t>
        </is>
      </c>
      <c r="J47" s="57" t="inlineStr"/>
      <c r="K47" s="57" t="inlineStr">
        <is>
          <t>DEPOSITORY CHARGES MAR23 - 52812428</t>
        </is>
      </c>
      <c r="L47" s="57" t="inlineStr">
        <is>
          <t>HDFC Bank</t>
        </is>
      </c>
      <c r="M47" s="57" t="inlineStr"/>
    </row>
    <row r="48">
      <c r="A48" s="41" t="n">
        <v>45029</v>
      </c>
      <c r="B48" s="41" t="n">
        <v>45029</v>
      </c>
      <c r="C48" s="42" t="n">
        <v>117.69</v>
      </c>
      <c r="D48" s="42" t="n">
        <v>0</v>
      </c>
      <c r="E48" s="42" t="inlineStr"/>
      <c r="F48" s="42" t="inlineStr">
        <is>
          <t>HDFC Securities - Buy</t>
        </is>
      </c>
      <c r="G48" s="18" t="n">
        <v>0.97</v>
      </c>
      <c r="H48" s="42" t="inlineStr">
        <is>
          <t>HDFC Securities</t>
        </is>
      </c>
      <c r="I48" s="42" t="inlineStr">
        <is>
          <t>HDFC 5413</t>
        </is>
      </c>
      <c r="J48" s="42" t="inlineStr"/>
      <c r="K48" s="42" t="inlineStr">
        <is>
          <t>NET PI TO HSL SEC A/C 2554606-00602340029427</t>
        </is>
      </c>
      <c r="L48" s="42" t="inlineStr">
        <is>
          <t>HDFC Bank</t>
        </is>
      </c>
      <c r="M48" s="42" t="inlineStr"/>
    </row>
    <row r="49">
      <c r="A49" s="35" t="n">
        <v>45029</v>
      </c>
      <c r="B49" s="35" t="n">
        <v>45029</v>
      </c>
      <c r="C49" s="36" t="n">
        <v>80</v>
      </c>
      <c r="D49" s="36" t="n">
        <v>0</v>
      </c>
      <c r="E49" s="36" t="inlineStr"/>
      <c r="F49" s="36" t="inlineStr">
        <is>
          <t>UPI - Paytm</t>
        </is>
      </c>
      <c r="G49" s="34" t="n">
        <v>0.65</v>
      </c>
      <c r="H49" s="36" t="inlineStr">
        <is>
          <t>Personal</t>
        </is>
      </c>
      <c r="I49" s="36" t="inlineStr">
        <is>
          <t>SBI 1227</t>
        </is>
      </c>
      <c r="J49" s="36" t="inlineStr"/>
      <c r="K49" s="36" t="inlineStr">
        <is>
          <t xml:space="preserve">   TO TRANSFER-UPI/DR/346932073976/Shankar /PYTM/paytmqr281/UPI--</t>
        </is>
      </c>
      <c r="L49" s="36" t="inlineStr">
        <is>
          <t>State Bank of India</t>
        </is>
      </c>
      <c r="M49" s="36" t="inlineStr"/>
    </row>
    <row r="50">
      <c r="A50" s="54" t="n">
        <v>45030</v>
      </c>
      <c r="B50" s="54" t="n">
        <v>45029</v>
      </c>
      <c r="C50" s="55" t="n">
        <v>0</v>
      </c>
      <c r="D50" s="55" t="n">
        <v>134.43</v>
      </c>
      <c r="E50" s="55" t="inlineStr"/>
      <c r="F50" s="55" t="inlineStr">
        <is>
          <t>HDFC Securities - Sell</t>
        </is>
      </c>
      <c r="G50" s="18" t="n">
        <v>0.97</v>
      </c>
      <c r="H50" s="55" t="inlineStr">
        <is>
          <t>HDFC Securities</t>
        </is>
      </c>
      <c r="I50" s="55" t="inlineStr">
        <is>
          <t>HDFC 5413</t>
        </is>
      </c>
      <c r="J50" s="55" t="inlineStr"/>
      <c r="K50" s="55" t="inlineStr">
        <is>
          <t>NET PO FROM HSL A/C 2554606-00602340029427</t>
        </is>
      </c>
      <c r="L50" s="55" t="inlineStr">
        <is>
          <t>HDFC Bank</t>
        </is>
      </c>
      <c r="M50" s="55" t="inlineStr"/>
    </row>
    <row r="51">
      <c r="A51" s="37" t="n">
        <v>45031</v>
      </c>
      <c r="B51" s="37" t="n">
        <v>45031</v>
      </c>
      <c r="C51" s="38" t="n">
        <v>220</v>
      </c>
      <c r="D51" s="38" t="n">
        <v>0</v>
      </c>
      <c r="E51" s="38" t="inlineStr">
        <is>
          <t>Fudr</t>
        </is>
      </c>
      <c r="F51" s="38" t="inlineStr">
        <is>
          <t>UPI Payment</t>
        </is>
      </c>
      <c r="G51" s="25" t="n">
        <v>0.55</v>
      </c>
      <c r="H51" s="38" t="inlineStr">
        <is>
          <t>Personal</t>
        </is>
      </c>
      <c r="I51" s="38" t="inlineStr">
        <is>
          <t>SBI 1227</t>
        </is>
      </c>
      <c r="J51" s="38" t="inlineStr"/>
      <c r="K51" s="38" t="inlineStr">
        <is>
          <t xml:space="preserve">   TO TRANSFER-UPI/DR/310500511889/Fudr/ICIC/fudr.cf@ic/3187 Bli--</t>
        </is>
      </c>
      <c r="L51" s="38" t="inlineStr">
        <is>
          <t>State Bank of India</t>
        </is>
      </c>
      <c r="M51" s="38" t="inlineStr"/>
    </row>
    <row r="52">
      <c r="A52" s="37" t="n">
        <v>45031</v>
      </c>
      <c r="B52" s="37" t="n">
        <v>45031</v>
      </c>
      <c r="C52" s="38" t="n">
        <v>50</v>
      </c>
      <c r="D52" s="38" t="n">
        <v>0</v>
      </c>
      <c r="E52" s="38" t="inlineStr">
        <is>
          <t>Bhawani</t>
        </is>
      </c>
      <c r="F52" s="38" t="inlineStr">
        <is>
          <t>UPI Payment</t>
        </is>
      </c>
      <c r="G52" s="25" t="n">
        <v>0.55</v>
      </c>
      <c r="H52" s="38" t="inlineStr">
        <is>
          <t>Personal</t>
        </is>
      </c>
      <c r="I52" s="38" t="inlineStr">
        <is>
          <t>SBI 1227</t>
        </is>
      </c>
      <c r="J52" s="38" t="inlineStr"/>
      <c r="K52" s="38" t="inlineStr">
        <is>
          <t xml:space="preserve">   TO TRANSFER-UPI/DR/347130328853/BHAWANI /YESB/q385374207/UPI--</t>
        </is>
      </c>
      <c r="L52" s="38" t="inlineStr">
        <is>
          <t>State Bank of India</t>
        </is>
      </c>
      <c r="M52" s="38" t="inlineStr"/>
    </row>
    <row r="53">
      <c r="A53" s="35" t="n">
        <v>45031</v>
      </c>
      <c r="B53" s="35" t="n">
        <v>45031</v>
      </c>
      <c r="C53" s="36" t="n">
        <v>110</v>
      </c>
      <c r="D53" s="36" t="n">
        <v>0</v>
      </c>
      <c r="E53" s="36" t="inlineStr"/>
      <c r="F53" s="36" t="inlineStr">
        <is>
          <t>UPI - Paytm</t>
        </is>
      </c>
      <c r="G53" s="34" t="n">
        <v>0.65</v>
      </c>
      <c r="H53" s="36" t="inlineStr">
        <is>
          <t>Personal</t>
        </is>
      </c>
      <c r="I53" s="36" t="inlineStr">
        <is>
          <t>SBI 1227</t>
        </is>
      </c>
      <c r="J53" s="36" t="inlineStr"/>
      <c r="K53" s="36" t="inlineStr">
        <is>
          <t xml:space="preserve">   TO TRANSFER-UPI/DR/347115434891/PATISSER/PYTM/paytmqr281/UPI--</t>
        </is>
      </c>
      <c r="L53" s="36" t="inlineStr">
        <is>
          <t>State Bank of India</t>
        </is>
      </c>
      <c r="M53" s="36" t="inlineStr"/>
    </row>
    <row r="54">
      <c r="A54" s="21" t="n">
        <v>45031</v>
      </c>
      <c r="B54" s="21" t="n">
        <v>45031</v>
      </c>
      <c r="C54" s="22" t="n">
        <v>1398.95</v>
      </c>
      <c r="D54" s="22" t="n">
        <v>0</v>
      </c>
      <c r="E54" s="22" t="inlineStr"/>
      <c r="F54" s="22" t="inlineStr">
        <is>
          <t>UPI - IRCTC</t>
        </is>
      </c>
      <c r="G54" s="18" t="n">
        <v>0.88</v>
      </c>
      <c r="H54" s="22" t="inlineStr">
        <is>
          <t>Travel</t>
        </is>
      </c>
      <c r="I54" s="22" t="inlineStr">
        <is>
          <t>SBI 1227</t>
        </is>
      </c>
      <c r="J54" s="22" t="inlineStr"/>
      <c r="K54" s="22" t="inlineStr">
        <is>
          <t xml:space="preserve">   TO TRANSFER-UPI/DR/310511348614/IRCTC Ap/PYTM/paytm-irct/Oid10--</t>
        </is>
      </c>
      <c r="L54" s="22" t="inlineStr">
        <is>
          <t>State Bank of India</t>
        </is>
      </c>
      <c r="M54" s="22" t="inlineStr"/>
    </row>
    <row r="55">
      <c r="A55" s="39" t="n">
        <v>45031</v>
      </c>
      <c r="B55" s="39" t="n">
        <v>45031</v>
      </c>
      <c r="C55" s="40" t="n">
        <v>25000</v>
      </c>
      <c r="D55" s="40" t="n">
        <v>0</v>
      </c>
      <c r="E55" s="40" t="inlineStr"/>
      <c r="F55" s="40" t="inlineStr">
        <is>
          <t>Transfer - Archit Gupta</t>
        </is>
      </c>
      <c r="G55" s="18" t="n">
        <v>0.85</v>
      </c>
      <c r="H55" s="40" t="inlineStr">
        <is>
          <t>Archit Gupta</t>
        </is>
      </c>
      <c r="I55" s="40" t="inlineStr">
        <is>
          <t>HDFC 5413</t>
        </is>
      </c>
      <c r="J55" s="40" t="inlineStr"/>
      <c r="K55" s="40" t="inlineStr">
        <is>
          <t>50100542230922-TPT-BORROW FROM AAYUSH-ARCHIT GUPTA</t>
        </is>
      </c>
      <c r="L55" s="40" t="inlineStr">
        <is>
          <t>HDFC Bank</t>
        </is>
      </c>
      <c r="M55" s="40" t="inlineStr"/>
    </row>
    <row r="56">
      <c r="A56" s="60" t="n">
        <v>45032</v>
      </c>
      <c r="B56" s="60" t="n">
        <v>45032</v>
      </c>
      <c r="C56" s="61" t="n">
        <v>2000</v>
      </c>
      <c r="D56" s="61" t="n">
        <v>0</v>
      </c>
      <c r="E56" s="61" t="inlineStr"/>
      <c r="F56" s="61" t="inlineStr">
        <is>
          <t>Cash Withdrawal</t>
        </is>
      </c>
      <c r="G56" s="18" t="n">
        <v>0.92</v>
      </c>
      <c r="H56" s="61" t="inlineStr">
        <is>
          <t>Cash</t>
        </is>
      </c>
      <c r="I56" s="61" t="inlineStr">
        <is>
          <t>SBI 1227</t>
        </is>
      </c>
      <c r="J56" s="61" t="inlineStr"/>
      <c r="K56" s="61" t="inlineStr">
        <is>
          <t xml:space="preserve">   ATM WDL-ATM CASH 7132  CP JHALAWAR           JHALRAPATAN--</t>
        </is>
      </c>
      <c r="L56" s="61" t="inlineStr">
        <is>
          <t>State Bank of India</t>
        </is>
      </c>
      <c r="M56" s="61" t="inlineStr"/>
    </row>
    <row r="57">
      <c r="A57" s="58" t="n">
        <v>45033</v>
      </c>
      <c r="B57" s="58" t="n">
        <v>45033</v>
      </c>
      <c r="C57" s="59" t="n">
        <v>2500</v>
      </c>
      <c r="D57" s="59" t="n">
        <v>0</v>
      </c>
      <c r="E57" s="59" t="inlineStr"/>
      <c r="F57" s="59" t="inlineStr">
        <is>
          <t>MF Investment</t>
        </is>
      </c>
      <c r="G57" s="18" t="n">
        <v>0.9</v>
      </c>
      <c r="H57" s="59" t="inlineStr">
        <is>
          <t>Investments</t>
        </is>
      </c>
      <c r="I57" s="59" t="inlineStr">
        <is>
          <t>HDFC 5413</t>
        </is>
      </c>
      <c r="J57" s="59" t="inlineStr"/>
      <c r="K57" s="59" t="inlineStr">
        <is>
          <t>NET PAYIN TO BSE MF A/C -57500000389146- FROM A/C -50100128155413- UCC -2554606-57500000389146</t>
        </is>
      </c>
      <c r="L57" s="59" t="inlineStr">
        <is>
          <t>HDFC Bank</t>
        </is>
      </c>
      <c r="M57" s="59" t="inlineStr"/>
    </row>
    <row r="58">
      <c r="A58" s="41" t="n">
        <v>45033</v>
      </c>
      <c r="B58" s="41" t="n">
        <v>45033</v>
      </c>
      <c r="C58" s="42" t="n">
        <v>471.04</v>
      </c>
      <c r="D58" s="42" t="n">
        <v>0</v>
      </c>
      <c r="E58" s="42" t="inlineStr"/>
      <c r="F58" s="42" t="inlineStr">
        <is>
          <t>HDFC Securities - Buy</t>
        </is>
      </c>
      <c r="G58" s="18" t="n">
        <v>0.97</v>
      </c>
      <c r="H58" s="42" t="inlineStr">
        <is>
          <t>HDFC Securities</t>
        </is>
      </c>
      <c r="I58" s="42" t="inlineStr">
        <is>
          <t>HDFC 5413</t>
        </is>
      </c>
      <c r="J58" s="42" t="inlineStr"/>
      <c r="K58" s="42" t="inlineStr">
        <is>
          <t>NET PI TO HSL SEC A/C 2554606-00602340029427</t>
        </is>
      </c>
      <c r="L58" s="42" t="inlineStr">
        <is>
          <t>HDFC Bank</t>
        </is>
      </c>
      <c r="M58" s="42" t="inlineStr"/>
    </row>
    <row r="59">
      <c r="A59" s="64" t="n">
        <v>45033</v>
      </c>
      <c r="B59" s="64" t="n">
        <v>45033</v>
      </c>
      <c r="C59" s="65" t="n">
        <v>0</v>
      </c>
      <c r="D59" s="65" t="n">
        <v>348.5</v>
      </c>
      <c r="E59" s="65" t="inlineStr"/>
      <c r="F59" s="65" t="inlineStr">
        <is>
          <t>Dividend Income</t>
        </is>
      </c>
      <c r="G59" s="18" t="n">
        <v>0.85</v>
      </c>
      <c r="H59" s="65" t="inlineStr">
        <is>
          <t>Dividend Income</t>
        </is>
      </c>
      <c r="I59" s="65" t="inlineStr">
        <is>
          <t>SBI 1227</t>
        </is>
      </c>
      <c r="J59" s="65" t="inlineStr"/>
      <c r="K59" s="65" t="inlineStr">
        <is>
          <t xml:space="preserve">   BULK POSTING-ACHCr HDFC01032000010237 VEDANTA LIMITE--</t>
        </is>
      </c>
      <c r="L59" s="65" t="inlineStr">
        <is>
          <t>State Bank of India</t>
        </is>
      </c>
      <c r="M59" s="65" t="inlineStr"/>
    </row>
    <row r="60">
      <c r="A60" s="41" t="n">
        <v>45034</v>
      </c>
      <c r="B60" s="41" t="n">
        <v>45034</v>
      </c>
      <c r="C60" s="42" t="n">
        <v>118.85</v>
      </c>
      <c r="D60" s="42" t="n">
        <v>0</v>
      </c>
      <c r="E60" s="42" t="inlineStr"/>
      <c r="F60" s="42" t="inlineStr">
        <is>
          <t>HDFC Securities - Buy</t>
        </is>
      </c>
      <c r="G60" s="18" t="n">
        <v>0.97</v>
      </c>
      <c r="H60" s="42" t="inlineStr">
        <is>
          <t>HDFC Securities</t>
        </is>
      </c>
      <c r="I60" s="42" t="inlineStr">
        <is>
          <t>HDFC 5413</t>
        </is>
      </c>
      <c r="J60" s="42" t="inlineStr"/>
      <c r="K60" s="42" t="inlineStr">
        <is>
          <t>NET PI TO HSL SEC A/C 2554606-00602340029427</t>
        </is>
      </c>
      <c r="L60" s="42" t="inlineStr">
        <is>
          <t>HDFC Bank</t>
        </is>
      </c>
      <c r="M60" s="42" t="inlineStr"/>
    </row>
    <row r="61">
      <c r="A61" s="93" t="n">
        <v>45034</v>
      </c>
      <c r="B61" s="93" t="n">
        <v>45034</v>
      </c>
      <c r="C61" s="94" t="n">
        <v>0</v>
      </c>
      <c r="D61" s="94" t="n">
        <v>6</v>
      </c>
      <c r="E61" s="94" t="inlineStr"/>
      <c r="F61" s="94" t="inlineStr">
        <is>
          <t>UPI - Google Pay</t>
        </is>
      </c>
      <c r="G61" s="34" t="n">
        <v>0.65</v>
      </c>
      <c r="H61" s="94" t="inlineStr">
        <is>
          <t>Personal</t>
        </is>
      </c>
      <c r="I61" s="94" t="inlineStr">
        <is>
          <t>SBI 1227</t>
        </is>
      </c>
      <c r="J61" s="94" t="inlineStr"/>
      <c r="K61" s="94" t="inlineStr">
        <is>
          <t xml:space="preserve">   BY TRANSFER-UPI/CR/310863285848/GOOGLEPAY/UTIB/goog-payme/UPI--</t>
        </is>
      </c>
      <c r="L61" s="94" t="inlineStr">
        <is>
          <t>State Bank of India</t>
        </is>
      </c>
      <c r="M61" s="94" t="inlineStr"/>
    </row>
    <row r="62">
      <c r="A62" s="37" t="n">
        <v>45034</v>
      </c>
      <c r="B62" s="37" t="n">
        <v>45034</v>
      </c>
      <c r="C62" s="38" t="n">
        <v>7500</v>
      </c>
      <c r="D62" s="38" t="n">
        <v>0</v>
      </c>
      <c r="E62" s="38" t="inlineStr">
        <is>
          <t>Plaksha</t>
        </is>
      </c>
      <c r="F62" s="38" t="inlineStr">
        <is>
          <t>UPI Payment</t>
        </is>
      </c>
      <c r="G62" s="25" t="n">
        <v>0.55</v>
      </c>
      <c r="H62" s="38" t="inlineStr">
        <is>
          <t>Personal</t>
        </is>
      </c>
      <c r="I62" s="38" t="inlineStr">
        <is>
          <t>SBI 1227</t>
        </is>
      </c>
      <c r="J62" s="38" t="inlineStr"/>
      <c r="K62" s="38" t="inlineStr">
        <is>
          <t xml:space="preserve">   TO TRANSFER-UPI/DR/310863414173/Plaksha /utib/plakshauni/Onlin--</t>
        </is>
      </c>
      <c r="L62" s="38" t="inlineStr">
        <is>
          <t>State Bank of India</t>
        </is>
      </c>
      <c r="M62" s="38" t="inlineStr"/>
    </row>
    <row r="63">
      <c r="A63" s="37" t="n">
        <v>45034</v>
      </c>
      <c r="B63" s="37" t="n">
        <v>45034</v>
      </c>
      <c r="C63" s="38" t="n">
        <v>105</v>
      </c>
      <c r="D63" s="38" t="n">
        <v>0</v>
      </c>
      <c r="E63" s="38" t="inlineStr">
        <is>
          <t>Kunal Ea</t>
        </is>
      </c>
      <c r="F63" s="38" t="inlineStr">
        <is>
          <t>UPI Payment</t>
        </is>
      </c>
      <c r="G63" s="25" t="n">
        <v>0.55</v>
      </c>
      <c r="H63" s="38" t="inlineStr">
        <is>
          <t>Personal</t>
        </is>
      </c>
      <c r="I63" s="38" t="inlineStr">
        <is>
          <t>SBI 1227</t>
        </is>
      </c>
      <c r="J63" s="38" t="inlineStr"/>
      <c r="K63" s="38" t="inlineStr">
        <is>
          <t xml:space="preserve">   TO TRANSFER-UPI/DR/310897017239/KUNAL EA/YESB/q811125368/UPI--</t>
        </is>
      </c>
      <c r="L63" s="38" t="inlineStr">
        <is>
          <t>State Bank of India</t>
        </is>
      </c>
      <c r="M63" s="38" t="inlineStr"/>
    </row>
    <row r="64">
      <c r="A64" s="41" t="n">
        <v>45034</v>
      </c>
      <c r="B64" s="41" t="n">
        <v>45034</v>
      </c>
      <c r="C64" s="42" t="n">
        <v>2188.95</v>
      </c>
      <c r="D64" s="42" t="n">
        <v>0</v>
      </c>
      <c r="E64" s="42" t="inlineStr"/>
      <c r="F64" s="42" t="inlineStr">
        <is>
          <t>HDFC Securities - Buy</t>
        </is>
      </c>
      <c r="G64" s="18" t="n">
        <v>0.97</v>
      </c>
      <c r="H64" s="42" t="inlineStr">
        <is>
          <t>HDFC Securities</t>
        </is>
      </c>
      <c r="I64" s="42" t="inlineStr">
        <is>
          <t>HDFC 5413</t>
        </is>
      </c>
      <c r="J64" s="42" t="inlineStr"/>
      <c r="K64" s="42" t="inlineStr">
        <is>
          <t>NET PI TO HSL SEC A/C 2554606-00602340029427</t>
        </is>
      </c>
      <c r="L64" s="42" t="inlineStr">
        <is>
          <t>HDFC Bank</t>
        </is>
      </c>
      <c r="M64" s="42" t="inlineStr"/>
    </row>
    <row r="65">
      <c r="A65" s="26" t="n">
        <v>45034</v>
      </c>
      <c r="B65" s="26" t="n">
        <v>45034</v>
      </c>
      <c r="C65" s="27" t="n">
        <v>25000</v>
      </c>
      <c r="D65" s="27" t="n">
        <v>0</v>
      </c>
      <c r="E65" s="27" t="inlineStr"/>
      <c r="F65" s="27" t="inlineStr">
        <is>
          <t>Transfer - Ajay Gupta</t>
        </is>
      </c>
      <c r="G65" s="18" t="n">
        <v>0.88</v>
      </c>
      <c r="H65" s="27" t="inlineStr">
        <is>
          <t>Ajay Gupta</t>
        </is>
      </c>
      <c r="I65" s="27" t="inlineStr">
        <is>
          <t>HDFC 5413</t>
        </is>
      </c>
      <c r="J65" s="27" t="inlineStr"/>
      <c r="K65" s="27" t="inlineStr">
        <is>
          <t>01671000085930-TPT-MONEY RETURNED TO AAYUSH-AJAY KUMAR GUPTA</t>
        </is>
      </c>
      <c r="L65" s="27" t="inlineStr">
        <is>
          <t>HDFC Bank</t>
        </is>
      </c>
      <c r="M65" s="27" t="inlineStr"/>
    </row>
    <row r="66">
      <c r="A66" s="54" t="n">
        <v>45034</v>
      </c>
      <c r="B66" s="54" t="n">
        <v>45033</v>
      </c>
      <c r="C66" s="55" t="n">
        <v>0</v>
      </c>
      <c r="D66" s="55" t="n">
        <v>2222.79</v>
      </c>
      <c r="E66" s="55" t="inlineStr"/>
      <c r="F66" s="55" t="inlineStr">
        <is>
          <t>HDFC Securities - Sell</t>
        </is>
      </c>
      <c r="G66" s="18" t="n">
        <v>0.97</v>
      </c>
      <c r="H66" s="55" t="inlineStr">
        <is>
          <t>HDFC Securities</t>
        </is>
      </c>
      <c r="I66" s="55" t="inlineStr">
        <is>
          <t>HDFC 5413</t>
        </is>
      </c>
      <c r="J66" s="55" t="inlineStr"/>
      <c r="K66" s="55" t="inlineStr">
        <is>
          <t>NET PO FROM HSL A/C 2554606-00602340029427</t>
        </is>
      </c>
      <c r="L66" s="55" t="inlineStr">
        <is>
          <t>HDFC Bank</t>
        </is>
      </c>
      <c r="M66" s="55" t="inlineStr"/>
    </row>
    <row r="67">
      <c r="A67" s="93" t="n">
        <v>45034</v>
      </c>
      <c r="B67" s="93" t="n">
        <v>45034</v>
      </c>
      <c r="C67" s="94" t="n">
        <v>0</v>
      </c>
      <c r="D67" s="94" t="n">
        <v>11</v>
      </c>
      <c r="E67" s="94" t="inlineStr"/>
      <c r="F67" s="94" t="inlineStr">
        <is>
          <t>UPI - Google Pay</t>
        </is>
      </c>
      <c r="G67" s="34" t="n">
        <v>0.65</v>
      </c>
      <c r="H67" s="94" t="inlineStr">
        <is>
          <t>Personal</t>
        </is>
      </c>
      <c r="I67" s="94" t="inlineStr">
        <is>
          <t>SBI 1227</t>
        </is>
      </c>
      <c r="J67" s="94" t="inlineStr"/>
      <c r="K67" s="94" t="inlineStr">
        <is>
          <t xml:space="preserve">   BY TRANSFER-UPI/CR/310863283715/GOOGLEPAY/UTIB/goog-payme/UPI--</t>
        </is>
      </c>
      <c r="L67" s="94" t="inlineStr">
        <is>
          <t>State Bank of India</t>
        </is>
      </c>
      <c r="M67" s="94" t="inlineStr"/>
    </row>
    <row r="68">
      <c r="A68" s="37" t="n">
        <v>45034</v>
      </c>
      <c r="B68" s="37" t="n">
        <v>45034</v>
      </c>
      <c r="C68" s="38" t="n">
        <v>20</v>
      </c>
      <c r="D68" s="38" t="n">
        <v>0</v>
      </c>
      <c r="E68" s="38" t="inlineStr">
        <is>
          <t>Gaurav V</t>
        </is>
      </c>
      <c r="F68" s="38" t="inlineStr">
        <is>
          <t>UPI Payment</t>
        </is>
      </c>
      <c r="G68" s="25" t="n">
        <v>0.55</v>
      </c>
      <c r="H68" s="38" t="inlineStr">
        <is>
          <t>Personal</t>
        </is>
      </c>
      <c r="I68" s="38" t="inlineStr">
        <is>
          <t>SBI 1227</t>
        </is>
      </c>
      <c r="J68" s="38" t="inlineStr"/>
      <c r="K68" s="38" t="inlineStr">
        <is>
          <t xml:space="preserve">   TO TRANSFER-UPI/DR/310875568731/gaurav v/UTIB/fcbizcxqia/UPI--</t>
        </is>
      </c>
      <c r="L68" s="38" t="inlineStr">
        <is>
          <t>State Bank of India</t>
        </is>
      </c>
      <c r="M68" s="38" t="inlineStr"/>
    </row>
    <row r="69">
      <c r="A69" s="41" t="n">
        <v>45035</v>
      </c>
      <c r="B69" s="41" t="n">
        <v>45035</v>
      </c>
      <c r="C69" s="42" t="n">
        <v>117.77</v>
      </c>
      <c r="D69" s="42" t="n">
        <v>0</v>
      </c>
      <c r="E69" s="42" t="inlineStr"/>
      <c r="F69" s="42" t="inlineStr">
        <is>
          <t>HDFC Securities - Buy</t>
        </is>
      </c>
      <c r="G69" s="18" t="n">
        <v>0.97</v>
      </c>
      <c r="H69" s="42" t="inlineStr">
        <is>
          <t>HDFC Securities</t>
        </is>
      </c>
      <c r="I69" s="42" t="inlineStr">
        <is>
          <t>HDFC 5413</t>
        </is>
      </c>
      <c r="J69" s="42" t="inlineStr"/>
      <c r="K69" s="42" t="inlineStr">
        <is>
          <t>NET PI TO HSL SEC A/C 2554606-00602340029427</t>
        </is>
      </c>
      <c r="L69" s="42" t="inlineStr">
        <is>
          <t>HDFC Bank</t>
        </is>
      </c>
      <c r="M69" s="42" t="inlineStr"/>
    </row>
    <row r="70">
      <c r="A70" s="37" t="n">
        <v>45035</v>
      </c>
      <c r="B70" s="37" t="n">
        <v>45035</v>
      </c>
      <c r="C70" s="38" t="n">
        <v>70</v>
      </c>
      <c r="D70" s="38" t="n">
        <v>0</v>
      </c>
      <c r="E70" s="38" t="inlineStr">
        <is>
          <t>Kunal Ea</t>
        </is>
      </c>
      <c r="F70" s="38" t="inlineStr">
        <is>
          <t>UPI Payment</t>
        </is>
      </c>
      <c r="G70" s="25" t="n">
        <v>0.55</v>
      </c>
      <c r="H70" s="38" t="inlineStr">
        <is>
          <t>Personal</t>
        </is>
      </c>
      <c r="I70" s="38" t="inlineStr">
        <is>
          <t>SBI 1227</t>
        </is>
      </c>
      <c r="J70" s="38" t="inlineStr"/>
      <c r="K70" s="38" t="inlineStr">
        <is>
          <t xml:space="preserve">   TO TRANSFER-UPI/DR/310932978826/KUNAL EA/YESB/q811125368/UPI--</t>
        </is>
      </c>
      <c r="L70" s="38" t="inlineStr">
        <is>
          <t>State Bank of India</t>
        </is>
      </c>
      <c r="M70" s="38" t="inlineStr"/>
    </row>
    <row r="71">
      <c r="A71" s="54" t="n">
        <v>45035</v>
      </c>
      <c r="B71" s="54" t="n">
        <v>45035</v>
      </c>
      <c r="C71" s="55" t="n">
        <v>0</v>
      </c>
      <c r="D71" s="55" t="n">
        <v>1395.14</v>
      </c>
      <c r="E71" s="55" t="inlineStr"/>
      <c r="F71" s="55" t="inlineStr">
        <is>
          <t>HDFC Securities - Sell</t>
        </is>
      </c>
      <c r="G71" s="18" t="n">
        <v>0.97</v>
      </c>
      <c r="H71" s="55" t="inlineStr">
        <is>
          <t>HDFC Securities</t>
        </is>
      </c>
      <c r="I71" s="55" t="inlineStr">
        <is>
          <t>HDFC 5413</t>
        </is>
      </c>
      <c r="J71" s="55" t="inlineStr"/>
      <c r="K71" s="55" t="inlineStr">
        <is>
          <t>NET PO FROM HSL A/C 2554606-00602340029427</t>
        </is>
      </c>
      <c r="L71" s="55" t="inlineStr">
        <is>
          <t>HDFC Bank</t>
        </is>
      </c>
      <c r="M71" s="55" t="inlineStr"/>
    </row>
    <row r="72">
      <c r="A72" s="37" t="n">
        <v>45035</v>
      </c>
      <c r="B72" s="37" t="n">
        <v>45035</v>
      </c>
      <c r="C72" s="38" t="n">
        <v>30</v>
      </c>
      <c r="D72" s="38" t="n">
        <v>0</v>
      </c>
      <c r="E72" s="38" t="inlineStr">
        <is>
          <t>Praful B</t>
        </is>
      </c>
      <c r="F72" s="38" t="inlineStr">
        <is>
          <t>UPI Payment</t>
        </is>
      </c>
      <c r="G72" s="25" t="n">
        <v>0.55</v>
      </c>
      <c r="H72" s="38" t="inlineStr">
        <is>
          <t>Personal</t>
        </is>
      </c>
      <c r="I72" s="38" t="inlineStr">
        <is>
          <t>SBI 1227</t>
        </is>
      </c>
      <c r="J72" s="38" t="inlineStr"/>
      <c r="K72" s="38" t="inlineStr">
        <is>
          <t xml:space="preserve">   TO TRANSFER-UPI/DR/310932343001/Praful B/SBIN/q508793729/UPI--</t>
        </is>
      </c>
      <c r="L72" s="38" t="inlineStr">
        <is>
          <t>State Bank of India</t>
        </is>
      </c>
      <c r="M72" s="38" t="inlineStr"/>
    </row>
    <row r="73">
      <c r="A73" s="37" t="n">
        <v>45035</v>
      </c>
      <c r="B73" s="37" t="n">
        <v>45035</v>
      </c>
      <c r="C73" s="38" t="n">
        <v>830</v>
      </c>
      <c r="D73" s="38" t="n">
        <v>0</v>
      </c>
      <c r="E73" s="38" t="inlineStr">
        <is>
          <t>Shubham</t>
        </is>
      </c>
      <c r="F73" s="38" t="inlineStr">
        <is>
          <t>UPI Payment</t>
        </is>
      </c>
      <c r="G73" s="25" t="n">
        <v>0.55</v>
      </c>
      <c r="H73" s="38" t="inlineStr">
        <is>
          <t>Personal</t>
        </is>
      </c>
      <c r="I73" s="38" t="inlineStr">
        <is>
          <t>SBI 1227</t>
        </is>
      </c>
      <c r="J73" s="38" t="inlineStr"/>
      <c r="K73" s="38" t="inlineStr">
        <is>
          <t xml:space="preserve">   TO TRANSFER-UPI/DR/310930088166/Shubham /SBIN/9920780107/UPI--</t>
        </is>
      </c>
      <c r="L73" s="38" t="inlineStr">
        <is>
          <t>State Bank of India</t>
        </is>
      </c>
      <c r="M73" s="38" t="inlineStr"/>
    </row>
    <row r="74">
      <c r="A74" s="54" t="n">
        <v>45036</v>
      </c>
      <c r="B74" s="54" t="n">
        <v>45036</v>
      </c>
      <c r="C74" s="55" t="n">
        <v>0</v>
      </c>
      <c r="D74" s="55" t="n">
        <v>6098.61</v>
      </c>
      <c r="E74" s="55" t="inlineStr"/>
      <c r="F74" s="55" t="inlineStr">
        <is>
          <t>HDFC Securities - Sell</t>
        </is>
      </c>
      <c r="G74" s="18" t="n">
        <v>0.97</v>
      </c>
      <c r="H74" s="55" t="inlineStr">
        <is>
          <t>HDFC Securities</t>
        </is>
      </c>
      <c r="I74" s="55" t="inlineStr">
        <is>
          <t>HDFC 5413</t>
        </is>
      </c>
      <c r="J74" s="55" t="inlineStr"/>
      <c r="K74" s="55" t="inlineStr">
        <is>
          <t>NET PO FROM HSL A/C 2554606-00602340029427</t>
        </is>
      </c>
      <c r="L74" s="55" t="inlineStr">
        <is>
          <t>HDFC Bank</t>
        </is>
      </c>
      <c r="M74" s="55" t="inlineStr"/>
    </row>
    <row r="75">
      <c r="A75" s="23" t="n">
        <v>45036</v>
      </c>
      <c r="B75" s="23" t="n">
        <v>45036</v>
      </c>
      <c r="C75" s="24" t="n">
        <v>177</v>
      </c>
      <c r="D75" s="24" t="n">
        <v>0</v>
      </c>
      <c r="E75" s="24" t="inlineStr"/>
      <c r="F75" s="24" t="inlineStr">
        <is>
          <t>What is this?</t>
        </is>
      </c>
      <c r="G75" s="25" t="n">
        <v>0</v>
      </c>
      <c r="H75" s="24" t="inlineStr">
        <is>
          <t>Suspense</t>
        </is>
      </c>
      <c r="I75" s="24" t="inlineStr">
        <is>
          <t>SBI 1227</t>
        </is>
      </c>
      <c r="J75" s="24" t="inlineStr"/>
      <c r="K75" s="24" t="inlineStr">
        <is>
          <t xml:space="preserve">   TO TRANSFER-COMM - OTHER MISC. SERVICES--</t>
        </is>
      </c>
      <c r="L75" s="24" t="inlineStr">
        <is>
          <t>State Bank of India</t>
        </is>
      </c>
      <c r="M75" s="24" t="inlineStr"/>
    </row>
    <row r="76">
      <c r="A76" s="99" t="n">
        <v>45037</v>
      </c>
      <c r="B76" s="99" t="n">
        <v>45037</v>
      </c>
      <c r="C76" s="100" t="n">
        <v>370.25</v>
      </c>
      <c r="D76" s="100" t="n">
        <v>0</v>
      </c>
      <c r="E76" s="100" t="inlineStr"/>
      <c r="F76" s="100" t="inlineStr">
        <is>
          <t>UPI - Zomato</t>
        </is>
      </c>
      <c r="G76" s="34" t="n">
        <v>0.68</v>
      </c>
      <c r="H76" s="100" t="inlineStr">
        <is>
          <t>Food &amp; Dining</t>
        </is>
      </c>
      <c r="I76" s="100" t="inlineStr">
        <is>
          <t>SBI 1227</t>
        </is>
      </c>
      <c r="J76" s="100" t="inlineStr"/>
      <c r="K76" s="100" t="inlineStr">
        <is>
          <t xml:space="preserve">   TO TRANSFER-UPI/DR/347733861273/Zomato Ltd/PYTM/zomato-ord/Oid--</t>
        </is>
      </c>
      <c r="L76" s="100" t="inlineStr">
        <is>
          <t>State Bank of India</t>
        </is>
      </c>
      <c r="M76" s="100" t="inlineStr"/>
    </row>
    <row r="77">
      <c r="A77" s="54" t="n">
        <v>45037</v>
      </c>
      <c r="B77" s="54" t="n">
        <v>45037</v>
      </c>
      <c r="C77" s="55" t="n">
        <v>0</v>
      </c>
      <c r="D77" s="55" t="n">
        <v>2364.46</v>
      </c>
      <c r="E77" s="55" t="inlineStr"/>
      <c r="F77" s="55" t="inlineStr">
        <is>
          <t>HDFC Securities - Sell</t>
        </is>
      </c>
      <c r="G77" s="18" t="n">
        <v>0.97</v>
      </c>
      <c r="H77" s="55" t="inlineStr">
        <is>
          <t>HDFC Securities</t>
        </is>
      </c>
      <c r="I77" s="55" t="inlineStr">
        <is>
          <t>HDFC 5413</t>
        </is>
      </c>
      <c r="J77" s="55" t="inlineStr"/>
      <c r="K77" s="55" t="inlineStr">
        <is>
          <t>NET PO FROM HSL A/C 2554606-00602340029427</t>
        </is>
      </c>
      <c r="L77" s="55" t="inlineStr">
        <is>
          <t>HDFC Bank</t>
        </is>
      </c>
      <c r="M77" s="55" t="inlineStr"/>
    </row>
    <row r="78">
      <c r="A78" s="60" t="n">
        <v>45037</v>
      </c>
      <c r="B78" s="60" t="n">
        <v>45037</v>
      </c>
      <c r="C78" s="61" t="n">
        <v>10000</v>
      </c>
      <c r="D78" s="61" t="n">
        <v>0</v>
      </c>
      <c r="E78" s="61" t="inlineStr"/>
      <c r="F78" s="61" t="inlineStr">
        <is>
          <t>Cash Withdrawal</t>
        </is>
      </c>
      <c r="G78" s="18" t="n">
        <v>0.92</v>
      </c>
      <c r="H78" s="61" t="inlineStr">
        <is>
          <t>Cash</t>
        </is>
      </c>
      <c r="I78" s="61" t="inlineStr">
        <is>
          <t>HDFC 5413</t>
        </is>
      </c>
      <c r="J78" s="61" t="inlineStr"/>
      <c r="K78" s="61" t="inlineStr">
        <is>
          <t>ATW-652166XXXXXX8920-CHBDL001-NASHIK</t>
        </is>
      </c>
      <c r="L78" s="61" t="inlineStr">
        <is>
          <t>HDFC Bank</t>
        </is>
      </c>
      <c r="M78" s="61" t="inlineStr"/>
    </row>
    <row r="79">
      <c r="A79" s="37" t="n">
        <v>45038</v>
      </c>
      <c r="B79" s="37" t="n">
        <v>45038</v>
      </c>
      <c r="C79" s="38" t="n">
        <v>20</v>
      </c>
      <c r="D79" s="38" t="n">
        <v>0</v>
      </c>
      <c r="E79" s="38" t="inlineStr">
        <is>
          <t>Khatabook</t>
        </is>
      </c>
      <c r="F79" s="38" t="inlineStr">
        <is>
          <t>UPI Payment</t>
        </is>
      </c>
      <c r="G79" s="25" t="n">
        <v>0.55</v>
      </c>
      <c r="H79" s="38" t="inlineStr">
        <is>
          <t>Personal</t>
        </is>
      </c>
      <c r="I79" s="38" t="inlineStr">
        <is>
          <t>SBI 1227</t>
        </is>
      </c>
      <c r="J79" s="38" t="inlineStr"/>
      <c r="K79" s="38" t="inlineStr">
        <is>
          <t xml:space="preserve">   TO TRANSFER-UPI/DR/311214897545/khatabook/ICIC/ktb.ru6532/UPI--</t>
        </is>
      </c>
      <c r="L79" s="38" t="inlineStr">
        <is>
          <t>State Bank of India</t>
        </is>
      </c>
      <c r="M79" s="38" t="inlineStr"/>
    </row>
    <row r="80">
      <c r="A80" s="35" t="n">
        <v>45038</v>
      </c>
      <c r="B80" s="35" t="n">
        <v>45038</v>
      </c>
      <c r="C80" s="36" t="n">
        <v>31</v>
      </c>
      <c r="D80" s="36" t="n">
        <v>0</v>
      </c>
      <c r="E80" s="36" t="inlineStr"/>
      <c r="F80" s="36" t="inlineStr">
        <is>
          <t>UPI - Paytm</t>
        </is>
      </c>
      <c r="G80" s="34" t="n">
        <v>0.65</v>
      </c>
      <c r="H80" s="36" t="inlineStr">
        <is>
          <t>Personal</t>
        </is>
      </c>
      <c r="I80" s="36" t="inlineStr">
        <is>
          <t>SBI 1227</t>
        </is>
      </c>
      <c r="J80" s="36" t="inlineStr"/>
      <c r="K80" s="36" t="inlineStr">
        <is>
          <t xml:space="preserve">   TO TRANSFER-UPI/DR/311215008854/Om Super/PYTM/paytmqr281/UPI--</t>
        </is>
      </c>
      <c r="L80" s="36" t="inlineStr">
        <is>
          <t>State Bank of India</t>
        </is>
      </c>
      <c r="M80" s="36" t="inlineStr"/>
    </row>
    <row r="81">
      <c r="A81" s="35" t="n">
        <v>45038</v>
      </c>
      <c r="B81" s="35" t="n">
        <v>45038</v>
      </c>
      <c r="C81" s="36" t="n">
        <v>9</v>
      </c>
      <c r="D81" s="36" t="n">
        <v>0</v>
      </c>
      <c r="E81" s="36" t="inlineStr"/>
      <c r="F81" s="36" t="inlineStr">
        <is>
          <t>UPI - Paytm</t>
        </is>
      </c>
      <c r="G81" s="34" t="n">
        <v>0.65</v>
      </c>
      <c r="H81" s="36" t="inlineStr">
        <is>
          <t>Personal</t>
        </is>
      </c>
      <c r="I81" s="36" t="inlineStr">
        <is>
          <t>FEDERAL 0847</t>
        </is>
      </c>
      <c r="J81" s="36" t="inlineStr"/>
      <c r="K81" s="36" t="inlineStr">
        <is>
          <t>UPIOUT/311268164406/paytm-61240897@paytm/S
en/5411</t>
        </is>
      </c>
      <c r="L81" s="36" t="inlineStr">
        <is>
          <t>Federal Bank (Jupiter)</t>
        </is>
      </c>
      <c r="M81" s="36" t="inlineStr"/>
    </row>
    <row r="82">
      <c r="A82" s="41" t="n">
        <v>45040</v>
      </c>
      <c r="B82" s="41" t="n">
        <v>45040</v>
      </c>
      <c r="C82" s="42" t="n">
        <v>333.9</v>
      </c>
      <c r="D82" s="42" t="n">
        <v>0</v>
      </c>
      <c r="E82" s="42" t="inlineStr"/>
      <c r="F82" s="42" t="inlineStr">
        <is>
          <t>HDFC Securities - Buy</t>
        </is>
      </c>
      <c r="G82" s="18" t="n">
        <v>0.97</v>
      </c>
      <c r="H82" s="42" t="inlineStr">
        <is>
          <t>HDFC Securities</t>
        </is>
      </c>
      <c r="I82" s="42" t="inlineStr">
        <is>
          <t>HDFC 5413</t>
        </is>
      </c>
      <c r="J82" s="42" t="inlineStr"/>
      <c r="K82" s="42" t="inlineStr">
        <is>
          <t>NET PI TO HSL SEC A/C 2554606-00602340029427</t>
        </is>
      </c>
      <c r="L82" s="42" t="inlineStr">
        <is>
          <t>HDFC Bank</t>
        </is>
      </c>
      <c r="M82" s="42" t="inlineStr"/>
    </row>
    <row r="83">
      <c r="A83" s="54" t="n">
        <v>45040</v>
      </c>
      <c r="B83" s="54" t="n">
        <v>45040</v>
      </c>
      <c r="C83" s="55" t="n">
        <v>0</v>
      </c>
      <c r="D83" s="55" t="n">
        <v>1160.53</v>
      </c>
      <c r="E83" s="55" t="inlineStr"/>
      <c r="F83" s="55" t="inlineStr">
        <is>
          <t>HDFC Securities - Sell</t>
        </is>
      </c>
      <c r="G83" s="18" t="n">
        <v>0.97</v>
      </c>
      <c r="H83" s="55" t="inlineStr">
        <is>
          <t>HDFC Securities</t>
        </is>
      </c>
      <c r="I83" s="55" t="inlineStr">
        <is>
          <t>HDFC 5413</t>
        </is>
      </c>
      <c r="J83" s="55" t="inlineStr"/>
      <c r="K83" s="55" t="inlineStr">
        <is>
          <t>NET PO FROM HSL A/C 2554606-00602340029427</t>
        </is>
      </c>
      <c r="L83" s="55" t="inlineStr">
        <is>
          <t>HDFC Bank</t>
        </is>
      </c>
      <c r="M83" s="55" t="inlineStr"/>
    </row>
    <row r="84">
      <c r="A84" s="58" t="n">
        <v>45041</v>
      </c>
      <c r="B84" s="58" t="n">
        <v>45041</v>
      </c>
      <c r="C84" s="59" t="n">
        <v>2500</v>
      </c>
      <c r="D84" s="59" t="n">
        <v>0</v>
      </c>
      <c r="E84" s="59" t="inlineStr"/>
      <c r="F84" s="59" t="inlineStr">
        <is>
          <t>MF Investment</t>
        </is>
      </c>
      <c r="G84" s="18" t="n">
        <v>0.9</v>
      </c>
      <c r="H84" s="59" t="inlineStr">
        <is>
          <t>Investments</t>
        </is>
      </c>
      <c r="I84" s="59" t="inlineStr">
        <is>
          <t>HDFC 5413</t>
        </is>
      </c>
      <c r="J84" s="59" t="inlineStr"/>
      <c r="K84" s="59" t="inlineStr">
        <is>
          <t>NET PAYIN TO BSE MF A/C -57500000389146- FROM A/C -50100128155413- UCC -2554606-57500000389146</t>
        </is>
      </c>
      <c r="L84" s="59" t="inlineStr">
        <is>
          <t>HDFC Bank</t>
        </is>
      </c>
      <c r="M84" s="59" t="inlineStr"/>
    </row>
    <row r="85">
      <c r="A85" s="54" t="n">
        <v>45041</v>
      </c>
      <c r="B85" s="54" t="n">
        <v>45041</v>
      </c>
      <c r="C85" s="55" t="n">
        <v>0</v>
      </c>
      <c r="D85" s="55" t="n">
        <v>3975.3</v>
      </c>
      <c r="E85" s="55" t="inlineStr"/>
      <c r="F85" s="55" t="inlineStr">
        <is>
          <t>HDFC Securities - Sell</t>
        </is>
      </c>
      <c r="G85" s="18" t="n">
        <v>0.97</v>
      </c>
      <c r="H85" s="55" t="inlineStr">
        <is>
          <t>HDFC Securities</t>
        </is>
      </c>
      <c r="I85" s="55" t="inlineStr">
        <is>
          <t>HDFC 5413</t>
        </is>
      </c>
      <c r="J85" s="55" t="inlineStr"/>
      <c r="K85" s="55" t="inlineStr">
        <is>
          <t>NET PO FROM HSL A/C 2554606-00602340029427</t>
        </is>
      </c>
      <c r="L85" s="55" t="inlineStr">
        <is>
          <t>HDFC Bank</t>
        </is>
      </c>
      <c r="M85" s="55" t="inlineStr"/>
    </row>
    <row r="86">
      <c r="A86" s="41" t="n">
        <v>45041</v>
      </c>
      <c r="B86" s="41" t="n">
        <v>45041</v>
      </c>
      <c r="C86" s="42" t="n">
        <v>111.87</v>
      </c>
      <c r="D86" s="42" t="n">
        <v>0</v>
      </c>
      <c r="E86" s="42" t="inlineStr"/>
      <c r="F86" s="42" t="inlineStr">
        <is>
          <t>HDFC Securities - Buy</t>
        </is>
      </c>
      <c r="G86" s="18" t="n">
        <v>0.97</v>
      </c>
      <c r="H86" s="42" t="inlineStr">
        <is>
          <t>HDFC Securities</t>
        </is>
      </c>
      <c r="I86" s="42" t="inlineStr">
        <is>
          <t>HDFC 5413</t>
        </is>
      </c>
      <c r="J86" s="42" t="inlineStr"/>
      <c r="K86" s="42" t="inlineStr">
        <is>
          <t>NET PI TO HSL SEC A/C 2554606-00602340029427</t>
        </is>
      </c>
      <c r="L86" s="42" t="inlineStr">
        <is>
          <t>HDFC Bank</t>
        </is>
      </c>
      <c r="M86" s="42" t="inlineStr"/>
    </row>
    <row r="87">
      <c r="A87" s="54" t="n">
        <v>45041</v>
      </c>
      <c r="B87" s="54" t="n">
        <v>45041</v>
      </c>
      <c r="C87" s="55" t="n">
        <v>0</v>
      </c>
      <c r="D87" s="55" t="n">
        <v>4133.83</v>
      </c>
      <c r="E87" s="55" t="inlineStr"/>
      <c r="F87" s="55" t="inlineStr">
        <is>
          <t>HDFC Securities - Sell</t>
        </is>
      </c>
      <c r="G87" s="18" t="n">
        <v>0.97</v>
      </c>
      <c r="H87" s="55" t="inlineStr">
        <is>
          <t>HDFC Securities</t>
        </is>
      </c>
      <c r="I87" s="55" t="inlineStr">
        <is>
          <t>HDFC 5413</t>
        </is>
      </c>
      <c r="J87" s="55" t="inlineStr"/>
      <c r="K87" s="55" t="inlineStr">
        <is>
          <t>NET PO FROM HSL A/C 2554606-00602340029427</t>
        </is>
      </c>
      <c r="L87" s="55" t="inlineStr">
        <is>
          <t>HDFC Bank</t>
        </is>
      </c>
      <c r="M87" s="55" t="inlineStr"/>
    </row>
    <row r="88">
      <c r="A88" s="54" t="n">
        <v>45041</v>
      </c>
      <c r="B88" s="54" t="n">
        <v>45041</v>
      </c>
      <c r="C88" s="55" t="n">
        <v>0</v>
      </c>
      <c r="D88" s="55" t="n">
        <v>9183.040000000001</v>
      </c>
      <c r="E88" s="55" t="inlineStr"/>
      <c r="F88" s="55" t="inlineStr">
        <is>
          <t>HDFC Securities - Sell</t>
        </is>
      </c>
      <c r="G88" s="18" t="n">
        <v>0.97</v>
      </c>
      <c r="H88" s="55" t="inlineStr">
        <is>
          <t>HDFC Securities</t>
        </is>
      </c>
      <c r="I88" s="55" t="inlineStr">
        <is>
          <t>HDFC 5413</t>
        </is>
      </c>
      <c r="J88" s="55" t="inlineStr"/>
      <c r="K88" s="55" t="inlineStr">
        <is>
          <t>NET PO FROM HSL A/C 2554606-00602340029427</t>
        </is>
      </c>
      <c r="L88" s="55" t="inlineStr">
        <is>
          <t>HDFC Bank</t>
        </is>
      </c>
      <c r="M88" s="55" t="inlineStr"/>
    </row>
    <row r="89">
      <c r="A89" s="37" t="n">
        <v>45041</v>
      </c>
      <c r="B89" s="37" t="n">
        <v>45041</v>
      </c>
      <c r="C89" s="38" t="n">
        <v>30</v>
      </c>
      <c r="D89" s="38" t="n">
        <v>0</v>
      </c>
      <c r="E89" s="38" t="inlineStr">
        <is>
          <t>Mr Haroo</t>
        </is>
      </c>
      <c r="F89" s="38" t="inlineStr">
        <is>
          <t>UPI Payment</t>
        </is>
      </c>
      <c r="G89" s="25" t="n">
        <v>0.55</v>
      </c>
      <c r="H89" s="38" t="inlineStr">
        <is>
          <t>Personal</t>
        </is>
      </c>
      <c r="I89" s="38" t="inlineStr">
        <is>
          <t>SBI 1227</t>
        </is>
      </c>
      <c r="J89" s="38" t="inlineStr"/>
      <c r="K89" s="38" t="inlineStr">
        <is>
          <t xml:space="preserve">   TO TRANSFER-UPI/DR/348124957377/Mr HAROO/YESB/q840523701/UPI--</t>
        </is>
      </c>
      <c r="L89" s="38" t="inlineStr">
        <is>
          <t>State Bank of India</t>
        </is>
      </c>
      <c r="M89" s="38" t="inlineStr"/>
    </row>
    <row r="90">
      <c r="A90" s="41" t="n">
        <v>45042</v>
      </c>
      <c r="B90" s="41" t="n">
        <v>45042</v>
      </c>
      <c r="C90" s="42" t="n">
        <v>5928.58</v>
      </c>
      <c r="D90" s="42" t="n">
        <v>0</v>
      </c>
      <c r="E90" s="42" t="inlineStr"/>
      <c r="F90" s="42" t="inlineStr">
        <is>
          <t>HDFC Securities - Buy</t>
        </is>
      </c>
      <c r="G90" s="18" t="n">
        <v>0.97</v>
      </c>
      <c r="H90" s="42" t="inlineStr">
        <is>
          <t>HDFC Securities</t>
        </is>
      </c>
      <c r="I90" s="42" t="inlineStr">
        <is>
          <t>HDFC 5413</t>
        </is>
      </c>
      <c r="J90" s="42" t="inlineStr"/>
      <c r="K90" s="42" t="inlineStr">
        <is>
          <t>NET PI TO HSL SEC A/C 2554606-00602340029427</t>
        </is>
      </c>
      <c r="L90" s="42" t="inlineStr">
        <is>
          <t>HDFC Bank</t>
        </is>
      </c>
      <c r="M90" s="42" t="inlineStr"/>
    </row>
    <row r="91">
      <c r="A91" s="35" t="n">
        <v>45042</v>
      </c>
      <c r="B91" s="35" t="n">
        <v>45042</v>
      </c>
      <c r="C91" s="36" t="n">
        <v>991.8200000000001</v>
      </c>
      <c r="D91" s="36" t="n">
        <v>0</v>
      </c>
      <c r="E91" s="36" t="inlineStr"/>
      <c r="F91" s="36" t="inlineStr">
        <is>
          <t>UPI - Paytm</t>
        </is>
      </c>
      <c r="G91" s="34" t="n">
        <v>0.65</v>
      </c>
      <c r="H91" s="36" t="inlineStr">
        <is>
          <t>Personal</t>
        </is>
      </c>
      <c r="I91" s="36" t="inlineStr">
        <is>
          <t>SBI 1227</t>
        </is>
      </c>
      <c r="J91" s="36" t="inlineStr"/>
      <c r="K91" s="36" t="inlineStr">
        <is>
          <t xml:space="preserve">   TO TRANSFER-UPI/DR/311672052419/MEDPLUS /PYTM/paytm-7097/UPI--</t>
        </is>
      </c>
      <c r="L91" s="36" t="inlineStr">
        <is>
          <t>State Bank of India</t>
        </is>
      </c>
      <c r="M91" s="36" t="inlineStr"/>
    </row>
    <row r="92">
      <c r="A92" s="37" t="n">
        <v>45042</v>
      </c>
      <c r="B92" s="37" t="n">
        <v>45042</v>
      </c>
      <c r="C92" s="38" t="n">
        <v>50</v>
      </c>
      <c r="D92" s="38" t="n">
        <v>0</v>
      </c>
      <c r="E92" s="38" t="inlineStr">
        <is>
          <t>Vodafone</t>
        </is>
      </c>
      <c r="F92" s="38" t="inlineStr">
        <is>
          <t>UPI Payment</t>
        </is>
      </c>
      <c r="G92" s="25" t="n">
        <v>0.55</v>
      </c>
      <c r="H92" s="38" t="inlineStr">
        <is>
          <t>Personal</t>
        </is>
      </c>
      <c r="I92" s="38" t="inlineStr">
        <is>
          <t>SBI 1227</t>
        </is>
      </c>
      <c r="J92" s="38" t="inlineStr"/>
      <c r="K92" s="38" t="inlineStr">
        <is>
          <t xml:space="preserve">   TO TRANSFER-UPI/DR/311605861496/Vodafone/PYTM/vilpremum@/UPI--</t>
        </is>
      </c>
      <c r="L92" s="38" t="inlineStr">
        <is>
          <t>State Bank of India</t>
        </is>
      </c>
      <c r="M92" s="38" t="inlineStr"/>
    </row>
    <row r="93">
      <c r="A93" s="37" t="n">
        <v>45042</v>
      </c>
      <c r="B93" s="37" t="n">
        <v>45042</v>
      </c>
      <c r="C93" s="38" t="n">
        <v>69</v>
      </c>
      <c r="D93" s="38" t="n">
        <v>0</v>
      </c>
      <c r="E93" s="38" t="inlineStr">
        <is>
          <t>Olamoney1</t>
        </is>
      </c>
      <c r="F93" s="38" t="inlineStr">
        <is>
          <t>UPI Payment</t>
        </is>
      </c>
      <c r="G93" s="25" t="n">
        <v>0.55</v>
      </c>
      <c r="H93" s="38" t="inlineStr">
        <is>
          <t>Personal</t>
        </is>
      </c>
      <c r="I93" s="38" t="inlineStr">
        <is>
          <t>SBI 1227</t>
        </is>
      </c>
      <c r="J93" s="38" t="inlineStr"/>
      <c r="K93" s="38" t="inlineStr">
        <is>
          <t xml:space="preserve">   TO TRANSFER-UPI/DR/311647973323/olamoney1/HDFC/olamoney1./UPI--</t>
        </is>
      </c>
      <c r="L93" s="38" t="inlineStr">
        <is>
          <t>State Bank of India</t>
        </is>
      </c>
      <c r="M93" s="38" t="inlineStr"/>
    </row>
    <row r="94">
      <c r="A94" s="41" t="n">
        <v>45043</v>
      </c>
      <c r="B94" s="41" t="n">
        <v>45043</v>
      </c>
      <c r="C94" s="42" t="n">
        <v>100.39</v>
      </c>
      <c r="D94" s="42" t="n">
        <v>0</v>
      </c>
      <c r="E94" s="42" t="inlineStr"/>
      <c r="F94" s="42" t="inlineStr">
        <is>
          <t>HDFC Securities - Buy</t>
        </is>
      </c>
      <c r="G94" s="18" t="n">
        <v>0.97</v>
      </c>
      <c r="H94" s="42" t="inlineStr">
        <is>
          <t>HDFC Securities</t>
        </is>
      </c>
      <c r="I94" s="42" t="inlineStr">
        <is>
          <t>HDFC 5413</t>
        </is>
      </c>
      <c r="J94" s="42" t="inlineStr"/>
      <c r="K94" s="42" t="inlineStr">
        <is>
          <t>NET PI TO HSL SEC A/C 2554606-00602340029427</t>
        </is>
      </c>
      <c r="L94" s="42" t="inlineStr">
        <is>
          <t>HDFC Bank</t>
        </is>
      </c>
      <c r="M94" s="42" t="inlineStr"/>
    </row>
    <row r="95">
      <c r="A95" s="54" t="n">
        <v>45043</v>
      </c>
      <c r="B95" s="54" t="n">
        <v>45043</v>
      </c>
      <c r="C95" s="55" t="n">
        <v>0</v>
      </c>
      <c r="D95" s="55" t="n">
        <v>1200.79</v>
      </c>
      <c r="E95" s="55" t="inlineStr"/>
      <c r="F95" s="55" t="inlineStr">
        <is>
          <t>HDFC Securities - Sell</t>
        </is>
      </c>
      <c r="G95" s="18" t="n">
        <v>0.97</v>
      </c>
      <c r="H95" s="55" t="inlineStr">
        <is>
          <t>HDFC Securities</t>
        </is>
      </c>
      <c r="I95" s="55" t="inlineStr">
        <is>
          <t>HDFC 5413</t>
        </is>
      </c>
      <c r="J95" s="55" t="inlineStr"/>
      <c r="K95" s="55" t="inlineStr">
        <is>
          <t>NET PO FROM HSL A/C 2554606-00602340029427</t>
        </is>
      </c>
      <c r="L95" s="55" t="inlineStr">
        <is>
          <t>HDFC Bank</t>
        </is>
      </c>
      <c r="M95" s="55" t="inlineStr"/>
    </row>
    <row r="96">
      <c r="A96" s="37" t="n">
        <v>45043</v>
      </c>
      <c r="B96" s="37" t="n">
        <v>45043</v>
      </c>
      <c r="C96" s="38" t="n">
        <v>278</v>
      </c>
      <c r="D96" s="38" t="n">
        <v>0</v>
      </c>
      <c r="E96" s="38" t="inlineStr">
        <is>
          <t>Vidya As</t>
        </is>
      </c>
      <c r="F96" s="38" t="inlineStr">
        <is>
          <t>UPI Payment</t>
        </is>
      </c>
      <c r="G96" s="25" t="n">
        <v>0.55</v>
      </c>
      <c r="H96" s="38" t="inlineStr">
        <is>
          <t>Personal</t>
        </is>
      </c>
      <c r="I96" s="38" t="inlineStr">
        <is>
          <t>SBI 1227</t>
        </is>
      </c>
      <c r="J96" s="38" t="inlineStr"/>
      <c r="K96" s="38" t="inlineStr">
        <is>
          <t xml:space="preserve">   TO TRANSFER-UPI/DR/311707651627/VIDYA AS/YESB/q580300757/UPI--</t>
        </is>
      </c>
      <c r="L96" s="38" t="inlineStr">
        <is>
          <t>State Bank of India</t>
        </is>
      </c>
      <c r="M96" s="38" t="inlineStr"/>
    </row>
    <row r="97">
      <c r="A97" s="39" t="n">
        <v>45043</v>
      </c>
      <c r="B97" s="39" t="n">
        <v>45043</v>
      </c>
      <c r="C97" s="40" t="n">
        <v>0</v>
      </c>
      <c r="D97" s="40" t="n">
        <v>100</v>
      </c>
      <c r="E97" s="40" t="inlineStr"/>
      <c r="F97" s="40" t="inlineStr">
        <is>
          <t>Received - Archit Gupta</t>
        </is>
      </c>
      <c r="G97" s="18" t="n">
        <v>0.85</v>
      </c>
      <c r="H97" s="40" t="inlineStr">
        <is>
          <t>Archit Gupta</t>
        </is>
      </c>
      <c r="I97" s="40" t="inlineStr">
        <is>
          <t>SBI 1227</t>
        </is>
      </c>
      <c r="J97" s="40" t="inlineStr"/>
      <c r="K97" s="40" t="inlineStr">
        <is>
          <t xml:space="preserve">   BY TRANSFER-UPI/CR/311760370847/ARCHIT G/UTIB/archit4801/UPI--</t>
        </is>
      </c>
      <c r="L97" s="40" t="inlineStr">
        <is>
          <t>State Bank of India</t>
        </is>
      </c>
      <c r="M97" s="40" t="inlineStr"/>
    </row>
    <row r="98">
      <c r="A98" s="39" t="n">
        <v>45043</v>
      </c>
      <c r="B98" s="39" t="n">
        <v>45043</v>
      </c>
      <c r="C98" s="40" t="n">
        <v>100</v>
      </c>
      <c r="D98" s="40" t="n">
        <v>0</v>
      </c>
      <c r="E98" s="40" t="inlineStr"/>
      <c r="F98" s="40" t="inlineStr">
        <is>
          <t>Transfer - Archit Gupta</t>
        </is>
      </c>
      <c r="G98" s="18" t="n">
        <v>0.85</v>
      </c>
      <c r="H98" s="40" t="inlineStr">
        <is>
          <t>Archit Gupta</t>
        </is>
      </c>
      <c r="I98" s="40" t="inlineStr">
        <is>
          <t>SBI 1227</t>
        </is>
      </c>
      <c r="J98" s="40" t="inlineStr"/>
      <c r="K98" s="40" t="inlineStr">
        <is>
          <t xml:space="preserve">   TO TRANSFER-UPI/DR/311713120224/ARCHIT G/UTIB/archit4801/UPI--</t>
        </is>
      </c>
      <c r="L98" s="40" t="inlineStr">
        <is>
          <t>State Bank of India</t>
        </is>
      </c>
      <c r="M98" s="40" t="inlineStr"/>
    </row>
    <row r="99">
      <c r="A99" s="101" t="n">
        <v>45044</v>
      </c>
      <c r="B99" s="101" t="n">
        <v>45044</v>
      </c>
      <c r="C99" s="102" t="n">
        <v>0</v>
      </c>
      <c r="D99" s="102" t="n">
        <v>670</v>
      </c>
      <c r="E99" s="102" t="inlineStr"/>
      <c r="F99" s="102" t="inlineStr">
        <is>
          <t>Received - Ganesh B</t>
        </is>
      </c>
      <c r="G99" s="25" t="n">
        <v>0.55</v>
      </c>
      <c r="H99" s="102" t="inlineStr">
        <is>
          <t>Personal</t>
        </is>
      </c>
      <c r="I99" s="102" t="inlineStr">
        <is>
          <t>SBI 1227</t>
        </is>
      </c>
      <c r="J99" s="102" t="inlineStr"/>
      <c r="K99" s="102" t="inlineStr">
        <is>
          <t xml:space="preserve">   BY TRANSFER-UPI/CR/311802002996/GANESH B/HDFC/shelke49@o/UPI--</t>
        </is>
      </c>
      <c r="L99" s="102" t="inlineStr">
        <is>
          <t>State Bank of India</t>
        </is>
      </c>
      <c r="M99" s="102" t="inlineStr"/>
    </row>
    <row r="100">
      <c r="A100" s="37" t="n">
        <v>45044</v>
      </c>
      <c r="B100" s="37" t="n">
        <v>45044</v>
      </c>
      <c r="C100" s="38" t="n">
        <v>108</v>
      </c>
      <c r="D100" s="38" t="n">
        <v>0</v>
      </c>
      <c r="E100" s="38" t="inlineStr">
        <is>
          <t>Vidya As</t>
        </is>
      </c>
      <c r="F100" s="38" t="inlineStr">
        <is>
          <t>UPI Payment</t>
        </is>
      </c>
      <c r="G100" s="25" t="n">
        <v>0.55</v>
      </c>
      <c r="H100" s="38" t="inlineStr">
        <is>
          <t>Personal</t>
        </is>
      </c>
      <c r="I100" s="38" t="inlineStr">
        <is>
          <t>SBI 1227</t>
        </is>
      </c>
      <c r="J100" s="38" t="inlineStr"/>
      <c r="K100" s="38" t="inlineStr">
        <is>
          <t xml:space="preserve">   TO TRANSFER-UPI/DR/311826037356/VIDYA AS/YESB/q503684025/UPI--</t>
        </is>
      </c>
      <c r="L100" s="38" t="inlineStr">
        <is>
          <t>State Bank of India</t>
        </is>
      </c>
      <c r="M100" s="38" t="inlineStr"/>
    </row>
    <row r="101">
      <c r="A101" s="37" t="n">
        <v>45044</v>
      </c>
      <c r="B101" s="37" t="n">
        <v>45044</v>
      </c>
      <c r="C101" s="38" t="n">
        <v>256</v>
      </c>
      <c r="D101" s="38" t="n">
        <v>0</v>
      </c>
      <c r="E101" s="38" t="inlineStr">
        <is>
          <t>Vidya As</t>
        </is>
      </c>
      <c r="F101" s="38" t="inlineStr">
        <is>
          <t>UPI Payment</t>
        </is>
      </c>
      <c r="G101" s="25" t="n">
        <v>0.55</v>
      </c>
      <c r="H101" s="38" t="inlineStr">
        <is>
          <t>Personal</t>
        </is>
      </c>
      <c r="I101" s="38" t="inlineStr">
        <is>
          <t>SBI 1227</t>
        </is>
      </c>
      <c r="J101" s="38" t="inlineStr"/>
      <c r="K101" s="38" t="inlineStr">
        <is>
          <t xml:space="preserve">   TO TRANSFER-UPI/DR/311843627938/VIDYA AS/YESB/q503684025/UPI--</t>
        </is>
      </c>
      <c r="L101" s="38" t="inlineStr">
        <is>
          <t>State Bank of India</t>
        </is>
      </c>
      <c r="M101" s="38" t="inlineStr"/>
    </row>
    <row r="102">
      <c r="A102" s="37" t="n">
        <v>45044</v>
      </c>
      <c r="B102" s="37" t="n">
        <v>45044</v>
      </c>
      <c r="C102" s="38" t="n">
        <v>45</v>
      </c>
      <c r="D102" s="38" t="n">
        <v>0</v>
      </c>
      <c r="E102" s="38" t="inlineStr">
        <is>
          <t>Manish H</t>
        </is>
      </c>
      <c r="F102" s="38" t="inlineStr">
        <is>
          <t>UPI Payment</t>
        </is>
      </c>
      <c r="G102" s="25" t="n">
        <v>0.55</v>
      </c>
      <c r="H102" s="38" t="inlineStr">
        <is>
          <t>Personal</t>
        </is>
      </c>
      <c r="I102" s="38" t="inlineStr">
        <is>
          <t>SBI 1227</t>
        </is>
      </c>
      <c r="J102" s="38" t="inlineStr"/>
      <c r="K102" s="38" t="inlineStr">
        <is>
          <t xml:space="preserve">   TO TRANSFER-UPI/DR/311846413894/MANISH H/YESB/q423659019/UPI--</t>
        </is>
      </c>
      <c r="L102" s="38" t="inlineStr">
        <is>
          <t>State Bank of India</t>
        </is>
      </c>
      <c r="M102" s="38" t="inlineStr"/>
    </row>
    <row r="103">
      <c r="A103" s="41" t="n">
        <v>45044</v>
      </c>
      <c r="B103" s="41" t="n">
        <v>45044</v>
      </c>
      <c r="C103" s="42" t="n">
        <v>1940.44</v>
      </c>
      <c r="D103" s="42" t="n">
        <v>0</v>
      </c>
      <c r="E103" s="42" t="inlineStr"/>
      <c r="F103" s="42" t="inlineStr">
        <is>
          <t>HDFC Securities - Buy</t>
        </is>
      </c>
      <c r="G103" s="18" t="n">
        <v>0.97</v>
      </c>
      <c r="H103" s="42" t="inlineStr">
        <is>
          <t>HDFC Securities</t>
        </is>
      </c>
      <c r="I103" s="42" t="inlineStr">
        <is>
          <t>HDFC 5413</t>
        </is>
      </c>
      <c r="J103" s="42" t="inlineStr"/>
      <c r="K103" s="42" t="inlineStr">
        <is>
          <t>NET PI TO HSL SEC A/C 2554606-00602340029427</t>
        </is>
      </c>
      <c r="L103" s="42" t="inlineStr">
        <is>
          <t>HDFC Bank</t>
        </is>
      </c>
      <c r="M103" s="42" t="inlineStr"/>
    </row>
    <row r="104">
      <c r="A104" s="41" t="n">
        <v>45044</v>
      </c>
      <c r="B104" s="41" t="n">
        <v>45044</v>
      </c>
      <c r="C104" s="42" t="n">
        <v>114.12</v>
      </c>
      <c r="D104" s="42" t="n">
        <v>0</v>
      </c>
      <c r="E104" s="42" t="inlineStr"/>
      <c r="F104" s="42" t="inlineStr">
        <is>
          <t>HDFC Securities - Buy</t>
        </is>
      </c>
      <c r="G104" s="18" t="n">
        <v>0.97</v>
      </c>
      <c r="H104" s="42" t="inlineStr">
        <is>
          <t>HDFC Securities</t>
        </is>
      </c>
      <c r="I104" s="42" t="inlineStr">
        <is>
          <t>HDFC 5413</t>
        </is>
      </c>
      <c r="J104" s="42" t="inlineStr"/>
      <c r="K104" s="42" t="inlineStr">
        <is>
          <t>NET PI TO HSL SEC A/C 2554606-00602340029427</t>
        </is>
      </c>
      <c r="L104" s="42" t="inlineStr">
        <is>
          <t>HDFC Bank</t>
        </is>
      </c>
      <c r="M104" s="42" t="inlineStr"/>
    </row>
    <row r="105">
      <c r="A105" s="41" t="n">
        <v>45044</v>
      </c>
      <c r="B105" s="41" t="n">
        <v>45044</v>
      </c>
      <c r="C105" s="42" t="n">
        <v>15786.08</v>
      </c>
      <c r="D105" s="42" t="n">
        <v>0</v>
      </c>
      <c r="E105" s="42" t="inlineStr"/>
      <c r="F105" s="42" t="inlineStr">
        <is>
          <t>HDFC Securities - Buy</t>
        </is>
      </c>
      <c r="G105" s="18" t="n">
        <v>0.97</v>
      </c>
      <c r="H105" s="42" t="inlineStr">
        <is>
          <t>HDFC Securities</t>
        </is>
      </c>
      <c r="I105" s="42" t="inlineStr">
        <is>
          <t>HDFC 5413</t>
        </is>
      </c>
      <c r="J105" s="42" t="inlineStr"/>
      <c r="K105" s="42" t="inlineStr">
        <is>
          <t>NET PI TO HSL SEC A/C 2554606-00602340029427</t>
        </is>
      </c>
      <c r="L105" s="42" t="inlineStr">
        <is>
          <t>HDFC Bank</t>
        </is>
      </c>
      <c r="M105" s="42" t="inlineStr"/>
    </row>
    <row r="106">
      <c r="A106" s="37" t="n">
        <v>45045</v>
      </c>
      <c r="B106" s="37" t="n">
        <v>45045</v>
      </c>
      <c r="C106" s="38" t="n">
        <v>840</v>
      </c>
      <c r="D106" s="38" t="n">
        <v>0</v>
      </c>
      <c r="E106" s="38" t="inlineStr">
        <is>
          <t>Pawan Tr</t>
        </is>
      </c>
      <c r="F106" s="38" t="inlineStr">
        <is>
          <t>UPI Payment</t>
        </is>
      </c>
      <c r="G106" s="25" t="n">
        <v>0.55</v>
      </c>
      <c r="H106" s="38" t="inlineStr">
        <is>
          <t>Personal</t>
        </is>
      </c>
      <c r="I106" s="38" t="inlineStr">
        <is>
          <t>SBI 1227</t>
        </is>
      </c>
      <c r="J106" s="38" t="inlineStr"/>
      <c r="K106" s="38" t="inlineStr">
        <is>
          <t xml:space="preserve">   TO TRANSFER-UPI/DR/348556626391/Pawan Tr/PYTM/add-money@/Oid20--</t>
        </is>
      </c>
      <c r="L106" s="38" t="inlineStr">
        <is>
          <t>State Bank of India</t>
        </is>
      </c>
      <c r="M106" s="38" t="inlineStr"/>
    </row>
    <row r="107">
      <c r="A107" s="37" t="n">
        <v>45046</v>
      </c>
      <c r="B107" s="37" t="n">
        <v>45046</v>
      </c>
      <c r="C107" s="38" t="n">
        <v>90</v>
      </c>
      <c r="D107" s="38" t="n">
        <v>0</v>
      </c>
      <c r="E107" s="38" t="inlineStr">
        <is>
          <t>Manish H</t>
        </is>
      </c>
      <c r="F107" s="38" t="inlineStr">
        <is>
          <t>UPI Payment</t>
        </is>
      </c>
      <c r="G107" s="25" t="n">
        <v>0.55</v>
      </c>
      <c r="H107" s="38" t="inlineStr">
        <is>
          <t>Personal</t>
        </is>
      </c>
      <c r="I107" s="38" t="inlineStr">
        <is>
          <t>SBI 1227</t>
        </is>
      </c>
      <c r="J107" s="38" t="inlineStr"/>
      <c r="K107" s="38" t="inlineStr">
        <is>
          <t xml:space="preserve">   TO TRANSFER-UPI/DR/312001785589/MANISH H/YESB/q423659019/UPI--</t>
        </is>
      </c>
      <c r="L107" s="38" t="inlineStr">
        <is>
          <t>State Bank of India</t>
        </is>
      </c>
      <c r="M107" s="38" t="inlineStr"/>
    </row>
    <row r="108">
      <c r="A108" s="37" t="n">
        <v>45047</v>
      </c>
      <c r="B108" s="37" t="n">
        <v>45047</v>
      </c>
      <c r="C108" s="38" t="n">
        <v>90</v>
      </c>
      <c r="D108" s="38" t="n">
        <v>0</v>
      </c>
      <c r="E108" s="38" t="inlineStr">
        <is>
          <t>Shaikh A</t>
        </is>
      </c>
      <c r="F108" s="38" t="inlineStr">
        <is>
          <t>UPI Payment</t>
        </is>
      </c>
      <c r="G108" s="25" t="n">
        <v>0.55</v>
      </c>
      <c r="H108" s="38" t="inlineStr">
        <is>
          <t>Personal</t>
        </is>
      </c>
      <c r="I108" s="38" t="inlineStr">
        <is>
          <t>SBI 1227</t>
        </is>
      </c>
      <c r="J108" s="38" t="inlineStr"/>
      <c r="K108" s="38" t="inlineStr">
        <is>
          <t xml:space="preserve">   TO TRANSFER-UPI/DR/312122469551/SHAIKH A/BARB/q892555202/UPI--</t>
        </is>
      </c>
      <c r="L108" s="38" t="inlineStr">
        <is>
          <t>State Bank of India</t>
        </is>
      </c>
      <c r="M108" s="38" t="inlineStr"/>
    </row>
    <row r="109">
      <c r="A109" s="41" t="n">
        <v>45048</v>
      </c>
      <c r="B109" s="41" t="n">
        <v>45048</v>
      </c>
      <c r="C109" s="42" t="n">
        <v>452.64</v>
      </c>
      <c r="D109" s="42" t="n">
        <v>0</v>
      </c>
      <c r="E109" s="42" t="inlineStr"/>
      <c r="F109" s="42" t="inlineStr">
        <is>
          <t>HDFC Securities - Buy</t>
        </is>
      </c>
      <c r="G109" s="18" t="n">
        <v>0.97</v>
      </c>
      <c r="H109" s="42" t="inlineStr">
        <is>
          <t>HDFC Securities</t>
        </is>
      </c>
      <c r="I109" s="42" t="inlineStr">
        <is>
          <t>HDFC 5413</t>
        </is>
      </c>
      <c r="J109" s="42" t="inlineStr"/>
      <c r="K109" s="42" t="inlineStr">
        <is>
          <t>NET PI TO HSL SEC A/C 2554606-00602340029427</t>
        </is>
      </c>
      <c r="L109" s="42" t="inlineStr">
        <is>
          <t>HDFC Bank</t>
        </is>
      </c>
      <c r="M109" s="42" t="inlineStr"/>
    </row>
    <row r="110">
      <c r="A110" s="54" t="n">
        <v>45049</v>
      </c>
      <c r="B110" s="54" t="n">
        <v>45049</v>
      </c>
      <c r="C110" s="55" t="n">
        <v>0</v>
      </c>
      <c r="D110" s="55" t="n">
        <v>7290.23</v>
      </c>
      <c r="E110" s="55" t="inlineStr"/>
      <c r="F110" s="55" t="inlineStr">
        <is>
          <t>HDFC Securities - Sell</t>
        </is>
      </c>
      <c r="G110" s="18" t="n">
        <v>0.97</v>
      </c>
      <c r="H110" s="55" t="inlineStr">
        <is>
          <t>HDFC Securities</t>
        </is>
      </c>
      <c r="I110" s="55" t="inlineStr">
        <is>
          <t>HDFC 5413</t>
        </is>
      </c>
      <c r="J110" s="55" t="inlineStr"/>
      <c r="K110" s="55" t="inlineStr">
        <is>
          <t>NET PO FROM HSL A/C 2554606-00602340029427</t>
        </is>
      </c>
      <c r="L110" s="55" t="inlineStr">
        <is>
          <t>HDFC Bank</t>
        </is>
      </c>
      <c r="M110" s="55" t="inlineStr">
        <is>
          <t>⚠ Possible Duplicate</t>
        </is>
      </c>
    </row>
    <row r="111">
      <c r="A111" s="54" t="n">
        <v>45049</v>
      </c>
      <c r="B111" s="54" t="n">
        <v>45048</v>
      </c>
      <c r="C111" s="55" t="n">
        <v>0</v>
      </c>
      <c r="D111" s="55" t="n">
        <v>447.14</v>
      </c>
      <c r="E111" s="55" t="inlineStr"/>
      <c r="F111" s="55" t="inlineStr">
        <is>
          <t>HDFC Securities - Sell</t>
        </is>
      </c>
      <c r="G111" s="18" t="n">
        <v>0.97</v>
      </c>
      <c r="H111" s="55" t="inlineStr">
        <is>
          <t>HDFC Securities</t>
        </is>
      </c>
      <c r="I111" s="55" t="inlineStr">
        <is>
          <t>HDFC 5413</t>
        </is>
      </c>
      <c r="J111" s="55" t="inlineStr"/>
      <c r="K111" s="55" t="inlineStr">
        <is>
          <t>NET PO FROM HSL A/C 2554606-00602340029427</t>
        </is>
      </c>
      <c r="L111" s="55" t="inlineStr">
        <is>
          <t>HDFC Bank</t>
        </is>
      </c>
      <c r="M111" s="55" t="inlineStr">
        <is>
          <t>⚠ Possible Duplicate</t>
        </is>
      </c>
    </row>
    <row r="112">
      <c r="A112" s="41" t="n">
        <v>45049</v>
      </c>
      <c r="B112" s="41" t="n">
        <v>45049</v>
      </c>
      <c r="C112" s="42" t="n">
        <v>447.14</v>
      </c>
      <c r="D112" s="42" t="n">
        <v>0</v>
      </c>
      <c r="E112" s="42" t="inlineStr"/>
      <c r="F112" s="42" t="inlineStr">
        <is>
          <t>HDFC Securities - Buy</t>
        </is>
      </c>
      <c r="G112" s="18" t="n">
        <v>0.97</v>
      </c>
      <c r="H112" s="42" t="inlineStr">
        <is>
          <t>HDFC Securities</t>
        </is>
      </c>
      <c r="I112" s="42" t="inlineStr">
        <is>
          <t>HDFC 5413</t>
        </is>
      </c>
      <c r="J112" s="42" t="inlineStr"/>
      <c r="K112" s="42" t="inlineStr">
        <is>
          <t>NET PI TO HSL SEC A/C 2554606-00602340029427</t>
        </is>
      </c>
      <c r="L112" s="42" t="inlineStr">
        <is>
          <t>HDFC Bank</t>
        </is>
      </c>
      <c r="M112" s="42" t="inlineStr"/>
    </row>
    <row r="113">
      <c r="A113" s="54" t="n">
        <v>45049</v>
      </c>
      <c r="B113" s="54" t="n">
        <v>45048</v>
      </c>
      <c r="C113" s="55" t="n">
        <v>0</v>
      </c>
      <c r="D113" s="55" t="n">
        <v>447.14</v>
      </c>
      <c r="E113" s="55" t="inlineStr"/>
      <c r="F113" s="55" t="inlineStr">
        <is>
          <t>HDFC Securities - Sell</t>
        </is>
      </c>
      <c r="G113" s="18" t="n">
        <v>0.97</v>
      </c>
      <c r="H113" s="55" t="inlineStr">
        <is>
          <t>HDFC Securities</t>
        </is>
      </c>
      <c r="I113" s="55" t="inlineStr">
        <is>
          <t>HDFC 5413</t>
        </is>
      </c>
      <c r="J113" s="55" t="inlineStr"/>
      <c r="K113" s="55" t="inlineStr">
        <is>
          <t>NET PO FROM HSL A/C 2554606-00602340029427</t>
        </is>
      </c>
      <c r="L113" s="55" t="inlineStr">
        <is>
          <t>HDFC Bank</t>
        </is>
      </c>
      <c r="M113" s="55" t="inlineStr">
        <is>
          <t>⚠ Possible Duplicate</t>
        </is>
      </c>
    </row>
    <row r="114">
      <c r="A114" s="41" t="n">
        <v>45049</v>
      </c>
      <c r="B114" s="41" t="n">
        <v>45049</v>
      </c>
      <c r="C114" s="42" t="n">
        <v>118.19</v>
      </c>
      <c r="D114" s="42" t="n">
        <v>0</v>
      </c>
      <c r="E114" s="42" t="inlineStr"/>
      <c r="F114" s="42" t="inlineStr">
        <is>
          <t>HDFC Securities - Buy</t>
        </is>
      </c>
      <c r="G114" s="18" t="n">
        <v>0.97</v>
      </c>
      <c r="H114" s="42" t="inlineStr">
        <is>
          <t>HDFC Securities</t>
        </is>
      </c>
      <c r="I114" s="42" t="inlineStr">
        <is>
          <t>HDFC 5413</t>
        </is>
      </c>
      <c r="J114" s="42" t="inlineStr"/>
      <c r="K114" s="42" t="inlineStr">
        <is>
          <t>NET PI TO HSL SEC A/C 2554606-00602340029427</t>
        </is>
      </c>
      <c r="L114" s="42" t="inlineStr">
        <is>
          <t>HDFC Bank</t>
        </is>
      </c>
      <c r="M114" s="42" t="inlineStr"/>
    </row>
    <row r="115">
      <c r="A115" s="54" t="n">
        <v>45049</v>
      </c>
      <c r="B115" s="54" t="n">
        <v>45049</v>
      </c>
      <c r="C115" s="55" t="n">
        <v>0</v>
      </c>
      <c r="D115" s="55" t="n">
        <v>7290.23</v>
      </c>
      <c r="E115" s="55" t="inlineStr"/>
      <c r="F115" s="55" t="inlineStr">
        <is>
          <t>HDFC Securities - Sell</t>
        </is>
      </c>
      <c r="G115" s="18" t="n">
        <v>0.97</v>
      </c>
      <c r="H115" s="55" t="inlineStr">
        <is>
          <t>HDFC Securities</t>
        </is>
      </c>
      <c r="I115" s="55" t="inlineStr">
        <is>
          <t>HDFC 5413</t>
        </is>
      </c>
      <c r="J115" s="55" t="inlineStr"/>
      <c r="K115" s="55" t="inlineStr">
        <is>
          <t>NET PO FROM HSL A/C 2554606-00602340029427</t>
        </is>
      </c>
      <c r="L115" s="55" t="inlineStr">
        <is>
          <t>HDFC Bank</t>
        </is>
      </c>
      <c r="M115" s="55" t="inlineStr">
        <is>
          <t>⚠ Possible Duplicate</t>
        </is>
      </c>
    </row>
    <row r="116">
      <c r="A116" s="41" t="n">
        <v>45049</v>
      </c>
      <c r="B116" s="41" t="n">
        <v>45049</v>
      </c>
      <c r="C116" s="42" t="n">
        <v>7290.23</v>
      </c>
      <c r="D116" s="42" t="n">
        <v>0</v>
      </c>
      <c r="E116" s="42" t="inlineStr"/>
      <c r="F116" s="42" t="inlineStr">
        <is>
          <t>HDFC Securities - Buy</t>
        </is>
      </c>
      <c r="G116" s="18" t="n">
        <v>0.97</v>
      </c>
      <c r="H116" s="42" t="inlineStr">
        <is>
          <t>HDFC Securities</t>
        </is>
      </c>
      <c r="I116" s="42" t="inlineStr">
        <is>
          <t>HDFC 5413</t>
        </is>
      </c>
      <c r="J116" s="42" t="inlineStr"/>
      <c r="K116" s="42" t="inlineStr">
        <is>
          <t>NET PI TO HSL SEC A/C 2554606-00602340029427</t>
        </is>
      </c>
      <c r="L116" s="42" t="inlineStr">
        <is>
          <t>HDFC Bank</t>
        </is>
      </c>
      <c r="M116" s="42" t="inlineStr"/>
    </row>
    <row r="117">
      <c r="A117" s="41" t="n">
        <v>45050</v>
      </c>
      <c r="B117" s="41" t="n">
        <v>45050</v>
      </c>
      <c r="C117" s="42" t="n">
        <v>574</v>
      </c>
      <c r="D117" s="42" t="n">
        <v>0</v>
      </c>
      <c r="E117" s="42" t="inlineStr"/>
      <c r="F117" s="42" t="inlineStr">
        <is>
          <t>UPI - Amazon</t>
        </is>
      </c>
      <c r="G117" s="34" t="n">
        <v>0.68</v>
      </c>
      <c r="H117" s="42" t="inlineStr">
        <is>
          <t>Shopping</t>
        </is>
      </c>
      <c r="I117" s="42" t="inlineStr">
        <is>
          <t>SBI 1227</t>
        </is>
      </c>
      <c r="J117" s="42" t="inlineStr"/>
      <c r="K117" s="42" t="inlineStr">
        <is>
          <t xml:space="preserve">   TO TRANSFER-UPI/DR/349051186055/Amazon I/YESB/amazon@yap/You a--</t>
        </is>
      </c>
      <c r="L117" s="42" t="inlineStr">
        <is>
          <t>State Bank of India</t>
        </is>
      </c>
      <c r="M117" s="42" t="inlineStr"/>
    </row>
    <row r="118">
      <c r="A118" s="54" t="n">
        <v>45050</v>
      </c>
      <c r="B118" s="54" t="n">
        <v>45050</v>
      </c>
      <c r="C118" s="55" t="n">
        <v>0</v>
      </c>
      <c r="D118" s="55" t="n">
        <v>1909.02</v>
      </c>
      <c r="E118" s="55" t="inlineStr"/>
      <c r="F118" s="55" t="inlineStr">
        <is>
          <t>HDFC Securities - Sell</t>
        </is>
      </c>
      <c r="G118" s="18" t="n">
        <v>0.97</v>
      </c>
      <c r="H118" s="55" t="inlineStr">
        <is>
          <t>HDFC Securities</t>
        </is>
      </c>
      <c r="I118" s="55" t="inlineStr">
        <is>
          <t>HDFC 5413</t>
        </is>
      </c>
      <c r="J118" s="55" t="inlineStr"/>
      <c r="K118" s="55" t="inlineStr">
        <is>
          <t>NET PO FROM HSL A/C 2554606-00602340029427</t>
        </is>
      </c>
      <c r="L118" s="55" t="inlineStr">
        <is>
          <t>HDFC Bank</t>
        </is>
      </c>
      <c r="M118" s="55" t="inlineStr"/>
    </row>
    <row r="119">
      <c r="A119" s="41" t="n">
        <v>45051</v>
      </c>
      <c r="B119" s="41" t="n">
        <v>45051</v>
      </c>
      <c r="C119" s="42" t="n">
        <v>110.91</v>
      </c>
      <c r="D119" s="42" t="n">
        <v>0</v>
      </c>
      <c r="E119" s="42" t="inlineStr"/>
      <c r="F119" s="42" t="inlineStr">
        <is>
          <t>HDFC Securities - Buy</t>
        </is>
      </c>
      <c r="G119" s="18" t="n">
        <v>0.97</v>
      </c>
      <c r="H119" s="42" t="inlineStr">
        <is>
          <t>HDFC Securities</t>
        </is>
      </c>
      <c r="I119" s="42" t="inlineStr">
        <is>
          <t>HDFC 5413</t>
        </is>
      </c>
      <c r="J119" s="42" t="inlineStr"/>
      <c r="K119" s="42" t="inlineStr">
        <is>
          <t>NET PI TO HSL SEC A/C 2554606-00602340029427</t>
        </is>
      </c>
      <c r="L119" s="42" t="inlineStr">
        <is>
          <t>HDFC Bank</t>
        </is>
      </c>
      <c r="M119" s="42" t="inlineStr"/>
    </row>
    <row r="120">
      <c r="A120" s="37" t="n">
        <v>45051</v>
      </c>
      <c r="B120" s="37" t="n">
        <v>45051</v>
      </c>
      <c r="C120" s="38" t="n">
        <v>260</v>
      </c>
      <c r="D120" s="38" t="n">
        <v>0</v>
      </c>
      <c r="E120" s="38" t="inlineStr">
        <is>
          <t>Chartere</t>
        </is>
      </c>
      <c r="F120" s="38" t="inlineStr">
        <is>
          <t>UPI Payment</t>
        </is>
      </c>
      <c r="G120" s="25" t="n">
        <v>0.55</v>
      </c>
      <c r="H120" s="38" t="inlineStr">
        <is>
          <t>Personal</t>
        </is>
      </c>
      <c r="I120" s="38" t="inlineStr">
        <is>
          <t>SBI 1227</t>
        </is>
      </c>
      <c r="J120" s="38" t="inlineStr"/>
      <c r="K120" s="38" t="inlineStr">
        <is>
          <t xml:space="preserve">   TO TRANSFER-UPI/DR/312566575884/Chartere/ICIC/charteredb/Ticke--</t>
        </is>
      </c>
      <c r="L120" s="38" t="inlineStr">
        <is>
          <t>State Bank of India</t>
        </is>
      </c>
      <c r="M120" s="38" t="inlineStr"/>
    </row>
    <row r="121">
      <c r="A121" s="41" t="n">
        <v>45051</v>
      </c>
      <c r="B121" s="41" t="n">
        <v>45051</v>
      </c>
      <c r="C121" s="42" t="n">
        <v>1185.33</v>
      </c>
      <c r="D121" s="42" t="n">
        <v>0</v>
      </c>
      <c r="E121" s="42" t="inlineStr"/>
      <c r="F121" s="42" t="inlineStr">
        <is>
          <t>HDFC Securities - Buy</t>
        </is>
      </c>
      <c r="G121" s="18" t="n">
        <v>0.97</v>
      </c>
      <c r="H121" s="42" t="inlineStr">
        <is>
          <t>HDFC Securities</t>
        </is>
      </c>
      <c r="I121" s="42" t="inlineStr">
        <is>
          <t>HDFC 5413</t>
        </is>
      </c>
      <c r="J121" s="42" t="inlineStr"/>
      <c r="K121" s="42" t="inlineStr">
        <is>
          <t>NET PI TO HSL SEC A/C 2554606-00602340029427</t>
        </is>
      </c>
      <c r="L121" s="42" t="inlineStr">
        <is>
          <t>HDFC Bank</t>
        </is>
      </c>
      <c r="M121" s="42" t="inlineStr"/>
    </row>
    <row r="122">
      <c r="A122" s="39" t="n">
        <v>45051</v>
      </c>
      <c r="B122" s="39" t="n">
        <v>45051</v>
      </c>
      <c r="C122" s="40" t="n">
        <v>0</v>
      </c>
      <c r="D122" s="40" t="n">
        <v>25000</v>
      </c>
      <c r="E122" s="40" t="inlineStr"/>
      <c r="F122" s="40" t="inlineStr">
        <is>
          <t>Received - Archit Gupta</t>
        </is>
      </c>
      <c r="G122" s="18" t="n">
        <v>0.85</v>
      </c>
      <c r="H122" s="40" t="inlineStr">
        <is>
          <t>Archit Gupta</t>
        </is>
      </c>
      <c r="I122" s="40" t="inlineStr">
        <is>
          <t>HDFC 5413</t>
        </is>
      </c>
      <c r="J122" s="40" t="inlineStr"/>
      <c r="K122" s="40" t="inlineStr">
        <is>
          <t>50100542230922-TPT-MNY RTRN TO AAYUSH-ARCHIT GUPTA</t>
        </is>
      </c>
      <c r="L122" s="40" t="inlineStr">
        <is>
          <t>HDFC Bank</t>
        </is>
      </c>
      <c r="M122" s="40" t="inlineStr"/>
    </row>
    <row r="123">
      <c r="A123" s="37" t="n">
        <v>45052</v>
      </c>
      <c r="B123" s="37" t="n">
        <v>45052</v>
      </c>
      <c r="C123" s="38" t="n">
        <v>152</v>
      </c>
      <c r="D123" s="38" t="n">
        <v>0</v>
      </c>
      <c r="E123" s="38" t="inlineStr">
        <is>
          <t>Vidya As</t>
        </is>
      </c>
      <c r="F123" s="38" t="inlineStr">
        <is>
          <t>UPI Payment</t>
        </is>
      </c>
      <c r="G123" s="25" t="n">
        <v>0.55</v>
      </c>
      <c r="H123" s="38" t="inlineStr">
        <is>
          <t>Personal</t>
        </is>
      </c>
      <c r="I123" s="38" t="inlineStr">
        <is>
          <t>SBI 1227</t>
        </is>
      </c>
      <c r="J123" s="38" t="inlineStr"/>
      <c r="K123" s="38" t="inlineStr">
        <is>
          <t xml:space="preserve">   TO TRANSFER-UPI/DR/312614273914/VIDYA AS/YESB/q503684025/UPI--</t>
        </is>
      </c>
      <c r="L123" s="38" t="inlineStr">
        <is>
          <t>State Bank of India</t>
        </is>
      </c>
      <c r="M123" s="38" t="inlineStr"/>
    </row>
    <row r="124">
      <c r="A124" s="37" t="n">
        <v>45053</v>
      </c>
      <c r="B124" s="37" t="n">
        <v>45053</v>
      </c>
      <c r="C124" s="38" t="n">
        <v>8603.99</v>
      </c>
      <c r="D124" s="38" t="n">
        <v>0</v>
      </c>
      <c r="E124" s="38" t="inlineStr">
        <is>
          <t>Dealskar</t>
        </is>
      </c>
      <c r="F124" s="38" t="inlineStr">
        <is>
          <t>UPI Payment</t>
        </is>
      </c>
      <c r="G124" s="25" t="n">
        <v>0.55</v>
      </c>
      <c r="H124" s="38" t="inlineStr">
        <is>
          <t>Personal</t>
        </is>
      </c>
      <c r="I124" s="38" t="inlineStr">
        <is>
          <t>SBI 1227</t>
        </is>
      </c>
      <c r="J124" s="38" t="inlineStr"/>
      <c r="K124" s="38" t="inlineStr">
        <is>
          <t xml:space="preserve">   TO TRANSFER-UPI/DR/312756449530/DEALSKAR/HDFC/dealskart./Pay v--</t>
        </is>
      </c>
      <c r="L124" s="38" t="inlineStr">
        <is>
          <t>State Bank of India</t>
        </is>
      </c>
      <c r="M124" s="38" t="inlineStr"/>
    </row>
    <row r="125">
      <c r="A125" s="93" t="n">
        <v>45053</v>
      </c>
      <c r="B125" s="93" t="n">
        <v>45053</v>
      </c>
      <c r="C125" s="94" t="n">
        <v>160</v>
      </c>
      <c r="D125" s="94" t="n">
        <v>0</v>
      </c>
      <c r="E125" s="94" t="inlineStr"/>
      <c r="F125" s="94" t="inlineStr">
        <is>
          <t>UPI - Google Pay</t>
        </is>
      </c>
      <c r="G125" s="34" t="n">
        <v>0.65</v>
      </c>
      <c r="H125" s="94" t="inlineStr">
        <is>
          <t>Personal</t>
        </is>
      </c>
      <c r="I125" s="94" t="inlineStr">
        <is>
          <t>SBI 1227</t>
        </is>
      </c>
      <c r="J125" s="94" t="inlineStr"/>
      <c r="K125" s="94" t="inlineStr">
        <is>
          <t xml:space="preserve">   TO TRANSFER-UPI/DR/312748240642/VIKASH N/UTIB/gpay-11203/UPI--</t>
        </is>
      </c>
      <c r="L125" s="94" t="inlineStr">
        <is>
          <t>State Bank of India</t>
        </is>
      </c>
      <c r="M125" s="94" t="inlineStr"/>
    </row>
    <row r="126">
      <c r="A126" s="37" t="n">
        <v>45053</v>
      </c>
      <c r="B126" s="37" t="n">
        <v>45053</v>
      </c>
      <c r="C126" s="38" t="n">
        <v>20</v>
      </c>
      <c r="D126" s="38" t="n">
        <v>0</v>
      </c>
      <c r="E126" s="38" t="inlineStr">
        <is>
          <t>Selladur</t>
        </is>
      </c>
      <c r="F126" s="38" t="inlineStr">
        <is>
          <t>UPI Payment</t>
        </is>
      </c>
      <c r="G126" s="25" t="n">
        <v>0.55</v>
      </c>
      <c r="H126" s="38" t="inlineStr">
        <is>
          <t>Personal</t>
        </is>
      </c>
      <c r="I126" s="38" t="inlineStr">
        <is>
          <t>SBI 1227</t>
        </is>
      </c>
      <c r="J126" s="38" t="inlineStr"/>
      <c r="K126" s="38" t="inlineStr">
        <is>
          <t xml:space="preserve">   TO TRANSFER-UPI/DR/312748080382/SELLADUR/YESB/q908014599/UPI--</t>
        </is>
      </c>
      <c r="L126" s="38" t="inlineStr">
        <is>
          <t>State Bank of India</t>
        </is>
      </c>
      <c r="M126" s="38" t="inlineStr"/>
    </row>
    <row r="127">
      <c r="A127" s="37" t="n">
        <v>45053</v>
      </c>
      <c r="B127" s="37" t="n">
        <v>45053</v>
      </c>
      <c r="C127" s="38" t="n">
        <v>160</v>
      </c>
      <c r="D127" s="38" t="n">
        <v>0</v>
      </c>
      <c r="E127" s="38" t="inlineStr">
        <is>
          <t>Mr Gokul</t>
        </is>
      </c>
      <c r="F127" s="38" t="inlineStr">
        <is>
          <t>UPI Payment</t>
        </is>
      </c>
      <c r="G127" s="25" t="n">
        <v>0.55</v>
      </c>
      <c r="H127" s="38" t="inlineStr">
        <is>
          <t>Personal</t>
        </is>
      </c>
      <c r="I127" s="38" t="inlineStr">
        <is>
          <t>SBI 1227</t>
        </is>
      </c>
      <c r="J127" s="38" t="inlineStr"/>
      <c r="K127" s="38" t="inlineStr">
        <is>
          <t xml:space="preserve">   TO TRANSFER-UPI/DR/312742845901/Mr GOKUL/YESB/q641750174/UPI--</t>
        </is>
      </c>
      <c r="L127" s="38" t="inlineStr">
        <is>
          <t>State Bank of India</t>
        </is>
      </c>
      <c r="M127" s="38" t="inlineStr"/>
    </row>
    <row r="128">
      <c r="A128" s="41" t="n">
        <v>45054</v>
      </c>
      <c r="B128" s="41" t="n">
        <v>45054</v>
      </c>
      <c r="C128" s="42" t="n">
        <v>330.99</v>
      </c>
      <c r="D128" s="42" t="n">
        <v>0</v>
      </c>
      <c r="E128" s="42" t="inlineStr"/>
      <c r="F128" s="42" t="inlineStr">
        <is>
          <t>HDFC Securities - Buy</t>
        </is>
      </c>
      <c r="G128" s="18" t="n">
        <v>0.97</v>
      </c>
      <c r="H128" s="42" t="inlineStr">
        <is>
          <t>HDFC Securities</t>
        </is>
      </c>
      <c r="I128" s="42" t="inlineStr">
        <is>
          <t>HDFC 5413</t>
        </is>
      </c>
      <c r="J128" s="42" t="inlineStr"/>
      <c r="K128" s="42" t="inlineStr">
        <is>
          <t>NET PI TO HSL SEC A/C 2554606-00602340029427</t>
        </is>
      </c>
      <c r="L128" s="42" t="inlineStr">
        <is>
          <t>HDFC Bank</t>
        </is>
      </c>
      <c r="M128" s="42" t="inlineStr"/>
    </row>
    <row r="129">
      <c r="A129" s="23" t="n">
        <v>45054</v>
      </c>
      <c r="B129" s="23" t="n">
        <v>45054</v>
      </c>
      <c r="C129" s="24" t="n">
        <v>0</v>
      </c>
      <c r="D129" s="24" t="n">
        <v>1880</v>
      </c>
      <c r="E129" s="24" t="inlineStr"/>
      <c r="F129" s="24" t="inlineStr">
        <is>
          <t>What is this?</t>
        </is>
      </c>
      <c r="G129" s="25" t="n">
        <v>0</v>
      </c>
      <c r="H129" s="24" t="inlineStr">
        <is>
          <t>Suspense</t>
        </is>
      </c>
      <c r="I129" s="24" t="inlineStr">
        <is>
          <t>HDFC 5413</t>
        </is>
      </c>
      <c r="J129" s="24" t="inlineStr"/>
      <c r="K129" s="24" t="inlineStr">
        <is>
          <t>00602300000434-021882388</t>
        </is>
      </c>
      <c r="L129" s="24" t="inlineStr">
        <is>
          <t>HDFC Bank</t>
        </is>
      </c>
      <c r="M129" s="24" t="inlineStr"/>
    </row>
    <row r="130">
      <c r="A130" s="41" t="n">
        <v>45054</v>
      </c>
      <c r="B130" s="41" t="n">
        <v>45054</v>
      </c>
      <c r="C130" s="42" t="n">
        <v>949.4</v>
      </c>
      <c r="D130" s="42" t="n">
        <v>0</v>
      </c>
      <c r="E130" s="42" t="inlineStr"/>
      <c r="F130" s="42" t="inlineStr">
        <is>
          <t>HDFC Securities - Buy</t>
        </is>
      </c>
      <c r="G130" s="18" t="n">
        <v>0.97</v>
      </c>
      <c r="H130" s="42" t="inlineStr">
        <is>
          <t>HDFC Securities</t>
        </is>
      </c>
      <c r="I130" s="42" t="inlineStr">
        <is>
          <t>HDFC 5413</t>
        </is>
      </c>
      <c r="J130" s="42" t="inlineStr"/>
      <c r="K130" s="42" t="inlineStr">
        <is>
          <t>NET PI TO HSL SEC A/C 2554606-00602340029427</t>
        </is>
      </c>
      <c r="L130" s="42" t="inlineStr">
        <is>
          <t>HDFC Bank</t>
        </is>
      </c>
      <c r="M130" s="42" t="inlineStr"/>
    </row>
    <row r="131">
      <c r="A131" s="54" t="n">
        <v>45054</v>
      </c>
      <c r="B131" s="54" t="n">
        <v>45054</v>
      </c>
      <c r="C131" s="55" t="n">
        <v>0</v>
      </c>
      <c r="D131" s="55" t="n">
        <v>26132.84</v>
      </c>
      <c r="E131" s="55" t="inlineStr"/>
      <c r="F131" s="55" t="inlineStr">
        <is>
          <t>HDFC Securities - Sell</t>
        </is>
      </c>
      <c r="G131" s="18" t="n">
        <v>0.97</v>
      </c>
      <c r="H131" s="55" t="inlineStr">
        <is>
          <t>HDFC Securities</t>
        </is>
      </c>
      <c r="I131" s="55" t="inlineStr">
        <is>
          <t>HDFC 5413</t>
        </is>
      </c>
      <c r="J131" s="55" t="inlineStr"/>
      <c r="K131" s="55" t="inlineStr">
        <is>
          <t>NET PO FROM HSL A/C 2554606-00602340029427</t>
        </is>
      </c>
      <c r="L131" s="55" t="inlineStr">
        <is>
          <t>HDFC Bank</t>
        </is>
      </c>
      <c r="M131" s="55" t="inlineStr"/>
    </row>
    <row r="132">
      <c r="A132" s="37" t="n">
        <v>45054</v>
      </c>
      <c r="B132" s="37" t="n">
        <v>45054</v>
      </c>
      <c r="C132" s="38" t="n">
        <v>8603.99</v>
      </c>
      <c r="D132" s="38" t="n">
        <v>0</v>
      </c>
      <c r="E132" s="38" t="inlineStr">
        <is>
          <t>Dealskart</t>
        </is>
      </c>
      <c r="F132" s="38" t="inlineStr">
        <is>
          <t>UPI Payment</t>
        </is>
      </c>
      <c r="G132" s="25" t="n">
        <v>0.55</v>
      </c>
      <c r="H132" s="38" t="inlineStr">
        <is>
          <t>Personal</t>
        </is>
      </c>
      <c r="I132" s="38" t="inlineStr">
        <is>
          <t>SBI 1227</t>
        </is>
      </c>
      <c r="J132" s="38" t="inlineStr"/>
      <c r="K132" s="38" t="inlineStr">
        <is>
          <t xml:space="preserve">   TO TRANSFER-UPI/DR/312809834902/Dealskart/ICIC/dealskart./UPI--</t>
        </is>
      </c>
      <c r="L132" s="38" t="inlineStr">
        <is>
          <t>State Bank of India</t>
        </is>
      </c>
      <c r="M132" s="38" t="inlineStr"/>
    </row>
    <row r="133">
      <c r="A133" s="23" t="n">
        <v>45055</v>
      </c>
      <c r="B133" s="23" t="n">
        <v>45055</v>
      </c>
      <c r="C133" s="24" t="n">
        <v>0</v>
      </c>
      <c r="D133" s="24" t="n">
        <v>1</v>
      </c>
      <c r="E133" s="24" t="inlineStr"/>
      <c r="F133" s="24" t="inlineStr">
        <is>
          <t>What is this?</t>
        </is>
      </c>
      <c r="G133" s="25" t="n">
        <v>0</v>
      </c>
      <c r="H133" s="24" t="inlineStr">
        <is>
          <t>Suspense</t>
        </is>
      </c>
      <c r="I133" s="24" t="inlineStr">
        <is>
          <t>SBI 1227</t>
        </is>
      </c>
      <c r="J133" s="24" t="inlineStr"/>
      <c r="K133" s="24" t="inlineStr">
        <is>
          <t xml:space="preserve">   BY TRANSFER-INB IMPS312927083932/1234567890/XX0168/Accountval--</t>
        </is>
      </c>
      <c r="L133" s="24" t="inlineStr">
        <is>
          <t>State Bank of India</t>
        </is>
      </c>
      <c r="M133" s="24" t="inlineStr"/>
    </row>
    <row r="134">
      <c r="A134" s="41" t="n">
        <v>45055</v>
      </c>
      <c r="B134" s="41" t="n">
        <v>45055</v>
      </c>
      <c r="C134" s="42" t="n">
        <v>726.0599999999999</v>
      </c>
      <c r="D134" s="42" t="n">
        <v>0</v>
      </c>
      <c r="E134" s="42" t="inlineStr"/>
      <c r="F134" s="42" t="inlineStr">
        <is>
          <t>HDFC Securities - Buy</t>
        </is>
      </c>
      <c r="G134" s="18" t="n">
        <v>0.97</v>
      </c>
      <c r="H134" s="42" t="inlineStr">
        <is>
          <t>HDFC Securities</t>
        </is>
      </c>
      <c r="I134" s="42" t="inlineStr">
        <is>
          <t>HDFC 5413</t>
        </is>
      </c>
      <c r="J134" s="42" t="inlineStr"/>
      <c r="K134" s="42" t="inlineStr">
        <is>
          <t>NET PI TO HSL SEC A/C 2554606-00602340029427</t>
        </is>
      </c>
      <c r="L134" s="42" t="inlineStr">
        <is>
          <t>HDFC Bank</t>
        </is>
      </c>
      <c r="M134" s="42" t="inlineStr"/>
    </row>
    <row r="135">
      <c r="A135" s="54" t="n">
        <v>45055</v>
      </c>
      <c r="B135" s="54" t="n">
        <v>45055</v>
      </c>
      <c r="C135" s="55" t="n">
        <v>0</v>
      </c>
      <c r="D135" s="55" t="n">
        <v>9334.18</v>
      </c>
      <c r="E135" s="55" t="inlineStr"/>
      <c r="F135" s="55" t="inlineStr">
        <is>
          <t>HDFC Securities - Sell</t>
        </is>
      </c>
      <c r="G135" s="18" t="n">
        <v>0.97</v>
      </c>
      <c r="H135" s="55" t="inlineStr">
        <is>
          <t>HDFC Securities</t>
        </is>
      </c>
      <c r="I135" s="55" t="inlineStr">
        <is>
          <t>HDFC 5413</t>
        </is>
      </c>
      <c r="J135" s="55" t="inlineStr"/>
      <c r="K135" s="55" t="inlineStr">
        <is>
          <t>NET PO FROM HSL A/C 2554606-00602340029427</t>
        </is>
      </c>
      <c r="L135" s="55" t="inlineStr">
        <is>
          <t>HDFC Bank</t>
        </is>
      </c>
      <c r="M135" s="55" t="inlineStr"/>
    </row>
    <row r="136">
      <c r="A136" s="62" t="n">
        <v>45055</v>
      </c>
      <c r="B136" s="62" t="n">
        <v>45055</v>
      </c>
      <c r="C136" s="63" t="n">
        <v>0</v>
      </c>
      <c r="D136" s="63" t="n">
        <v>50000</v>
      </c>
      <c r="E136" s="63" t="inlineStr"/>
      <c r="F136" s="63" t="inlineStr">
        <is>
          <t>Received - Sunita Gupta</t>
        </is>
      </c>
      <c r="G136" s="18" t="n">
        <v>0.88</v>
      </c>
      <c r="H136" s="63" t="inlineStr">
        <is>
          <t>Sunita Gupta</t>
        </is>
      </c>
      <c r="I136" s="63" t="inlineStr">
        <is>
          <t>HDFC 5413</t>
        </is>
      </c>
      <c r="J136" s="63" t="inlineStr"/>
      <c r="K136" s="63" t="inlineStr">
        <is>
          <t>01671000060094-TPT-MNY RTRN TO AAYUSH-SUNITA GUPTA</t>
        </is>
      </c>
      <c r="L136" s="63" t="inlineStr">
        <is>
          <t>HDFC Bank</t>
        </is>
      </c>
      <c r="M136" s="63" t="inlineStr"/>
    </row>
    <row r="137">
      <c r="A137" s="41" t="n">
        <v>45055</v>
      </c>
      <c r="B137" s="41" t="n">
        <v>45055</v>
      </c>
      <c r="C137" s="42" t="n">
        <v>109.86</v>
      </c>
      <c r="D137" s="42" t="n">
        <v>0</v>
      </c>
      <c r="E137" s="42" t="inlineStr"/>
      <c r="F137" s="42" t="inlineStr">
        <is>
          <t>HDFC Securities - Buy</t>
        </is>
      </c>
      <c r="G137" s="18" t="n">
        <v>0.97</v>
      </c>
      <c r="H137" s="42" t="inlineStr">
        <is>
          <t>HDFC Securities</t>
        </is>
      </c>
      <c r="I137" s="42" t="inlineStr">
        <is>
          <t>HDFC 5413</t>
        </is>
      </c>
      <c r="J137" s="42" t="inlineStr"/>
      <c r="K137" s="42" t="inlineStr">
        <is>
          <t>NET PI TO HSL SEC A/C 2554606-00602340029427</t>
        </is>
      </c>
      <c r="L137" s="42" t="inlineStr">
        <is>
          <t>HDFC Bank</t>
        </is>
      </c>
      <c r="M137" s="42" t="inlineStr"/>
    </row>
    <row r="138">
      <c r="A138" s="41" t="n">
        <v>45055</v>
      </c>
      <c r="B138" s="41" t="n">
        <v>45055</v>
      </c>
      <c r="C138" s="42" t="n">
        <v>673.8099999999999</v>
      </c>
      <c r="D138" s="42" t="n">
        <v>0</v>
      </c>
      <c r="E138" s="42" t="inlineStr"/>
      <c r="F138" s="42" t="inlineStr">
        <is>
          <t>UPI - Amazon</t>
        </is>
      </c>
      <c r="G138" s="34" t="n">
        <v>0.68</v>
      </c>
      <c r="H138" s="42" t="inlineStr">
        <is>
          <t>Shopping</t>
        </is>
      </c>
      <c r="I138" s="42" t="inlineStr">
        <is>
          <t>SBI 1227</t>
        </is>
      </c>
      <c r="J138" s="42" t="inlineStr"/>
      <c r="K138" s="42" t="inlineStr">
        <is>
          <t xml:space="preserve">   TO TRANSFER-UPI/DR/349520104043/AMAZONPA/UTIB/amazonupi@/Reque--</t>
        </is>
      </c>
      <c r="L138" s="42" t="inlineStr">
        <is>
          <t>State Bank of India</t>
        </is>
      </c>
      <c r="M138" s="42" t="inlineStr"/>
    </row>
    <row r="139">
      <c r="A139" s="37" t="n">
        <v>45055</v>
      </c>
      <c r="B139" s="37" t="n">
        <v>45055</v>
      </c>
      <c r="C139" s="38" t="n">
        <v>20</v>
      </c>
      <c r="D139" s="38" t="n">
        <v>0</v>
      </c>
      <c r="E139" s="38" t="inlineStr">
        <is>
          <t>Sachin M</t>
        </is>
      </c>
      <c r="F139" s="38" t="inlineStr">
        <is>
          <t>UPI Payment</t>
        </is>
      </c>
      <c r="G139" s="25" t="n">
        <v>0.55</v>
      </c>
      <c r="H139" s="38" t="inlineStr">
        <is>
          <t>Personal</t>
        </is>
      </c>
      <c r="I139" s="38" t="inlineStr">
        <is>
          <t>SBI 1227</t>
        </is>
      </c>
      <c r="J139" s="38" t="inlineStr"/>
      <c r="K139" s="38" t="inlineStr">
        <is>
          <t xml:space="preserve">   TO TRANSFER-UPI/DR/312936447271/SACHIN M/KKBK/q157094653/UPI--</t>
        </is>
      </c>
      <c r="L139" s="38" t="inlineStr">
        <is>
          <t>State Bank of India</t>
        </is>
      </c>
      <c r="M139" s="38" t="inlineStr"/>
    </row>
    <row r="140">
      <c r="A140" s="41" t="n">
        <v>45056</v>
      </c>
      <c r="B140" s="41" t="n">
        <v>45056</v>
      </c>
      <c r="C140" s="42" t="n">
        <v>115.13</v>
      </c>
      <c r="D140" s="42" t="n">
        <v>0</v>
      </c>
      <c r="E140" s="42" t="inlineStr"/>
      <c r="F140" s="42" t="inlineStr">
        <is>
          <t>HDFC Securities - Buy</t>
        </is>
      </c>
      <c r="G140" s="18" t="n">
        <v>0.97</v>
      </c>
      <c r="H140" s="42" t="inlineStr">
        <is>
          <t>HDFC Securities</t>
        </is>
      </c>
      <c r="I140" s="42" t="inlineStr">
        <is>
          <t>HDFC 5413</t>
        </is>
      </c>
      <c r="J140" s="42" t="inlineStr"/>
      <c r="K140" s="42" t="inlineStr">
        <is>
          <t>NET PI TO HSL SEC A/C 2554606-00602340029427</t>
        </is>
      </c>
      <c r="L140" s="42" t="inlineStr">
        <is>
          <t>HDFC Bank</t>
        </is>
      </c>
      <c r="M140" s="42" t="inlineStr"/>
    </row>
    <row r="141">
      <c r="A141" s="58" t="n">
        <v>45056</v>
      </c>
      <c r="B141" s="58" t="n">
        <v>45056</v>
      </c>
      <c r="C141" s="59" t="n">
        <v>3000</v>
      </c>
      <c r="D141" s="59" t="n">
        <v>0</v>
      </c>
      <c r="E141" s="59" t="inlineStr"/>
      <c r="F141" s="59" t="inlineStr">
        <is>
          <t>MF Investment</t>
        </is>
      </c>
      <c r="G141" s="18" t="n">
        <v>0.9</v>
      </c>
      <c r="H141" s="59" t="inlineStr">
        <is>
          <t>Investments</t>
        </is>
      </c>
      <c r="I141" s="59" t="inlineStr">
        <is>
          <t>HDFC 5413</t>
        </is>
      </c>
      <c r="J141" s="59" t="inlineStr"/>
      <c r="K141" s="59" t="inlineStr">
        <is>
          <t>NET PAYIN TO NSE MF A/C -00990610005906- FROM A/C -50100128155413- UCC -2554606-00990610005906</t>
        </is>
      </c>
      <c r="L141" s="59" t="inlineStr">
        <is>
          <t>HDFC Bank</t>
        </is>
      </c>
      <c r="M141" s="59" t="inlineStr"/>
    </row>
    <row r="142">
      <c r="A142" s="54" t="n">
        <v>45056</v>
      </c>
      <c r="B142" s="54" t="n">
        <v>45056</v>
      </c>
      <c r="C142" s="55" t="n">
        <v>0</v>
      </c>
      <c r="D142" s="55" t="n">
        <v>3506.31</v>
      </c>
      <c r="E142" s="55" t="inlineStr"/>
      <c r="F142" s="55" t="inlineStr">
        <is>
          <t>HDFC Securities - Sell</t>
        </is>
      </c>
      <c r="G142" s="18" t="n">
        <v>0.97</v>
      </c>
      <c r="H142" s="55" t="inlineStr">
        <is>
          <t>HDFC Securities</t>
        </is>
      </c>
      <c r="I142" s="55" t="inlineStr">
        <is>
          <t>HDFC 5413</t>
        </is>
      </c>
      <c r="J142" s="55" t="inlineStr"/>
      <c r="K142" s="55" t="inlineStr">
        <is>
          <t>NET PO FROM HSL A/C 2554606-00602340029427</t>
        </is>
      </c>
      <c r="L142" s="55" t="inlineStr">
        <is>
          <t>HDFC Bank</t>
        </is>
      </c>
      <c r="M142" s="55" t="inlineStr"/>
    </row>
    <row r="143">
      <c r="A143" s="41" t="n">
        <v>45056</v>
      </c>
      <c r="B143" s="41" t="n">
        <v>45056</v>
      </c>
      <c r="C143" s="42" t="n">
        <v>14400.91</v>
      </c>
      <c r="D143" s="42" t="n">
        <v>0</v>
      </c>
      <c r="E143" s="42" t="inlineStr"/>
      <c r="F143" s="42" t="inlineStr">
        <is>
          <t>HDFC Securities - Buy</t>
        </is>
      </c>
      <c r="G143" s="18" t="n">
        <v>0.97</v>
      </c>
      <c r="H143" s="42" t="inlineStr">
        <is>
          <t>HDFC Securities</t>
        </is>
      </c>
      <c r="I143" s="42" t="inlineStr">
        <is>
          <t>HDFC 5413</t>
        </is>
      </c>
      <c r="J143" s="42" t="inlineStr"/>
      <c r="K143" s="42" t="inlineStr">
        <is>
          <t>NET PI TO HSL SEC A/C 2554606-00602340029427</t>
        </is>
      </c>
      <c r="L143" s="42" t="inlineStr">
        <is>
          <t>HDFC Bank</t>
        </is>
      </c>
      <c r="M143" s="42" t="inlineStr"/>
    </row>
    <row r="144">
      <c r="A144" s="99" t="n">
        <v>45057</v>
      </c>
      <c r="B144" s="99" t="n">
        <v>45057</v>
      </c>
      <c r="C144" s="100" t="n">
        <v>101.63</v>
      </c>
      <c r="D144" s="100" t="n">
        <v>0</v>
      </c>
      <c r="E144" s="100" t="inlineStr"/>
      <c r="F144" s="100" t="inlineStr">
        <is>
          <t>UPI - Zomato</t>
        </is>
      </c>
      <c r="G144" s="34" t="n">
        <v>0.68</v>
      </c>
      <c r="H144" s="100" t="inlineStr">
        <is>
          <t>Food &amp; Dining</t>
        </is>
      </c>
      <c r="I144" s="100" t="inlineStr">
        <is>
          <t>SBI 1227</t>
        </is>
      </c>
      <c r="J144" s="100" t="inlineStr"/>
      <c r="K144" s="100" t="inlineStr">
        <is>
          <t xml:space="preserve">   TO TRANSFER-UPI/DR/349743575884/Zomato Ltd/PYTM/zomato-ord/Oid--</t>
        </is>
      </c>
      <c r="L144" s="100" t="inlineStr">
        <is>
          <t>State Bank of India</t>
        </is>
      </c>
      <c r="M144" s="100" t="inlineStr"/>
    </row>
    <row r="145">
      <c r="A145" s="19" t="n">
        <v>45057</v>
      </c>
      <c r="B145" s="19" t="n">
        <v>45057</v>
      </c>
      <c r="C145" s="20" t="n">
        <v>7.08</v>
      </c>
      <c r="D145" s="20" t="n">
        <v>0</v>
      </c>
      <c r="E145" s="20" t="inlineStr"/>
      <c r="F145" s="20" t="inlineStr">
        <is>
          <t>Bank Charges</t>
        </is>
      </c>
      <c r="G145" s="18" t="n">
        <v>0.9</v>
      </c>
      <c r="H145" s="20" t="inlineStr">
        <is>
          <t>Bank Charges</t>
        </is>
      </c>
      <c r="I145" s="20" t="inlineStr">
        <is>
          <t>HDFC 5413</t>
        </is>
      </c>
      <c r="J145" s="20" t="inlineStr"/>
      <c r="K145" s="20" t="inlineStr">
        <is>
          <t>JANMAR23 INSTAALERTCHG 30 SMS 220323-MIR2413016129235</t>
        </is>
      </c>
      <c r="L145" s="20" t="inlineStr">
        <is>
          <t>HDFC Bank</t>
        </is>
      </c>
      <c r="M145" s="20" t="inlineStr"/>
    </row>
    <row r="146">
      <c r="A146" s="41" t="n">
        <v>45057</v>
      </c>
      <c r="B146" s="41" t="n">
        <v>45057</v>
      </c>
      <c r="C146" s="42" t="n">
        <v>116.86</v>
      </c>
      <c r="D146" s="42" t="n">
        <v>0</v>
      </c>
      <c r="E146" s="42" t="inlineStr"/>
      <c r="F146" s="42" t="inlineStr">
        <is>
          <t>HDFC Securities - Buy</t>
        </is>
      </c>
      <c r="G146" s="18" t="n">
        <v>0.97</v>
      </c>
      <c r="H146" s="42" t="inlineStr">
        <is>
          <t>HDFC Securities</t>
        </is>
      </c>
      <c r="I146" s="42" t="inlineStr">
        <is>
          <t>HDFC 5413</t>
        </is>
      </c>
      <c r="J146" s="42" t="inlineStr"/>
      <c r="K146" s="42" t="inlineStr">
        <is>
          <t>NET PI TO HSL SEC A/C 2554606-00602340029427</t>
        </is>
      </c>
      <c r="L146" s="42" t="inlineStr">
        <is>
          <t>HDFC Bank</t>
        </is>
      </c>
      <c r="M146" s="42" t="inlineStr"/>
    </row>
    <row r="147">
      <c r="A147" s="58" t="n">
        <v>45057</v>
      </c>
      <c r="B147" s="58" t="n">
        <v>45057</v>
      </c>
      <c r="C147" s="59" t="n">
        <v>3000</v>
      </c>
      <c r="D147" s="59" t="n">
        <v>0</v>
      </c>
      <c r="E147" s="59" t="inlineStr"/>
      <c r="F147" s="59" t="inlineStr">
        <is>
          <t>MF Investment</t>
        </is>
      </c>
      <c r="G147" s="18" t="n">
        <v>0.9</v>
      </c>
      <c r="H147" s="59" t="inlineStr">
        <is>
          <t>Investments</t>
        </is>
      </c>
      <c r="I147" s="59" t="inlineStr">
        <is>
          <t>HDFC 5413</t>
        </is>
      </c>
      <c r="J147" s="59" t="inlineStr"/>
      <c r="K147" s="59" t="inlineStr">
        <is>
          <t>NET PAYIN TO BSE MF A/C -57500000389146- FROM A/C -50100128155413- UCC -2554606-57500000389146</t>
        </is>
      </c>
      <c r="L147" s="59" t="inlineStr">
        <is>
          <t>HDFC Bank</t>
        </is>
      </c>
      <c r="M147" s="59" t="inlineStr"/>
    </row>
    <row r="148">
      <c r="A148" s="41" t="n">
        <v>45058</v>
      </c>
      <c r="B148" s="41" t="n">
        <v>45058</v>
      </c>
      <c r="C148" s="42" t="n">
        <v>2696.61</v>
      </c>
      <c r="D148" s="42" t="n">
        <v>0</v>
      </c>
      <c r="E148" s="42" t="inlineStr"/>
      <c r="F148" s="42" t="inlineStr">
        <is>
          <t>HDFC Securities - Buy</t>
        </is>
      </c>
      <c r="G148" s="18" t="n">
        <v>0.97</v>
      </c>
      <c r="H148" s="42" t="inlineStr">
        <is>
          <t>HDFC Securities</t>
        </is>
      </c>
      <c r="I148" s="42" t="inlineStr">
        <is>
          <t>HDFC 5413</t>
        </is>
      </c>
      <c r="J148" s="42" t="inlineStr"/>
      <c r="K148" s="42" t="inlineStr">
        <is>
          <t>NET PI TO HSL SEC A/C 2554606-00602340029427</t>
        </is>
      </c>
      <c r="L148" s="42" t="inlineStr">
        <is>
          <t>HDFC Bank</t>
        </is>
      </c>
      <c r="M148" s="42" t="inlineStr"/>
    </row>
    <row r="149">
      <c r="A149" s="41" t="n">
        <v>45058</v>
      </c>
      <c r="B149" s="41" t="n">
        <v>45058</v>
      </c>
      <c r="C149" s="42" t="n">
        <v>113.5</v>
      </c>
      <c r="D149" s="42" t="n">
        <v>0</v>
      </c>
      <c r="E149" s="42" t="inlineStr"/>
      <c r="F149" s="42" t="inlineStr">
        <is>
          <t>HDFC Securities - Buy</t>
        </is>
      </c>
      <c r="G149" s="18" t="n">
        <v>0.97</v>
      </c>
      <c r="H149" s="42" t="inlineStr">
        <is>
          <t>HDFC Securities</t>
        </is>
      </c>
      <c r="I149" s="42" t="inlineStr">
        <is>
          <t>HDFC 5413</t>
        </is>
      </c>
      <c r="J149" s="42" t="inlineStr"/>
      <c r="K149" s="42" t="inlineStr">
        <is>
          <t>NET PI TO HSL SEC A/C 2554606-00602340029427</t>
        </is>
      </c>
      <c r="L149" s="42" t="inlineStr">
        <is>
          <t>HDFC Bank</t>
        </is>
      </c>
      <c r="M149" s="42" t="inlineStr"/>
    </row>
    <row r="150">
      <c r="A150" s="54" t="n">
        <v>45058</v>
      </c>
      <c r="B150" s="54" t="n">
        <v>45057</v>
      </c>
      <c r="C150" s="55" t="n">
        <v>0</v>
      </c>
      <c r="D150" s="55" t="n">
        <v>1247.8</v>
      </c>
      <c r="E150" s="55" t="inlineStr"/>
      <c r="F150" s="55" t="inlineStr">
        <is>
          <t>HDFC Securities - Sell</t>
        </is>
      </c>
      <c r="G150" s="18" t="n">
        <v>0.97</v>
      </c>
      <c r="H150" s="55" t="inlineStr">
        <is>
          <t>HDFC Securities</t>
        </is>
      </c>
      <c r="I150" s="55" t="inlineStr">
        <is>
          <t>HDFC 5413</t>
        </is>
      </c>
      <c r="J150" s="55" t="inlineStr"/>
      <c r="K150" s="55" t="inlineStr">
        <is>
          <t>NET PO FROM HSL A/C 2554606-00602340029427</t>
        </is>
      </c>
      <c r="L150" s="55" t="inlineStr">
        <is>
          <t>HDFC Bank</t>
        </is>
      </c>
      <c r="M150" s="55" t="inlineStr"/>
    </row>
    <row r="151">
      <c r="A151" s="37" t="n">
        <v>45059</v>
      </c>
      <c r="B151" s="37" t="n">
        <v>45059</v>
      </c>
      <c r="C151" s="38" t="n">
        <v>240</v>
      </c>
      <c r="D151" s="38" t="n">
        <v>0</v>
      </c>
      <c r="E151" s="38" t="inlineStr">
        <is>
          <t>Bharat S</t>
        </is>
      </c>
      <c r="F151" s="38" t="inlineStr">
        <is>
          <t>UPI Payment</t>
        </is>
      </c>
      <c r="G151" s="25" t="n">
        <v>0.55</v>
      </c>
      <c r="H151" s="38" t="inlineStr">
        <is>
          <t>Personal</t>
        </is>
      </c>
      <c r="I151" s="38" t="inlineStr">
        <is>
          <t>SBI 1227</t>
        </is>
      </c>
      <c r="J151" s="38" t="inlineStr"/>
      <c r="K151" s="38" t="inlineStr">
        <is>
          <t xml:space="preserve">   TO TRANSFER-UPI/DR/313314795672/BHARAT S/IOBA/8424852034/Payme--</t>
        </is>
      </c>
      <c r="L151" s="38" t="inlineStr">
        <is>
          <t>State Bank of India</t>
        </is>
      </c>
      <c r="M151" s="38" t="inlineStr"/>
    </row>
    <row r="152">
      <c r="A152" s="37" t="n">
        <v>45059</v>
      </c>
      <c r="B152" s="37" t="n">
        <v>45059</v>
      </c>
      <c r="C152" s="38" t="n">
        <v>60</v>
      </c>
      <c r="D152" s="38" t="n">
        <v>0</v>
      </c>
      <c r="E152" s="38" t="inlineStr">
        <is>
          <t>Manish H</t>
        </is>
      </c>
      <c r="F152" s="38" t="inlineStr">
        <is>
          <t>UPI Payment</t>
        </is>
      </c>
      <c r="G152" s="25" t="n">
        <v>0.55</v>
      </c>
      <c r="H152" s="38" t="inlineStr">
        <is>
          <t>Personal</t>
        </is>
      </c>
      <c r="I152" s="38" t="inlineStr">
        <is>
          <t>SBI 1227</t>
        </is>
      </c>
      <c r="J152" s="38" t="inlineStr"/>
      <c r="K152" s="38" t="inlineStr">
        <is>
          <t xml:space="preserve">   TO TRANSFER-UPI/DR/313378896787/MANISH H/YESB/q423659019/UPI--</t>
        </is>
      </c>
      <c r="L152" s="38" t="inlineStr">
        <is>
          <t>State Bank of India</t>
        </is>
      </c>
      <c r="M152" s="38" t="inlineStr"/>
    </row>
    <row r="153">
      <c r="A153" s="101" t="n">
        <v>45060</v>
      </c>
      <c r="B153" s="101" t="n">
        <v>45060</v>
      </c>
      <c r="C153" s="102" t="n">
        <v>0</v>
      </c>
      <c r="D153" s="102" t="n">
        <v>8603.99</v>
      </c>
      <c r="E153" s="102" t="inlineStr"/>
      <c r="F153" s="102" t="inlineStr">
        <is>
          <t>Received - Dealskar</t>
        </is>
      </c>
      <c r="G153" s="25" t="n">
        <v>0.55</v>
      </c>
      <c r="H153" s="102" t="inlineStr">
        <is>
          <t>Personal</t>
        </is>
      </c>
      <c r="I153" s="102" t="inlineStr">
        <is>
          <t>SBI 1227</t>
        </is>
      </c>
      <c r="J153" s="102" t="inlineStr"/>
      <c r="K153" s="102" t="inlineStr">
        <is>
          <t xml:space="preserve">   BY TRANSFER-UPI/CR/313471029938/DEALSKAR/HDFC/dealskart./Refun--</t>
        </is>
      </c>
      <c r="L153" s="102" t="inlineStr">
        <is>
          <t>State Bank of India</t>
        </is>
      </c>
      <c r="M153" s="102" t="inlineStr"/>
    </row>
    <row r="154">
      <c r="A154" s="37" t="n">
        <v>45061</v>
      </c>
      <c r="B154" s="37" t="n">
        <v>45061</v>
      </c>
      <c r="C154" s="38" t="n">
        <v>70</v>
      </c>
      <c r="D154" s="38" t="n">
        <v>0</v>
      </c>
      <c r="E154" s="38" t="inlineStr">
        <is>
          <t>Kunal Ea</t>
        </is>
      </c>
      <c r="F154" s="38" t="inlineStr">
        <is>
          <t>UPI Payment</t>
        </is>
      </c>
      <c r="G154" s="25" t="n">
        <v>0.55</v>
      </c>
      <c r="H154" s="38" t="inlineStr">
        <is>
          <t>Personal</t>
        </is>
      </c>
      <c r="I154" s="38" t="inlineStr">
        <is>
          <t>SBI 1227</t>
        </is>
      </c>
      <c r="J154" s="38" t="inlineStr"/>
      <c r="K154" s="38" t="inlineStr">
        <is>
          <t xml:space="preserve">   TO TRANSFER-UPI/DR/313547141124/KUNAL EA/YESB/q811125368/UPI--</t>
        </is>
      </c>
      <c r="L154" s="38" t="inlineStr">
        <is>
          <t>State Bank of India</t>
        </is>
      </c>
      <c r="M154" s="38" t="inlineStr"/>
    </row>
    <row r="155">
      <c r="A155" s="21" t="n">
        <v>45061</v>
      </c>
      <c r="B155" s="21" t="n">
        <v>45061</v>
      </c>
      <c r="C155" s="22" t="n">
        <v>134.85</v>
      </c>
      <c r="D155" s="22" t="n">
        <v>0</v>
      </c>
      <c r="E155" s="22" t="inlineStr"/>
      <c r="F155" s="22" t="inlineStr">
        <is>
          <t>UPI - IRCTC</t>
        </is>
      </c>
      <c r="G155" s="18" t="n">
        <v>0.88</v>
      </c>
      <c r="H155" s="22" t="inlineStr">
        <is>
          <t>Travel</t>
        </is>
      </c>
      <c r="I155" s="22" t="inlineStr">
        <is>
          <t>AXIS</t>
        </is>
      </c>
      <c r="J155" s="22" t="inlineStr"/>
      <c r="K155" s="22" t="inlineStr">
        <is>
          <t>NBSM/12858585/IRCTC(RAZORPAY)/</t>
        </is>
      </c>
      <c r="L155" s="22" t="inlineStr">
        <is>
          <t>Axis Bank</t>
        </is>
      </c>
      <c r="M155" s="22" t="inlineStr"/>
    </row>
    <row r="156">
      <c r="A156" s="19" t="n">
        <v>45061</v>
      </c>
      <c r="B156" s="19" t="n">
        <v>45061</v>
      </c>
      <c r="C156" s="20" t="n">
        <v>590</v>
      </c>
      <c r="D156" s="20" t="n">
        <v>0</v>
      </c>
      <c r="E156" s="20" t="inlineStr"/>
      <c r="F156" s="20" t="inlineStr">
        <is>
          <t>Bank Charges</t>
        </is>
      </c>
      <c r="G156" s="18" t="n">
        <v>0.88</v>
      </c>
      <c r="H156" s="20" t="inlineStr">
        <is>
          <t>Bank Charges</t>
        </is>
      </c>
      <c r="I156" s="20" t="inlineStr">
        <is>
          <t>AXIS</t>
        </is>
      </c>
      <c r="J156" s="20" t="inlineStr"/>
      <c r="K156" s="20" t="inlineStr">
        <is>
          <t>Dr Card Charges ISSUE 4616XXXXXXXX8177</t>
        </is>
      </c>
      <c r="L156" s="20" t="inlineStr">
        <is>
          <t>Axis Bank</t>
        </is>
      </c>
      <c r="M156" s="20" t="inlineStr"/>
    </row>
    <row r="157">
      <c r="A157" s="41" t="n">
        <v>45061</v>
      </c>
      <c r="B157" s="41" t="n">
        <v>45061</v>
      </c>
      <c r="C157" s="42" t="n">
        <v>336.51</v>
      </c>
      <c r="D157" s="42" t="n">
        <v>0</v>
      </c>
      <c r="E157" s="42" t="inlineStr"/>
      <c r="F157" s="42" t="inlineStr">
        <is>
          <t>HDFC Securities - Buy</t>
        </is>
      </c>
      <c r="G157" s="18" t="n">
        <v>0.97</v>
      </c>
      <c r="H157" s="42" t="inlineStr">
        <is>
          <t>HDFC Securities</t>
        </is>
      </c>
      <c r="I157" s="42" t="inlineStr">
        <is>
          <t>HDFC 5413</t>
        </is>
      </c>
      <c r="J157" s="42" t="inlineStr"/>
      <c r="K157" s="42" t="inlineStr">
        <is>
          <t>NET PI TO HSL SEC A/C 2554606-00602340029427</t>
        </is>
      </c>
      <c r="L157" s="42" t="inlineStr">
        <is>
          <t>HDFC Bank</t>
        </is>
      </c>
      <c r="M157" s="42" t="inlineStr"/>
    </row>
    <row r="158">
      <c r="A158" s="58" t="n">
        <v>45061</v>
      </c>
      <c r="B158" s="58" t="n">
        <v>45061</v>
      </c>
      <c r="C158" s="59" t="n">
        <v>2500</v>
      </c>
      <c r="D158" s="59" t="n">
        <v>0</v>
      </c>
      <c r="E158" s="59" t="inlineStr"/>
      <c r="F158" s="59" t="inlineStr">
        <is>
          <t>MF Investment</t>
        </is>
      </c>
      <c r="G158" s="18" t="n">
        <v>0.9</v>
      </c>
      <c r="H158" s="59" t="inlineStr">
        <is>
          <t>Investments</t>
        </is>
      </c>
      <c r="I158" s="59" t="inlineStr">
        <is>
          <t>HDFC 5413</t>
        </is>
      </c>
      <c r="J158" s="59" t="inlineStr"/>
      <c r="K158" s="59" t="inlineStr">
        <is>
          <t>NET PAYIN TO BSE MF A/C -57500000389146- FROM A/C -50100128155413- UCC -2554606-57500000389146</t>
        </is>
      </c>
      <c r="L158" s="59" t="inlineStr">
        <is>
          <t>HDFC Bank</t>
        </is>
      </c>
      <c r="M158" s="59" t="inlineStr"/>
    </row>
    <row r="159">
      <c r="A159" s="54" t="n">
        <v>45061</v>
      </c>
      <c r="B159" s="54" t="n">
        <v>45061</v>
      </c>
      <c r="C159" s="55" t="n">
        <v>0</v>
      </c>
      <c r="D159" s="55" t="n">
        <v>47.14</v>
      </c>
      <c r="E159" s="55" t="inlineStr"/>
      <c r="F159" s="55" t="inlineStr">
        <is>
          <t>HDFC Securities - Sell</t>
        </is>
      </c>
      <c r="G159" s="18" t="n">
        <v>0.97</v>
      </c>
      <c r="H159" s="55" t="inlineStr">
        <is>
          <t>HDFC Securities</t>
        </is>
      </c>
      <c r="I159" s="55" t="inlineStr">
        <is>
          <t>HDFC 5413</t>
        </is>
      </c>
      <c r="J159" s="55" t="inlineStr"/>
      <c r="K159" s="55" t="inlineStr">
        <is>
          <t>NET PO FROM HSL A/C 2554606-00602340029427</t>
        </is>
      </c>
      <c r="L159" s="55" t="inlineStr">
        <is>
          <t>HDFC Bank</t>
        </is>
      </c>
      <c r="M159" s="55" t="inlineStr"/>
    </row>
    <row r="160">
      <c r="A160" s="41" t="n">
        <v>45062</v>
      </c>
      <c r="B160" s="41" t="n">
        <v>45062</v>
      </c>
      <c r="C160" s="42" t="n">
        <v>14137.55</v>
      </c>
      <c r="D160" s="42" t="n">
        <v>0</v>
      </c>
      <c r="E160" s="42" t="inlineStr"/>
      <c r="F160" s="42" t="inlineStr">
        <is>
          <t>HDFC Securities - Buy</t>
        </is>
      </c>
      <c r="G160" s="18" t="n">
        <v>0.97</v>
      </c>
      <c r="H160" s="42" t="inlineStr">
        <is>
          <t>HDFC Securities</t>
        </is>
      </c>
      <c r="I160" s="42" t="inlineStr">
        <is>
          <t>HDFC 5413</t>
        </is>
      </c>
      <c r="J160" s="42" t="inlineStr"/>
      <c r="K160" s="42" t="inlineStr">
        <is>
          <t>NET PI TO HSL SEC A/C 2554606-00602340029427</t>
        </is>
      </c>
      <c r="L160" s="42" t="inlineStr">
        <is>
          <t>HDFC Bank</t>
        </is>
      </c>
      <c r="M160" s="42" t="inlineStr"/>
    </row>
    <row r="161">
      <c r="A161" s="41" t="n">
        <v>45062</v>
      </c>
      <c r="B161" s="41" t="n">
        <v>45062</v>
      </c>
      <c r="C161" s="42" t="n">
        <v>118.41</v>
      </c>
      <c r="D161" s="42" t="n">
        <v>0</v>
      </c>
      <c r="E161" s="42" t="inlineStr"/>
      <c r="F161" s="42" t="inlineStr">
        <is>
          <t>HDFC Securities - Buy</t>
        </is>
      </c>
      <c r="G161" s="18" t="n">
        <v>0.97</v>
      </c>
      <c r="H161" s="42" t="inlineStr">
        <is>
          <t>HDFC Securities</t>
        </is>
      </c>
      <c r="I161" s="42" t="inlineStr">
        <is>
          <t>HDFC 5413</t>
        </is>
      </c>
      <c r="J161" s="42" t="inlineStr"/>
      <c r="K161" s="42" t="inlineStr">
        <is>
          <t>NET PI TO HSL SEC A/C 2554606-00602340029427</t>
        </is>
      </c>
      <c r="L161" s="42" t="inlineStr">
        <is>
          <t>HDFC Bank</t>
        </is>
      </c>
      <c r="M161" s="42" t="inlineStr"/>
    </row>
    <row r="162">
      <c r="A162" s="41" t="n">
        <v>45062</v>
      </c>
      <c r="B162" s="41" t="n">
        <v>45062</v>
      </c>
      <c r="C162" s="42" t="n">
        <v>1049.11</v>
      </c>
      <c r="D162" s="42" t="n">
        <v>0</v>
      </c>
      <c r="E162" s="42" t="inlineStr"/>
      <c r="F162" s="42" t="inlineStr">
        <is>
          <t>HDFC Securities - Buy</t>
        </is>
      </c>
      <c r="G162" s="18" t="n">
        <v>0.97</v>
      </c>
      <c r="H162" s="42" t="inlineStr">
        <is>
          <t>HDFC Securities</t>
        </is>
      </c>
      <c r="I162" s="42" t="inlineStr">
        <is>
          <t>HDFC 5413</t>
        </is>
      </c>
      <c r="J162" s="42" t="inlineStr"/>
      <c r="K162" s="42" t="inlineStr">
        <is>
          <t>NET PI TO HSL SEC A/C 2554606-00602340029427</t>
        </is>
      </c>
      <c r="L162" s="42" t="inlineStr">
        <is>
          <t>HDFC Bank</t>
        </is>
      </c>
      <c r="M162" s="42" t="inlineStr"/>
    </row>
    <row r="163">
      <c r="A163" s="54" t="n">
        <v>45062</v>
      </c>
      <c r="B163" s="54" t="n">
        <v>45062</v>
      </c>
      <c r="C163" s="55" t="n">
        <v>0</v>
      </c>
      <c r="D163" s="55" t="n">
        <v>1049.11</v>
      </c>
      <c r="E163" s="55" t="inlineStr"/>
      <c r="F163" s="55" t="inlineStr">
        <is>
          <t>HDFC Securities - Sell</t>
        </is>
      </c>
      <c r="G163" s="18" t="n">
        <v>0.97</v>
      </c>
      <c r="H163" s="55" t="inlineStr">
        <is>
          <t>HDFC Securities</t>
        </is>
      </c>
      <c r="I163" s="55" t="inlineStr">
        <is>
          <t>HDFC 5413</t>
        </is>
      </c>
      <c r="J163" s="55" t="inlineStr"/>
      <c r="K163" s="55" t="inlineStr">
        <is>
          <t>NET PO FROM HSL A/C 2554606-00602340029427</t>
        </is>
      </c>
      <c r="L163" s="55" t="inlineStr">
        <is>
          <t>HDFC Bank</t>
        </is>
      </c>
      <c r="M163" s="55" t="inlineStr"/>
    </row>
    <row r="164">
      <c r="A164" s="41" t="n">
        <v>45062</v>
      </c>
      <c r="B164" s="41" t="n">
        <v>45062</v>
      </c>
      <c r="C164" s="42" t="n">
        <v>537</v>
      </c>
      <c r="D164" s="42" t="n">
        <v>0</v>
      </c>
      <c r="E164" s="42" t="inlineStr"/>
      <c r="F164" s="42" t="inlineStr">
        <is>
          <t>UPI - Amazon</t>
        </is>
      </c>
      <c r="G164" s="34" t="n">
        <v>0.68</v>
      </c>
      <c r="H164" s="42" t="inlineStr">
        <is>
          <t>Shopping</t>
        </is>
      </c>
      <c r="I164" s="42" t="inlineStr">
        <is>
          <t>SBI 1227</t>
        </is>
      </c>
      <c r="J164" s="42" t="inlineStr"/>
      <c r="K164" s="42" t="inlineStr">
        <is>
          <t xml:space="preserve">   TO TRANSFER-UPI/DR/350218976885/amazon p/YESB/amazonpayg/You a--</t>
        </is>
      </c>
      <c r="L164" s="42" t="inlineStr">
        <is>
          <t>State Bank of India</t>
        </is>
      </c>
      <c r="M164" s="42" t="inlineStr"/>
    </row>
    <row r="165">
      <c r="A165" s="101" t="n">
        <v>45062</v>
      </c>
      <c r="B165" s="101" t="n">
        <v>45062</v>
      </c>
      <c r="C165" s="102" t="n">
        <v>0</v>
      </c>
      <c r="D165" s="102" t="n">
        <v>100</v>
      </c>
      <c r="E165" s="102" t="inlineStr"/>
      <c r="F165" s="102" t="inlineStr">
        <is>
          <t>Received - Tanuja M</t>
        </is>
      </c>
      <c r="G165" s="25" t="n">
        <v>0.55</v>
      </c>
      <c r="H165" s="102" t="inlineStr">
        <is>
          <t>Personal</t>
        </is>
      </c>
      <c r="I165" s="102" t="inlineStr">
        <is>
          <t>SBI 1227</t>
        </is>
      </c>
      <c r="J165" s="102" t="inlineStr"/>
      <c r="K165" s="102" t="inlineStr">
        <is>
          <t xml:space="preserve">   BY TRANSFER-UPI/CR/313699004509/TANUJA M/KKBK/tanujami10/UPI--</t>
        </is>
      </c>
      <c r="L165" s="102" t="inlineStr">
        <is>
          <t>State Bank of India</t>
        </is>
      </c>
      <c r="M165" s="102" t="inlineStr"/>
    </row>
    <row r="166">
      <c r="A166" s="41" t="n">
        <v>45062</v>
      </c>
      <c r="B166" s="41" t="n">
        <v>45062</v>
      </c>
      <c r="C166" s="42" t="n">
        <v>220.13</v>
      </c>
      <c r="D166" s="42" t="n">
        <v>0</v>
      </c>
      <c r="E166" s="42" t="inlineStr"/>
      <c r="F166" s="42" t="inlineStr">
        <is>
          <t>HDFC Securities - Buy</t>
        </is>
      </c>
      <c r="G166" s="18" t="n">
        <v>0.97</v>
      </c>
      <c r="H166" s="42" t="inlineStr">
        <is>
          <t>HDFC Securities</t>
        </is>
      </c>
      <c r="I166" s="42" t="inlineStr">
        <is>
          <t>HDFC 5413</t>
        </is>
      </c>
      <c r="J166" s="42" t="inlineStr"/>
      <c r="K166" s="42" t="inlineStr">
        <is>
          <t>NET PI TO HSL SEC A/C 2554606-00602340029427</t>
        </is>
      </c>
      <c r="L166" s="42" t="inlineStr">
        <is>
          <t>HDFC Bank</t>
        </is>
      </c>
      <c r="M166" s="42" t="inlineStr"/>
    </row>
    <row r="167">
      <c r="A167" s="56" t="n">
        <v>45063</v>
      </c>
      <c r="B167" s="56" t="n">
        <v>45063</v>
      </c>
      <c r="C167" s="57" t="n">
        <v>389.4</v>
      </c>
      <c r="D167" s="57" t="n">
        <v>0</v>
      </c>
      <c r="E167" s="57" t="inlineStr"/>
      <c r="F167" s="57" t="inlineStr">
        <is>
          <t>Depository Charges</t>
        </is>
      </c>
      <c r="G167" s="18" t="n">
        <v>0.93</v>
      </c>
      <c r="H167" s="57" t="inlineStr">
        <is>
          <t>Depository Charges</t>
        </is>
      </c>
      <c r="I167" s="57" t="inlineStr">
        <is>
          <t>HDFC 5413</t>
        </is>
      </c>
      <c r="J167" s="57" t="inlineStr"/>
      <c r="K167" s="57" t="inlineStr">
        <is>
          <t>DEPOSITORY CHARGES APR23 - 52812428</t>
        </is>
      </c>
      <c r="L167" s="57" t="inlineStr">
        <is>
          <t>HDFC Bank</t>
        </is>
      </c>
      <c r="M167" s="57" t="inlineStr"/>
    </row>
    <row r="168">
      <c r="A168" s="41" t="n">
        <v>45063</v>
      </c>
      <c r="B168" s="41" t="n">
        <v>45063</v>
      </c>
      <c r="C168" s="42" t="n">
        <v>118.3</v>
      </c>
      <c r="D168" s="42" t="n">
        <v>0</v>
      </c>
      <c r="E168" s="42" t="inlineStr"/>
      <c r="F168" s="42" t="inlineStr">
        <is>
          <t>HDFC Securities - Buy</t>
        </is>
      </c>
      <c r="G168" s="18" t="n">
        <v>0.97</v>
      </c>
      <c r="H168" s="42" t="inlineStr">
        <is>
          <t>HDFC Securities</t>
        </is>
      </c>
      <c r="I168" s="42" t="inlineStr">
        <is>
          <t>HDFC 5413</t>
        </is>
      </c>
      <c r="J168" s="42" t="inlineStr"/>
      <c r="K168" s="42" t="inlineStr">
        <is>
          <t>NET PI TO HSL SEC A/C 2554606-00602340029427</t>
        </is>
      </c>
      <c r="L168" s="42" t="inlineStr">
        <is>
          <t>HDFC Bank</t>
        </is>
      </c>
      <c r="M168" s="42" t="inlineStr"/>
    </row>
    <row r="169">
      <c r="A169" s="101" t="n">
        <v>45063</v>
      </c>
      <c r="B169" s="101" t="n">
        <v>45063</v>
      </c>
      <c r="C169" s="102" t="n">
        <v>0</v>
      </c>
      <c r="D169" s="102" t="n">
        <v>250</v>
      </c>
      <c r="E169" s="102" t="inlineStr"/>
      <c r="F169" s="102" t="inlineStr">
        <is>
          <t>Received - Sangam P</t>
        </is>
      </c>
      <c r="G169" s="25" t="n">
        <v>0.55</v>
      </c>
      <c r="H169" s="102" t="inlineStr">
        <is>
          <t>Personal</t>
        </is>
      </c>
      <c r="I169" s="102" t="inlineStr">
        <is>
          <t>SBI 1227</t>
        </is>
      </c>
      <c r="J169" s="102" t="inlineStr"/>
      <c r="K169" s="102" t="inlineStr">
        <is>
          <t xml:space="preserve">   BY TRANSFER-UPI/CR/313714445586/SANGAM P/SBIN/8447569696/Sent--</t>
        </is>
      </c>
      <c r="L169" s="102" t="inlineStr">
        <is>
          <t>State Bank of India</t>
        </is>
      </c>
      <c r="M169" s="102" t="inlineStr"/>
    </row>
    <row r="170">
      <c r="A170" s="37" t="n">
        <v>45063</v>
      </c>
      <c r="B170" s="37" t="n">
        <v>45063</v>
      </c>
      <c r="C170" s="38" t="n">
        <v>140</v>
      </c>
      <c r="D170" s="38" t="n">
        <v>0</v>
      </c>
      <c r="E170" s="38" t="inlineStr">
        <is>
          <t>Kunal Ea</t>
        </is>
      </c>
      <c r="F170" s="38" t="inlineStr">
        <is>
          <t>UPI Payment</t>
        </is>
      </c>
      <c r="G170" s="25" t="n">
        <v>0.55</v>
      </c>
      <c r="H170" s="38" t="inlineStr">
        <is>
          <t>Personal</t>
        </is>
      </c>
      <c r="I170" s="38" t="inlineStr">
        <is>
          <t>SBI 1227</t>
        </is>
      </c>
      <c r="J170" s="38" t="inlineStr"/>
      <c r="K170" s="38" t="inlineStr">
        <is>
          <t xml:space="preserve">   TO TRANSFER-UPI/DR/313718027907/KUNAL EA/YESB/q811125368/UPI--</t>
        </is>
      </c>
      <c r="L170" s="38" t="inlineStr">
        <is>
          <t>State Bank of India</t>
        </is>
      </c>
      <c r="M170" s="38" t="inlineStr"/>
    </row>
    <row r="171">
      <c r="A171" s="41" t="n">
        <v>45063</v>
      </c>
      <c r="B171" s="41" t="n">
        <v>45063</v>
      </c>
      <c r="C171" s="42" t="n">
        <v>22211.92</v>
      </c>
      <c r="D171" s="42" t="n">
        <v>0</v>
      </c>
      <c r="E171" s="42" t="inlineStr"/>
      <c r="F171" s="42" t="inlineStr">
        <is>
          <t>HDFC Securities - Buy</t>
        </is>
      </c>
      <c r="G171" s="18" t="n">
        <v>0.97</v>
      </c>
      <c r="H171" s="42" t="inlineStr">
        <is>
          <t>HDFC Securities</t>
        </is>
      </c>
      <c r="I171" s="42" t="inlineStr">
        <is>
          <t>HDFC 5413</t>
        </is>
      </c>
      <c r="J171" s="42" t="inlineStr"/>
      <c r="K171" s="42" t="inlineStr">
        <is>
          <t>NET PI TO HSL SEC A/C 2554606-00602340029427</t>
        </is>
      </c>
      <c r="L171" s="42" t="inlineStr">
        <is>
          <t>HDFC Bank</t>
        </is>
      </c>
      <c r="M171" s="42" t="inlineStr"/>
    </row>
    <row r="172">
      <c r="A172" s="54" t="n">
        <v>45063</v>
      </c>
      <c r="B172" s="54" t="n">
        <v>45063</v>
      </c>
      <c r="C172" s="55" t="n">
        <v>0</v>
      </c>
      <c r="D172" s="55" t="n">
        <v>338.46</v>
      </c>
      <c r="E172" s="55" t="inlineStr"/>
      <c r="F172" s="55" t="inlineStr">
        <is>
          <t>HDFC Securities - Sell</t>
        </is>
      </c>
      <c r="G172" s="18" t="n">
        <v>0.97</v>
      </c>
      <c r="H172" s="55" t="inlineStr">
        <is>
          <t>HDFC Securities</t>
        </is>
      </c>
      <c r="I172" s="55" t="inlineStr">
        <is>
          <t>HDFC 5413</t>
        </is>
      </c>
      <c r="J172" s="55" t="inlineStr"/>
      <c r="K172" s="55" t="inlineStr">
        <is>
          <t>NET PO FROM HSL A/C 2554606-00602340029427</t>
        </is>
      </c>
      <c r="L172" s="55" t="inlineStr">
        <is>
          <t>HDFC Bank</t>
        </is>
      </c>
      <c r="M172" s="55" t="inlineStr"/>
    </row>
    <row r="173">
      <c r="A173" s="41" t="n">
        <v>45063</v>
      </c>
      <c r="B173" s="41" t="n">
        <v>45063</v>
      </c>
      <c r="C173" s="42" t="n">
        <v>338.46</v>
      </c>
      <c r="D173" s="42" t="n">
        <v>0</v>
      </c>
      <c r="E173" s="42" t="inlineStr"/>
      <c r="F173" s="42" t="inlineStr">
        <is>
          <t>HDFC Securities - Buy</t>
        </is>
      </c>
      <c r="G173" s="18" t="n">
        <v>0.97</v>
      </c>
      <c r="H173" s="42" t="inlineStr">
        <is>
          <t>HDFC Securities</t>
        </is>
      </c>
      <c r="I173" s="42" t="inlineStr">
        <is>
          <t>HDFC 5413</t>
        </is>
      </c>
      <c r="J173" s="42" t="inlineStr"/>
      <c r="K173" s="42" t="inlineStr">
        <is>
          <t>NET PI TO HSL SEC A/C 2554606-00602340029427</t>
        </is>
      </c>
      <c r="L173" s="42" t="inlineStr">
        <is>
          <t>HDFC Bank</t>
        </is>
      </c>
      <c r="M173" s="42" t="inlineStr"/>
    </row>
    <row r="174">
      <c r="A174" s="64" t="n">
        <v>45064</v>
      </c>
      <c r="B174" s="64" t="n">
        <v>45064</v>
      </c>
      <c r="C174" s="65" t="n">
        <v>0</v>
      </c>
      <c r="D174" s="65" t="n">
        <v>2250</v>
      </c>
      <c r="E174" s="65" t="inlineStr"/>
      <c r="F174" s="65" t="inlineStr">
        <is>
          <t>Dividend Income</t>
        </is>
      </c>
      <c r="G174" s="18" t="n">
        <v>0.88</v>
      </c>
      <c r="H174" s="65" t="inlineStr">
        <is>
          <t>Dividend Income</t>
        </is>
      </c>
      <c r="I174" s="65" t="inlineStr">
        <is>
          <t>HDFC 5413</t>
        </is>
      </c>
      <c r="J174" s="65" t="inlineStr"/>
      <c r="K174" s="65" t="inlineStr">
        <is>
          <t>ACH C- ORACLEFINANCIALSER-00000000000000</t>
        </is>
      </c>
      <c r="L174" s="65" t="inlineStr">
        <is>
          <t>HDFC Bank</t>
        </is>
      </c>
      <c r="M174" s="65" t="inlineStr"/>
    </row>
    <row r="175">
      <c r="A175" s="41" t="n">
        <v>45064</v>
      </c>
      <c r="B175" s="41" t="n">
        <v>45064</v>
      </c>
      <c r="C175" s="42" t="n">
        <v>107.34</v>
      </c>
      <c r="D175" s="42" t="n">
        <v>0</v>
      </c>
      <c r="E175" s="42" t="inlineStr"/>
      <c r="F175" s="42" t="inlineStr">
        <is>
          <t>HDFC Securities - Buy</t>
        </is>
      </c>
      <c r="G175" s="18" t="n">
        <v>0.97</v>
      </c>
      <c r="H175" s="42" t="inlineStr">
        <is>
          <t>HDFC Securities</t>
        </is>
      </c>
      <c r="I175" s="42" t="inlineStr">
        <is>
          <t>HDFC 5413</t>
        </is>
      </c>
      <c r="J175" s="42" t="inlineStr"/>
      <c r="K175" s="42" t="inlineStr">
        <is>
          <t>NET PI TO HSL SEC A/C 2554606-00602340029427</t>
        </is>
      </c>
      <c r="L175" s="42" t="inlineStr">
        <is>
          <t>HDFC Bank</t>
        </is>
      </c>
      <c r="M175" s="42" t="inlineStr"/>
    </row>
    <row r="176">
      <c r="A176" s="41" t="n">
        <v>45064</v>
      </c>
      <c r="B176" s="41" t="n">
        <v>45064</v>
      </c>
      <c r="C176" s="42" t="n">
        <v>5674.48</v>
      </c>
      <c r="D176" s="42" t="n">
        <v>0</v>
      </c>
      <c r="E176" s="42" t="inlineStr"/>
      <c r="F176" s="42" t="inlineStr">
        <is>
          <t>HDFC Securities - Buy</t>
        </is>
      </c>
      <c r="G176" s="18" t="n">
        <v>0.97</v>
      </c>
      <c r="H176" s="42" t="inlineStr">
        <is>
          <t>HDFC Securities</t>
        </is>
      </c>
      <c r="I176" s="42" t="inlineStr">
        <is>
          <t>HDFC 5413</t>
        </is>
      </c>
      <c r="J176" s="42" t="inlineStr"/>
      <c r="K176" s="42" t="inlineStr">
        <is>
          <t>NET PI TO HSL SEC A/C 2554606-00602340029427</t>
        </is>
      </c>
      <c r="L176" s="42" t="inlineStr">
        <is>
          <t>HDFC Bank</t>
        </is>
      </c>
      <c r="M176" s="42" t="inlineStr"/>
    </row>
    <row r="177">
      <c r="A177" s="41" t="n">
        <v>45064</v>
      </c>
      <c r="B177" s="41" t="n">
        <v>45064</v>
      </c>
      <c r="C177" s="42" t="n">
        <v>10768.54</v>
      </c>
      <c r="D177" s="42" t="n">
        <v>0</v>
      </c>
      <c r="E177" s="42" t="inlineStr"/>
      <c r="F177" s="42" t="inlineStr">
        <is>
          <t>HDFC Securities - Buy</t>
        </is>
      </c>
      <c r="G177" s="18" t="n">
        <v>0.97</v>
      </c>
      <c r="H177" s="42" t="inlineStr">
        <is>
          <t>HDFC Securities</t>
        </is>
      </c>
      <c r="I177" s="42" t="inlineStr">
        <is>
          <t>HDFC 5413</t>
        </is>
      </c>
      <c r="J177" s="42" t="inlineStr"/>
      <c r="K177" s="42" t="inlineStr">
        <is>
          <t>NET PI TO HSL SEC A/C 2554606-00602340029427</t>
        </is>
      </c>
      <c r="L177" s="42" t="inlineStr">
        <is>
          <t>HDFC Bank</t>
        </is>
      </c>
      <c r="M177" s="42" t="inlineStr"/>
    </row>
    <row r="178">
      <c r="A178" s="37" t="n">
        <v>45064</v>
      </c>
      <c r="B178" s="37" t="n">
        <v>45064</v>
      </c>
      <c r="C178" s="38" t="n">
        <v>325</v>
      </c>
      <c r="D178" s="38" t="n">
        <v>0</v>
      </c>
      <c r="E178" s="38" t="inlineStr">
        <is>
          <t>The Man</t>
        </is>
      </c>
      <c r="F178" s="38" t="inlineStr">
        <is>
          <t>UPI Payment</t>
        </is>
      </c>
      <c r="G178" s="25" t="n">
        <v>0.55</v>
      </c>
      <c r="H178" s="38" t="inlineStr">
        <is>
          <t>Personal</t>
        </is>
      </c>
      <c r="I178" s="38" t="inlineStr">
        <is>
          <t>SBI 1227</t>
        </is>
      </c>
      <c r="J178" s="38" t="inlineStr"/>
      <c r="K178" s="38" t="inlineStr">
        <is>
          <t xml:space="preserve">   TO TRANSFER-UPI/DR/313851087707/The Man /YESB/themancomp/UPI--</t>
        </is>
      </c>
      <c r="L178" s="38" t="inlineStr">
        <is>
          <t>State Bank of India</t>
        </is>
      </c>
      <c r="M178" s="38" t="inlineStr"/>
    </row>
    <row r="179">
      <c r="A179" s="64" t="n">
        <v>45064</v>
      </c>
      <c r="B179" s="64" t="n">
        <v>45064</v>
      </c>
      <c r="C179" s="65" t="n">
        <v>0</v>
      </c>
      <c r="D179" s="65" t="n">
        <v>30</v>
      </c>
      <c r="E179" s="65" t="inlineStr"/>
      <c r="F179" s="65" t="inlineStr">
        <is>
          <t>Dividend Income</t>
        </is>
      </c>
      <c r="G179" s="18" t="n">
        <v>0.85</v>
      </c>
      <c r="H179" s="65" t="inlineStr">
        <is>
          <t>Dividend Income</t>
        </is>
      </c>
      <c r="I179" s="65" t="inlineStr">
        <is>
          <t>SBI 1227</t>
        </is>
      </c>
      <c r="J179" s="65" t="inlineStr"/>
      <c r="K179" s="65" t="inlineStr">
        <is>
          <t xml:space="preserve">   BULK POSTING-ACHCr NACH00000000006422 LAURUS LABS LI--</t>
        </is>
      </c>
      <c r="L179" s="65" t="inlineStr">
        <is>
          <t>State Bank of India</t>
        </is>
      </c>
      <c r="M179" s="65" t="inlineStr"/>
    </row>
    <row r="180">
      <c r="A180" s="37" t="n">
        <v>45064</v>
      </c>
      <c r="B180" s="37" t="n">
        <v>45064</v>
      </c>
      <c r="C180" s="38" t="n">
        <v>35</v>
      </c>
      <c r="D180" s="38" t="n">
        <v>0</v>
      </c>
      <c r="E180" s="38" t="inlineStr">
        <is>
          <t>Kunal Ea</t>
        </is>
      </c>
      <c r="F180" s="38" t="inlineStr">
        <is>
          <t>UPI Payment</t>
        </is>
      </c>
      <c r="G180" s="25" t="n">
        <v>0.55</v>
      </c>
      <c r="H180" s="38" t="inlineStr">
        <is>
          <t>Personal</t>
        </is>
      </c>
      <c r="I180" s="38" t="inlineStr">
        <is>
          <t>SBI 1227</t>
        </is>
      </c>
      <c r="J180" s="38" t="inlineStr"/>
      <c r="K180" s="38" t="inlineStr">
        <is>
          <t xml:space="preserve">   TO TRANSFER-UPI/DR/313829232261/KUNAL EA/YESB/q811125368/milk--</t>
        </is>
      </c>
      <c r="L180" s="38" t="inlineStr">
        <is>
          <t>State Bank of India</t>
        </is>
      </c>
      <c r="M180" s="38" t="inlineStr"/>
    </row>
    <row r="181">
      <c r="A181" s="32" t="n">
        <v>45065</v>
      </c>
      <c r="B181" s="32" t="n">
        <v>45065</v>
      </c>
      <c r="C181" s="33" t="n">
        <v>549</v>
      </c>
      <c r="D181" s="33" t="n">
        <v>0</v>
      </c>
      <c r="E181" s="33" t="inlineStr"/>
      <c r="F181" s="33" t="inlineStr">
        <is>
          <t>UPI - BharatPe</t>
        </is>
      </c>
      <c r="G181" s="34" t="n">
        <v>0.65</v>
      </c>
      <c r="H181" s="33" t="inlineStr">
        <is>
          <t>Personal</t>
        </is>
      </c>
      <c r="I181" s="33" t="inlineStr">
        <is>
          <t>SBI 1227</t>
        </is>
      </c>
      <c r="J181" s="33" t="inlineStr"/>
      <c r="K181" s="33" t="inlineStr">
        <is>
          <t xml:space="preserve">   TO TRANSFER-UPI/DR/313915167003/Bharatpe/ICIC/bharatpe.9/Pay T--</t>
        </is>
      </c>
      <c r="L181" s="33" t="inlineStr">
        <is>
          <t>State Bank of India</t>
        </is>
      </c>
      <c r="M181" s="33" t="inlineStr"/>
    </row>
    <row r="182">
      <c r="A182" s="41" t="n">
        <v>45065</v>
      </c>
      <c r="B182" s="41" t="n">
        <v>45065</v>
      </c>
      <c r="C182" s="42" t="n">
        <v>1350.54</v>
      </c>
      <c r="D182" s="42" t="n">
        <v>0</v>
      </c>
      <c r="E182" s="42" t="inlineStr"/>
      <c r="F182" s="42" t="inlineStr">
        <is>
          <t>HDFC Securities - Buy</t>
        </is>
      </c>
      <c r="G182" s="18" t="n">
        <v>0.97</v>
      </c>
      <c r="H182" s="42" t="inlineStr">
        <is>
          <t>HDFC Securities</t>
        </is>
      </c>
      <c r="I182" s="42" t="inlineStr">
        <is>
          <t>HDFC 5413</t>
        </is>
      </c>
      <c r="J182" s="42" t="inlineStr"/>
      <c r="K182" s="42" t="inlineStr">
        <is>
          <t>NET PI TO HSL SEC A/C 2554606-00602340029427</t>
        </is>
      </c>
      <c r="L182" s="42" t="inlineStr">
        <is>
          <t>HDFC Bank</t>
        </is>
      </c>
      <c r="M182" s="42" t="inlineStr"/>
    </row>
    <row r="183">
      <c r="A183" s="41" t="n">
        <v>45065</v>
      </c>
      <c r="B183" s="41" t="n">
        <v>45065</v>
      </c>
      <c r="C183" s="42" t="n">
        <v>130.04</v>
      </c>
      <c r="D183" s="42" t="n">
        <v>0</v>
      </c>
      <c r="E183" s="42" t="inlineStr"/>
      <c r="F183" s="42" t="inlineStr">
        <is>
          <t>HDFC Securities - Buy</t>
        </is>
      </c>
      <c r="G183" s="18" t="n">
        <v>0.97</v>
      </c>
      <c r="H183" s="42" t="inlineStr">
        <is>
          <t>HDFC Securities</t>
        </is>
      </c>
      <c r="I183" s="42" t="inlineStr">
        <is>
          <t>HDFC 5413</t>
        </is>
      </c>
      <c r="J183" s="42" t="inlineStr"/>
      <c r="K183" s="42" t="inlineStr">
        <is>
          <t>NET PI TO HSL SEC A/C 2554606-00602340029427</t>
        </is>
      </c>
      <c r="L183" s="42" t="inlineStr">
        <is>
          <t>HDFC Bank</t>
        </is>
      </c>
      <c r="M183" s="42" t="inlineStr"/>
    </row>
    <row r="184">
      <c r="A184" s="54" t="n">
        <v>45065</v>
      </c>
      <c r="B184" s="54" t="n">
        <v>45064</v>
      </c>
      <c r="C184" s="55" t="n">
        <v>0</v>
      </c>
      <c r="D184" s="55" t="n">
        <v>1350.54</v>
      </c>
      <c r="E184" s="55" t="inlineStr"/>
      <c r="F184" s="55" t="inlineStr">
        <is>
          <t>HDFC Securities - Sell</t>
        </is>
      </c>
      <c r="G184" s="18" t="n">
        <v>0.97</v>
      </c>
      <c r="H184" s="55" t="inlineStr">
        <is>
          <t>HDFC Securities</t>
        </is>
      </c>
      <c r="I184" s="55" t="inlineStr">
        <is>
          <t>HDFC 5413</t>
        </is>
      </c>
      <c r="J184" s="55" t="inlineStr"/>
      <c r="K184" s="55" t="inlineStr">
        <is>
          <t>NET PO FROM HSL A/C 2554606-00602340029427</t>
        </is>
      </c>
      <c r="L184" s="55" t="inlineStr">
        <is>
          <t>HDFC Bank</t>
        </is>
      </c>
      <c r="M184" s="55" t="inlineStr"/>
    </row>
    <row r="185">
      <c r="A185" s="54" t="n">
        <v>45065</v>
      </c>
      <c r="B185" s="54" t="n">
        <v>45065</v>
      </c>
      <c r="C185" s="55" t="n">
        <v>0</v>
      </c>
      <c r="D185" s="55" t="n">
        <v>486.55</v>
      </c>
      <c r="E185" s="55" t="inlineStr"/>
      <c r="F185" s="55" t="inlineStr">
        <is>
          <t>HDFC Securities - Sell</t>
        </is>
      </c>
      <c r="G185" s="18" t="n">
        <v>0.97</v>
      </c>
      <c r="H185" s="55" t="inlineStr">
        <is>
          <t>HDFC Securities</t>
        </is>
      </c>
      <c r="I185" s="55" t="inlineStr">
        <is>
          <t>HDFC 5413</t>
        </is>
      </c>
      <c r="J185" s="55" t="inlineStr"/>
      <c r="K185" s="55" t="inlineStr">
        <is>
          <t>NET PO FROM HSL A/C 2554606-00602340029427</t>
        </is>
      </c>
      <c r="L185" s="55" t="inlineStr">
        <is>
          <t>HDFC Bank</t>
        </is>
      </c>
      <c r="M185" s="55" t="inlineStr"/>
    </row>
    <row r="186">
      <c r="A186" s="101" t="n">
        <v>45066</v>
      </c>
      <c r="B186" s="101" t="n">
        <v>45066</v>
      </c>
      <c r="C186" s="102" t="n">
        <v>0</v>
      </c>
      <c r="D186" s="102" t="n">
        <v>287</v>
      </c>
      <c r="E186" s="102" t="inlineStr"/>
      <c r="F186" s="102" t="inlineStr">
        <is>
          <t>Received - Sangam P</t>
        </is>
      </c>
      <c r="G186" s="25" t="n">
        <v>0.55</v>
      </c>
      <c r="H186" s="102" t="inlineStr">
        <is>
          <t>Personal</t>
        </is>
      </c>
      <c r="I186" s="102" t="inlineStr">
        <is>
          <t>SBI 1227</t>
        </is>
      </c>
      <c r="J186" s="102" t="inlineStr"/>
      <c r="K186" s="102" t="inlineStr">
        <is>
          <t xml:space="preserve">   BY TRANSFER-UPI/CR/314003323481/SANGAM P/PYTM/sangamprav/UPI--</t>
        </is>
      </c>
      <c r="L186" s="102" t="inlineStr">
        <is>
          <t>State Bank of India</t>
        </is>
      </c>
      <c r="M186" s="102" t="inlineStr"/>
    </row>
    <row r="187">
      <c r="A187" s="37" t="n">
        <v>45066</v>
      </c>
      <c r="B187" s="37" t="n">
        <v>45066</v>
      </c>
      <c r="C187" s="38" t="n">
        <v>129</v>
      </c>
      <c r="D187" s="38" t="n">
        <v>0</v>
      </c>
      <c r="E187" s="38" t="inlineStr">
        <is>
          <t>Add Mone</t>
        </is>
      </c>
      <c r="F187" s="38" t="inlineStr">
        <is>
          <t>UPI Payment</t>
        </is>
      </c>
      <c r="G187" s="25" t="n">
        <v>0.55</v>
      </c>
      <c r="H187" s="38" t="inlineStr">
        <is>
          <t>Personal</t>
        </is>
      </c>
      <c r="I187" s="38" t="inlineStr">
        <is>
          <t>SBI 1227</t>
        </is>
      </c>
      <c r="J187" s="38" t="inlineStr"/>
      <c r="K187" s="38" t="inlineStr">
        <is>
          <t xml:space="preserve">   TO TRANSFER-UPI/DR/314003100568/Add Mone/PYTM/add-money@/UPI--</t>
        </is>
      </c>
      <c r="L187" s="38" t="inlineStr">
        <is>
          <t>State Bank of India</t>
        </is>
      </c>
      <c r="M187" s="38" t="inlineStr"/>
    </row>
    <row r="188">
      <c r="A188" s="21" t="n">
        <v>45066</v>
      </c>
      <c r="B188" s="21" t="n">
        <v>45066</v>
      </c>
      <c r="C188" s="22" t="n">
        <v>142.15</v>
      </c>
      <c r="D188" s="22" t="n">
        <v>0</v>
      </c>
      <c r="E188" s="22" t="inlineStr"/>
      <c r="F188" s="22" t="inlineStr">
        <is>
          <t>UPI - IRCTC</t>
        </is>
      </c>
      <c r="G188" s="18" t="n">
        <v>0.88</v>
      </c>
      <c r="H188" s="22" t="inlineStr">
        <is>
          <t>Travel</t>
        </is>
      </c>
      <c r="I188" s="22" t="inlineStr">
        <is>
          <t>SBI 1227</t>
        </is>
      </c>
      <c r="J188" s="22" t="inlineStr"/>
      <c r="K188" s="22" t="inlineStr">
        <is>
          <t xml:space="preserve">   TO TRANSFER-UPI/DR/314083727068/IRCTC CF/HDFC/irctc.cf@h/IRCTC--</t>
        </is>
      </c>
      <c r="L188" s="22" t="inlineStr">
        <is>
          <t>State Bank of India</t>
        </is>
      </c>
      <c r="M188" s="22" t="inlineStr"/>
    </row>
    <row r="189">
      <c r="A189" s="109" t="n">
        <v>45066</v>
      </c>
      <c r="B189" s="109" t="n">
        <v>45066</v>
      </c>
      <c r="C189" s="110" t="n">
        <v>832.67</v>
      </c>
      <c r="D189" s="110" t="n">
        <v>0</v>
      </c>
      <c r="E189" s="110" t="inlineStr"/>
      <c r="F189" s="110" t="inlineStr">
        <is>
          <t>UPI - MedPlus</t>
        </is>
      </c>
      <c r="G189" s="34" t="n">
        <v>0.68</v>
      </c>
      <c r="H189" s="110" t="inlineStr">
        <is>
          <t>Healthcare</t>
        </is>
      </c>
      <c r="I189" s="110" t="inlineStr">
        <is>
          <t>SBI 1227</t>
        </is>
      </c>
      <c r="J189" s="110" t="inlineStr"/>
      <c r="K189" s="110" t="inlineStr">
        <is>
          <t xml:space="preserve">   TO TRANSFER-UPI/DR/350602864629/MedPlus/YESB/MEDPLUSMAH/Paymen--</t>
        </is>
      </c>
      <c r="L189" s="110" t="inlineStr">
        <is>
          <t>State Bank of India</t>
        </is>
      </c>
      <c r="M189" s="110" t="inlineStr"/>
    </row>
    <row r="190">
      <c r="A190" s="91" t="n">
        <v>45067</v>
      </c>
      <c r="B190" s="91" t="n">
        <v>45067</v>
      </c>
      <c r="C190" s="92" t="n">
        <v>209.47</v>
      </c>
      <c r="D190" s="92" t="n">
        <v>0</v>
      </c>
      <c r="E190" s="92" t="inlineStr"/>
      <c r="F190" s="92" t="inlineStr">
        <is>
          <t>UPI - Uber</t>
        </is>
      </c>
      <c r="G190" s="34" t="n">
        <v>0.68</v>
      </c>
      <c r="H190" s="92" t="inlineStr">
        <is>
          <t>Transport</t>
        </is>
      </c>
      <c r="I190" s="92" t="inlineStr">
        <is>
          <t>SBI 1227</t>
        </is>
      </c>
      <c r="J190" s="92" t="inlineStr"/>
      <c r="K190" s="92" t="inlineStr">
        <is>
          <t xml:space="preserve">   TO TRANSFER-UPI/DR/314186708272/UBER IND/HDFC/uberrides@/charg--</t>
        </is>
      </c>
      <c r="L190" s="92" t="inlineStr">
        <is>
          <t>State Bank of India</t>
        </is>
      </c>
      <c r="M190" s="92" t="inlineStr"/>
    </row>
    <row r="191">
      <c r="A191" s="41" t="n">
        <v>45068</v>
      </c>
      <c r="B191" s="41" t="n">
        <v>45068</v>
      </c>
      <c r="C191" s="42" t="n">
        <v>435.03</v>
      </c>
      <c r="D191" s="42" t="n">
        <v>0</v>
      </c>
      <c r="E191" s="42" t="inlineStr"/>
      <c r="F191" s="42" t="inlineStr">
        <is>
          <t>HDFC Securities - Buy</t>
        </is>
      </c>
      <c r="G191" s="18" t="n">
        <v>0.97</v>
      </c>
      <c r="H191" s="42" t="inlineStr">
        <is>
          <t>HDFC Securities</t>
        </is>
      </c>
      <c r="I191" s="42" t="inlineStr">
        <is>
          <t>HDFC 5413</t>
        </is>
      </c>
      <c r="J191" s="42" t="inlineStr"/>
      <c r="K191" s="42" t="inlineStr">
        <is>
          <t>NET PI TO HSL SEC A/C 2554606-00602340029427</t>
        </is>
      </c>
      <c r="L191" s="42" t="inlineStr">
        <is>
          <t>HDFC Bank</t>
        </is>
      </c>
      <c r="M191" s="42" t="inlineStr"/>
    </row>
    <row r="192">
      <c r="A192" s="37" t="n">
        <v>45068</v>
      </c>
      <c r="B192" s="37" t="n">
        <v>45068</v>
      </c>
      <c r="C192" s="38" t="n">
        <v>91</v>
      </c>
      <c r="D192" s="38" t="n">
        <v>0</v>
      </c>
      <c r="E192" s="38" t="inlineStr">
        <is>
          <t>Ola Post</t>
        </is>
      </c>
      <c r="F192" s="38" t="inlineStr">
        <is>
          <t>UPI Payment</t>
        </is>
      </c>
      <c r="G192" s="25" t="n">
        <v>0.55</v>
      </c>
      <c r="H192" s="38" t="inlineStr">
        <is>
          <t>Personal</t>
        </is>
      </c>
      <c r="I192" s="38" t="inlineStr">
        <is>
          <t>SBI 1227</t>
        </is>
      </c>
      <c r="J192" s="38" t="inlineStr"/>
      <c r="K192" s="38" t="inlineStr">
        <is>
          <t xml:space="preserve">   TO TRANSFER-UPI/DR/314244285451/OLA Post/HDFC/olamoney1./UPI--</t>
        </is>
      </c>
      <c r="L192" s="38" t="inlineStr">
        <is>
          <t>State Bank of India</t>
        </is>
      </c>
      <c r="M192" s="38" t="inlineStr"/>
    </row>
    <row r="193">
      <c r="A193" s="64" t="n">
        <v>45068</v>
      </c>
      <c r="B193" s="64" t="n">
        <v>45068</v>
      </c>
      <c r="C193" s="65" t="n">
        <v>0</v>
      </c>
      <c r="D193" s="65" t="n">
        <v>1885</v>
      </c>
      <c r="E193" s="65" t="inlineStr"/>
      <c r="F193" s="65" t="inlineStr">
        <is>
          <t>Dividend Income</t>
        </is>
      </c>
      <c r="G193" s="18" t="n">
        <v>0.88</v>
      </c>
      <c r="H193" s="65" t="inlineStr">
        <is>
          <t>Dividend Income</t>
        </is>
      </c>
      <c r="I193" s="65" t="inlineStr">
        <is>
          <t>HDFC 5413</t>
        </is>
      </c>
      <c r="J193" s="65" t="inlineStr"/>
      <c r="K193" s="65" t="inlineStr">
        <is>
          <t>ACH C- SANOFIINDI DIV PYMT-71PR230518059</t>
        </is>
      </c>
      <c r="L193" s="65" t="inlineStr">
        <is>
          <t>HDFC Bank</t>
        </is>
      </c>
      <c r="M193" s="65" t="inlineStr"/>
    </row>
    <row r="194">
      <c r="A194" s="26" t="n">
        <v>45068</v>
      </c>
      <c r="B194" s="26" t="n">
        <v>45068</v>
      </c>
      <c r="C194" s="27" t="n">
        <v>20000</v>
      </c>
      <c r="D194" s="27" t="n">
        <v>0</v>
      </c>
      <c r="E194" s="27" t="inlineStr"/>
      <c r="F194" s="27" t="inlineStr">
        <is>
          <t>Transfer - Ajay Gupta</t>
        </is>
      </c>
      <c r="G194" s="18" t="n">
        <v>0.88</v>
      </c>
      <c r="H194" s="27" t="inlineStr">
        <is>
          <t>Ajay Gupta</t>
        </is>
      </c>
      <c r="I194" s="27" t="inlineStr">
        <is>
          <t>HDFC 5413</t>
        </is>
      </c>
      <c r="J194" s="27" t="inlineStr"/>
      <c r="K194" s="27" t="inlineStr">
        <is>
          <t>01671000085930-TPT-BORROW FROM AAYUSH-AJAY KUMAR GUPTA</t>
        </is>
      </c>
      <c r="L194" s="27" t="inlineStr">
        <is>
          <t>HDFC Bank</t>
        </is>
      </c>
      <c r="M194" s="27" t="inlineStr"/>
    </row>
    <row r="195">
      <c r="A195" s="54" t="n">
        <v>45069</v>
      </c>
      <c r="B195" s="54" t="n">
        <v>45068</v>
      </c>
      <c r="C195" s="55" t="n">
        <v>0</v>
      </c>
      <c r="D195" s="55" t="n">
        <v>359.26</v>
      </c>
      <c r="E195" s="55" t="inlineStr"/>
      <c r="F195" s="55" t="inlineStr">
        <is>
          <t>HDFC Securities - Sell</t>
        </is>
      </c>
      <c r="G195" s="18" t="n">
        <v>0.97</v>
      </c>
      <c r="H195" s="55" t="inlineStr">
        <is>
          <t>HDFC Securities</t>
        </is>
      </c>
      <c r="I195" s="55" t="inlineStr">
        <is>
          <t>HDFC 5413</t>
        </is>
      </c>
      <c r="J195" s="55" t="inlineStr"/>
      <c r="K195" s="55" t="inlineStr">
        <is>
          <t>NET PO FROM HSL A/C 2554606-00602340029427</t>
        </is>
      </c>
      <c r="L195" s="55" t="inlineStr">
        <is>
          <t>HDFC Bank</t>
        </is>
      </c>
      <c r="M195" s="55" t="inlineStr">
        <is>
          <t>⚠ Possible Duplicate</t>
        </is>
      </c>
    </row>
    <row r="196">
      <c r="A196" s="54" t="n">
        <v>45069</v>
      </c>
      <c r="B196" s="54" t="n">
        <v>45068</v>
      </c>
      <c r="C196" s="55" t="n">
        <v>0</v>
      </c>
      <c r="D196" s="55" t="n">
        <v>359.26</v>
      </c>
      <c r="E196" s="55" t="inlineStr"/>
      <c r="F196" s="55" t="inlineStr">
        <is>
          <t>HDFC Securities - Sell</t>
        </is>
      </c>
      <c r="G196" s="18" t="n">
        <v>0.97</v>
      </c>
      <c r="H196" s="55" t="inlineStr">
        <is>
          <t>HDFC Securities</t>
        </is>
      </c>
      <c r="I196" s="55" t="inlineStr">
        <is>
          <t>HDFC 5413</t>
        </is>
      </c>
      <c r="J196" s="55" t="inlineStr"/>
      <c r="K196" s="55" t="inlineStr">
        <is>
          <t>NET PO FROM HSL A/C 2554606-00602340029427</t>
        </is>
      </c>
      <c r="L196" s="55" t="inlineStr">
        <is>
          <t>HDFC Bank</t>
        </is>
      </c>
      <c r="M196" s="55" t="inlineStr">
        <is>
          <t>⚠ Possible Duplicate</t>
        </is>
      </c>
    </row>
    <row r="197">
      <c r="A197" s="41" t="n">
        <v>45069</v>
      </c>
      <c r="B197" s="41" t="n">
        <v>45069</v>
      </c>
      <c r="C197" s="42" t="n">
        <v>359.26</v>
      </c>
      <c r="D197" s="42" t="n">
        <v>0</v>
      </c>
      <c r="E197" s="42" t="inlineStr"/>
      <c r="F197" s="42" t="inlineStr">
        <is>
          <t>HDFC Securities - Buy</t>
        </is>
      </c>
      <c r="G197" s="18" t="n">
        <v>0.97</v>
      </c>
      <c r="H197" s="42" t="inlineStr">
        <is>
          <t>HDFC Securities</t>
        </is>
      </c>
      <c r="I197" s="42" t="inlineStr">
        <is>
          <t>HDFC 5413</t>
        </is>
      </c>
      <c r="J197" s="42" t="inlineStr"/>
      <c r="K197" s="42" t="inlineStr">
        <is>
          <t>NET PI TO HSL SEC A/C 2554606-00602340029427</t>
        </is>
      </c>
      <c r="L197" s="42" t="inlineStr">
        <is>
          <t>HDFC Bank</t>
        </is>
      </c>
      <c r="M197" s="42" t="inlineStr"/>
    </row>
    <row r="198">
      <c r="A198" s="41" t="n">
        <v>45069</v>
      </c>
      <c r="B198" s="41" t="n">
        <v>45069</v>
      </c>
      <c r="C198" s="42" t="n">
        <v>145.19</v>
      </c>
      <c r="D198" s="42" t="n">
        <v>0</v>
      </c>
      <c r="E198" s="42" t="inlineStr"/>
      <c r="F198" s="42" t="inlineStr">
        <is>
          <t>HDFC Securities - Buy</t>
        </is>
      </c>
      <c r="G198" s="18" t="n">
        <v>0.97</v>
      </c>
      <c r="H198" s="42" t="inlineStr">
        <is>
          <t>HDFC Securities</t>
        </is>
      </c>
      <c r="I198" s="42" t="inlineStr">
        <is>
          <t>HDFC 5413</t>
        </is>
      </c>
      <c r="J198" s="42" t="inlineStr"/>
      <c r="K198" s="42" t="inlineStr">
        <is>
          <t>NET PI TO HSL SEC A/C 2554606-00602340029427</t>
        </is>
      </c>
      <c r="L198" s="42" t="inlineStr">
        <is>
          <t>HDFC Bank</t>
        </is>
      </c>
      <c r="M198" s="42" t="inlineStr"/>
    </row>
    <row r="199">
      <c r="A199" s="41" t="n">
        <v>45069</v>
      </c>
      <c r="B199" s="41" t="n">
        <v>45069</v>
      </c>
      <c r="C199" s="42" t="n">
        <v>23871.7</v>
      </c>
      <c r="D199" s="42" t="n">
        <v>0</v>
      </c>
      <c r="E199" s="42" t="inlineStr"/>
      <c r="F199" s="42" t="inlineStr">
        <is>
          <t>HDFC Securities - Buy</t>
        </is>
      </c>
      <c r="G199" s="18" t="n">
        <v>0.97</v>
      </c>
      <c r="H199" s="42" t="inlineStr">
        <is>
          <t>HDFC Securities</t>
        </is>
      </c>
      <c r="I199" s="42" t="inlineStr">
        <is>
          <t>HDFC 5413</t>
        </is>
      </c>
      <c r="J199" s="42" t="inlineStr"/>
      <c r="K199" s="42" t="inlineStr">
        <is>
          <t>NET PI TO HSL SEC A/C 2554606-00602340029427</t>
        </is>
      </c>
      <c r="L199" s="42" t="inlineStr">
        <is>
          <t>HDFC Bank</t>
        </is>
      </c>
      <c r="M199" s="42" t="inlineStr"/>
    </row>
    <row r="200">
      <c r="A200" s="41" t="n">
        <v>45070</v>
      </c>
      <c r="B200" s="41" t="n">
        <v>45070</v>
      </c>
      <c r="C200" s="42" t="n">
        <v>133.42</v>
      </c>
      <c r="D200" s="42" t="n">
        <v>0</v>
      </c>
      <c r="E200" s="42" t="inlineStr"/>
      <c r="F200" s="42" t="inlineStr">
        <is>
          <t>HDFC Securities - Buy</t>
        </is>
      </c>
      <c r="G200" s="18" t="n">
        <v>0.97</v>
      </c>
      <c r="H200" s="42" t="inlineStr">
        <is>
          <t>HDFC Securities</t>
        </is>
      </c>
      <c r="I200" s="42" t="inlineStr">
        <is>
          <t>HDFC 5413</t>
        </is>
      </c>
      <c r="J200" s="42" t="inlineStr"/>
      <c r="K200" s="42" t="inlineStr">
        <is>
          <t>NET PI TO HSL SEC A/C 2554606-00602340029427</t>
        </is>
      </c>
      <c r="L200" s="42" t="inlineStr">
        <is>
          <t>HDFC Bank</t>
        </is>
      </c>
      <c r="M200" s="42" t="inlineStr">
        <is>
          <t>⚠ Possible Duplicate</t>
        </is>
      </c>
    </row>
    <row r="201">
      <c r="A201" s="54" t="n">
        <v>45070</v>
      </c>
      <c r="B201" s="54" t="n">
        <v>45070</v>
      </c>
      <c r="C201" s="55" t="n">
        <v>0</v>
      </c>
      <c r="D201" s="55" t="n">
        <v>133.42</v>
      </c>
      <c r="E201" s="55" t="inlineStr"/>
      <c r="F201" s="55" t="inlineStr">
        <is>
          <t>HDFC Securities - Sell</t>
        </is>
      </c>
      <c r="G201" s="18" t="n">
        <v>0.97</v>
      </c>
      <c r="H201" s="55" t="inlineStr">
        <is>
          <t>HDFC Securities</t>
        </is>
      </c>
      <c r="I201" s="55" t="inlineStr">
        <is>
          <t>HDFC 5413</t>
        </is>
      </c>
      <c r="J201" s="55" t="inlineStr"/>
      <c r="K201" s="55" t="inlineStr">
        <is>
          <t>NET PO FROM HSL A/C 2554606-00602340029427</t>
        </is>
      </c>
      <c r="L201" s="55" t="inlineStr">
        <is>
          <t>HDFC Bank</t>
        </is>
      </c>
      <c r="M201" s="55" t="inlineStr"/>
    </row>
    <row r="202">
      <c r="A202" s="41" t="n">
        <v>45070</v>
      </c>
      <c r="B202" s="41" t="n">
        <v>45070</v>
      </c>
      <c r="C202" s="42" t="n">
        <v>133.42</v>
      </c>
      <c r="D202" s="42" t="n">
        <v>0</v>
      </c>
      <c r="E202" s="42" t="inlineStr"/>
      <c r="F202" s="42" t="inlineStr">
        <is>
          <t>HDFC Securities - Buy</t>
        </is>
      </c>
      <c r="G202" s="18" t="n">
        <v>0.97</v>
      </c>
      <c r="H202" s="42" t="inlineStr">
        <is>
          <t>HDFC Securities</t>
        </is>
      </c>
      <c r="I202" s="42" t="inlineStr">
        <is>
          <t>HDFC 5413</t>
        </is>
      </c>
      <c r="J202" s="42" t="inlineStr"/>
      <c r="K202" s="42" t="inlineStr">
        <is>
          <t>NET PI TO HSL SEC A/C 2554606-00602340029427</t>
        </is>
      </c>
      <c r="L202" s="42" t="inlineStr">
        <is>
          <t>HDFC Bank</t>
        </is>
      </c>
      <c r="M202" s="42" t="inlineStr">
        <is>
          <t>⚠ Possible Duplicate</t>
        </is>
      </c>
    </row>
    <row r="203">
      <c r="A203" s="54" t="n">
        <v>45070</v>
      </c>
      <c r="B203" s="54" t="n">
        <v>45070</v>
      </c>
      <c r="C203" s="55" t="n">
        <v>0</v>
      </c>
      <c r="D203" s="55" t="n">
        <v>131.24</v>
      </c>
      <c r="E203" s="55" t="inlineStr"/>
      <c r="F203" s="55" t="inlineStr">
        <is>
          <t>HDFC Securities - Sell</t>
        </is>
      </c>
      <c r="G203" s="18" t="n">
        <v>0.97</v>
      </c>
      <c r="H203" s="55" t="inlineStr">
        <is>
          <t>HDFC Securities</t>
        </is>
      </c>
      <c r="I203" s="55" t="inlineStr">
        <is>
          <t>HDFC 5413</t>
        </is>
      </c>
      <c r="J203" s="55" t="inlineStr"/>
      <c r="K203" s="55" t="inlineStr">
        <is>
          <t>NET PO FROM HSL A/C 2554606-00602340029427</t>
        </is>
      </c>
      <c r="L203" s="55" t="inlineStr">
        <is>
          <t>HDFC Bank</t>
        </is>
      </c>
      <c r="M203" s="55" t="inlineStr"/>
    </row>
    <row r="204">
      <c r="A204" s="41" t="n">
        <v>45071</v>
      </c>
      <c r="B204" s="41" t="n">
        <v>45071</v>
      </c>
      <c r="C204" s="42" t="n">
        <v>5484.32</v>
      </c>
      <c r="D204" s="42" t="n">
        <v>0</v>
      </c>
      <c r="E204" s="42" t="inlineStr"/>
      <c r="F204" s="42" t="inlineStr">
        <is>
          <t>HDFC Securities - Buy</t>
        </is>
      </c>
      <c r="G204" s="18" t="n">
        <v>0.97</v>
      </c>
      <c r="H204" s="42" t="inlineStr">
        <is>
          <t>HDFC Securities</t>
        </is>
      </c>
      <c r="I204" s="42" t="inlineStr">
        <is>
          <t>HDFC 5413</t>
        </is>
      </c>
      <c r="J204" s="42" t="inlineStr"/>
      <c r="K204" s="42" t="inlineStr">
        <is>
          <t>NET PI TO HSL SEC A/C 2554606-00602340029427</t>
        </is>
      </c>
      <c r="L204" s="42" t="inlineStr">
        <is>
          <t>HDFC Bank</t>
        </is>
      </c>
      <c r="M204" s="42" t="inlineStr"/>
    </row>
    <row r="205">
      <c r="A205" s="23" t="n">
        <v>45071</v>
      </c>
      <c r="B205" s="23" t="n">
        <v>45071</v>
      </c>
      <c r="C205" s="24" t="n">
        <v>0</v>
      </c>
      <c r="D205" s="24" t="n">
        <v>45.28</v>
      </c>
      <c r="E205" s="24" t="inlineStr"/>
      <c r="F205" s="24" t="inlineStr">
        <is>
          <t>What is this?</t>
        </is>
      </c>
      <c r="G205" s="25" t="n">
        <v>0</v>
      </c>
      <c r="H205" s="24" t="inlineStr">
        <is>
          <t>Suspense</t>
        </is>
      </c>
      <c r="I205" s="24" t="inlineStr">
        <is>
          <t>AXIS</t>
        </is>
      </c>
      <c r="J205" s="24" t="inlineStr"/>
      <c r="K205" s="24" t="inlineStr">
        <is>
          <t>ICONN REF/12858585/RAZORPAY/DT.25-05-2023</t>
        </is>
      </c>
      <c r="L205" s="24" t="inlineStr">
        <is>
          <t>Axis Bank</t>
        </is>
      </c>
      <c r="M205" s="24" t="inlineStr"/>
    </row>
    <row r="206">
      <c r="A206" s="37" t="n">
        <v>45071</v>
      </c>
      <c r="B206" s="37" t="n">
        <v>45071</v>
      </c>
      <c r="C206" s="38" t="n">
        <v>105</v>
      </c>
      <c r="D206" s="38" t="n">
        <v>0</v>
      </c>
      <c r="E206" s="38" t="inlineStr">
        <is>
          <t>Mr  Aada</t>
        </is>
      </c>
      <c r="F206" s="38" t="inlineStr">
        <is>
          <t>UPI Payment</t>
        </is>
      </c>
      <c r="G206" s="25" t="n">
        <v>0.55</v>
      </c>
      <c r="H206" s="38" t="inlineStr">
        <is>
          <t>Personal</t>
        </is>
      </c>
      <c r="I206" s="38" t="inlineStr">
        <is>
          <t>SBI 1227</t>
        </is>
      </c>
      <c r="J206" s="38" t="inlineStr"/>
      <c r="K206" s="38" t="inlineStr">
        <is>
          <t xml:space="preserve">   TO TRANSFER-UPI/DR/314585312544/Mr  AADA/YESB/q964606339/UPI--</t>
        </is>
      </c>
      <c r="L206" s="38" t="inlineStr">
        <is>
          <t>State Bank of India</t>
        </is>
      </c>
      <c r="M206" s="38" t="inlineStr"/>
    </row>
    <row r="207">
      <c r="A207" s="58" t="n">
        <v>45071</v>
      </c>
      <c r="B207" s="58" t="n">
        <v>45071</v>
      </c>
      <c r="C207" s="59" t="n">
        <v>2500</v>
      </c>
      <c r="D207" s="59" t="n">
        <v>0</v>
      </c>
      <c r="E207" s="59" t="inlineStr"/>
      <c r="F207" s="59" t="inlineStr">
        <is>
          <t>MF Investment</t>
        </is>
      </c>
      <c r="G207" s="18" t="n">
        <v>0.9</v>
      </c>
      <c r="H207" s="59" t="inlineStr">
        <is>
          <t>Investments</t>
        </is>
      </c>
      <c r="I207" s="59" t="inlineStr">
        <is>
          <t>HDFC 5413</t>
        </is>
      </c>
      <c r="J207" s="59" t="inlineStr"/>
      <c r="K207" s="59" t="inlineStr">
        <is>
          <t>NET PAYIN TO BSE MF A/C -57500000389146- FROM A/C -50100128155413- UCC -2554606-57500000389146</t>
        </is>
      </c>
      <c r="L207" s="59" t="inlineStr">
        <is>
          <t>HDFC Bank</t>
        </is>
      </c>
      <c r="M207" s="59" t="inlineStr"/>
    </row>
    <row r="208">
      <c r="A208" s="41" t="n">
        <v>45071</v>
      </c>
      <c r="B208" s="41" t="n">
        <v>45071</v>
      </c>
      <c r="C208" s="42" t="n">
        <v>140.9</v>
      </c>
      <c r="D208" s="42" t="n">
        <v>0</v>
      </c>
      <c r="E208" s="42" t="inlineStr"/>
      <c r="F208" s="42" t="inlineStr">
        <is>
          <t>HDFC Securities - Buy</t>
        </is>
      </c>
      <c r="G208" s="18" t="n">
        <v>0.97</v>
      </c>
      <c r="H208" s="42" t="inlineStr">
        <is>
          <t>HDFC Securities</t>
        </is>
      </c>
      <c r="I208" s="42" t="inlineStr">
        <is>
          <t>HDFC 5413</t>
        </is>
      </c>
      <c r="J208" s="42" t="inlineStr"/>
      <c r="K208" s="42" t="inlineStr">
        <is>
          <t>NET PI TO HSL SEC A/C 2554606-00602340029427</t>
        </is>
      </c>
      <c r="L208" s="42" t="inlineStr">
        <is>
          <t>HDFC Bank</t>
        </is>
      </c>
      <c r="M208" s="42" t="inlineStr"/>
    </row>
    <row r="209">
      <c r="A209" s="54" t="n">
        <v>45072</v>
      </c>
      <c r="B209" s="54" t="n">
        <v>45072</v>
      </c>
      <c r="C209" s="55" t="n">
        <v>0</v>
      </c>
      <c r="D209" s="55" t="n">
        <v>321.22</v>
      </c>
      <c r="E209" s="55" t="inlineStr"/>
      <c r="F209" s="55" t="inlineStr">
        <is>
          <t>HDFC Securities - Sell</t>
        </is>
      </c>
      <c r="G209" s="18" t="n">
        <v>0.97</v>
      </c>
      <c r="H209" s="55" t="inlineStr">
        <is>
          <t>HDFC Securities</t>
        </is>
      </c>
      <c r="I209" s="55" t="inlineStr">
        <is>
          <t>HDFC 5413</t>
        </is>
      </c>
      <c r="J209" s="55" t="inlineStr"/>
      <c r="K209" s="55" t="inlineStr">
        <is>
          <t>NET PO FROM HSL A/C 2554606-00602340029427</t>
        </is>
      </c>
      <c r="L209" s="55" t="inlineStr">
        <is>
          <t>HDFC Bank</t>
        </is>
      </c>
      <c r="M209" s="55" t="inlineStr"/>
    </row>
    <row r="210">
      <c r="A210" s="41" t="n">
        <v>45072</v>
      </c>
      <c r="B210" s="41" t="n">
        <v>45072</v>
      </c>
      <c r="C210" s="42" t="n">
        <v>141.51</v>
      </c>
      <c r="D210" s="42" t="n">
        <v>0</v>
      </c>
      <c r="E210" s="42" t="inlineStr"/>
      <c r="F210" s="42" t="inlineStr">
        <is>
          <t>HDFC Securities - Buy</t>
        </is>
      </c>
      <c r="G210" s="18" t="n">
        <v>0.97</v>
      </c>
      <c r="H210" s="42" t="inlineStr">
        <is>
          <t>HDFC Securities</t>
        </is>
      </c>
      <c r="I210" s="42" t="inlineStr">
        <is>
          <t>HDFC 5413</t>
        </is>
      </c>
      <c r="J210" s="42" t="inlineStr"/>
      <c r="K210" s="42" t="inlineStr">
        <is>
          <t>NET PI TO HSL SEC A/C 2554606-00602340029427</t>
        </is>
      </c>
      <c r="L210" s="42" t="inlineStr">
        <is>
          <t>HDFC Bank</t>
        </is>
      </c>
      <c r="M210" s="42" t="inlineStr"/>
    </row>
    <row r="211">
      <c r="A211" s="54" t="n">
        <v>45072</v>
      </c>
      <c r="B211" s="54" t="n">
        <v>45071</v>
      </c>
      <c r="C211" s="55" t="n">
        <v>0</v>
      </c>
      <c r="D211" s="55" t="n">
        <v>12094.93</v>
      </c>
      <c r="E211" s="55" t="inlineStr"/>
      <c r="F211" s="55" t="inlineStr">
        <is>
          <t>HDFC Securities - Sell</t>
        </is>
      </c>
      <c r="G211" s="18" t="n">
        <v>0.97</v>
      </c>
      <c r="H211" s="55" t="inlineStr">
        <is>
          <t>HDFC Securities</t>
        </is>
      </c>
      <c r="I211" s="55" t="inlineStr">
        <is>
          <t>HDFC 5413</t>
        </is>
      </c>
      <c r="J211" s="55" t="inlineStr"/>
      <c r="K211" s="55" t="inlineStr">
        <is>
          <t>NET PO FROM HSL A/C 2554606-00602340029427</t>
        </is>
      </c>
      <c r="L211" s="55" t="inlineStr">
        <is>
          <t>HDFC Bank</t>
        </is>
      </c>
      <c r="M211" s="55" t="inlineStr"/>
    </row>
    <row r="212">
      <c r="A212" s="41" t="n">
        <v>45072</v>
      </c>
      <c r="B212" s="41" t="n">
        <v>45072</v>
      </c>
      <c r="C212" s="42" t="n">
        <v>12094.93</v>
      </c>
      <c r="D212" s="42" t="n">
        <v>0</v>
      </c>
      <c r="E212" s="42" t="inlineStr"/>
      <c r="F212" s="42" t="inlineStr">
        <is>
          <t>HDFC Securities - Buy</t>
        </is>
      </c>
      <c r="G212" s="18" t="n">
        <v>0.97</v>
      </c>
      <c r="H212" s="42" t="inlineStr">
        <is>
          <t>HDFC Securities</t>
        </is>
      </c>
      <c r="I212" s="42" t="inlineStr">
        <is>
          <t>HDFC 5413</t>
        </is>
      </c>
      <c r="J212" s="42" t="inlineStr"/>
      <c r="K212" s="42" t="inlineStr">
        <is>
          <t>NET PI TO HSL SEC A/C 2554606-00602340029427</t>
        </is>
      </c>
      <c r="L212" s="42" t="inlineStr">
        <is>
          <t>HDFC Bank</t>
        </is>
      </c>
      <c r="M212" s="42" t="inlineStr"/>
    </row>
    <row r="213">
      <c r="A213" s="54" t="n">
        <v>45072</v>
      </c>
      <c r="B213" s="54" t="n">
        <v>45071</v>
      </c>
      <c r="C213" s="55" t="n">
        <v>0</v>
      </c>
      <c r="D213" s="55" t="n">
        <v>1244.16</v>
      </c>
      <c r="E213" s="55" t="inlineStr"/>
      <c r="F213" s="55" t="inlineStr">
        <is>
          <t>HDFC Securities - Sell</t>
        </is>
      </c>
      <c r="G213" s="18" t="n">
        <v>0.97</v>
      </c>
      <c r="H213" s="55" t="inlineStr">
        <is>
          <t>HDFC Securities</t>
        </is>
      </c>
      <c r="I213" s="55" t="inlineStr">
        <is>
          <t>HDFC 5413</t>
        </is>
      </c>
      <c r="J213" s="55" t="inlineStr"/>
      <c r="K213" s="55" t="inlineStr">
        <is>
          <t>NET PO FROM HSL A/C 2554606-00602340029427</t>
        </is>
      </c>
      <c r="L213" s="55" t="inlineStr">
        <is>
          <t>HDFC Bank</t>
        </is>
      </c>
      <c r="M213" s="55" t="inlineStr"/>
    </row>
    <row r="214">
      <c r="A214" s="35" t="n">
        <v>45074</v>
      </c>
      <c r="B214" s="35" t="n">
        <v>45074</v>
      </c>
      <c r="C214" s="36" t="n">
        <v>70</v>
      </c>
      <c r="D214" s="36" t="n">
        <v>0</v>
      </c>
      <c r="E214" s="36" t="inlineStr"/>
      <c r="F214" s="36" t="inlineStr">
        <is>
          <t>UPI - Paytm</t>
        </is>
      </c>
      <c r="G214" s="34" t="n">
        <v>0.65</v>
      </c>
      <c r="H214" s="36" t="inlineStr">
        <is>
          <t>Personal</t>
        </is>
      </c>
      <c r="I214" s="36" t="inlineStr">
        <is>
          <t>SBI 1227</t>
        </is>
      </c>
      <c r="J214" s="36" t="inlineStr"/>
      <c r="K214" s="36" t="inlineStr">
        <is>
          <t xml:space="preserve">   TO TRANSFER-UPI/DR/314881967653/SEVEN SP/PYTM/paytmqr281/UPI--</t>
        </is>
      </c>
      <c r="L214" s="36" t="inlineStr">
        <is>
          <t>State Bank of India</t>
        </is>
      </c>
      <c r="M214" s="36" t="inlineStr"/>
    </row>
    <row r="215">
      <c r="A215" s="54" t="n">
        <v>45075</v>
      </c>
      <c r="B215" s="54" t="n">
        <v>45075</v>
      </c>
      <c r="C215" s="55" t="n">
        <v>0</v>
      </c>
      <c r="D215" s="55" t="n">
        <v>1274.26</v>
      </c>
      <c r="E215" s="55" t="inlineStr"/>
      <c r="F215" s="55" t="inlineStr">
        <is>
          <t>HDFC Securities - Sell</t>
        </is>
      </c>
      <c r="G215" s="18" t="n">
        <v>0.97</v>
      </c>
      <c r="H215" s="55" t="inlineStr">
        <is>
          <t>HDFC Securities</t>
        </is>
      </c>
      <c r="I215" s="55" t="inlineStr">
        <is>
          <t>HDFC 5413</t>
        </is>
      </c>
      <c r="J215" s="55" t="inlineStr"/>
      <c r="K215" s="55" t="inlineStr">
        <is>
          <t>NET PO FROM HSL A/C 2554606-00602340029427</t>
        </is>
      </c>
      <c r="L215" s="55" t="inlineStr">
        <is>
          <t>HDFC Bank</t>
        </is>
      </c>
      <c r="M215" s="55" t="inlineStr"/>
    </row>
    <row r="216">
      <c r="A216" s="41" t="n">
        <v>45075</v>
      </c>
      <c r="B216" s="41" t="n">
        <v>45075</v>
      </c>
      <c r="C216" s="42" t="n">
        <v>425.01</v>
      </c>
      <c r="D216" s="42" t="n">
        <v>0</v>
      </c>
      <c r="E216" s="42" t="inlineStr"/>
      <c r="F216" s="42" t="inlineStr">
        <is>
          <t>HDFC Securities - Buy</t>
        </is>
      </c>
      <c r="G216" s="18" t="n">
        <v>0.97</v>
      </c>
      <c r="H216" s="42" t="inlineStr">
        <is>
          <t>HDFC Securities</t>
        </is>
      </c>
      <c r="I216" s="42" t="inlineStr">
        <is>
          <t>HDFC 5413</t>
        </is>
      </c>
      <c r="J216" s="42" t="inlineStr"/>
      <c r="K216" s="42" t="inlineStr">
        <is>
          <t>NET PI TO HSL SEC A/C 2554606-00602340029427</t>
        </is>
      </c>
      <c r="L216" s="42" t="inlineStr">
        <is>
          <t>HDFC Bank</t>
        </is>
      </c>
      <c r="M216" s="42" t="inlineStr"/>
    </row>
    <row r="217">
      <c r="A217" s="37" t="n">
        <v>45075</v>
      </c>
      <c r="B217" s="37" t="n">
        <v>45075</v>
      </c>
      <c r="C217" s="38" t="n">
        <v>60</v>
      </c>
      <c r="D217" s="38" t="n">
        <v>0</v>
      </c>
      <c r="E217" s="38" t="inlineStr">
        <is>
          <t>Vendekin</t>
        </is>
      </c>
      <c r="F217" s="38" t="inlineStr">
        <is>
          <t>UPI Payment</t>
        </is>
      </c>
      <c r="G217" s="25" t="n">
        <v>0.55</v>
      </c>
      <c r="H217" s="38" t="inlineStr">
        <is>
          <t>Personal</t>
        </is>
      </c>
      <c r="I217" s="38" t="inlineStr">
        <is>
          <t>SBI 1227</t>
        </is>
      </c>
      <c r="J217" s="38" t="inlineStr"/>
      <c r="K217" s="38" t="inlineStr">
        <is>
          <t xml:space="preserve">   TO TRANSFER-UPI/DR/314932994602/Vendekin/ICIC/vendekin@i/UPI--</t>
        </is>
      </c>
      <c r="L217" s="38" t="inlineStr">
        <is>
          <t>State Bank of India</t>
        </is>
      </c>
      <c r="M217" s="38" t="inlineStr"/>
    </row>
    <row r="218">
      <c r="A218" s="37" t="n">
        <v>45075</v>
      </c>
      <c r="B218" s="37" t="n">
        <v>45075</v>
      </c>
      <c r="C218" s="38" t="n">
        <v>40</v>
      </c>
      <c r="D218" s="38" t="n">
        <v>0</v>
      </c>
      <c r="E218" s="38" t="inlineStr">
        <is>
          <t>Mr  Aada</t>
        </is>
      </c>
      <c r="F218" s="38" t="inlineStr">
        <is>
          <t>UPI Payment</t>
        </is>
      </c>
      <c r="G218" s="25" t="n">
        <v>0.55</v>
      </c>
      <c r="H218" s="38" t="inlineStr">
        <is>
          <t>Personal</t>
        </is>
      </c>
      <c r="I218" s="38" t="inlineStr">
        <is>
          <t>SBI 1227</t>
        </is>
      </c>
      <c r="J218" s="38" t="inlineStr"/>
      <c r="K218" s="38" t="inlineStr">
        <is>
          <t xml:space="preserve">   TO TRANSFER-UPI/DR/314929747278/Mr  AADA/YESB/q739730170/UPI--</t>
        </is>
      </c>
      <c r="L218" s="38" t="inlineStr">
        <is>
          <t>State Bank of India</t>
        </is>
      </c>
      <c r="M218" s="38" t="inlineStr"/>
    </row>
    <row r="219">
      <c r="A219" s="23" t="n">
        <v>45075</v>
      </c>
      <c r="B219" s="23" t="n">
        <v>45075</v>
      </c>
      <c r="C219" s="24" t="n">
        <v>0</v>
      </c>
      <c r="D219" s="24" t="n">
        <v>36042.33</v>
      </c>
      <c r="E219" s="24" t="inlineStr"/>
      <c r="F219" s="24" t="inlineStr">
        <is>
          <t>What is this?</t>
        </is>
      </c>
      <c r="G219" s="25" t="n">
        <v>0</v>
      </c>
      <c r="H219" s="24" t="inlineStr">
        <is>
          <t>Suspense</t>
        </is>
      </c>
      <c r="I219" s="24" t="inlineStr">
        <is>
          <t>SBI 1227</t>
        </is>
      </c>
      <c r="J219" s="24" t="inlineStr"/>
      <c r="K219" s="24" t="inlineStr">
        <is>
          <t xml:space="preserve">   BY TRANSFER-INB IMPS314909556711/7352813446/XX1167/opentxn994--</t>
        </is>
      </c>
      <c r="L219" s="24" t="inlineStr">
        <is>
          <t>State Bank of India</t>
        </is>
      </c>
      <c r="M219" s="24" t="inlineStr"/>
    </row>
    <row r="220">
      <c r="A220" s="54" t="n">
        <v>45076</v>
      </c>
      <c r="B220" s="54" t="n">
        <v>45076</v>
      </c>
      <c r="C220" s="55" t="n">
        <v>0</v>
      </c>
      <c r="D220" s="55" t="n">
        <v>857.71</v>
      </c>
      <c r="E220" s="55" t="inlineStr"/>
      <c r="F220" s="55" t="inlineStr">
        <is>
          <t>HDFC Securities - Sell</t>
        </is>
      </c>
      <c r="G220" s="18" t="n">
        <v>0.97</v>
      </c>
      <c r="H220" s="55" t="inlineStr">
        <is>
          <t>HDFC Securities</t>
        </is>
      </c>
      <c r="I220" s="55" t="inlineStr">
        <is>
          <t>HDFC 5413</t>
        </is>
      </c>
      <c r="J220" s="55" t="inlineStr"/>
      <c r="K220" s="55" t="inlineStr">
        <is>
          <t>NET PO FROM HSL A/C 2554606-00602340029427</t>
        </is>
      </c>
      <c r="L220" s="55" t="inlineStr">
        <is>
          <t>HDFC Bank</t>
        </is>
      </c>
      <c r="M220" s="55" t="inlineStr"/>
    </row>
    <row r="221">
      <c r="A221" s="21" t="n">
        <v>45076</v>
      </c>
      <c r="B221" s="21" t="n">
        <v>45076</v>
      </c>
      <c r="C221" s="22" t="n">
        <v>187.15</v>
      </c>
      <c r="D221" s="22" t="n">
        <v>0</v>
      </c>
      <c r="E221" s="22" t="inlineStr"/>
      <c r="F221" s="22" t="inlineStr">
        <is>
          <t>UPI - IRCTC</t>
        </is>
      </c>
      <c r="G221" s="18" t="n">
        <v>0.88</v>
      </c>
      <c r="H221" s="22" t="inlineStr">
        <is>
          <t>Travel</t>
        </is>
      </c>
      <c r="I221" s="22" t="inlineStr">
        <is>
          <t>SBI 1227</t>
        </is>
      </c>
      <c r="J221" s="22" t="inlineStr"/>
      <c r="K221" s="22" t="inlineStr">
        <is>
          <t xml:space="preserve">   TO TRANSFER-UPI/DR/315005851838/IRCTC CF/HDFC/irctc.cf@h/IRCTC--</t>
        </is>
      </c>
      <c r="L221" s="22" t="inlineStr">
        <is>
          <t>State Bank of India</t>
        </is>
      </c>
      <c r="M221" s="22" t="inlineStr"/>
    </row>
    <row r="222">
      <c r="A222" s="21" t="n">
        <v>45076</v>
      </c>
      <c r="B222" s="21" t="n">
        <v>45076</v>
      </c>
      <c r="C222" s="22" t="n">
        <v>1758.95</v>
      </c>
      <c r="D222" s="22" t="n">
        <v>0</v>
      </c>
      <c r="E222" s="22" t="inlineStr"/>
      <c r="F222" s="22" t="inlineStr">
        <is>
          <t>UPI - IRCTC</t>
        </is>
      </c>
      <c r="G222" s="18" t="n">
        <v>0.88</v>
      </c>
      <c r="H222" s="22" t="inlineStr">
        <is>
          <t>Travel</t>
        </is>
      </c>
      <c r="I222" s="22" t="inlineStr">
        <is>
          <t>SBI 1227</t>
        </is>
      </c>
      <c r="J222" s="22" t="inlineStr"/>
      <c r="K222" s="22" t="inlineStr">
        <is>
          <t xml:space="preserve">   TO TRANSFER-UPI/DR/315005843853/IRCTC CF/HDFC/irctc.cf@h/IRCTC--</t>
        </is>
      </c>
      <c r="L222" s="22" t="inlineStr">
        <is>
          <t>State Bank of India</t>
        </is>
      </c>
      <c r="M222" s="22" t="inlineStr"/>
    </row>
    <row r="223">
      <c r="A223" s="21" t="n">
        <v>45076</v>
      </c>
      <c r="B223" s="21" t="n">
        <v>45076</v>
      </c>
      <c r="C223" s="22" t="n">
        <v>4964.3</v>
      </c>
      <c r="D223" s="22" t="n">
        <v>0</v>
      </c>
      <c r="E223" s="22" t="inlineStr"/>
      <c r="F223" s="22" t="inlineStr">
        <is>
          <t>UPI - IRCTC</t>
        </is>
      </c>
      <c r="G223" s="18" t="n">
        <v>0.88</v>
      </c>
      <c r="H223" s="22" t="inlineStr">
        <is>
          <t>Travel</t>
        </is>
      </c>
      <c r="I223" s="22" t="inlineStr">
        <is>
          <t>SBI 1227</t>
        </is>
      </c>
      <c r="J223" s="22" t="inlineStr"/>
      <c r="K223" s="22" t="inlineStr">
        <is>
          <t xml:space="preserve">   TO TRANSFER-UPI/DR/315005845994/IRCTC CF/HDFC/irctc.cf@h/IRCTC--</t>
        </is>
      </c>
      <c r="L223" s="22" t="inlineStr">
        <is>
          <t>State Bank of India</t>
        </is>
      </c>
      <c r="M223" s="22" t="inlineStr"/>
    </row>
    <row r="224">
      <c r="A224" s="41" t="n">
        <v>45076</v>
      </c>
      <c r="B224" s="41" t="n">
        <v>45076</v>
      </c>
      <c r="C224" s="42" t="n">
        <v>142.3</v>
      </c>
      <c r="D224" s="42" t="n">
        <v>0</v>
      </c>
      <c r="E224" s="42" t="inlineStr"/>
      <c r="F224" s="42" t="inlineStr">
        <is>
          <t>HDFC Securities - Buy</t>
        </is>
      </c>
      <c r="G224" s="18" t="n">
        <v>0.97</v>
      </c>
      <c r="H224" s="42" t="inlineStr">
        <is>
          <t>HDFC Securities</t>
        </is>
      </c>
      <c r="I224" s="42" t="inlineStr">
        <is>
          <t>HDFC 5413</t>
        </is>
      </c>
      <c r="J224" s="42" t="inlineStr"/>
      <c r="K224" s="42" t="inlineStr">
        <is>
          <t>NET PI TO HSL SEC A/C 2554606-00602340029427</t>
        </is>
      </c>
      <c r="L224" s="42" t="inlineStr">
        <is>
          <t>HDFC Bank</t>
        </is>
      </c>
      <c r="M224" s="42" t="inlineStr"/>
    </row>
    <row r="225">
      <c r="A225" s="21" t="n">
        <v>45076</v>
      </c>
      <c r="B225" s="21" t="n">
        <v>45076</v>
      </c>
      <c r="C225" s="22" t="n">
        <v>2513.6</v>
      </c>
      <c r="D225" s="22" t="n">
        <v>0</v>
      </c>
      <c r="E225" s="22" t="inlineStr"/>
      <c r="F225" s="22" t="inlineStr">
        <is>
          <t>UPI - IRCTC</t>
        </is>
      </c>
      <c r="G225" s="18" t="n">
        <v>0.88</v>
      </c>
      <c r="H225" s="22" t="inlineStr">
        <is>
          <t>Travel</t>
        </is>
      </c>
      <c r="I225" s="22" t="inlineStr">
        <is>
          <t>SBI 1227</t>
        </is>
      </c>
      <c r="J225" s="22" t="inlineStr"/>
      <c r="K225" s="22" t="inlineStr">
        <is>
          <t xml:space="preserve">   TO TRANSFER-UPI/DR/315005745609/IRCTC CF/HDFC/irctc.cf@h/IRCTC--</t>
        </is>
      </c>
      <c r="L225" s="22" t="inlineStr">
        <is>
          <t>State Bank of India</t>
        </is>
      </c>
      <c r="M225" s="22" t="inlineStr"/>
    </row>
    <row r="226">
      <c r="A226" s="58" t="n">
        <v>45076</v>
      </c>
      <c r="B226" s="58" t="n">
        <v>45076</v>
      </c>
      <c r="C226" s="59" t="n">
        <v>10000</v>
      </c>
      <c r="D226" s="59" t="n">
        <v>0</v>
      </c>
      <c r="E226" s="59" t="inlineStr"/>
      <c r="F226" s="59" t="inlineStr">
        <is>
          <t>Zerodha Broking</t>
        </is>
      </c>
      <c r="G226" s="18" t="n">
        <v>0.88</v>
      </c>
      <c r="H226" s="59" t="inlineStr">
        <is>
          <t>Zerodha Broking Limited</t>
        </is>
      </c>
      <c r="I226" s="59" t="inlineStr">
        <is>
          <t>SBI 1227</t>
        </is>
      </c>
      <c r="J226" s="59" t="inlineStr"/>
      <c r="K226" s="59" t="inlineStr">
        <is>
          <t xml:space="preserve">   TO TRANSFER-UPI/DR/315052294962/Zerodha /HDFC/zerodhabro/16100--</t>
        </is>
      </c>
      <c r="L226" s="59" t="inlineStr">
        <is>
          <t>State Bank of India</t>
        </is>
      </c>
      <c r="M226" s="59" t="inlineStr"/>
    </row>
    <row r="227">
      <c r="A227" s="37" t="n">
        <v>45077</v>
      </c>
      <c r="B227" s="37" t="n">
        <v>45077</v>
      </c>
      <c r="C227" s="38" t="n">
        <v>65</v>
      </c>
      <c r="D227" s="38" t="n">
        <v>0</v>
      </c>
      <c r="E227" s="38" t="inlineStr">
        <is>
          <t>Bharti A</t>
        </is>
      </c>
      <c r="F227" s="38" t="inlineStr">
        <is>
          <t>UPI Payment</t>
        </is>
      </c>
      <c r="G227" s="25" t="n">
        <v>0.55</v>
      </c>
      <c r="H227" s="38" t="inlineStr">
        <is>
          <t>Personal</t>
        </is>
      </c>
      <c r="I227" s="38" t="inlineStr">
        <is>
          <t>SBI 1227</t>
        </is>
      </c>
      <c r="J227" s="38" t="inlineStr"/>
      <c r="K227" s="38" t="inlineStr">
        <is>
          <t xml:space="preserve">   TO TRANSFER-UPI/DR/315174038513/Bharti A/HDFC/airtel.pay/UPITr--</t>
        </is>
      </c>
      <c r="L227" s="38" t="inlineStr">
        <is>
          <t>State Bank of India</t>
        </is>
      </c>
      <c r="M227" s="38" t="inlineStr"/>
    </row>
    <row r="228">
      <c r="A228" s="41" t="n">
        <v>45077</v>
      </c>
      <c r="B228" s="41" t="n">
        <v>45077</v>
      </c>
      <c r="C228" s="42" t="n">
        <v>632.73</v>
      </c>
      <c r="D228" s="42" t="n">
        <v>0</v>
      </c>
      <c r="E228" s="42" t="inlineStr"/>
      <c r="F228" s="42" t="inlineStr">
        <is>
          <t>HDFC Securities - Buy</t>
        </is>
      </c>
      <c r="G228" s="18" t="n">
        <v>0.97</v>
      </c>
      <c r="H228" s="42" t="inlineStr">
        <is>
          <t>HDFC Securities</t>
        </is>
      </c>
      <c r="I228" s="42" t="inlineStr">
        <is>
          <t>HDFC 5413</t>
        </is>
      </c>
      <c r="J228" s="42" t="inlineStr"/>
      <c r="K228" s="42" t="inlineStr">
        <is>
          <t>NET PI TO HSL SEC A/C 2554606-00602340029427</t>
        </is>
      </c>
      <c r="L228" s="42" t="inlineStr">
        <is>
          <t>HDFC Bank</t>
        </is>
      </c>
      <c r="M228" s="42" t="inlineStr"/>
    </row>
    <row r="229">
      <c r="A229" s="41" t="n">
        <v>45077</v>
      </c>
      <c r="B229" s="41" t="n">
        <v>45077</v>
      </c>
      <c r="C229" s="42" t="n">
        <v>142.72</v>
      </c>
      <c r="D229" s="42" t="n">
        <v>0</v>
      </c>
      <c r="E229" s="42" t="inlineStr"/>
      <c r="F229" s="42" t="inlineStr">
        <is>
          <t>HDFC Securities - Buy</t>
        </is>
      </c>
      <c r="G229" s="18" t="n">
        <v>0.97</v>
      </c>
      <c r="H229" s="42" t="inlineStr">
        <is>
          <t>HDFC Securities</t>
        </is>
      </c>
      <c r="I229" s="42" t="inlineStr">
        <is>
          <t>HDFC 5413</t>
        </is>
      </c>
      <c r="J229" s="42" t="inlineStr"/>
      <c r="K229" s="42" t="inlineStr">
        <is>
          <t>NET PI TO HSL SEC A/C 2554606-00602340029427</t>
        </is>
      </c>
      <c r="L229" s="42" t="inlineStr">
        <is>
          <t>HDFC Bank</t>
        </is>
      </c>
      <c r="M229" s="42" t="inlineStr"/>
    </row>
    <row r="230">
      <c r="A230" s="19" t="n">
        <v>45078</v>
      </c>
      <c r="B230" s="19" t="n">
        <v>45078</v>
      </c>
      <c r="C230" s="20" t="n">
        <v>3</v>
      </c>
      <c r="D230" s="20" t="n">
        <v>3</v>
      </c>
      <c r="E230" s="20" t="inlineStr"/>
      <c r="F230" s="20" t="inlineStr">
        <is>
          <t>Bank Charges</t>
        </is>
      </c>
      <c r="G230" s="18" t="n">
        <v>0.88</v>
      </c>
      <c r="H230" s="20" t="inlineStr">
        <is>
          <t>Bank Charges</t>
        </is>
      </c>
      <c r="I230" s="20" t="inlineStr">
        <is>
          <t>AXIS</t>
        </is>
      </c>
      <c r="J230" s="20" t="inlineStr"/>
      <c r="K230" s="20" t="inlineStr">
        <is>
          <t>SMS Alert Fee</t>
        </is>
      </c>
      <c r="L230" s="20" t="inlineStr">
        <is>
          <t>Axis Bank</t>
        </is>
      </c>
      <c r="M230" s="20" t="inlineStr"/>
    </row>
    <row r="231">
      <c r="A231" s="37" t="n">
        <v>45078</v>
      </c>
      <c r="B231" s="37" t="n">
        <v>45078</v>
      </c>
      <c r="C231" s="38" t="n">
        <v>70</v>
      </c>
      <c r="D231" s="38" t="n">
        <v>0</v>
      </c>
      <c r="E231" s="38" t="inlineStr">
        <is>
          <t>Mr  Aada</t>
        </is>
      </c>
      <c r="F231" s="38" t="inlineStr">
        <is>
          <t>UPI Payment</t>
        </is>
      </c>
      <c r="G231" s="25" t="n">
        <v>0.55</v>
      </c>
      <c r="H231" s="38" t="inlineStr">
        <is>
          <t>Personal</t>
        </is>
      </c>
      <c r="I231" s="38" t="inlineStr">
        <is>
          <t>SBI 1227</t>
        </is>
      </c>
      <c r="J231" s="38" t="inlineStr"/>
      <c r="K231" s="38" t="inlineStr">
        <is>
          <t xml:space="preserve">   TO TRANSFER-UPI/DR/315225154838/Mr  AADA/YESB/q964606339/UPI--</t>
        </is>
      </c>
      <c r="L231" s="38" t="inlineStr">
        <is>
          <t>State Bank of India</t>
        </is>
      </c>
      <c r="M231" s="38" t="inlineStr"/>
    </row>
    <row r="232">
      <c r="A232" s="54" t="n">
        <v>45078</v>
      </c>
      <c r="B232" s="54" t="n">
        <v>45078</v>
      </c>
      <c r="C232" s="55" t="n">
        <v>0</v>
      </c>
      <c r="D232" s="55" t="n">
        <v>5257.45</v>
      </c>
      <c r="E232" s="55" t="inlineStr"/>
      <c r="F232" s="55" t="inlineStr">
        <is>
          <t>HDFC Securities - Sell</t>
        </is>
      </c>
      <c r="G232" s="18" t="n">
        <v>0.97</v>
      </c>
      <c r="H232" s="55" t="inlineStr">
        <is>
          <t>HDFC Securities</t>
        </is>
      </c>
      <c r="I232" s="55" t="inlineStr">
        <is>
          <t>HDFC 5413</t>
        </is>
      </c>
      <c r="J232" s="55" t="inlineStr"/>
      <c r="K232" s="55" t="inlineStr">
        <is>
          <t>NET PO FROM HSL A/C 2554606-00602340029427</t>
        </is>
      </c>
      <c r="L232" s="55" t="inlineStr">
        <is>
          <t>HDFC Bank</t>
        </is>
      </c>
      <c r="M232" s="55" t="inlineStr"/>
    </row>
    <row r="233">
      <c r="A233" s="37" t="n">
        <v>45078</v>
      </c>
      <c r="B233" s="37" t="n">
        <v>45078</v>
      </c>
      <c r="C233" s="38" t="n">
        <v>126</v>
      </c>
      <c r="D233" s="38" t="n">
        <v>0</v>
      </c>
      <c r="E233" s="38" t="inlineStr">
        <is>
          <t>Pranav</t>
        </is>
      </c>
      <c r="F233" s="38" t="inlineStr">
        <is>
          <t>UPI Payment</t>
        </is>
      </c>
      <c r="G233" s="25" t="n">
        <v>0.55</v>
      </c>
      <c r="H233" s="38" t="inlineStr">
        <is>
          <t>Personal</t>
        </is>
      </c>
      <c r="I233" s="38" t="inlineStr">
        <is>
          <t>SBI 1227</t>
        </is>
      </c>
      <c r="J233" s="38" t="inlineStr"/>
      <c r="K233" s="38" t="inlineStr">
        <is>
          <t xml:space="preserve">   TO TRANSFER-UPI/DR/351835527439/PRANAV  /CNRB/pranavalig/kulch--</t>
        </is>
      </c>
      <c r="L233" s="38" t="inlineStr">
        <is>
          <t>State Bank of India</t>
        </is>
      </c>
      <c r="M233" s="38" t="inlineStr"/>
    </row>
    <row r="234">
      <c r="A234" s="54" t="n">
        <v>45078</v>
      </c>
      <c r="B234" s="54" t="n">
        <v>45078</v>
      </c>
      <c r="C234" s="55" t="n">
        <v>0</v>
      </c>
      <c r="D234" s="55" t="n">
        <v>257.66</v>
      </c>
      <c r="E234" s="55" t="inlineStr"/>
      <c r="F234" s="55" t="inlineStr">
        <is>
          <t>HDFC Securities - Sell</t>
        </is>
      </c>
      <c r="G234" s="18" t="n">
        <v>0.97</v>
      </c>
      <c r="H234" s="55" t="inlineStr">
        <is>
          <t>HDFC Securities</t>
        </is>
      </c>
      <c r="I234" s="55" t="inlineStr">
        <is>
          <t>HDFC 5413</t>
        </is>
      </c>
      <c r="J234" s="55" t="inlineStr"/>
      <c r="K234" s="55" t="inlineStr">
        <is>
          <t>NET PO FROM HSL A/C 2554606-00602340029427</t>
        </is>
      </c>
      <c r="L234" s="55" t="inlineStr">
        <is>
          <t>HDFC Bank</t>
        </is>
      </c>
      <c r="M234" s="55" t="inlineStr"/>
    </row>
    <row r="235">
      <c r="A235" s="41" t="n">
        <v>45078</v>
      </c>
      <c r="B235" s="41" t="n">
        <v>45078</v>
      </c>
      <c r="C235" s="42" t="n">
        <v>142.41</v>
      </c>
      <c r="D235" s="42" t="n">
        <v>0</v>
      </c>
      <c r="E235" s="42" t="inlineStr"/>
      <c r="F235" s="42" t="inlineStr">
        <is>
          <t>HDFC Securities - Buy</t>
        </is>
      </c>
      <c r="G235" s="18" t="n">
        <v>0.97</v>
      </c>
      <c r="H235" s="42" t="inlineStr">
        <is>
          <t>HDFC Securities</t>
        </is>
      </c>
      <c r="I235" s="42" t="inlineStr">
        <is>
          <t>HDFC 5413</t>
        </is>
      </c>
      <c r="J235" s="42" t="inlineStr"/>
      <c r="K235" s="42" t="inlineStr">
        <is>
          <t>NET PI TO HSL SEC A/C 2554606-00602340029427</t>
        </is>
      </c>
      <c r="L235" s="42" t="inlineStr">
        <is>
          <t>HDFC Bank</t>
        </is>
      </c>
      <c r="M235" s="42" t="inlineStr"/>
    </row>
    <row r="236">
      <c r="A236" s="41" t="n">
        <v>45079</v>
      </c>
      <c r="B236" s="41" t="n">
        <v>45079</v>
      </c>
      <c r="C236" s="42" t="n">
        <v>142.53</v>
      </c>
      <c r="D236" s="42" t="n">
        <v>0</v>
      </c>
      <c r="E236" s="42" t="inlineStr"/>
      <c r="F236" s="42" t="inlineStr">
        <is>
          <t>HDFC Securities - Buy</t>
        </is>
      </c>
      <c r="G236" s="18" t="n">
        <v>0.97</v>
      </c>
      <c r="H236" s="42" t="inlineStr">
        <is>
          <t>HDFC Securities</t>
        </is>
      </c>
      <c r="I236" s="42" t="inlineStr">
        <is>
          <t>HDFC 5413</t>
        </is>
      </c>
      <c r="J236" s="42" t="inlineStr"/>
      <c r="K236" s="42" t="inlineStr">
        <is>
          <t>NET PI TO HSL SEC A/C 2554606-00602340029427</t>
        </is>
      </c>
      <c r="L236" s="42" t="inlineStr">
        <is>
          <t>HDFC Bank</t>
        </is>
      </c>
      <c r="M236" s="42" t="inlineStr"/>
    </row>
    <row r="237">
      <c r="A237" s="54" t="n">
        <v>45079</v>
      </c>
      <c r="B237" s="54" t="n">
        <v>45079</v>
      </c>
      <c r="C237" s="55" t="n">
        <v>0</v>
      </c>
      <c r="D237" s="55" t="n">
        <v>452.8</v>
      </c>
      <c r="E237" s="55" t="inlineStr"/>
      <c r="F237" s="55" t="inlineStr">
        <is>
          <t>HDFC Securities - Sell</t>
        </is>
      </c>
      <c r="G237" s="18" t="n">
        <v>0.97</v>
      </c>
      <c r="H237" s="55" t="inlineStr">
        <is>
          <t>HDFC Securities</t>
        </is>
      </c>
      <c r="I237" s="55" t="inlineStr">
        <is>
          <t>HDFC 5413</t>
        </is>
      </c>
      <c r="J237" s="55" t="inlineStr"/>
      <c r="K237" s="55" t="inlineStr">
        <is>
          <t>NET PO FROM HSL A/C 2554606-00602340029427</t>
        </is>
      </c>
      <c r="L237" s="55" t="inlineStr">
        <is>
          <t>HDFC Bank</t>
        </is>
      </c>
      <c r="M237" s="55" t="inlineStr"/>
    </row>
    <row r="238">
      <c r="A238" s="21" t="n">
        <v>45080</v>
      </c>
      <c r="B238" s="21" t="n">
        <v>45080</v>
      </c>
      <c r="C238" s="22" t="n">
        <v>0</v>
      </c>
      <c r="D238" s="22" t="n">
        <v>2425</v>
      </c>
      <c r="E238" s="22" t="inlineStr"/>
      <c r="F238" s="22" t="inlineStr">
        <is>
          <t>UPI - IRCTC</t>
        </is>
      </c>
      <c r="G238" s="34" t="n">
        <v>0.68</v>
      </c>
      <c r="H238" s="22" t="inlineStr">
        <is>
          <t>Travel</t>
        </is>
      </c>
      <c r="I238" s="22" t="inlineStr">
        <is>
          <t>SBI 1227</t>
        </is>
      </c>
      <c r="J238" s="22" t="inlineStr"/>
      <c r="K238" s="22" t="inlineStr">
        <is>
          <t xml:space="preserve">   BY TRANSFER-UPI/CR/315415718044/IRCTC CF/HDFC/irctc.cf@h/UPI R--</t>
        </is>
      </c>
      <c r="L238" s="22" t="inlineStr">
        <is>
          <t>State Bank of India</t>
        </is>
      </c>
      <c r="M238" s="22" t="inlineStr"/>
    </row>
    <row r="239">
      <c r="A239" s="35" t="n">
        <v>45081</v>
      </c>
      <c r="B239" s="35" t="n">
        <v>45081</v>
      </c>
      <c r="C239" s="36" t="n">
        <v>60</v>
      </c>
      <c r="D239" s="36" t="n">
        <v>0</v>
      </c>
      <c r="E239" s="36" t="inlineStr"/>
      <c r="F239" s="36" t="inlineStr">
        <is>
          <t>UPI - Paytm</t>
        </is>
      </c>
      <c r="G239" s="34" t="n">
        <v>0.65</v>
      </c>
      <c r="H239" s="36" t="inlineStr">
        <is>
          <t>Personal</t>
        </is>
      </c>
      <c r="I239" s="36" t="inlineStr">
        <is>
          <t>SBI 1227</t>
        </is>
      </c>
      <c r="J239" s="36" t="inlineStr"/>
      <c r="K239" s="36" t="inlineStr">
        <is>
          <t xml:space="preserve">   TO TRANSFER-UPI/DR/315533591396/SEVEN SP/PYTM/paytmqr281/UPI--</t>
        </is>
      </c>
      <c r="L239" s="36" t="inlineStr">
        <is>
          <t>State Bank of India</t>
        </is>
      </c>
      <c r="M239" s="36" t="inlineStr"/>
    </row>
    <row r="240">
      <c r="A240" s="41" t="n">
        <v>45082</v>
      </c>
      <c r="B240" s="41" t="n">
        <v>45082</v>
      </c>
      <c r="C240" s="42" t="n">
        <v>0</v>
      </c>
      <c r="D240" s="42" t="n">
        <v>20000</v>
      </c>
      <c r="E240" s="42" t="inlineStr"/>
      <c r="F240" s="42" t="inlineStr">
        <is>
          <t>Contra - Axis</t>
        </is>
      </c>
      <c r="G240" s="18" t="n">
        <v>0.9</v>
      </c>
      <c r="H240" s="42" t="inlineStr">
        <is>
          <t>AXIS</t>
        </is>
      </c>
      <c r="I240" s="42" t="inlineStr">
        <is>
          <t>HDFC 5413</t>
        </is>
      </c>
      <c r="J240" s="42" t="inlineStr"/>
      <c r="K240" s="42" t="inlineStr">
        <is>
          <t>NEFT CR-UTIB0002656-AAYUSH KUMAR GUPTA-AAYUSH KUMAR GUPTA-AXIR231562638106</t>
        </is>
      </c>
      <c r="L240" s="42" t="inlineStr">
        <is>
          <t>HDFC Bank</t>
        </is>
      </c>
      <c r="M240" s="42" t="inlineStr"/>
    </row>
    <row r="241">
      <c r="A241" s="37" t="n">
        <v>45082</v>
      </c>
      <c r="B241" s="37" t="n">
        <v>45082</v>
      </c>
      <c r="C241" s="38" t="n">
        <v>20</v>
      </c>
      <c r="D241" s="38" t="n">
        <v>0</v>
      </c>
      <c r="E241" s="38" t="inlineStr">
        <is>
          <t>Vendekin</t>
        </is>
      </c>
      <c r="F241" s="38" t="inlineStr">
        <is>
          <t>UPI Payment</t>
        </is>
      </c>
      <c r="G241" s="25" t="n">
        <v>0.55</v>
      </c>
      <c r="H241" s="38" t="inlineStr">
        <is>
          <t>Personal</t>
        </is>
      </c>
      <c r="I241" s="38" t="inlineStr">
        <is>
          <t>SBI 1227</t>
        </is>
      </c>
      <c r="J241" s="38" t="inlineStr"/>
      <c r="K241" s="38" t="inlineStr">
        <is>
          <t xml:space="preserve">   TO TRANSFER-UPI/DR/315691996331/Vendekin/ICIC/vendekin@i/UPI--</t>
        </is>
      </c>
      <c r="L241" s="38" t="inlineStr">
        <is>
          <t>State Bank of India</t>
        </is>
      </c>
      <c r="M241" s="38" t="inlineStr">
        <is>
          <t>⚠ Possible Duplicate</t>
        </is>
      </c>
    </row>
    <row r="242">
      <c r="A242" s="16" t="n">
        <v>45082</v>
      </c>
      <c r="B242" s="16" t="n">
        <v>45082</v>
      </c>
      <c r="C242" s="17" t="n">
        <v>20000</v>
      </c>
      <c r="D242" s="17" t="n">
        <v>0</v>
      </c>
      <c r="E242" s="17" t="inlineStr"/>
      <c r="F242" s="17" t="inlineStr">
        <is>
          <t>Contra - HDFC</t>
        </is>
      </c>
      <c r="G242" s="18" t="n">
        <v>0.9</v>
      </c>
      <c r="H242" s="17" t="inlineStr">
        <is>
          <t>HDFC 5413</t>
        </is>
      </c>
      <c r="I242" s="17" t="inlineStr">
        <is>
          <t>AXIS</t>
        </is>
      </c>
      <c r="J242" s="17" t="inlineStr"/>
      <c r="K242" s="17" t="inlineStr">
        <is>
          <t>INB/NEFT/AXIR231562638106/Aayush K/HDFC BA/Borrow</t>
        </is>
      </c>
      <c r="L242" s="17" t="inlineStr">
        <is>
          <t>Axis Bank</t>
        </is>
      </c>
      <c r="M242" s="17" t="inlineStr"/>
    </row>
    <row r="243">
      <c r="A243" s="26" t="n">
        <v>45082</v>
      </c>
      <c r="B243" s="26" t="n">
        <v>45082</v>
      </c>
      <c r="C243" s="27" t="n">
        <v>20000</v>
      </c>
      <c r="D243" s="27" t="n">
        <v>0</v>
      </c>
      <c r="E243" s="27" t="inlineStr"/>
      <c r="F243" s="27" t="inlineStr">
        <is>
          <t>Transfer - Ajay Gupta</t>
        </is>
      </c>
      <c r="G243" s="18" t="n">
        <v>0.88</v>
      </c>
      <c r="H243" s="27" t="inlineStr">
        <is>
          <t>Ajay Gupta</t>
        </is>
      </c>
      <c r="I243" s="27" t="inlineStr">
        <is>
          <t>AXIS</t>
        </is>
      </c>
      <c r="J243" s="27" t="inlineStr"/>
      <c r="K243" s="27" t="inlineStr">
        <is>
          <t>INB/IFT/Ajay Kumar Gupta/TPARTY TRANSFER</t>
        </is>
      </c>
      <c r="L243" s="27" t="inlineStr">
        <is>
          <t>Axis Bank</t>
        </is>
      </c>
      <c r="M243" s="27" t="inlineStr"/>
    </row>
    <row r="244">
      <c r="A244" s="37" t="n">
        <v>45082</v>
      </c>
      <c r="B244" s="37" t="n">
        <v>45082</v>
      </c>
      <c r="C244" s="38" t="n">
        <v>20</v>
      </c>
      <c r="D244" s="38" t="n">
        <v>0</v>
      </c>
      <c r="E244" s="38" t="inlineStr">
        <is>
          <t>Mr  Aada</t>
        </is>
      </c>
      <c r="F244" s="38" t="inlineStr">
        <is>
          <t>UPI Payment</t>
        </is>
      </c>
      <c r="G244" s="25" t="n">
        <v>0.55</v>
      </c>
      <c r="H244" s="38" t="inlineStr">
        <is>
          <t>Personal</t>
        </is>
      </c>
      <c r="I244" s="38" t="inlineStr">
        <is>
          <t>SBI 1227</t>
        </is>
      </c>
      <c r="J244" s="38" t="inlineStr"/>
      <c r="K244" s="38" t="inlineStr">
        <is>
          <t xml:space="preserve">   TO TRANSFER-UPI/DR/315686538704/Mr  AADA/YESB/q739730170/UPI--</t>
        </is>
      </c>
      <c r="L244" s="38" t="inlineStr">
        <is>
          <t>State Bank of India</t>
        </is>
      </c>
      <c r="M244" s="38" t="inlineStr">
        <is>
          <t>⚠ Possible Duplicate</t>
        </is>
      </c>
    </row>
    <row r="245">
      <c r="A245" s="54" t="n">
        <v>45082</v>
      </c>
      <c r="B245" s="54" t="n">
        <v>45082</v>
      </c>
      <c r="C245" s="55" t="n">
        <v>0</v>
      </c>
      <c r="D245" s="55" t="n">
        <v>252.98</v>
      </c>
      <c r="E245" s="55" t="inlineStr"/>
      <c r="F245" s="55" t="inlineStr">
        <is>
          <t>HDFC Securities - Sell</t>
        </is>
      </c>
      <c r="G245" s="18" t="n">
        <v>0.97</v>
      </c>
      <c r="H245" s="55" t="inlineStr">
        <is>
          <t>HDFC Securities</t>
        </is>
      </c>
      <c r="I245" s="55" t="inlineStr">
        <is>
          <t>HDFC 5413</t>
        </is>
      </c>
      <c r="J245" s="55" t="inlineStr"/>
      <c r="K245" s="55" t="inlineStr">
        <is>
          <t>NET PO FROM HSL A/C 2554606-00602340029427</t>
        </is>
      </c>
      <c r="L245" s="55" t="inlineStr">
        <is>
          <t>HDFC Bank</t>
        </is>
      </c>
      <c r="M245" s="55" t="inlineStr"/>
    </row>
    <row r="246">
      <c r="A246" s="41" t="n">
        <v>45082</v>
      </c>
      <c r="B246" s="41" t="n">
        <v>45082</v>
      </c>
      <c r="C246" s="42" t="n">
        <v>428.28</v>
      </c>
      <c r="D246" s="42" t="n">
        <v>0</v>
      </c>
      <c r="E246" s="42" t="inlineStr"/>
      <c r="F246" s="42" t="inlineStr">
        <is>
          <t>HDFC Securities - Buy</t>
        </is>
      </c>
      <c r="G246" s="18" t="n">
        <v>0.97</v>
      </c>
      <c r="H246" s="42" t="inlineStr">
        <is>
          <t>HDFC Securities</t>
        </is>
      </c>
      <c r="I246" s="42" t="inlineStr">
        <is>
          <t>HDFC 5413</t>
        </is>
      </c>
      <c r="J246" s="42" t="inlineStr"/>
      <c r="K246" s="42" t="inlineStr">
        <is>
          <t>NET PI TO HSL SEC A/C 2554606-00602340029427</t>
        </is>
      </c>
      <c r="L246" s="42" t="inlineStr">
        <is>
          <t>HDFC Bank</t>
        </is>
      </c>
      <c r="M246" s="42" t="inlineStr"/>
    </row>
    <row r="247">
      <c r="A247" s="54" t="n">
        <v>45083</v>
      </c>
      <c r="B247" s="54" t="n">
        <v>45083</v>
      </c>
      <c r="C247" s="55" t="n">
        <v>0</v>
      </c>
      <c r="D247" s="55" t="n">
        <v>9424.639999999999</v>
      </c>
      <c r="E247" s="55" t="inlineStr"/>
      <c r="F247" s="55" t="inlineStr">
        <is>
          <t>HDFC Securities - Sell</t>
        </is>
      </c>
      <c r="G247" s="18" t="n">
        <v>0.97</v>
      </c>
      <c r="H247" s="55" t="inlineStr">
        <is>
          <t>HDFC Securities</t>
        </is>
      </c>
      <c r="I247" s="55" t="inlineStr">
        <is>
          <t>HDFC 5413</t>
        </is>
      </c>
      <c r="J247" s="55" t="inlineStr"/>
      <c r="K247" s="55" t="inlineStr">
        <is>
          <t>NET PO FROM HSL A/C 2554606-00602340029427</t>
        </is>
      </c>
      <c r="L247" s="55" t="inlineStr">
        <is>
          <t>HDFC Bank</t>
        </is>
      </c>
      <c r="M247" s="55" t="inlineStr"/>
    </row>
    <row r="248">
      <c r="A248" s="41" t="n">
        <v>45083</v>
      </c>
      <c r="B248" s="41" t="n">
        <v>45083</v>
      </c>
      <c r="C248" s="42" t="n">
        <v>529.98</v>
      </c>
      <c r="D248" s="42" t="n">
        <v>0</v>
      </c>
      <c r="E248" s="42" t="inlineStr"/>
      <c r="F248" s="42" t="inlineStr">
        <is>
          <t>HDFC Securities - Buy</t>
        </is>
      </c>
      <c r="G248" s="18" t="n">
        <v>0.97</v>
      </c>
      <c r="H248" s="42" t="inlineStr">
        <is>
          <t>HDFC Securities</t>
        </is>
      </c>
      <c r="I248" s="42" t="inlineStr">
        <is>
          <t>HDFC 5413</t>
        </is>
      </c>
      <c r="J248" s="42" t="inlineStr"/>
      <c r="K248" s="42" t="inlineStr">
        <is>
          <t>NET PI TO HSL SEC A/C 2554606-00602340029427</t>
        </is>
      </c>
      <c r="L248" s="42" t="inlineStr">
        <is>
          <t>HDFC Bank</t>
        </is>
      </c>
      <c r="M248" s="42" t="inlineStr"/>
    </row>
    <row r="249">
      <c r="A249" s="41" t="n">
        <v>45083</v>
      </c>
      <c r="B249" s="41" t="n">
        <v>45083</v>
      </c>
      <c r="C249" s="42" t="n">
        <v>142.88</v>
      </c>
      <c r="D249" s="42" t="n">
        <v>0</v>
      </c>
      <c r="E249" s="42" t="inlineStr"/>
      <c r="F249" s="42" t="inlineStr">
        <is>
          <t>HDFC Securities - Buy</t>
        </is>
      </c>
      <c r="G249" s="18" t="n">
        <v>0.97</v>
      </c>
      <c r="H249" s="42" t="inlineStr">
        <is>
          <t>HDFC Securities</t>
        </is>
      </c>
      <c r="I249" s="42" t="inlineStr">
        <is>
          <t>HDFC 5413</t>
        </is>
      </c>
      <c r="J249" s="42" t="inlineStr"/>
      <c r="K249" s="42" t="inlineStr">
        <is>
          <t>NET PI TO HSL SEC A/C 2554606-00602340029427</t>
        </is>
      </c>
      <c r="L249" s="42" t="inlineStr">
        <is>
          <t>HDFC Bank</t>
        </is>
      </c>
      <c r="M249" s="42" t="inlineStr"/>
    </row>
    <row r="250">
      <c r="A250" s="37" t="n">
        <v>45083</v>
      </c>
      <c r="B250" s="37" t="n">
        <v>45083</v>
      </c>
      <c r="C250" s="38" t="n">
        <v>50</v>
      </c>
      <c r="D250" s="38" t="n">
        <v>0</v>
      </c>
      <c r="E250" s="38" t="inlineStr">
        <is>
          <t>Mr  Aada</t>
        </is>
      </c>
      <c r="F250" s="38" t="inlineStr">
        <is>
          <t>UPI Payment</t>
        </is>
      </c>
      <c r="G250" s="25" t="n">
        <v>0.55</v>
      </c>
      <c r="H250" s="38" t="inlineStr">
        <is>
          <t>Personal</t>
        </is>
      </c>
      <c r="I250" s="38" t="inlineStr">
        <is>
          <t>SBI 1227</t>
        </is>
      </c>
      <c r="J250" s="38" t="inlineStr"/>
      <c r="K250" s="38" t="inlineStr">
        <is>
          <t xml:space="preserve">   TO TRANSFER-UPI/DR/315722210284/Mr  AADA/YESB/q739730170/UPI--</t>
        </is>
      </c>
      <c r="L250" s="38" t="inlineStr">
        <is>
          <t>State Bank of India</t>
        </is>
      </c>
      <c r="M250" s="38" t="inlineStr"/>
    </row>
    <row r="251">
      <c r="A251" s="41" t="n">
        <v>45084</v>
      </c>
      <c r="B251" s="41" t="n">
        <v>45084</v>
      </c>
      <c r="C251" s="42" t="n">
        <v>142.62</v>
      </c>
      <c r="D251" s="42" t="n">
        <v>0</v>
      </c>
      <c r="E251" s="42" t="inlineStr"/>
      <c r="F251" s="42" t="inlineStr">
        <is>
          <t>HDFC Securities - Buy</t>
        </is>
      </c>
      <c r="G251" s="18" t="n">
        <v>0.97</v>
      </c>
      <c r="H251" s="42" t="inlineStr">
        <is>
          <t>HDFC Securities</t>
        </is>
      </c>
      <c r="I251" s="42" t="inlineStr">
        <is>
          <t>HDFC 5413</t>
        </is>
      </c>
      <c r="J251" s="42" t="inlineStr"/>
      <c r="K251" s="42" t="inlineStr">
        <is>
          <t>NET PI TO HSL SEC A/C 2554606-00602340029427</t>
        </is>
      </c>
      <c r="L251" s="42" t="inlineStr">
        <is>
          <t>HDFC Bank</t>
        </is>
      </c>
      <c r="M251" s="42" t="inlineStr"/>
    </row>
    <row r="252">
      <c r="A252" s="23" t="n">
        <v>45084</v>
      </c>
      <c r="B252" s="23" t="n">
        <v>45084</v>
      </c>
      <c r="C252" s="24" t="n">
        <v>0</v>
      </c>
      <c r="D252" s="24" t="n">
        <v>1880</v>
      </c>
      <c r="E252" s="24" t="inlineStr"/>
      <c r="F252" s="24" t="inlineStr">
        <is>
          <t>What is this?</t>
        </is>
      </c>
      <c r="G252" s="25" t="n">
        <v>0</v>
      </c>
      <c r="H252" s="24" t="inlineStr">
        <is>
          <t>Suspense</t>
        </is>
      </c>
      <c r="I252" s="24" t="inlineStr">
        <is>
          <t>HDFC 5413</t>
        </is>
      </c>
      <c r="J252" s="24" t="inlineStr"/>
      <c r="K252" s="24" t="inlineStr">
        <is>
          <t>00602300000434-022297043</t>
        </is>
      </c>
      <c r="L252" s="24" t="inlineStr">
        <is>
          <t>HDFC Bank</t>
        </is>
      </c>
      <c r="M252" s="24" t="inlineStr"/>
    </row>
    <row r="253">
      <c r="A253" s="41" t="n">
        <v>45084</v>
      </c>
      <c r="B253" s="41" t="n">
        <v>45084</v>
      </c>
      <c r="C253" s="42" t="n">
        <v>17825.67</v>
      </c>
      <c r="D253" s="42" t="n">
        <v>0</v>
      </c>
      <c r="E253" s="42" t="inlineStr"/>
      <c r="F253" s="42" t="inlineStr">
        <is>
          <t>HDFC Securities - Buy</t>
        </is>
      </c>
      <c r="G253" s="18" t="n">
        <v>0.97</v>
      </c>
      <c r="H253" s="42" t="inlineStr">
        <is>
          <t>HDFC Securities</t>
        </is>
      </c>
      <c r="I253" s="42" t="inlineStr">
        <is>
          <t>HDFC 5413</t>
        </is>
      </c>
      <c r="J253" s="42" t="inlineStr"/>
      <c r="K253" s="42" t="inlineStr">
        <is>
          <t>NET PI TO HSL SEC A/C 2554606-00602340029427</t>
        </is>
      </c>
      <c r="L253" s="42" t="inlineStr">
        <is>
          <t>HDFC Bank</t>
        </is>
      </c>
      <c r="M253" s="42" t="inlineStr"/>
    </row>
    <row r="254">
      <c r="A254" s="54" t="n">
        <v>45084</v>
      </c>
      <c r="B254" s="54" t="n">
        <v>45084</v>
      </c>
      <c r="C254" s="55" t="n">
        <v>0</v>
      </c>
      <c r="D254" s="55" t="n">
        <v>14433.7</v>
      </c>
      <c r="E254" s="55" t="inlineStr"/>
      <c r="F254" s="55" t="inlineStr">
        <is>
          <t>HDFC Securities - Sell</t>
        </is>
      </c>
      <c r="G254" s="18" t="n">
        <v>0.97</v>
      </c>
      <c r="H254" s="55" t="inlineStr">
        <is>
          <t>HDFC Securities</t>
        </is>
      </c>
      <c r="I254" s="55" t="inlineStr">
        <is>
          <t>HDFC 5413</t>
        </is>
      </c>
      <c r="J254" s="55" t="inlineStr"/>
      <c r="K254" s="55" t="inlineStr">
        <is>
          <t>NET PO FROM HSL A/C 2554606-00602340029427</t>
        </is>
      </c>
      <c r="L254" s="55" t="inlineStr">
        <is>
          <t>HDFC Bank</t>
        </is>
      </c>
      <c r="M254" s="55" t="inlineStr"/>
    </row>
    <row r="255">
      <c r="A255" s="37" t="n">
        <v>45084</v>
      </c>
      <c r="B255" s="37" t="n">
        <v>45084</v>
      </c>
      <c r="C255" s="38" t="n">
        <v>50</v>
      </c>
      <c r="D255" s="38" t="n">
        <v>0</v>
      </c>
      <c r="E255" s="38" t="inlineStr">
        <is>
          <t>Mr  Aada</t>
        </is>
      </c>
      <c r="F255" s="38" t="inlineStr">
        <is>
          <t>UPI Payment</t>
        </is>
      </c>
      <c r="G255" s="25" t="n">
        <v>0.55</v>
      </c>
      <c r="H255" s="38" t="inlineStr">
        <is>
          <t>Personal</t>
        </is>
      </c>
      <c r="I255" s="38" t="inlineStr">
        <is>
          <t>SBI 1227</t>
        </is>
      </c>
      <c r="J255" s="38" t="inlineStr"/>
      <c r="K255" s="38" t="inlineStr">
        <is>
          <t xml:space="preserve">   TO TRANSFER-UPI/DR/315860809837/Mr  AADA/YESB/q739730170/UPI--</t>
        </is>
      </c>
      <c r="L255" s="38" t="inlineStr">
        <is>
          <t>State Bank of India</t>
        </is>
      </c>
      <c r="M255" s="38" t="inlineStr"/>
    </row>
    <row r="256">
      <c r="A256" s="37" t="n">
        <v>45085</v>
      </c>
      <c r="B256" s="37" t="n">
        <v>45085</v>
      </c>
      <c r="C256" s="38" t="n">
        <v>552.96</v>
      </c>
      <c r="D256" s="38" t="n">
        <v>0</v>
      </c>
      <c r="E256" s="38" t="inlineStr">
        <is>
          <t>La Pino</t>
        </is>
      </c>
      <c r="F256" s="38" t="inlineStr">
        <is>
          <t>UPI Payment</t>
        </is>
      </c>
      <c r="G256" s="25" t="n">
        <v>0.55</v>
      </c>
      <c r="H256" s="38" t="inlineStr">
        <is>
          <t>Personal</t>
        </is>
      </c>
      <c r="I256" s="38" t="inlineStr">
        <is>
          <t>SBI 1227</t>
        </is>
      </c>
      <c r="J256" s="38" t="inlineStr"/>
      <c r="K256" s="38" t="inlineStr">
        <is>
          <t xml:space="preserve">   TO TRANSFER-UPI/DR/315996684695/La Pino /ICIC/lapinozpiz/Onlin--</t>
        </is>
      </c>
      <c r="L256" s="38" t="inlineStr">
        <is>
          <t>State Bank of India</t>
        </is>
      </c>
      <c r="M256" s="38" t="inlineStr"/>
    </row>
    <row r="257">
      <c r="A257" s="41" t="n">
        <v>45085</v>
      </c>
      <c r="B257" s="41" t="n">
        <v>45085</v>
      </c>
      <c r="C257" s="42" t="n">
        <v>133.83</v>
      </c>
      <c r="D257" s="42" t="n">
        <v>0</v>
      </c>
      <c r="E257" s="42" t="inlineStr"/>
      <c r="F257" s="42" t="inlineStr">
        <is>
          <t>HDFC Securities - Buy</t>
        </is>
      </c>
      <c r="G257" s="18" t="n">
        <v>0.97</v>
      </c>
      <c r="H257" s="42" t="inlineStr">
        <is>
          <t>HDFC Securities</t>
        </is>
      </c>
      <c r="I257" s="42" t="inlineStr">
        <is>
          <t>HDFC 5413</t>
        </is>
      </c>
      <c r="J257" s="42" t="inlineStr"/>
      <c r="K257" s="42" t="inlineStr">
        <is>
          <t>NET PI TO HSL SEC A/C 2554606-00602340029427</t>
        </is>
      </c>
      <c r="L257" s="42" t="inlineStr">
        <is>
          <t>HDFC Bank</t>
        </is>
      </c>
      <c r="M257" s="42" t="inlineStr"/>
    </row>
    <row r="258">
      <c r="A258" s="54" t="n">
        <v>45085</v>
      </c>
      <c r="B258" s="54" t="n">
        <v>45085</v>
      </c>
      <c r="C258" s="55" t="n">
        <v>0</v>
      </c>
      <c r="D258" s="55" t="n">
        <v>1130.33</v>
      </c>
      <c r="E258" s="55" t="inlineStr"/>
      <c r="F258" s="55" t="inlineStr">
        <is>
          <t>HDFC Securities - Sell</t>
        </is>
      </c>
      <c r="G258" s="18" t="n">
        <v>0.97</v>
      </c>
      <c r="H258" s="55" t="inlineStr">
        <is>
          <t>HDFC Securities</t>
        </is>
      </c>
      <c r="I258" s="55" t="inlineStr">
        <is>
          <t>HDFC 5413</t>
        </is>
      </c>
      <c r="J258" s="55" t="inlineStr"/>
      <c r="K258" s="55" t="inlineStr">
        <is>
          <t>NET PO FROM HSL A/C 2554606-00602340029427</t>
        </is>
      </c>
      <c r="L258" s="55" t="inlineStr">
        <is>
          <t>HDFC Bank</t>
        </is>
      </c>
      <c r="M258" s="55" t="inlineStr"/>
    </row>
    <row r="259">
      <c r="A259" s="58" t="n">
        <v>45085</v>
      </c>
      <c r="B259" s="58" t="n">
        <v>45085</v>
      </c>
      <c r="C259" s="59" t="n">
        <v>0</v>
      </c>
      <c r="D259" s="59" t="n">
        <v>122.23</v>
      </c>
      <c r="E259" s="59" t="inlineStr"/>
      <c r="F259" s="59" t="inlineStr">
        <is>
          <t>NEFT Transfer</t>
        </is>
      </c>
      <c r="G259" s="34" t="n">
        <v>0.7</v>
      </c>
      <c r="H259" s="59" t="inlineStr">
        <is>
          <t>Transfer</t>
        </is>
      </c>
      <c r="I259" s="59" t="inlineStr">
        <is>
          <t>SBI 1227</t>
        </is>
      </c>
      <c r="J259" s="59" t="inlineStr"/>
      <c r="K259" s="59" t="inlineStr">
        <is>
          <t xml:space="preserve">   BY TRANSFER-NEFT*ICIC0099999*CMS3336346983*CENTRAL DEPOSITORY--</t>
        </is>
      </c>
      <c r="L259" s="59" t="inlineStr">
        <is>
          <t>State Bank of India</t>
        </is>
      </c>
      <c r="M259" s="59" t="inlineStr"/>
    </row>
    <row r="260">
      <c r="A260" s="101" t="n">
        <v>45085</v>
      </c>
      <c r="B260" s="101" t="n">
        <v>45085</v>
      </c>
      <c r="C260" s="102" t="n">
        <v>0</v>
      </c>
      <c r="D260" s="102" t="n">
        <v>185</v>
      </c>
      <c r="E260" s="102" t="inlineStr"/>
      <c r="F260" s="102" t="inlineStr">
        <is>
          <t>Received - Shashank</t>
        </is>
      </c>
      <c r="G260" s="25" t="n">
        <v>0.55</v>
      </c>
      <c r="H260" s="102" t="inlineStr">
        <is>
          <t>Personal</t>
        </is>
      </c>
      <c r="I260" s="102" t="inlineStr">
        <is>
          <t>SBI 1227</t>
        </is>
      </c>
      <c r="J260" s="102" t="inlineStr"/>
      <c r="K260" s="102" t="inlineStr">
        <is>
          <t xml:space="preserve">   BY TRANSFER-UPI/CR/352540355915/SHASHANK/HDFC/9880498899/NA--</t>
        </is>
      </c>
      <c r="L260" s="102" t="inlineStr">
        <is>
          <t>State Bank of India</t>
        </is>
      </c>
      <c r="M260" s="102" t="inlineStr"/>
    </row>
    <row r="261">
      <c r="A261" s="101" t="n">
        <v>45085</v>
      </c>
      <c r="B261" s="101" t="n">
        <v>45085</v>
      </c>
      <c r="C261" s="102" t="n">
        <v>0</v>
      </c>
      <c r="D261" s="102" t="n">
        <v>184</v>
      </c>
      <c r="E261" s="102" t="inlineStr"/>
      <c r="F261" s="102" t="inlineStr">
        <is>
          <t>Received - Pranav</t>
        </is>
      </c>
      <c r="G261" s="25" t="n">
        <v>0.55</v>
      </c>
      <c r="H261" s="102" t="inlineStr">
        <is>
          <t>Personal</t>
        </is>
      </c>
      <c r="I261" s="102" t="inlineStr">
        <is>
          <t>SBI 1227</t>
        </is>
      </c>
      <c r="J261" s="102" t="inlineStr"/>
      <c r="K261" s="102" t="inlineStr">
        <is>
          <t xml:space="preserve">   BY TRANSFER-UPI/CR/315985102753/PRANAV  /CNRB/pranavalig/UPI--</t>
        </is>
      </c>
      <c r="L261" s="102" t="inlineStr">
        <is>
          <t>State Bank of India</t>
        </is>
      </c>
      <c r="M261" s="102" t="inlineStr"/>
    </row>
    <row r="262">
      <c r="A262" s="41" t="n">
        <v>45086</v>
      </c>
      <c r="B262" s="41" t="n">
        <v>45086</v>
      </c>
      <c r="C262" s="42" t="n">
        <v>134.39</v>
      </c>
      <c r="D262" s="42" t="n">
        <v>0</v>
      </c>
      <c r="E262" s="42" t="inlineStr"/>
      <c r="F262" s="42" t="inlineStr">
        <is>
          <t>HDFC Securities - Buy</t>
        </is>
      </c>
      <c r="G262" s="18" t="n">
        <v>0.97</v>
      </c>
      <c r="H262" s="42" t="inlineStr">
        <is>
          <t>HDFC Securities</t>
        </is>
      </c>
      <c r="I262" s="42" t="inlineStr">
        <is>
          <t>HDFC 5413</t>
        </is>
      </c>
      <c r="J262" s="42" t="inlineStr"/>
      <c r="K262" s="42" t="inlineStr">
        <is>
          <t>NET PI TO HSL SEC A/C 2554606-00602340029427</t>
        </is>
      </c>
      <c r="L262" s="42" t="inlineStr">
        <is>
          <t>HDFC Bank</t>
        </is>
      </c>
      <c r="M262" s="42" t="inlineStr"/>
    </row>
    <row r="263">
      <c r="A263" s="26" t="n">
        <v>45086</v>
      </c>
      <c r="B263" s="26" t="n">
        <v>45086</v>
      </c>
      <c r="C263" s="27" t="n">
        <v>0</v>
      </c>
      <c r="D263" s="27" t="n">
        <v>20000</v>
      </c>
      <c r="E263" s="27" t="inlineStr"/>
      <c r="F263" s="27" t="inlineStr">
        <is>
          <t>Received - Ajay Gupta</t>
        </is>
      </c>
      <c r="G263" s="18" t="n">
        <v>0.88</v>
      </c>
      <c r="H263" s="27" t="inlineStr">
        <is>
          <t>Ajay Gupta</t>
        </is>
      </c>
      <c r="I263" s="27" t="inlineStr">
        <is>
          <t>HDFC 5413</t>
        </is>
      </c>
      <c r="J263" s="27" t="inlineStr"/>
      <c r="K263" s="27" t="inlineStr">
        <is>
          <t>01671000085930-TPT-MONY RTRN TO AAYUSH-AJAY KUMAR GUPTA</t>
        </is>
      </c>
      <c r="L263" s="27" t="inlineStr">
        <is>
          <t>HDFC Bank</t>
        </is>
      </c>
      <c r="M263" s="27" t="inlineStr"/>
    </row>
    <row r="264">
      <c r="A264" s="41" t="n">
        <v>45086</v>
      </c>
      <c r="B264" s="41" t="n">
        <v>45086</v>
      </c>
      <c r="C264" s="42" t="n">
        <v>1526.13</v>
      </c>
      <c r="D264" s="42" t="n">
        <v>0</v>
      </c>
      <c r="E264" s="42" t="inlineStr"/>
      <c r="F264" s="42" t="inlineStr">
        <is>
          <t>HDFC Securities - Buy</t>
        </is>
      </c>
      <c r="G264" s="18" t="n">
        <v>0.97</v>
      </c>
      <c r="H264" s="42" t="inlineStr">
        <is>
          <t>HDFC Securities</t>
        </is>
      </c>
      <c r="I264" s="42" t="inlineStr">
        <is>
          <t>HDFC 5413</t>
        </is>
      </c>
      <c r="J264" s="42" t="inlineStr"/>
      <c r="K264" s="42" t="inlineStr">
        <is>
          <t>NET PI TO HSL SEC A/C 2554606-00602340029427</t>
        </is>
      </c>
      <c r="L264" s="42" t="inlineStr">
        <is>
          <t>HDFC Bank</t>
        </is>
      </c>
      <c r="M264" s="42" t="inlineStr"/>
    </row>
    <row r="265">
      <c r="A265" s="26" t="n">
        <v>45086</v>
      </c>
      <c r="B265" s="26" t="n">
        <v>45086</v>
      </c>
      <c r="C265" s="27" t="n">
        <v>0</v>
      </c>
      <c r="D265" s="27" t="n">
        <v>20000</v>
      </c>
      <c r="E265" s="27" t="inlineStr"/>
      <c r="F265" s="27" t="inlineStr">
        <is>
          <t>Received - Ajay Gupta</t>
        </is>
      </c>
      <c r="G265" s="18" t="n">
        <v>0.88</v>
      </c>
      <c r="H265" s="27" t="inlineStr">
        <is>
          <t>Ajay Gupta</t>
        </is>
      </c>
      <c r="I265" s="27" t="inlineStr">
        <is>
          <t>AXIS</t>
        </is>
      </c>
      <c r="J265" s="27" t="inlineStr"/>
      <c r="K265" s="27" t="inlineStr">
        <is>
          <t>INB/IFT/AJAY KUMAR GUPTA/TPARTY TRANSFER</t>
        </is>
      </c>
      <c r="L265" s="27" t="inlineStr">
        <is>
          <t>Axis Bank</t>
        </is>
      </c>
      <c r="M265" s="27" t="inlineStr"/>
    </row>
    <row r="266">
      <c r="A266" s="37" t="n">
        <v>45086</v>
      </c>
      <c r="B266" s="37" t="n">
        <v>45086</v>
      </c>
      <c r="C266" s="38" t="n">
        <v>50</v>
      </c>
      <c r="D266" s="38" t="n">
        <v>0</v>
      </c>
      <c r="E266" s="38" t="inlineStr">
        <is>
          <t>Mr  Aada</t>
        </is>
      </c>
      <c r="F266" s="38" t="inlineStr">
        <is>
          <t>UPI Payment</t>
        </is>
      </c>
      <c r="G266" s="25" t="n">
        <v>0.55</v>
      </c>
      <c r="H266" s="38" t="inlineStr">
        <is>
          <t>Personal</t>
        </is>
      </c>
      <c r="I266" s="38" t="inlineStr">
        <is>
          <t>SBI 1227</t>
        </is>
      </c>
      <c r="J266" s="38" t="inlineStr"/>
      <c r="K266" s="38" t="inlineStr">
        <is>
          <t xml:space="preserve">   TO TRANSFER-UPI/DR/316015768349/Mr  AADA/YESB/q739730170/UPI--</t>
        </is>
      </c>
      <c r="L266" s="38" t="inlineStr">
        <is>
          <t>State Bank of India</t>
        </is>
      </c>
      <c r="M266" s="38" t="inlineStr"/>
    </row>
    <row r="267">
      <c r="A267" s="35" t="n">
        <v>45086</v>
      </c>
      <c r="B267" s="35" t="n">
        <v>45086</v>
      </c>
      <c r="C267" s="36" t="n">
        <v>80</v>
      </c>
      <c r="D267" s="36" t="n">
        <v>0</v>
      </c>
      <c r="E267" s="36" t="inlineStr"/>
      <c r="F267" s="36" t="inlineStr">
        <is>
          <t>UPI - Paytm</t>
        </is>
      </c>
      <c r="G267" s="34" t="n">
        <v>0.65</v>
      </c>
      <c r="H267" s="36" t="inlineStr">
        <is>
          <t>Personal</t>
        </is>
      </c>
      <c r="I267" s="36" t="inlineStr">
        <is>
          <t>SBI 1227</t>
        </is>
      </c>
      <c r="J267" s="36" t="inlineStr"/>
      <c r="K267" s="36" t="inlineStr">
        <is>
          <t xml:space="preserve">   TO TRANSFER-UPI/DR/316024513339/SEVEN SP/PYTM/paytmqr281/UPI--</t>
        </is>
      </c>
      <c r="L267" s="36" t="inlineStr">
        <is>
          <t>State Bank of India</t>
        </is>
      </c>
      <c r="M267" s="36" t="inlineStr"/>
    </row>
    <row r="268">
      <c r="A268" s="101" t="n">
        <v>45086</v>
      </c>
      <c r="B268" s="101" t="n">
        <v>45086</v>
      </c>
      <c r="C268" s="102" t="n">
        <v>0</v>
      </c>
      <c r="D268" s="102" t="n">
        <v>40</v>
      </c>
      <c r="E268" s="102" t="inlineStr"/>
      <c r="F268" s="102" t="inlineStr">
        <is>
          <t>Received - Shashank</t>
        </is>
      </c>
      <c r="G268" s="25" t="n">
        <v>0.55</v>
      </c>
      <c r="H268" s="102" t="inlineStr">
        <is>
          <t>Personal</t>
        </is>
      </c>
      <c r="I268" s="102" t="inlineStr">
        <is>
          <t>SBI 1227</t>
        </is>
      </c>
      <c r="J268" s="102" t="inlineStr"/>
      <c r="K268" s="102" t="inlineStr">
        <is>
          <t xml:space="preserve">   BY TRANSFER-UPI/CR/352625454171/SHASHANK/HDFC/9880498899/NA--</t>
        </is>
      </c>
      <c r="L268" s="102" t="inlineStr">
        <is>
          <t>State Bank of India</t>
        </is>
      </c>
      <c r="M268" s="102" t="inlineStr"/>
    </row>
    <row r="269">
      <c r="A269" s="37" t="n">
        <v>45087</v>
      </c>
      <c r="B269" s="37" t="n">
        <v>45087</v>
      </c>
      <c r="C269" s="38" t="n">
        <v>90</v>
      </c>
      <c r="D269" s="38" t="n">
        <v>0</v>
      </c>
      <c r="E269" s="38" t="inlineStr">
        <is>
          <t>Mr  Aada</t>
        </is>
      </c>
      <c r="F269" s="38" t="inlineStr">
        <is>
          <t>UPI Payment</t>
        </is>
      </c>
      <c r="G269" s="25" t="n">
        <v>0.55</v>
      </c>
      <c r="H269" s="38" t="inlineStr">
        <is>
          <t>Personal</t>
        </is>
      </c>
      <c r="I269" s="38" t="inlineStr">
        <is>
          <t>SBI 1227</t>
        </is>
      </c>
      <c r="J269" s="38" t="inlineStr"/>
      <c r="K269" s="38" t="inlineStr">
        <is>
          <t xml:space="preserve">   TO TRANSFER-UPI/DR/316158166186/Mr  AADA/YESB/q964606339/UPI--</t>
        </is>
      </c>
      <c r="L269" s="38" t="inlineStr">
        <is>
          <t>State Bank of India</t>
        </is>
      </c>
      <c r="M269" s="38" t="inlineStr"/>
    </row>
    <row r="270">
      <c r="A270" s="37" t="n">
        <v>45088</v>
      </c>
      <c r="B270" s="37" t="n">
        <v>45088</v>
      </c>
      <c r="C270" s="38" t="n">
        <v>80</v>
      </c>
      <c r="D270" s="38" t="n">
        <v>0</v>
      </c>
      <c r="E270" s="38" t="inlineStr">
        <is>
          <t>Vendekin</t>
        </is>
      </c>
      <c r="F270" s="38" t="inlineStr">
        <is>
          <t>UPI Payment</t>
        </is>
      </c>
      <c r="G270" s="25" t="n">
        <v>0.55</v>
      </c>
      <c r="H270" s="38" t="inlineStr">
        <is>
          <t>Personal</t>
        </is>
      </c>
      <c r="I270" s="38" t="inlineStr">
        <is>
          <t>SBI 1227</t>
        </is>
      </c>
      <c r="J270" s="38" t="inlineStr"/>
      <c r="K270" s="38" t="inlineStr">
        <is>
          <t xml:space="preserve">   TO TRANSFER-UPI/DR/316202351740/Vendekin/ICIC/vendekin@i/UPI--</t>
        </is>
      </c>
      <c r="L270" s="38" t="inlineStr">
        <is>
          <t>State Bank of India</t>
        </is>
      </c>
      <c r="M270" s="38" t="inlineStr"/>
    </row>
    <row r="271">
      <c r="A271" s="101" t="n">
        <v>45088</v>
      </c>
      <c r="B271" s="101" t="n">
        <v>45088</v>
      </c>
      <c r="C271" s="102" t="n">
        <v>0</v>
      </c>
      <c r="D271" s="102" t="n">
        <v>80</v>
      </c>
      <c r="E271" s="102" t="inlineStr"/>
      <c r="F271" s="102" t="inlineStr">
        <is>
          <t>Received - Vendekin</t>
        </is>
      </c>
      <c r="G271" s="25" t="n">
        <v>0.55</v>
      </c>
      <c r="H271" s="102" t="inlineStr">
        <is>
          <t>Personal</t>
        </is>
      </c>
      <c r="I271" s="102" t="inlineStr">
        <is>
          <t>SBI 1227</t>
        </is>
      </c>
      <c r="J271" s="102" t="inlineStr"/>
      <c r="K271" s="102" t="inlineStr">
        <is>
          <t xml:space="preserve">   BY TRANSFER-UPI/CR/316271164767/Vendekin/ICIC/vendekin@i/vende--</t>
        </is>
      </c>
      <c r="L271" s="102" t="inlineStr">
        <is>
          <t>State Bank of India</t>
        </is>
      </c>
      <c r="M271" s="102" t="inlineStr"/>
    </row>
    <row r="272">
      <c r="A272" s="37" t="n">
        <v>45088</v>
      </c>
      <c r="B272" s="37" t="n">
        <v>45088</v>
      </c>
      <c r="C272" s="38" t="n">
        <v>110</v>
      </c>
      <c r="D272" s="38" t="n">
        <v>0</v>
      </c>
      <c r="E272" s="38" t="inlineStr">
        <is>
          <t>Mr  Aada</t>
        </is>
      </c>
      <c r="F272" s="38" t="inlineStr">
        <is>
          <t>UPI Payment</t>
        </is>
      </c>
      <c r="G272" s="25" t="n">
        <v>0.55</v>
      </c>
      <c r="H272" s="38" t="inlineStr">
        <is>
          <t>Personal</t>
        </is>
      </c>
      <c r="I272" s="38" t="inlineStr">
        <is>
          <t>SBI 1227</t>
        </is>
      </c>
      <c r="J272" s="38" t="inlineStr"/>
      <c r="K272" s="38" t="inlineStr">
        <is>
          <t xml:space="preserve">   TO TRANSFER-UPI/DR/316202758430/Mr  AADA/YESB/q964606339/UPI--</t>
        </is>
      </c>
      <c r="L272" s="38" t="inlineStr">
        <is>
          <t>State Bank of India</t>
        </is>
      </c>
      <c r="M272" s="38" t="inlineStr"/>
    </row>
    <row r="273">
      <c r="A273" s="54" t="n">
        <v>45089</v>
      </c>
      <c r="B273" s="54" t="n">
        <v>45089</v>
      </c>
      <c r="C273" s="55" t="n">
        <v>0</v>
      </c>
      <c r="D273" s="55" t="n">
        <v>135.62</v>
      </c>
      <c r="E273" s="55" t="inlineStr"/>
      <c r="F273" s="55" t="inlineStr">
        <is>
          <t>HDFC Securities - Sell</t>
        </is>
      </c>
      <c r="G273" s="18" t="n">
        <v>0.97</v>
      </c>
      <c r="H273" s="55" t="inlineStr">
        <is>
          <t>HDFC Securities</t>
        </is>
      </c>
      <c r="I273" s="55" t="inlineStr">
        <is>
          <t>HDFC 5413</t>
        </is>
      </c>
      <c r="J273" s="55" t="inlineStr"/>
      <c r="K273" s="55" t="inlineStr">
        <is>
          <t>NET PO FROM HSL A/C 2554606-00602340029427</t>
        </is>
      </c>
      <c r="L273" s="55" t="inlineStr">
        <is>
          <t>HDFC Bank</t>
        </is>
      </c>
      <c r="M273" s="55" t="inlineStr"/>
    </row>
    <row r="274">
      <c r="A274" s="41" t="n">
        <v>45089</v>
      </c>
      <c r="B274" s="41" t="n">
        <v>45089</v>
      </c>
      <c r="C274" s="42" t="n">
        <v>2305.65</v>
      </c>
      <c r="D274" s="42" t="n">
        <v>0</v>
      </c>
      <c r="E274" s="42" t="inlineStr"/>
      <c r="F274" s="42" t="inlineStr">
        <is>
          <t>HDFC Securities - Buy</t>
        </is>
      </c>
      <c r="G274" s="18" t="n">
        <v>0.97</v>
      </c>
      <c r="H274" s="42" t="inlineStr">
        <is>
          <t>HDFC Securities</t>
        </is>
      </c>
      <c r="I274" s="42" t="inlineStr">
        <is>
          <t>HDFC 5413</t>
        </is>
      </c>
      <c r="J274" s="42" t="inlineStr"/>
      <c r="K274" s="42" t="inlineStr">
        <is>
          <t>NET PI TO HSL SEC A/C 2554606-00602340029427</t>
        </is>
      </c>
      <c r="L274" s="42" t="inlineStr">
        <is>
          <t>HDFC Bank</t>
        </is>
      </c>
      <c r="M274" s="42" t="inlineStr"/>
    </row>
    <row r="275">
      <c r="A275" s="41" t="n">
        <v>45089</v>
      </c>
      <c r="B275" s="41" t="n">
        <v>45089</v>
      </c>
      <c r="C275" s="42" t="n">
        <v>400.92</v>
      </c>
      <c r="D275" s="42" t="n">
        <v>0</v>
      </c>
      <c r="E275" s="42" t="inlineStr"/>
      <c r="F275" s="42" t="inlineStr">
        <is>
          <t>HDFC Securities - Buy</t>
        </is>
      </c>
      <c r="G275" s="18" t="n">
        <v>0.97</v>
      </c>
      <c r="H275" s="42" t="inlineStr">
        <is>
          <t>HDFC Securities</t>
        </is>
      </c>
      <c r="I275" s="42" t="inlineStr">
        <is>
          <t>HDFC 5413</t>
        </is>
      </c>
      <c r="J275" s="42" t="inlineStr"/>
      <c r="K275" s="42" t="inlineStr">
        <is>
          <t>NET PI TO HSL SEC A/C 2554606-00602340029427</t>
        </is>
      </c>
      <c r="L275" s="42" t="inlineStr">
        <is>
          <t>HDFC Bank</t>
        </is>
      </c>
      <c r="M275" s="42" t="inlineStr"/>
    </row>
    <row r="276">
      <c r="A276" s="58" t="n">
        <v>45089</v>
      </c>
      <c r="B276" s="58" t="n">
        <v>45089</v>
      </c>
      <c r="C276" s="59" t="n">
        <v>3000</v>
      </c>
      <c r="D276" s="59" t="n">
        <v>0</v>
      </c>
      <c r="E276" s="59" t="inlineStr"/>
      <c r="F276" s="59" t="inlineStr">
        <is>
          <t>MF Investment</t>
        </is>
      </c>
      <c r="G276" s="18" t="n">
        <v>0.9</v>
      </c>
      <c r="H276" s="59" t="inlineStr">
        <is>
          <t>Investments</t>
        </is>
      </c>
      <c r="I276" s="59" t="inlineStr">
        <is>
          <t>HDFC 5413</t>
        </is>
      </c>
      <c r="J276" s="59" t="inlineStr"/>
      <c r="K276" s="59" t="inlineStr">
        <is>
          <t>NET PAYIN TO BSE MF A/C -57500000389146- FROM A/C -50100128155413- UCC -2554606-57500000389146</t>
        </is>
      </c>
      <c r="L276" s="59" t="inlineStr">
        <is>
          <t>HDFC Bank</t>
        </is>
      </c>
      <c r="M276" s="59" t="inlineStr"/>
    </row>
    <row r="277">
      <c r="A277" s="41" t="n">
        <v>45089</v>
      </c>
      <c r="B277" s="41" t="n">
        <v>45089</v>
      </c>
      <c r="C277" s="42" t="n">
        <v>135.62</v>
      </c>
      <c r="D277" s="42" t="n">
        <v>0</v>
      </c>
      <c r="E277" s="42" t="inlineStr"/>
      <c r="F277" s="42" t="inlineStr">
        <is>
          <t>HDFC Securities - Buy</t>
        </is>
      </c>
      <c r="G277" s="18" t="n">
        <v>0.97</v>
      </c>
      <c r="H277" s="42" t="inlineStr">
        <is>
          <t>HDFC Securities</t>
        </is>
      </c>
      <c r="I277" s="42" t="inlineStr">
        <is>
          <t>HDFC 5413</t>
        </is>
      </c>
      <c r="J277" s="42" t="inlineStr"/>
      <c r="K277" s="42" t="inlineStr">
        <is>
          <t>NET PI TO HSL SEC A/C 2554606-00602340029427</t>
        </is>
      </c>
      <c r="L277" s="42" t="inlineStr">
        <is>
          <t>HDFC Bank</t>
        </is>
      </c>
      <c r="M277" s="42" t="inlineStr"/>
    </row>
    <row r="278">
      <c r="A278" s="41" t="n">
        <v>45089</v>
      </c>
      <c r="B278" s="41" t="n">
        <v>45089</v>
      </c>
      <c r="C278" s="42" t="n">
        <v>8675.139999999999</v>
      </c>
      <c r="D278" s="42" t="n">
        <v>0</v>
      </c>
      <c r="E278" s="42" t="inlineStr"/>
      <c r="F278" s="42" t="inlineStr">
        <is>
          <t>HDFC Securities - Buy</t>
        </is>
      </c>
      <c r="G278" s="18" t="n">
        <v>0.97</v>
      </c>
      <c r="H278" s="42" t="inlineStr">
        <is>
          <t>HDFC Securities</t>
        </is>
      </c>
      <c r="I278" s="42" t="inlineStr">
        <is>
          <t>HDFC 5413</t>
        </is>
      </c>
      <c r="J278" s="42" t="inlineStr"/>
      <c r="K278" s="42" t="inlineStr">
        <is>
          <t>NET PI TO HSL SEC A/C 2554606-00602340029427</t>
        </is>
      </c>
      <c r="L278" s="42" t="inlineStr">
        <is>
          <t>HDFC Bank</t>
        </is>
      </c>
      <c r="M278" s="42" t="inlineStr"/>
    </row>
    <row r="279">
      <c r="A279" s="64" t="n">
        <v>45089</v>
      </c>
      <c r="B279" s="64" t="n">
        <v>45089</v>
      </c>
      <c r="C279" s="65" t="n">
        <v>0</v>
      </c>
      <c r="D279" s="65" t="n">
        <v>573.5</v>
      </c>
      <c r="E279" s="65" t="inlineStr"/>
      <c r="F279" s="65" t="inlineStr">
        <is>
          <t>Dividend Income</t>
        </is>
      </c>
      <c r="G279" s="18" t="n">
        <v>0.85</v>
      </c>
      <c r="H279" s="65" t="inlineStr">
        <is>
          <t>Dividend Income</t>
        </is>
      </c>
      <c r="I279" s="65" t="inlineStr">
        <is>
          <t>SBI 1227</t>
        </is>
      </c>
      <c r="J279" s="65" t="inlineStr"/>
      <c r="K279" s="65" t="inlineStr">
        <is>
          <t xml:space="preserve">   BULK POSTING-ACHCr ICIC04933000011905 VEDANTA LIMITE--</t>
        </is>
      </c>
      <c r="L279" s="65" t="inlineStr">
        <is>
          <t>State Bank of India</t>
        </is>
      </c>
      <c r="M279" s="65" t="inlineStr"/>
    </row>
    <row r="280">
      <c r="A280" s="37" t="n">
        <v>45089</v>
      </c>
      <c r="B280" s="37" t="n">
        <v>45089</v>
      </c>
      <c r="C280" s="38" t="n">
        <v>40</v>
      </c>
      <c r="D280" s="38" t="n">
        <v>0</v>
      </c>
      <c r="E280" s="38" t="inlineStr">
        <is>
          <t>Vendekin</t>
        </is>
      </c>
      <c r="F280" s="38" t="inlineStr">
        <is>
          <t>UPI Payment</t>
        </is>
      </c>
      <c r="G280" s="25" t="n">
        <v>0.55</v>
      </c>
      <c r="H280" s="38" t="inlineStr">
        <is>
          <t>Personal</t>
        </is>
      </c>
      <c r="I280" s="38" t="inlineStr">
        <is>
          <t>SBI 1227</t>
        </is>
      </c>
      <c r="J280" s="38" t="inlineStr"/>
      <c r="K280" s="38" t="inlineStr">
        <is>
          <t xml:space="preserve">   TO TRANSFER-UPI/DR/316351822248/Vendekin/ICIC/vendekin@i/UPI--</t>
        </is>
      </c>
      <c r="L280" s="38" t="inlineStr">
        <is>
          <t>State Bank of India</t>
        </is>
      </c>
      <c r="M280" s="38" t="inlineStr"/>
    </row>
    <row r="281">
      <c r="A281" s="37" t="n">
        <v>45089</v>
      </c>
      <c r="B281" s="37" t="n">
        <v>45089</v>
      </c>
      <c r="C281" s="38" t="n">
        <v>30</v>
      </c>
      <c r="D281" s="38" t="n">
        <v>0</v>
      </c>
      <c r="E281" s="38" t="inlineStr">
        <is>
          <t>Mr  Aada</t>
        </is>
      </c>
      <c r="F281" s="38" t="inlineStr">
        <is>
          <t>UPI Payment</t>
        </is>
      </c>
      <c r="G281" s="25" t="n">
        <v>0.55</v>
      </c>
      <c r="H281" s="38" t="inlineStr">
        <is>
          <t>Personal</t>
        </is>
      </c>
      <c r="I281" s="38" t="inlineStr">
        <is>
          <t>SBI 1227</t>
        </is>
      </c>
      <c r="J281" s="38" t="inlineStr"/>
      <c r="K281" s="38" t="inlineStr">
        <is>
          <t xml:space="preserve">   TO TRANSFER-UPI/DR/316351881817/Mr  AADA/YESB/q964606339/UPI--</t>
        </is>
      </c>
      <c r="L281" s="38" t="inlineStr">
        <is>
          <t>State Bank of India</t>
        </is>
      </c>
      <c r="M281" s="38" t="inlineStr"/>
    </row>
    <row r="282">
      <c r="A282" s="101" t="n">
        <v>45089</v>
      </c>
      <c r="B282" s="101" t="n">
        <v>45089</v>
      </c>
      <c r="C282" s="102" t="n">
        <v>0</v>
      </c>
      <c r="D282" s="102" t="n">
        <v>40</v>
      </c>
      <c r="E282" s="102" t="inlineStr"/>
      <c r="F282" s="102" t="inlineStr">
        <is>
          <t>Received - Vendekin</t>
        </is>
      </c>
      <c r="G282" s="25" t="n">
        <v>0.55</v>
      </c>
      <c r="H282" s="102" t="inlineStr">
        <is>
          <t>Personal</t>
        </is>
      </c>
      <c r="I282" s="102" t="inlineStr">
        <is>
          <t>SBI 1227</t>
        </is>
      </c>
      <c r="J282" s="102" t="inlineStr"/>
      <c r="K282" s="102" t="inlineStr">
        <is>
          <t xml:space="preserve">   BY TRANSFER-UPI/CR/316374839586/Vendekin/ICIC/vendekin@i/vende--</t>
        </is>
      </c>
      <c r="L282" s="102" t="inlineStr">
        <is>
          <t>State Bank of India</t>
        </is>
      </c>
      <c r="M282" s="102" t="inlineStr"/>
    </row>
    <row r="283">
      <c r="A283" s="41" t="n">
        <v>45090</v>
      </c>
      <c r="B283" s="41" t="n">
        <v>45090</v>
      </c>
      <c r="C283" s="42" t="n">
        <v>132.5</v>
      </c>
      <c r="D283" s="42" t="n">
        <v>0</v>
      </c>
      <c r="E283" s="42" t="inlineStr"/>
      <c r="F283" s="42" t="inlineStr">
        <is>
          <t>HDFC Securities - Buy</t>
        </is>
      </c>
      <c r="G283" s="18" t="n">
        <v>0.97</v>
      </c>
      <c r="H283" s="42" t="inlineStr">
        <is>
          <t>HDFC Securities</t>
        </is>
      </c>
      <c r="I283" s="42" t="inlineStr">
        <is>
          <t>HDFC 5413</t>
        </is>
      </c>
      <c r="J283" s="42" t="inlineStr"/>
      <c r="K283" s="42" t="inlineStr">
        <is>
          <t>NET PI TO HSL SEC A/C 2554606-00602340029427</t>
        </is>
      </c>
      <c r="L283" s="42" t="inlineStr">
        <is>
          <t>HDFC Bank</t>
        </is>
      </c>
      <c r="M283" s="42" t="inlineStr"/>
    </row>
    <row r="284">
      <c r="A284" s="54" t="n">
        <v>45090</v>
      </c>
      <c r="B284" s="54" t="n">
        <v>45090</v>
      </c>
      <c r="C284" s="55" t="n">
        <v>0</v>
      </c>
      <c r="D284" s="55" t="n">
        <v>538.99</v>
      </c>
      <c r="E284" s="55" t="inlineStr"/>
      <c r="F284" s="55" t="inlineStr">
        <is>
          <t>HDFC Securities - Sell</t>
        </is>
      </c>
      <c r="G284" s="18" t="n">
        <v>0.97</v>
      </c>
      <c r="H284" s="55" t="inlineStr">
        <is>
          <t>HDFC Securities</t>
        </is>
      </c>
      <c r="I284" s="55" t="inlineStr">
        <is>
          <t>HDFC 5413</t>
        </is>
      </c>
      <c r="J284" s="55" t="inlineStr"/>
      <c r="K284" s="55" t="inlineStr">
        <is>
          <t>NET PO FROM HSL A/C 2554606-00602340029427</t>
        </is>
      </c>
      <c r="L284" s="55" t="inlineStr">
        <is>
          <t>HDFC Bank</t>
        </is>
      </c>
      <c r="M284" s="55" t="inlineStr"/>
    </row>
    <row r="285">
      <c r="A285" s="37" t="n">
        <v>45090</v>
      </c>
      <c r="B285" s="37" t="n">
        <v>45090</v>
      </c>
      <c r="C285" s="38" t="n">
        <v>20</v>
      </c>
      <c r="D285" s="38" t="n">
        <v>0</v>
      </c>
      <c r="E285" s="38" t="inlineStr">
        <is>
          <t>Vendekin</t>
        </is>
      </c>
      <c r="F285" s="38" t="inlineStr">
        <is>
          <t>UPI Payment</t>
        </is>
      </c>
      <c r="G285" s="25" t="n">
        <v>0.55</v>
      </c>
      <c r="H285" s="38" t="inlineStr">
        <is>
          <t>Personal</t>
        </is>
      </c>
      <c r="I285" s="38" t="inlineStr">
        <is>
          <t>SBI 1227</t>
        </is>
      </c>
      <c r="J285" s="38" t="inlineStr"/>
      <c r="K285" s="38" t="inlineStr">
        <is>
          <t xml:space="preserve">   TO TRANSFER-UPI/DR/316463813881/Vendekin/ICIC/vendekin@i/UPI--</t>
        </is>
      </c>
      <c r="L285" s="38" t="inlineStr">
        <is>
          <t>State Bank of India</t>
        </is>
      </c>
      <c r="M285" s="38" t="inlineStr"/>
    </row>
    <row r="286">
      <c r="A286" s="37" t="n">
        <v>45090</v>
      </c>
      <c r="B286" s="37" t="n">
        <v>45090</v>
      </c>
      <c r="C286" s="38" t="n">
        <v>70</v>
      </c>
      <c r="D286" s="38" t="n">
        <v>0</v>
      </c>
      <c r="E286" s="38" t="inlineStr">
        <is>
          <t>Mr  Aada</t>
        </is>
      </c>
      <c r="F286" s="38" t="inlineStr">
        <is>
          <t>UPI Payment</t>
        </is>
      </c>
      <c r="G286" s="25" t="n">
        <v>0.55</v>
      </c>
      <c r="H286" s="38" t="inlineStr">
        <is>
          <t>Personal</t>
        </is>
      </c>
      <c r="I286" s="38" t="inlineStr">
        <is>
          <t>SBI 1227</t>
        </is>
      </c>
      <c r="J286" s="38" t="inlineStr"/>
      <c r="K286" s="38" t="inlineStr">
        <is>
          <t xml:space="preserve">   TO TRANSFER-UPI/DR/316486673464/Mr  AADA/YESB/q964606339/groce--</t>
        </is>
      </c>
      <c r="L286" s="38" t="inlineStr">
        <is>
          <t>State Bank of India</t>
        </is>
      </c>
      <c r="M286" s="38" t="inlineStr"/>
    </row>
    <row r="287">
      <c r="A287" s="37" t="n">
        <v>45091</v>
      </c>
      <c r="B287" s="37" t="n">
        <v>45091</v>
      </c>
      <c r="C287" s="38" t="n">
        <v>75</v>
      </c>
      <c r="D287" s="38" t="n">
        <v>0</v>
      </c>
      <c r="E287" s="38" t="inlineStr">
        <is>
          <t>Tajasvi</t>
        </is>
      </c>
      <c r="F287" s="38" t="inlineStr">
        <is>
          <t>UPI Payment</t>
        </is>
      </c>
      <c r="G287" s="25" t="n">
        <v>0.55</v>
      </c>
      <c r="H287" s="38" t="inlineStr">
        <is>
          <t>Personal</t>
        </is>
      </c>
      <c r="I287" s="38" t="inlineStr">
        <is>
          <t>SBI 1227</t>
        </is>
      </c>
      <c r="J287" s="38" t="inlineStr"/>
      <c r="K287" s="38" t="inlineStr">
        <is>
          <t xml:space="preserve">   TO TRANSFER-UPI/DR/316524431336/TAJASVI /SBIN/tejasvisin/UPI--</t>
        </is>
      </c>
      <c r="L287" s="38" t="inlineStr">
        <is>
          <t>State Bank of India</t>
        </is>
      </c>
      <c r="M287" s="38" t="inlineStr"/>
    </row>
    <row r="288">
      <c r="A288" s="101" t="n">
        <v>45091</v>
      </c>
      <c r="B288" s="101" t="n">
        <v>45091</v>
      </c>
      <c r="C288" s="102" t="n">
        <v>0</v>
      </c>
      <c r="D288" s="102" t="n">
        <v>100</v>
      </c>
      <c r="E288" s="102" t="inlineStr"/>
      <c r="F288" s="102" t="inlineStr">
        <is>
          <t>Received - Adarsh N</t>
        </is>
      </c>
      <c r="G288" s="25" t="n">
        <v>0.55</v>
      </c>
      <c r="H288" s="102" t="inlineStr">
        <is>
          <t>Personal</t>
        </is>
      </c>
      <c r="I288" s="102" t="inlineStr">
        <is>
          <t>SBI 1227</t>
        </is>
      </c>
      <c r="J288" s="102" t="inlineStr"/>
      <c r="K288" s="102" t="inlineStr">
        <is>
          <t xml:space="preserve">   BY TRANSFER-UPI/CR/316541102451/ADARSH N/HDFC/adusma02-1/UPI--</t>
        </is>
      </c>
      <c r="L288" s="102" t="inlineStr">
        <is>
          <t>State Bank of India</t>
        </is>
      </c>
      <c r="M288" s="102" t="inlineStr"/>
    </row>
    <row r="289">
      <c r="A289" s="35" t="n">
        <v>45091</v>
      </c>
      <c r="B289" s="35" t="n">
        <v>45091</v>
      </c>
      <c r="C289" s="36" t="n">
        <v>200</v>
      </c>
      <c r="D289" s="36" t="n">
        <v>0</v>
      </c>
      <c r="E289" s="36" t="inlineStr"/>
      <c r="F289" s="36" t="inlineStr">
        <is>
          <t>UPI - Paytm</t>
        </is>
      </c>
      <c r="G289" s="34" t="n">
        <v>0.65</v>
      </c>
      <c r="H289" s="36" t="inlineStr">
        <is>
          <t>Personal</t>
        </is>
      </c>
      <c r="I289" s="36" t="inlineStr">
        <is>
          <t>SBI 1227</t>
        </is>
      </c>
      <c r="J289" s="36" t="inlineStr"/>
      <c r="K289" s="36" t="inlineStr">
        <is>
          <t xml:space="preserve">   TO TRANSFER-UPI/DR/316521968604/MLML WINES/PYTM/paytmqr1tb/UPI--</t>
        </is>
      </c>
      <c r="L289" s="36" t="inlineStr">
        <is>
          <t>State Bank of India</t>
        </is>
      </c>
      <c r="M289" s="36" t="inlineStr"/>
    </row>
    <row r="290">
      <c r="A290" s="41" t="n">
        <v>45091</v>
      </c>
      <c r="B290" s="41" t="n">
        <v>45091</v>
      </c>
      <c r="C290" s="42" t="n">
        <v>137.7</v>
      </c>
      <c r="D290" s="42" t="n">
        <v>0</v>
      </c>
      <c r="E290" s="42" t="inlineStr"/>
      <c r="F290" s="42" t="inlineStr">
        <is>
          <t>HDFC Securities - Buy</t>
        </is>
      </c>
      <c r="G290" s="18" t="n">
        <v>0.97</v>
      </c>
      <c r="H290" s="42" t="inlineStr">
        <is>
          <t>HDFC Securities</t>
        </is>
      </c>
      <c r="I290" s="42" t="inlineStr">
        <is>
          <t>HDFC 5413</t>
        </is>
      </c>
      <c r="J290" s="42" t="inlineStr"/>
      <c r="K290" s="42" t="inlineStr">
        <is>
          <t>NET PI TO HSL SEC A/C 2554606-00602340029427</t>
        </is>
      </c>
      <c r="L290" s="42" t="inlineStr">
        <is>
          <t>HDFC Bank</t>
        </is>
      </c>
      <c r="M290" s="42" t="inlineStr"/>
    </row>
    <row r="291">
      <c r="A291" s="58" t="n">
        <v>45091</v>
      </c>
      <c r="B291" s="58" t="n">
        <v>45091</v>
      </c>
      <c r="C291" s="59" t="n">
        <v>3000</v>
      </c>
      <c r="D291" s="59" t="n">
        <v>0</v>
      </c>
      <c r="E291" s="59" t="inlineStr"/>
      <c r="F291" s="59" t="inlineStr">
        <is>
          <t>MF Investment</t>
        </is>
      </c>
      <c r="G291" s="18" t="n">
        <v>0.9</v>
      </c>
      <c r="H291" s="59" t="inlineStr">
        <is>
          <t>Investments</t>
        </is>
      </c>
      <c r="I291" s="59" t="inlineStr">
        <is>
          <t>HDFC 5413</t>
        </is>
      </c>
      <c r="J291" s="59" t="inlineStr"/>
      <c r="K291" s="59" t="inlineStr">
        <is>
          <t>NET PAYIN TO NSE MF A/C -00990610005906- FROM A/C -50100128155413- UCC -2554606-00990610005906</t>
        </is>
      </c>
      <c r="L291" s="59" t="inlineStr">
        <is>
          <t>HDFC Bank</t>
        </is>
      </c>
      <c r="M291" s="59" t="inlineStr"/>
    </row>
    <row r="292">
      <c r="A292" s="64" t="n">
        <v>45091</v>
      </c>
      <c r="B292" s="64" t="n">
        <v>45091</v>
      </c>
      <c r="C292" s="65" t="n">
        <v>0</v>
      </c>
      <c r="D292" s="65" t="n">
        <v>282.5</v>
      </c>
      <c r="E292" s="65" t="inlineStr"/>
      <c r="F292" s="65" t="inlineStr">
        <is>
          <t>Dividend Income</t>
        </is>
      </c>
      <c r="G292" s="18" t="n">
        <v>0.88</v>
      </c>
      <c r="H292" s="65" t="inlineStr">
        <is>
          <t>Dividend Income</t>
        </is>
      </c>
      <c r="I292" s="65" t="inlineStr">
        <is>
          <t>HDFC 5413</t>
        </is>
      </c>
      <c r="J292" s="65" t="inlineStr"/>
      <c r="K292" s="65" t="inlineStr">
        <is>
          <t>ACH C- STATE BANK OF INDIA-2207855</t>
        </is>
      </c>
      <c r="L292" s="65" t="inlineStr">
        <is>
          <t>HDFC Bank</t>
        </is>
      </c>
      <c r="M292" s="65" t="inlineStr"/>
    </row>
    <row r="293">
      <c r="A293" s="41" t="n">
        <v>45091</v>
      </c>
      <c r="B293" s="41" t="n">
        <v>45091</v>
      </c>
      <c r="C293" s="42" t="n">
        <v>521.11</v>
      </c>
      <c r="D293" s="42" t="n">
        <v>0</v>
      </c>
      <c r="E293" s="42" t="inlineStr"/>
      <c r="F293" s="42" t="inlineStr">
        <is>
          <t>HDFC Securities - Buy</t>
        </is>
      </c>
      <c r="G293" s="18" t="n">
        <v>0.97</v>
      </c>
      <c r="H293" s="42" t="inlineStr">
        <is>
          <t>HDFC Securities</t>
        </is>
      </c>
      <c r="I293" s="42" t="inlineStr">
        <is>
          <t>HDFC 5413</t>
        </is>
      </c>
      <c r="J293" s="42" t="inlineStr"/>
      <c r="K293" s="42" t="inlineStr">
        <is>
          <t>NET PI TO HSL SEC A/C 2554606-00602340029427</t>
        </is>
      </c>
      <c r="L293" s="42" t="inlineStr">
        <is>
          <t>HDFC Bank</t>
        </is>
      </c>
      <c r="M293" s="42" t="inlineStr"/>
    </row>
    <row r="294">
      <c r="A294" s="41" t="n">
        <v>45091</v>
      </c>
      <c r="B294" s="41" t="n">
        <v>45091</v>
      </c>
      <c r="C294" s="42" t="n">
        <v>265.45</v>
      </c>
      <c r="D294" s="42" t="n">
        <v>0</v>
      </c>
      <c r="E294" s="42" t="inlineStr"/>
      <c r="F294" s="42" t="inlineStr">
        <is>
          <t>HDFC Securities - Buy</t>
        </is>
      </c>
      <c r="G294" s="18" t="n">
        <v>0.97</v>
      </c>
      <c r="H294" s="42" t="inlineStr">
        <is>
          <t>HDFC Securities</t>
        </is>
      </c>
      <c r="I294" s="42" t="inlineStr">
        <is>
          <t>HDFC 5413</t>
        </is>
      </c>
      <c r="J294" s="42" t="inlineStr"/>
      <c r="K294" s="42" t="inlineStr">
        <is>
          <t>NET PI TO HSL SEC A/C 2554606-00602340029427</t>
        </is>
      </c>
      <c r="L294" s="42" t="inlineStr">
        <is>
          <t>HDFC Bank</t>
        </is>
      </c>
      <c r="M294" s="42" t="inlineStr"/>
    </row>
    <row r="295">
      <c r="A295" s="28" t="n">
        <v>45091</v>
      </c>
      <c r="B295" s="28" t="n">
        <v>45091</v>
      </c>
      <c r="C295" s="29" t="n">
        <v>6434</v>
      </c>
      <c r="D295" s="29" t="n">
        <v>0</v>
      </c>
      <c r="E295" s="29" t="inlineStr"/>
      <c r="F295" s="29" t="inlineStr">
        <is>
          <t>UPI - MakeMyTrip</t>
        </is>
      </c>
      <c r="G295" s="18" t="n">
        <v>0.88</v>
      </c>
      <c r="H295" s="29" t="inlineStr">
        <is>
          <t>Travel</t>
        </is>
      </c>
      <c r="I295" s="29" t="inlineStr">
        <is>
          <t>AXIS</t>
        </is>
      </c>
      <c r="J295" s="29" t="inlineStr"/>
      <c r="K295" s="29" t="inlineStr">
        <is>
          <t>ECOM PUR/MAKEMYTRIP IN/01126521471/140623/09:39</t>
        </is>
      </c>
      <c r="L295" s="29" t="inlineStr">
        <is>
          <t>Axis Bank</t>
        </is>
      </c>
      <c r="M295" s="29" t="inlineStr"/>
    </row>
    <row r="296">
      <c r="A296" s="101" t="n">
        <v>45091</v>
      </c>
      <c r="B296" s="101" t="n">
        <v>45091</v>
      </c>
      <c r="C296" s="102" t="n">
        <v>0</v>
      </c>
      <c r="D296" s="102" t="n">
        <v>6434</v>
      </c>
      <c r="E296" s="102" t="inlineStr"/>
      <c r="F296" s="102" t="inlineStr">
        <is>
          <t>Received - Monish K</t>
        </is>
      </c>
      <c r="G296" s="25" t="n">
        <v>0.55</v>
      </c>
      <c r="H296" s="102" t="inlineStr">
        <is>
          <t>Personal</t>
        </is>
      </c>
      <c r="I296" s="102" t="inlineStr">
        <is>
          <t>SBI 1227</t>
        </is>
      </c>
      <c r="J296" s="102" t="inlineStr"/>
      <c r="K296" s="102" t="inlineStr">
        <is>
          <t xml:space="preserve">   BY TRANSFER-UPI/CR/316567060362/MONISH K/ICIC/8296488092/Payme--</t>
        </is>
      </c>
      <c r="L296" s="102" t="inlineStr">
        <is>
          <t>State Bank of India</t>
        </is>
      </c>
      <c r="M296" s="102" t="inlineStr"/>
    </row>
    <row r="297">
      <c r="A297" s="41" t="n">
        <v>45092</v>
      </c>
      <c r="B297" s="41" t="n">
        <v>45092</v>
      </c>
      <c r="C297" s="42" t="n">
        <v>1804.9</v>
      </c>
      <c r="D297" s="42" t="n">
        <v>0</v>
      </c>
      <c r="E297" s="42" t="inlineStr"/>
      <c r="F297" s="42" t="inlineStr">
        <is>
          <t>HDFC Securities - Buy</t>
        </is>
      </c>
      <c r="G297" s="18" t="n">
        <v>0.97</v>
      </c>
      <c r="H297" s="42" t="inlineStr">
        <is>
          <t>HDFC Securities</t>
        </is>
      </c>
      <c r="I297" s="42" t="inlineStr">
        <is>
          <t>HDFC 5413</t>
        </is>
      </c>
      <c r="J297" s="42" t="inlineStr"/>
      <c r="K297" s="42" t="inlineStr">
        <is>
          <t>NET PI TO HSL SEC A/C 2554606-00602340029427</t>
        </is>
      </c>
      <c r="L297" s="42" t="inlineStr">
        <is>
          <t>HDFC Bank</t>
        </is>
      </c>
      <c r="M297" s="42" t="inlineStr"/>
    </row>
    <row r="298">
      <c r="A298" s="54" t="n">
        <v>45092</v>
      </c>
      <c r="B298" s="54" t="n">
        <v>45091</v>
      </c>
      <c r="C298" s="55" t="n">
        <v>0</v>
      </c>
      <c r="D298" s="55" t="n">
        <v>265.45</v>
      </c>
      <c r="E298" s="55" t="inlineStr"/>
      <c r="F298" s="55" t="inlineStr">
        <is>
          <t>HDFC Securities - Sell</t>
        </is>
      </c>
      <c r="G298" s="18" t="n">
        <v>0.97</v>
      </c>
      <c r="H298" s="55" t="inlineStr">
        <is>
          <t>HDFC Securities</t>
        </is>
      </c>
      <c r="I298" s="55" t="inlineStr">
        <is>
          <t>HDFC 5413</t>
        </is>
      </c>
      <c r="J298" s="55" t="inlineStr"/>
      <c r="K298" s="55" t="inlineStr">
        <is>
          <t>NET PO FROM HSL A/C 2554606-00602340029427</t>
        </is>
      </c>
      <c r="L298" s="55" t="inlineStr">
        <is>
          <t>HDFC Bank</t>
        </is>
      </c>
      <c r="M298" s="55" t="inlineStr"/>
    </row>
    <row r="299">
      <c r="A299" s="58" t="n">
        <v>45092</v>
      </c>
      <c r="B299" s="58" t="n">
        <v>45092</v>
      </c>
      <c r="C299" s="59" t="n">
        <v>2500</v>
      </c>
      <c r="D299" s="59" t="n">
        <v>0</v>
      </c>
      <c r="E299" s="59" t="inlineStr"/>
      <c r="F299" s="59" t="inlineStr">
        <is>
          <t>MF Investment</t>
        </is>
      </c>
      <c r="G299" s="18" t="n">
        <v>0.9</v>
      </c>
      <c r="H299" s="59" t="inlineStr">
        <is>
          <t>Investments</t>
        </is>
      </c>
      <c r="I299" s="59" t="inlineStr">
        <is>
          <t>HDFC 5413</t>
        </is>
      </c>
      <c r="J299" s="59" t="inlineStr"/>
      <c r="K299" s="59" t="inlineStr">
        <is>
          <t>NET PAYIN TO BSE MF A/C -57500000389146- FROM A/C -50100128155413- UCC -2554606-57500000389146</t>
        </is>
      </c>
      <c r="L299" s="59" t="inlineStr">
        <is>
          <t>HDFC Bank</t>
        </is>
      </c>
      <c r="M299" s="59" t="inlineStr"/>
    </row>
    <row r="300">
      <c r="A300" s="41" t="n">
        <v>45092</v>
      </c>
      <c r="B300" s="41" t="n">
        <v>45092</v>
      </c>
      <c r="C300" s="42" t="n">
        <v>137.44</v>
      </c>
      <c r="D300" s="42" t="n">
        <v>0</v>
      </c>
      <c r="E300" s="42" t="inlineStr"/>
      <c r="F300" s="42" t="inlineStr">
        <is>
          <t>HDFC Securities - Buy</t>
        </is>
      </c>
      <c r="G300" s="18" t="n">
        <v>0.97</v>
      </c>
      <c r="H300" s="42" t="inlineStr">
        <is>
          <t>HDFC Securities</t>
        </is>
      </c>
      <c r="I300" s="42" t="inlineStr">
        <is>
          <t>HDFC 5413</t>
        </is>
      </c>
      <c r="J300" s="42" t="inlineStr"/>
      <c r="K300" s="42" t="inlineStr">
        <is>
          <t>NET PI TO HSL SEC A/C 2554606-00602340029427</t>
        </is>
      </c>
      <c r="L300" s="42" t="inlineStr">
        <is>
          <t>HDFC Bank</t>
        </is>
      </c>
      <c r="M300" s="42" t="inlineStr"/>
    </row>
    <row r="301">
      <c r="A301" s="56" t="n">
        <v>45093</v>
      </c>
      <c r="B301" s="56" t="n">
        <v>45093</v>
      </c>
      <c r="C301" s="57" t="n">
        <v>495.6</v>
      </c>
      <c r="D301" s="57" t="n">
        <v>0</v>
      </c>
      <c r="E301" s="57" t="inlineStr"/>
      <c r="F301" s="57" t="inlineStr">
        <is>
          <t>Depository Charges</t>
        </is>
      </c>
      <c r="G301" s="18" t="n">
        <v>0.93</v>
      </c>
      <c r="H301" s="57" t="inlineStr">
        <is>
          <t>Depository Charges</t>
        </is>
      </c>
      <c r="I301" s="57" t="inlineStr">
        <is>
          <t>HDFC 5413</t>
        </is>
      </c>
      <c r="J301" s="57" t="inlineStr"/>
      <c r="K301" s="57" t="inlineStr">
        <is>
          <t>DEPOSITORY CHARGES MAY23 - 52812428</t>
        </is>
      </c>
      <c r="L301" s="57" t="inlineStr">
        <is>
          <t>HDFC Bank</t>
        </is>
      </c>
      <c r="M301" s="57" t="inlineStr"/>
    </row>
    <row r="302">
      <c r="A302" s="41" t="n">
        <v>45093</v>
      </c>
      <c r="B302" s="41" t="n">
        <v>45093</v>
      </c>
      <c r="C302" s="42" t="n">
        <v>136.55</v>
      </c>
      <c r="D302" s="42" t="n">
        <v>0</v>
      </c>
      <c r="E302" s="42" t="inlineStr"/>
      <c r="F302" s="42" t="inlineStr">
        <is>
          <t>HDFC Securities - Buy</t>
        </is>
      </c>
      <c r="G302" s="18" t="n">
        <v>0.97</v>
      </c>
      <c r="H302" s="42" t="inlineStr">
        <is>
          <t>HDFC Securities</t>
        </is>
      </c>
      <c r="I302" s="42" t="inlineStr">
        <is>
          <t>HDFC 5413</t>
        </is>
      </c>
      <c r="J302" s="42" t="inlineStr"/>
      <c r="K302" s="42" t="inlineStr">
        <is>
          <t>NET PI TO HSL SEC A/C 2554606-00602340029427</t>
        </is>
      </c>
      <c r="L302" s="42" t="inlineStr">
        <is>
          <t>HDFC Bank</t>
        </is>
      </c>
      <c r="M302" s="42" t="inlineStr"/>
    </row>
    <row r="303">
      <c r="A303" s="37" t="n">
        <v>45093</v>
      </c>
      <c r="B303" s="37" t="n">
        <v>45093</v>
      </c>
      <c r="C303" s="38" t="n">
        <v>40</v>
      </c>
      <c r="D303" s="38" t="n">
        <v>0</v>
      </c>
      <c r="E303" s="38" t="inlineStr">
        <is>
          <t>Vendekin</t>
        </is>
      </c>
      <c r="F303" s="38" t="inlineStr">
        <is>
          <t>UPI Payment</t>
        </is>
      </c>
      <c r="G303" s="25" t="n">
        <v>0.55</v>
      </c>
      <c r="H303" s="38" t="inlineStr">
        <is>
          <t>Personal</t>
        </is>
      </c>
      <c r="I303" s="38" t="inlineStr">
        <is>
          <t>SBI 1227</t>
        </is>
      </c>
      <c r="J303" s="38" t="inlineStr"/>
      <c r="K303" s="38" t="inlineStr">
        <is>
          <t xml:space="preserve">   TO TRANSFER-UPI/DR/316703476731/Vendekin/ICIC/vendekin@i/UPI--</t>
        </is>
      </c>
      <c r="L303" s="38" t="inlineStr">
        <is>
          <t>State Bank of India</t>
        </is>
      </c>
      <c r="M303" s="38" t="inlineStr"/>
    </row>
    <row r="304">
      <c r="A304" s="64" t="n">
        <v>45093</v>
      </c>
      <c r="B304" s="64" t="n">
        <v>45093</v>
      </c>
      <c r="C304" s="65" t="n">
        <v>0</v>
      </c>
      <c r="D304" s="65" t="n">
        <v>100</v>
      </c>
      <c r="E304" s="65" t="inlineStr"/>
      <c r="F304" s="65" t="inlineStr">
        <is>
          <t>Dividend Income</t>
        </is>
      </c>
      <c r="G304" s="18" t="n">
        <v>0.88</v>
      </c>
      <c r="H304" s="65" t="inlineStr">
        <is>
          <t>Dividend Income</t>
        </is>
      </c>
      <c r="I304" s="65" t="inlineStr">
        <is>
          <t>HDFC 5413</t>
        </is>
      </c>
      <c r="J304" s="65" t="inlineStr"/>
      <c r="K304" s="65" t="inlineStr">
        <is>
          <t>ACH C- IIL FINAL 2022 23-114305</t>
        </is>
      </c>
      <c r="L304" s="65" t="inlineStr">
        <is>
          <t>HDFC Bank</t>
        </is>
      </c>
      <c r="M304" s="65" t="inlineStr"/>
    </row>
    <row r="305">
      <c r="A305" s="97" t="n">
        <v>45094</v>
      </c>
      <c r="B305" s="97" t="n">
        <v>45094</v>
      </c>
      <c r="C305" s="98" t="n">
        <v>180</v>
      </c>
      <c r="D305" s="98" t="n">
        <v>0</v>
      </c>
      <c r="E305" s="98" t="inlineStr"/>
      <c r="F305" s="98" t="inlineStr">
        <is>
          <t>UPI - Swiggy</t>
        </is>
      </c>
      <c r="G305" s="34" t="n">
        <v>0.68</v>
      </c>
      <c r="H305" s="98" t="inlineStr">
        <is>
          <t>Food &amp; Dining</t>
        </is>
      </c>
      <c r="I305" s="98" t="inlineStr">
        <is>
          <t>SBI 1227</t>
        </is>
      </c>
      <c r="J305" s="98" t="inlineStr"/>
      <c r="K305" s="98" t="inlineStr">
        <is>
          <t xml:space="preserve">   TO TRANSFER-UPI/DR/316882168944/SWIGGY/YESB/swiggy@yes/Debit M--</t>
        </is>
      </c>
      <c r="L305" s="98" t="inlineStr">
        <is>
          <t>State Bank of India</t>
        </is>
      </c>
      <c r="M305" s="98" t="inlineStr"/>
    </row>
    <row r="306">
      <c r="A306" s="37" t="n">
        <v>45094</v>
      </c>
      <c r="B306" s="37" t="n">
        <v>45094</v>
      </c>
      <c r="C306" s="38" t="n">
        <v>10</v>
      </c>
      <c r="D306" s="38" t="n">
        <v>0</v>
      </c>
      <c r="E306" s="38" t="inlineStr">
        <is>
          <t>Mr  Aada</t>
        </is>
      </c>
      <c r="F306" s="38" t="inlineStr">
        <is>
          <t>UPI Payment</t>
        </is>
      </c>
      <c r="G306" s="25" t="n">
        <v>0.55</v>
      </c>
      <c r="H306" s="38" t="inlineStr">
        <is>
          <t>Personal</t>
        </is>
      </c>
      <c r="I306" s="38" t="inlineStr">
        <is>
          <t>SBI 1227</t>
        </is>
      </c>
      <c r="J306" s="38" t="inlineStr"/>
      <c r="K306" s="38" t="inlineStr">
        <is>
          <t xml:space="preserve">   TO TRANSFER-UPI/DR/316823119553/Mr  AADA/YESB/q964606339/UPI--</t>
        </is>
      </c>
      <c r="L306" s="38" t="inlineStr">
        <is>
          <t>State Bank of India</t>
        </is>
      </c>
      <c r="M306" s="38" t="inlineStr"/>
    </row>
    <row r="307">
      <c r="A307" s="41" t="n">
        <v>45094</v>
      </c>
      <c r="B307" s="41" t="n">
        <v>45094</v>
      </c>
      <c r="C307" s="42" t="n">
        <v>2168.38</v>
      </c>
      <c r="D307" s="42" t="n">
        <v>0</v>
      </c>
      <c r="E307" s="42" t="inlineStr"/>
      <c r="F307" s="42" t="inlineStr">
        <is>
          <t>HDFC Securities - Buy</t>
        </is>
      </c>
      <c r="G307" s="18" t="n">
        <v>0.97</v>
      </c>
      <c r="H307" s="42" t="inlineStr">
        <is>
          <t>HDFC Securities</t>
        </is>
      </c>
      <c r="I307" s="42" t="inlineStr">
        <is>
          <t>HDFC 5413</t>
        </is>
      </c>
      <c r="J307" s="42" t="inlineStr"/>
      <c r="K307" s="42" t="inlineStr">
        <is>
          <t>NET PI TO HSL SEC A/C 2554606-00602340029427</t>
        </is>
      </c>
      <c r="L307" s="42" t="inlineStr">
        <is>
          <t>HDFC Bank</t>
        </is>
      </c>
      <c r="M307" s="42" t="inlineStr"/>
    </row>
    <row r="308">
      <c r="A308" s="41" t="n">
        <v>45094</v>
      </c>
      <c r="B308" s="41" t="n">
        <v>45094</v>
      </c>
      <c r="C308" s="42" t="n">
        <v>7695.07</v>
      </c>
      <c r="D308" s="42" t="n">
        <v>0</v>
      </c>
      <c r="E308" s="42" t="inlineStr"/>
      <c r="F308" s="42" t="inlineStr">
        <is>
          <t>HDFC Securities - Buy</t>
        </is>
      </c>
      <c r="G308" s="18" t="n">
        <v>0.97</v>
      </c>
      <c r="H308" s="42" t="inlineStr">
        <is>
          <t>HDFC Securities</t>
        </is>
      </c>
      <c r="I308" s="42" t="inlineStr">
        <is>
          <t>HDFC 5413</t>
        </is>
      </c>
      <c r="J308" s="42" t="inlineStr"/>
      <c r="K308" s="42" t="inlineStr">
        <is>
          <t>NET PI TO HSL SEC A/C 2554606-00602340029427</t>
        </is>
      </c>
      <c r="L308" s="42" t="inlineStr">
        <is>
          <t>HDFC Bank</t>
        </is>
      </c>
      <c r="M308" s="42" t="inlineStr"/>
    </row>
    <row r="309">
      <c r="A309" s="54" t="n">
        <v>45094</v>
      </c>
      <c r="B309" s="54" t="n">
        <v>45093</v>
      </c>
      <c r="C309" s="55" t="n">
        <v>0</v>
      </c>
      <c r="D309" s="55" t="n">
        <v>2168.38</v>
      </c>
      <c r="E309" s="55" t="inlineStr"/>
      <c r="F309" s="55" t="inlineStr">
        <is>
          <t>HDFC Securities - Sell</t>
        </is>
      </c>
      <c r="G309" s="18" t="n">
        <v>0.97</v>
      </c>
      <c r="H309" s="55" t="inlineStr">
        <is>
          <t>HDFC Securities</t>
        </is>
      </c>
      <c r="I309" s="55" t="inlineStr">
        <is>
          <t>HDFC 5413</t>
        </is>
      </c>
      <c r="J309" s="55" t="inlineStr"/>
      <c r="K309" s="55" t="inlineStr">
        <is>
          <t>NET PO FROM HSL A/C 2554606-00602340029427</t>
        </is>
      </c>
      <c r="L309" s="55" t="inlineStr">
        <is>
          <t>HDFC Bank</t>
        </is>
      </c>
      <c r="M309" s="55" t="inlineStr"/>
    </row>
    <row r="310">
      <c r="A310" s="35" t="n">
        <v>45095</v>
      </c>
      <c r="B310" s="35" t="n">
        <v>45095</v>
      </c>
      <c r="C310" s="36" t="n">
        <v>455</v>
      </c>
      <c r="D310" s="36" t="n">
        <v>0</v>
      </c>
      <c r="E310" s="36" t="inlineStr"/>
      <c r="F310" s="36" t="inlineStr">
        <is>
          <t>UPI - Paytm</t>
        </is>
      </c>
      <c r="G310" s="34" t="n">
        <v>0.65</v>
      </c>
      <c r="H310" s="36" t="inlineStr">
        <is>
          <t>Personal</t>
        </is>
      </c>
      <c r="I310" s="36" t="inlineStr">
        <is>
          <t>SBI 1227</t>
        </is>
      </c>
      <c r="J310" s="36" t="inlineStr"/>
      <c r="K310" s="36" t="inlineStr">
        <is>
          <t xml:space="preserve">   TO TRANSFER-UPI/DR/316976440157/Airtel/PYTM/paytm-6879/Airtel--</t>
        </is>
      </c>
      <c r="L310" s="36" t="inlineStr">
        <is>
          <t>State Bank of India</t>
        </is>
      </c>
      <c r="M310" s="36" t="inlineStr"/>
    </row>
    <row r="311">
      <c r="A311" s="37" t="n">
        <v>45095</v>
      </c>
      <c r="B311" s="37" t="n">
        <v>45095</v>
      </c>
      <c r="C311" s="38" t="n">
        <v>80</v>
      </c>
      <c r="D311" s="38" t="n">
        <v>0</v>
      </c>
      <c r="E311" s="38" t="inlineStr">
        <is>
          <t>Banana L</t>
        </is>
      </c>
      <c r="F311" s="38" t="inlineStr">
        <is>
          <t>UPI Payment</t>
        </is>
      </c>
      <c r="G311" s="25" t="n">
        <v>0.55</v>
      </c>
      <c r="H311" s="38" t="inlineStr">
        <is>
          <t>Personal</t>
        </is>
      </c>
      <c r="I311" s="38" t="inlineStr">
        <is>
          <t>SBI 1227</t>
        </is>
      </c>
      <c r="J311" s="38" t="inlineStr"/>
      <c r="K311" s="38" t="inlineStr">
        <is>
          <t xml:space="preserve">   TO TRANSFER-UPI/DR/316980693155/BANANA L/HDFC/bananaleaf/UPI--</t>
        </is>
      </c>
      <c r="L311" s="38" t="inlineStr">
        <is>
          <t>State Bank of India</t>
        </is>
      </c>
      <c r="M311" s="38" t="inlineStr"/>
    </row>
    <row r="312">
      <c r="A312" s="37" t="n">
        <v>45095</v>
      </c>
      <c r="B312" s="37" t="n">
        <v>45095</v>
      </c>
      <c r="C312" s="38" t="n">
        <v>40</v>
      </c>
      <c r="D312" s="38" t="n">
        <v>0</v>
      </c>
      <c r="E312" s="38" t="inlineStr">
        <is>
          <t>Mr  Aada</t>
        </is>
      </c>
      <c r="F312" s="38" t="inlineStr">
        <is>
          <t>UPI Payment</t>
        </is>
      </c>
      <c r="G312" s="25" t="n">
        <v>0.55</v>
      </c>
      <c r="H312" s="38" t="inlineStr">
        <is>
          <t>Personal</t>
        </is>
      </c>
      <c r="I312" s="38" t="inlineStr">
        <is>
          <t>SBI 1227</t>
        </is>
      </c>
      <c r="J312" s="38" t="inlineStr"/>
      <c r="K312" s="38" t="inlineStr">
        <is>
          <t xml:space="preserve">   TO TRANSFER-UPI/DR/316982751716/Mr  AADA/YESB/q739730170/UPI--</t>
        </is>
      </c>
      <c r="L312" s="38" t="inlineStr">
        <is>
          <t>State Bank of India</t>
        </is>
      </c>
      <c r="M312" s="38" t="inlineStr"/>
    </row>
    <row r="313">
      <c r="A313" s="41" t="n">
        <v>45096</v>
      </c>
      <c r="B313" s="41" t="n">
        <v>45096</v>
      </c>
      <c r="C313" s="42" t="n">
        <v>398.25</v>
      </c>
      <c r="D313" s="42" t="n">
        <v>0</v>
      </c>
      <c r="E313" s="42" t="inlineStr"/>
      <c r="F313" s="42" t="inlineStr">
        <is>
          <t>HDFC Securities - Buy</t>
        </is>
      </c>
      <c r="G313" s="18" t="n">
        <v>0.97</v>
      </c>
      <c r="H313" s="42" t="inlineStr">
        <is>
          <t>HDFC Securities</t>
        </is>
      </c>
      <c r="I313" s="42" t="inlineStr">
        <is>
          <t>HDFC 5413</t>
        </is>
      </c>
      <c r="J313" s="42" t="inlineStr"/>
      <c r="K313" s="42" t="inlineStr">
        <is>
          <t>NET PI TO HSL SEC A/C 2554606-00602340029427</t>
        </is>
      </c>
      <c r="L313" s="42" t="inlineStr">
        <is>
          <t>HDFC Bank</t>
        </is>
      </c>
      <c r="M313" s="42" t="inlineStr"/>
    </row>
    <row r="314">
      <c r="A314" s="41" t="n">
        <v>45096</v>
      </c>
      <c r="B314" s="41" t="n">
        <v>45096</v>
      </c>
      <c r="C314" s="42" t="n">
        <v>2160.91</v>
      </c>
      <c r="D314" s="42" t="n">
        <v>0</v>
      </c>
      <c r="E314" s="42" t="inlineStr"/>
      <c r="F314" s="42" t="inlineStr">
        <is>
          <t>HDFC Securities - Buy</t>
        </is>
      </c>
      <c r="G314" s="18" t="n">
        <v>0.97</v>
      </c>
      <c r="H314" s="42" t="inlineStr">
        <is>
          <t>HDFC Securities</t>
        </is>
      </c>
      <c r="I314" s="42" t="inlineStr">
        <is>
          <t>HDFC 5413</t>
        </is>
      </c>
      <c r="J314" s="42" t="inlineStr"/>
      <c r="K314" s="42" t="inlineStr">
        <is>
          <t>NET PI TO HSL SEC A/C 2554606-00602340029427</t>
        </is>
      </c>
      <c r="L314" s="42" t="inlineStr">
        <is>
          <t>HDFC Bank</t>
        </is>
      </c>
      <c r="M314" s="42" t="inlineStr"/>
    </row>
    <row r="315">
      <c r="A315" s="41" t="n">
        <v>45096</v>
      </c>
      <c r="B315" s="41" t="n">
        <v>45096</v>
      </c>
      <c r="C315" s="42" t="n">
        <v>635.09</v>
      </c>
      <c r="D315" s="42" t="n">
        <v>0</v>
      </c>
      <c r="E315" s="42" t="inlineStr"/>
      <c r="F315" s="42" t="inlineStr">
        <is>
          <t>HDFC Securities - Buy</t>
        </is>
      </c>
      <c r="G315" s="18" t="n">
        <v>0.97</v>
      </c>
      <c r="H315" s="42" t="inlineStr">
        <is>
          <t>HDFC Securities</t>
        </is>
      </c>
      <c r="I315" s="42" t="inlineStr">
        <is>
          <t>HDFC 5413</t>
        </is>
      </c>
      <c r="J315" s="42" t="inlineStr"/>
      <c r="K315" s="42" t="inlineStr">
        <is>
          <t>NET PI TO HSL SEC A/C 2554606-00602340029427</t>
        </is>
      </c>
      <c r="L315" s="42" t="inlineStr">
        <is>
          <t>HDFC Bank</t>
        </is>
      </c>
      <c r="M315" s="42" t="inlineStr"/>
    </row>
    <row r="316">
      <c r="A316" s="54" t="n">
        <v>45096</v>
      </c>
      <c r="B316" s="54" t="n">
        <v>45096</v>
      </c>
      <c r="C316" s="55" t="n">
        <v>0</v>
      </c>
      <c r="D316" s="55" t="n">
        <v>635.09</v>
      </c>
      <c r="E316" s="55" t="inlineStr"/>
      <c r="F316" s="55" t="inlineStr">
        <is>
          <t>HDFC Securities - Sell</t>
        </is>
      </c>
      <c r="G316" s="18" t="n">
        <v>0.97</v>
      </c>
      <c r="H316" s="55" t="inlineStr">
        <is>
          <t>HDFC Securities</t>
        </is>
      </c>
      <c r="I316" s="55" t="inlineStr">
        <is>
          <t>HDFC 5413</t>
        </is>
      </c>
      <c r="J316" s="55" t="inlineStr"/>
      <c r="K316" s="55" t="inlineStr">
        <is>
          <t>NET PO FROM HSL A/C 2554606-00602340029427</t>
        </is>
      </c>
      <c r="L316" s="55" t="inlineStr">
        <is>
          <t>HDFC Bank</t>
        </is>
      </c>
      <c r="M316" s="55" t="inlineStr"/>
    </row>
    <row r="317">
      <c r="A317" s="37" t="n">
        <v>45096</v>
      </c>
      <c r="B317" s="37" t="n">
        <v>45096</v>
      </c>
      <c r="C317" s="38" t="n">
        <v>40</v>
      </c>
      <c r="D317" s="38" t="n">
        <v>0</v>
      </c>
      <c r="E317" s="38" t="inlineStr">
        <is>
          <t>Mr  Aada</t>
        </is>
      </c>
      <c r="F317" s="38" t="inlineStr">
        <is>
          <t>UPI Payment</t>
        </is>
      </c>
      <c r="G317" s="25" t="n">
        <v>0.55</v>
      </c>
      <c r="H317" s="38" t="inlineStr">
        <is>
          <t>Personal</t>
        </is>
      </c>
      <c r="I317" s="38" t="inlineStr">
        <is>
          <t>SBI 1227</t>
        </is>
      </c>
      <c r="J317" s="38" t="inlineStr"/>
      <c r="K317" s="38" t="inlineStr">
        <is>
          <t xml:space="preserve">   TO TRANSFER-UPI/DR/317016348442/Mr  AADA/YESB/q739730170/UPI--</t>
        </is>
      </c>
      <c r="L317" s="38" t="inlineStr">
        <is>
          <t>State Bank of India</t>
        </is>
      </c>
      <c r="M317" s="38" t="inlineStr"/>
    </row>
    <row r="318">
      <c r="A318" s="37" t="n">
        <v>45096</v>
      </c>
      <c r="B318" s="37" t="n">
        <v>45096</v>
      </c>
      <c r="C318" s="38" t="n">
        <v>30</v>
      </c>
      <c r="D318" s="38" t="n">
        <v>0</v>
      </c>
      <c r="E318" s="38" t="inlineStr">
        <is>
          <t>Mr  Aada</t>
        </is>
      </c>
      <c r="F318" s="38" t="inlineStr">
        <is>
          <t>UPI Payment</t>
        </is>
      </c>
      <c r="G318" s="25" t="n">
        <v>0.55</v>
      </c>
      <c r="H318" s="38" t="inlineStr">
        <is>
          <t>Personal</t>
        </is>
      </c>
      <c r="I318" s="38" t="inlineStr">
        <is>
          <t>SBI 1227</t>
        </is>
      </c>
      <c r="J318" s="38" t="inlineStr"/>
      <c r="K318" s="38" t="inlineStr">
        <is>
          <t xml:space="preserve">   TO TRANSFER-UPI/DR/317020952524/Mr  AADA/YESB/q964606339/groce--</t>
        </is>
      </c>
      <c r="L318" s="38" t="inlineStr">
        <is>
          <t>State Bank of India</t>
        </is>
      </c>
      <c r="M318" s="38" t="inlineStr"/>
    </row>
    <row r="319">
      <c r="A319" s="54" t="n">
        <v>45097</v>
      </c>
      <c r="B319" s="54" t="n">
        <v>45097</v>
      </c>
      <c r="C319" s="55" t="n">
        <v>0</v>
      </c>
      <c r="D319" s="55" t="n">
        <v>2800.79</v>
      </c>
      <c r="E319" s="55" t="inlineStr"/>
      <c r="F319" s="55" t="inlineStr">
        <is>
          <t>HDFC Securities - Sell</t>
        </is>
      </c>
      <c r="G319" s="18" t="n">
        <v>0.97</v>
      </c>
      <c r="H319" s="55" t="inlineStr">
        <is>
          <t>HDFC Securities</t>
        </is>
      </c>
      <c r="I319" s="55" t="inlineStr">
        <is>
          <t>HDFC 5413</t>
        </is>
      </c>
      <c r="J319" s="55" t="inlineStr"/>
      <c r="K319" s="55" t="inlineStr">
        <is>
          <t>NET PO FROM HSL A/C 2554606-00602340029427</t>
        </is>
      </c>
      <c r="L319" s="55" t="inlineStr">
        <is>
          <t>HDFC Bank</t>
        </is>
      </c>
      <c r="M319" s="55" t="inlineStr"/>
    </row>
    <row r="320">
      <c r="A320" s="41" t="n">
        <v>45097</v>
      </c>
      <c r="B320" s="41" t="n">
        <v>45097</v>
      </c>
      <c r="C320" s="42" t="n">
        <v>136.41</v>
      </c>
      <c r="D320" s="42" t="n">
        <v>0</v>
      </c>
      <c r="E320" s="42" t="inlineStr"/>
      <c r="F320" s="42" t="inlineStr">
        <is>
          <t>HDFC Securities - Buy</t>
        </is>
      </c>
      <c r="G320" s="18" t="n">
        <v>0.97</v>
      </c>
      <c r="H320" s="42" t="inlineStr">
        <is>
          <t>HDFC Securities</t>
        </is>
      </c>
      <c r="I320" s="42" t="inlineStr">
        <is>
          <t>HDFC 5413</t>
        </is>
      </c>
      <c r="J320" s="42" t="inlineStr"/>
      <c r="K320" s="42" t="inlineStr">
        <is>
          <t>NET PI TO HSL SEC A/C 2554606-00602340029427</t>
        </is>
      </c>
      <c r="L320" s="42" t="inlineStr">
        <is>
          <t>HDFC Bank</t>
        </is>
      </c>
      <c r="M320" s="42" t="inlineStr"/>
    </row>
    <row r="321">
      <c r="A321" s="41" t="n">
        <v>45097</v>
      </c>
      <c r="B321" s="41" t="n">
        <v>45097</v>
      </c>
      <c r="C321" s="42" t="n">
        <v>2800.79</v>
      </c>
      <c r="D321" s="42" t="n">
        <v>0</v>
      </c>
      <c r="E321" s="42" t="inlineStr"/>
      <c r="F321" s="42" t="inlineStr">
        <is>
          <t>HDFC Securities - Buy</t>
        </is>
      </c>
      <c r="G321" s="18" t="n">
        <v>0.97</v>
      </c>
      <c r="H321" s="42" t="inlineStr">
        <is>
          <t>HDFC Securities</t>
        </is>
      </c>
      <c r="I321" s="42" t="inlineStr">
        <is>
          <t>HDFC 5413</t>
        </is>
      </c>
      <c r="J321" s="42" t="inlineStr"/>
      <c r="K321" s="42" t="inlineStr">
        <is>
          <t>NET PI TO HSL SEC A/C 2554606-00602340029427</t>
        </is>
      </c>
      <c r="L321" s="42" t="inlineStr">
        <is>
          <t>HDFC Bank</t>
        </is>
      </c>
      <c r="M321" s="42" t="inlineStr"/>
    </row>
    <row r="322">
      <c r="A322" s="41" t="n">
        <v>45097</v>
      </c>
      <c r="B322" s="41" t="n">
        <v>45097</v>
      </c>
      <c r="C322" s="42" t="n">
        <v>12062.8</v>
      </c>
      <c r="D322" s="42" t="n">
        <v>0</v>
      </c>
      <c r="E322" s="42" t="inlineStr"/>
      <c r="F322" s="42" t="inlineStr">
        <is>
          <t>HDFC Securities - Buy</t>
        </is>
      </c>
      <c r="G322" s="18" t="n">
        <v>0.97</v>
      </c>
      <c r="H322" s="42" t="inlineStr">
        <is>
          <t>HDFC Securities</t>
        </is>
      </c>
      <c r="I322" s="42" t="inlineStr">
        <is>
          <t>HDFC 5413</t>
        </is>
      </c>
      <c r="J322" s="42" t="inlineStr"/>
      <c r="K322" s="42" t="inlineStr">
        <is>
          <t>NET PI TO HSL SEC A/C 2554606-00602340029427</t>
        </is>
      </c>
      <c r="L322" s="42" t="inlineStr">
        <is>
          <t>HDFC Bank</t>
        </is>
      </c>
      <c r="M322" s="42" t="inlineStr"/>
    </row>
    <row r="323">
      <c r="A323" s="37" t="n">
        <v>45098</v>
      </c>
      <c r="B323" s="37" t="n">
        <v>45098</v>
      </c>
      <c r="C323" s="38" t="n">
        <v>30</v>
      </c>
      <c r="D323" s="38" t="n">
        <v>0</v>
      </c>
      <c r="E323" s="38" t="inlineStr">
        <is>
          <t>Mr  Aada</t>
        </is>
      </c>
      <c r="F323" s="38" t="inlineStr">
        <is>
          <t>UPI Payment</t>
        </is>
      </c>
      <c r="G323" s="25" t="n">
        <v>0.55</v>
      </c>
      <c r="H323" s="38" t="inlineStr">
        <is>
          <t>Personal</t>
        </is>
      </c>
      <c r="I323" s="38" t="inlineStr">
        <is>
          <t>SBI 1227</t>
        </is>
      </c>
      <c r="J323" s="38" t="inlineStr"/>
      <c r="K323" s="38" t="inlineStr">
        <is>
          <t xml:space="preserve">   TO TRANSFER-UPI/DR/317287823112/Mr  AADA/YESB/q964606339/UPI--</t>
        </is>
      </c>
      <c r="L323" s="38" t="inlineStr">
        <is>
          <t>State Bank of India</t>
        </is>
      </c>
      <c r="M323" s="38" t="inlineStr"/>
    </row>
    <row r="324">
      <c r="A324" s="41" t="n">
        <v>45098</v>
      </c>
      <c r="B324" s="41" t="n">
        <v>45098</v>
      </c>
      <c r="C324" s="42" t="n">
        <v>135.03</v>
      </c>
      <c r="D324" s="42" t="n">
        <v>0</v>
      </c>
      <c r="E324" s="42" t="inlineStr"/>
      <c r="F324" s="42" t="inlineStr">
        <is>
          <t>HDFC Securities - Buy</t>
        </is>
      </c>
      <c r="G324" s="18" t="n">
        <v>0.97</v>
      </c>
      <c r="H324" s="42" t="inlineStr">
        <is>
          <t>HDFC Securities</t>
        </is>
      </c>
      <c r="I324" s="42" t="inlineStr">
        <is>
          <t>HDFC 5413</t>
        </is>
      </c>
      <c r="J324" s="42" t="inlineStr"/>
      <c r="K324" s="42" t="inlineStr">
        <is>
          <t>NET PI TO HSL SEC A/C 2554606-00602340029427</t>
        </is>
      </c>
      <c r="L324" s="42" t="inlineStr">
        <is>
          <t>HDFC Bank</t>
        </is>
      </c>
      <c r="M324" s="42" t="inlineStr"/>
    </row>
    <row r="325">
      <c r="A325" s="41" t="n">
        <v>45098</v>
      </c>
      <c r="B325" s="41" t="n">
        <v>45098</v>
      </c>
      <c r="C325" s="42" t="n">
        <v>273.59</v>
      </c>
      <c r="D325" s="42" t="n">
        <v>0</v>
      </c>
      <c r="E325" s="42" t="inlineStr"/>
      <c r="F325" s="42" t="inlineStr">
        <is>
          <t>HDFC Securities - Buy</t>
        </is>
      </c>
      <c r="G325" s="18" t="n">
        <v>0.97</v>
      </c>
      <c r="H325" s="42" t="inlineStr">
        <is>
          <t>HDFC Securities</t>
        </is>
      </c>
      <c r="I325" s="42" t="inlineStr">
        <is>
          <t>HDFC 5413</t>
        </is>
      </c>
      <c r="J325" s="42" t="inlineStr"/>
      <c r="K325" s="42" t="inlineStr">
        <is>
          <t>NET PI TO HSL SEC A/C 2554606-00602340029427</t>
        </is>
      </c>
      <c r="L325" s="42" t="inlineStr">
        <is>
          <t>HDFC Bank</t>
        </is>
      </c>
      <c r="M325" s="42" t="inlineStr"/>
    </row>
    <row r="326">
      <c r="A326" s="54" t="n">
        <v>45098</v>
      </c>
      <c r="B326" s="54" t="n">
        <v>45098</v>
      </c>
      <c r="C326" s="55" t="n">
        <v>0</v>
      </c>
      <c r="D326" s="55" t="n">
        <v>273.59</v>
      </c>
      <c r="E326" s="55" t="inlineStr"/>
      <c r="F326" s="55" t="inlineStr">
        <is>
          <t>HDFC Securities - Sell</t>
        </is>
      </c>
      <c r="G326" s="18" t="n">
        <v>0.97</v>
      </c>
      <c r="H326" s="55" t="inlineStr">
        <is>
          <t>HDFC Securities</t>
        </is>
      </c>
      <c r="I326" s="55" t="inlineStr">
        <is>
          <t>HDFC 5413</t>
        </is>
      </c>
      <c r="J326" s="55" t="inlineStr"/>
      <c r="K326" s="55" t="inlineStr">
        <is>
          <t>NET PO FROM HSL A/C 2554606-00602340029427</t>
        </is>
      </c>
      <c r="L326" s="55" t="inlineStr">
        <is>
          <t>HDFC Bank</t>
        </is>
      </c>
      <c r="M326" s="55" t="inlineStr"/>
    </row>
    <row r="327">
      <c r="A327" s="23" t="n">
        <v>45098</v>
      </c>
      <c r="B327" s="23" t="n">
        <v>45098</v>
      </c>
      <c r="C327" s="24" t="n">
        <v>472.12</v>
      </c>
      <c r="D327" s="24" t="n">
        <v>0</v>
      </c>
      <c r="E327" s="24" t="inlineStr"/>
      <c r="F327" s="24" t="inlineStr">
        <is>
          <t>What is this?</t>
        </is>
      </c>
      <c r="G327" s="25" t="n">
        <v>0</v>
      </c>
      <c r="H327" s="24" t="inlineStr">
        <is>
          <t>Suspense</t>
        </is>
      </c>
      <c r="I327" s="24" t="inlineStr">
        <is>
          <t>SBI 1227</t>
        </is>
      </c>
      <c r="J327" s="24" t="inlineStr"/>
      <c r="K327" s="24" t="inlineStr">
        <is>
          <t xml:space="preserve">   TO TRANSFER-INB Paytm Payments Bank LTD--</t>
        </is>
      </c>
      <c r="L327" s="24" t="inlineStr">
        <is>
          <t>State Bank of India</t>
        </is>
      </c>
      <c r="M327" s="24" t="inlineStr"/>
    </row>
    <row r="328">
      <c r="A328" s="37" t="n">
        <v>45098</v>
      </c>
      <c r="B328" s="37" t="n">
        <v>45098</v>
      </c>
      <c r="C328" s="38" t="n">
        <v>70</v>
      </c>
      <c r="D328" s="38" t="n">
        <v>0</v>
      </c>
      <c r="E328" s="38" t="inlineStr">
        <is>
          <t>Mr  Aada</t>
        </is>
      </c>
      <c r="F328" s="38" t="inlineStr">
        <is>
          <t>UPI Payment</t>
        </is>
      </c>
      <c r="G328" s="25" t="n">
        <v>0.55</v>
      </c>
      <c r="H328" s="38" t="inlineStr">
        <is>
          <t>Personal</t>
        </is>
      </c>
      <c r="I328" s="38" t="inlineStr">
        <is>
          <t>SBI 1227</t>
        </is>
      </c>
      <c r="J328" s="38" t="inlineStr"/>
      <c r="K328" s="38" t="inlineStr">
        <is>
          <t xml:space="preserve">   TO TRANSFER-UPI/DR/317278326584/Mr  AADA/YESB/q423863729/UPI--</t>
        </is>
      </c>
      <c r="L328" s="38" t="inlineStr">
        <is>
          <t>State Bank of India</t>
        </is>
      </c>
      <c r="M328" s="38" t="inlineStr"/>
    </row>
    <row r="329">
      <c r="A329" s="41" t="n">
        <v>45098</v>
      </c>
      <c r="B329" s="41" t="n">
        <v>45098</v>
      </c>
      <c r="C329" s="42" t="n">
        <v>6559.57</v>
      </c>
      <c r="D329" s="42" t="n">
        <v>0</v>
      </c>
      <c r="E329" s="42" t="inlineStr"/>
      <c r="F329" s="42" t="inlineStr">
        <is>
          <t>HDFC Securities - Buy</t>
        </is>
      </c>
      <c r="G329" s="18" t="n">
        <v>0.97</v>
      </c>
      <c r="H329" s="42" t="inlineStr">
        <is>
          <t>HDFC Securities</t>
        </is>
      </c>
      <c r="I329" s="42" t="inlineStr">
        <is>
          <t>HDFC 5413</t>
        </is>
      </c>
      <c r="J329" s="42" t="inlineStr"/>
      <c r="K329" s="42" t="inlineStr">
        <is>
          <t>NET PI TO HSL SEC A/C 2554606-00602340029427</t>
        </is>
      </c>
      <c r="L329" s="42" t="inlineStr">
        <is>
          <t>HDFC Bank</t>
        </is>
      </c>
      <c r="M329" s="42" t="inlineStr"/>
    </row>
    <row r="330">
      <c r="A330" s="41" t="n">
        <v>45098</v>
      </c>
      <c r="B330" s="41" t="n">
        <v>45098</v>
      </c>
      <c r="C330" s="42" t="n">
        <v>7428.55</v>
      </c>
      <c r="D330" s="42" t="n">
        <v>0</v>
      </c>
      <c r="E330" s="42" t="inlineStr"/>
      <c r="F330" s="42" t="inlineStr">
        <is>
          <t>HDFC Securities - Buy</t>
        </is>
      </c>
      <c r="G330" s="18" t="n">
        <v>0.97</v>
      </c>
      <c r="H330" s="42" t="inlineStr">
        <is>
          <t>HDFC Securities</t>
        </is>
      </c>
      <c r="I330" s="42" t="inlineStr">
        <is>
          <t>HDFC 5413</t>
        </is>
      </c>
      <c r="J330" s="42" t="inlineStr"/>
      <c r="K330" s="42" t="inlineStr">
        <is>
          <t>NET PI TO HSL SEC A/C 2554606-00602340029427</t>
        </is>
      </c>
      <c r="L330" s="42" t="inlineStr">
        <is>
          <t>HDFC Bank</t>
        </is>
      </c>
      <c r="M330" s="42" t="inlineStr"/>
    </row>
    <row r="331">
      <c r="A331" s="87" t="n">
        <v>45099</v>
      </c>
      <c r="B331" s="87" t="n">
        <v>45099</v>
      </c>
      <c r="C331" s="88" t="n">
        <v>190</v>
      </c>
      <c r="D331" s="88" t="n">
        <v>0</v>
      </c>
      <c r="E331" s="88" t="inlineStr"/>
      <c r="F331" s="88" t="inlineStr">
        <is>
          <t>Contra - Jupiter</t>
        </is>
      </c>
      <c r="G331" s="18" t="n">
        <v>0.9</v>
      </c>
      <c r="H331" s="88" t="inlineStr">
        <is>
          <t>FEDERAL 0847</t>
        </is>
      </c>
      <c r="I331" s="88" t="inlineStr">
        <is>
          <t>SBI 1227</t>
        </is>
      </c>
      <c r="J331" s="88" t="inlineStr"/>
      <c r="K331" s="88" t="inlineStr">
        <is>
          <t xml:space="preserve">   TO TRANSFER-UPI/DR/317381933693/AAYUSH K/FDRL/9594435259/ADDMO--</t>
        </is>
      </c>
      <c r="L331" s="88" t="inlineStr">
        <is>
          <t>State Bank of India</t>
        </is>
      </c>
      <c r="M331" s="88" t="inlineStr"/>
    </row>
    <row r="332">
      <c r="A332" s="41" t="n">
        <v>45099</v>
      </c>
      <c r="B332" s="41" t="n">
        <v>45099</v>
      </c>
      <c r="C332" s="42" t="n">
        <v>131.37</v>
      </c>
      <c r="D332" s="42" t="n">
        <v>0</v>
      </c>
      <c r="E332" s="42" t="inlineStr"/>
      <c r="F332" s="42" t="inlineStr">
        <is>
          <t>HDFC Securities - Buy</t>
        </is>
      </c>
      <c r="G332" s="18" t="n">
        <v>0.97</v>
      </c>
      <c r="H332" s="42" t="inlineStr">
        <is>
          <t>HDFC Securities</t>
        </is>
      </c>
      <c r="I332" s="42" t="inlineStr">
        <is>
          <t>HDFC 5413</t>
        </is>
      </c>
      <c r="J332" s="42" t="inlineStr"/>
      <c r="K332" s="42" t="inlineStr">
        <is>
          <t>NET PI TO HSL SEC A/C 2554606-00602340029427</t>
        </is>
      </c>
      <c r="L332" s="42" t="inlineStr">
        <is>
          <t>HDFC Bank</t>
        </is>
      </c>
      <c r="M332" s="42" t="inlineStr"/>
    </row>
    <row r="333">
      <c r="A333" s="41" t="n">
        <v>45099</v>
      </c>
      <c r="B333" s="41" t="n">
        <v>45099</v>
      </c>
      <c r="C333" s="42" t="n">
        <v>508.31</v>
      </c>
      <c r="D333" s="42" t="n">
        <v>0</v>
      </c>
      <c r="E333" s="42" t="inlineStr"/>
      <c r="F333" s="42" t="inlineStr">
        <is>
          <t>HDFC Securities - Buy</t>
        </is>
      </c>
      <c r="G333" s="18" t="n">
        <v>0.97</v>
      </c>
      <c r="H333" s="42" t="inlineStr">
        <is>
          <t>HDFC Securities</t>
        </is>
      </c>
      <c r="I333" s="42" t="inlineStr">
        <is>
          <t>HDFC 5413</t>
        </is>
      </c>
      <c r="J333" s="42" t="inlineStr"/>
      <c r="K333" s="42" t="inlineStr">
        <is>
          <t>NET PI TO HSL SEC A/C 2554606-00602340029427</t>
        </is>
      </c>
      <c r="L333" s="42" t="inlineStr">
        <is>
          <t>HDFC Bank</t>
        </is>
      </c>
      <c r="M333" s="42" t="inlineStr"/>
    </row>
    <row r="334">
      <c r="A334" s="37" t="n">
        <v>45099</v>
      </c>
      <c r="B334" s="37" t="n">
        <v>45099</v>
      </c>
      <c r="C334" s="38" t="n">
        <v>199</v>
      </c>
      <c r="D334" s="38" t="n">
        <v>0</v>
      </c>
      <c r="E334" s="38" t="inlineStr"/>
      <c r="F334" s="38" t="inlineStr">
        <is>
          <t>UPI Payment</t>
        </is>
      </c>
      <c r="G334" s="25" t="n">
        <v>0.55</v>
      </c>
      <c r="H334" s="38" t="inlineStr">
        <is>
          <t>Personal</t>
        </is>
      </c>
      <c r="I334" s="38" t="inlineStr">
        <is>
          <t>FEDERAL 0847</t>
        </is>
      </c>
      <c r="J334" s="38" t="inlineStr"/>
      <c r="K334" s="38" t="inlineStr">
        <is>
          <t>UPIOUT/317381938077/playstore@axisbank/Man
da/5817</t>
        </is>
      </c>
      <c r="L334" s="38" t="inlineStr">
        <is>
          <t>Federal Bank (Jupiter)</t>
        </is>
      </c>
      <c r="M334" s="38" t="inlineStr"/>
    </row>
    <row r="335">
      <c r="A335" s="35" t="n">
        <v>45099</v>
      </c>
      <c r="B335" s="35" t="n">
        <v>45099</v>
      </c>
      <c r="C335" s="36" t="n">
        <v>210</v>
      </c>
      <c r="D335" s="36" t="n">
        <v>0</v>
      </c>
      <c r="E335" s="36" t="inlineStr"/>
      <c r="F335" s="36" t="inlineStr">
        <is>
          <t>UPI - Paytm</t>
        </is>
      </c>
      <c r="G335" s="34" t="n">
        <v>0.65</v>
      </c>
      <c r="H335" s="36" t="inlineStr">
        <is>
          <t>Personal</t>
        </is>
      </c>
      <c r="I335" s="36" t="inlineStr">
        <is>
          <t>SBI 1227</t>
        </is>
      </c>
      <c r="J335" s="36" t="inlineStr"/>
      <c r="K335" s="36" t="inlineStr">
        <is>
          <t xml:space="preserve">   TO TRANSFER-UPI/DR/317322294332/AMANPREE/PYTM/paytmqrn78/UPI--</t>
        </is>
      </c>
      <c r="L335" s="36" t="inlineStr">
        <is>
          <t>State Bank of India</t>
        </is>
      </c>
      <c r="M335" s="36" t="inlineStr"/>
    </row>
    <row r="336">
      <c r="A336" s="87" t="n">
        <v>45099</v>
      </c>
      <c r="B336" s="87" t="n">
        <v>45099</v>
      </c>
      <c r="C336" s="88" t="n">
        <v>0</v>
      </c>
      <c r="D336" s="88" t="n">
        <v>190</v>
      </c>
      <c r="E336" s="88" t="inlineStr"/>
      <c r="F336" s="88" t="inlineStr">
        <is>
          <t>Contra - Kotak</t>
        </is>
      </c>
      <c r="G336" s="18" t="n">
        <v>0.9</v>
      </c>
      <c r="H336" s="88" t="inlineStr">
        <is>
          <t>KOTAK 0333</t>
        </is>
      </c>
      <c r="I336" s="88" t="inlineStr">
        <is>
          <t>FEDERAL 0847</t>
        </is>
      </c>
      <c r="J336" s="88" t="inlineStr"/>
      <c r="K336" s="88" t="inlineStr">
        <is>
          <t>UPI IN/317381933693/9594435259@jupiteraxis
/A/0000</t>
        </is>
      </c>
      <c r="L336" s="88" t="inlineStr">
        <is>
          <t>Federal Bank (Jupiter)</t>
        </is>
      </c>
      <c r="M336" s="88" t="inlineStr"/>
    </row>
    <row r="337">
      <c r="A337" s="37" t="n">
        <v>45100</v>
      </c>
      <c r="B337" s="37" t="n">
        <v>45100</v>
      </c>
      <c r="C337" s="38" t="n">
        <v>20</v>
      </c>
      <c r="D337" s="38" t="n">
        <v>0</v>
      </c>
      <c r="E337" s="38" t="inlineStr">
        <is>
          <t>Mr  Aada</t>
        </is>
      </c>
      <c r="F337" s="38" t="inlineStr">
        <is>
          <t>UPI Payment</t>
        </is>
      </c>
      <c r="G337" s="25" t="n">
        <v>0.55</v>
      </c>
      <c r="H337" s="38" t="inlineStr">
        <is>
          <t>Personal</t>
        </is>
      </c>
      <c r="I337" s="38" t="inlineStr">
        <is>
          <t>SBI 1227</t>
        </is>
      </c>
      <c r="J337" s="38" t="inlineStr"/>
      <c r="K337" s="38" t="inlineStr">
        <is>
          <t xml:space="preserve">   TO TRANSFER-UPI/DR/317442373536/Mr  AADA/YESB/q964606339/groce--</t>
        </is>
      </c>
      <c r="L337" s="38" t="inlineStr">
        <is>
          <t>State Bank of India</t>
        </is>
      </c>
      <c r="M337" s="38" t="inlineStr"/>
    </row>
    <row r="338">
      <c r="A338" s="41" t="n">
        <v>45100</v>
      </c>
      <c r="B338" s="41" t="n">
        <v>45100</v>
      </c>
      <c r="C338" s="42" t="n">
        <v>131.12</v>
      </c>
      <c r="D338" s="42" t="n">
        <v>0</v>
      </c>
      <c r="E338" s="42" t="inlineStr"/>
      <c r="F338" s="42" t="inlineStr">
        <is>
          <t>HDFC Securities - Buy</t>
        </is>
      </c>
      <c r="G338" s="18" t="n">
        <v>0.97</v>
      </c>
      <c r="H338" s="42" t="inlineStr">
        <is>
          <t>HDFC Securities</t>
        </is>
      </c>
      <c r="I338" s="42" t="inlineStr">
        <is>
          <t>HDFC 5413</t>
        </is>
      </c>
      <c r="J338" s="42" t="inlineStr"/>
      <c r="K338" s="42" t="inlineStr">
        <is>
          <t>NET PI TO HSL SEC A/C 2554606-00602340029427</t>
        </is>
      </c>
      <c r="L338" s="42" t="inlineStr">
        <is>
          <t>HDFC Bank</t>
        </is>
      </c>
      <c r="M338" s="42" t="inlineStr"/>
    </row>
    <row r="339">
      <c r="A339" s="41" t="n">
        <v>45100</v>
      </c>
      <c r="B339" s="41" t="n">
        <v>45100</v>
      </c>
      <c r="C339" s="42" t="n">
        <v>479.8</v>
      </c>
      <c r="D339" s="42" t="n">
        <v>0</v>
      </c>
      <c r="E339" s="42" t="inlineStr"/>
      <c r="F339" s="42" t="inlineStr">
        <is>
          <t>HDFC Securities - Buy</t>
        </is>
      </c>
      <c r="G339" s="18" t="n">
        <v>0.97</v>
      </c>
      <c r="H339" s="42" t="inlineStr">
        <is>
          <t>HDFC Securities</t>
        </is>
      </c>
      <c r="I339" s="42" t="inlineStr">
        <is>
          <t>HDFC 5413</t>
        </is>
      </c>
      <c r="J339" s="42" t="inlineStr"/>
      <c r="K339" s="42" t="inlineStr">
        <is>
          <t>NET PI TO HSL SEC A/C 2554606-00602340029427</t>
        </is>
      </c>
      <c r="L339" s="42" t="inlineStr">
        <is>
          <t>HDFC Bank</t>
        </is>
      </c>
      <c r="M339" s="42" t="inlineStr"/>
    </row>
    <row r="340">
      <c r="A340" s="37" t="n">
        <v>45102</v>
      </c>
      <c r="B340" s="37" t="n">
        <v>45102</v>
      </c>
      <c r="C340" s="38" t="n">
        <v>459</v>
      </c>
      <c r="D340" s="38" t="n">
        <v>0</v>
      </c>
      <c r="E340" s="38" t="inlineStr">
        <is>
          <t>Vi</t>
        </is>
      </c>
      <c r="F340" s="38" t="inlineStr">
        <is>
          <t>UPI Payment</t>
        </is>
      </c>
      <c r="G340" s="25" t="n">
        <v>0.55</v>
      </c>
      <c r="H340" s="38" t="inlineStr">
        <is>
          <t>Personal</t>
        </is>
      </c>
      <c r="I340" s="38" t="inlineStr">
        <is>
          <t>SBI 1227</t>
        </is>
      </c>
      <c r="J340" s="38" t="inlineStr"/>
      <c r="K340" s="38" t="inlineStr">
        <is>
          <t xml:space="preserve">   TO TRANSFER-UPI/DR/354217681522/Vi/PYTM/vilpremum@/UPI--</t>
        </is>
      </c>
      <c r="L340" s="38" t="inlineStr">
        <is>
          <t>State Bank of India</t>
        </is>
      </c>
      <c r="M340" s="38" t="inlineStr"/>
    </row>
    <row r="341">
      <c r="A341" s="37" t="n">
        <v>45102</v>
      </c>
      <c r="B341" s="37" t="n">
        <v>45102</v>
      </c>
      <c r="C341" s="38" t="n">
        <v>1200</v>
      </c>
      <c r="D341" s="38" t="n">
        <v>0</v>
      </c>
      <c r="E341" s="38" t="inlineStr">
        <is>
          <t>Shashank P</t>
        </is>
      </c>
      <c r="F341" s="38" t="inlineStr">
        <is>
          <t>UPI Payment</t>
        </is>
      </c>
      <c r="G341" s="25" t="n">
        <v>0.55</v>
      </c>
      <c r="H341" s="38" t="inlineStr">
        <is>
          <t>Personal</t>
        </is>
      </c>
      <c r="I341" s="38" t="inlineStr">
        <is>
          <t>SBI 1227</t>
        </is>
      </c>
      <c r="J341" s="38" t="inlineStr"/>
      <c r="K341" s="38" t="inlineStr">
        <is>
          <t xml:space="preserve">   TO TRANSFER-UPI/DR/317697275352/SHASHANK P/HDFC/9880498899/UPI--</t>
        </is>
      </c>
      <c r="L341" s="38" t="inlineStr">
        <is>
          <t>State Bank of India</t>
        </is>
      </c>
      <c r="M341" s="38" t="inlineStr"/>
    </row>
    <row r="342">
      <c r="A342" s="35" t="n">
        <v>45102</v>
      </c>
      <c r="B342" s="35" t="n">
        <v>45102</v>
      </c>
      <c r="C342" s="36" t="n">
        <v>40</v>
      </c>
      <c r="D342" s="36" t="n">
        <v>0</v>
      </c>
      <c r="E342" s="36" t="inlineStr"/>
      <c r="F342" s="36" t="inlineStr">
        <is>
          <t>UPI - Paytm</t>
        </is>
      </c>
      <c r="G342" s="34" t="n">
        <v>0.65</v>
      </c>
      <c r="H342" s="36" t="inlineStr">
        <is>
          <t>Personal</t>
        </is>
      </c>
      <c r="I342" s="36" t="inlineStr">
        <is>
          <t>SBI 1227</t>
        </is>
      </c>
      <c r="J342" s="36" t="inlineStr"/>
      <c r="K342" s="36" t="inlineStr">
        <is>
          <t xml:space="preserve">   TO TRANSFER-UPI/DR/317697330759/SEVEN SP/PYTM/paytmqr281/UPI--</t>
        </is>
      </c>
      <c r="L342" s="36" t="inlineStr">
        <is>
          <t>State Bank of India</t>
        </is>
      </c>
      <c r="M342" s="36" t="inlineStr"/>
    </row>
    <row r="343">
      <c r="A343" s="30" t="n">
        <v>45102</v>
      </c>
      <c r="B343" s="30" t="n">
        <v>45102</v>
      </c>
      <c r="C343" s="31" t="n">
        <v>0</v>
      </c>
      <c r="D343" s="31" t="n">
        <v>704</v>
      </c>
      <c r="E343" s="31" t="inlineStr"/>
      <c r="F343" s="31" t="inlineStr">
        <is>
          <t>Bank Interest</t>
        </is>
      </c>
      <c r="G343" s="18" t="n">
        <v>0.9</v>
      </c>
      <c r="H343" s="31" t="inlineStr">
        <is>
          <t>Bank Interest</t>
        </is>
      </c>
      <c r="I343" s="31" t="inlineStr">
        <is>
          <t>SBI 1227</t>
        </is>
      </c>
      <c r="J343" s="31" t="inlineStr"/>
      <c r="K343" s="31" t="inlineStr">
        <is>
          <t xml:space="preserve">   CREDIT INTEREST---</t>
        </is>
      </c>
      <c r="L343" s="31" t="inlineStr">
        <is>
          <t>State Bank of India</t>
        </is>
      </c>
      <c r="M343" s="31" t="inlineStr"/>
    </row>
    <row r="344">
      <c r="A344" s="37" t="n">
        <v>45103</v>
      </c>
      <c r="B344" s="37" t="n">
        <v>45103</v>
      </c>
      <c r="C344" s="38" t="n">
        <v>20</v>
      </c>
      <c r="D344" s="38" t="n">
        <v>0</v>
      </c>
      <c r="E344" s="38" t="inlineStr">
        <is>
          <t>Vendekin</t>
        </is>
      </c>
      <c r="F344" s="38" t="inlineStr">
        <is>
          <t>UPI Payment</t>
        </is>
      </c>
      <c r="G344" s="25" t="n">
        <v>0.55</v>
      </c>
      <c r="H344" s="38" t="inlineStr">
        <is>
          <t>Personal</t>
        </is>
      </c>
      <c r="I344" s="38" t="inlineStr">
        <is>
          <t>SBI 1227</t>
        </is>
      </c>
      <c r="J344" s="38" t="inlineStr"/>
      <c r="K344" s="38" t="inlineStr">
        <is>
          <t xml:space="preserve">   TO TRANSFER-UPI/DR/317765827066/Vendekin/ICIC/vendekin@i/UPI--</t>
        </is>
      </c>
      <c r="L344" s="38" t="inlineStr">
        <is>
          <t>State Bank of India</t>
        </is>
      </c>
      <c r="M344" s="38" t="inlineStr"/>
    </row>
    <row r="345">
      <c r="A345" s="58" t="n">
        <v>45103</v>
      </c>
      <c r="B345" s="58" t="n">
        <v>45103</v>
      </c>
      <c r="C345" s="59" t="n">
        <v>2500</v>
      </c>
      <c r="D345" s="59" t="n">
        <v>0</v>
      </c>
      <c r="E345" s="59" t="inlineStr"/>
      <c r="F345" s="59" t="inlineStr">
        <is>
          <t>MF Investment</t>
        </is>
      </c>
      <c r="G345" s="18" t="n">
        <v>0.9</v>
      </c>
      <c r="H345" s="59" t="inlineStr">
        <is>
          <t>Investments</t>
        </is>
      </c>
      <c r="I345" s="59" t="inlineStr">
        <is>
          <t>HDFC 5413</t>
        </is>
      </c>
      <c r="J345" s="59" t="inlineStr"/>
      <c r="K345" s="59" t="inlineStr">
        <is>
          <t>NET PAYIN TO BSE MF A/C -57500000389146- FROM A/C -50100128155413- UCC -2554606-57500000389146</t>
        </is>
      </c>
      <c r="L345" s="59" t="inlineStr">
        <is>
          <t>HDFC Bank</t>
        </is>
      </c>
      <c r="M345" s="59" t="inlineStr"/>
    </row>
    <row r="346">
      <c r="A346" s="41" t="n">
        <v>45103</v>
      </c>
      <c r="B346" s="41" t="n">
        <v>45103</v>
      </c>
      <c r="C346" s="42" t="n">
        <v>392.64</v>
      </c>
      <c r="D346" s="42" t="n">
        <v>0</v>
      </c>
      <c r="E346" s="42" t="inlineStr"/>
      <c r="F346" s="42" t="inlineStr">
        <is>
          <t>HDFC Securities - Buy</t>
        </is>
      </c>
      <c r="G346" s="18" t="n">
        <v>0.97</v>
      </c>
      <c r="H346" s="42" t="inlineStr">
        <is>
          <t>HDFC Securities</t>
        </is>
      </c>
      <c r="I346" s="42" t="inlineStr">
        <is>
          <t>HDFC 5413</t>
        </is>
      </c>
      <c r="J346" s="42" t="inlineStr"/>
      <c r="K346" s="42" t="inlineStr">
        <is>
          <t>NET PI TO HSL SEC A/C 2554606-00602340029427</t>
        </is>
      </c>
      <c r="L346" s="42" t="inlineStr">
        <is>
          <t>HDFC Bank</t>
        </is>
      </c>
      <c r="M346" s="42" t="inlineStr"/>
    </row>
    <row r="347">
      <c r="A347" s="41" t="n">
        <v>45103</v>
      </c>
      <c r="B347" s="41" t="n">
        <v>45103</v>
      </c>
      <c r="C347" s="42" t="n">
        <v>457.83</v>
      </c>
      <c r="D347" s="42" t="n">
        <v>0</v>
      </c>
      <c r="E347" s="42" t="inlineStr"/>
      <c r="F347" s="42" t="inlineStr">
        <is>
          <t>HDFC Securities - Buy</t>
        </is>
      </c>
      <c r="G347" s="18" t="n">
        <v>0.97</v>
      </c>
      <c r="H347" s="42" t="inlineStr">
        <is>
          <t>HDFC Securities</t>
        </is>
      </c>
      <c r="I347" s="42" t="inlineStr">
        <is>
          <t>HDFC 5413</t>
        </is>
      </c>
      <c r="J347" s="42" t="inlineStr"/>
      <c r="K347" s="42" t="inlineStr">
        <is>
          <t>NET PI TO HSL SEC A/C 2554606-00602340029427</t>
        </is>
      </c>
      <c r="L347" s="42" t="inlineStr">
        <is>
          <t>HDFC Bank</t>
        </is>
      </c>
      <c r="M347" s="42" t="inlineStr"/>
    </row>
    <row r="348">
      <c r="A348" s="26" t="n">
        <v>45103</v>
      </c>
      <c r="B348" s="26" t="n">
        <v>45103</v>
      </c>
      <c r="C348" s="27" t="n">
        <v>0</v>
      </c>
      <c r="D348" s="27" t="n">
        <v>10000</v>
      </c>
      <c r="E348" s="27" t="inlineStr"/>
      <c r="F348" s="27" t="inlineStr">
        <is>
          <t>Received - Ajay Gupta</t>
        </is>
      </c>
      <c r="G348" s="18" t="n">
        <v>0.88</v>
      </c>
      <c r="H348" s="27" t="inlineStr">
        <is>
          <t>Ajay Gupta</t>
        </is>
      </c>
      <c r="I348" s="27" t="inlineStr">
        <is>
          <t>HDFC 5413</t>
        </is>
      </c>
      <c r="J348" s="27" t="inlineStr"/>
      <c r="K348" s="27" t="inlineStr">
        <is>
          <t>01671000085930-TPT-BORROW FROM AKG-AJAY KUMAR GUPTA</t>
        </is>
      </c>
      <c r="L348" s="27" t="inlineStr">
        <is>
          <t>HDFC Bank</t>
        </is>
      </c>
      <c r="M348" s="27" t="inlineStr"/>
    </row>
    <row r="349">
      <c r="A349" s="37" t="n">
        <v>45104</v>
      </c>
      <c r="B349" s="37" t="n">
        <v>45104</v>
      </c>
      <c r="C349" s="38" t="n">
        <v>20</v>
      </c>
      <c r="D349" s="38" t="n">
        <v>0</v>
      </c>
      <c r="E349" s="38" t="inlineStr">
        <is>
          <t>Mr  Aada</t>
        </is>
      </c>
      <c r="F349" s="38" t="inlineStr">
        <is>
          <t>UPI Payment</t>
        </is>
      </c>
      <c r="G349" s="25" t="n">
        <v>0.55</v>
      </c>
      <c r="H349" s="38" t="inlineStr">
        <is>
          <t>Personal</t>
        </is>
      </c>
      <c r="I349" s="38" t="inlineStr">
        <is>
          <t>SBI 1227</t>
        </is>
      </c>
      <c r="J349" s="38" t="inlineStr"/>
      <c r="K349" s="38" t="inlineStr">
        <is>
          <t xml:space="preserve">   TO TRANSFER-UPI/DR/317895169831/Mr  AADA/YESB/q739730170/UPI--</t>
        </is>
      </c>
      <c r="L349" s="38" t="inlineStr">
        <is>
          <t>State Bank of India</t>
        </is>
      </c>
      <c r="M349" s="38" t="inlineStr"/>
    </row>
    <row r="350">
      <c r="A350" s="37" t="n">
        <v>45104</v>
      </c>
      <c r="B350" s="37" t="n">
        <v>45104</v>
      </c>
      <c r="C350" s="38" t="n">
        <v>10</v>
      </c>
      <c r="D350" s="38" t="n">
        <v>0</v>
      </c>
      <c r="E350" s="38" t="inlineStr">
        <is>
          <t>Mr  Aada</t>
        </is>
      </c>
      <c r="F350" s="38" t="inlineStr">
        <is>
          <t>UPI Payment</t>
        </is>
      </c>
      <c r="G350" s="25" t="n">
        <v>0.55</v>
      </c>
      <c r="H350" s="38" t="inlineStr">
        <is>
          <t>Personal</t>
        </is>
      </c>
      <c r="I350" s="38" t="inlineStr">
        <is>
          <t>SBI 1227</t>
        </is>
      </c>
      <c r="J350" s="38" t="inlineStr"/>
      <c r="K350" s="38" t="inlineStr">
        <is>
          <t xml:space="preserve">   TO TRANSFER-UPI/DR/317878909672/Mr  AADA/YESB/q739730170/UPI--</t>
        </is>
      </c>
      <c r="L350" s="38" t="inlineStr">
        <is>
          <t>State Bank of India</t>
        </is>
      </c>
      <c r="M350" s="38" t="inlineStr"/>
    </row>
    <row r="351">
      <c r="A351" s="64" t="n">
        <v>45104</v>
      </c>
      <c r="B351" s="64" t="n">
        <v>45104</v>
      </c>
      <c r="C351" s="65" t="n">
        <v>0</v>
      </c>
      <c r="D351" s="65" t="n">
        <v>720</v>
      </c>
      <c r="E351" s="65" t="inlineStr"/>
      <c r="F351" s="65" t="inlineStr">
        <is>
          <t>Dividend Income</t>
        </is>
      </c>
      <c r="G351" s="18" t="n">
        <v>0.85</v>
      </c>
      <c r="H351" s="65" t="inlineStr">
        <is>
          <t>Dividend Income</t>
        </is>
      </c>
      <c r="I351" s="65" t="inlineStr">
        <is>
          <t>HDFC 5413</t>
        </is>
      </c>
      <c r="J351" s="65" t="inlineStr"/>
      <c r="K351" s="65" t="inlineStr">
        <is>
          <t>HDFC ASSET DIV 22 2300000000000002699441</t>
        </is>
      </c>
      <c r="L351" s="65" t="inlineStr">
        <is>
          <t>HDFC Bank</t>
        </is>
      </c>
      <c r="M351" s="65" t="inlineStr"/>
    </row>
    <row r="352">
      <c r="A352" s="54" t="n">
        <v>45104</v>
      </c>
      <c r="B352" s="54" t="n">
        <v>45104</v>
      </c>
      <c r="C352" s="55" t="n">
        <v>0</v>
      </c>
      <c r="D352" s="55" t="n">
        <v>928.3</v>
      </c>
      <c r="E352" s="55" t="inlineStr"/>
      <c r="F352" s="55" t="inlineStr">
        <is>
          <t>HDFC Securities - Sell</t>
        </is>
      </c>
      <c r="G352" s="18" t="n">
        <v>0.97</v>
      </c>
      <c r="H352" s="55" t="inlineStr">
        <is>
          <t>HDFC Securities</t>
        </is>
      </c>
      <c r="I352" s="55" t="inlineStr">
        <is>
          <t>HDFC 5413</t>
        </is>
      </c>
      <c r="J352" s="55" t="inlineStr"/>
      <c r="K352" s="55" t="inlineStr">
        <is>
          <t>NET PO FROM HSL A/C 2554606-00602340029427</t>
        </is>
      </c>
      <c r="L352" s="55" t="inlineStr">
        <is>
          <t>HDFC Bank</t>
        </is>
      </c>
      <c r="M352" s="55" t="inlineStr"/>
    </row>
    <row r="353">
      <c r="A353" s="41" t="n">
        <v>45104</v>
      </c>
      <c r="B353" s="41" t="n">
        <v>45104</v>
      </c>
      <c r="C353" s="42" t="n">
        <v>130.66</v>
      </c>
      <c r="D353" s="42" t="n">
        <v>0</v>
      </c>
      <c r="E353" s="42" t="inlineStr"/>
      <c r="F353" s="42" t="inlineStr">
        <is>
          <t>HDFC Securities - Buy</t>
        </is>
      </c>
      <c r="G353" s="18" t="n">
        <v>0.97</v>
      </c>
      <c r="H353" s="42" t="inlineStr">
        <is>
          <t>HDFC Securities</t>
        </is>
      </c>
      <c r="I353" s="42" t="inlineStr">
        <is>
          <t>HDFC 5413</t>
        </is>
      </c>
      <c r="J353" s="42" t="inlineStr"/>
      <c r="K353" s="42" t="inlineStr">
        <is>
          <t>NET PI TO HSL SEC A/C 2554606-00602340029427</t>
        </is>
      </c>
      <c r="L353" s="42" t="inlineStr">
        <is>
          <t>HDFC Bank</t>
        </is>
      </c>
      <c r="M353" s="42" t="inlineStr"/>
    </row>
    <row r="354">
      <c r="A354" s="41" t="n">
        <v>45105</v>
      </c>
      <c r="B354" s="41" t="n">
        <v>45105</v>
      </c>
      <c r="C354" s="42" t="n">
        <v>131.11</v>
      </c>
      <c r="D354" s="42" t="n">
        <v>0</v>
      </c>
      <c r="E354" s="42" t="inlineStr"/>
      <c r="F354" s="42" t="inlineStr">
        <is>
          <t>HDFC Securities - Buy</t>
        </is>
      </c>
      <c r="G354" s="18" t="n">
        <v>0.97</v>
      </c>
      <c r="H354" s="42" t="inlineStr">
        <is>
          <t>HDFC Securities</t>
        </is>
      </c>
      <c r="I354" s="42" t="inlineStr">
        <is>
          <t>HDFC 5413</t>
        </is>
      </c>
      <c r="J354" s="42" t="inlineStr"/>
      <c r="K354" s="42" t="inlineStr">
        <is>
          <t>NET PI TO HSL SEC A/C 2554606-00602340029427</t>
        </is>
      </c>
      <c r="L354" s="42" t="inlineStr">
        <is>
          <t>HDFC Bank</t>
        </is>
      </c>
      <c r="M354" s="42" t="inlineStr"/>
    </row>
    <row r="355">
      <c r="A355" s="37" t="n">
        <v>45105</v>
      </c>
      <c r="B355" s="37" t="n">
        <v>45105</v>
      </c>
      <c r="C355" s="38" t="n">
        <v>20</v>
      </c>
      <c r="D355" s="38" t="n">
        <v>0</v>
      </c>
      <c r="E355" s="38" t="inlineStr">
        <is>
          <t>Vendekin</t>
        </is>
      </c>
      <c r="F355" s="38" t="inlineStr">
        <is>
          <t>UPI Payment</t>
        </is>
      </c>
      <c r="G355" s="25" t="n">
        <v>0.55</v>
      </c>
      <c r="H355" s="38" t="inlineStr">
        <is>
          <t>Personal</t>
        </is>
      </c>
      <c r="I355" s="38" t="inlineStr">
        <is>
          <t>SBI 1227</t>
        </is>
      </c>
      <c r="J355" s="38" t="inlineStr"/>
      <c r="K355" s="38" t="inlineStr">
        <is>
          <t xml:space="preserve">   TO TRANSFER-UPI/DR/317932368474/Vendekin/ICIC/vendekin@i/UPI--</t>
        </is>
      </c>
      <c r="L355" s="38" t="inlineStr">
        <is>
          <t>State Bank of India</t>
        </is>
      </c>
      <c r="M355" s="38" t="inlineStr"/>
    </row>
    <row r="356">
      <c r="A356" s="101" t="n">
        <v>45105</v>
      </c>
      <c r="B356" s="101" t="n">
        <v>45105</v>
      </c>
      <c r="C356" s="102" t="n">
        <v>0</v>
      </c>
      <c r="D356" s="102" t="n">
        <v>60</v>
      </c>
      <c r="E356" s="102" t="inlineStr"/>
      <c r="F356" s="102" t="inlineStr">
        <is>
          <t>Received - Gaurav S</t>
        </is>
      </c>
      <c r="G356" s="25" t="n">
        <v>0.55</v>
      </c>
      <c r="H356" s="102" t="inlineStr">
        <is>
          <t>Personal</t>
        </is>
      </c>
      <c r="I356" s="102" t="inlineStr">
        <is>
          <t>SBI 1227</t>
        </is>
      </c>
      <c r="J356" s="102" t="inlineStr"/>
      <c r="K356" s="102" t="inlineStr">
        <is>
          <t xml:space="preserve">   BY TRANSFER-UPI/CR/317968678553/GAURAV S/KKBK/gauravsing/UPI--</t>
        </is>
      </c>
      <c r="L356" s="102" t="inlineStr">
        <is>
          <t>State Bank of India</t>
        </is>
      </c>
      <c r="M356" s="102" t="inlineStr"/>
    </row>
    <row r="357">
      <c r="A357" s="35" t="n">
        <v>45105</v>
      </c>
      <c r="B357" s="35" t="n">
        <v>45105</v>
      </c>
      <c r="C357" s="36" t="n">
        <v>160</v>
      </c>
      <c r="D357" s="36" t="n">
        <v>0</v>
      </c>
      <c r="E357" s="36" t="inlineStr"/>
      <c r="F357" s="36" t="inlineStr">
        <is>
          <t>UPI - Paytm</t>
        </is>
      </c>
      <c r="G357" s="34" t="n">
        <v>0.65</v>
      </c>
      <c r="H357" s="36" t="inlineStr">
        <is>
          <t>Personal</t>
        </is>
      </c>
      <c r="I357" s="36" t="inlineStr">
        <is>
          <t>SBI 1227</t>
        </is>
      </c>
      <c r="J357" s="36" t="inlineStr"/>
      <c r="K357" s="36" t="inlineStr">
        <is>
          <t xml:space="preserve">   TO TRANSFER-UPI/DR/317916606073/SEVEN SP/PYTM/paytmqr281/UPI--</t>
        </is>
      </c>
      <c r="L357" s="36" t="inlineStr">
        <is>
          <t>State Bank of India</t>
        </is>
      </c>
      <c r="M357" s="36" t="inlineStr"/>
    </row>
    <row r="358">
      <c r="A358" s="35" t="n">
        <v>45106</v>
      </c>
      <c r="B358" s="35" t="n">
        <v>45106</v>
      </c>
      <c r="C358" s="36" t="n">
        <v>30</v>
      </c>
      <c r="D358" s="36" t="n">
        <v>0</v>
      </c>
      <c r="E358" s="36" t="inlineStr"/>
      <c r="F358" s="36" t="inlineStr">
        <is>
          <t>UPI - Paytm</t>
        </is>
      </c>
      <c r="G358" s="34" t="n">
        <v>0.65</v>
      </c>
      <c r="H358" s="36" t="inlineStr">
        <is>
          <t>Personal</t>
        </is>
      </c>
      <c r="I358" s="36" t="inlineStr">
        <is>
          <t>SBI 1227</t>
        </is>
      </c>
      <c r="J358" s="36" t="inlineStr"/>
      <c r="K358" s="36" t="inlineStr">
        <is>
          <t xml:space="preserve">   TO TRANSFER-UPI/DR/318041657131/SEVEN SP/PYTM/paytmqr281/UPI--</t>
        </is>
      </c>
      <c r="L358" s="36" t="inlineStr">
        <is>
          <t>State Bank of India</t>
        </is>
      </c>
      <c r="M358" s="36" t="inlineStr"/>
    </row>
    <row r="359">
      <c r="A359" s="37" t="n">
        <v>45106</v>
      </c>
      <c r="B359" s="37" t="n">
        <v>45106</v>
      </c>
      <c r="C359" s="38" t="n">
        <v>10</v>
      </c>
      <c r="D359" s="38" t="n">
        <v>0</v>
      </c>
      <c r="E359" s="38" t="inlineStr">
        <is>
          <t>Mr  Aada</t>
        </is>
      </c>
      <c r="F359" s="38" t="inlineStr">
        <is>
          <t>UPI Payment</t>
        </is>
      </c>
      <c r="G359" s="25" t="n">
        <v>0.55</v>
      </c>
      <c r="H359" s="38" t="inlineStr">
        <is>
          <t>Personal</t>
        </is>
      </c>
      <c r="I359" s="38" t="inlineStr">
        <is>
          <t>SBI 1227</t>
        </is>
      </c>
      <c r="J359" s="38" t="inlineStr"/>
      <c r="K359" s="38" t="inlineStr">
        <is>
          <t xml:space="preserve">   TO TRANSFER-UPI/DR/318048750928/Mr  AADA/YESB/q739730170/UPI--</t>
        </is>
      </c>
      <c r="L359" s="38" t="inlineStr">
        <is>
          <t>State Bank of India</t>
        </is>
      </c>
      <c r="M359" s="38" t="inlineStr"/>
    </row>
    <row r="360">
      <c r="A360" s="54" t="n">
        <v>45106</v>
      </c>
      <c r="B360" s="54" t="n">
        <v>45105</v>
      </c>
      <c r="C360" s="55" t="n">
        <v>0</v>
      </c>
      <c r="D360" s="55" t="n">
        <v>259.42</v>
      </c>
      <c r="E360" s="55" t="inlineStr"/>
      <c r="F360" s="55" t="inlineStr">
        <is>
          <t>HDFC Securities - Sell</t>
        </is>
      </c>
      <c r="G360" s="18" t="n">
        <v>0.97</v>
      </c>
      <c r="H360" s="55" t="inlineStr">
        <is>
          <t>HDFC Securities</t>
        </is>
      </c>
      <c r="I360" s="55" t="inlineStr">
        <is>
          <t>HDFC 5413</t>
        </is>
      </c>
      <c r="J360" s="55" t="inlineStr"/>
      <c r="K360" s="55" t="inlineStr">
        <is>
          <t>NET PO FROM HSL A/C 2554606-00602340029427</t>
        </is>
      </c>
      <c r="L360" s="55" t="inlineStr">
        <is>
          <t>HDFC Bank</t>
        </is>
      </c>
      <c r="M360" s="55" t="inlineStr"/>
    </row>
    <row r="361">
      <c r="A361" s="30" t="n">
        <v>45107</v>
      </c>
      <c r="B361" s="30" t="n">
        <v>45107</v>
      </c>
      <c r="C361" s="31" t="n">
        <v>0</v>
      </c>
      <c r="D361" s="31" t="n">
        <v>352</v>
      </c>
      <c r="E361" s="31" t="inlineStr"/>
      <c r="F361" s="31" t="inlineStr">
        <is>
          <t>Bank Interest</t>
        </is>
      </c>
      <c r="G361" s="18" t="n">
        <v>0.95</v>
      </c>
      <c r="H361" s="31" t="inlineStr">
        <is>
          <t>Bank Interest</t>
        </is>
      </c>
      <c r="I361" s="31" t="inlineStr">
        <is>
          <t>HDFC 5413</t>
        </is>
      </c>
      <c r="J361" s="31" t="inlineStr"/>
      <c r="K361" s="31" t="inlineStr">
        <is>
          <t>CREDIT INTEREST CAPITALISED</t>
        </is>
      </c>
      <c r="L361" s="31" t="inlineStr">
        <is>
          <t>HDFC Bank</t>
        </is>
      </c>
      <c r="M361" s="31" t="inlineStr"/>
    </row>
    <row r="362">
      <c r="A362" s="41" t="n">
        <v>45107</v>
      </c>
      <c r="B362" s="41" t="n">
        <v>45107</v>
      </c>
      <c r="C362" s="42" t="n">
        <v>262.48</v>
      </c>
      <c r="D362" s="42" t="n">
        <v>0</v>
      </c>
      <c r="E362" s="42" t="inlineStr"/>
      <c r="F362" s="42" t="inlineStr">
        <is>
          <t>HDFC Securities - Buy</t>
        </is>
      </c>
      <c r="G362" s="18" t="n">
        <v>0.97</v>
      </c>
      <c r="H362" s="42" t="inlineStr">
        <is>
          <t>HDFC Securities</t>
        </is>
      </c>
      <c r="I362" s="42" t="inlineStr">
        <is>
          <t>HDFC 5413</t>
        </is>
      </c>
      <c r="J362" s="42" t="inlineStr"/>
      <c r="K362" s="42" t="inlineStr">
        <is>
          <t>NET PI TO HSL SEC A/C 2554606-00602340029427</t>
        </is>
      </c>
      <c r="L362" s="42" t="inlineStr">
        <is>
          <t>HDFC Bank</t>
        </is>
      </c>
      <c r="M362" s="42" t="inlineStr"/>
    </row>
    <row r="363">
      <c r="A363" s="101" t="n">
        <v>45108</v>
      </c>
      <c r="B363" s="101" t="n">
        <v>45108</v>
      </c>
      <c r="C363" s="102" t="n">
        <v>0</v>
      </c>
      <c r="D363" s="102" t="n">
        <v>20</v>
      </c>
      <c r="E363" s="102" t="inlineStr"/>
      <c r="F363" s="102" t="inlineStr">
        <is>
          <t>Received - Vendekin</t>
        </is>
      </c>
      <c r="G363" s="25" t="n">
        <v>0.55</v>
      </c>
      <c r="H363" s="102" t="inlineStr">
        <is>
          <t>Personal</t>
        </is>
      </c>
      <c r="I363" s="102" t="inlineStr">
        <is>
          <t>SBI 1227</t>
        </is>
      </c>
      <c r="J363" s="102" t="inlineStr"/>
      <c r="K363" s="102" t="inlineStr">
        <is>
          <t xml:space="preserve">   BY TRANSFER-UPI/CR/318221585103/Vendekin/ICIC/vendekin@i/vende--</t>
        </is>
      </c>
      <c r="L363" s="102" t="inlineStr">
        <is>
          <t>State Bank of India</t>
        </is>
      </c>
      <c r="M363" s="102" t="inlineStr"/>
    </row>
    <row r="364">
      <c r="A364" s="101" t="n">
        <v>45108</v>
      </c>
      <c r="B364" s="101" t="n">
        <v>45108</v>
      </c>
      <c r="C364" s="102" t="n">
        <v>0</v>
      </c>
      <c r="D364" s="102" t="n">
        <v>40</v>
      </c>
      <c r="E364" s="102" t="inlineStr"/>
      <c r="F364" s="102" t="inlineStr">
        <is>
          <t>Received - Vendekin</t>
        </is>
      </c>
      <c r="G364" s="25" t="n">
        <v>0.55</v>
      </c>
      <c r="H364" s="102" t="inlineStr">
        <is>
          <t>Personal</t>
        </is>
      </c>
      <c r="I364" s="102" t="inlineStr">
        <is>
          <t>SBI 1227</t>
        </is>
      </c>
      <c r="J364" s="102" t="inlineStr"/>
      <c r="K364" s="102" t="inlineStr">
        <is>
          <t xml:space="preserve">   BY TRANSFER-UPI/CR/318221579807/Vendekin/ICIC/vendekin@i/vende--</t>
        </is>
      </c>
      <c r="L364" s="102" t="inlineStr">
        <is>
          <t>State Bank of India</t>
        </is>
      </c>
      <c r="M364" s="102" t="inlineStr"/>
    </row>
    <row r="365">
      <c r="A365" s="37" t="n">
        <v>45108</v>
      </c>
      <c r="B365" s="37" t="n">
        <v>45108</v>
      </c>
      <c r="C365" s="38" t="n">
        <v>40</v>
      </c>
      <c r="D365" s="38" t="n">
        <v>0</v>
      </c>
      <c r="E365" s="38" t="inlineStr">
        <is>
          <t>Vendekin</t>
        </is>
      </c>
      <c r="F365" s="38" t="inlineStr">
        <is>
          <t>UPI Payment</t>
        </is>
      </c>
      <c r="G365" s="25" t="n">
        <v>0.55</v>
      </c>
      <c r="H365" s="38" t="inlineStr">
        <is>
          <t>Personal</t>
        </is>
      </c>
      <c r="I365" s="38" t="inlineStr">
        <is>
          <t>SBI 1227</t>
        </is>
      </c>
      <c r="J365" s="38" t="inlineStr"/>
      <c r="K365" s="38" t="inlineStr">
        <is>
          <t xml:space="preserve">   TO TRANSFER-UPI/DR/318215794065/Vendekin/ICIC/vendekin@i/UPI--</t>
        </is>
      </c>
      <c r="L365" s="38" t="inlineStr">
        <is>
          <t>State Bank of India</t>
        </is>
      </c>
      <c r="M365" s="38" t="inlineStr">
        <is>
          <t>⚠ Possible Duplicate</t>
        </is>
      </c>
    </row>
    <row r="366">
      <c r="A366" s="37" t="n">
        <v>45108</v>
      </c>
      <c r="B366" s="37" t="n">
        <v>45108</v>
      </c>
      <c r="C366" s="38" t="n">
        <v>20</v>
      </c>
      <c r="D366" s="38" t="n">
        <v>0</v>
      </c>
      <c r="E366" s="38" t="inlineStr">
        <is>
          <t>Mr  Aada</t>
        </is>
      </c>
      <c r="F366" s="38" t="inlineStr">
        <is>
          <t>UPI Payment</t>
        </is>
      </c>
      <c r="G366" s="25" t="n">
        <v>0.55</v>
      </c>
      <c r="H366" s="38" t="inlineStr">
        <is>
          <t>Personal</t>
        </is>
      </c>
      <c r="I366" s="38" t="inlineStr">
        <is>
          <t>SBI 1227</t>
        </is>
      </c>
      <c r="J366" s="38" t="inlineStr"/>
      <c r="K366" s="38" t="inlineStr">
        <is>
          <t xml:space="preserve">   TO TRANSFER-UPI/DR/318210431133/Mr  AADA/YESB/q964606339/UPI--</t>
        </is>
      </c>
      <c r="L366" s="38" t="inlineStr">
        <is>
          <t>State Bank of India</t>
        </is>
      </c>
      <c r="M366" s="38" t="inlineStr"/>
    </row>
    <row r="367">
      <c r="A367" s="37" t="n">
        <v>45108</v>
      </c>
      <c r="B367" s="37" t="n">
        <v>45108</v>
      </c>
      <c r="C367" s="38" t="n">
        <v>40</v>
      </c>
      <c r="D367" s="38" t="n">
        <v>0</v>
      </c>
      <c r="E367" s="38" t="inlineStr">
        <is>
          <t>Vendekin</t>
        </is>
      </c>
      <c r="F367" s="38" t="inlineStr">
        <is>
          <t>UPI Payment</t>
        </is>
      </c>
      <c r="G367" s="25" t="n">
        <v>0.55</v>
      </c>
      <c r="H367" s="38" t="inlineStr">
        <is>
          <t>Personal</t>
        </is>
      </c>
      <c r="I367" s="38" t="inlineStr">
        <is>
          <t>SBI 1227</t>
        </is>
      </c>
      <c r="J367" s="38" t="inlineStr"/>
      <c r="K367" s="38" t="inlineStr">
        <is>
          <t xml:space="preserve">   TO TRANSFER-UPI/DR/318227210384/Vendekin/ICIC/vendekin@i/UPI--</t>
        </is>
      </c>
      <c r="L367" s="38" t="inlineStr">
        <is>
          <t>State Bank of India</t>
        </is>
      </c>
      <c r="M367" s="38" t="inlineStr">
        <is>
          <t>⚠ Possible Duplicate</t>
        </is>
      </c>
    </row>
    <row r="368">
      <c r="A368" s="37" t="n">
        <v>45108</v>
      </c>
      <c r="B368" s="37" t="n">
        <v>45108</v>
      </c>
      <c r="C368" s="38" t="n">
        <v>40</v>
      </c>
      <c r="D368" s="38" t="n">
        <v>0</v>
      </c>
      <c r="E368" s="38" t="inlineStr">
        <is>
          <t>Vendekin</t>
        </is>
      </c>
      <c r="F368" s="38" t="inlineStr">
        <is>
          <t>UPI Payment</t>
        </is>
      </c>
      <c r="G368" s="25" t="n">
        <v>0.55</v>
      </c>
      <c r="H368" s="38" t="inlineStr">
        <is>
          <t>Personal</t>
        </is>
      </c>
      <c r="I368" s="38" t="inlineStr">
        <is>
          <t>SBI 1227</t>
        </is>
      </c>
      <c r="J368" s="38" t="inlineStr"/>
      <c r="K368" s="38" t="inlineStr">
        <is>
          <t xml:space="preserve">   TO TRANSFER-UPI/DR/318232705458/Vendekin/ICIC/vendekin@i/UPI--</t>
        </is>
      </c>
      <c r="L368" s="38" t="inlineStr">
        <is>
          <t>State Bank of India</t>
        </is>
      </c>
      <c r="M368" s="38" t="inlineStr">
        <is>
          <t>⚠ Possible Duplicate</t>
        </is>
      </c>
    </row>
    <row r="369">
      <c r="A369" s="37" t="n">
        <v>45108</v>
      </c>
      <c r="B369" s="37" t="n">
        <v>45108</v>
      </c>
      <c r="C369" s="38" t="n">
        <v>40</v>
      </c>
      <c r="D369" s="38" t="n">
        <v>0</v>
      </c>
      <c r="E369" s="38" t="inlineStr">
        <is>
          <t>Vendekin</t>
        </is>
      </c>
      <c r="F369" s="38" t="inlineStr">
        <is>
          <t>UPI Payment</t>
        </is>
      </c>
      <c r="G369" s="25" t="n">
        <v>0.55</v>
      </c>
      <c r="H369" s="38" t="inlineStr">
        <is>
          <t>Personal</t>
        </is>
      </c>
      <c r="I369" s="38" t="inlineStr">
        <is>
          <t>SBI 1227</t>
        </is>
      </c>
      <c r="J369" s="38" t="inlineStr"/>
      <c r="K369" s="38" t="inlineStr">
        <is>
          <t xml:space="preserve">   TO TRANSFER-UPI/DR/318215841765/Vendekin/ICIC/vendekin@i/UPI--</t>
        </is>
      </c>
      <c r="L369" s="38" t="inlineStr">
        <is>
          <t>State Bank of India</t>
        </is>
      </c>
      <c r="M369" s="38" t="inlineStr">
        <is>
          <t>⚠ Possible Duplicate</t>
        </is>
      </c>
    </row>
    <row r="370">
      <c r="A370" s="54" t="n">
        <v>45108</v>
      </c>
      <c r="B370" s="54" t="n">
        <v>45108</v>
      </c>
      <c r="C370" s="55" t="n">
        <v>0</v>
      </c>
      <c r="D370" s="55" t="n">
        <v>8375.93</v>
      </c>
      <c r="E370" s="55" t="inlineStr"/>
      <c r="F370" s="55" t="inlineStr">
        <is>
          <t>HDFC Securities - Sell</t>
        </is>
      </c>
      <c r="G370" s="18" t="n">
        <v>0.97</v>
      </c>
      <c r="H370" s="55" t="inlineStr">
        <is>
          <t>HDFC Securities</t>
        </is>
      </c>
      <c r="I370" s="55" t="inlineStr">
        <is>
          <t>HDFC 5413</t>
        </is>
      </c>
      <c r="J370" s="55" t="inlineStr"/>
      <c r="K370" s="55" t="inlineStr">
        <is>
          <t>NET PO FROM HSL A/C 2554606-00602340029427</t>
        </is>
      </c>
      <c r="L370" s="55" t="inlineStr">
        <is>
          <t>HDFC Bank</t>
        </is>
      </c>
      <c r="M370" s="55" t="inlineStr"/>
    </row>
    <row r="371">
      <c r="A371" s="30" t="n">
        <v>45108</v>
      </c>
      <c r="B371" s="30" t="n">
        <v>45108</v>
      </c>
      <c r="C371" s="31" t="n">
        <v>0</v>
      </c>
      <c r="D371" s="31" t="n">
        <v>504</v>
      </c>
      <c r="E371" s="31" t="inlineStr"/>
      <c r="F371" s="31" t="inlineStr">
        <is>
          <t>Bank Interest</t>
        </is>
      </c>
      <c r="G371" s="18" t="n">
        <v>0.93</v>
      </c>
      <c r="H371" s="31" t="inlineStr">
        <is>
          <t>Bank Interest</t>
        </is>
      </c>
      <c r="I371" s="31" t="inlineStr">
        <is>
          <t>AXIS</t>
        </is>
      </c>
      <c r="J371" s="31" t="inlineStr"/>
      <c r="K371" s="31" t="inlineStr">
        <is>
          <t>915010020334307:Int.Pd:01-04-2023 to 30-06-2023</t>
        </is>
      </c>
      <c r="L371" s="31" t="inlineStr">
        <is>
          <t>Axis Bank</t>
        </is>
      </c>
      <c r="M371" s="31" t="inlineStr"/>
    </row>
    <row r="372">
      <c r="A372" s="37" t="n">
        <v>45109</v>
      </c>
      <c r="B372" s="37" t="n">
        <v>45109</v>
      </c>
      <c r="C372" s="38" t="n">
        <v>60</v>
      </c>
      <c r="D372" s="38" t="n">
        <v>0</v>
      </c>
      <c r="E372" s="38" t="inlineStr">
        <is>
          <t>Vendekin</t>
        </is>
      </c>
      <c r="F372" s="38" t="inlineStr">
        <is>
          <t>UPI Payment</t>
        </is>
      </c>
      <c r="G372" s="25" t="n">
        <v>0.55</v>
      </c>
      <c r="H372" s="38" t="inlineStr">
        <is>
          <t>Personal</t>
        </is>
      </c>
      <c r="I372" s="38" t="inlineStr">
        <is>
          <t>SBI 1227</t>
        </is>
      </c>
      <c r="J372" s="38" t="inlineStr"/>
      <c r="K372" s="38" t="inlineStr">
        <is>
          <t xml:space="preserve">   TO TRANSFER-UPI/DR/318342378569/Vendekin/ICIC/vendekin@i/UPI--</t>
        </is>
      </c>
      <c r="L372" s="38" t="inlineStr">
        <is>
          <t>State Bank of India</t>
        </is>
      </c>
      <c r="M372" s="38" t="inlineStr"/>
    </row>
    <row r="373">
      <c r="A373" s="35" t="n">
        <v>45109</v>
      </c>
      <c r="B373" s="35" t="n">
        <v>45109</v>
      </c>
      <c r="C373" s="36" t="n">
        <v>130</v>
      </c>
      <c r="D373" s="36" t="n">
        <v>0</v>
      </c>
      <c r="E373" s="36" t="inlineStr"/>
      <c r="F373" s="36" t="inlineStr">
        <is>
          <t>UPI - Paytm</t>
        </is>
      </c>
      <c r="G373" s="34" t="n">
        <v>0.65</v>
      </c>
      <c r="H373" s="36" t="inlineStr">
        <is>
          <t>Personal</t>
        </is>
      </c>
      <c r="I373" s="36" t="inlineStr">
        <is>
          <t>SBI 1227</t>
        </is>
      </c>
      <c r="J373" s="36" t="inlineStr"/>
      <c r="K373" s="36" t="inlineStr">
        <is>
          <t xml:space="preserve">   TO TRANSFER-UPI/DR/318359964641/SEVEN SP/PYTM/paytmqr281/UPI--</t>
        </is>
      </c>
      <c r="L373" s="36" t="inlineStr">
        <is>
          <t>State Bank of India</t>
        </is>
      </c>
      <c r="M373" s="36" t="inlineStr"/>
    </row>
    <row r="374">
      <c r="A374" s="54" t="n">
        <v>45110</v>
      </c>
      <c r="B374" s="54" t="n">
        <v>45110</v>
      </c>
      <c r="C374" s="55" t="n">
        <v>0</v>
      </c>
      <c r="D374" s="55" t="n">
        <v>6664.97</v>
      </c>
      <c r="E374" s="55" t="inlineStr"/>
      <c r="F374" s="55" t="inlineStr">
        <is>
          <t>HDFC Securities - Sell</t>
        </is>
      </c>
      <c r="G374" s="18" t="n">
        <v>0.97</v>
      </c>
      <c r="H374" s="55" t="inlineStr">
        <is>
          <t>HDFC Securities</t>
        </is>
      </c>
      <c r="I374" s="55" t="inlineStr">
        <is>
          <t>HDFC 5413</t>
        </is>
      </c>
      <c r="J374" s="55" t="inlineStr"/>
      <c r="K374" s="55" t="inlineStr">
        <is>
          <t>NET PO FROM HSL A/C 2554606-00602340029427</t>
        </is>
      </c>
      <c r="L374" s="55" t="inlineStr">
        <is>
          <t>HDFC Bank</t>
        </is>
      </c>
      <c r="M374" s="55" t="inlineStr"/>
    </row>
    <row r="375">
      <c r="A375" s="41" t="n">
        <v>45110</v>
      </c>
      <c r="B375" s="41" t="n">
        <v>45110</v>
      </c>
      <c r="C375" s="42" t="n">
        <v>482.44</v>
      </c>
      <c r="D375" s="42" t="n">
        <v>0</v>
      </c>
      <c r="E375" s="42" t="inlineStr"/>
      <c r="F375" s="42" t="inlineStr">
        <is>
          <t>HDFC Securities - Buy</t>
        </is>
      </c>
      <c r="G375" s="18" t="n">
        <v>0.97</v>
      </c>
      <c r="H375" s="42" t="inlineStr">
        <is>
          <t>HDFC Securities</t>
        </is>
      </c>
      <c r="I375" s="42" t="inlineStr">
        <is>
          <t>HDFC 5413</t>
        </is>
      </c>
      <c r="J375" s="42" t="inlineStr"/>
      <c r="K375" s="42" t="inlineStr">
        <is>
          <t>NET PI TO HSL SEC A/C 2554606-00602340029427</t>
        </is>
      </c>
      <c r="L375" s="42" t="inlineStr">
        <is>
          <t>HDFC Bank</t>
        </is>
      </c>
      <c r="M375" s="42" t="inlineStr"/>
    </row>
    <row r="376">
      <c r="A376" s="64" t="n">
        <v>45110</v>
      </c>
      <c r="B376" s="64" t="n">
        <v>45110</v>
      </c>
      <c r="C376" s="65" t="n">
        <v>0</v>
      </c>
      <c r="D376" s="65" t="n">
        <v>350</v>
      </c>
      <c r="E376" s="65" t="inlineStr"/>
      <c r="F376" s="65" t="inlineStr">
        <is>
          <t>Dividend Income</t>
        </is>
      </c>
      <c r="G376" s="18" t="n">
        <v>0.88</v>
      </c>
      <c r="H376" s="65" t="inlineStr">
        <is>
          <t>Dividend Income</t>
        </is>
      </c>
      <c r="I376" s="65" t="inlineStr">
        <is>
          <t>HDFC 5413</t>
        </is>
      </c>
      <c r="J376" s="65" t="inlineStr"/>
      <c r="K376" s="65" t="inlineStr">
        <is>
          <t>ACH C- INFOSYS LIMITED-35114396</t>
        </is>
      </c>
      <c r="L376" s="65" t="inlineStr">
        <is>
          <t>HDFC Bank</t>
        </is>
      </c>
      <c r="M376" s="65" t="inlineStr"/>
    </row>
    <row r="377">
      <c r="A377" s="64" t="n">
        <v>45110</v>
      </c>
      <c r="B377" s="64" t="n">
        <v>45110</v>
      </c>
      <c r="C377" s="65" t="n">
        <v>0</v>
      </c>
      <c r="D377" s="65" t="n">
        <v>576</v>
      </c>
      <c r="E377" s="65" t="inlineStr"/>
      <c r="F377" s="65" t="inlineStr">
        <is>
          <t>Dividend Income</t>
        </is>
      </c>
      <c r="G377" s="18" t="n">
        <v>0.88</v>
      </c>
      <c r="H377" s="65" t="inlineStr">
        <is>
          <t>Dividend Income</t>
        </is>
      </c>
      <c r="I377" s="65" t="inlineStr">
        <is>
          <t>HDFC 5413</t>
        </is>
      </c>
      <c r="J377" s="65" t="inlineStr"/>
      <c r="K377" s="65" t="inlineStr">
        <is>
          <t>ACH C- TCS FINDIV 030723-1808047</t>
        </is>
      </c>
      <c r="L377" s="65" t="inlineStr">
        <is>
          <t>HDFC Bank</t>
        </is>
      </c>
      <c r="M377" s="65" t="inlineStr"/>
    </row>
    <row r="378">
      <c r="A378" s="54" t="n">
        <v>45110</v>
      </c>
      <c r="B378" s="54" t="n">
        <v>45110</v>
      </c>
      <c r="C378" s="55" t="n">
        <v>0</v>
      </c>
      <c r="D378" s="55" t="n">
        <v>482.44</v>
      </c>
      <c r="E378" s="55" t="inlineStr"/>
      <c r="F378" s="55" t="inlineStr">
        <is>
          <t>HDFC Securities - Sell</t>
        </is>
      </c>
      <c r="G378" s="18" t="n">
        <v>0.97</v>
      </c>
      <c r="H378" s="55" t="inlineStr">
        <is>
          <t>HDFC Securities</t>
        </is>
      </c>
      <c r="I378" s="55" t="inlineStr">
        <is>
          <t>HDFC 5413</t>
        </is>
      </c>
      <c r="J378" s="55" t="inlineStr"/>
      <c r="K378" s="55" t="inlineStr">
        <is>
          <t>NET PO FROM HSL A/C 2554606-00602340029427</t>
        </is>
      </c>
      <c r="L378" s="55" t="inlineStr">
        <is>
          <t>HDFC Bank</t>
        </is>
      </c>
      <c r="M378" s="55" t="inlineStr"/>
    </row>
    <row r="379">
      <c r="A379" s="23" t="n">
        <v>45110</v>
      </c>
      <c r="B379" s="23" t="n">
        <v>45110</v>
      </c>
      <c r="C379" s="24" t="n">
        <v>0</v>
      </c>
      <c r="D379" s="24" t="n">
        <v>10000</v>
      </c>
      <c r="E379" s="24" t="inlineStr"/>
      <c r="F379" s="24" t="inlineStr">
        <is>
          <t>What is this?</t>
        </is>
      </c>
      <c r="G379" s="25" t="n">
        <v>0</v>
      </c>
      <c r="H379" s="24" t="inlineStr">
        <is>
          <t>Suspense</t>
        </is>
      </c>
      <c r="I379" s="24" t="inlineStr">
        <is>
          <t>SBI 1227</t>
        </is>
      </c>
      <c r="J379" s="24" t="inlineStr"/>
      <c r="K379" s="24" t="inlineStr">
        <is>
          <t xml:space="preserve">   BY TRANSFER-FUD TR FR JSW STEEL LTD--</t>
        </is>
      </c>
      <c r="L379" s="24" t="inlineStr">
        <is>
          <t>State Bank of India</t>
        </is>
      </c>
      <c r="M379" s="24" t="inlineStr"/>
    </row>
    <row r="380">
      <c r="A380" s="37" t="n">
        <v>45110</v>
      </c>
      <c r="B380" s="37" t="n">
        <v>45110</v>
      </c>
      <c r="C380" s="38" t="n">
        <v>60</v>
      </c>
      <c r="D380" s="38" t="n">
        <v>0</v>
      </c>
      <c r="E380" s="38" t="inlineStr">
        <is>
          <t>Mr  Aada</t>
        </is>
      </c>
      <c r="F380" s="38" t="inlineStr">
        <is>
          <t>UPI Payment</t>
        </is>
      </c>
      <c r="G380" s="25" t="n">
        <v>0.55</v>
      </c>
      <c r="H380" s="38" t="inlineStr">
        <is>
          <t>Personal</t>
        </is>
      </c>
      <c r="I380" s="38" t="inlineStr">
        <is>
          <t>SBI 1227</t>
        </is>
      </c>
      <c r="J380" s="38" t="inlineStr"/>
      <c r="K380" s="38" t="inlineStr">
        <is>
          <t xml:space="preserve">   TO TRANSFER-UPI/DR/318497563455/Mr  AADA/YESB/q739730170/UPI--</t>
        </is>
      </c>
      <c r="L380" s="38" t="inlineStr">
        <is>
          <t>State Bank of India</t>
        </is>
      </c>
      <c r="M380" s="38" t="inlineStr"/>
    </row>
    <row r="381">
      <c r="A381" s="41" t="n">
        <v>45110</v>
      </c>
      <c r="B381" s="41" t="n">
        <v>45110</v>
      </c>
      <c r="C381" s="42" t="n">
        <v>66.23</v>
      </c>
      <c r="D381" s="42" t="n">
        <v>0</v>
      </c>
      <c r="E381" s="42" t="inlineStr"/>
      <c r="F381" s="42" t="inlineStr">
        <is>
          <t>HDFC Securities - Buy</t>
        </is>
      </c>
      <c r="G381" s="18" t="n">
        <v>0.97</v>
      </c>
      <c r="H381" s="42" t="inlineStr">
        <is>
          <t>HDFC Securities</t>
        </is>
      </c>
      <c r="I381" s="42" t="inlineStr">
        <is>
          <t>HDFC 5413</t>
        </is>
      </c>
      <c r="J381" s="42" t="inlineStr"/>
      <c r="K381" s="42" t="inlineStr">
        <is>
          <t>NET PI TO HSL SEC A/C 2554606-00602340029427</t>
        </is>
      </c>
      <c r="L381" s="42" t="inlineStr">
        <is>
          <t>HDFC Bank</t>
        </is>
      </c>
      <c r="M381" s="42" t="inlineStr"/>
    </row>
    <row r="382">
      <c r="A382" s="41" t="n">
        <v>45111</v>
      </c>
      <c r="B382" s="41" t="n">
        <v>45111</v>
      </c>
      <c r="C382" s="42" t="n">
        <v>14965.4</v>
      </c>
      <c r="D382" s="42" t="n">
        <v>0</v>
      </c>
      <c r="E382" s="42" t="inlineStr"/>
      <c r="F382" s="42" t="inlineStr">
        <is>
          <t>HDFC Securities - Buy</t>
        </is>
      </c>
      <c r="G382" s="18" t="n">
        <v>0.97</v>
      </c>
      <c r="H382" s="42" t="inlineStr">
        <is>
          <t>HDFC Securities</t>
        </is>
      </c>
      <c r="I382" s="42" t="inlineStr">
        <is>
          <t>HDFC 5413</t>
        </is>
      </c>
      <c r="J382" s="42" t="inlineStr"/>
      <c r="K382" s="42" t="inlineStr">
        <is>
          <t>NET PI TO HSL SEC A/C 2554606-00602340029427</t>
        </is>
      </c>
      <c r="L382" s="42" t="inlineStr">
        <is>
          <t>HDFC Bank</t>
        </is>
      </c>
      <c r="M382" s="42" t="inlineStr"/>
    </row>
    <row r="383">
      <c r="A383" s="37" t="n">
        <v>45111</v>
      </c>
      <c r="B383" s="37" t="n">
        <v>45111</v>
      </c>
      <c r="C383" s="38" t="n">
        <v>20</v>
      </c>
      <c r="D383" s="38" t="n">
        <v>0</v>
      </c>
      <c r="E383" s="38" t="inlineStr">
        <is>
          <t>Vendekin</t>
        </is>
      </c>
      <c r="F383" s="38" t="inlineStr">
        <is>
          <t>UPI Payment</t>
        </is>
      </c>
      <c r="G383" s="25" t="n">
        <v>0.55</v>
      </c>
      <c r="H383" s="38" t="inlineStr">
        <is>
          <t>Personal</t>
        </is>
      </c>
      <c r="I383" s="38" t="inlineStr">
        <is>
          <t>SBI 1227</t>
        </is>
      </c>
      <c r="J383" s="38" t="inlineStr"/>
      <c r="K383" s="38" t="inlineStr">
        <is>
          <t xml:space="preserve">   TO TRANSFER-UPI/DR/318513180895/Vendekin/ICIC/vendekin@i/UPI--</t>
        </is>
      </c>
      <c r="L383" s="38" t="inlineStr">
        <is>
          <t>State Bank of India</t>
        </is>
      </c>
      <c r="M383" s="38" t="inlineStr">
        <is>
          <t>⚠ Possible Duplicate</t>
        </is>
      </c>
    </row>
    <row r="384">
      <c r="A384" s="97" t="n">
        <v>45111</v>
      </c>
      <c r="B384" s="97" t="n">
        <v>45111</v>
      </c>
      <c r="C384" s="98" t="n">
        <v>190</v>
      </c>
      <c r="D384" s="98" t="n">
        <v>0</v>
      </c>
      <c r="E384" s="98" t="inlineStr"/>
      <c r="F384" s="98" t="inlineStr">
        <is>
          <t>UPI - Swiggy</t>
        </is>
      </c>
      <c r="G384" s="34" t="n">
        <v>0.68</v>
      </c>
      <c r="H384" s="98" t="inlineStr">
        <is>
          <t>Food &amp; Dining</t>
        </is>
      </c>
      <c r="I384" s="98" t="inlineStr">
        <is>
          <t>SBI 1227</t>
        </is>
      </c>
      <c r="J384" s="98" t="inlineStr"/>
      <c r="K384" s="98" t="inlineStr">
        <is>
          <t xml:space="preserve">   TO TRANSFER-UPI/DR/318531421683/SWIGGY/ICIC/upiswiggy@/Payment--</t>
        </is>
      </c>
      <c r="L384" s="98" t="inlineStr">
        <is>
          <t>State Bank of India</t>
        </is>
      </c>
      <c r="M384" s="98" t="inlineStr"/>
    </row>
    <row r="385">
      <c r="A385" s="37" t="n">
        <v>45111</v>
      </c>
      <c r="B385" s="37" t="n">
        <v>45111</v>
      </c>
      <c r="C385" s="38" t="n">
        <v>20</v>
      </c>
      <c r="D385" s="38" t="n">
        <v>0</v>
      </c>
      <c r="E385" s="38" t="inlineStr">
        <is>
          <t>Vendekin</t>
        </is>
      </c>
      <c r="F385" s="38" t="inlineStr">
        <is>
          <t>UPI Payment</t>
        </is>
      </c>
      <c r="G385" s="25" t="n">
        <v>0.55</v>
      </c>
      <c r="H385" s="38" t="inlineStr">
        <is>
          <t>Personal</t>
        </is>
      </c>
      <c r="I385" s="38" t="inlineStr">
        <is>
          <t>SBI 1227</t>
        </is>
      </c>
      <c r="J385" s="38" t="inlineStr"/>
      <c r="K385" s="38" t="inlineStr">
        <is>
          <t xml:space="preserve">   TO TRANSFER-UPI/DR/318500074285/Vendekin/ICIC/vendekin@i/UPI--</t>
        </is>
      </c>
      <c r="L385" s="38" t="inlineStr">
        <is>
          <t>State Bank of India</t>
        </is>
      </c>
      <c r="M385" s="38" t="inlineStr">
        <is>
          <t>⚠ Possible Duplicate</t>
        </is>
      </c>
    </row>
    <row r="386">
      <c r="A386" s="97" t="n">
        <v>45112</v>
      </c>
      <c r="B386" s="97" t="n">
        <v>45112</v>
      </c>
      <c r="C386" s="98" t="n">
        <v>185</v>
      </c>
      <c r="D386" s="98" t="n">
        <v>0</v>
      </c>
      <c r="E386" s="98" t="inlineStr"/>
      <c r="F386" s="98" t="inlineStr">
        <is>
          <t>UPI - Swiggy</t>
        </is>
      </c>
      <c r="G386" s="34" t="n">
        <v>0.68</v>
      </c>
      <c r="H386" s="98" t="inlineStr">
        <is>
          <t>Food &amp; Dining</t>
        </is>
      </c>
      <c r="I386" s="98" t="inlineStr">
        <is>
          <t>SBI 1227</t>
        </is>
      </c>
      <c r="J386" s="98" t="inlineStr"/>
      <c r="K386" s="98" t="inlineStr">
        <is>
          <t xml:space="preserve">   TO TRANSFER-UPI/DR/318633751449/SWIGGY/ICIC/upiswiggy@/Payment--</t>
        </is>
      </c>
      <c r="L386" s="98" t="inlineStr">
        <is>
          <t>State Bank of India</t>
        </is>
      </c>
      <c r="M386" s="98" t="inlineStr"/>
    </row>
    <row r="387">
      <c r="A387" s="37" t="n">
        <v>45112</v>
      </c>
      <c r="B387" s="37" t="n">
        <v>45112</v>
      </c>
      <c r="C387" s="38" t="n">
        <v>20</v>
      </c>
      <c r="D387" s="38" t="n">
        <v>0</v>
      </c>
      <c r="E387" s="38" t="inlineStr">
        <is>
          <t>Mr  Aada</t>
        </is>
      </c>
      <c r="F387" s="38" t="inlineStr">
        <is>
          <t>UPI Payment</t>
        </is>
      </c>
      <c r="G387" s="25" t="n">
        <v>0.55</v>
      </c>
      <c r="H387" s="38" t="inlineStr">
        <is>
          <t>Personal</t>
        </is>
      </c>
      <c r="I387" s="38" t="inlineStr">
        <is>
          <t>SBI 1227</t>
        </is>
      </c>
      <c r="J387" s="38" t="inlineStr"/>
      <c r="K387" s="38" t="inlineStr">
        <is>
          <t xml:space="preserve">   TO TRANSFER-UPI/DR/355242955542/Mr  AADA/YESB/q739730170/UPI--</t>
        </is>
      </c>
      <c r="L387" s="38" t="inlineStr">
        <is>
          <t>State Bank of India</t>
        </is>
      </c>
      <c r="M387" s="38" t="inlineStr"/>
    </row>
    <row r="388">
      <c r="A388" s="58" t="n">
        <v>45112</v>
      </c>
      <c r="B388" s="58" t="n">
        <v>45112</v>
      </c>
      <c r="C388" s="59" t="n">
        <v>0</v>
      </c>
      <c r="D388" s="59" t="n">
        <v>929.8200000000001</v>
      </c>
      <c r="E388" s="59" t="inlineStr"/>
      <c r="F388" s="59" t="inlineStr">
        <is>
          <t>NEFT Transfer</t>
        </is>
      </c>
      <c r="G388" s="34" t="n">
        <v>0.7</v>
      </c>
      <c r="H388" s="59" t="inlineStr">
        <is>
          <t>Transfer</t>
        </is>
      </c>
      <c r="I388" s="59" t="inlineStr">
        <is>
          <t>SBI 1227</t>
        </is>
      </c>
      <c r="J388" s="59" t="inlineStr"/>
      <c r="K388" s="59" t="inlineStr">
        <is>
          <t xml:space="preserve">   BY TRANSFER-NEFT*YESB0000001*YESB31864353562*ZERODHA BROKING L--</t>
        </is>
      </c>
      <c r="L388" s="59" t="inlineStr">
        <is>
          <t>State Bank of India</t>
        </is>
      </c>
      <c r="M388" s="59" t="inlineStr"/>
    </row>
    <row r="389">
      <c r="A389" s="37" t="n">
        <v>45112</v>
      </c>
      <c r="B389" s="37" t="n">
        <v>45112</v>
      </c>
      <c r="C389" s="38" t="n">
        <v>50</v>
      </c>
      <c r="D389" s="38" t="n">
        <v>0</v>
      </c>
      <c r="E389" s="38" t="inlineStr">
        <is>
          <t>Vendekin</t>
        </is>
      </c>
      <c r="F389" s="38" t="inlineStr">
        <is>
          <t>UPI Payment</t>
        </is>
      </c>
      <c r="G389" s="25" t="n">
        <v>0.55</v>
      </c>
      <c r="H389" s="38" t="inlineStr">
        <is>
          <t>Personal</t>
        </is>
      </c>
      <c r="I389" s="38" t="inlineStr">
        <is>
          <t>SBI 1227</t>
        </is>
      </c>
      <c r="J389" s="38" t="inlineStr"/>
      <c r="K389" s="38" t="inlineStr">
        <is>
          <t xml:space="preserve">   TO TRANSFER-UPI/DR/318607271205/Vendekin/ICIC/vendekin@i/UPI--</t>
        </is>
      </c>
      <c r="L389" s="38" t="inlineStr">
        <is>
          <t>State Bank of India</t>
        </is>
      </c>
      <c r="M389" s="38" t="inlineStr"/>
    </row>
    <row r="390">
      <c r="A390" s="41" t="n">
        <v>45112</v>
      </c>
      <c r="B390" s="41" t="n">
        <v>45112</v>
      </c>
      <c r="C390" s="42" t="n">
        <v>2415.13</v>
      </c>
      <c r="D390" s="42" t="n">
        <v>0</v>
      </c>
      <c r="E390" s="42" t="inlineStr"/>
      <c r="F390" s="42" t="inlineStr">
        <is>
          <t>HDFC Securities - Buy</t>
        </is>
      </c>
      <c r="G390" s="18" t="n">
        <v>0.97</v>
      </c>
      <c r="H390" s="42" t="inlineStr">
        <is>
          <t>HDFC Securities</t>
        </is>
      </c>
      <c r="I390" s="42" t="inlineStr">
        <is>
          <t>HDFC 5413</t>
        </is>
      </c>
      <c r="J390" s="42" t="inlineStr"/>
      <c r="K390" s="42" t="inlineStr">
        <is>
          <t>NET PI TO HSL SEC A/C 2554606-00602340029427</t>
        </is>
      </c>
      <c r="L390" s="42" t="inlineStr">
        <is>
          <t>HDFC Bank</t>
        </is>
      </c>
      <c r="M390" s="42" t="inlineStr"/>
    </row>
    <row r="391">
      <c r="A391" s="41" t="n">
        <v>45112</v>
      </c>
      <c r="B391" s="41" t="n">
        <v>45112</v>
      </c>
      <c r="C391" s="42" t="n">
        <v>9630.59</v>
      </c>
      <c r="D391" s="42" t="n">
        <v>0</v>
      </c>
      <c r="E391" s="42" t="inlineStr"/>
      <c r="F391" s="42" t="inlineStr">
        <is>
          <t>HDFC Securities - Buy</t>
        </is>
      </c>
      <c r="G391" s="18" t="n">
        <v>0.97</v>
      </c>
      <c r="H391" s="42" t="inlineStr">
        <is>
          <t>HDFC Securities</t>
        </is>
      </c>
      <c r="I391" s="42" t="inlineStr">
        <is>
          <t>HDFC 5413</t>
        </is>
      </c>
      <c r="J391" s="42" t="inlineStr"/>
      <c r="K391" s="42" t="inlineStr">
        <is>
          <t>NET PI TO HSL SEC A/C 2554606-00602340029427</t>
        </is>
      </c>
      <c r="L391" s="42" t="inlineStr">
        <is>
          <t>HDFC Bank</t>
        </is>
      </c>
      <c r="M391" s="42" t="inlineStr"/>
    </row>
    <row r="392">
      <c r="A392" s="35" t="n">
        <v>45112</v>
      </c>
      <c r="B392" s="35" t="n">
        <v>45112</v>
      </c>
      <c r="C392" s="36" t="n">
        <v>40</v>
      </c>
      <c r="D392" s="36" t="n">
        <v>0</v>
      </c>
      <c r="E392" s="36" t="inlineStr"/>
      <c r="F392" s="36" t="inlineStr">
        <is>
          <t>UPI - Paytm</t>
        </is>
      </c>
      <c r="G392" s="34" t="n">
        <v>0.65</v>
      </c>
      <c r="H392" s="36" t="inlineStr">
        <is>
          <t>Personal</t>
        </is>
      </c>
      <c r="I392" s="36" t="inlineStr">
        <is>
          <t>SBI 1227</t>
        </is>
      </c>
      <c r="J392" s="36" t="inlineStr"/>
      <c r="K392" s="36" t="inlineStr">
        <is>
          <t xml:space="preserve">   TO TRANSFER-UPI/DR/355281447295/SEVEN SP/PYTM/paytmqr281/UPI--</t>
        </is>
      </c>
      <c r="L392" s="36" t="inlineStr">
        <is>
          <t>State Bank of India</t>
        </is>
      </c>
      <c r="M392" s="36" t="inlineStr"/>
    </row>
    <row r="393">
      <c r="A393" s="41" t="n">
        <v>45112</v>
      </c>
      <c r="B393" s="41" t="n">
        <v>45112</v>
      </c>
      <c r="C393" s="42" t="n">
        <v>11186.15</v>
      </c>
      <c r="D393" s="42" t="n">
        <v>0</v>
      </c>
      <c r="E393" s="42" t="inlineStr"/>
      <c r="F393" s="42" t="inlineStr">
        <is>
          <t>HDFC Securities - Buy</t>
        </is>
      </c>
      <c r="G393" s="18" t="n">
        <v>0.97</v>
      </c>
      <c r="H393" s="42" t="inlineStr">
        <is>
          <t>HDFC Securities</t>
        </is>
      </c>
      <c r="I393" s="42" t="inlineStr">
        <is>
          <t>HDFC 5413</t>
        </is>
      </c>
      <c r="J393" s="42" t="inlineStr"/>
      <c r="K393" s="42" t="inlineStr">
        <is>
          <t>NET PI TO HSL SEC A/C 2554606-00602340029427</t>
        </is>
      </c>
      <c r="L393" s="42" t="inlineStr">
        <is>
          <t>HDFC Bank</t>
        </is>
      </c>
      <c r="M393" s="42" t="inlineStr"/>
    </row>
    <row r="394">
      <c r="A394" s="54" t="n">
        <v>45112</v>
      </c>
      <c r="B394" s="54" t="n">
        <v>45112</v>
      </c>
      <c r="C394" s="55" t="n">
        <v>0</v>
      </c>
      <c r="D394" s="55" t="n">
        <v>9630.59</v>
      </c>
      <c r="E394" s="55" t="inlineStr"/>
      <c r="F394" s="55" t="inlineStr">
        <is>
          <t>HDFC Securities - Sell</t>
        </is>
      </c>
      <c r="G394" s="18" t="n">
        <v>0.97</v>
      </c>
      <c r="H394" s="55" t="inlineStr">
        <is>
          <t>HDFC Securities</t>
        </is>
      </c>
      <c r="I394" s="55" t="inlineStr">
        <is>
          <t>HDFC 5413</t>
        </is>
      </c>
      <c r="J394" s="55" t="inlineStr"/>
      <c r="K394" s="55" t="inlineStr">
        <is>
          <t>NET PO FROM HSL A/C 2554606-00602340029427</t>
        </is>
      </c>
      <c r="L394" s="55" t="inlineStr">
        <is>
          <t>HDFC Bank</t>
        </is>
      </c>
      <c r="M394" s="55" t="inlineStr"/>
    </row>
    <row r="395">
      <c r="A395" s="41" t="n">
        <v>45112</v>
      </c>
      <c r="B395" s="41" t="n">
        <v>45112</v>
      </c>
      <c r="C395" s="42" t="n">
        <v>113.29</v>
      </c>
      <c r="D395" s="42" t="n">
        <v>0</v>
      </c>
      <c r="E395" s="42" t="inlineStr"/>
      <c r="F395" s="42" t="inlineStr">
        <is>
          <t>HDFC Securities - Buy</t>
        </is>
      </c>
      <c r="G395" s="18" t="n">
        <v>0.97</v>
      </c>
      <c r="H395" s="42" t="inlineStr">
        <is>
          <t>HDFC Securities</t>
        </is>
      </c>
      <c r="I395" s="42" t="inlineStr">
        <is>
          <t>HDFC 5413</t>
        </is>
      </c>
      <c r="J395" s="42" t="inlineStr"/>
      <c r="K395" s="42" t="inlineStr">
        <is>
          <t>NET PI TO HSL SEC A/C 2554606-00602340029427</t>
        </is>
      </c>
      <c r="L395" s="42" t="inlineStr">
        <is>
          <t>HDFC Bank</t>
        </is>
      </c>
      <c r="M395" s="42" t="inlineStr"/>
    </row>
    <row r="396">
      <c r="A396" s="26" t="n">
        <v>45112</v>
      </c>
      <c r="B396" s="26" t="n">
        <v>45112</v>
      </c>
      <c r="C396" s="27" t="n">
        <v>20000</v>
      </c>
      <c r="D396" s="27" t="n">
        <v>0</v>
      </c>
      <c r="E396" s="27" t="inlineStr"/>
      <c r="F396" s="27" t="inlineStr">
        <is>
          <t>Transfer - Ajay Gupta</t>
        </is>
      </c>
      <c r="G396" s="18" t="n">
        <v>0.88</v>
      </c>
      <c r="H396" s="27" t="inlineStr">
        <is>
          <t>Ajay Gupta</t>
        </is>
      </c>
      <c r="I396" s="27" t="inlineStr">
        <is>
          <t>HDFC 5413</t>
        </is>
      </c>
      <c r="J396" s="27" t="inlineStr"/>
      <c r="K396" s="27" t="inlineStr">
        <is>
          <t>01671000085930-TPT-RETRUN FROM AAYUSH-AJAY KUMAR GUPTA</t>
        </is>
      </c>
      <c r="L396" s="27" t="inlineStr">
        <is>
          <t>HDFC Bank</t>
        </is>
      </c>
      <c r="M396" s="27" t="inlineStr"/>
    </row>
    <row r="397">
      <c r="A397" s="54" t="n">
        <v>45112</v>
      </c>
      <c r="B397" s="54" t="n">
        <v>45111</v>
      </c>
      <c r="C397" s="55" t="n">
        <v>0</v>
      </c>
      <c r="D397" s="55" t="n">
        <v>77430</v>
      </c>
      <c r="E397" s="55" t="inlineStr"/>
      <c r="F397" s="55" t="inlineStr">
        <is>
          <t>HDFC Securities - Sell</t>
        </is>
      </c>
      <c r="G397" s="18" t="n">
        <v>0.97</v>
      </c>
      <c r="H397" s="55" t="inlineStr">
        <is>
          <t>HDFC Securities</t>
        </is>
      </c>
      <c r="I397" s="55" t="inlineStr">
        <is>
          <t>HDFC 5413</t>
        </is>
      </c>
      <c r="J397" s="55" t="inlineStr"/>
      <c r="K397" s="55" t="inlineStr">
        <is>
          <t>NET PO FROM HSL A/C 2554606-00602340029427</t>
        </is>
      </c>
      <c r="L397" s="55" t="inlineStr">
        <is>
          <t>HDFC Bank</t>
        </is>
      </c>
      <c r="M397" s="55" t="inlineStr"/>
    </row>
    <row r="398">
      <c r="A398" s="54" t="n">
        <v>45112</v>
      </c>
      <c r="B398" s="54" t="n">
        <v>45111</v>
      </c>
      <c r="C398" s="55" t="n">
        <v>0</v>
      </c>
      <c r="D398" s="55" t="n">
        <v>34.6</v>
      </c>
      <c r="E398" s="55" t="inlineStr"/>
      <c r="F398" s="55" t="inlineStr">
        <is>
          <t>HDFC Securities - Sell</t>
        </is>
      </c>
      <c r="G398" s="18" t="n">
        <v>0.97</v>
      </c>
      <c r="H398" s="55" t="inlineStr">
        <is>
          <t>HDFC Securities</t>
        </is>
      </c>
      <c r="I398" s="55" t="inlineStr">
        <is>
          <t>HDFC 5413</t>
        </is>
      </c>
      <c r="J398" s="55" t="inlineStr"/>
      <c r="K398" s="55" t="inlineStr">
        <is>
          <t>NET PO FROM HSL A/C 2554606-00602340029427</t>
        </is>
      </c>
      <c r="L398" s="55" t="inlineStr">
        <is>
          <t>HDFC Bank</t>
        </is>
      </c>
      <c r="M398" s="55" t="inlineStr"/>
    </row>
    <row r="399">
      <c r="A399" s="41" t="n">
        <v>45112</v>
      </c>
      <c r="B399" s="41" t="n">
        <v>45112</v>
      </c>
      <c r="C399" s="42" t="n">
        <v>34.6</v>
      </c>
      <c r="D399" s="42" t="n">
        <v>0</v>
      </c>
      <c r="E399" s="42" t="inlineStr"/>
      <c r="F399" s="42" t="inlineStr">
        <is>
          <t>HDFC Securities - Buy</t>
        </is>
      </c>
      <c r="G399" s="18" t="n">
        <v>0.97</v>
      </c>
      <c r="H399" s="42" t="inlineStr">
        <is>
          <t>HDFC Securities</t>
        </is>
      </c>
      <c r="I399" s="42" t="inlineStr">
        <is>
          <t>HDFC 5413</t>
        </is>
      </c>
      <c r="J399" s="42" t="inlineStr"/>
      <c r="K399" s="42" t="inlineStr">
        <is>
          <t>NET PI TO HSL SEC A/C 2554606-00602340029427</t>
        </is>
      </c>
      <c r="L399" s="42" t="inlineStr">
        <is>
          <t>HDFC Bank</t>
        </is>
      </c>
      <c r="M399" s="42" t="inlineStr"/>
    </row>
    <row r="400">
      <c r="A400" s="37" t="n">
        <v>45113</v>
      </c>
      <c r="B400" s="37" t="n">
        <v>45113</v>
      </c>
      <c r="C400" s="38" t="n">
        <v>40</v>
      </c>
      <c r="D400" s="38" t="n">
        <v>0</v>
      </c>
      <c r="E400" s="38" t="inlineStr">
        <is>
          <t>Vendekin</t>
        </is>
      </c>
      <c r="F400" s="38" t="inlineStr">
        <is>
          <t>UPI Payment</t>
        </is>
      </c>
      <c r="G400" s="25" t="n">
        <v>0.55</v>
      </c>
      <c r="H400" s="38" t="inlineStr">
        <is>
          <t>Personal</t>
        </is>
      </c>
      <c r="I400" s="38" t="inlineStr">
        <is>
          <t>SBI 1227</t>
        </is>
      </c>
      <c r="J400" s="38" t="inlineStr"/>
      <c r="K400" s="38" t="inlineStr">
        <is>
          <t xml:space="preserve">   TO TRANSFER-UPI/DR/355489401799/Vendekin/ICIC/vendekin@i/UPI--</t>
        </is>
      </c>
      <c r="L400" s="38" t="inlineStr">
        <is>
          <t>State Bank of India</t>
        </is>
      </c>
      <c r="M400" s="38" t="inlineStr"/>
    </row>
    <row r="401">
      <c r="A401" s="101" t="n">
        <v>45113</v>
      </c>
      <c r="B401" s="101" t="n">
        <v>45113</v>
      </c>
      <c r="C401" s="102" t="n">
        <v>0</v>
      </c>
      <c r="D401" s="102" t="n">
        <v>90</v>
      </c>
      <c r="E401" s="102" t="inlineStr"/>
      <c r="F401" s="102" t="inlineStr">
        <is>
          <t>Received - Shashank</t>
        </is>
      </c>
      <c r="G401" s="25" t="n">
        <v>0.55</v>
      </c>
      <c r="H401" s="102" t="inlineStr">
        <is>
          <t>Personal</t>
        </is>
      </c>
      <c r="I401" s="102" t="inlineStr">
        <is>
          <t>SBI 1227</t>
        </is>
      </c>
      <c r="J401" s="102" t="inlineStr"/>
      <c r="K401" s="102" t="inlineStr">
        <is>
          <t xml:space="preserve">   BY TRANSFER-UPI/CR/355341498822/SHASHANK/HDFC/9880498899/Sent--</t>
        </is>
      </c>
      <c r="L401" s="102" t="inlineStr">
        <is>
          <t>State Bank of India</t>
        </is>
      </c>
      <c r="M401" s="102" t="inlineStr"/>
    </row>
    <row r="402">
      <c r="A402" s="37" t="n">
        <v>45113</v>
      </c>
      <c r="B402" s="37" t="n">
        <v>45113</v>
      </c>
      <c r="C402" s="38" t="n">
        <v>160</v>
      </c>
      <c r="D402" s="38" t="n">
        <v>0</v>
      </c>
      <c r="E402" s="38" t="inlineStr">
        <is>
          <t>Mr Jagta</t>
        </is>
      </c>
      <c r="F402" s="38" t="inlineStr">
        <is>
          <t>UPI Payment</t>
        </is>
      </c>
      <c r="G402" s="25" t="n">
        <v>0.55</v>
      </c>
      <c r="H402" s="38" t="inlineStr">
        <is>
          <t>Personal</t>
        </is>
      </c>
      <c r="I402" s="38" t="inlineStr">
        <is>
          <t>SBI 1227</t>
        </is>
      </c>
      <c r="J402" s="38" t="inlineStr"/>
      <c r="K402" s="38" t="inlineStr">
        <is>
          <t xml:space="preserve">   TO TRANSFER-UPI/DR/318792838816/Mr JAGTA/CBIN/jagtarchan/UPI--</t>
        </is>
      </c>
      <c r="L402" s="38" t="inlineStr">
        <is>
          <t>State Bank of India</t>
        </is>
      </c>
      <c r="M402" s="38" t="inlineStr"/>
    </row>
    <row r="403">
      <c r="A403" s="54" t="n">
        <v>45113</v>
      </c>
      <c r="B403" s="54" t="n">
        <v>45113</v>
      </c>
      <c r="C403" s="55" t="n">
        <v>0</v>
      </c>
      <c r="D403" s="55" t="n">
        <v>322.25</v>
      </c>
      <c r="E403" s="55" t="inlineStr"/>
      <c r="F403" s="55" t="inlineStr">
        <is>
          <t>HDFC Securities - Sell</t>
        </is>
      </c>
      <c r="G403" s="18" t="n">
        <v>0.97</v>
      </c>
      <c r="H403" s="55" t="inlineStr">
        <is>
          <t>HDFC Securities</t>
        </is>
      </c>
      <c r="I403" s="55" t="inlineStr">
        <is>
          <t>HDFC 5413</t>
        </is>
      </c>
      <c r="J403" s="55" t="inlineStr"/>
      <c r="K403" s="55" t="inlineStr">
        <is>
          <t>NET PO FROM HSL A/C 2554606-00602340029427</t>
        </is>
      </c>
      <c r="L403" s="55" t="inlineStr">
        <is>
          <t>HDFC Bank</t>
        </is>
      </c>
      <c r="M403" s="55" t="inlineStr"/>
    </row>
    <row r="404">
      <c r="A404" s="35" t="n">
        <v>45113</v>
      </c>
      <c r="B404" s="35" t="n">
        <v>45113</v>
      </c>
      <c r="C404" s="36" t="n">
        <v>60</v>
      </c>
      <c r="D404" s="36" t="n">
        <v>0</v>
      </c>
      <c r="E404" s="36" t="inlineStr"/>
      <c r="F404" s="36" t="inlineStr">
        <is>
          <t>UPI - Paytm</t>
        </is>
      </c>
      <c r="G404" s="34" t="n">
        <v>0.65</v>
      </c>
      <c r="H404" s="36" t="inlineStr">
        <is>
          <t>Personal</t>
        </is>
      </c>
      <c r="I404" s="36" t="inlineStr">
        <is>
          <t>SBI 1227</t>
        </is>
      </c>
      <c r="J404" s="36" t="inlineStr"/>
      <c r="K404" s="36" t="inlineStr">
        <is>
          <t xml:space="preserve">   TO TRANSFER-UPI/DR/318780111144/SEVEN SP/PYTM/paytmqr281/UPI--</t>
        </is>
      </c>
      <c r="L404" s="36" t="inlineStr">
        <is>
          <t>State Bank of India</t>
        </is>
      </c>
      <c r="M404" s="36" t="inlineStr"/>
    </row>
    <row r="405">
      <c r="A405" s="37" t="n">
        <v>45113</v>
      </c>
      <c r="B405" s="37" t="n">
        <v>45113</v>
      </c>
      <c r="C405" s="38" t="n">
        <v>180</v>
      </c>
      <c r="D405" s="38" t="n">
        <v>0</v>
      </c>
      <c r="E405" s="38" t="inlineStr">
        <is>
          <t>Mohdjave</t>
        </is>
      </c>
      <c r="F405" s="38" t="inlineStr">
        <is>
          <t>UPI Payment</t>
        </is>
      </c>
      <c r="G405" s="25" t="n">
        <v>0.55</v>
      </c>
      <c r="H405" s="38" t="inlineStr">
        <is>
          <t>Personal</t>
        </is>
      </c>
      <c r="I405" s="38" t="inlineStr">
        <is>
          <t>SBI 1227</t>
        </is>
      </c>
      <c r="J405" s="38" t="inlineStr"/>
      <c r="K405" s="38" t="inlineStr">
        <is>
          <t xml:space="preserve">   TO TRANSFER-UPI/DR/318771888243/mohdjave/UTIB/mohdjaved6/UPI--</t>
        </is>
      </c>
      <c r="L405" s="38" t="inlineStr">
        <is>
          <t>State Bank of India</t>
        </is>
      </c>
      <c r="M405" s="38" t="inlineStr"/>
    </row>
    <row r="406">
      <c r="A406" s="35" t="n">
        <v>45113</v>
      </c>
      <c r="B406" s="35" t="n">
        <v>45113</v>
      </c>
      <c r="C406" s="36" t="n">
        <v>30</v>
      </c>
      <c r="D406" s="36" t="n">
        <v>0</v>
      </c>
      <c r="E406" s="36" t="inlineStr"/>
      <c r="F406" s="36" t="inlineStr">
        <is>
          <t>UPI - Paytm</t>
        </is>
      </c>
      <c r="G406" s="34" t="n">
        <v>0.65</v>
      </c>
      <c r="H406" s="36" t="inlineStr">
        <is>
          <t>Personal</t>
        </is>
      </c>
      <c r="I406" s="36" t="inlineStr">
        <is>
          <t>SBI 1227</t>
        </is>
      </c>
      <c r="J406" s="36" t="inlineStr"/>
      <c r="K406" s="36" t="inlineStr">
        <is>
          <t xml:space="preserve">   TO TRANSFER-UPI/DR/355364795490/Raja Singh/PYTM/paytmqr166/rai--</t>
        </is>
      </c>
      <c r="L406" s="36" t="inlineStr">
        <is>
          <t>State Bank of India</t>
        </is>
      </c>
      <c r="M406" s="36" t="inlineStr"/>
    </row>
    <row r="407">
      <c r="A407" s="37" t="n">
        <v>45114</v>
      </c>
      <c r="B407" s="37" t="n">
        <v>45114</v>
      </c>
      <c r="C407" s="38" t="n">
        <v>20</v>
      </c>
      <c r="D407" s="38" t="n">
        <v>0</v>
      </c>
      <c r="E407" s="38" t="inlineStr">
        <is>
          <t>Vendekin</t>
        </is>
      </c>
      <c r="F407" s="38" t="inlineStr">
        <is>
          <t>UPI Payment</t>
        </is>
      </c>
      <c r="G407" s="25" t="n">
        <v>0.55</v>
      </c>
      <c r="H407" s="38" t="inlineStr">
        <is>
          <t>Personal</t>
        </is>
      </c>
      <c r="I407" s="38" t="inlineStr">
        <is>
          <t>SBI 1227</t>
        </is>
      </c>
      <c r="J407" s="38" t="inlineStr"/>
      <c r="K407" s="38" t="inlineStr">
        <is>
          <t xml:space="preserve">   TO TRANSFER-UPI/DR/318828567938/Vendekin/ICIC/vendekin@i/UPI--</t>
        </is>
      </c>
      <c r="L407" s="38" t="inlineStr">
        <is>
          <t>State Bank of India</t>
        </is>
      </c>
      <c r="M407" s="38" t="inlineStr">
        <is>
          <t>⚠ Possible Duplicate</t>
        </is>
      </c>
    </row>
    <row r="408">
      <c r="A408" s="41" t="n">
        <v>45114</v>
      </c>
      <c r="B408" s="41" t="n">
        <v>45114</v>
      </c>
      <c r="C408" s="42" t="n">
        <v>93.34</v>
      </c>
      <c r="D408" s="42" t="n">
        <v>0</v>
      </c>
      <c r="E408" s="42" t="inlineStr"/>
      <c r="F408" s="42" t="inlineStr">
        <is>
          <t>HDFC Securities - Buy</t>
        </is>
      </c>
      <c r="G408" s="18" t="n">
        <v>0.97</v>
      </c>
      <c r="H408" s="42" t="inlineStr">
        <is>
          <t>HDFC Securities</t>
        </is>
      </c>
      <c r="I408" s="42" t="inlineStr">
        <is>
          <t>HDFC 5413</t>
        </is>
      </c>
      <c r="J408" s="42" t="inlineStr"/>
      <c r="K408" s="42" t="inlineStr">
        <is>
          <t>NET PI TO HSL SEC A/C 2554606-00602340029427</t>
        </is>
      </c>
      <c r="L408" s="42" t="inlineStr">
        <is>
          <t>HDFC Bank</t>
        </is>
      </c>
      <c r="M408" s="42" t="inlineStr"/>
    </row>
    <row r="409">
      <c r="A409" s="23" t="n">
        <v>45114</v>
      </c>
      <c r="B409" s="23" t="n">
        <v>45114</v>
      </c>
      <c r="C409" s="24" t="n">
        <v>0</v>
      </c>
      <c r="D409" s="24" t="n">
        <v>1880</v>
      </c>
      <c r="E409" s="24" t="inlineStr"/>
      <c r="F409" s="24" t="inlineStr">
        <is>
          <t>What is this?</t>
        </is>
      </c>
      <c r="G409" s="25" t="n">
        <v>0</v>
      </c>
      <c r="H409" s="24" t="inlineStr">
        <is>
          <t>Suspense</t>
        </is>
      </c>
      <c r="I409" s="24" t="inlineStr">
        <is>
          <t>HDFC 5413</t>
        </is>
      </c>
      <c r="J409" s="24" t="inlineStr"/>
      <c r="K409" s="24" t="inlineStr">
        <is>
          <t>00602300000434-022673417</t>
        </is>
      </c>
      <c r="L409" s="24" t="inlineStr">
        <is>
          <t>HDFC Bank</t>
        </is>
      </c>
      <c r="M409" s="24" t="inlineStr"/>
    </row>
    <row r="410">
      <c r="A410" s="64" t="n">
        <v>45114</v>
      </c>
      <c r="B410" s="64" t="n">
        <v>45114</v>
      </c>
      <c r="C410" s="65" t="n">
        <v>0</v>
      </c>
      <c r="D410" s="65" t="n">
        <v>10.5</v>
      </c>
      <c r="E410" s="65" t="inlineStr"/>
      <c r="F410" s="65" t="inlineStr">
        <is>
          <t>Dividend Income</t>
        </is>
      </c>
      <c r="G410" s="18" t="n">
        <v>0.85</v>
      </c>
      <c r="H410" s="65" t="inlineStr">
        <is>
          <t>Dividend Income</t>
        </is>
      </c>
      <c r="I410" s="65" t="inlineStr">
        <is>
          <t>SBI 1227</t>
        </is>
      </c>
      <c r="J410" s="65" t="inlineStr"/>
      <c r="K410" s="65" t="inlineStr">
        <is>
          <t xml:space="preserve">   BULK POSTING-ACHCr SBIN03975000029599 SAGAR CEMENTS--</t>
        </is>
      </c>
      <c r="L410" s="65" t="inlineStr">
        <is>
          <t>State Bank of India</t>
        </is>
      </c>
      <c r="M410" s="65" t="inlineStr"/>
    </row>
    <row r="411">
      <c r="A411" s="41" t="n">
        <v>45114</v>
      </c>
      <c r="B411" s="41" t="n">
        <v>45114</v>
      </c>
      <c r="C411" s="42" t="n">
        <v>116.93</v>
      </c>
      <c r="D411" s="42" t="n">
        <v>0</v>
      </c>
      <c r="E411" s="42" t="inlineStr"/>
      <c r="F411" s="42" t="inlineStr">
        <is>
          <t>HDFC Securities - Buy</t>
        </is>
      </c>
      <c r="G411" s="18" t="n">
        <v>0.97</v>
      </c>
      <c r="H411" s="42" t="inlineStr">
        <is>
          <t>HDFC Securities</t>
        </is>
      </c>
      <c r="I411" s="42" t="inlineStr">
        <is>
          <t>HDFC 5413</t>
        </is>
      </c>
      <c r="J411" s="42" t="inlineStr"/>
      <c r="K411" s="42" t="inlineStr">
        <is>
          <t>NET PI TO HSL SEC A/C 2554606-00602340029427</t>
        </is>
      </c>
      <c r="L411" s="42" t="inlineStr">
        <is>
          <t>HDFC Bank</t>
        </is>
      </c>
      <c r="M411" s="42" t="inlineStr"/>
    </row>
    <row r="412">
      <c r="A412" s="35" t="n">
        <v>45114</v>
      </c>
      <c r="B412" s="35" t="n">
        <v>45114</v>
      </c>
      <c r="C412" s="36" t="n">
        <v>40</v>
      </c>
      <c r="D412" s="36" t="n">
        <v>0</v>
      </c>
      <c r="E412" s="36" t="inlineStr"/>
      <c r="F412" s="36" t="inlineStr">
        <is>
          <t>UPI - Paytm</t>
        </is>
      </c>
      <c r="G412" s="34" t="n">
        <v>0.65</v>
      </c>
      <c r="H412" s="36" t="inlineStr">
        <is>
          <t>Personal</t>
        </is>
      </c>
      <c r="I412" s="36" t="inlineStr">
        <is>
          <t>SBI 1227</t>
        </is>
      </c>
      <c r="J412" s="36" t="inlineStr"/>
      <c r="K412" s="36" t="inlineStr">
        <is>
          <t xml:space="preserve">   TO TRANSFER-UPI/DR/318805688671/SEVEN SP/PYTM/paytmqr281/UPI--</t>
        </is>
      </c>
      <c r="L412" s="36" t="inlineStr">
        <is>
          <t>State Bank of India</t>
        </is>
      </c>
      <c r="M412" s="36" t="inlineStr"/>
    </row>
    <row r="413">
      <c r="A413" s="35" t="n">
        <v>45114</v>
      </c>
      <c r="B413" s="35" t="n">
        <v>45114</v>
      </c>
      <c r="C413" s="36" t="n">
        <v>50</v>
      </c>
      <c r="D413" s="36" t="n">
        <v>0</v>
      </c>
      <c r="E413" s="36" t="inlineStr"/>
      <c r="F413" s="36" t="inlineStr">
        <is>
          <t>UPI - Paytm</t>
        </is>
      </c>
      <c r="G413" s="34" t="n">
        <v>0.65</v>
      </c>
      <c r="H413" s="36" t="inlineStr">
        <is>
          <t>Personal</t>
        </is>
      </c>
      <c r="I413" s="36" t="inlineStr">
        <is>
          <t>SBI 1227</t>
        </is>
      </c>
      <c r="J413" s="36" t="inlineStr"/>
      <c r="K413" s="36" t="inlineStr">
        <is>
          <t xml:space="preserve">   TO TRANSFER-UPI/DR/318830429927/SEVEN SP/PYTM/paytmqr281/UPI--</t>
        </is>
      </c>
      <c r="L413" s="36" t="inlineStr">
        <is>
          <t>State Bank of India</t>
        </is>
      </c>
      <c r="M413" s="36" t="inlineStr"/>
    </row>
    <row r="414">
      <c r="A414" s="37" t="n">
        <v>45114</v>
      </c>
      <c r="B414" s="37" t="n">
        <v>45114</v>
      </c>
      <c r="C414" s="38" t="n">
        <v>20</v>
      </c>
      <c r="D414" s="38" t="n">
        <v>0</v>
      </c>
      <c r="E414" s="38" t="inlineStr">
        <is>
          <t>Mr  Aada</t>
        </is>
      </c>
      <c r="F414" s="38" t="inlineStr">
        <is>
          <t>UPI Payment</t>
        </is>
      </c>
      <c r="G414" s="25" t="n">
        <v>0.55</v>
      </c>
      <c r="H414" s="38" t="inlineStr">
        <is>
          <t>Personal</t>
        </is>
      </c>
      <c r="I414" s="38" t="inlineStr">
        <is>
          <t>SBI 1227</t>
        </is>
      </c>
      <c r="J414" s="38" t="inlineStr"/>
      <c r="K414" s="38" t="inlineStr">
        <is>
          <t xml:space="preserve">   TO TRANSFER-UPI/DR/318859119082/Mr  AADA/YESB/q739730170/UPI--</t>
        </is>
      </c>
      <c r="L414" s="38" t="inlineStr">
        <is>
          <t>State Bank of India</t>
        </is>
      </c>
      <c r="M414" s="38" t="inlineStr">
        <is>
          <t>⚠ Possible Duplicate</t>
        </is>
      </c>
    </row>
    <row r="415">
      <c r="A415" s="37" t="n">
        <v>45115</v>
      </c>
      <c r="B415" s="37" t="n">
        <v>45115</v>
      </c>
      <c r="C415" s="38" t="n">
        <v>50</v>
      </c>
      <c r="D415" s="38" t="n">
        <v>0</v>
      </c>
      <c r="E415" s="38" t="inlineStr">
        <is>
          <t>Vendekin</t>
        </is>
      </c>
      <c r="F415" s="38" t="inlineStr">
        <is>
          <t>UPI Payment</t>
        </is>
      </c>
      <c r="G415" s="25" t="n">
        <v>0.55</v>
      </c>
      <c r="H415" s="38" t="inlineStr">
        <is>
          <t>Personal</t>
        </is>
      </c>
      <c r="I415" s="38" t="inlineStr">
        <is>
          <t>SBI 1227</t>
        </is>
      </c>
      <c r="J415" s="38" t="inlineStr"/>
      <c r="K415" s="38" t="inlineStr">
        <is>
          <t xml:space="preserve">   TO TRANSFER-UPI/DR/318929616938/Vendekin/ICIC/vendekin@i/UPI--</t>
        </is>
      </c>
      <c r="L415" s="38" t="inlineStr">
        <is>
          <t>State Bank of India</t>
        </is>
      </c>
      <c r="M415" s="38" t="inlineStr"/>
    </row>
    <row r="416">
      <c r="A416" s="37" t="n">
        <v>45116</v>
      </c>
      <c r="B416" s="37" t="n">
        <v>45116</v>
      </c>
      <c r="C416" s="38" t="n">
        <v>85</v>
      </c>
      <c r="D416" s="38" t="n">
        <v>0</v>
      </c>
      <c r="E416" s="38" t="inlineStr">
        <is>
          <t>Harsh Bi</t>
        </is>
      </c>
      <c r="F416" s="38" t="inlineStr">
        <is>
          <t>UPI Payment</t>
        </is>
      </c>
      <c r="G416" s="25" t="n">
        <v>0.55</v>
      </c>
      <c r="H416" s="38" t="inlineStr">
        <is>
          <t>Personal</t>
        </is>
      </c>
      <c r="I416" s="38" t="inlineStr">
        <is>
          <t>SBI 1227</t>
        </is>
      </c>
      <c r="J416" s="38" t="inlineStr"/>
      <c r="K416" s="38" t="inlineStr">
        <is>
          <t xml:space="preserve">   TO TRANSFER-UPI/DR/319077070635/HARSH BI/BKID/harshbin06/UPI--</t>
        </is>
      </c>
      <c r="L416" s="38" t="inlineStr">
        <is>
          <t>State Bank of India</t>
        </is>
      </c>
      <c r="M416" s="38" t="inlineStr"/>
    </row>
    <row r="417">
      <c r="A417" s="37" t="n">
        <v>45116</v>
      </c>
      <c r="B417" s="37" t="n">
        <v>45116</v>
      </c>
      <c r="C417" s="38" t="n">
        <v>65</v>
      </c>
      <c r="D417" s="38" t="n">
        <v>0</v>
      </c>
      <c r="E417" s="38" t="inlineStr">
        <is>
          <t>Pranav</t>
        </is>
      </c>
      <c r="F417" s="38" t="inlineStr">
        <is>
          <t>UPI Payment</t>
        </is>
      </c>
      <c r="G417" s="25" t="n">
        <v>0.55</v>
      </c>
      <c r="H417" s="38" t="inlineStr">
        <is>
          <t>Personal</t>
        </is>
      </c>
      <c r="I417" s="38" t="inlineStr">
        <is>
          <t>SBI 1227</t>
        </is>
      </c>
      <c r="J417" s="38" t="inlineStr"/>
      <c r="K417" s="38" t="inlineStr">
        <is>
          <t xml:space="preserve">   TO TRANSFER-UPI/DR/319077214945/PRANAV  /CNRB/pranavalig/UPI--</t>
        </is>
      </c>
      <c r="L417" s="38" t="inlineStr">
        <is>
          <t>State Bank of India</t>
        </is>
      </c>
      <c r="M417" s="38" t="inlineStr"/>
    </row>
    <row r="418">
      <c r="A418" s="35" t="n">
        <v>45116</v>
      </c>
      <c r="B418" s="35" t="n">
        <v>45116</v>
      </c>
      <c r="C418" s="36" t="n">
        <v>110</v>
      </c>
      <c r="D418" s="36" t="n">
        <v>0</v>
      </c>
      <c r="E418" s="36" t="inlineStr"/>
      <c r="F418" s="36" t="inlineStr">
        <is>
          <t>UPI - Paytm</t>
        </is>
      </c>
      <c r="G418" s="34" t="n">
        <v>0.65</v>
      </c>
      <c r="H418" s="36" t="inlineStr">
        <is>
          <t>Personal</t>
        </is>
      </c>
      <c r="I418" s="36" t="inlineStr">
        <is>
          <t>SBI 1227</t>
        </is>
      </c>
      <c r="J418" s="36" t="inlineStr"/>
      <c r="K418" s="36" t="inlineStr">
        <is>
          <t xml:space="preserve">   TO TRANSFER-UPI/DR/319039993372/SEVEN SP/PYTM/paytmqr281/UPI--</t>
        </is>
      </c>
      <c r="L418" s="36" t="inlineStr">
        <is>
          <t>State Bank of India</t>
        </is>
      </c>
      <c r="M418" s="36" t="inlineStr"/>
    </row>
    <row r="419">
      <c r="A419" s="37" t="n">
        <v>45117</v>
      </c>
      <c r="B419" s="37" t="n">
        <v>45117</v>
      </c>
      <c r="C419" s="38" t="n">
        <v>60</v>
      </c>
      <c r="D419" s="38" t="n">
        <v>0</v>
      </c>
      <c r="E419" s="38" t="inlineStr">
        <is>
          <t>Vendekin</t>
        </is>
      </c>
      <c r="F419" s="38" t="inlineStr">
        <is>
          <t>UPI Payment</t>
        </is>
      </c>
      <c r="G419" s="25" t="n">
        <v>0.55</v>
      </c>
      <c r="H419" s="38" t="inlineStr">
        <is>
          <t>Personal</t>
        </is>
      </c>
      <c r="I419" s="38" t="inlineStr">
        <is>
          <t>SBI 1227</t>
        </is>
      </c>
      <c r="J419" s="38" t="inlineStr"/>
      <c r="K419" s="38" t="inlineStr">
        <is>
          <t xml:space="preserve">   TO TRANSFER-UPI/DR/319120422999/Vendekin/ICIC/vendekin@i/UPI--</t>
        </is>
      </c>
      <c r="L419" s="38" t="inlineStr">
        <is>
          <t>State Bank of India</t>
        </is>
      </c>
      <c r="M419" s="38" t="inlineStr"/>
    </row>
    <row r="420">
      <c r="A420" s="101" t="n">
        <v>45117</v>
      </c>
      <c r="B420" s="101" t="n">
        <v>45117</v>
      </c>
      <c r="C420" s="102" t="n">
        <v>0</v>
      </c>
      <c r="D420" s="102" t="n">
        <v>20</v>
      </c>
      <c r="E420" s="102" t="inlineStr"/>
      <c r="F420" s="102" t="inlineStr">
        <is>
          <t>Received - Vendekin</t>
        </is>
      </c>
      <c r="G420" s="25" t="n">
        <v>0.55</v>
      </c>
      <c r="H420" s="102" t="inlineStr">
        <is>
          <t>Personal</t>
        </is>
      </c>
      <c r="I420" s="102" t="inlineStr">
        <is>
          <t>SBI 1227</t>
        </is>
      </c>
      <c r="J420" s="102" t="inlineStr"/>
      <c r="K420" s="102" t="inlineStr">
        <is>
          <t xml:space="preserve">   BY TRANSFER-UPI/CR/319147053909/Vendekin/ICIC/vendekin@i/vende--</t>
        </is>
      </c>
      <c r="L420" s="102" t="inlineStr">
        <is>
          <t>State Bank of India</t>
        </is>
      </c>
      <c r="M420" s="102" t="inlineStr">
        <is>
          <t>⚠ Possible Duplicate</t>
        </is>
      </c>
    </row>
    <row r="421">
      <c r="A421" s="54" t="n">
        <v>45117</v>
      </c>
      <c r="B421" s="54" t="n">
        <v>45117</v>
      </c>
      <c r="C421" s="55" t="n">
        <v>0</v>
      </c>
      <c r="D421" s="55" t="n">
        <v>46.46</v>
      </c>
      <c r="E421" s="55" t="inlineStr"/>
      <c r="F421" s="55" t="inlineStr">
        <is>
          <t>HDFC Securities - Sell</t>
        </is>
      </c>
      <c r="G421" s="18" t="n">
        <v>0.97</v>
      </c>
      <c r="H421" s="55" t="inlineStr">
        <is>
          <t>HDFC Securities</t>
        </is>
      </c>
      <c r="I421" s="55" t="inlineStr">
        <is>
          <t>HDFC 5413</t>
        </is>
      </c>
      <c r="J421" s="55" t="inlineStr"/>
      <c r="K421" s="55" t="inlineStr">
        <is>
          <t>NET PO FROM HSL A/C 2554606-00602340029427</t>
        </is>
      </c>
      <c r="L421" s="55" t="inlineStr">
        <is>
          <t>HDFC Bank</t>
        </is>
      </c>
      <c r="M421" s="55" t="inlineStr"/>
    </row>
    <row r="422">
      <c r="A422" s="101" t="n">
        <v>45117</v>
      </c>
      <c r="B422" s="101" t="n">
        <v>45117</v>
      </c>
      <c r="C422" s="102" t="n">
        <v>0</v>
      </c>
      <c r="D422" s="102" t="n">
        <v>20</v>
      </c>
      <c r="E422" s="102" t="inlineStr"/>
      <c r="F422" s="102" t="inlineStr">
        <is>
          <t>Received - Vendekin</t>
        </is>
      </c>
      <c r="G422" s="25" t="n">
        <v>0.55</v>
      </c>
      <c r="H422" s="102" t="inlineStr">
        <is>
          <t>Personal</t>
        </is>
      </c>
      <c r="I422" s="102" t="inlineStr">
        <is>
          <t>SBI 1227</t>
        </is>
      </c>
      <c r="J422" s="102" t="inlineStr"/>
      <c r="K422" s="102" t="inlineStr">
        <is>
          <t xml:space="preserve">   BY TRANSFER-UPI/CR/319147056718/Vendekin/ICIC/vendekin@i/vende--</t>
        </is>
      </c>
      <c r="L422" s="102" t="inlineStr">
        <is>
          <t>State Bank of India</t>
        </is>
      </c>
      <c r="M422" s="102" t="inlineStr">
        <is>
          <t>⚠ Possible Duplicate</t>
        </is>
      </c>
    </row>
    <row r="423">
      <c r="A423" s="37" t="n">
        <v>45117</v>
      </c>
      <c r="B423" s="37" t="n">
        <v>45117</v>
      </c>
      <c r="C423" s="38" t="n">
        <v>20</v>
      </c>
      <c r="D423" s="38" t="n">
        <v>0</v>
      </c>
      <c r="E423" s="38" t="inlineStr">
        <is>
          <t>Vendekin</t>
        </is>
      </c>
      <c r="F423" s="38" t="inlineStr">
        <is>
          <t>UPI Payment</t>
        </is>
      </c>
      <c r="G423" s="25" t="n">
        <v>0.55</v>
      </c>
      <c r="H423" s="38" t="inlineStr">
        <is>
          <t>Personal</t>
        </is>
      </c>
      <c r="I423" s="38" t="inlineStr">
        <is>
          <t>SBI 1227</t>
        </is>
      </c>
      <c r="J423" s="38" t="inlineStr"/>
      <c r="K423" s="38" t="inlineStr">
        <is>
          <t xml:space="preserve">   TO TRANSFER-UPI/DR/319120475889/Vendekin/ICIC/vendekin@i/UPI--</t>
        </is>
      </c>
      <c r="L423" s="38" t="inlineStr">
        <is>
          <t>State Bank of India</t>
        </is>
      </c>
      <c r="M423" s="38" t="inlineStr"/>
    </row>
    <row r="424">
      <c r="A424" s="41" t="n">
        <v>45117</v>
      </c>
      <c r="B424" s="41" t="n">
        <v>45117</v>
      </c>
      <c r="C424" s="42" t="n">
        <v>350.67</v>
      </c>
      <c r="D424" s="42" t="n">
        <v>0</v>
      </c>
      <c r="E424" s="42" t="inlineStr"/>
      <c r="F424" s="42" t="inlineStr">
        <is>
          <t>HDFC Securities - Buy</t>
        </is>
      </c>
      <c r="G424" s="18" t="n">
        <v>0.97</v>
      </c>
      <c r="H424" s="42" t="inlineStr">
        <is>
          <t>HDFC Securities</t>
        </is>
      </c>
      <c r="I424" s="42" t="inlineStr">
        <is>
          <t>HDFC 5413</t>
        </is>
      </c>
      <c r="J424" s="42" t="inlineStr"/>
      <c r="K424" s="42" t="inlineStr">
        <is>
          <t>NET PI TO HSL SEC A/C 2554606-00602340029427</t>
        </is>
      </c>
      <c r="L424" s="42" t="inlineStr">
        <is>
          <t>HDFC Bank</t>
        </is>
      </c>
      <c r="M424" s="42" t="inlineStr"/>
    </row>
    <row r="425">
      <c r="A425" s="101" t="n">
        <v>45118</v>
      </c>
      <c r="B425" s="101" t="n">
        <v>45118</v>
      </c>
      <c r="C425" s="102" t="n">
        <v>0</v>
      </c>
      <c r="D425" s="102" t="n">
        <v>40</v>
      </c>
      <c r="E425" s="102" t="inlineStr"/>
      <c r="F425" s="102" t="inlineStr">
        <is>
          <t>Received - Vendekin</t>
        </is>
      </c>
      <c r="G425" s="25" t="n">
        <v>0.55</v>
      </c>
      <c r="H425" s="102" t="inlineStr">
        <is>
          <t>Personal</t>
        </is>
      </c>
      <c r="I425" s="102" t="inlineStr">
        <is>
          <t>SBI 1227</t>
        </is>
      </c>
      <c r="J425" s="102" t="inlineStr"/>
      <c r="K425" s="102" t="inlineStr">
        <is>
          <t xml:space="preserve">   BY TRANSFER-UPI/CR/319248370432/Vendekin/ICIC/vendekin@i/vende--</t>
        </is>
      </c>
      <c r="L425" s="102" t="inlineStr">
        <is>
          <t>State Bank of India</t>
        </is>
      </c>
      <c r="M425" s="102" t="inlineStr"/>
    </row>
    <row r="426">
      <c r="A426" s="35" t="n">
        <v>45118</v>
      </c>
      <c r="B426" s="35" t="n">
        <v>45118</v>
      </c>
      <c r="C426" s="36" t="n">
        <v>170</v>
      </c>
      <c r="D426" s="36" t="n">
        <v>0</v>
      </c>
      <c r="E426" s="36" t="inlineStr"/>
      <c r="F426" s="36" t="inlineStr">
        <is>
          <t>UPI - Paytm</t>
        </is>
      </c>
      <c r="G426" s="34" t="n">
        <v>0.65</v>
      </c>
      <c r="H426" s="36" t="inlineStr">
        <is>
          <t>Personal</t>
        </is>
      </c>
      <c r="I426" s="36" t="inlineStr">
        <is>
          <t>SBI 1227</t>
        </is>
      </c>
      <c r="J426" s="36" t="inlineStr"/>
      <c r="K426" s="36" t="inlineStr">
        <is>
          <t xml:space="preserve">   TO TRANSFER-UPI/DR/319258953660/SEVEN SP/PYTM/paytmqr281/UPI--</t>
        </is>
      </c>
      <c r="L426" s="36" t="inlineStr">
        <is>
          <t>State Bank of India</t>
        </is>
      </c>
      <c r="M426" s="36" t="inlineStr"/>
    </row>
    <row r="427">
      <c r="A427" s="41" t="n">
        <v>45118</v>
      </c>
      <c r="B427" s="41" t="n">
        <v>45118</v>
      </c>
      <c r="C427" s="42" t="n">
        <v>4256.2</v>
      </c>
      <c r="D427" s="42" t="n">
        <v>0</v>
      </c>
      <c r="E427" s="42" t="inlineStr"/>
      <c r="F427" s="42" t="inlineStr">
        <is>
          <t>HDFC Securities - Buy</t>
        </is>
      </c>
      <c r="G427" s="18" t="n">
        <v>0.97</v>
      </c>
      <c r="H427" s="42" t="inlineStr">
        <is>
          <t>HDFC Securities</t>
        </is>
      </c>
      <c r="I427" s="42" t="inlineStr">
        <is>
          <t>HDFC 5413</t>
        </is>
      </c>
      <c r="J427" s="42" t="inlineStr"/>
      <c r="K427" s="42" t="inlineStr">
        <is>
          <t>NET PI TO HSL SEC A/C 2554606-00602340029427</t>
        </is>
      </c>
      <c r="L427" s="42" t="inlineStr">
        <is>
          <t>HDFC Bank</t>
        </is>
      </c>
      <c r="M427" s="42" t="inlineStr"/>
    </row>
    <row r="428">
      <c r="A428" s="54" t="n">
        <v>45118</v>
      </c>
      <c r="B428" s="54" t="n">
        <v>45118</v>
      </c>
      <c r="C428" s="55" t="n">
        <v>0</v>
      </c>
      <c r="D428" s="55" t="n">
        <v>39.45</v>
      </c>
      <c r="E428" s="55" t="inlineStr"/>
      <c r="F428" s="55" t="inlineStr">
        <is>
          <t>HDFC Securities - Sell</t>
        </is>
      </c>
      <c r="G428" s="18" t="n">
        <v>0.97</v>
      </c>
      <c r="H428" s="55" t="inlineStr">
        <is>
          <t>HDFC Securities</t>
        </is>
      </c>
      <c r="I428" s="55" t="inlineStr">
        <is>
          <t>HDFC 5413</t>
        </is>
      </c>
      <c r="J428" s="55" t="inlineStr"/>
      <c r="K428" s="55" t="inlineStr">
        <is>
          <t>NET PO FROM HSL A/C 2554606-00602340029427</t>
        </is>
      </c>
      <c r="L428" s="55" t="inlineStr">
        <is>
          <t>HDFC Bank</t>
        </is>
      </c>
      <c r="M428" s="55" t="inlineStr"/>
    </row>
    <row r="429">
      <c r="A429" s="41" t="n">
        <v>45118</v>
      </c>
      <c r="B429" s="41" t="n">
        <v>45118</v>
      </c>
      <c r="C429" s="42" t="n">
        <v>5462.73</v>
      </c>
      <c r="D429" s="42" t="n">
        <v>0</v>
      </c>
      <c r="E429" s="42" t="inlineStr"/>
      <c r="F429" s="42" t="inlineStr">
        <is>
          <t>HDFC Securities - Buy</t>
        </is>
      </c>
      <c r="G429" s="18" t="n">
        <v>0.97</v>
      </c>
      <c r="H429" s="42" t="inlineStr">
        <is>
          <t>HDFC Securities</t>
        </is>
      </c>
      <c r="I429" s="42" t="inlineStr">
        <is>
          <t>HDFC 5413</t>
        </is>
      </c>
      <c r="J429" s="42" t="inlineStr"/>
      <c r="K429" s="42" t="inlineStr">
        <is>
          <t>NET PI TO HSL SEC A/C 2554606-00602340029427</t>
        </is>
      </c>
      <c r="L429" s="42" t="inlineStr">
        <is>
          <t>HDFC Bank</t>
        </is>
      </c>
      <c r="M429" s="42" t="inlineStr"/>
    </row>
    <row r="430">
      <c r="A430" s="54" t="n">
        <v>45118</v>
      </c>
      <c r="B430" s="54" t="n">
        <v>45118</v>
      </c>
      <c r="C430" s="55" t="n">
        <v>0</v>
      </c>
      <c r="D430" s="55" t="n">
        <v>5462.73</v>
      </c>
      <c r="E430" s="55" t="inlineStr"/>
      <c r="F430" s="55" t="inlineStr">
        <is>
          <t>HDFC Securities - Sell</t>
        </is>
      </c>
      <c r="G430" s="18" t="n">
        <v>0.97</v>
      </c>
      <c r="H430" s="55" t="inlineStr">
        <is>
          <t>HDFC Securities</t>
        </is>
      </c>
      <c r="I430" s="55" t="inlineStr">
        <is>
          <t>HDFC 5413</t>
        </is>
      </c>
      <c r="J430" s="55" t="inlineStr"/>
      <c r="K430" s="55" t="inlineStr">
        <is>
          <t>NET PO FROM HSL A/C 2554606-00602340029427</t>
        </is>
      </c>
      <c r="L430" s="55" t="inlineStr">
        <is>
          <t>HDFC Bank</t>
        </is>
      </c>
      <c r="M430" s="55" t="inlineStr"/>
    </row>
    <row r="431">
      <c r="A431" s="41" t="n">
        <v>45118</v>
      </c>
      <c r="B431" s="41" t="n">
        <v>45118</v>
      </c>
      <c r="C431" s="42" t="n">
        <v>116.91</v>
      </c>
      <c r="D431" s="42" t="n">
        <v>0</v>
      </c>
      <c r="E431" s="42" t="inlineStr"/>
      <c r="F431" s="42" t="inlineStr">
        <is>
          <t>HDFC Securities - Buy</t>
        </is>
      </c>
      <c r="G431" s="18" t="n">
        <v>0.97</v>
      </c>
      <c r="H431" s="42" t="inlineStr">
        <is>
          <t>HDFC Securities</t>
        </is>
      </c>
      <c r="I431" s="42" t="inlineStr">
        <is>
          <t>HDFC 5413</t>
        </is>
      </c>
      <c r="J431" s="42" t="inlineStr"/>
      <c r="K431" s="42" t="inlineStr">
        <is>
          <t>NET PI TO HSL SEC A/C 2554606-00602340029427</t>
        </is>
      </c>
      <c r="L431" s="42" t="inlineStr">
        <is>
          <t>HDFC Bank</t>
        </is>
      </c>
      <c r="M431" s="42" t="inlineStr"/>
    </row>
    <row r="432">
      <c r="A432" s="58" t="n">
        <v>45118</v>
      </c>
      <c r="B432" s="58" t="n">
        <v>45118</v>
      </c>
      <c r="C432" s="59" t="n">
        <v>3000</v>
      </c>
      <c r="D432" s="59" t="n">
        <v>0</v>
      </c>
      <c r="E432" s="59" t="inlineStr"/>
      <c r="F432" s="59" t="inlineStr">
        <is>
          <t>MF Investment</t>
        </is>
      </c>
      <c r="G432" s="18" t="n">
        <v>0.9</v>
      </c>
      <c r="H432" s="59" t="inlineStr">
        <is>
          <t>Investments</t>
        </is>
      </c>
      <c r="I432" s="59" t="inlineStr">
        <is>
          <t>HDFC 5413</t>
        </is>
      </c>
      <c r="J432" s="59" t="inlineStr"/>
      <c r="K432" s="59" t="inlineStr">
        <is>
          <t>NET PAYIN TO BSE MF A/C -57500000389146- FROM A/C -50100128155413- UCC -2554606-57500000389146</t>
        </is>
      </c>
      <c r="L432" s="59" t="inlineStr">
        <is>
          <t>HDFC Bank</t>
        </is>
      </c>
      <c r="M432" s="59" t="inlineStr"/>
    </row>
    <row r="433">
      <c r="A433" s="37" t="n">
        <v>45118</v>
      </c>
      <c r="B433" s="37" t="n">
        <v>45118</v>
      </c>
      <c r="C433" s="38" t="n">
        <v>70</v>
      </c>
      <c r="D433" s="38" t="n">
        <v>0</v>
      </c>
      <c r="E433" s="38" t="inlineStr">
        <is>
          <t>Vendekin</t>
        </is>
      </c>
      <c r="F433" s="38" t="inlineStr">
        <is>
          <t>UPI Payment</t>
        </is>
      </c>
      <c r="G433" s="25" t="n">
        <v>0.55</v>
      </c>
      <c r="H433" s="38" t="inlineStr">
        <is>
          <t>Personal</t>
        </is>
      </c>
      <c r="I433" s="38" t="inlineStr">
        <is>
          <t>SBI 1227</t>
        </is>
      </c>
      <c r="J433" s="38" t="inlineStr"/>
      <c r="K433" s="38" t="inlineStr">
        <is>
          <t xml:space="preserve">   TO TRANSFER-UPI/DR/355843225547/Vendekin/ICIC/vendekin@i/UPI--</t>
        </is>
      </c>
      <c r="L433" s="38" t="inlineStr">
        <is>
          <t>State Bank of India</t>
        </is>
      </c>
      <c r="M433" s="38" t="inlineStr"/>
    </row>
    <row r="434">
      <c r="A434" s="41" t="n">
        <v>45119</v>
      </c>
      <c r="B434" s="41" t="n">
        <v>45119</v>
      </c>
      <c r="C434" s="42" t="n">
        <v>24846.96</v>
      </c>
      <c r="D434" s="42" t="n">
        <v>0</v>
      </c>
      <c r="E434" s="42" t="inlineStr"/>
      <c r="F434" s="42" t="inlineStr">
        <is>
          <t>HDFC Securities - Buy</t>
        </is>
      </c>
      <c r="G434" s="18" t="n">
        <v>0.97</v>
      </c>
      <c r="H434" s="42" t="inlineStr">
        <is>
          <t>HDFC Securities</t>
        </is>
      </c>
      <c r="I434" s="42" t="inlineStr">
        <is>
          <t>HDFC 5413</t>
        </is>
      </c>
      <c r="J434" s="42" t="inlineStr"/>
      <c r="K434" s="42" t="inlineStr">
        <is>
          <t>NET PI TO HSL SEC A/C 2554606-00602340029427</t>
        </is>
      </c>
      <c r="L434" s="42" t="inlineStr">
        <is>
          <t>HDFC Bank</t>
        </is>
      </c>
      <c r="M434" s="42" t="inlineStr"/>
    </row>
    <row r="435">
      <c r="A435" s="41" t="n">
        <v>45119</v>
      </c>
      <c r="B435" s="41" t="n">
        <v>45119</v>
      </c>
      <c r="C435" s="42" t="n">
        <v>116.93</v>
      </c>
      <c r="D435" s="42" t="n">
        <v>0</v>
      </c>
      <c r="E435" s="42" t="inlineStr"/>
      <c r="F435" s="42" t="inlineStr">
        <is>
          <t>HDFC Securities - Buy</t>
        </is>
      </c>
      <c r="G435" s="18" t="n">
        <v>0.97</v>
      </c>
      <c r="H435" s="42" t="inlineStr">
        <is>
          <t>HDFC Securities</t>
        </is>
      </c>
      <c r="I435" s="42" t="inlineStr">
        <is>
          <t>HDFC 5413</t>
        </is>
      </c>
      <c r="J435" s="42" t="inlineStr"/>
      <c r="K435" s="42" t="inlineStr">
        <is>
          <t>NET PI TO HSL SEC A/C 2554606-00602340029427</t>
        </is>
      </c>
      <c r="L435" s="42" t="inlineStr">
        <is>
          <t>HDFC Bank</t>
        </is>
      </c>
      <c r="M435" s="42" t="inlineStr"/>
    </row>
    <row r="436">
      <c r="A436" s="35" t="n">
        <v>45119</v>
      </c>
      <c r="B436" s="35" t="n">
        <v>45119</v>
      </c>
      <c r="C436" s="36" t="n">
        <v>40</v>
      </c>
      <c r="D436" s="36" t="n">
        <v>0</v>
      </c>
      <c r="E436" s="36" t="inlineStr"/>
      <c r="F436" s="36" t="inlineStr">
        <is>
          <t>UPI - Paytm</t>
        </is>
      </c>
      <c r="G436" s="34" t="n">
        <v>0.65</v>
      </c>
      <c r="H436" s="36" t="inlineStr">
        <is>
          <t>Personal</t>
        </is>
      </c>
      <c r="I436" s="36" t="inlineStr">
        <is>
          <t>SBI 1227</t>
        </is>
      </c>
      <c r="J436" s="36" t="inlineStr"/>
      <c r="K436" s="36" t="inlineStr">
        <is>
          <t xml:space="preserve">   TO TRANSFER-UPI/DR/319382308169/SEVEN SP/PYTM/paytmqr281/UPI--</t>
        </is>
      </c>
      <c r="L436" s="36" t="inlineStr">
        <is>
          <t>State Bank of India</t>
        </is>
      </c>
      <c r="M436" s="36" t="inlineStr"/>
    </row>
    <row r="437">
      <c r="A437" s="37" t="n">
        <v>45119</v>
      </c>
      <c r="B437" s="37" t="n">
        <v>45119</v>
      </c>
      <c r="C437" s="38" t="n">
        <v>20</v>
      </c>
      <c r="D437" s="38" t="n">
        <v>0</v>
      </c>
      <c r="E437" s="38" t="inlineStr">
        <is>
          <t>Mr  Aada</t>
        </is>
      </c>
      <c r="F437" s="38" t="inlineStr">
        <is>
          <t>UPI Payment</t>
        </is>
      </c>
      <c r="G437" s="25" t="n">
        <v>0.55</v>
      </c>
      <c r="H437" s="38" t="inlineStr">
        <is>
          <t>Personal</t>
        </is>
      </c>
      <c r="I437" s="38" t="inlineStr">
        <is>
          <t>SBI 1227</t>
        </is>
      </c>
      <c r="J437" s="38" t="inlineStr"/>
      <c r="K437" s="38" t="inlineStr">
        <is>
          <t xml:space="preserve">   TO TRANSFER-UPI/DR/319399294182/Mr  AADA/YESB/q423863729/UPI--</t>
        </is>
      </c>
      <c r="L437" s="38" t="inlineStr">
        <is>
          <t>State Bank of India</t>
        </is>
      </c>
      <c r="M437" s="38" t="inlineStr"/>
    </row>
    <row r="438">
      <c r="A438" s="54" t="n">
        <v>45119</v>
      </c>
      <c r="B438" s="54" t="n">
        <v>45119</v>
      </c>
      <c r="C438" s="55" t="n">
        <v>0</v>
      </c>
      <c r="D438" s="55" t="n">
        <v>31.55</v>
      </c>
      <c r="E438" s="55" t="inlineStr"/>
      <c r="F438" s="55" t="inlineStr">
        <is>
          <t>HDFC Securities - Sell</t>
        </is>
      </c>
      <c r="G438" s="18" t="n">
        <v>0.97</v>
      </c>
      <c r="H438" s="55" t="inlineStr">
        <is>
          <t>HDFC Securities</t>
        </is>
      </c>
      <c r="I438" s="55" t="inlineStr">
        <is>
          <t>HDFC 5413</t>
        </is>
      </c>
      <c r="J438" s="55" t="inlineStr"/>
      <c r="K438" s="55" t="inlineStr">
        <is>
          <t>NET PO FROM HSL A/C 2554606-00602340029427</t>
        </is>
      </c>
      <c r="L438" s="55" t="inlineStr">
        <is>
          <t>HDFC Bank</t>
        </is>
      </c>
      <c r="M438" s="55" t="inlineStr"/>
    </row>
    <row r="439">
      <c r="A439" s="41" t="n">
        <v>45120</v>
      </c>
      <c r="B439" s="41" t="n">
        <v>45120</v>
      </c>
      <c r="C439" s="42" t="n">
        <v>116.94</v>
      </c>
      <c r="D439" s="42" t="n">
        <v>0</v>
      </c>
      <c r="E439" s="42" t="inlineStr"/>
      <c r="F439" s="42" t="inlineStr">
        <is>
          <t>HDFC Securities - Buy</t>
        </is>
      </c>
      <c r="G439" s="18" t="n">
        <v>0.97</v>
      </c>
      <c r="H439" s="42" t="inlineStr">
        <is>
          <t>HDFC Securities</t>
        </is>
      </c>
      <c r="I439" s="42" t="inlineStr">
        <is>
          <t>HDFC 5413</t>
        </is>
      </c>
      <c r="J439" s="42" t="inlineStr"/>
      <c r="K439" s="42" t="inlineStr">
        <is>
          <t>NET PI TO HSL SEC A/C 2554606-00602340029427</t>
        </is>
      </c>
      <c r="L439" s="42" t="inlineStr">
        <is>
          <t>HDFC Bank</t>
        </is>
      </c>
      <c r="M439" s="42" t="inlineStr"/>
    </row>
    <row r="440">
      <c r="A440" s="37" t="n">
        <v>45120</v>
      </c>
      <c r="B440" s="37" t="n">
        <v>45120</v>
      </c>
      <c r="C440" s="38" t="n">
        <v>20</v>
      </c>
      <c r="D440" s="38" t="n">
        <v>0</v>
      </c>
      <c r="E440" s="38" t="inlineStr">
        <is>
          <t>Mr  Aada</t>
        </is>
      </c>
      <c r="F440" s="38" t="inlineStr">
        <is>
          <t>UPI Payment</t>
        </is>
      </c>
      <c r="G440" s="25" t="n">
        <v>0.55</v>
      </c>
      <c r="H440" s="38" t="inlineStr">
        <is>
          <t>Personal</t>
        </is>
      </c>
      <c r="I440" s="38" t="inlineStr">
        <is>
          <t>SBI 1227</t>
        </is>
      </c>
      <c r="J440" s="38" t="inlineStr"/>
      <c r="K440" s="38" t="inlineStr">
        <is>
          <t xml:space="preserve">   TO TRANSFER-UPI/DR/319434338456/Mr  AADA/YESB/q964606339/UPI--</t>
        </is>
      </c>
      <c r="L440" s="38" t="inlineStr">
        <is>
          <t>State Bank of India</t>
        </is>
      </c>
      <c r="M440" s="38" t="inlineStr"/>
    </row>
    <row r="441">
      <c r="A441" s="101" t="n">
        <v>45120</v>
      </c>
      <c r="B441" s="101" t="n">
        <v>45120</v>
      </c>
      <c r="C441" s="102" t="n">
        <v>0</v>
      </c>
      <c r="D441" s="102" t="n">
        <v>60</v>
      </c>
      <c r="E441" s="102" t="inlineStr"/>
      <c r="F441" s="102" t="inlineStr">
        <is>
          <t>Received - Tirtha T</t>
        </is>
      </c>
      <c r="G441" s="25" t="n">
        <v>0.55</v>
      </c>
      <c r="H441" s="102" t="inlineStr">
        <is>
          <t>Personal</t>
        </is>
      </c>
      <c r="I441" s="102" t="inlineStr">
        <is>
          <t>SBI 1227</t>
        </is>
      </c>
      <c r="J441" s="102" t="inlineStr"/>
      <c r="K441" s="102" t="inlineStr">
        <is>
          <t xml:space="preserve">   BY TRANSFER-UPI/CR/319446314350/TIRTHA T/UBIN/9938240112/Sent--</t>
        </is>
      </c>
      <c r="L441" s="102" t="inlineStr">
        <is>
          <t>State Bank of India</t>
        </is>
      </c>
      <c r="M441" s="102" t="inlineStr"/>
    </row>
    <row r="442">
      <c r="A442" s="41" t="n">
        <v>45121</v>
      </c>
      <c r="B442" s="41" t="n">
        <v>45121</v>
      </c>
      <c r="C442" s="42" t="n">
        <v>134.57</v>
      </c>
      <c r="D442" s="42" t="n">
        <v>0</v>
      </c>
      <c r="E442" s="42" t="inlineStr"/>
      <c r="F442" s="42" t="inlineStr">
        <is>
          <t>HDFC Securities - Buy</t>
        </is>
      </c>
      <c r="G442" s="18" t="n">
        <v>0.97</v>
      </c>
      <c r="H442" s="42" t="inlineStr">
        <is>
          <t>HDFC Securities</t>
        </is>
      </c>
      <c r="I442" s="42" t="inlineStr">
        <is>
          <t>HDFC 5413</t>
        </is>
      </c>
      <c r="J442" s="42" t="inlineStr"/>
      <c r="K442" s="42" t="inlineStr">
        <is>
          <t>NET PI TO HSL SEC A/C 2554606-00602340029427</t>
        </is>
      </c>
      <c r="L442" s="42" t="inlineStr">
        <is>
          <t>HDFC Bank</t>
        </is>
      </c>
      <c r="M442" s="42" t="inlineStr"/>
    </row>
    <row r="443">
      <c r="A443" s="41" t="n">
        <v>45121</v>
      </c>
      <c r="B443" s="41" t="n">
        <v>45121</v>
      </c>
      <c r="C443" s="42" t="n">
        <v>116.94</v>
      </c>
      <c r="D443" s="42" t="n">
        <v>0</v>
      </c>
      <c r="E443" s="42" t="inlineStr"/>
      <c r="F443" s="42" t="inlineStr">
        <is>
          <t>HDFC Securities - Buy</t>
        </is>
      </c>
      <c r="G443" s="18" t="n">
        <v>0.97</v>
      </c>
      <c r="H443" s="42" t="inlineStr">
        <is>
          <t>HDFC Securities</t>
        </is>
      </c>
      <c r="I443" s="42" t="inlineStr">
        <is>
          <t>HDFC 5413</t>
        </is>
      </c>
      <c r="J443" s="42" t="inlineStr"/>
      <c r="K443" s="42" t="inlineStr">
        <is>
          <t>NET PI TO HSL SEC A/C 2554606-00602340029427</t>
        </is>
      </c>
      <c r="L443" s="42" t="inlineStr">
        <is>
          <t>HDFC Bank</t>
        </is>
      </c>
      <c r="M443" s="42" t="inlineStr"/>
    </row>
    <row r="444">
      <c r="A444" s="37" t="n">
        <v>45121</v>
      </c>
      <c r="B444" s="37" t="n">
        <v>45121</v>
      </c>
      <c r="C444" s="38" t="n">
        <v>50</v>
      </c>
      <c r="D444" s="38" t="n">
        <v>0</v>
      </c>
      <c r="E444" s="38" t="inlineStr">
        <is>
          <t>Vishal K</t>
        </is>
      </c>
      <c r="F444" s="38" t="inlineStr">
        <is>
          <t>UPI Payment</t>
        </is>
      </c>
      <c r="G444" s="25" t="n">
        <v>0.55</v>
      </c>
      <c r="H444" s="38" t="inlineStr">
        <is>
          <t>Personal</t>
        </is>
      </c>
      <c r="I444" s="38" t="inlineStr">
        <is>
          <t>SBI 1227</t>
        </is>
      </c>
      <c r="J444" s="38" t="inlineStr"/>
      <c r="K444" s="38" t="inlineStr">
        <is>
          <t xml:space="preserve">   TO TRANSFER-UPI/DR/319556457121/VISHAL K/PSIB/khanvishal/UPI--</t>
        </is>
      </c>
      <c r="L444" s="38" t="inlineStr">
        <is>
          <t>State Bank of India</t>
        </is>
      </c>
      <c r="M444" s="38" t="inlineStr"/>
    </row>
    <row r="445">
      <c r="A445" s="37" t="n">
        <v>45121</v>
      </c>
      <c r="B445" s="37" t="n">
        <v>45121</v>
      </c>
      <c r="C445" s="38" t="n">
        <v>40</v>
      </c>
      <c r="D445" s="38" t="n">
        <v>0</v>
      </c>
      <c r="E445" s="38" t="inlineStr">
        <is>
          <t>Vendekin</t>
        </is>
      </c>
      <c r="F445" s="38" t="inlineStr">
        <is>
          <t>UPI Payment</t>
        </is>
      </c>
      <c r="G445" s="25" t="n">
        <v>0.55</v>
      </c>
      <c r="H445" s="38" t="inlineStr">
        <is>
          <t>Personal</t>
        </is>
      </c>
      <c r="I445" s="38" t="inlineStr">
        <is>
          <t>SBI 1227</t>
        </is>
      </c>
      <c r="J445" s="38" t="inlineStr"/>
      <c r="K445" s="38" t="inlineStr">
        <is>
          <t xml:space="preserve">   TO TRANSFER-UPI/DR/356157752953/Vendekin/ICIC/vendekin@i/UPI--</t>
        </is>
      </c>
      <c r="L445" s="38" t="inlineStr">
        <is>
          <t>State Bank of India</t>
        </is>
      </c>
      <c r="M445" s="38" t="inlineStr"/>
    </row>
    <row r="446">
      <c r="A446" s="37" t="n">
        <v>45121</v>
      </c>
      <c r="B446" s="37" t="n">
        <v>45121</v>
      </c>
      <c r="C446" s="38" t="n">
        <v>800</v>
      </c>
      <c r="D446" s="38" t="n">
        <v>0</v>
      </c>
      <c r="E446" s="38" t="inlineStr">
        <is>
          <t>Pranav</t>
        </is>
      </c>
      <c r="F446" s="38" t="inlineStr">
        <is>
          <t>UPI Payment</t>
        </is>
      </c>
      <c r="G446" s="25" t="n">
        <v>0.55</v>
      </c>
      <c r="H446" s="38" t="inlineStr">
        <is>
          <t>Personal</t>
        </is>
      </c>
      <c r="I446" s="38" t="inlineStr">
        <is>
          <t>SBI 1227</t>
        </is>
      </c>
      <c r="J446" s="38" t="inlineStr"/>
      <c r="K446" s="38" t="inlineStr">
        <is>
          <t xml:space="preserve">   TO TRANSFER-UPI/DR/319583282509/PRANAV  /CNRB/pranavalig/UPI--</t>
        </is>
      </c>
      <c r="L446" s="38" t="inlineStr">
        <is>
          <t>State Bank of India</t>
        </is>
      </c>
      <c r="M446" s="38" t="inlineStr"/>
    </row>
    <row r="447">
      <c r="A447" s="58" t="n">
        <v>45121</v>
      </c>
      <c r="B447" s="58" t="n">
        <v>45121</v>
      </c>
      <c r="C447" s="59" t="n">
        <v>3000</v>
      </c>
      <c r="D447" s="59" t="n">
        <v>0</v>
      </c>
      <c r="E447" s="59" t="inlineStr"/>
      <c r="F447" s="59" t="inlineStr">
        <is>
          <t>MF Investment</t>
        </is>
      </c>
      <c r="G447" s="18" t="n">
        <v>0.9</v>
      </c>
      <c r="H447" s="59" t="inlineStr">
        <is>
          <t>Investments</t>
        </is>
      </c>
      <c r="I447" s="59" t="inlineStr">
        <is>
          <t>HDFC 5413</t>
        </is>
      </c>
      <c r="J447" s="59" t="inlineStr"/>
      <c r="K447" s="59" t="inlineStr">
        <is>
          <t>NET PAYIN TO NSE MF A/C -00990610005906- FROM A/C -50100128155413- UCC -2554606-00990610005906</t>
        </is>
      </c>
      <c r="L447" s="59" t="inlineStr">
        <is>
          <t>HDFC Bank</t>
        </is>
      </c>
      <c r="M447" s="59" t="inlineStr"/>
    </row>
    <row r="448">
      <c r="A448" s="37" t="n">
        <v>45121</v>
      </c>
      <c r="B448" s="37" t="n">
        <v>45121</v>
      </c>
      <c r="C448" s="38" t="n">
        <v>80</v>
      </c>
      <c r="D448" s="38" t="n">
        <v>0</v>
      </c>
      <c r="E448" s="38" t="inlineStr">
        <is>
          <t>Juzhar S</t>
        </is>
      </c>
      <c r="F448" s="38" t="inlineStr">
        <is>
          <t>UPI Payment</t>
        </is>
      </c>
      <c r="G448" s="25" t="n">
        <v>0.55</v>
      </c>
      <c r="H448" s="38" t="inlineStr">
        <is>
          <t>Personal</t>
        </is>
      </c>
      <c r="I448" s="38" t="inlineStr">
        <is>
          <t>SBI 1227</t>
        </is>
      </c>
      <c r="J448" s="38" t="inlineStr"/>
      <c r="K448" s="38" t="inlineStr">
        <is>
          <t xml:space="preserve">   TO TRANSFER-UPI/DR/319580930153/JUZHAR S/PYTM/9592001871/UPI--</t>
        </is>
      </c>
      <c r="L448" s="38" t="inlineStr">
        <is>
          <t>State Bank of India</t>
        </is>
      </c>
      <c r="M448" s="38" t="inlineStr"/>
    </row>
    <row r="449">
      <c r="A449" s="37" t="n">
        <v>45121</v>
      </c>
      <c r="B449" s="37" t="n">
        <v>45121</v>
      </c>
      <c r="C449" s="38" t="n">
        <v>60</v>
      </c>
      <c r="D449" s="38" t="n">
        <v>0</v>
      </c>
      <c r="E449" s="38" t="inlineStr">
        <is>
          <t>Mr  Aada</t>
        </is>
      </c>
      <c r="F449" s="38" t="inlineStr">
        <is>
          <t>UPI Payment</t>
        </is>
      </c>
      <c r="G449" s="25" t="n">
        <v>0.55</v>
      </c>
      <c r="H449" s="38" t="inlineStr">
        <is>
          <t>Personal</t>
        </is>
      </c>
      <c r="I449" s="38" t="inlineStr">
        <is>
          <t>SBI 1227</t>
        </is>
      </c>
      <c r="J449" s="38" t="inlineStr"/>
      <c r="K449" s="38" t="inlineStr">
        <is>
          <t xml:space="preserve">   TO TRANSFER-UPI/DR/319573997616/Mr  AADA/YESB/q739730170/UPI--</t>
        </is>
      </c>
      <c r="L449" s="38" t="inlineStr">
        <is>
          <t>State Bank of India</t>
        </is>
      </c>
      <c r="M449" s="38" t="inlineStr"/>
    </row>
    <row r="450">
      <c r="A450" s="37" t="n">
        <v>45121</v>
      </c>
      <c r="B450" s="37" t="n">
        <v>45121</v>
      </c>
      <c r="C450" s="38" t="n">
        <v>10</v>
      </c>
      <c r="D450" s="38" t="n">
        <v>0</v>
      </c>
      <c r="E450" s="38" t="inlineStr">
        <is>
          <t>Mr  Aada</t>
        </is>
      </c>
      <c r="F450" s="38" t="inlineStr">
        <is>
          <t>UPI Payment</t>
        </is>
      </c>
      <c r="G450" s="25" t="n">
        <v>0.55</v>
      </c>
      <c r="H450" s="38" t="inlineStr">
        <is>
          <t>Personal</t>
        </is>
      </c>
      <c r="I450" s="38" t="inlineStr">
        <is>
          <t>SBI 1227</t>
        </is>
      </c>
      <c r="J450" s="38" t="inlineStr"/>
      <c r="K450" s="38" t="inlineStr">
        <is>
          <t xml:space="preserve">   TO TRANSFER-UPI/DR/319563994886/Mr  AADA/YESB/q739730170/UPI--</t>
        </is>
      </c>
      <c r="L450" s="38" t="inlineStr">
        <is>
          <t>State Bank of India</t>
        </is>
      </c>
      <c r="M450" s="38" t="inlineStr"/>
    </row>
    <row r="451">
      <c r="A451" s="54" t="n">
        <v>45121</v>
      </c>
      <c r="B451" s="54" t="n">
        <v>45120</v>
      </c>
      <c r="C451" s="55" t="n">
        <v>0</v>
      </c>
      <c r="D451" s="55" t="n">
        <v>0.41</v>
      </c>
      <c r="E451" s="55" t="inlineStr"/>
      <c r="F451" s="55" t="inlineStr">
        <is>
          <t>HDFC Securities - Sell</t>
        </is>
      </c>
      <c r="G451" s="18" t="n">
        <v>0.97</v>
      </c>
      <c r="H451" s="55" t="inlineStr">
        <is>
          <t>HDFC Securities</t>
        </is>
      </c>
      <c r="I451" s="55" t="inlineStr">
        <is>
          <t>HDFC 5413</t>
        </is>
      </c>
      <c r="J451" s="55" t="inlineStr"/>
      <c r="K451" s="55" t="inlineStr">
        <is>
          <t>NET PO FROM HSL A/C 2554606-00602340029427</t>
        </is>
      </c>
      <c r="L451" s="55" t="inlineStr">
        <is>
          <t>HDFC Bank</t>
        </is>
      </c>
      <c r="M451" s="55" t="inlineStr"/>
    </row>
    <row r="452">
      <c r="A452" s="37" t="n">
        <v>45122</v>
      </c>
      <c r="B452" s="37" t="n">
        <v>45122</v>
      </c>
      <c r="C452" s="38" t="n">
        <v>300</v>
      </c>
      <c r="D452" s="38" t="n">
        <v>0</v>
      </c>
      <c r="E452" s="38" t="inlineStr">
        <is>
          <t>Pawan Ve</t>
        </is>
      </c>
      <c r="F452" s="38" t="inlineStr">
        <is>
          <t>UPI Payment</t>
        </is>
      </c>
      <c r="G452" s="25" t="n">
        <v>0.55</v>
      </c>
      <c r="H452" s="38" t="inlineStr">
        <is>
          <t>Personal</t>
        </is>
      </c>
      <c r="I452" s="38" t="inlineStr">
        <is>
          <t>SBI 1227</t>
        </is>
      </c>
      <c r="J452" s="38" t="inlineStr"/>
      <c r="K452" s="38" t="inlineStr">
        <is>
          <t xml:space="preserve">   TO TRANSFER-UPI/DR/319613752833/PAWAN VE/BARB/johnverma1/UPI--</t>
        </is>
      </c>
      <c r="L452" s="38" t="inlineStr">
        <is>
          <t>State Bank of India</t>
        </is>
      </c>
      <c r="M452" s="38" t="inlineStr"/>
    </row>
    <row r="453">
      <c r="A453" s="37" t="n">
        <v>45122</v>
      </c>
      <c r="B453" s="37" t="n">
        <v>45122</v>
      </c>
      <c r="C453" s="38" t="n">
        <v>30</v>
      </c>
      <c r="D453" s="38" t="n">
        <v>0</v>
      </c>
      <c r="E453" s="38" t="inlineStr">
        <is>
          <t>Pankaj98</t>
        </is>
      </c>
      <c r="F453" s="38" t="inlineStr">
        <is>
          <t>UPI Payment</t>
        </is>
      </c>
      <c r="G453" s="25" t="n">
        <v>0.55</v>
      </c>
      <c r="H453" s="38" t="inlineStr">
        <is>
          <t>Personal</t>
        </is>
      </c>
      <c r="I453" s="38" t="inlineStr">
        <is>
          <t>SBI 1227</t>
        </is>
      </c>
      <c r="J453" s="38" t="inlineStr"/>
      <c r="K453" s="38" t="inlineStr">
        <is>
          <t xml:space="preserve">   TO TRANSFER-UPI/DR/356209104098/pankaj98/PUNB/pankaj9878/UPI--</t>
        </is>
      </c>
      <c r="L453" s="38" t="inlineStr">
        <is>
          <t>State Bank of India</t>
        </is>
      </c>
      <c r="M453" s="38" t="inlineStr"/>
    </row>
    <row r="454">
      <c r="A454" s="37" t="n">
        <v>45122</v>
      </c>
      <c r="B454" s="37" t="n">
        <v>45122</v>
      </c>
      <c r="C454" s="38" t="n">
        <v>40</v>
      </c>
      <c r="D454" s="38" t="n">
        <v>0</v>
      </c>
      <c r="E454" s="38" t="inlineStr">
        <is>
          <t>Vendekin</t>
        </is>
      </c>
      <c r="F454" s="38" t="inlineStr">
        <is>
          <t>UPI Payment</t>
        </is>
      </c>
      <c r="G454" s="25" t="n">
        <v>0.55</v>
      </c>
      <c r="H454" s="38" t="inlineStr">
        <is>
          <t>Personal</t>
        </is>
      </c>
      <c r="I454" s="38" t="inlineStr">
        <is>
          <t>SBI 1227</t>
        </is>
      </c>
      <c r="J454" s="38" t="inlineStr"/>
      <c r="K454" s="38" t="inlineStr">
        <is>
          <t xml:space="preserve">   TO TRANSFER-UPI/DR/319652188652/Vendekin/ICIC/vendekin@i/UPI--</t>
        </is>
      </c>
      <c r="L454" s="38" t="inlineStr">
        <is>
          <t>State Bank of India</t>
        </is>
      </c>
      <c r="M454" s="38" t="inlineStr"/>
    </row>
    <row r="455">
      <c r="A455" s="35" t="n">
        <v>45123</v>
      </c>
      <c r="B455" s="35" t="n">
        <v>45123</v>
      </c>
      <c r="C455" s="36" t="n">
        <v>20</v>
      </c>
      <c r="D455" s="36" t="n">
        <v>0</v>
      </c>
      <c r="E455" s="36" t="inlineStr"/>
      <c r="F455" s="36" t="inlineStr">
        <is>
          <t>UPI - Paytm</t>
        </is>
      </c>
      <c r="G455" s="34" t="n">
        <v>0.65</v>
      </c>
      <c r="H455" s="36" t="inlineStr">
        <is>
          <t>Personal</t>
        </is>
      </c>
      <c r="I455" s="36" t="inlineStr">
        <is>
          <t>SBI 1227</t>
        </is>
      </c>
      <c r="J455" s="36" t="inlineStr"/>
      <c r="K455" s="36" t="inlineStr">
        <is>
          <t xml:space="preserve">   TO TRANSFER-UPI/DR/319717153589/ANIL KAP/KKBK/paytmqr281/UPI--</t>
        </is>
      </c>
      <c r="L455" s="36" t="inlineStr">
        <is>
          <t>State Bank of India</t>
        </is>
      </c>
      <c r="M455" s="36" t="inlineStr"/>
    </row>
    <row r="456">
      <c r="A456" s="37" t="n">
        <v>45123</v>
      </c>
      <c r="B456" s="37" t="n">
        <v>45123</v>
      </c>
      <c r="C456" s="38" t="n">
        <v>250</v>
      </c>
      <c r="D456" s="38" t="n">
        <v>0</v>
      </c>
      <c r="E456" s="38" t="inlineStr">
        <is>
          <t>K Pramod</t>
        </is>
      </c>
      <c r="F456" s="38" t="inlineStr">
        <is>
          <t>UPI Payment</t>
        </is>
      </c>
      <c r="G456" s="25" t="n">
        <v>0.55</v>
      </c>
      <c r="H456" s="38" t="inlineStr">
        <is>
          <t>Personal</t>
        </is>
      </c>
      <c r="I456" s="38" t="inlineStr">
        <is>
          <t>SBI 1227</t>
        </is>
      </c>
      <c r="J456" s="38" t="inlineStr"/>
      <c r="K456" s="38" t="inlineStr">
        <is>
          <t xml:space="preserve">   TO TRANSFER-UPI/DR/356392452966/K PRAMOD/HDFC/kpramodkri/UPI--</t>
        </is>
      </c>
      <c r="L456" s="38" t="inlineStr">
        <is>
          <t>State Bank of India</t>
        </is>
      </c>
      <c r="M456" s="38" t="inlineStr"/>
    </row>
    <row r="457">
      <c r="A457" s="35" t="n">
        <v>45123</v>
      </c>
      <c r="B457" s="35" t="n">
        <v>45123</v>
      </c>
      <c r="C457" s="36" t="n">
        <v>50</v>
      </c>
      <c r="D457" s="36" t="n">
        <v>0</v>
      </c>
      <c r="E457" s="36" t="inlineStr"/>
      <c r="F457" s="36" t="inlineStr">
        <is>
          <t>UPI - Paytm</t>
        </is>
      </c>
      <c r="G457" s="34" t="n">
        <v>0.65</v>
      </c>
      <c r="H457" s="36" t="inlineStr">
        <is>
          <t>Personal</t>
        </is>
      </c>
      <c r="I457" s="36" t="inlineStr">
        <is>
          <t>SBI 1227</t>
        </is>
      </c>
      <c r="J457" s="36" t="inlineStr"/>
      <c r="K457" s="36" t="inlineStr">
        <is>
          <t xml:space="preserve">   TO TRANSFER-UPI/DR/356313525417/SEVEN SP/PYTM/paytmqr281/UPI--</t>
        </is>
      </c>
      <c r="L457" s="36" t="inlineStr">
        <is>
          <t>State Bank of India</t>
        </is>
      </c>
      <c r="M457" s="36" t="inlineStr"/>
    </row>
    <row r="458">
      <c r="A458" s="35" t="n">
        <v>45123</v>
      </c>
      <c r="B458" s="35" t="n">
        <v>45123</v>
      </c>
      <c r="C458" s="36" t="n">
        <v>30</v>
      </c>
      <c r="D458" s="36" t="n">
        <v>0</v>
      </c>
      <c r="E458" s="36" t="inlineStr"/>
      <c r="F458" s="36" t="inlineStr">
        <is>
          <t>UPI - Paytm</t>
        </is>
      </c>
      <c r="G458" s="34" t="n">
        <v>0.65</v>
      </c>
      <c r="H458" s="36" t="inlineStr">
        <is>
          <t>Personal</t>
        </is>
      </c>
      <c r="I458" s="36" t="inlineStr">
        <is>
          <t>SBI 1227</t>
        </is>
      </c>
      <c r="J458" s="36" t="inlineStr"/>
      <c r="K458" s="36" t="inlineStr">
        <is>
          <t xml:space="preserve">   TO TRANSFER-UPI/DR/319745421204/SEVEN SP/PYTM/paytmqr281/UPI--</t>
        </is>
      </c>
      <c r="L458" s="36" t="inlineStr">
        <is>
          <t>State Bank of India</t>
        </is>
      </c>
      <c r="M458" s="36" t="inlineStr"/>
    </row>
    <row r="459">
      <c r="A459" s="37" t="n">
        <v>45123</v>
      </c>
      <c r="B459" s="37" t="n">
        <v>45123</v>
      </c>
      <c r="C459" s="38" t="n">
        <v>400</v>
      </c>
      <c r="D459" s="38" t="n">
        <v>0</v>
      </c>
      <c r="E459" s="38" t="inlineStr">
        <is>
          <t>K Pramod</t>
        </is>
      </c>
      <c r="F459" s="38" t="inlineStr">
        <is>
          <t>UPI Payment</t>
        </is>
      </c>
      <c r="G459" s="25" t="n">
        <v>0.55</v>
      </c>
      <c r="H459" s="38" t="inlineStr">
        <is>
          <t>Personal</t>
        </is>
      </c>
      <c r="I459" s="38" t="inlineStr">
        <is>
          <t>SBI 1227</t>
        </is>
      </c>
      <c r="J459" s="38" t="inlineStr"/>
      <c r="K459" s="38" t="inlineStr">
        <is>
          <t xml:space="preserve">   TO TRANSFER-UPI/DR/356309400717/K PRAMOD/HDFC/kpramodkri/UPI--</t>
        </is>
      </c>
      <c r="L459" s="38" t="inlineStr">
        <is>
          <t>State Bank of India</t>
        </is>
      </c>
      <c r="M459" s="38" t="inlineStr"/>
    </row>
    <row r="460">
      <c r="A460" s="37" t="n">
        <v>45123</v>
      </c>
      <c r="B460" s="37" t="n">
        <v>45123</v>
      </c>
      <c r="C460" s="38" t="n">
        <v>460</v>
      </c>
      <c r="D460" s="38" t="n">
        <v>0</v>
      </c>
      <c r="E460" s="38" t="inlineStr"/>
      <c r="F460" s="38" t="inlineStr">
        <is>
          <t>UPI Payment</t>
        </is>
      </c>
      <c r="G460" s="25" t="n">
        <v>0.55</v>
      </c>
      <c r="H460" s="38" t="inlineStr">
        <is>
          <t>Personal</t>
        </is>
      </c>
      <c r="I460" s="38" t="inlineStr">
        <is>
          <t>SBI 1227</t>
        </is>
      </c>
      <c r="J460" s="38" t="inlineStr"/>
      <c r="K460" s="38" t="inlineStr">
        <is>
          <t xml:space="preserve">   TO TRANSFER-UPI/DR/356387998807/98804988/HDFC/9880498899/UPI--</t>
        </is>
      </c>
      <c r="L460" s="38" t="inlineStr">
        <is>
          <t>State Bank of India</t>
        </is>
      </c>
      <c r="M460" s="38" t="inlineStr"/>
    </row>
    <row r="461">
      <c r="A461" s="93" t="n">
        <v>45123</v>
      </c>
      <c r="B461" s="93" t="n">
        <v>45123</v>
      </c>
      <c r="C461" s="94" t="n">
        <v>0</v>
      </c>
      <c r="D461" s="94" t="n">
        <v>6</v>
      </c>
      <c r="E461" s="94" t="inlineStr"/>
      <c r="F461" s="94" t="inlineStr">
        <is>
          <t>UPI - Google Pay</t>
        </is>
      </c>
      <c r="G461" s="34" t="n">
        <v>0.65</v>
      </c>
      <c r="H461" s="94" t="inlineStr">
        <is>
          <t>Personal</t>
        </is>
      </c>
      <c r="I461" s="94" t="inlineStr">
        <is>
          <t>SBI 1227</t>
        </is>
      </c>
      <c r="J461" s="94" t="inlineStr"/>
      <c r="K461" s="94" t="inlineStr">
        <is>
          <t xml:space="preserve">   BY TRANSFER-UPI/CR/319753948919/GOOGLEPAY/UTIB/goog-payme/UPI--</t>
        </is>
      </c>
      <c r="L461" s="94" t="inlineStr">
        <is>
          <t>State Bank of India</t>
        </is>
      </c>
      <c r="M461" s="94" t="inlineStr"/>
    </row>
    <row r="462">
      <c r="A462" s="41" t="n">
        <v>45124</v>
      </c>
      <c r="B462" s="41" t="n">
        <v>45124</v>
      </c>
      <c r="C462" s="42" t="n">
        <v>350.64</v>
      </c>
      <c r="D462" s="42" t="n">
        <v>0</v>
      </c>
      <c r="E462" s="42" t="inlineStr"/>
      <c r="F462" s="42" t="inlineStr">
        <is>
          <t>HDFC Securities - Buy</t>
        </is>
      </c>
      <c r="G462" s="18" t="n">
        <v>0.97</v>
      </c>
      <c r="H462" s="42" t="inlineStr">
        <is>
          <t>HDFC Securities</t>
        </is>
      </c>
      <c r="I462" s="42" t="inlineStr">
        <is>
          <t>HDFC 5413</t>
        </is>
      </c>
      <c r="J462" s="42" t="inlineStr"/>
      <c r="K462" s="42" t="inlineStr">
        <is>
          <t>NET PI TO HSL SEC A/C 2554606-00602340029427</t>
        </is>
      </c>
      <c r="L462" s="42" t="inlineStr">
        <is>
          <t>HDFC Bank</t>
        </is>
      </c>
      <c r="M462" s="42" t="inlineStr"/>
    </row>
    <row r="463">
      <c r="A463" s="54" t="n">
        <v>45124</v>
      </c>
      <c r="B463" s="54" t="n">
        <v>45124</v>
      </c>
      <c r="C463" s="55" t="n">
        <v>0</v>
      </c>
      <c r="D463" s="55" t="n">
        <v>343.96</v>
      </c>
      <c r="E463" s="55" t="inlineStr"/>
      <c r="F463" s="55" t="inlineStr">
        <is>
          <t>HDFC Securities - Sell</t>
        </is>
      </c>
      <c r="G463" s="18" t="n">
        <v>0.97</v>
      </c>
      <c r="H463" s="55" t="inlineStr">
        <is>
          <t>HDFC Securities</t>
        </is>
      </c>
      <c r="I463" s="55" t="inlineStr">
        <is>
          <t>HDFC 5413</t>
        </is>
      </c>
      <c r="J463" s="55" t="inlineStr"/>
      <c r="K463" s="55" t="inlineStr">
        <is>
          <t>NET PO FROM HSL A/C 2554606-00602340029427</t>
        </is>
      </c>
      <c r="L463" s="55" t="inlineStr">
        <is>
          <t>HDFC Bank</t>
        </is>
      </c>
      <c r="M463" s="55" t="inlineStr"/>
    </row>
    <row r="464">
      <c r="A464" s="54" t="n">
        <v>45124</v>
      </c>
      <c r="B464" s="54" t="n">
        <v>45124</v>
      </c>
      <c r="C464" s="55" t="n">
        <v>0</v>
      </c>
      <c r="D464" s="55" t="n">
        <v>5658.17</v>
      </c>
      <c r="E464" s="55" t="inlineStr"/>
      <c r="F464" s="55" t="inlineStr">
        <is>
          <t>HDFC Securities - Sell</t>
        </is>
      </c>
      <c r="G464" s="18" t="n">
        <v>0.97</v>
      </c>
      <c r="H464" s="55" t="inlineStr">
        <is>
          <t>HDFC Securities</t>
        </is>
      </c>
      <c r="I464" s="55" t="inlineStr">
        <is>
          <t>HDFC 5413</t>
        </is>
      </c>
      <c r="J464" s="55" t="inlineStr"/>
      <c r="K464" s="55" t="inlineStr">
        <is>
          <t>NET PO FROM HSL A/C 2554606-00602340029427</t>
        </is>
      </c>
      <c r="L464" s="55" t="inlineStr">
        <is>
          <t>HDFC Bank</t>
        </is>
      </c>
      <c r="M464" s="55" t="inlineStr"/>
    </row>
    <row r="465">
      <c r="A465" s="37" t="n">
        <v>45124</v>
      </c>
      <c r="B465" s="37" t="n">
        <v>45124</v>
      </c>
      <c r="C465" s="38" t="n">
        <v>20</v>
      </c>
      <c r="D465" s="38" t="n">
        <v>0</v>
      </c>
      <c r="E465" s="38" t="inlineStr">
        <is>
          <t>Vendekin</t>
        </is>
      </c>
      <c r="F465" s="38" t="inlineStr">
        <is>
          <t>UPI Payment</t>
        </is>
      </c>
      <c r="G465" s="25" t="n">
        <v>0.55</v>
      </c>
      <c r="H465" s="38" t="inlineStr">
        <is>
          <t>Personal</t>
        </is>
      </c>
      <c r="I465" s="38" t="inlineStr">
        <is>
          <t>SBI 1227</t>
        </is>
      </c>
      <c r="J465" s="38" t="inlineStr"/>
      <c r="K465" s="38" t="inlineStr">
        <is>
          <t xml:space="preserve">   TO TRANSFER-UPI/DR/319836036755/Vendekin/ICIC/vendekin@i/UPI--</t>
        </is>
      </c>
      <c r="L465" s="38" t="inlineStr">
        <is>
          <t>State Bank of India</t>
        </is>
      </c>
      <c r="M465" s="38" t="inlineStr">
        <is>
          <t>⚠ Possible Duplicate</t>
        </is>
      </c>
    </row>
    <row r="466">
      <c r="A466" s="37" t="n">
        <v>45124</v>
      </c>
      <c r="B466" s="37" t="n">
        <v>45124</v>
      </c>
      <c r="C466" s="38" t="n">
        <v>40</v>
      </c>
      <c r="D466" s="38" t="n">
        <v>0</v>
      </c>
      <c r="E466" s="38" t="inlineStr">
        <is>
          <t>Vendekin</t>
        </is>
      </c>
      <c r="F466" s="38" t="inlineStr">
        <is>
          <t>UPI Payment</t>
        </is>
      </c>
      <c r="G466" s="25" t="n">
        <v>0.55</v>
      </c>
      <c r="H466" s="38" t="inlineStr">
        <is>
          <t>Personal</t>
        </is>
      </c>
      <c r="I466" s="38" t="inlineStr">
        <is>
          <t>SBI 1227</t>
        </is>
      </c>
      <c r="J466" s="38" t="inlineStr"/>
      <c r="K466" s="38" t="inlineStr">
        <is>
          <t xml:space="preserve">   TO TRANSFER-UPI/DR/319848949633/Vendekin/ICIC/vendekin@i/UPI--</t>
        </is>
      </c>
      <c r="L466" s="38" t="inlineStr">
        <is>
          <t>State Bank of India</t>
        </is>
      </c>
      <c r="M466" s="38" t="inlineStr"/>
    </row>
    <row r="467">
      <c r="A467" s="37" t="n">
        <v>45124</v>
      </c>
      <c r="B467" s="37" t="n">
        <v>45124</v>
      </c>
      <c r="C467" s="38" t="n">
        <v>20</v>
      </c>
      <c r="D467" s="38" t="n">
        <v>0</v>
      </c>
      <c r="E467" s="38" t="inlineStr">
        <is>
          <t>Mr  Aada</t>
        </is>
      </c>
      <c r="F467" s="38" t="inlineStr">
        <is>
          <t>UPI Payment</t>
        </is>
      </c>
      <c r="G467" s="25" t="n">
        <v>0.55</v>
      </c>
      <c r="H467" s="38" t="inlineStr">
        <is>
          <t>Personal</t>
        </is>
      </c>
      <c r="I467" s="38" t="inlineStr">
        <is>
          <t>SBI 1227</t>
        </is>
      </c>
      <c r="J467" s="38" t="inlineStr"/>
      <c r="K467" s="38" t="inlineStr">
        <is>
          <t xml:space="preserve">   TO TRANSFER-UPI/DR/319854376167/Mr  AADA/YESB/q739730170/UPI--</t>
        </is>
      </c>
      <c r="L467" s="38" t="inlineStr">
        <is>
          <t>State Bank of India</t>
        </is>
      </c>
      <c r="M467" s="38" t="inlineStr">
        <is>
          <t>⚠ Possible Duplicate</t>
        </is>
      </c>
    </row>
    <row r="468">
      <c r="A468" s="58" t="n">
        <v>45124</v>
      </c>
      <c r="B468" s="58" t="n">
        <v>45124</v>
      </c>
      <c r="C468" s="59" t="n">
        <v>2500</v>
      </c>
      <c r="D468" s="59" t="n">
        <v>0</v>
      </c>
      <c r="E468" s="59" t="inlineStr"/>
      <c r="F468" s="59" t="inlineStr">
        <is>
          <t>MF Investment</t>
        </is>
      </c>
      <c r="G468" s="18" t="n">
        <v>0.9</v>
      </c>
      <c r="H468" s="59" t="inlineStr">
        <is>
          <t>Investments</t>
        </is>
      </c>
      <c r="I468" s="59" t="inlineStr">
        <is>
          <t>HDFC 5413</t>
        </is>
      </c>
      <c r="J468" s="59" t="inlineStr"/>
      <c r="K468" s="59" t="inlineStr">
        <is>
          <t>NET PAYIN TO BSE MF A/C -57500000389146- FROM A/C -50100128155413- UCC -2554606-57500000389146</t>
        </is>
      </c>
      <c r="L468" s="59" t="inlineStr">
        <is>
          <t>HDFC Bank</t>
        </is>
      </c>
      <c r="M468" s="59" t="inlineStr"/>
    </row>
    <row r="469">
      <c r="A469" s="56" t="n">
        <v>45125</v>
      </c>
      <c r="B469" s="56" t="n">
        <v>45125</v>
      </c>
      <c r="C469" s="57" t="n">
        <v>406.16</v>
      </c>
      <c r="D469" s="57" t="n">
        <v>0</v>
      </c>
      <c r="E469" s="57" t="inlineStr"/>
      <c r="F469" s="57" t="inlineStr">
        <is>
          <t>Depository Charges</t>
        </is>
      </c>
      <c r="G469" s="18" t="n">
        <v>0.93</v>
      </c>
      <c r="H469" s="57" t="inlineStr">
        <is>
          <t>Depository Charges</t>
        </is>
      </c>
      <c r="I469" s="57" t="inlineStr">
        <is>
          <t>HDFC 5413</t>
        </is>
      </c>
      <c r="J469" s="57" t="inlineStr"/>
      <c r="K469" s="57" t="inlineStr">
        <is>
          <t>DEPOSITORY CHARGES JUN23 - 52812428</t>
        </is>
      </c>
      <c r="L469" s="57" t="inlineStr">
        <is>
          <t>HDFC Bank</t>
        </is>
      </c>
      <c r="M469" s="57" t="inlineStr"/>
    </row>
    <row r="470">
      <c r="A470" s="37" t="n">
        <v>45125</v>
      </c>
      <c r="B470" s="37" t="n">
        <v>45125</v>
      </c>
      <c r="C470" s="38" t="n">
        <v>165</v>
      </c>
      <c r="D470" s="38" t="n">
        <v>0</v>
      </c>
      <c r="E470" s="38" t="inlineStr">
        <is>
          <t>Lovepree</t>
        </is>
      </c>
      <c r="F470" s="38" t="inlineStr">
        <is>
          <t>UPI Payment</t>
        </is>
      </c>
      <c r="G470" s="25" t="n">
        <v>0.55</v>
      </c>
      <c r="H470" s="38" t="inlineStr">
        <is>
          <t>Personal</t>
        </is>
      </c>
      <c r="I470" s="38" t="inlineStr">
        <is>
          <t>SBI 1227</t>
        </is>
      </c>
      <c r="J470" s="38" t="inlineStr"/>
      <c r="K470" s="38" t="inlineStr">
        <is>
          <t xml:space="preserve">   TO TRANSFER-UPI/DR/319980677219/LOVEPREE/SBIN/manaklovep/UPI--</t>
        </is>
      </c>
      <c r="L470" s="38" t="inlineStr">
        <is>
          <t>State Bank of India</t>
        </is>
      </c>
      <c r="M470" s="38" t="inlineStr"/>
    </row>
    <row r="471">
      <c r="A471" s="32" t="n">
        <v>45125</v>
      </c>
      <c r="B471" s="32" t="n">
        <v>45125</v>
      </c>
      <c r="C471" s="33" t="n">
        <v>150</v>
      </c>
      <c r="D471" s="33" t="n">
        <v>0</v>
      </c>
      <c r="E471" s="33" t="inlineStr"/>
      <c r="F471" s="33" t="inlineStr">
        <is>
          <t>UPI - BharatPe</t>
        </is>
      </c>
      <c r="G471" s="34" t="n">
        <v>0.65</v>
      </c>
      <c r="H471" s="33" t="inlineStr">
        <is>
          <t>Personal</t>
        </is>
      </c>
      <c r="I471" s="33" t="inlineStr">
        <is>
          <t>SBI 1227</t>
        </is>
      </c>
      <c r="J471" s="33" t="inlineStr"/>
      <c r="K471" s="33" t="inlineStr">
        <is>
          <t xml:space="preserve">   TO TRANSFER-UPI/DR/319969935288/PAWANDEE/YESB/bharatpe90/Pay t--</t>
        </is>
      </c>
      <c r="L471" s="33" t="inlineStr">
        <is>
          <t>State Bank of India</t>
        </is>
      </c>
      <c r="M471" s="33" t="inlineStr"/>
    </row>
    <row r="472">
      <c r="A472" s="41" t="n">
        <v>45125</v>
      </c>
      <c r="B472" s="41" t="n">
        <v>45125</v>
      </c>
      <c r="C472" s="42" t="n">
        <v>117.05</v>
      </c>
      <c r="D472" s="42" t="n">
        <v>0</v>
      </c>
      <c r="E472" s="42" t="inlineStr"/>
      <c r="F472" s="42" t="inlineStr">
        <is>
          <t>HDFC Securities - Buy</t>
        </is>
      </c>
      <c r="G472" s="18" t="n">
        <v>0.97</v>
      </c>
      <c r="H472" s="42" t="inlineStr">
        <is>
          <t>HDFC Securities</t>
        </is>
      </c>
      <c r="I472" s="42" t="inlineStr">
        <is>
          <t>HDFC 5413</t>
        </is>
      </c>
      <c r="J472" s="42" t="inlineStr"/>
      <c r="K472" s="42" t="inlineStr">
        <is>
          <t>NET PI TO HSL SEC A/C 2554606-00602340029427</t>
        </is>
      </c>
      <c r="L472" s="42" t="inlineStr">
        <is>
          <t>HDFC Bank</t>
        </is>
      </c>
      <c r="M472" s="42" t="inlineStr"/>
    </row>
    <row r="473">
      <c r="A473" s="101" t="n">
        <v>45125</v>
      </c>
      <c r="B473" s="101" t="n">
        <v>45125</v>
      </c>
      <c r="C473" s="102" t="n">
        <v>0</v>
      </c>
      <c r="D473" s="102" t="n">
        <v>20</v>
      </c>
      <c r="E473" s="102" t="inlineStr"/>
      <c r="F473" s="102" t="inlineStr">
        <is>
          <t>Received - Shashank</t>
        </is>
      </c>
      <c r="G473" s="25" t="n">
        <v>0.55</v>
      </c>
      <c r="H473" s="102" t="inlineStr">
        <is>
          <t>Personal</t>
        </is>
      </c>
      <c r="I473" s="102" t="inlineStr">
        <is>
          <t>SBI 1227</t>
        </is>
      </c>
      <c r="J473" s="102" t="inlineStr"/>
      <c r="K473" s="102" t="inlineStr">
        <is>
          <t xml:space="preserve">   BY TRANSFER-UPI/CR/319948400384/SHASHANK/HDFC/9880498899/Sent--</t>
        </is>
      </c>
      <c r="L473" s="102" t="inlineStr">
        <is>
          <t>State Bank of India</t>
        </is>
      </c>
      <c r="M473" s="102" t="inlineStr"/>
    </row>
    <row r="474">
      <c r="A474" s="19" t="n">
        <v>45125</v>
      </c>
      <c r="B474" s="19" t="n">
        <v>45125</v>
      </c>
      <c r="C474" s="20" t="n">
        <v>7.08</v>
      </c>
      <c r="D474" s="20" t="n">
        <v>0</v>
      </c>
      <c r="E474" s="20" t="inlineStr"/>
      <c r="F474" s="20" t="inlineStr">
        <is>
          <t>Bank Charges</t>
        </is>
      </c>
      <c r="G474" s="18" t="n">
        <v>0.9</v>
      </c>
      <c r="H474" s="20" t="inlineStr">
        <is>
          <t>Bank Charges</t>
        </is>
      </c>
      <c r="I474" s="20" t="inlineStr">
        <is>
          <t>HDFC 5413</t>
        </is>
      </c>
      <c r="J474" s="20" t="inlineStr"/>
      <c r="K474" s="20" t="inlineStr">
        <is>
          <t>APRJUN23 INSTAALERTCHG 30 SMS 220523-MIR2419958622424</t>
        </is>
      </c>
      <c r="L474" s="20" t="inlineStr">
        <is>
          <t>HDFC Bank</t>
        </is>
      </c>
      <c r="M474" s="20" t="inlineStr"/>
    </row>
    <row r="475">
      <c r="A475" s="35" t="n">
        <v>45125</v>
      </c>
      <c r="B475" s="35" t="n">
        <v>45125</v>
      </c>
      <c r="C475" s="36" t="n">
        <v>150</v>
      </c>
      <c r="D475" s="36" t="n">
        <v>0</v>
      </c>
      <c r="E475" s="36" t="inlineStr"/>
      <c r="F475" s="36" t="inlineStr">
        <is>
          <t>UPI - Paytm</t>
        </is>
      </c>
      <c r="G475" s="34" t="n">
        <v>0.65</v>
      </c>
      <c r="H475" s="36" t="inlineStr">
        <is>
          <t>Personal</t>
        </is>
      </c>
      <c r="I475" s="36" t="inlineStr">
        <is>
          <t>SBI 1227</t>
        </is>
      </c>
      <c r="J475" s="36" t="inlineStr"/>
      <c r="K475" s="36" t="inlineStr">
        <is>
          <t xml:space="preserve">   TO TRANSFER-UPI/DR/356537115037/SEVEN SP/PYTM/paytmqr281/UPI--</t>
        </is>
      </c>
      <c r="L475" s="36" t="inlineStr">
        <is>
          <t>State Bank of India</t>
        </is>
      </c>
      <c r="M475" s="36" t="inlineStr"/>
    </row>
    <row r="476">
      <c r="A476" s="101" t="n">
        <v>45125</v>
      </c>
      <c r="B476" s="101" t="n">
        <v>45125</v>
      </c>
      <c r="C476" s="102" t="n">
        <v>0</v>
      </c>
      <c r="D476" s="102" t="n">
        <v>80</v>
      </c>
      <c r="E476" s="102" t="inlineStr"/>
      <c r="F476" s="102" t="inlineStr">
        <is>
          <t>Received - Shivansh</t>
        </is>
      </c>
      <c r="G476" s="25" t="n">
        <v>0.55</v>
      </c>
      <c r="H476" s="102" t="inlineStr">
        <is>
          <t>Personal</t>
        </is>
      </c>
      <c r="I476" s="102" t="inlineStr">
        <is>
          <t>SBI 1227</t>
        </is>
      </c>
      <c r="J476" s="102" t="inlineStr"/>
      <c r="K476" s="102" t="inlineStr">
        <is>
          <t xml:space="preserve">   BY TRANSFER-UPI/CR/356534588023/SHIVANSH/PUNB/6355284382/NA--</t>
        </is>
      </c>
      <c r="L476" s="102" t="inlineStr">
        <is>
          <t>State Bank of India</t>
        </is>
      </c>
      <c r="M476" s="102" t="inlineStr"/>
    </row>
    <row r="477">
      <c r="A477" s="37" t="n">
        <v>45125</v>
      </c>
      <c r="B477" s="37" t="n">
        <v>45125</v>
      </c>
      <c r="C477" s="38" t="n">
        <v>60</v>
      </c>
      <c r="D477" s="38" t="n">
        <v>0</v>
      </c>
      <c r="E477" s="38" t="inlineStr">
        <is>
          <t>Vendekin</t>
        </is>
      </c>
      <c r="F477" s="38" t="inlineStr">
        <is>
          <t>UPI Payment</t>
        </is>
      </c>
      <c r="G477" s="25" t="n">
        <v>0.55</v>
      </c>
      <c r="H477" s="38" t="inlineStr">
        <is>
          <t>Personal</t>
        </is>
      </c>
      <c r="I477" s="38" t="inlineStr">
        <is>
          <t>SBI 1227</t>
        </is>
      </c>
      <c r="J477" s="38" t="inlineStr"/>
      <c r="K477" s="38" t="inlineStr">
        <is>
          <t xml:space="preserve">   TO TRANSFER-UPI/DR/319982121482/Vendekin/ICIC/vendekin@i/UPI--</t>
        </is>
      </c>
      <c r="L477" s="38" t="inlineStr">
        <is>
          <t>State Bank of India</t>
        </is>
      </c>
      <c r="M477" s="38" t="inlineStr"/>
    </row>
    <row r="478">
      <c r="A478" s="37" t="n">
        <v>45126</v>
      </c>
      <c r="B478" s="37" t="n">
        <v>45126</v>
      </c>
      <c r="C478" s="38" t="n">
        <v>40</v>
      </c>
      <c r="D478" s="38" t="n">
        <v>0</v>
      </c>
      <c r="E478" s="38" t="inlineStr">
        <is>
          <t>Mr  Aada</t>
        </is>
      </c>
      <c r="F478" s="38" t="inlineStr">
        <is>
          <t>UPI Payment</t>
        </is>
      </c>
      <c r="G478" s="25" t="n">
        <v>0.55</v>
      </c>
      <c r="H478" s="38" t="inlineStr">
        <is>
          <t>Personal</t>
        </is>
      </c>
      <c r="I478" s="38" t="inlineStr">
        <is>
          <t>SBI 1227</t>
        </is>
      </c>
      <c r="J478" s="38" t="inlineStr"/>
      <c r="K478" s="38" t="inlineStr">
        <is>
          <t xml:space="preserve">   TO TRANSFER-UPI/DR/320019966857/Mr  AADA/YESB/q739730170/UPI--</t>
        </is>
      </c>
      <c r="L478" s="38" t="inlineStr">
        <is>
          <t>State Bank of India</t>
        </is>
      </c>
      <c r="M478" s="38" t="inlineStr"/>
    </row>
    <row r="479">
      <c r="A479" s="23" t="n">
        <v>45126</v>
      </c>
      <c r="B479" s="23" t="n">
        <v>45126</v>
      </c>
      <c r="C479" s="24" t="n">
        <v>2</v>
      </c>
      <c r="D479" s="24" t="n">
        <v>0</v>
      </c>
      <c r="E479" s="24" t="inlineStr"/>
      <c r="F479" s="24" t="inlineStr">
        <is>
          <t>What is this?</t>
        </is>
      </c>
      <c r="G479" s="25" t="n">
        <v>0</v>
      </c>
      <c r="H479" s="24" t="inlineStr">
        <is>
          <t>Suspense</t>
        </is>
      </c>
      <c r="I479" s="24" t="inlineStr">
        <is>
          <t>SBI 1227</t>
        </is>
      </c>
      <c r="J479" s="24" t="inlineStr"/>
      <c r="K479" s="24" t="inlineStr">
        <is>
          <t xml:space="preserve">   by debit card-OTHPG 628167      IND*LinkedIn          MUMBAI--</t>
        </is>
      </c>
      <c r="L479" s="24" t="inlineStr">
        <is>
          <t>State Bank of India</t>
        </is>
      </c>
      <c r="M479" s="24" t="inlineStr"/>
    </row>
    <row r="480">
      <c r="A480" s="37" t="n">
        <v>45126</v>
      </c>
      <c r="B480" s="37" t="n">
        <v>45126</v>
      </c>
      <c r="C480" s="38" t="n">
        <v>60</v>
      </c>
      <c r="D480" s="38" t="n">
        <v>0</v>
      </c>
      <c r="E480" s="38" t="inlineStr">
        <is>
          <t>Vendekin</t>
        </is>
      </c>
      <c r="F480" s="38" t="inlineStr">
        <is>
          <t>UPI Payment</t>
        </is>
      </c>
      <c r="G480" s="25" t="n">
        <v>0.55</v>
      </c>
      <c r="H480" s="38" t="inlineStr">
        <is>
          <t>Personal</t>
        </is>
      </c>
      <c r="I480" s="38" t="inlineStr">
        <is>
          <t>SBI 1227</t>
        </is>
      </c>
      <c r="J480" s="38" t="inlineStr"/>
      <c r="K480" s="38" t="inlineStr">
        <is>
          <t xml:space="preserve">   TO TRANSFER-UPI/DR/320025869820/Vendekin/ICIC/vendekin@i/UPI--</t>
        </is>
      </c>
      <c r="L480" s="38" t="inlineStr">
        <is>
          <t>State Bank of India</t>
        </is>
      </c>
      <c r="M480" s="38" t="inlineStr"/>
    </row>
    <row r="481">
      <c r="A481" s="101" t="n">
        <v>45126</v>
      </c>
      <c r="B481" s="101" t="n">
        <v>45126</v>
      </c>
      <c r="C481" s="102" t="n">
        <v>0</v>
      </c>
      <c r="D481" s="102" t="n">
        <v>20</v>
      </c>
      <c r="E481" s="102" t="inlineStr"/>
      <c r="F481" s="102" t="inlineStr">
        <is>
          <t>Received - Vendekin</t>
        </is>
      </c>
      <c r="G481" s="25" t="n">
        <v>0.55</v>
      </c>
      <c r="H481" s="102" t="inlineStr">
        <is>
          <t>Personal</t>
        </is>
      </c>
      <c r="I481" s="102" t="inlineStr">
        <is>
          <t>SBI 1227</t>
        </is>
      </c>
      <c r="J481" s="102" t="inlineStr"/>
      <c r="K481" s="102" t="inlineStr">
        <is>
          <t xml:space="preserve">   BY TRANSFER-UPI/CR/320072526336/Vendekin/ICIC/vendekin@i/vende--</t>
        </is>
      </c>
      <c r="L481" s="102" t="inlineStr">
        <is>
          <t>State Bank of India</t>
        </is>
      </c>
      <c r="M481" s="102" t="inlineStr"/>
    </row>
    <row r="482">
      <c r="A482" s="37" t="n">
        <v>45126</v>
      </c>
      <c r="B482" s="37" t="n">
        <v>45126</v>
      </c>
      <c r="C482" s="38" t="n">
        <v>50</v>
      </c>
      <c r="D482" s="38" t="n">
        <v>0</v>
      </c>
      <c r="E482" s="38" t="inlineStr">
        <is>
          <t>Leaf Stu</t>
        </is>
      </c>
      <c r="F482" s="38" t="inlineStr">
        <is>
          <t>UPI Payment</t>
        </is>
      </c>
      <c r="G482" s="25" t="n">
        <v>0.55</v>
      </c>
      <c r="H482" s="38" t="inlineStr">
        <is>
          <t>Personal</t>
        </is>
      </c>
      <c r="I482" s="38" t="inlineStr">
        <is>
          <t>SBI 1227</t>
        </is>
      </c>
      <c r="J482" s="38" t="inlineStr"/>
      <c r="K482" s="38" t="inlineStr">
        <is>
          <t xml:space="preserve">   TO TRANSFER-UPI/DR/320026045534/Leaf Stu/YESB/leafstudio/UPI--</t>
        </is>
      </c>
      <c r="L482" s="38" t="inlineStr">
        <is>
          <t>State Bank of India</t>
        </is>
      </c>
      <c r="M482" s="38" t="inlineStr"/>
    </row>
    <row r="483">
      <c r="A483" s="54" t="n">
        <v>45126</v>
      </c>
      <c r="B483" s="54" t="n">
        <v>45125</v>
      </c>
      <c r="C483" s="55" t="n">
        <v>0</v>
      </c>
      <c r="D483" s="55" t="n">
        <v>2937.29</v>
      </c>
      <c r="E483" s="55" t="inlineStr"/>
      <c r="F483" s="55" t="inlineStr">
        <is>
          <t>HDFC Securities - Sell</t>
        </is>
      </c>
      <c r="G483" s="18" t="n">
        <v>0.97</v>
      </c>
      <c r="H483" s="55" t="inlineStr">
        <is>
          <t>HDFC Securities</t>
        </is>
      </c>
      <c r="I483" s="55" t="inlineStr">
        <is>
          <t>HDFC 5413</t>
        </is>
      </c>
      <c r="J483" s="55" t="inlineStr"/>
      <c r="K483" s="55" t="inlineStr">
        <is>
          <t>NET PO FROM HSL A/C 2554606-00602340029427</t>
        </is>
      </c>
      <c r="L483" s="55" t="inlineStr">
        <is>
          <t>HDFC Bank</t>
        </is>
      </c>
      <c r="M483" s="55" t="inlineStr"/>
    </row>
    <row r="484">
      <c r="A484" s="54" t="n">
        <v>45126</v>
      </c>
      <c r="B484" s="54" t="n">
        <v>45126</v>
      </c>
      <c r="C484" s="55" t="n">
        <v>0</v>
      </c>
      <c r="D484" s="55" t="n">
        <v>20745.74</v>
      </c>
      <c r="E484" s="55" t="inlineStr"/>
      <c r="F484" s="55" t="inlineStr">
        <is>
          <t>HDFC Securities - Sell</t>
        </is>
      </c>
      <c r="G484" s="18" t="n">
        <v>0.97</v>
      </c>
      <c r="H484" s="55" t="inlineStr">
        <is>
          <t>HDFC Securities</t>
        </is>
      </c>
      <c r="I484" s="55" t="inlineStr">
        <is>
          <t>HDFC 5413</t>
        </is>
      </c>
      <c r="J484" s="55" t="inlineStr"/>
      <c r="K484" s="55" t="inlineStr">
        <is>
          <t>NET PO FROM HSL A/C 2554606-00602340029427</t>
        </is>
      </c>
      <c r="L484" s="55" t="inlineStr">
        <is>
          <t>HDFC Bank</t>
        </is>
      </c>
      <c r="M484" s="55" t="inlineStr"/>
    </row>
    <row r="485">
      <c r="A485" s="64" t="n">
        <v>45126</v>
      </c>
      <c r="B485" s="64" t="n">
        <v>45126</v>
      </c>
      <c r="C485" s="65" t="n">
        <v>0</v>
      </c>
      <c r="D485" s="65" t="n">
        <v>275</v>
      </c>
      <c r="E485" s="65" t="inlineStr"/>
      <c r="F485" s="65" t="inlineStr">
        <is>
          <t>Dividend Income</t>
        </is>
      </c>
      <c r="G485" s="18" t="n">
        <v>0.88</v>
      </c>
      <c r="H485" s="65" t="inlineStr">
        <is>
          <t>Dividend Income</t>
        </is>
      </c>
      <c r="I485" s="65" t="inlineStr">
        <is>
          <t>HDFC 5413</t>
        </is>
      </c>
      <c r="J485" s="65" t="inlineStr"/>
      <c r="K485" s="65" t="inlineStr">
        <is>
          <t>ACH C- BOB DIVDND FY2022-23-9608629</t>
        </is>
      </c>
      <c r="L485" s="65" t="inlineStr">
        <is>
          <t>HDFC Bank</t>
        </is>
      </c>
      <c r="M485" s="65" t="inlineStr"/>
    </row>
    <row r="486">
      <c r="A486" s="41" t="n">
        <v>45126</v>
      </c>
      <c r="B486" s="41" t="n">
        <v>45126</v>
      </c>
      <c r="C486" s="42" t="n">
        <v>465.99</v>
      </c>
      <c r="D486" s="42" t="n">
        <v>0</v>
      </c>
      <c r="E486" s="42" t="inlineStr"/>
      <c r="F486" s="42" t="inlineStr">
        <is>
          <t>HDFC Securities - Buy</t>
        </is>
      </c>
      <c r="G486" s="18" t="n">
        <v>0.97</v>
      </c>
      <c r="H486" s="42" t="inlineStr">
        <is>
          <t>HDFC Securities</t>
        </is>
      </c>
      <c r="I486" s="42" t="inlineStr">
        <is>
          <t>HDFC 5413</t>
        </is>
      </c>
      <c r="J486" s="42" t="inlineStr"/>
      <c r="K486" s="42" t="inlineStr">
        <is>
          <t>NET PI TO HSL SEC A/C 2554606-00602340029427</t>
        </is>
      </c>
      <c r="L486" s="42" t="inlineStr">
        <is>
          <t>HDFC Bank</t>
        </is>
      </c>
      <c r="M486" s="42" t="inlineStr"/>
    </row>
    <row r="487">
      <c r="A487" s="54" t="n">
        <v>45126</v>
      </c>
      <c r="B487" s="54" t="n">
        <v>45126</v>
      </c>
      <c r="C487" s="55" t="n">
        <v>0</v>
      </c>
      <c r="D487" s="55" t="n">
        <v>82.59999999999999</v>
      </c>
      <c r="E487" s="55" t="inlineStr"/>
      <c r="F487" s="55" t="inlineStr">
        <is>
          <t>HDFC Securities - Sell</t>
        </is>
      </c>
      <c r="G487" s="18" t="n">
        <v>0.97</v>
      </c>
      <c r="H487" s="55" t="inlineStr">
        <is>
          <t>HDFC Securities</t>
        </is>
      </c>
      <c r="I487" s="55" t="inlineStr">
        <is>
          <t>HDFC 5413</t>
        </is>
      </c>
      <c r="J487" s="55" t="inlineStr"/>
      <c r="K487" s="55" t="inlineStr">
        <is>
          <t>NET PO FROM HSL A/C 2554606-00602340029427</t>
        </is>
      </c>
      <c r="L487" s="55" t="inlineStr">
        <is>
          <t>HDFC Bank</t>
        </is>
      </c>
      <c r="M487" s="55" t="inlineStr"/>
    </row>
    <row r="488">
      <c r="A488" s="41" t="n">
        <v>45127</v>
      </c>
      <c r="B488" s="41" t="n">
        <v>45127</v>
      </c>
      <c r="C488" s="42" t="n">
        <v>113.92</v>
      </c>
      <c r="D488" s="42" t="n">
        <v>0</v>
      </c>
      <c r="E488" s="42" t="inlineStr"/>
      <c r="F488" s="42" t="inlineStr">
        <is>
          <t>HDFC Securities - Buy</t>
        </is>
      </c>
      <c r="G488" s="18" t="n">
        <v>0.97</v>
      </c>
      <c r="H488" s="42" t="inlineStr">
        <is>
          <t>HDFC Securities</t>
        </is>
      </c>
      <c r="I488" s="42" t="inlineStr">
        <is>
          <t>HDFC 5413</t>
        </is>
      </c>
      <c r="J488" s="42" t="inlineStr"/>
      <c r="K488" s="42" t="inlineStr">
        <is>
          <t>NET PI TO HSL SEC A/C 2554606-00602340029427</t>
        </is>
      </c>
      <c r="L488" s="42" t="inlineStr">
        <is>
          <t>HDFC Bank</t>
        </is>
      </c>
      <c r="M488" s="42" t="inlineStr"/>
    </row>
    <row r="489">
      <c r="A489" s="54" t="n">
        <v>45127</v>
      </c>
      <c r="B489" s="54" t="n">
        <v>45126</v>
      </c>
      <c r="C489" s="55" t="n">
        <v>0</v>
      </c>
      <c r="D489" s="55" t="n">
        <v>465.99</v>
      </c>
      <c r="E489" s="55" t="inlineStr"/>
      <c r="F489" s="55" t="inlineStr">
        <is>
          <t>HDFC Securities - Sell</t>
        </is>
      </c>
      <c r="G489" s="18" t="n">
        <v>0.97</v>
      </c>
      <c r="H489" s="55" t="inlineStr">
        <is>
          <t>HDFC Securities</t>
        </is>
      </c>
      <c r="I489" s="55" t="inlineStr">
        <is>
          <t>HDFC 5413</t>
        </is>
      </c>
      <c r="J489" s="55" t="inlineStr"/>
      <c r="K489" s="55" t="inlineStr">
        <is>
          <t>NET PO FROM HSL A/C 2554606-00602340029427</t>
        </is>
      </c>
      <c r="L489" s="55" t="inlineStr">
        <is>
          <t>HDFC Bank</t>
        </is>
      </c>
      <c r="M489" s="55" t="inlineStr"/>
    </row>
    <row r="490">
      <c r="A490" s="54" t="n">
        <v>45127</v>
      </c>
      <c r="B490" s="54" t="n">
        <v>45127</v>
      </c>
      <c r="C490" s="55" t="n">
        <v>0</v>
      </c>
      <c r="D490" s="55" t="n">
        <v>7180.08</v>
      </c>
      <c r="E490" s="55" t="inlineStr"/>
      <c r="F490" s="55" t="inlineStr">
        <is>
          <t>HDFC Securities - Sell</t>
        </is>
      </c>
      <c r="G490" s="18" t="n">
        <v>0.97</v>
      </c>
      <c r="H490" s="55" t="inlineStr">
        <is>
          <t>HDFC Securities</t>
        </is>
      </c>
      <c r="I490" s="55" t="inlineStr">
        <is>
          <t>HDFC 5413</t>
        </is>
      </c>
      <c r="J490" s="55" t="inlineStr"/>
      <c r="K490" s="55" t="inlineStr">
        <is>
          <t>NET PO FROM HSL A/C 2554606-00602340029427</t>
        </is>
      </c>
      <c r="L490" s="55" t="inlineStr">
        <is>
          <t>HDFC Bank</t>
        </is>
      </c>
      <c r="M490" s="55" t="inlineStr"/>
    </row>
    <row r="491">
      <c r="A491" s="101" t="n">
        <v>45127</v>
      </c>
      <c r="B491" s="101" t="n">
        <v>45127</v>
      </c>
      <c r="C491" s="102" t="n">
        <v>0</v>
      </c>
      <c r="D491" s="102" t="n">
        <v>20</v>
      </c>
      <c r="E491" s="102" t="inlineStr"/>
      <c r="F491" s="102" t="inlineStr">
        <is>
          <t>Received - Vendekin</t>
        </is>
      </c>
      <c r="G491" s="25" t="n">
        <v>0.55</v>
      </c>
      <c r="H491" s="102" t="inlineStr">
        <is>
          <t>Personal</t>
        </is>
      </c>
      <c r="I491" s="102" t="inlineStr">
        <is>
          <t>SBI 1227</t>
        </is>
      </c>
      <c r="J491" s="102" t="inlineStr"/>
      <c r="K491" s="102" t="inlineStr">
        <is>
          <t xml:space="preserve">   BY TRANSFER-UPI/CR/320173925946/Vendekin/ICIC/vendekin@i/vende--</t>
        </is>
      </c>
      <c r="L491" s="102" t="inlineStr">
        <is>
          <t>State Bank of India</t>
        </is>
      </c>
      <c r="M491" s="102" t="inlineStr"/>
    </row>
    <row r="492">
      <c r="A492" s="101" t="n">
        <v>45127</v>
      </c>
      <c r="B492" s="101" t="n">
        <v>45127</v>
      </c>
      <c r="C492" s="102" t="n">
        <v>0</v>
      </c>
      <c r="D492" s="102" t="n">
        <v>80</v>
      </c>
      <c r="E492" s="102" t="inlineStr"/>
      <c r="F492" s="102" t="inlineStr">
        <is>
          <t>Received - Nitish K</t>
        </is>
      </c>
      <c r="G492" s="25" t="n">
        <v>0.55</v>
      </c>
      <c r="H492" s="102" t="inlineStr">
        <is>
          <t>Personal</t>
        </is>
      </c>
      <c r="I492" s="102" t="inlineStr">
        <is>
          <t>SBI 1227</t>
        </is>
      </c>
      <c r="J492" s="102" t="inlineStr"/>
      <c r="K492" s="102" t="inlineStr">
        <is>
          <t xml:space="preserve">   BY TRANSFER-UPI/CR/356792387965/NITISH K/SBIN/7978999722/Payme--</t>
        </is>
      </c>
      <c r="L492" s="102" t="inlineStr">
        <is>
          <t>State Bank of India</t>
        </is>
      </c>
      <c r="M492" s="102" t="inlineStr"/>
    </row>
    <row r="493">
      <c r="A493" s="37" t="n">
        <v>45127</v>
      </c>
      <c r="B493" s="37" t="n">
        <v>45127</v>
      </c>
      <c r="C493" s="38" t="n">
        <v>70</v>
      </c>
      <c r="D493" s="38" t="n">
        <v>0</v>
      </c>
      <c r="E493" s="38" t="inlineStr">
        <is>
          <t>Vendekin</t>
        </is>
      </c>
      <c r="F493" s="38" t="inlineStr">
        <is>
          <t>UPI Payment</t>
        </is>
      </c>
      <c r="G493" s="25" t="n">
        <v>0.55</v>
      </c>
      <c r="H493" s="38" t="inlineStr">
        <is>
          <t>Personal</t>
        </is>
      </c>
      <c r="I493" s="38" t="inlineStr">
        <is>
          <t>SBI 1227</t>
        </is>
      </c>
      <c r="J493" s="38" t="inlineStr"/>
      <c r="K493" s="38" t="inlineStr">
        <is>
          <t xml:space="preserve">   TO TRANSFER-UPI/DR/320138812953/Vendekin/ICIC/vendekin@i/UPI--</t>
        </is>
      </c>
      <c r="L493" s="38" t="inlineStr">
        <is>
          <t>State Bank of India</t>
        </is>
      </c>
      <c r="M493" s="38" t="inlineStr"/>
    </row>
    <row r="494">
      <c r="A494" s="35" t="n">
        <v>45127</v>
      </c>
      <c r="B494" s="35" t="n">
        <v>45127</v>
      </c>
      <c r="C494" s="36" t="n">
        <v>50</v>
      </c>
      <c r="D494" s="36" t="n">
        <v>0</v>
      </c>
      <c r="E494" s="36" t="inlineStr"/>
      <c r="F494" s="36" t="inlineStr">
        <is>
          <t>UPI - Paytm</t>
        </is>
      </c>
      <c r="G494" s="34" t="n">
        <v>0.65</v>
      </c>
      <c r="H494" s="36" t="inlineStr">
        <is>
          <t>Personal</t>
        </is>
      </c>
      <c r="I494" s="36" t="inlineStr">
        <is>
          <t>SBI 1227</t>
        </is>
      </c>
      <c r="J494" s="36" t="inlineStr"/>
      <c r="K494" s="36" t="inlineStr">
        <is>
          <t xml:space="preserve">   TO TRANSFER-UPI/DR/320138502002/SEVEN SP/PYTM/paytmqr281/UPI--</t>
        </is>
      </c>
      <c r="L494" s="36" t="inlineStr">
        <is>
          <t>State Bank of India</t>
        </is>
      </c>
      <c r="M494" s="36" t="inlineStr"/>
    </row>
    <row r="495">
      <c r="A495" s="64" t="n">
        <v>45128</v>
      </c>
      <c r="B495" s="64" t="n">
        <v>45128</v>
      </c>
      <c r="C495" s="65" t="n">
        <v>0</v>
      </c>
      <c r="D495" s="65" t="n">
        <v>100</v>
      </c>
      <c r="E495" s="65" t="inlineStr"/>
      <c r="F495" s="65" t="inlineStr">
        <is>
          <t>Dividend Income</t>
        </is>
      </c>
      <c r="G495" s="18" t="n">
        <v>0.88</v>
      </c>
      <c r="H495" s="65" t="inlineStr">
        <is>
          <t>Dividend Income</t>
        </is>
      </c>
      <c r="I495" s="65" t="inlineStr">
        <is>
          <t>HDFC 5413</t>
        </is>
      </c>
      <c r="J495" s="65" t="inlineStr"/>
      <c r="K495" s="65" t="inlineStr">
        <is>
          <t>ACH C- ALUFLUORIDE LIMITED-7556</t>
        </is>
      </c>
      <c r="L495" s="65" t="inlineStr">
        <is>
          <t>HDFC Bank</t>
        </is>
      </c>
      <c r="M495" s="65" t="inlineStr"/>
    </row>
    <row r="496">
      <c r="A496" s="54" t="n">
        <v>45128</v>
      </c>
      <c r="B496" s="54" t="n">
        <v>45128</v>
      </c>
      <c r="C496" s="55" t="n">
        <v>0</v>
      </c>
      <c r="D496" s="55" t="n">
        <v>17375.14</v>
      </c>
      <c r="E496" s="55" t="inlineStr"/>
      <c r="F496" s="55" t="inlineStr">
        <is>
          <t>HDFC Securities - Sell</t>
        </is>
      </c>
      <c r="G496" s="18" t="n">
        <v>0.97</v>
      </c>
      <c r="H496" s="55" t="inlineStr">
        <is>
          <t>HDFC Securities</t>
        </is>
      </c>
      <c r="I496" s="55" t="inlineStr">
        <is>
          <t>HDFC 5413</t>
        </is>
      </c>
      <c r="J496" s="55" t="inlineStr"/>
      <c r="K496" s="55" t="inlineStr">
        <is>
          <t>NET PO FROM HSL A/C 2554606-00602340029427</t>
        </is>
      </c>
      <c r="L496" s="55" t="inlineStr">
        <is>
          <t>HDFC Bank</t>
        </is>
      </c>
      <c r="M496" s="55" t="inlineStr"/>
    </row>
    <row r="497">
      <c r="A497" s="41" t="n">
        <v>45128</v>
      </c>
      <c r="B497" s="41" t="n">
        <v>45128</v>
      </c>
      <c r="C497" s="42" t="n">
        <v>113.94</v>
      </c>
      <c r="D497" s="42" t="n">
        <v>0</v>
      </c>
      <c r="E497" s="42" t="inlineStr"/>
      <c r="F497" s="42" t="inlineStr">
        <is>
          <t>HDFC Securities - Buy</t>
        </is>
      </c>
      <c r="G497" s="18" t="n">
        <v>0.97</v>
      </c>
      <c r="H497" s="42" t="inlineStr">
        <is>
          <t>HDFC Securities</t>
        </is>
      </c>
      <c r="I497" s="42" t="inlineStr">
        <is>
          <t>HDFC 5413</t>
        </is>
      </c>
      <c r="J497" s="42" t="inlineStr"/>
      <c r="K497" s="42" t="inlineStr">
        <is>
          <t>NET PI TO HSL SEC A/C 2554606-00602340029427</t>
        </is>
      </c>
      <c r="L497" s="42" t="inlineStr">
        <is>
          <t>HDFC Bank</t>
        </is>
      </c>
      <c r="M497" s="42" t="inlineStr"/>
    </row>
    <row r="498">
      <c r="A498" s="54" t="n">
        <v>45128</v>
      </c>
      <c r="B498" s="54" t="n">
        <v>45127</v>
      </c>
      <c r="C498" s="55" t="n">
        <v>0</v>
      </c>
      <c r="D498" s="55" t="n">
        <v>44.98</v>
      </c>
      <c r="E498" s="55" t="inlineStr"/>
      <c r="F498" s="55" t="inlineStr">
        <is>
          <t>HDFC Securities - Sell</t>
        </is>
      </c>
      <c r="G498" s="18" t="n">
        <v>0.97</v>
      </c>
      <c r="H498" s="55" t="inlineStr">
        <is>
          <t>HDFC Securities</t>
        </is>
      </c>
      <c r="I498" s="55" t="inlineStr">
        <is>
          <t>HDFC 5413</t>
        </is>
      </c>
      <c r="J498" s="55" t="inlineStr"/>
      <c r="K498" s="55" t="inlineStr">
        <is>
          <t>NET PO FROM HSL A/C 2554606-00602340029427</t>
        </is>
      </c>
      <c r="L498" s="55" t="inlineStr">
        <is>
          <t>HDFC Bank</t>
        </is>
      </c>
      <c r="M498" s="55" t="inlineStr"/>
    </row>
    <row r="499">
      <c r="A499" s="37" t="n">
        <v>45128</v>
      </c>
      <c r="B499" s="37" t="n">
        <v>45128</v>
      </c>
      <c r="C499" s="38" t="n">
        <v>280</v>
      </c>
      <c r="D499" s="38" t="n">
        <v>0</v>
      </c>
      <c r="E499" s="38" t="inlineStr">
        <is>
          <t>Rajesh K</t>
        </is>
      </c>
      <c r="F499" s="38" t="inlineStr">
        <is>
          <t>UPI Payment</t>
        </is>
      </c>
      <c r="G499" s="25" t="n">
        <v>0.55</v>
      </c>
      <c r="H499" s="38" t="inlineStr">
        <is>
          <t>Personal</t>
        </is>
      </c>
      <c r="I499" s="38" t="inlineStr">
        <is>
          <t>SBI 1227</t>
        </is>
      </c>
      <c r="J499" s="38" t="inlineStr"/>
      <c r="K499" s="38" t="inlineStr">
        <is>
          <t xml:space="preserve">   TO TRANSFER-UPI/DR/320293174995/RAJESH K/BARB/pandeyraje/UPI--</t>
        </is>
      </c>
      <c r="L499" s="38" t="inlineStr">
        <is>
          <t>State Bank of India</t>
        </is>
      </c>
      <c r="M499" s="38" t="inlineStr"/>
    </row>
    <row r="500">
      <c r="A500" s="41" t="n">
        <v>45128</v>
      </c>
      <c r="B500" s="41" t="n">
        <v>45128</v>
      </c>
      <c r="C500" s="42" t="n">
        <v>108.48</v>
      </c>
      <c r="D500" s="42" t="n">
        <v>0</v>
      </c>
      <c r="E500" s="42" t="inlineStr"/>
      <c r="F500" s="42" t="inlineStr">
        <is>
          <t>HDFC Securities - Buy</t>
        </is>
      </c>
      <c r="G500" s="18" t="n">
        <v>0.97</v>
      </c>
      <c r="H500" s="42" t="inlineStr">
        <is>
          <t>HDFC Securities</t>
        </is>
      </c>
      <c r="I500" s="42" t="inlineStr">
        <is>
          <t>HDFC 5413</t>
        </is>
      </c>
      <c r="J500" s="42" t="inlineStr"/>
      <c r="K500" s="42" t="inlineStr">
        <is>
          <t>NET PI TO HSL SEC A/C 2554606-00602340029427</t>
        </is>
      </c>
      <c r="L500" s="42" t="inlineStr">
        <is>
          <t>HDFC Bank</t>
        </is>
      </c>
      <c r="M500" s="42" t="inlineStr"/>
    </row>
    <row r="501">
      <c r="A501" s="66" t="n">
        <v>45129</v>
      </c>
      <c r="B501" s="66" t="n">
        <v>45129</v>
      </c>
      <c r="C501" s="67" t="n">
        <v>50000</v>
      </c>
      <c r="D501" s="67" t="n">
        <v>0</v>
      </c>
      <c r="E501" s="67" t="inlineStr"/>
      <c r="F501" s="67" t="inlineStr">
        <is>
          <t>Life Insurance Premium</t>
        </is>
      </c>
      <c r="G501" s="18" t="n">
        <v>0.9</v>
      </c>
      <c r="H501" s="67" t="inlineStr">
        <is>
          <t>Life Insurance</t>
        </is>
      </c>
      <c r="I501" s="67" t="inlineStr">
        <is>
          <t>HDFC 5413</t>
        </is>
      </c>
      <c r="J501" s="67" t="inlineStr"/>
      <c r="K501" s="67" t="inlineStr">
        <is>
          <t>84964259/HDFCLIFEULIP</t>
        </is>
      </c>
      <c r="L501" s="67" t="inlineStr">
        <is>
          <t>HDFC Bank</t>
        </is>
      </c>
      <c r="M501" s="67" t="inlineStr"/>
    </row>
    <row r="502">
      <c r="A502" s="101" t="n">
        <v>45129</v>
      </c>
      <c r="B502" s="101" t="n">
        <v>45129</v>
      </c>
      <c r="C502" s="102" t="n">
        <v>0</v>
      </c>
      <c r="D502" s="102" t="n">
        <v>500</v>
      </c>
      <c r="E502" s="102" t="inlineStr"/>
      <c r="F502" s="102" t="inlineStr">
        <is>
          <t>Received - Vysakh R K</t>
        </is>
      </c>
      <c r="G502" s="25" t="n">
        <v>0.55</v>
      </c>
      <c r="H502" s="102" t="inlineStr">
        <is>
          <t>Personal</t>
        </is>
      </c>
      <c r="I502" s="102" t="inlineStr">
        <is>
          <t>SBI 1227</t>
        </is>
      </c>
      <c r="J502" s="102" t="inlineStr"/>
      <c r="K502" s="102" t="inlineStr">
        <is>
          <t xml:space="preserve">   BY TRANSFER-UPI/CR/356940631219/VYSAKH R K/UTIB/9447970836/NA--</t>
        </is>
      </c>
      <c r="L502" s="102" t="inlineStr">
        <is>
          <t>State Bank of India</t>
        </is>
      </c>
      <c r="M502" s="102" t="inlineStr"/>
    </row>
    <row r="503">
      <c r="A503" s="37" t="n">
        <v>45129</v>
      </c>
      <c r="B503" s="37" t="n">
        <v>45129</v>
      </c>
      <c r="C503" s="38" t="n">
        <v>127</v>
      </c>
      <c r="D503" s="38" t="n">
        <v>0</v>
      </c>
      <c r="E503" s="38" t="inlineStr">
        <is>
          <t>Ankur   .</t>
        </is>
      </c>
      <c r="F503" s="38" t="inlineStr">
        <is>
          <t>UPI Payment</t>
        </is>
      </c>
      <c r="G503" s="25" t="n">
        <v>0.55</v>
      </c>
      <c r="H503" s="38" t="inlineStr">
        <is>
          <t>Personal</t>
        </is>
      </c>
      <c r="I503" s="38" t="inlineStr">
        <is>
          <t>SBI 1227</t>
        </is>
      </c>
      <c r="J503" s="38" t="inlineStr"/>
      <c r="K503" s="38" t="inlineStr">
        <is>
          <t xml:space="preserve">   TO TRANSFER-UPI/DR/320326887365/ANKUR   ./KKBK/ankurbajaj/UPI--</t>
        </is>
      </c>
      <c r="L503" s="38" t="inlineStr">
        <is>
          <t>State Bank of India</t>
        </is>
      </c>
      <c r="M503" s="38" t="inlineStr"/>
    </row>
    <row r="504">
      <c r="A504" s="37" t="n">
        <v>45129</v>
      </c>
      <c r="B504" s="37" t="n">
        <v>45129</v>
      </c>
      <c r="C504" s="38" t="n">
        <v>1344</v>
      </c>
      <c r="D504" s="38" t="n">
        <v>0</v>
      </c>
      <c r="E504" s="38" t="inlineStr">
        <is>
          <t>Nandini</t>
        </is>
      </c>
      <c r="F504" s="38" t="inlineStr">
        <is>
          <t>UPI Payment</t>
        </is>
      </c>
      <c r="G504" s="25" t="n">
        <v>0.55</v>
      </c>
      <c r="H504" s="38" t="inlineStr">
        <is>
          <t>Personal</t>
        </is>
      </c>
      <c r="I504" s="38" t="inlineStr">
        <is>
          <t>SBI 1227</t>
        </is>
      </c>
      <c r="J504" s="38" t="inlineStr"/>
      <c r="K504" s="38" t="inlineStr">
        <is>
          <t xml:space="preserve">   TO TRANSFER-UPI/DR/320325771366/NANDINI /YESB/q428890108/UPI--</t>
        </is>
      </c>
      <c r="L504" s="38" t="inlineStr">
        <is>
          <t>State Bank of India</t>
        </is>
      </c>
      <c r="M504" s="38" t="inlineStr"/>
    </row>
    <row r="505">
      <c r="A505" s="37" t="n">
        <v>45129</v>
      </c>
      <c r="B505" s="37" t="n">
        <v>45129</v>
      </c>
      <c r="C505" s="38" t="n">
        <v>449</v>
      </c>
      <c r="D505" s="38" t="n">
        <v>0</v>
      </c>
      <c r="E505" s="38" t="inlineStr">
        <is>
          <t>Udemy</t>
        </is>
      </c>
      <c r="F505" s="38" t="inlineStr">
        <is>
          <t>UPI Payment</t>
        </is>
      </c>
      <c r="G505" s="25" t="n">
        <v>0.55</v>
      </c>
      <c r="H505" s="38" t="inlineStr">
        <is>
          <t>Personal</t>
        </is>
      </c>
      <c r="I505" s="38" t="inlineStr">
        <is>
          <t>SBI 1227</t>
        </is>
      </c>
      <c r="J505" s="38" t="inlineStr"/>
      <c r="K505" s="38" t="inlineStr">
        <is>
          <t xml:space="preserve">   TO TRANSFER-UPI/DR/320319987083/UDEMY/HDFC/billdeskpg/Pay--</t>
        </is>
      </c>
      <c r="L505" s="38" t="inlineStr">
        <is>
          <t>State Bank of India</t>
        </is>
      </c>
      <c r="M505" s="38" t="inlineStr"/>
    </row>
    <row r="506">
      <c r="A506" s="101" t="n">
        <v>45129</v>
      </c>
      <c r="B506" s="101" t="n">
        <v>45129</v>
      </c>
      <c r="C506" s="102" t="n">
        <v>0</v>
      </c>
      <c r="D506" s="102" t="n">
        <v>450</v>
      </c>
      <c r="E506" s="102" t="inlineStr"/>
      <c r="F506" s="102" t="inlineStr">
        <is>
          <t>Received - Shashank</t>
        </is>
      </c>
      <c r="G506" s="25" t="n">
        <v>0.55</v>
      </c>
      <c r="H506" s="102" t="inlineStr">
        <is>
          <t>Personal</t>
        </is>
      </c>
      <c r="I506" s="102" t="inlineStr">
        <is>
          <t>SBI 1227</t>
        </is>
      </c>
      <c r="J506" s="102" t="inlineStr"/>
      <c r="K506" s="102" t="inlineStr">
        <is>
          <t xml:space="preserve">   BY TRANSFER-UPI/CR/356940477067/SHASHANK/HDFC/9880498899/Sent--</t>
        </is>
      </c>
      <c r="L506" s="102" t="inlineStr">
        <is>
          <t>State Bank of India</t>
        </is>
      </c>
      <c r="M506" s="102" t="inlineStr"/>
    </row>
    <row r="507">
      <c r="A507" s="87" t="n">
        <v>45130</v>
      </c>
      <c r="B507" s="87" t="n">
        <v>45130</v>
      </c>
      <c r="C507" s="88" t="n">
        <v>199</v>
      </c>
      <c r="D507" s="88" t="n">
        <v>0</v>
      </c>
      <c r="E507" s="88" t="inlineStr"/>
      <c r="F507" s="88" t="inlineStr">
        <is>
          <t>Contra - Jupiter</t>
        </is>
      </c>
      <c r="G507" s="18" t="n">
        <v>0.9</v>
      </c>
      <c r="H507" s="88" t="inlineStr">
        <is>
          <t>FEDERAL 0847</t>
        </is>
      </c>
      <c r="I507" s="88" t="inlineStr">
        <is>
          <t>SBI 1227</t>
        </is>
      </c>
      <c r="J507" s="88" t="inlineStr"/>
      <c r="K507" s="88" t="inlineStr">
        <is>
          <t xml:space="preserve">   TO TRANSFER-UPI/DR/320471883328/AAYUSH K/FDRL/9594435259/ADDMO--</t>
        </is>
      </c>
      <c r="L507" s="88" t="inlineStr">
        <is>
          <t>State Bank of India</t>
        </is>
      </c>
      <c r="M507" s="88" t="inlineStr"/>
    </row>
    <row r="508">
      <c r="A508" s="37" t="n">
        <v>45130</v>
      </c>
      <c r="B508" s="37" t="n">
        <v>45130</v>
      </c>
      <c r="C508" s="38" t="n">
        <v>1347</v>
      </c>
      <c r="D508" s="38" t="n">
        <v>0</v>
      </c>
      <c r="E508" s="38" t="inlineStr">
        <is>
          <t>Udemy</t>
        </is>
      </c>
      <c r="F508" s="38" t="inlineStr">
        <is>
          <t>UPI Payment</t>
        </is>
      </c>
      <c r="G508" s="25" t="n">
        <v>0.55</v>
      </c>
      <c r="H508" s="38" t="inlineStr">
        <is>
          <t>Personal</t>
        </is>
      </c>
      <c r="I508" s="38" t="inlineStr">
        <is>
          <t>SBI 1227</t>
        </is>
      </c>
      <c r="J508" s="38" t="inlineStr"/>
      <c r="K508" s="38" t="inlineStr">
        <is>
          <t xml:space="preserve">   TO TRANSFER-UPI/DR/320435208368/UDEMY/HDFC/billdeskpg/Pay--</t>
        </is>
      </c>
      <c r="L508" s="38" t="inlineStr">
        <is>
          <t>State Bank of India</t>
        </is>
      </c>
      <c r="M508" s="38" t="inlineStr"/>
    </row>
    <row r="509">
      <c r="A509" s="37" t="n">
        <v>45130</v>
      </c>
      <c r="B509" s="37" t="n">
        <v>45130</v>
      </c>
      <c r="C509" s="38" t="n">
        <v>40</v>
      </c>
      <c r="D509" s="38" t="n">
        <v>0</v>
      </c>
      <c r="E509" s="38" t="inlineStr">
        <is>
          <t>Mr  Aada</t>
        </is>
      </c>
      <c r="F509" s="38" t="inlineStr">
        <is>
          <t>UPI Payment</t>
        </is>
      </c>
      <c r="G509" s="25" t="n">
        <v>0.55</v>
      </c>
      <c r="H509" s="38" t="inlineStr">
        <is>
          <t>Personal</t>
        </is>
      </c>
      <c r="I509" s="38" t="inlineStr">
        <is>
          <t>SBI 1227</t>
        </is>
      </c>
      <c r="J509" s="38" t="inlineStr"/>
      <c r="K509" s="38" t="inlineStr">
        <is>
          <t xml:space="preserve">   TO TRANSFER-UPI/DR/320444540066/Mr  AADA/YESB/q739730170/UPI--</t>
        </is>
      </c>
      <c r="L509" s="38" t="inlineStr">
        <is>
          <t>State Bank of India</t>
        </is>
      </c>
      <c r="M509" s="38" t="inlineStr"/>
    </row>
    <row r="510">
      <c r="A510" s="37" t="n">
        <v>45130</v>
      </c>
      <c r="B510" s="37" t="n">
        <v>45130</v>
      </c>
      <c r="C510" s="38" t="n">
        <v>265</v>
      </c>
      <c r="D510" s="38" t="n">
        <v>0</v>
      </c>
      <c r="E510" s="38" t="inlineStr">
        <is>
          <t>Shashank</t>
        </is>
      </c>
      <c r="F510" s="38" t="inlineStr">
        <is>
          <t>UPI Payment</t>
        </is>
      </c>
      <c r="G510" s="25" t="n">
        <v>0.55</v>
      </c>
      <c r="H510" s="38" t="inlineStr">
        <is>
          <t>Personal</t>
        </is>
      </c>
      <c r="I510" s="38" t="inlineStr">
        <is>
          <t>SBI 1227</t>
        </is>
      </c>
      <c r="J510" s="38" t="inlineStr"/>
      <c r="K510" s="38" t="inlineStr">
        <is>
          <t xml:space="preserve">   TO TRANSFER-UPI/DR/320451849429/Shashank/HDFC/9880498899/UPI--</t>
        </is>
      </c>
      <c r="L510" s="38" t="inlineStr">
        <is>
          <t>State Bank of India</t>
        </is>
      </c>
      <c r="M510" s="38" t="inlineStr"/>
    </row>
    <row r="511">
      <c r="A511" s="37" t="n">
        <v>45130</v>
      </c>
      <c r="B511" s="37" t="n">
        <v>45130</v>
      </c>
      <c r="C511" s="38" t="n">
        <v>2000</v>
      </c>
      <c r="D511" s="38" t="n">
        <v>0</v>
      </c>
      <c r="E511" s="38" t="inlineStr">
        <is>
          <t>K Pramod</t>
        </is>
      </c>
      <c r="F511" s="38" t="inlineStr">
        <is>
          <t>UPI Payment</t>
        </is>
      </c>
      <c r="G511" s="25" t="n">
        <v>0.55</v>
      </c>
      <c r="H511" s="38" t="inlineStr">
        <is>
          <t>Personal</t>
        </is>
      </c>
      <c r="I511" s="38" t="inlineStr">
        <is>
          <t>SBI 1227</t>
        </is>
      </c>
      <c r="J511" s="38" t="inlineStr"/>
      <c r="K511" s="38" t="inlineStr">
        <is>
          <t xml:space="preserve">   TO TRANSFER-UPI/DR/320452786327/K PRAMOD/HDFC/kpramodkri/UPI--</t>
        </is>
      </c>
      <c r="L511" s="38" t="inlineStr">
        <is>
          <t>State Bank of India</t>
        </is>
      </c>
      <c r="M511" s="38" t="inlineStr"/>
    </row>
    <row r="512">
      <c r="A512" s="35" t="n">
        <v>45130</v>
      </c>
      <c r="B512" s="35" t="n">
        <v>45130</v>
      </c>
      <c r="C512" s="36" t="n">
        <v>60</v>
      </c>
      <c r="D512" s="36" t="n">
        <v>0</v>
      </c>
      <c r="E512" s="36" t="inlineStr"/>
      <c r="F512" s="36" t="inlineStr">
        <is>
          <t>UPI - Paytm</t>
        </is>
      </c>
      <c r="G512" s="34" t="n">
        <v>0.65</v>
      </c>
      <c r="H512" s="36" t="inlineStr">
        <is>
          <t>Personal</t>
        </is>
      </c>
      <c r="I512" s="36" t="inlineStr">
        <is>
          <t>SBI 1227</t>
        </is>
      </c>
      <c r="J512" s="36" t="inlineStr"/>
      <c r="K512" s="36" t="inlineStr">
        <is>
          <t xml:space="preserve">   TO TRANSFER-UPI/DR/320453633505/SEVEN SP/PYTM/paytmqr281/UPI--</t>
        </is>
      </c>
      <c r="L512" s="36" t="inlineStr">
        <is>
          <t>State Bank of India</t>
        </is>
      </c>
      <c r="M512" s="36" t="inlineStr"/>
    </row>
    <row r="513">
      <c r="A513" s="87" t="n">
        <v>45130</v>
      </c>
      <c r="B513" s="87" t="n">
        <v>45130</v>
      </c>
      <c r="C513" s="88" t="n">
        <v>0</v>
      </c>
      <c r="D513" s="88" t="n">
        <v>199</v>
      </c>
      <c r="E513" s="88" t="inlineStr"/>
      <c r="F513" s="88" t="inlineStr">
        <is>
          <t>Contra - Kotak</t>
        </is>
      </c>
      <c r="G513" s="18" t="n">
        <v>0.9</v>
      </c>
      <c r="H513" s="88" t="inlineStr">
        <is>
          <t>KOTAK 0333</t>
        </is>
      </c>
      <c r="I513" s="88" t="inlineStr">
        <is>
          <t>FEDERAL 0847</t>
        </is>
      </c>
      <c r="J513" s="88" t="inlineStr"/>
      <c r="K513" s="88" t="inlineStr">
        <is>
          <t>UPI IN/320471883328/9594435259@jupiteraxis
/A/0000</t>
        </is>
      </c>
      <c r="L513" s="88" t="inlineStr">
        <is>
          <t>Federal Bank (Jupiter)</t>
        </is>
      </c>
      <c r="M513" s="88" t="inlineStr"/>
    </row>
    <row r="514">
      <c r="A514" s="19" t="n">
        <v>45130</v>
      </c>
      <c r="B514" s="19" t="n">
        <v>45130</v>
      </c>
      <c r="C514" s="20" t="n">
        <v>3</v>
      </c>
      <c r="D514" s="20" t="n">
        <v>0</v>
      </c>
      <c r="E514" s="20" t="inlineStr"/>
      <c r="F514" s="20" t="inlineStr">
        <is>
          <t>Bank Charges</t>
        </is>
      </c>
      <c r="G514" s="18" t="n">
        <v>0.88</v>
      </c>
      <c r="H514" s="20" t="inlineStr">
        <is>
          <t>Bank Charges</t>
        </is>
      </c>
      <c r="I514" s="20" t="inlineStr">
        <is>
          <t>AXIS</t>
        </is>
      </c>
      <c r="J514" s="20" t="inlineStr"/>
      <c r="K514" s="20" t="inlineStr">
        <is>
          <t>Consolidated Charges for A/c</t>
        </is>
      </c>
      <c r="L514" s="20" t="inlineStr">
        <is>
          <t>Axis Bank</t>
        </is>
      </c>
      <c r="M514" s="20" t="inlineStr"/>
    </row>
    <row r="515">
      <c r="A515" s="19" t="n">
        <v>45130</v>
      </c>
      <c r="B515" s="19" t="n">
        <v>45130</v>
      </c>
      <c r="C515" s="20" t="n">
        <v>0.54</v>
      </c>
      <c r="D515" s="20" t="n">
        <v>0</v>
      </c>
      <c r="E515" s="20" t="inlineStr"/>
      <c r="F515" s="20" t="inlineStr">
        <is>
          <t>Bank Charges</t>
        </is>
      </c>
      <c r="G515" s="18" t="n">
        <v>0.88</v>
      </c>
      <c r="H515" s="20" t="inlineStr">
        <is>
          <t>Bank Charges</t>
        </is>
      </c>
      <c r="I515" s="20" t="inlineStr">
        <is>
          <t>AXIS</t>
        </is>
      </c>
      <c r="J515" s="20" t="inlineStr"/>
      <c r="K515" s="20" t="inlineStr">
        <is>
          <t>GST @18% on Charge</t>
        </is>
      </c>
      <c r="L515" s="20" t="inlineStr">
        <is>
          <t>Axis Bank</t>
        </is>
      </c>
      <c r="M515" s="20" t="inlineStr"/>
    </row>
    <row r="516">
      <c r="A516" s="37" t="n">
        <v>45130</v>
      </c>
      <c r="B516" s="37" t="n">
        <v>45130</v>
      </c>
      <c r="C516" s="38" t="n">
        <v>199</v>
      </c>
      <c r="D516" s="38" t="n">
        <v>0</v>
      </c>
      <c r="E516" s="38" t="inlineStr">
        <is>
          <t>Euronetg</t>
        </is>
      </c>
      <c r="F516" s="38" t="inlineStr">
        <is>
          <t>UPI Payment</t>
        </is>
      </c>
      <c r="G516" s="25" t="n">
        <v>0.55</v>
      </c>
      <c r="H516" s="38" t="inlineStr">
        <is>
          <t>Personal</t>
        </is>
      </c>
      <c r="I516" s="38" t="inlineStr">
        <is>
          <t>SBI 1227</t>
        </is>
      </c>
      <c r="J516" s="38" t="inlineStr"/>
      <c r="K516" s="38" t="inlineStr">
        <is>
          <t xml:space="preserve">   TO TRANSFER-UPI/DR/320429894945/EURONETG/ICIC/euronetgpa/UPI--</t>
        </is>
      </c>
      <c r="L516" s="38" t="inlineStr">
        <is>
          <t>State Bank of India</t>
        </is>
      </c>
      <c r="M516" s="38" t="inlineStr"/>
    </row>
    <row r="517">
      <c r="A517" s="54" t="n">
        <v>45131</v>
      </c>
      <c r="B517" s="54" t="n">
        <v>45131</v>
      </c>
      <c r="C517" s="55" t="n">
        <v>0</v>
      </c>
      <c r="D517" s="55" t="n">
        <v>144.55</v>
      </c>
      <c r="E517" s="55" t="inlineStr"/>
      <c r="F517" s="55" t="inlineStr">
        <is>
          <t>HDFC Securities - Sell</t>
        </is>
      </c>
      <c r="G517" s="18" t="n">
        <v>0.97</v>
      </c>
      <c r="H517" s="55" t="inlineStr">
        <is>
          <t>HDFC Securities</t>
        </is>
      </c>
      <c r="I517" s="55" t="inlineStr">
        <is>
          <t>HDFC 5413</t>
        </is>
      </c>
      <c r="J517" s="55" t="inlineStr"/>
      <c r="K517" s="55" t="inlineStr">
        <is>
          <t>NET PO FROM HSL A/C 2554606-00602340029427</t>
        </is>
      </c>
      <c r="L517" s="55" t="inlineStr">
        <is>
          <t>HDFC Bank</t>
        </is>
      </c>
      <c r="M517" s="55" t="inlineStr"/>
    </row>
    <row r="518">
      <c r="A518" s="41" t="n">
        <v>45131</v>
      </c>
      <c r="B518" s="41" t="n">
        <v>45131</v>
      </c>
      <c r="C518" s="42" t="n">
        <v>341.67</v>
      </c>
      <c r="D518" s="42" t="n">
        <v>0</v>
      </c>
      <c r="E518" s="42" t="inlineStr"/>
      <c r="F518" s="42" t="inlineStr">
        <is>
          <t>HDFC Securities - Buy</t>
        </is>
      </c>
      <c r="G518" s="18" t="n">
        <v>0.97</v>
      </c>
      <c r="H518" s="42" t="inlineStr">
        <is>
          <t>HDFC Securities</t>
        </is>
      </c>
      <c r="I518" s="42" t="inlineStr">
        <is>
          <t>HDFC 5413</t>
        </is>
      </c>
      <c r="J518" s="42" t="inlineStr"/>
      <c r="K518" s="42" t="inlineStr">
        <is>
          <t>NET PI TO HSL SEC A/C 2554606-00602340029427</t>
        </is>
      </c>
      <c r="L518" s="42" t="inlineStr">
        <is>
          <t>HDFC Bank</t>
        </is>
      </c>
      <c r="M518" s="42" t="inlineStr"/>
    </row>
    <row r="519">
      <c r="A519" s="64" t="n">
        <v>45131</v>
      </c>
      <c r="B519" s="64" t="n">
        <v>45131</v>
      </c>
      <c r="C519" s="65" t="n">
        <v>0</v>
      </c>
      <c r="D519" s="65" t="n">
        <v>1160</v>
      </c>
      <c r="E519" s="65" t="inlineStr"/>
      <c r="F519" s="65" t="inlineStr">
        <is>
          <t>Dividend Income</t>
        </is>
      </c>
      <c r="G519" s="18" t="n">
        <v>0.88</v>
      </c>
      <c r="H519" s="65" t="inlineStr">
        <is>
          <t>Dividend Income</t>
        </is>
      </c>
      <c r="I519" s="65" t="inlineStr">
        <is>
          <t>HDFC 5413</t>
        </is>
      </c>
      <c r="J519" s="65" t="inlineStr"/>
      <c r="K519" s="65" t="inlineStr">
        <is>
          <t>ACH C- LTIMINDTREE FNL22 23-391050</t>
        </is>
      </c>
      <c r="L519" s="65" t="inlineStr">
        <is>
          <t>HDFC Bank</t>
        </is>
      </c>
      <c r="M519" s="65" t="inlineStr"/>
    </row>
    <row r="520">
      <c r="A520" s="37" t="n">
        <v>45131</v>
      </c>
      <c r="B520" s="37" t="n">
        <v>45131</v>
      </c>
      <c r="C520" s="38" t="n">
        <v>160</v>
      </c>
      <c r="D520" s="38" t="n">
        <v>0</v>
      </c>
      <c r="E520" s="38" t="inlineStr">
        <is>
          <t>Sajan  .</t>
        </is>
      </c>
      <c r="F520" s="38" t="inlineStr">
        <is>
          <t>UPI Payment</t>
        </is>
      </c>
      <c r="G520" s="25" t="n">
        <v>0.55</v>
      </c>
      <c r="H520" s="38" t="inlineStr">
        <is>
          <t>Personal</t>
        </is>
      </c>
      <c r="I520" s="38" t="inlineStr">
        <is>
          <t>SBI 1227</t>
        </is>
      </c>
      <c r="J520" s="38" t="inlineStr"/>
      <c r="K520" s="38" t="inlineStr">
        <is>
          <t xml:space="preserve">   TO TRANSFER-UPI/DR/320595876900/SAJAN  ./SBIN/sajankalya/UPI--</t>
        </is>
      </c>
      <c r="L520" s="38" t="inlineStr">
        <is>
          <t>State Bank of India</t>
        </is>
      </c>
      <c r="M520" s="38" t="inlineStr"/>
    </row>
    <row r="521">
      <c r="A521" s="35" t="n">
        <v>45131</v>
      </c>
      <c r="B521" s="35" t="n">
        <v>45131</v>
      </c>
      <c r="C521" s="36" t="n">
        <v>261</v>
      </c>
      <c r="D521" s="36" t="n">
        <v>0</v>
      </c>
      <c r="E521" s="36" t="inlineStr"/>
      <c r="F521" s="36" t="inlineStr">
        <is>
          <t>UPI - Paytm</t>
        </is>
      </c>
      <c r="G521" s="34" t="n">
        <v>0.65</v>
      </c>
      <c r="H521" s="36" t="inlineStr">
        <is>
          <t>Personal</t>
        </is>
      </c>
      <c r="I521" s="36" t="inlineStr">
        <is>
          <t>SBI 1227</t>
        </is>
      </c>
      <c r="J521" s="36" t="inlineStr"/>
      <c r="K521" s="36" t="inlineStr">
        <is>
          <t xml:space="preserve">   TO TRANSFER-UPI/DR/320596919366/OTTIMO C/PYTM/paytmqr1ez/UPI--</t>
        </is>
      </c>
      <c r="L521" s="36" t="inlineStr">
        <is>
          <t>State Bank of India</t>
        </is>
      </c>
      <c r="M521" s="36" t="inlineStr"/>
    </row>
    <row r="522">
      <c r="A522" s="26" t="n">
        <v>45132</v>
      </c>
      <c r="B522" s="26" t="n">
        <v>45132</v>
      </c>
      <c r="C522" s="27" t="n">
        <v>0</v>
      </c>
      <c r="D522" s="27" t="n">
        <v>5000</v>
      </c>
      <c r="E522" s="27" t="inlineStr"/>
      <c r="F522" s="27" t="inlineStr">
        <is>
          <t>Received - Ajay Gupta</t>
        </is>
      </c>
      <c r="G522" s="18" t="n">
        <v>0.88</v>
      </c>
      <c r="H522" s="27" t="inlineStr">
        <is>
          <t>Ajay Gupta</t>
        </is>
      </c>
      <c r="I522" s="27" t="inlineStr">
        <is>
          <t>HDFC 5413</t>
        </is>
      </c>
      <c r="J522" s="27" t="inlineStr"/>
      <c r="K522" s="27" t="inlineStr">
        <is>
          <t>01671000085930-TPT-MONEY RETURNED-AJAY KUMAR GUPTA</t>
        </is>
      </c>
      <c r="L522" s="27" t="inlineStr">
        <is>
          <t>HDFC Bank</t>
        </is>
      </c>
      <c r="M522" s="27" t="inlineStr"/>
    </row>
    <row r="523">
      <c r="A523" s="54" t="n">
        <v>45132</v>
      </c>
      <c r="B523" s="54" t="n">
        <v>45132</v>
      </c>
      <c r="C523" s="55" t="n">
        <v>0</v>
      </c>
      <c r="D523" s="55" t="n">
        <v>243.97</v>
      </c>
      <c r="E523" s="55" t="inlineStr"/>
      <c r="F523" s="55" t="inlineStr">
        <is>
          <t>HDFC Securities - Sell</t>
        </is>
      </c>
      <c r="G523" s="18" t="n">
        <v>0.97</v>
      </c>
      <c r="H523" s="55" t="inlineStr">
        <is>
          <t>HDFC Securities</t>
        </is>
      </c>
      <c r="I523" s="55" t="inlineStr">
        <is>
          <t>HDFC 5413</t>
        </is>
      </c>
      <c r="J523" s="55" t="inlineStr"/>
      <c r="K523" s="55" t="inlineStr">
        <is>
          <t>NET PO FROM HSL A/C 2554606-00602340029427</t>
        </is>
      </c>
      <c r="L523" s="55" t="inlineStr">
        <is>
          <t>HDFC Bank</t>
        </is>
      </c>
      <c r="M523" s="55" t="inlineStr"/>
    </row>
    <row r="524">
      <c r="A524" s="41" t="n">
        <v>45132</v>
      </c>
      <c r="B524" s="41" t="n">
        <v>45132</v>
      </c>
      <c r="C524" s="42" t="n">
        <v>113.96</v>
      </c>
      <c r="D524" s="42" t="n">
        <v>0</v>
      </c>
      <c r="E524" s="42" t="inlineStr"/>
      <c r="F524" s="42" t="inlineStr">
        <is>
          <t>HDFC Securities - Buy</t>
        </is>
      </c>
      <c r="G524" s="18" t="n">
        <v>0.97</v>
      </c>
      <c r="H524" s="42" t="inlineStr">
        <is>
          <t>HDFC Securities</t>
        </is>
      </c>
      <c r="I524" s="42" t="inlineStr">
        <is>
          <t>HDFC 5413</t>
        </is>
      </c>
      <c r="J524" s="42" t="inlineStr"/>
      <c r="K524" s="42" t="inlineStr">
        <is>
          <t>NET PI TO HSL SEC A/C 2554606-00602340029427</t>
        </is>
      </c>
      <c r="L524" s="42" t="inlineStr">
        <is>
          <t>HDFC Bank</t>
        </is>
      </c>
      <c r="M524" s="42" t="inlineStr"/>
    </row>
    <row r="525">
      <c r="A525" s="58" t="n">
        <v>45132</v>
      </c>
      <c r="B525" s="58" t="n">
        <v>45132</v>
      </c>
      <c r="C525" s="59" t="n">
        <v>2500</v>
      </c>
      <c r="D525" s="59" t="n">
        <v>0</v>
      </c>
      <c r="E525" s="59" t="inlineStr"/>
      <c r="F525" s="59" t="inlineStr">
        <is>
          <t>MF Investment</t>
        </is>
      </c>
      <c r="G525" s="18" t="n">
        <v>0.9</v>
      </c>
      <c r="H525" s="59" t="inlineStr">
        <is>
          <t>Investments</t>
        </is>
      </c>
      <c r="I525" s="59" t="inlineStr">
        <is>
          <t>HDFC 5413</t>
        </is>
      </c>
      <c r="J525" s="59" t="inlineStr"/>
      <c r="K525" s="59" t="inlineStr">
        <is>
          <t>NET PAYIN TO BSE MF A/C -57500000389146- FROM A/C -50100128155413- UCC -2554606-57500000389146</t>
        </is>
      </c>
      <c r="L525" s="59" t="inlineStr">
        <is>
          <t>HDFC Bank</t>
        </is>
      </c>
      <c r="M525" s="59" t="inlineStr"/>
    </row>
    <row r="526">
      <c r="A526" s="26" t="n">
        <v>45132</v>
      </c>
      <c r="B526" s="26" t="n">
        <v>45132</v>
      </c>
      <c r="C526" s="27" t="n">
        <v>5000</v>
      </c>
      <c r="D526" s="27" t="n">
        <v>0</v>
      </c>
      <c r="E526" s="27" t="inlineStr"/>
      <c r="F526" s="27" t="inlineStr">
        <is>
          <t>Transfer - Ajay Gupta</t>
        </is>
      </c>
      <c r="G526" s="18" t="n">
        <v>0.88</v>
      </c>
      <c r="H526" s="27" t="inlineStr">
        <is>
          <t>Ajay Gupta</t>
        </is>
      </c>
      <c r="I526" s="27" t="inlineStr">
        <is>
          <t>HDFC 5413</t>
        </is>
      </c>
      <c r="J526" s="27" t="inlineStr"/>
      <c r="K526" s="27" t="inlineStr">
        <is>
          <t>UPI-AJAY KUMAR GUPTA-AJAYGUPTANEL@YBL-HDFC0000167-357202875221-BORROW FROM AJAY</t>
        </is>
      </c>
      <c r="L526" s="27" t="inlineStr">
        <is>
          <t>HDFC Bank</t>
        </is>
      </c>
      <c r="M526" s="27" t="inlineStr"/>
    </row>
    <row r="527">
      <c r="A527" s="54" t="n">
        <v>45133</v>
      </c>
      <c r="B527" s="54" t="n">
        <v>45133</v>
      </c>
      <c r="C527" s="55" t="n">
        <v>0</v>
      </c>
      <c r="D527" s="55" t="n">
        <v>1797.08</v>
      </c>
      <c r="E527" s="55" t="inlineStr"/>
      <c r="F527" s="55" t="inlineStr">
        <is>
          <t>HDFC Securities - Sell</t>
        </is>
      </c>
      <c r="G527" s="18" t="n">
        <v>0.97</v>
      </c>
      <c r="H527" s="55" t="inlineStr">
        <is>
          <t>HDFC Securities</t>
        </is>
      </c>
      <c r="I527" s="55" t="inlineStr">
        <is>
          <t>HDFC 5413</t>
        </is>
      </c>
      <c r="J527" s="55" t="inlineStr"/>
      <c r="K527" s="55" t="inlineStr">
        <is>
          <t>NET PO FROM HSL A/C 2554606-00602340029427</t>
        </is>
      </c>
      <c r="L527" s="55" t="inlineStr">
        <is>
          <t>HDFC Bank</t>
        </is>
      </c>
      <c r="M527" s="55" t="inlineStr"/>
    </row>
    <row r="528">
      <c r="A528" s="41" t="n">
        <v>45133</v>
      </c>
      <c r="B528" s="41" t="n">
        <v>45133</v>
      </c>
      <c r="C528" s="42" t="n">
        <v>114.08</v>
      </c>
      <c r="D528" s="42" t="n">
        <v>0</v>
      </c>
      <c r="E528" s="42" t="inlineStr"/>
      <c r="F528" s="42" t="inlineStr">
        <is>
          <t>HDFC Securities - Buy</t>
        </is>
      </c>
      <c r="G528" s="18" t="n">
        <v>0.97</v>
      </c>
      <c r="H528" s="42" t="inlineStr">
        <is>
          <t>HDFC Securities</t>
        </is>
      </c>
      <c r="I528" s="42" t="inlineStr">
        <is>
          <t>HDFC 5413</t>
        </is>
      </c>
      <c r="J528" s="42" t="inlineStr"/>
      <c r="K528" s="42" t="inlineStr">
        <is>
          <t>NET PI TO HSL SEC A/C 2554606-00602340029427</t>
        </is>
      </c>
      <c r="L528" s="42" t="inlineStr">
        <is>
          <t>HDFC Bank</t>
        </is>
      </c>
      <c r="M528" s="42" t="inlineStr"/>
    </row>
    <row r="529">
      <c r="A529" s="35" t="n">
        <v>45133</v>
      </c>
      <c r="B529" s="35" t="n">
        <v>45133</v>
      </c>
      <c r="C529" s="36" t="n">
        <v>20</v>
      </c>
      <c r="D529" s="36" t="n">
        <v>0</v>
      </c>
      <c r="E529" s="36" t="inlineStr"/>
      <c r="F529" s="36" t="inlineStr">
        <is>
          <t>UPI - Paytm</t>
        </is>
      </c>
      <c r="G529" s="34" t="n">
        <v>0.65</v>
      </c>
      <c r="H529" s="36" t="inlineStr">
        <is>
          <t>Personal</t>
        </is>
      </c>
      <c r="I529" s="36" t="inlineStr">
        <is>
          <t>SBI 1227</t>
        </is>
      </c>
      <c r="J529" s="36" t="inlineStr"/>
      <c r="K529" s="36" t="inlineStr">
        <is>
          <t xml:space="preserve">   TO TRANSFER-UPI/DR/320763921231/Forbes F/PYTM/paytmqr281/UPI--</t>
        </is>
      </c>
      <c r="L529" s="36" t="inlineStr">
        <is>
          <t>State Bank of India</t>
        </is>
      </c>
      <c r="M529" s="36" t="inlineStr"/>
    </row>
    <row r="530">
      <c r="A530" s="37" t="n">
        <v>45134</v>
      </c>
      <c r="B530" s="37" t="n">
        <v>45134</v>
      </c>
      <c r="C530" s="38" t="n">
        <v>5000.22</v>
      </c>
      <c r="D530" s="38" t="n">
        <v>0</v>
      </c>
      <c r="E530" s="38" t="inlineStr">
        <is>
          <t>Www Nauk</t>
        </is>
      </c>
      <c r="F530" s="38" t="inlineStr">
        <is>
          <t>UPI Payment</t>
        </is>
      </c>
      <c r="G530" s="25" t="n">
        <v>0.55</v>
      </c>
      <c r="H530" s="38" t="inlineStr">
        <is>
          <t>Personal</t>
        </is>
      </c>
      <c r="I530" s="38" t="inlineStr">
        <is>
          <t>SBI 1227</t>
        </is>
      </c>
      <c r="J530" s="38" t="inlineStr"/>
      <c r="K530" s="38" t="inlineStr">
        <is>
          <t xml:space="preserve">   TO TRANSFER-UPI/DR/320824641684/WWW NAUK/HDFC/naukri.pay/UPIIn--</t>
        </is>
      </c>
      <c r="L530" s="38" t="inlineStr">
        <is>
          <t>State Bank of India</t>
        </is>
      </c>
      <c r="M530" s="38" t="inlineStr"/>
    </row>
    <row r="531">
      <c r="A531" s="64" t="n">
        <v>45134</v>
      </c>
      <c r="B531" s="64" t="n">
        <v>45134</v>
      </c>
      <c r="C531" s="65" t="n">
        <v>0</v>
      </c>
      <c r="D531" s="65" t="n">
        <v>600</v>
      </c>
      <c r="E531" s="65" t="inlineStr"/>
      <c r="F531" s="65" t="inlineStr">
        <is>
          <t>Dividend Income</t>
        </is>
      </c>
      <c r="G531" s="18" t="n">
        <v>0.88</v>
      </c>
      <c r="H531" s="65" t="inlineStr">
        <is>
          <t>Dividend Income</t>
        </is>
      </c>
      <c r="I531" s="65" t="inlineStr">
        <is>
          <t>HDFC 5413</t>
        </is>
      </c>
      <c r="J531" s="65" t="inlineStr"/>
      <c r="K531" s="65" t="inlineStr">
        <is>
          <t>ACH C- IDBI BANK LIMITED-13351311</t>
        </is>
      </c>
      <c r="L531" s="65" t="inlineStr">
        <is>
          <t>HDFC Bank</t>
        </is>
      </c>
      <c r="M531" s="65" t="inlineStr"/>
    </row>
    <row r="532">
      <c r="A532" s="21" t="n">
        <v>45135</v>
      </c>
      <c r="B532" s="21" t="n">
        <v>45135</v>
      </c>
      <c r="C532" s="22" t="n">
        <v>0</v>
      </c>
      <c r="D532" s="22" t="n">
        <v>2260.28</v>
      </c>
      <c r="E532" s="22" t="inlineStr"/>
      <c r="F532" s="22" t="inlineStr">
        <is>
          <t>UPI - IRCTC</t>
        </is>
      </c>
      <c r="G532" s="34" t="n">
        <v>0.68</v>
      </c>
      <c r="H532" s="22" t="inlineStr">
        <is>
          <t>Travel</t>
        </is>
      </c>
      <c r="I532" s="22" t="inlineStr">
        <is>
          <t>SBI 1227</t>
        </is>
      </c>
      <c r="J532" s="22" t="inlineStr"/>
      <c r="K532" s="22" t="inlineStr">
        <is>
          <t xml:space="preserve">   BY TRANSFER-UPI/CR/320957129328/IRCTC CF/HDFC/irctc.cf@h/UPI R--</t>
        </is>
      </c>
      <c r="L532" s="22" t="inlineStr">
        <is>
          <t>State Bank of India</t>
        </is>
      </c>
      <c r="M532" s="22" t="inlineStr"/>
    </row>
    <row r="533">
      <c r="A533" s="21" t="n">
        <v>45135</v>
      </c>
      <c r="B533" s="21" t="n">
        <v>45135</v>
      </c>
      <c r="C533" s="22" t="n">
        <v>0</v>
      </c>
      <c r="D533" s="22" t="n">
        <v>1545.28</v>
      </c>
      <c r="E533" s="22" t="inlineStr"/>
      <c r="F533" s="22" t="inlineStr">
        <is>
          <t>UPI - IRCTC</t>
        </is>
      </c>
      <c r="G533" s="34" t="n">
        <v>0.68</v>
      </c>
      <c r="H533" s="22" t="inlineStr">
        <is>
          <t>Travel</t>
        </is>
      </c>
      <c r="I533" s="22" t="inlineStr">
        <is>
          <t>SBI 1227</t>
        </is>
      </c>
      <c r="J533" s="22" t="inlineStr"/>
      <c r="K533" s="22" t="inlineStr">
        <is>
          <t xml:space="preserve">   BY TRANSFER-UPI/CR/320957375093/IRCTC CF/HDFC/irctc.cf@h/UPI R--</t>
        </is>
      </c>
      <c r="L533" s="22" t="inlineStr">
        <is>
          <t>State Bank of India</t>
        </is>
      </c>
      <c r="M533" s="22" t="inlineStr"/>
    </row>
    <row r="534">
      <c r="A534" s="41" t="n">
        <v>45135</v>
      </c>
      <c r="B534" s="41" t="n">
        <v>45135</v>
      </c>
      <c r="C534" s="42" t="n">
        <v>6724.1</v>
      </c>
      <c r="D534" s="42" t="n">
        <v>0</v>
      </c>
      <c r="E534" s="42" t="inlineStr"/>
      <c r="F534" s="42" t="inlineStr">
        <is>
          <t>HDFC Securities - Buy</t>
        </is>
      </c>
      <c r="G534" s="18" t="n">
        <v>0.97</v>
      </c>
      <c r="H534" s="42" t="inlineStr">
        <is>
          <t>HDFC Securities</t>
        </is>
      </c>
      <c r="I534" s="42" t="inlineStr">
        <is>
          <t>HDFC 5413</t>
        </is>
      </c>
      <c r="J534" s="42" t="inlineStr"/>
      <c r="K534" s="42" t="inlineStr">
        <is>
          <t>NET PI TO HSL SEC A/C 2554606-00602340029427</t>
        </is>
      </c>
      <c r="L534" s="42" t="inlineStr">
        <is>
          <t>HDFC Bank</t>
        </is>
      </c>
      <c r="M534" s="42" t="inlineStr"/>
    </row>
    <row r="535">
      <c r="A535" s="41" t="n">
        <v>45135</v>
      </c>
      <c r="B535" s="41" t="n">
        <v>45135</v>
      </c>
      <c r="C535" s="42" t="n">
        <v>108.2</v>
      </c>
      <c r="D535" s="42" t="n">
        <v>0</v>
      </c>
      <c r="E535" s="42" t="inlineStr"/>
      <c r="F535" s="42" t="inlineStr">
        <is>
          <t>HDFC Securities - Buy</t>
        </is>
      </c>
      <c r="G535" s="18" t="n">
        <v>0.97</v>
      </c>
      <c r="H535" s="42" t="inlineStr">
        <is>
          <t>HDFC Securities</t>
        </is>
      </c>
      <c r="I535" s="42" t="inlineStr">
        <is>
          <t>HDFC 5413</t>
        </is>
      </c>
      <c r="J535" s="42" t="inlineStr"/>
      <c r="K535" s="42" t="inlineStr">
        <is>
          <t>NET PI TO HSL SEC A/C 2554606-00602340029427</t>
        </is>
      </c>
      <c r="L535" s="42" t="inlineStr">
        <is>
          <t>HDFC Bank</t>
        </is>
      </c>
      <c r="M535" s="42" t="inlineStr"/>
    </row>
    <row r="536">
      <c r="A536" s="23" t="n">
        <v>45135</v>
      </c>
      <c r="B536" s="23" t="n">
        <v>45135</v>
      </c>
      <c r="C536" s="24" t="n">
        <v>0</v>
      </c>
      <c r="D536" s="24" t="n">
        <v>2</v>
      </c>
      <c r="E536" s="24" t="inlineStr"/>
      <c r="F536" s="24" t="inlineStr">
        <is>
          <t>What is this?</t>
        </is>
      </c>
      <c r="G536" s="25" t="n">
        <v>0</v>
      </c>
      <c r="H536" s="24" t="inlineStr">
        <is>
          <t>Suspense</t>
        </is>
      </c>
      <c r="I536" s="24" t="inlineStr">
        <is>
          <t>SBI 1227</t>
        </is>
      </c>
      <c r="J536" s="24" t="inlineStr"/>
      <c r="K536" s="24" t="inlineStr">
        <is>
          <t xml:space="preserve">   BULK POSTING-     00000011669 230723 LinkedIn\E 510 CRYSTAL--</t>
        </is>
      </c>
      <c r="L536" s="24" t="inlineStr">
        <is>
          <t>State Bank of India</t>
        </is>
      </c>
      <c r="M536" s="24" t="inlineStr"/>
    </row>
    <row r="537">
      <c r="A537" s="41" t="n">
        <v>45136</v>
      </c>
      <c r="B537" s="41" t="n">
        <v>45136</v>
      </c>
      <c r="C537" s="42" t="n">
        <v>343.38</v>
      </c>
      <c r="D537" s="42" t="n">
        <v>0</v>
      </c>
      <c r="E537" s="42" t="inlineStr"/>
      <c r="F537" s="42" t="inlineStr">
        <is>
          <t>HDFC Securities - Buy</t>
        </is>
      </c>
      <c r="G537" s="18" t="n">
        <v>0.97</v>
      </c>
      <c r="H537" s="42" t="inlineStr">
        <is>
          <t>HDFC Securities</t>
        </is>
      </c>
      <c r="I537" s="42" t="inlineStr">
        <is>
          <t>HDFC 5413</t>
        </is>
      </c>
      <c r="J537" s="42" t="inlineStr"/>
      <c r="K537" s="42" t="inlineStr">
        <is>
          <t>NET PI TO HSL SEC A/C 2554606-00602340029427</t>
        </is>
      </c>
      <c r="L537" s="42" t="inlineStr">
        <is>
          <t>HDFC Bank</t>
        </is>
      </c>
      <c r="M537" s="42" t="inlineStr"/>
    </row>
    <row r="538">
      <c r="A538" s="37" t="n">
        <v>45136</v>
      </c>
      <c r="B538" s="37" t="n">
        <v>45136</v>
      </c>
      <c r="C538" s="38" t="n">
        <v>100</v>
      </c>
      <c r="D538" s="38" t="n">
        <v>0</v>
      </c>
      <c r="E538" s="38" t="inlineStr">
        <is>
          <t>Vendekin</t>
        </is>
      </c>
      <c r="F538" s="38" t="inlineStr">
        <is>
          <t>UPI Payment</t>
        </is>
      </c>
      <c r="G538" s="25" t="n">
        <v>0.55</v>
      </c>
      <c r="H538" s="38" t="inlineStr">
        <is>
          <t>Personal</t>
        </is>
      </c>
      <c r="I538" s="38" t="inlineStr">
        <is>
          <t>SBI 1227</t>
        </is>
      </c>
      <c r="J538" s="38" t="inlineStr"/>
      <c r="K538" s="38" t="inlineStr">
        <is>
          <t xml:space="preserve">   TO TRANSFER-UPI/DR/320929705505/Vendekin/ICIC/vendekin@i/UPI--</t>
        </is>
      </c>
      <c r="L538" s="38" t="inlineStr">
        <is>
          <t>State Bank of India</t>
        </is>
      </c>
      <c r="M538" s="38" t="inlineStr"/>
    </row>
    <row r="539">
      <c r="A539" s="21" t="n">
        <v>45136</v>
      </c>
      <c r="B539" s="21" t="n">
        <v>45136</v>
      </c>
      <c r="C539" s="22" t="n">
        <v>0</v>
      </c>
      <c r="D539" s="22" t="n">
        <v>55.28</v>
      </c>
      <c r="E539" s="22" t="inlineStr"/>
      <c r="F539" s="22" t="inlineStr">
        <is>
          <t>UPI - IRCTC</t>
        </is>
      </c>
      <c r="G539" s="34" t="n">
        <v>0.68</v>
      </c>
      <c r="H539" s="22" t="inlineStr">
        <is>
          <t>Travel</t>
        </is>
      </c>
      <c r="I539" s="22" t="inlineStr">
        <is>
          <t>SBI 1227</t>
        </is>
      </c>
      <c r="J539" s="22" t="inlineStr"/>
      <c r="K539" s="22" t="inlineStr">
        <is>
          <t xml:space="preserve">   BY TRANSFER-UPI/CR/321059353898/IRCTC CF/HDFC/irctc.cf@h/UPI R--</t>
        </is>
      </c>
      <c r="L539" s="22" t="inlineStr">
        <is>
          <t>State Bank of India</t>
        </is>
      </c>
      <c r="M539" s="22" t="inlineStr"/>
    </row>
    <row r="540">
      <c r="A540" s="35" t="n">
        <v>45136</v>
      </c>
      <c r="B540" s="35" t="n">
        <v>45136</v>
      </c>
      <c r="C540" s="36" t="n">
        <v>60</v>
      </c>
      <c r="D540" s="36" t="n">
        <v>0</v>
      </c>
      <c r="E540" s="36" t="inlineStr"/>
      <c r="F540" s="36" t="inlineStr">
        <is>
          <t>UPI - Paytm</t>
        </is>
      </c>
      <c r="G540" s="34" t="n">
        <v>0.65</v>
      </c>
      <c r="H540" s="36" t="inlineStr">
        <is>
          <t>Personal</t>
        </is>
      </c>
      <c r="I540" s="36" t="inlineStr">
        <is>
          <t>SBI 1227</t>
        </is>
      </c>
      <c r="J540" s="36" t="inlineStr"/>
      <c r="K540" s="36" t="inlineStr">
        <is>
          <t xml:space="preserve">   TO TRANSFER-UPI/DR/357678946367/SEVEN SP/PYTM/paytmqr281/UPI--</t>
        </is>
      </c>
      <c r="L540" s="36" t="inlineStr">
        <is>
          <t>State Bank of India</t>
        </is>
      </c>
      <c r="M540" s="36" t="inlineStr"/>
    </row>
    <row r="541">
      <c r="A541" s="35" t="n">
        <v>45137</v>
      </c>
      <c r="B541" s="35" t="n">
        <v>45137</v>
      </c>
      <c r="C541" s="36" t="n">
        <v>100</v>
      </c>
      <c r="D541" s="36" t="n">
        <v>0</v>
      </c>
      <c r="E541" s="36" t="inlineStr"/>
      <c r="F541" s="36" t="inlineStr">
        <is>
          <t>UPI - Paytm</t>
        </is>
      </c>
      <c r="G541" s="34" t="n">
        <v>0.65</v>
      </c>
      <c r="H541" s="36" t="inlineStr">
        <is>
          <t>Personal</t>
        </is>
      </c>
      <c r="I541" s="36" t="inlineStr">
        <is>
          <t>SBI 1227</t>
        </is>
      </c>
      <c r="J541" s="36" t="inlineStr"/>
      <c r="K541" s="36" t="inlineStr">
        <is>
          <t xml:space="preserve">   TO TRANSFER-UPI/DR/321178168433/SEVEN SP/PYTM/paytmqr281/UPI--</t>
        </is>
      </c>
      <c r="L541" s="36" t="inlineStr">
        <is>
          <t>State Bank of India</t>
        </is>
      </c>
      <c r="M541" s="36" t="inlineStr"/>
    </row>
    <row r="542">
      <c r="A542" s="35" t="n">
        <v>45137</v>
      </c>
      <c r="B542" s="35" t="n">
        <v>45137</v>
      </c>
      <c r="C542" s="36" t="n">
        <v>50</v>
      </c>
      <c r="D542" s="36" t="n">
        <v>0</v>
      </c>
      <c r="E542" s="36" t="inlineStr"/>
      <c r="F542" s="36" t="inlineStr">
        <is>
          <t>UPI - Paytm</t>
        </is>
      </c>
      <c r="G542" s="34" t="n">
        <v>0.65</v>
      </c>
      <c r="H542" s="36" t="inlineStr">
        <is>
          <t>Personal</t>
        </is>
      </c>
      <c r="I542" s="36" t="inlineStr">
        <is>
          <t>SBI 1227</t>
        </is>
      </c>
      <c r="J542" s="36" t="inlineStr"/>
      <c r="K542" s="36" t="inlineStr">
        <is>
          <t xml:space="preserve">   TO TRANSFER-UPI/DR/321195464326/SEVEN SP/PYTM/paytmqr281/UPI--</t>
        </is>
      </c>
      <c r="L542" s="36" t="inlineStr">
        <is>
          <t>State Bank of India</t>
        </is>
      </c>
      <c r="M542" s="36" t="inlineStr"/>
    </row>
    <row r="543">
      <c r="A543" s="101" t="n">
        <v>45137</v>
      </c>
      <c r="B543" s="101" t="n">
        <v>45137</v>
      </c>
      <c r="C543" s="102" t="n">
        <v>0</v>
      </c>
      <c r="D543" s="102" t="n">
        <v>130</v>
      </c>
      <c r="E543" s="102" t="inlineStr"/>
      <c r="F543" s="102" t="inlineStr">
        <is>
          <t>Received - Vivek Ku</t>
        </is>
      </c>
      <c r="G543" s="25" t="n">
        <v>0.55</v>
      </c>
      <c r="H543" s="102" t="inlineStr">
        <is>
          <t>Personal</t>
        </is>
      </c>
      <c r="I543" s="102" t="inlineStr">
        <is>
          <t>SBI 1227</t>
        </is>
      </c>
      <c r="J543" s="102" t="inlineStr"/>
      <c r="K543" s="102" t="inlineStr">
        <is>
          <t xml:space="preserve">   BY TRANSFER-UPI/CR/357737417710/VIVEK KU/SBIN/9818076031/Payme--</t>
        </is>
      </c>
      <c r="L543" s="102" t="inlineStr">
        <is>
          <t>State Bank of India</t>
        </is>
      </c>
      <c r="M543" s="102" t="inlineStr"/>
    </row>
    <row r="544">
      <c r="A544" s="41" t="n">
        <v>45138</v>
      </c>
      <c r="B544" s="41" t="n">
        <v>45138</v>
      </c>
      <c r="C544" s="42" t="n">
        <v>360.15</v>
      </c>
      <c r="D544" s="42" t="n">
        <v>0</v>
      </c>
      <c r="E544" s="42" t="inlineStr"/>
      <c r="F544" s="42" t="inlineStr">
        <is>
          <t>HDFC Securities - Buy</t>
        </is>
      </c>
      <c r="G544" s="18" t="n">
        <v>0.97</v>
      </c>
      <c r="H544" s="42" t="inlineStr">
        <is>
          <t>HDFC Securities</t>
        </is>
      </c>
      <c r="I544" s="42" t="inlineStr">
        <is>
          <t>HDFC 5413</t>
        </is>
      </c>
      <c r="J544" s="42" t="inlineStr"/>
      <c r="K544" s="42" t="inlineStr">
        <is>
          <t>NET PI TO HSL SEC A/C 2554606-00602340029427</t>
        </is>
      </c>
      <c r="L544" s="42" t="inlineStr">
        <is>
          <t>HDFC Bank</t>
        </is>
      </c>
      <c r="M544" s="42" t="inlineStr"/>
    </row>
    <row r="545">
      <c r="A545" s="54" t="n">
        <v>45138</v>
      </c>
      <c r="B545" s="54" t="n">
        <v>45138</v>
      </c>
      <c r="C545" s="55" t="n">
        <v>0</v>
      </c>
      <c r="D545" s="55" t="n">
        <v>38.3</v>
      </c>
      <c r="E545" s="55" t="inlineStr"/>
      <c r="F545" s="55" t="inlineStr">
        <is>
          <t>HDFC Securities - Sell</t>
        </is>
      </c>
      <c r="G545" s="18" t="n">
        <v>0.97</v>
      </c>
      <c r="H545" s="55" t="inlineStr">
        <is>
          <t>HDFC Securities</t>
        </is>
      </c>
      <c r="I545" s="55" t="inlineStr">
        <is>
          <t>HDFC 5413</t>
        </is>
      </c>
      <c r="J545" s="55" t="inlineStr"/>
      <c r="K545" s="55" t="inlineStr">
        <is>
          <t>NET PO FROM HSL A/C 2554606-00602340029427</t>
        </is>
      </c>
      <c r="L545" s="55" t="inlineStr">
        <is>
          <t>HDFC Bank</t>
        </is>
      </c>
      <c r="M545" s="55" t="inlineStr"/>
    </row>
    <row r="546">
      <c r="A546" s="35" t="n">
        <v>45138</v>
      </c>
      <c r="B546" s="35" t="n">
        <v>45138</v>
      </c>
      <c r="C546" s="36" t="n">
        <v>400</v>
      </c>
      <c r="D546" s="36" t="n">
        <v>0</v>
      </c>
      <c r="E546" s="36" t="inlineStr"/>
      <c r="F546" s="36" t="inlineStr">
        <is>
          <t>UPI - Paytm</t>
        </is>
      </c>
      <c r="G546" s="34" t="n">
        <v>0.65</v>
      </c>
      <c r="H546" s="36" t="inlineStr">
        <is>
          <t>Personal</t>
        </is>
      </c>
      <c r="I546" s="36" t="inlineStr">
        <is>
          <t>FEDERAL 0847</t>
        </is>
      </c>
      <c r="J546" s="36" t="inlineStr"/>
      <c r="K546" s="36" t="inlineStr">
        <is>
          <t>UPIOUT/321287534320/paytm-69746593@paytm/S
en/5813</t>
        </is>
      </c>
      <c r="L546" s="36" t="inlineStr">
        <is>
          <t>Federal Bank (Jupiter)</t>
        </is>
      </c>
      <c r="M546" s="36" t="inlineStr"/>
    </row>
    <row r="547">
      <c r="A547" s="37" t="n">
        <v>45138</v>
      </c>
      <c r="B547" s="37" t="n">
        <v>45138</v>
      </c>
      <c r="C547" s="38" t="n">
        <v>50</v>
      </c>
      <c r="D547" s="38" t="n">
        <v>0</v>
      </c>
      <c r="E547" s="38" t="inlineStr">
        <is>
          <t>Mr  Aada</t>
        </is>
      </c>
      <c r="F547" s="38" t="inlineStr">
        <is>
          <t>UPI Payment</t>
        </is>
      </c>
      <c r="G547" s="25" t="n">
        <v>0.55</v>
      </c>
      <c r="H547" s="38" t="inlineStr">
        <is>
          <t>Personal</t>
        </is>
      </c>
      <c r="I547" s="38" t="inlineStr">
        <is>
          <t>SBI 1227</t>
        </is>
      </c>
      <c r="J547" s="38" t="inlineStr"/>
      <c r="K547" s="38" t="inlineStr">
        <is>
          <t xml:space="preserve">   TO TRANSFER-UPI/DR/357804306519/Mr  AADA/YESB/q739730170/UPI--</t>
        </is>
      </c>
      <c r="L547" s="38" t="inlineStr">
        <is>
          <t>State Bank of India</t>
        </is>
      </c>
      <c r="M547" s="38" t="inlineStr"/>
    </row>
    <row r="548">
      <c r="A548" s="37" t="n">
        <v>45138</v>
      </c>
      <c r="B548" s="37" t="n">
        <v>45138</v>
      </c>
      <c r="C548" s="38" t="n">
        <v>270</v>
      </c>
      <c r="D548" s="38" t="n">
        <v>0</v>
      </c>
      <c r="E548" s="38" t="inlineStr">
        <is>
          <t>Lovepree</t>
        </is>
      </c>
      <c r="F548" s="38" t="inlineStr">
        <is>
          <t>UPI Payment</t>
        </is>
      </c>
      <c r="G548" s="25" t="n">
        <v>0.55</v>
      </c>
      <c r="H548" s="38" t="inlineStr">
        <is>
          <t>Personal</t>
        </is>
      </c>
      <c r="I548" s="38" t="inlineStr">
        <is>
          <t>SBI 1227</t>
        </is>
      </c>
      <c r="J548" s="38" t="inlineStr"/>
      <c r="K548" s="38" t="inlineStr">
        <is>
          <t xml:space="preserve">   TO TRANSFER-UPI/DR/321223588766/LOVEPREE/AUBL/lovelybhat/UPI--</t>
        </is>
      </c>
      <c r="L548" s="38" t="inlineStr">
        <is>
          <t>State Bank of India</t>
        </is>
      </c>
      <c r="M548" s="38" t="inlineStr"/>
    </row>
    <row r="549">
      <c r="A549" s="87" t="n">
        <v>45138</v>
      </c>
      <c r="B549" s="87" t="n">
        <v>45138</v>
      </c>
      <c r="C549" s="88" t="n">
        <v>0</v>
      </c>
      <c r="D549" s="88" t="n">
        <v>1000</v>
      </c>
      <c r="E549" s="88" t="inlineStr"/>
      <c r="F549" s="88" t="inlineStr">
        <is>
          <t>Contra - Kotak</t>
        </is>
      </c>
      <c r="G549" s="18" t="n">
        <v>0.9</v>
      </c>
      <c r="H549" s="88" t="inlineStr">
        <is>
          <t>KOTAK 0333</t>
        </is>
      </c>
      <c r="I549" s="88" t="inlineStr">
        <is>
          <t>FEDERAL 0847</t>
        </is>
      </c>
      <c r="J549" s="88" t="inlineStr"/>
      <c r="K549" s="88" t="inlineStr">
        <is>
          <t>UPI IN/321287516546/9594435259@jupiteraxis
/A/0000</t>
        </is>
      </c>
      <c r="L549" s="88" t="inlineStr">
        <is>
          <t>Federal Bank (Jupiter)</t>
        </is>
      </c>
      <c r="M549" s="88" t="inlineStr"/>
    </row>
    <row r="550">
      <c r="A550" s="35" t="n">
        <v>45138</v>
      </c>
      <c r="B550" s="35" t="n">
        <v>45138</v>
      </c>
      <c r="C550" s="36" t="n">
        <v>200</v>
      </c>
      <c r="D550" s="36" t="n">
        <v>0</v>
      </c>
      <c r="E550" s="36" t="inlineStr"/>
      <c r="F550" s="36" t="inlineStr">
        <is>
          <t>UPI - Paytm</t>
        </is>
      </c>
      <c r="G550" s="34" t="n">
        <v>0.65</v>
      </c>
      <c r="H550" s="36" t="inlineStr">
        <is>
          <t>Personal</t>
        </is>
      </c>
      <c r="I550" s="36" t="inlineStr">
        <is>
          <t>FEDERAL 0847</t>
        </is>
      </c>
      <c r="J550" s="36" t="inlineStr"/>
      <c r="K550" s="36" t="inlineStr">
        <is>
          <t>UPIOUT/321289065233/paytm-69746593@paytm/S
en/5813</t>
        </is>
      </c>
      <c r="L550" s="36" t="inlineStr">
        <is>
          <t>Federal Bank (Jupiter)</t>
        </is>
      </c>
      <c r="M550" s="36" t="inlineStr"/>
    </row>
    <row r="551">
      <c r="A551" s="37" t="n">
        <v>45138</v>
      </c>
      <c r="B551" s="37" t="n">
        <v>45138</v>
      </c>
      <c r="C551" s="38" t="n">
        <v>600</v>
      </c>
      <c r="D551" s="38" t="n">
        <v>0</v>
      </c>
      <c r="E551" s="38" t="inlineStr"/>
      <c r="F551" s="38" t="inlineStr">
        <is>
          <t>UPI Payment</t>
        </is>
      </c>
      <c r="G551" s="25" t="n">
        <v>0.55</v>
      </c>
      <c r="H551" s="38" t="inlineStr">
        <is>
          <t>Personal</t>
        </is>
      </c>
      <c r="I551" s="38" t="inlineStr">
        <is>
          <t>FEDERAL 0847</t>
        </is>
      </c>
      <c r="J551" s="38" t="inlineStr"/>
      <c r="K551" s="38" t="inlineStr">
        <is>
          <t>UPIOUT/321290570632/0008288006214@ibl/Sent
v/0000</t>
        </is>
      </c>
      <c r="L551" s="38" t="inlineStr">
        <is>
          <t>Federal Bank (Jupiter)</t>
        </is>
      </c>
      <c r="M551" s="38" t="inlineStr"/>
    </row>
    <row r="552">
      <c r="A552" s="87" t="n">
        <v>45138</v>
      </c>
      <c r="B552" s="87" t="n">
        <v>45138</v>
      </c>
      <c r="C552" s="88" t="n">
        <v>1000</v>
      </c>
      <c r="D552" s="88" t="n">
        <v>0</v>
      </c>
      <c r="E552" s="88" t="inlineStr"/>
      <c r="F552" s="88" t="inlineStr">
        <is>
          <t>Contra - Jupiter</t>
        </is>
      </c>
      <c r="G552" s="18" t="n">
        <v>0.9</v>
      </c>
      <c r="H552" s="88" t="inlineStr">
        <is>
          <t>FEDERAL 0847</t>
        </is>
      </c>
      <c r="I552" s="88" t="inlineStr">
        <is>
          <t>SBI 1227</t>
        </is>
      </c>
      <c r="J552" s="88" t="inlineStr"/>
      <c r="K552" s="88" t="inlineStr">
        <is>
          <t xml:space="preserve">   TO TRANSFER-UPI/DR/321287516546/AAYUSH K/FDRL/9594435259/ADDMO--</t>
        </is>
      </c>
      <c r="L552" s="88" t="inlineStr">
        <is>
          <t>State Bank of India</t>
        </is>
      </c>
      <c r="M552" s="88" t="inlineStr"/>
    </row>
    <row r="553">
      <c r="A553" s="37" t="n">
        <v>45138</v>
      </c>
      <c r="B553" s="37" t="n">
        <v>45138</v>
      </c>
      <c r="C553" s="38" t="n">
        <v>350</v>
      </c>
      <c r="D553" s="38" t="n">
        <v>0</v>
      </c>
      <c r="E553" s="38" t="inlineStr">
        <is>
          <t>Param  C</t>
        </is>
      </c>
      <c r="F553" s="38" t="inlineStr">
        <is>
          <t>UPI Payment</t>
        </is>
      </c>
      <c r="G553" s="25" t="n">
        <v>0.55</v>
      </c>
      <c r="H553" s="38" t="inlineStr">
        <is>
          <t>Personal</t>
        </is>
      </c>
      <c r="I553" s="38" t="inlineStr">
        <is>
          <t>SBI 1227</t>
        </is>
      </c>
      <c r="J553" s="38" t="inlineStr"/>
      <c r="K553" s="38" t="inlineStr">
        <is>
          <t xml:space="preserve">   TO TRANSFER-UPI/DR/321227436150/Param  C/SBIN/0008288006/UPI--</t>
        </is>
      </c>
      <c r="L553" s="38" t="inlineStr">
        <is>
          <t>State Bank of India</t>
        </is>
      </c>
      <c r="M553" s="38" t="inlineStr"/>
    </row>
    <row r="554">
      <c r="A554" s="54" t="n">
        <v>45139</v>
      </c>
      <c r="B554" s="54" t="n">
        <v>45139</v>
      </c>
      <c r="C554" s="55" t="n">
        <v>0</v>
      </c>
      <c r="D554" s="55" t="n">
        <v>9827.540000000001</v>
      </c>
      <c r="E554" s="55" t="inlineStr"/>
      <c r="F554" s="55" t="inlineStr">
        <is>
          <t>HDFC Securities - Sell</t>
        </is>
      </c>
      <c r="G554" s="18" t="n">
        <v>0.97</v>
      </c>
      <c r="H554" s="55" t="inlineStr">
        <is>
          <t>HDFC Securities</t>
        </is>
      </c>
      <c r="I554" s="55" t="inlineStr">
        <is>
          <t>HDFC 5413</t>
        </is>
      </c>
      <c r="J554" s="55" t="inlineStr"/>
      <c r="K554" s="55" t="inlineStr">
        <is>
          <t>NET PO FROM HSL A/C 2554606-00602340029427</t>
        </is>
      </c>
      <c r="L554" s="55" t="inlineStr">
        <is>
          <t>HDFC Bank</t>
        </is>
      </c>
      <c r="M554" s="55" t="inlineStr"/>
    </row>
    <row r="555">
      <c r="A555" s="41" t="n">
        <v>45139</v>
      </c>
      <c r="B555" s="41" t="n">
        <v>45139</v>
      </c>
      <c r="C555" s="42" t="n">
        <v>20180.84</v>
      </c>
      <c r="D555" s="42" t="n">
        <v>0</v>
      </c>
      <c r="E555" s="42" t="inlineStr"/>
      <c r="F555" s="42" t="inlineStr">
        <is>
          <t>HDFC Securities - Buy</t>
        </is>
      </c>
      <c r="G555" s="18" t="n">
        <v>0.97</v>
      </c>
      <c r="H555" s="42" t="inlineStr">
        <is>
          <t>HDFC Securities</t>
        </is>
      </c>
      <c r="I555" s="42" t="inlineStr">
        <is>
          <t>HDFC 5413</t>
        </is>
      </c>
      <c r="J555" s="42" t="inlineStr"/>
      <c r="K555" s="42" t="inlineStr">
        <is>
          <t>NET PI TO HSL SEC A/C 2554606-00602340029427</t>
        </is>
      </c>
      <c r="L555" s="42" t="inlineStr">
        <is>
          <t>HDFC Bank</t>
        </is>
      </c>
      <c r="M555" s="42" t="inlineStr"/>
    </row>
    <row r="556">
      <c r="A556" s="41" t="n">
        <v>45139</v>
      </c>
      <c r="B556" s="41" t="n">
        <v>45139</v>
      </c>
      <c r="C556" s="42" t="n">
        <v>120.07</v>
      </c>
      <c r="D556" s="42" t="n">
        <v>0</v>
      </c>
      <c r="E556" s="42" t="inlineStr"/>
      <c r="F556" s="42" t="inlineStr">
        <is>
          <t>HDFC Securities - Buy</t>
        </is>
      </c>
      <c r="G556" s="18" t="n">
        <v>0.97</v>
      </c>
      <c r="H556" s="42" t="inlineStr">
        <is>
          <t>HDFC Securities</t>
        </is>
      </c>
      <c r="I556" s="42" t="inlineStr">
        <is>
          <t>HDFC 5413</t>
        </is>
      </c>
      <c r="J556" s="42" t="inlineStr"/>
      <c r="K556" s="42" t="inlineStr">
        <is>
          <t>NET PI TO HSL SEC A/C 2554606-00602340029427</t>
        </is>
      </c>
      <c r="L556" s="42" t="inlineStr">
        <is>
          <t>HDFC Bank</t>
        </is>
      </c>
      <c r="M556" s="42" t="inlineStr"/>
    </row>
    <row r="557">
      <c r="A557" s="37" t="n">
        <v>45139</v>
      </c>
      <c r="B557" s="37" t="n">
        <v>45139</v>
      </c>
      <c r="C557" s="38" t="n">
        <v>20</v>
      </c>
      <c r="D557" s="38" t="n">
        <v>0</v>
      </c>
      <c r="E557" s="38" t="inlineStr">
        <is>
          <t>Vendekin</t>
        </is>
      </c>
      <c r="F557" s="38" t="inlineStr">
        <is>
          <t>UPI Payment</t>
        </is>
      </c>
      <c r="G557" s="25" t="n">
        <v>0.55</v>
      </c>
      <c r="H557" s="38" t="inlineStr">
        <is>
          <t>Personal</t>
        </is>
      </c>
      <c r="I557" s="38" t="inlineStr">
        <is>
          <t>SBI 1227</t>
        </is>
      </c>
      <c r="J557" s="38" t="inlineStr"/>
      <c r="K557" s="38" t="inlineStr">
        <is>
          <t xml:space="preserve">   TO TRANSFER-UPI/DR/321363072206/Vendekin/ICIC/vendekin@i/UPI--</t>
        </is>
      </c>
      <c r="L557" s="38" t="inlineStr">
        <is>
          <t>State Bank of India</t>
        </is>
      </c>
      <c r="M557" s="38" t="inlineStr"/>
    </row>
    <row r="558">
      <c r="A558" s="41" t="n">
        <v>45140</v>
      </c>
      <c r="B558" s="41" t="n">
        <v>45140</v>
      </c>
      <c r="C558" s="42" t="n">
        <v>1508.23</v>
      </c>
      <c r="D558" s="42" t="n">
        <v>0</v>
      </c>
      <c r="E558" s="42" t="inlineStr"/>
      <c r="F558" s="42" t="inlineStr">
        <is>
          <t>HDFC Securities - Buy</t>
        </is>
      </c>
      <c r="G558" s="18" t="n">
        <v>0.97</v>
      </c>
      <c r="H558" s="42" t="inlineStr">
        <is>
          <t>HDFC Securities</t>
        </is>
      </c>
      <c r="I558" s="42" t="inlineStr">
        <is>
          <t>HDFC 5413</t>
        </is>
      </c>
      <c r="J558" s="42" t="inlineStr"/>
      <c r="K558" s="42" t="inlineStr">
        <is>
          <t>NET PI TO HSL SEC A/C 2554606-00602340029427</t>
        </is>
      </c>
      <c r="L558" s="42" t="inlineStr">
        <is>
          <t>HDFC Bank</t>
        </is>
      </c>
      <c r="M558" s="42" t="inlineStr"/>
    </row>
    <row r="559">
      <c r="A559" s="37" t="n">
        <v>45140</v>
      </c>
      <c r="B559" s="37" t="n">
        <v>45140</v>
      </c>
      <c r="C559" s="38" t="n">
        <v>40</v>
      </c>
      <c r="D559" s="38" t="n">
        <v>0</v>
      </c>
      <c r="E559" s="38" t="inlineStr">
        <is>
          <t>Vendekin</t>
        </is>
      </c>
      <c r="F559" s="38" t="inlineStr">
        <is>
          <t>UPI Payment</t>
        </is>
      </c>
      <c r="G559" s="25" t="n">
        <v>0.55</v>
      </c>
      <c r="H559" s="38" t="inlineStr">
        <is>
          <t>Personal</t>
        </is>
      </c>
      <c r="I559" s="38" t="inlineStr">
        <is>
          <t>SBI 1227</t>
        </is>
      </c>
      <c r="J559" s="38" t="inlineStr"/>
      <c r="K559" s="38" t="inlineStr">
        <is>
          <t xml:space="preserve">   TO TRANSFER-UPI/DR/358021601389/Vendekin/ICIC/vendekin@i/UPI--</t>
        </is>
      </c>
      <c r="L559" s="38" t="inlineStr">
        <is>
          <t>State Bank of India</t>
        </is>
      </c>
      <c r="M559" s="38" t="inlineStr"/>
    </row>
    <row r="560">
      <c r="A560" s="37" t="n">
        <v>45140</v>
      </c>
      <c r="B560" s="37" t="n">
        <v>45140</v>
      </c>
      <c r="C560" s="38" t="n">
        <v>10</v>
      </c>
      <c r="D560" s="38" t="n">
        <v>0</v>
      </c>
      <c r="E560" s="38" t="inlineStr"/>
      <c r="F560" s="38" t="inlineStr">
        <is>
          <t>UPI Payment</t>
        </is>
      </c>
      <c r="G560" s="25" t="n">
        <v>0.55</v>
      </c>
      <c r="H560" s="38" t="inlineStr">
        <is>
          <t>Personal</t>
        </is>
      </c>
      <c r="I560" s="38" t="inlineStr">
        <is>
          <t>SBI 1227</t>
        </is>
      </c>
      <c r="J560" s="38" t="inlineStr"/>
      <c r="K560" s="38" t="inlineStr">
        <is>
          <t xml:space="preserve">   TO TRANSFER-UPI/DR/321479181332/98825462/UCBA/9882546237/UPI--</t>
        </is>
      </c>
      <c r="L560" s="38" t="inlineStr">
        <is>
          <t>State Bank of India</t>
        </is>
      </c>
      <c r="M560" s="38" t="inlineStr"/>
    </row>
    <row r="561">
      <c r="A561" s="37" t="n">
        <v>45140</v>
      </c>
      <c r="B561" s="37" t="n">
        <v>45140</v>
      </c>
      <c r="C561" s="38" t="n">
        <v>24687</v>
      </c>
      <c r="D561" s="38" t="n">
        <v>0</v>
      </c>
      <c r="E561" s="38" t="inlineStr">
        <is>
          <t>Plaksha</t>
        </is>
      </c>
      <c r="F561" s="38" t="inlineStr">
        <is>
          <t>UPI Payment</t>
        </is>
      </c>
      <c r="G561" s="25" t="n">
        <v>0.55</v>
      </c>
      <c r="H561" s="38" t="inlineStr">
        <is>
          <t>Personal</t>
        </is>
      </c>
      <c r="I561" s="38" t="inlineStr">
        <is>
          <t>SBI 1227</t>
        </is>
      </c>
      <c r="J561" s="38" t="inlineStr"/>
      <c r="K561" s="38" t="inlineStr">
        <is>
          <t xml:space="preserve">   TO TRANSFER-UPI/DR/321442229067/Plaksha /utib/plakshauni/Onlin--</t>
        </is>
      </c>
      <c r="L561" s="38" t="inlineStr">
        <is>
          <t>State Bank of India</t>
        </is>
      </c>
      <c r="M561" s="38" t="inlineStr"/>
    </row>
    <row r="562">
      <c r="A562" s="35" t="n">
        <v>45141</v>
      </c>
      <c r="B562" s="35" t="n">
        <v>45141</v>
      </c>
      <c r="C562" s="36" t="n">
        <v>140</v>
      </c>
      <c r="D562" s="36" t="n">
        <v>0</v>
      </c>
      <c r="E562" s="36" t="inlineStr"/>
      <c r="F562" s="36" t="inlineStr">
        <is>
          <t>UPI - Paytm</t>
        </is>
      </c>
      <c r="G562" s="34" t="n">
        <v>0.65</v>
      </c>
      <c r="H562" s="36" t="inlineStr">
        <is>
          <t>Personal</t>
        </is>
      </c>
      <c r="I562" s="36" t="inlineStr">
        <is>
          <t>SBI 1227</t>
        </is>
      </c>
      <c r="J562" s="36" t="inlineStr"/>
      <c r="K562" s="36" t="inlineStr">
        <is>
          <t xml:space="preserve">   TO TRANSFER-UPI/DR/321512182909/PaytmUser/HDFC/9568987093/UPI--</t>
        </is>
      </c>
      <c r="L562" s="36" t="inlineStr">
        <is>
          <t>State Bank of India</t>
        </is>
      </c>
      <c r="M562" s="36" t="inlineStr"/>
    </row>
    <row r="563">
      <c r="A563" s="37" t="n">
        <v>45141</v>
      </c>
      <c r="B563" s="37" t="n">
        <v>45141</v>
      </c>
      <c r="C563" s="38" t="n">
        <v>135</v>
      </c>
      <c r="D563" s="38" t="n">
        <v>0</v>
      </c>
      <c r="E563" s="38" t="inlineStr">
        <is>
          <t>Harjinde</t>
        </is>
      </c>
      <c r="F563" s="38" t="inlineStr">
        <is>
          <t>UPI Payment</t>
        </is>
      </c>
      <c r="G563" s="25" t="n">
        <v>0.55</v>
      </c>
      <c r="H563" s="38" t="inlineStr">
        <is>
          <t>Personal</t>
        </is>
      </c>
      <c r="I563" s="38" t="inlineStr">
        <is>
          <t>SBI 1227</t>
        </is>
      </c>
      <c r="J563" s="38" t="inlineStr"/>
      <c r="K563" s="38" t="inlineStr">
        <is>
          <t xml:space="preserve">   TO TRANSFER-UPI/DR/321515506788/HARJINDE/HDFC/harjinders/UPI--</t>
        </is>
      </c>
      <c r="L563" s="38" t="inlineStr">
        <is>
          <t>State Bank of India</t>
        </is>
      </c>
      <c r="M563" s="38" t="inlineStr"/>
    </row>
    <row r="564">
      <c r="A564" s="41" t="n">
        <v>45141</v>
      </c>
      <c r="B564" s="41" t="n">
        <v>45141</v>
      </c>
      <c r="C564" s="42" t="n">
        <v>967.62</v>
      </c>
      <c r="D564" s="42" t="n">
        <v>0</v>
      </c>
      <c r="E564" s="42" t="inlineStr"/>
      <c r="F564" s="42" t="inlineStr">
        <is>
          <t>HDFC Securities - Buy</t>
        </is>
      </c>
      <c r="G564" s="18" t="n">
        <v>0.97</v>
      </c>
      <c r="H564" s="42" t="inlineStr">
        <is>
          <t>HDFC Securities</t>
        </is>
      </c>
      <c r="I564" s="42" t="inlineStr">
        <is>
          <t>HDFC 5413</t>
        </is>
      </c>
      <c r="J564" s="42" t="inlineStr"/>
      <c r="K564" s="42" t="inlineStr">
        <is>
          <t>NET PI TO HSL SEC A/C 2554606-00602340029427</t>
        </is>
      </c>
      <c r="L564" s="42" t="inlineStr">
        <is>
          <t>HDFC Bank</t>
        </is>
      </c>
      <c r="M564" s="42" t="inlineStr"/>
    </row>
    <row r="565">
      <c r="A565" s="41" t="n">
        <v>45141</v>
      </c>
      <c r="B565" s="41" t="n">
        <v>45141</v>
      </c>
      <c r="C565" s="42" t="n">
        <v>133.01</v>
      </c>
      <c r="D565" s="42" t="n">
        <v>0</v>
      </c>
      <c r="E565" s="42" t="inlineStr"/>
      <c r="F565" s="42" t="inlineStr">
        <is>
          <t>HDFC Securities - Buy</t>
        </is>
      </c>
      <c r="G565" s="18" t="n">
        <v>0.97</v>
      </c>
      <c r="H565" s="42" t="inlineStr">
        <is>
          <t>HDFC Securities</t>
        </is>
      </c>
      <c r="I565" s="42" t="inlineStr">
        <is>
          <t>HDFC 5413</t>
        </is>
      </c>
      <c r="J565" s="42" t="inlineStr"/>
      <c r="K565" s="42" t="inlineStr">
        <is>
          <t>NET PI TO HSL SEC A/C 2554606-00602340029427</t>
        </is>
      </c>
      <c r="L565" s="42" t="inlineStr">
        <is>
          <t>HDFC Bank</t>
        </is>
      </c>
      <c r="M565" s="42" t="inlineStr"/>
    </row>
    <row r="566">
      <c r="A566" s="37" t="n">
        <v>45141</v>
      </c>
      <c r="B566" s="37" t="n">
        <v>45141</v>
      </c>
      <c r="C566" s="38" t="n">
        <v>785</v>
      </c>
      <c r="D566" s="38" t="n">
        <v>0</v>
      </c>
      <c r="E566" s="38" t="inlineStr">
        <is>
          <t>Pardeep</t>
        </is>
      </c>
      <c r="F566" s="38" t="inlineStr">
        <is>
          <t>UPI Payment</t>
        </is>
      </c>
      <c r="G566" s="25" t="n">
        <v>0.55</v>
      </c>
      <c r="H566" s="38" t="inlineStr">
        <is>
          <t>Personal</t>
        </is>
      </c>
      <c r="I566" s="38" t="inlineStr">
        <is>
          <t>SBI 1227</t>
        </is>
      </c>
      <c r="J566" s="38" t="inlineStr"/>
      <c r="K566" s="38" t="inlineStr">
        <is>
          <t xml:space="preserve">   TO TRANSFER-UPI/DR/358157721577/PARDEEP /UTIB/fcbizrcmqf/UPI--</t>
        </is>
      </c>
      <c r="L566" s="38" t="inlineStr">
        <is>
          <t>State Bank of India</t>
        </is>
      </c>
      <c r="M566" s="38" t="inlineStr"/>
    </row>
    <row r="567">
      <c r="A567" s="37" t="n">
        <v>45141</v>
      </c>
      <c r="B567" s="37" t="n">
        <v>45141</v>
      </c>
      <c r="C567" s="38" t="n">
        <v>20</v>
      </c>
      <c r="D567" s="38" t="n">
        <v>0</v>
      </c>
      <c r="E567" s="38" t="inlineStr">
        <is>
          <t>Vendekin</t>
        </is>
      </c>
      <c r="F567" s="38" t="inlineStr">
        <is>
          <t>UPI Payment</t>
        </is>
      </c>
      <c r="G567" s="25" t="n">
        <v>0.55</v>
      </c>
      <c r="H567" s="38" t="inlineStr">
        <is>
          <t>Personal</t>
        </is>
      </c>
      <c r="I567" s="38" t="inlineStr">
        <is>
          <t>SBI 1227</t>
        </is>
      </c>
      <c r="J567" s="38" t="inlineStr"/>
      <c r="K567" s="38" t="inlineStr">
        <is>
          <t xml:space="preserve">   TO TRANSFER-UPI/DR/358164233861/Vendekin/ICIC/vendekin@i/UPI--</t>
        </is>
      </c>
      <c r="L567" s="38" t="inlineStr">
        <is>
          <t>State Bank of India</t>
        </is>
      </c>
      <c r="M567" s="38" t="inlineStr"/>
    </row>
    <row r="568">
      <c r="A568" s="21" t="n">
        <v>45142</v>
      </c>
      <c r="B568" s="21" t="n">
        <v>45142</v>
      </c>
      <c r="C568" s="22" t="n">
        <v>2493.95</v>
      </c>
      <c r="D568" s="22" t="n">
        <v>0</v>
      </c>
      <c r="E568" s="22" t="inlineStr"/>
      <c r="F568" s="22" t="inlineStr">
        <is>
          <t>UPI - IRCTC</t>
        </is>
      </c>
      <c r="G568" s="18" t="n">
        <v>0.88</v>
      </c>
      <c r="H568" s="22" t="inlineStr">
        <is>
          <t>Travel</t>
        </is>
      </c>
      <c r="I568" s="22" t="inlineStr">
        <is>
          <t>SBI 1227</t>
        </is>
      </c>
      <c r="J568" s="22" t="inlineStr"/>
      <c r="K568" s="22" t="inlineStr">
        <is>
          <t xml:space="preserve">   TO TRANSFER-UPI/DR/321676708133/IRCTC CF/HDFC/irctc.cf@h/IRCTC--</t>
        </is>
      </c>
      <c r="L568" s="22" t="inlineStr">
        <is>
          <t>State Bank of India</t>
        </is>
      </c>
      <c r="M568" s="22" t="inlineStr"/>
    </row>
    <row r="569">
      <c r="A569" s="64" t="n">
        <v>45142</v>
      </c>
      <c r="B569" s="64" t="n">
        <v>45142</v>
      </c>
      <c r="C569" s="65" t="n">
        <v>0</v>
      </c>
      <c r="D569" s="65" t="n">
        <v>60</v>
      </c>
      <c r="E569" s="65" t="inlineStr"/>
      <c r="F569" s="65" t="inlineStr">
        <is>
          <t>Dividend Income</t>
        </is>
      </c>
      <c r="G569" s="18" t="n">
        <v>0.85</v>
      </c>
      <c r="H569" s="65" t="inlineStr">
        <is>
          <t>Dividend Income</t>
        </is>
      </c>
      <c r="I569" s="65" t="inlineStr">
        <is>
          <t>SBI 1227</t>
        </is>
      </c>
      <c r="J569" s="65" t="inlineStr"/>
      <c r="K569" s="65" t="inlineStr">
        <is>
          <t xml:space="preserve">   BULK POSTING-ACHCr UTIB00788000017240 KFIL FNL 2022--</t>
        </is>
      </c>
      <c r="L569" s="65" t="inlineStr">
        <is>
          <t>State Bank of India</t>
        </is>
      </c>
      <c r="M569" s="65" t="inlineStr"/>
    </row>
    <row r="570">
      <c r="A570" s="64" t="n">
        <v>45142</v>
      </c>
      <c r="B570" s="64" t="n">
        <v>45142</v>
      </c>
      <c r="C570" s="65" t="n">
        <v>0</v>
      </c>
      <c r="D570" s="65" t="n">
        <v>30</v>
      </c>
      <c r="E570" s="65" t="inlineStr"/>
      <c r="F570" s="65" t="inlineStr">
        <is>
          <t>Dividend Income</t>
        </is>
      </c>
      <c r="G570" s="18" t="n">
        <v>0.85</v>
      </c>
      <c r="H570" s="65" t="inlineStr">
        <is>
          <t>Dividend Income</t>
        </is>
      </c>
      <c r="I570" s="65" t="inlineStr">
        <is>
          <t>SBI 1227</t>
        </is>
      </c>
      <c r="J570" s="65" t="inlineStr"/>
      <c r="K570" s="65" t="inlineStr">
        <is>
          <t xml:space="preserve">   BULK POSTING-ACHCr HDFC01208000010673 ORIENTCEMENTLT--</t>
        </is>
      </c>
      <c r="L570" s="65" t="inlineStr">
        <is>
          <t>State Bank of India</t>
        </is>
      </c>
      <c r="M570" s="65" t="inlineStr"/>
    </row>
    <row r="571">
      <c r="A571" s="37" t="n">
        <v>45142</v>
      </c>
      <c r="B571" s="37" t="n">
        <v>45142</v>
      </c>
      <c r="C571" s="38" t="n">
        <v>20</v>
      </c>
      <c r="D571" s="38" t="n">
        <v>0</v>
      </c>
      <c r="E571" s="38" t="inlineStr">
        <is>
          <t>Vendekin</t>
        </is>
      </c>
      <c r="F571" s="38" t="inlineStr">
        <is>
          <t>UPI Payment</t>
        </is>
      </c>
      <c r="G571" s="25" t="n">
        <v>0.55</v>
      </c>
      <c r="H571" s="38" t="inlineStr">
        <is>
          <t>Personal</t>
        </is>
      </c>
      <c r="I571" s="38" t="inlineStr">
        <is>
          <t>SBI 1227</t>
        </is>
      </c>
      <c r="J571" s="38" t="inlineStr"/>
      <c r="K571" s="38" t="inlineStr">
        <is>
          <t xml:space="preserve">   TO TRANSFER-UPI/DR/321661547406/Vendekin/ICIC/vendekin@i/UPI--</t>
        </is>
      </c>
      <c r="L571" s="38" t="inlineStr">
        <is>
          <t>State Bank of India</t>
        </is>
      </c>
      <c r="M571" s="38" t="inlineStr"/>
    </row>
    <row r="572">
      <c r="A572" s="101" t="n">
        <v>45142</v>
      </c>
      <c r="B572" s="101" t="n">
        <v>45142</v>
      </c>
      <c r="C572" s="102" t="n">
        <v>0</v>
      </c>
      <c r="D572" s="102" t="n">
        <v>20</v>
      </c>
      <c r="E572" s="102" t="inlineStr"/>
      <c r="F572" s="102" t="inlineStr">
        <is>
          <t>Received - Vendekin</t>
        </is>
      </c>
      <c r="G572" s="25" t="n">
        <v>0.55</v>
      </c>
      <c r="H572" s="102" t="inlineStr">
        <is>
          <t>Personal</t>
        </is>
      </c>
      <c r="I572" s="102" t="inlineStr">
        <is>
          <t>SBI 1227</t>
        </is>
      </c>
      <c r="J572" s="102" t="inlineStr"/>
      <c r="K572" s="102" t="inlineStr">
        <is>
          <t xml:space="preserve">   BY TRANSFER-UPI/CR/321618641582/Vendekin/ICIC/vendekin@i/vende--</t>
        </is>
      </c>
      <c r="L572" s="102" t="inlineStr">
        <is>
          <t>State Bank of India</t>
        </is>
      </c>
      <c r="M572" s="102" t="inlineStr"/>
    </row>
    <row r="573">
      <c r="A573" s="41" t="n">
        <v>45142</v>
      </c>
      <c r="B573" s="41" t="n">
        <v>45142</v>
      </c>
      <c r="C573" s="42" t="n">
        <v>132.53</v>
      </c>
      <c r="D573" s="42" t="n">
        <v>0</v>
      </c>
      <c r="E573" s="42" t="inlineStr"/>
      <c r="F573" s="42" t="inlineStr">
        <is>
          <t>HDFC Securities - Buy</t>
        </is>
      </c>
      <c r="G573" s="18" t="n">
        <v>0.97</v>
      </c>
      <c r="H573" s="42" t="inlineStr">
        <is>
          <t>HDFC Securities</t>
        </is>
      </c>
      <c r="I573" s="42" t="inlineStr">
        <is>
          <t>HDFC 5413</t>
        </is>
      </c>
      <c r="J573" s="42" t="inlineStr"/>
      <c r="K573" s="42" t="inlineStr">
        <is>
          <t>NET PI TO HSL SEC A/C 2554606-00602340029427</t>
        </is>
      </c>
      <c r="L573" s="42" t="inlineStr">
        <is>
          <t>HDFC Bank</t>
        </is>
      </c>
      <c r="M573" s="42" t="inlineStr"/>
    </row>
    <row r="574">
      <c r="A574" s="41" t="n">
        <v>45142</v>
      </c>
      <c r="B574" s="41" t="n">
        <v>45142</v>
      </c>
      <c r="C574" s="42" t="n">
        <v>7086.15</v>
      </c>
      <c r="D574" s="42" t="n">
        <v>0</v>
      </c>
      <c r="E574" s="42" t="inlineStr"/>
      <c r="F574" s="42" t="inlineStr">
        <is>
          <t>HDFC Securities - Buy</t>
        </is>
      </c>
      <c r="G574" s="18" t="n">
        <v>0.97</v>
      </c>
      <c r="H574" s="42" t="inlineStr">
        <is>
          <t>HDFC Securities</t>
        </is>
      </c>
      <c r="I574" s="42" t="inlineStr">
        <is>
          <t>HDFC 5413</t>
        </is>
      </c>
      <c r="J574" s="42" t="inlineStr"/>
      <c r="K574" s="42" t="inlineStr">
        <is>
          <t>NET PI TO HSL SEC A/C 2554606-00602340029427</t>
        </is>
      </c>
      <c r="L574" s="42" t="inlineStr">
        <is>
          <t>HDFC Bank</t>
        </is>
      </c>
      <c r="M574" s="42" t="inlineStr"/>
    </row>
    <row r="575">
      <c r="A575" s="35" t="n">
        <v>45142</v>
      </c>
      <c r="B575" s="35" t="n">
        <v>45142</v>
      </c>
      <c r="C575" s="36" t="n">
        <v>50</v>
      </c>
      <c r="D575" s="36" t="n">
        <v>0</v>
      </c>
      <c r="E575" s="36" t="inlineStr"/>
      <c r="F575" s="36" t="inlineStr">
        <is>
          <t>UPI - Paytm</t>
        </is>
      </c>
      <c r="G575" s="34" t="n">
        <v>0.65</v>
      </c>
      <c r="H575" s="36" t="inlineStr">
        <is>
          <t>Personal</t>
        </is>
      </c>
      <c r="I575" s="36" t="inlineStr">
        <is>
          <t>SBI 1227</t>
        </is>
      </c>
      <c r="J575" s="36" t="inlineStr"/>
      <c r="K575" s="36" t="inlineStr">
        <is>
          <t xml:space="preserve">   TO TRANSFER-UPI/DR/321638636562/SEVEN SP/PYTM/paytmqr281/UPI--</t>
        </is>
      </c>
      <c r="L575" s="36" t="inlineStr">
        <is>
          <t>State Bank of India</t>
        </is>
      </c>
      <c r="M575" s="36" t="inlineStr"/>
    </row>
    <row r="576">
      <c r="A576" s="26" t="n">
        <v>45143</v>
      </c>
      <c r="B576" s="26" t="n">
        <v>45143</v>
      </c>
      <c r="C576" s="27" t="n">
        <v>0</v>
      </c>
      <c r="D576" s="27" t="n">
        <v>25000</v>
      </c>
      <c r="E576" s="27" t="inlineStr"/>
      <c r="F576" s="27" t="inlineStr">
        <is>
          <t>Received - Ajay Gupta</t>
        </is>
      </c>
      <c r="G576" s="18" t="n">
        <v>0.88</v>
      </c>
      <c r="H576" s="27" t="inlineStr">
        <is>
          <t>Ajay Gupta</t>
        </is>
      </c>
      <c r="I576" s="27" t="inlineStr">
        <is>
          <t>HDFC 5413</t>
        </is>
      </c>
      <c r="J576" s="27" t="inlineStr"/>
      <c r="K576" s="27" t="inlineStr">
        <is>
          <t>01671000085930-TPT-BORW FROM AJAY-AJAY KUMAR GUPTA</t>
        </is>
      </c>
      <c r="L576" s="27" t="inlineStr">
        <is>
          <t>HDFC Bank</t>
        </is>
      </c>
      <c r="M576" s="27" t="inlineStr"/>
    </row>
    <row r="577">
      <c r="A577" s="35" t="n">
        <v>45144</v>
      </c>
      <c r="B577" s="35" t="n">
        <v>45144</v>
      </c>
      <c r="C577" s="36" t="n">
        <v>16</v>
      </c>
      <c r="D577" s="36" t="n">
        <v>0</v>
      </c>
      <c r="E577" s="36" t="inlineStr"/>
      <c r="F577" s="36" t="inlineStr">
        <is>
          <t>UPI - Paytm</t>
        </is>
      </c>
      <c r="G577" s="34" t="n">
        <v>0.65</v>
      </c>
      <c r="H577" s="36" t="inlineStr">
        <is>
          <t>Personal</t>
        </is>
      </c>
      <c r="I577" s="36" t="inlineStr">
        <is>
          <t>AXIS</t>
        </is>
      </c>
      <c r="J577" s="36" t="inlineStr"/>
      <c r="K577" s="36" t="inlineStr">
        <is>
          <t>UPI/P2M/321834818560/Mr JITEND/Paytm Pay/UPI</t>
        </is>
      </c>
      <c r="L577" s="36" t="inlineStr">
        <is>
          <t>Axis Bank</t>
        </is>
      </c>
      <c r="M577" s="36" t="inlineStr"/>
    </row>
    <row r="578">
      <c r="A578" s="37" t="n">
        <v>45144</v>
      </c>
      <c r="B578" s="37" t="n">
        <v>45144</v>
      </c>
      <c r="C578" s="38" t="n">
        <v>142</v>
      </c>
      <c r="D578" s="38" t="n">
        <v>0</v>
      </c>
      <c r="E578" s="38" t="inlineStr">
        <is>
          <t>Adarsh Na</t>
        </is>
      </c>
      <c r="F578" s="38" t="inlineStr">
        <is>
          <t>UPI Payment</t>
        </is>
      </c>
      <c r="G578" s="25" t="n">
        <v>0.55</v>
      </c>
      <c r="H578" s="38" t="inlineStr">
        <is>
          <t>Personal</t>
        </is>
      </c>
      <c r="I578" s="38" t="inlineStr">
        <is>
          <t>AXIS</t>
        </is>
      </c>
      <c r="J578" s="38" t="inlineStr"/>
      <c r="K578" s="38" t="inlineStr">
        <is>
          <t>UPI/P2A/321836516129/ADARSH NA/HDFC BANK/UPI</t>
        </is>
      </c>
      <c r="L578" s="38" t="inlineStr">
        <is>
          <t>Axis Bank</t>
        </is>
      </c>
      <c r="M578" s="38" t="inlineStr"/>
    </row>
    <row r="579">
      <c r="A579" s="32" t="n">
        <v>45144</v>
      </c>
      <c r="B579" s="32" t="n">
        <v>45144</v>
      </c>
      <c r="C579" s="33" t="n">
        <v>136</v>
      </c>
      <c r="D579" s="33" t="n">
        <v>0</v>
      </c>
      <c r="E579" s="33" t="inlineStr"/>
      <c r="F579" s="33" t="inlineStr">
        <is>
          <t>UPI - BharatPe</t>
        </is>
      </c>
      <c r="G579" s="34" t="n">
        <v>0.65</v>
      </c>
      <c r="H579" s="33" t="inlineStr">
        <is>
          <t>Personal</t>
        </is>
      </c>
      <c r="I579" s="33" t="inlineStr">
        <is>
          <t>AXIS</t>
        </is>
      </c>
      <c r="J579" s="33" t="inlineStr"/>
      <c r="K579" s="33" t="inlineStr">
        <is>
          <t>UPI/P2M/321834491026/BharatPe /YesBank_Y/Pay to</t>
        </is>
      </c>
      <c r="L579" s="33" t="inlineStr">
        <is>
          <t>Axis Bank</t>
        </is>
      </c>
      <c r="M579" s="33" t="inlineStr"/>
    </row>
    <row r="580">
      <c r="A580" s="35" t="n">
        <v>45144</v>
      </c>
      <c r="B580" s="35" t="n">
        <v>45144</v>
      </c>
      <c r="C580" s="36" t="n">
        <v>2285</v>
      </c>
      <c r="D580" s="36" t="n">
        <v>0</v>
      </c>
      <c r="E580" s="36" t="inlineStr"/>
      <c r="F580" s="36" t="inlineStr">
        <is>
          <t>UPI - Paytm</t>
        </is>
      </c>
      <c r="G580" s="34" t="n">
        <v>0.65</v>
      </c>
      <c r="H580" s="36" t="inlineStr">
        <is>
          <t>Personal</t>
        </is>
      </c>
      <c r="I580" s="36" t="inlineStr">
        <is>
          <t>AXIS</t>
        </is>
      </c>
      <c r="J580" s="36" t="inlineStr"/>
      <c r="K580" s="36" t="inlineStr">
        <is>
          <t>UPI/P2M/321834593338/ATUL GARG/Paytm Pay/UPI</t>
        </is>
      </c>
      <c r="L580" s="36" t="inlineStr">
        <is>
          <t>Axis Bank</t>
        </is>
      </c>
      <c r="M580" s="36" t="inlineStr"/>
    </row>
    <row r="581">
      <c r="A581" s="39" t="n">
        <v>45144</v>
      </c>
      <c r="B581" s="39" t="n">
        <v>45144</v>
      </c>
      <c r="C581" s="40" t="n">
        <v>130</v>
      </c>
      <c r="D581" s="40" t="n">
        <v>0</v>
      </c>
      <c r="E581" s="40" t="inlineStr"/>
      <c r="F581" s="40" t="inlineStr">
        <is>
          <t>Transfer - Archit Gupta</t>
        </is>
      </c>
      <c r="G581" s="18" t="n">
        <v>0.85</v>
      </c>
      <c r="H581" s="40" t="inlineStr">
        <is>
          <t>Archit Gupta</t>
        </is>
      </c>
      <c r="I581" s="40" t="inlineStr">
        <is>
          <t>AXIS</t>
        </is>
      </c>
      <c r="J581" s="40" t="inlineStr"/>
      <c r="K581" s="40" t="inlineStr">
        <is>
          <t>UPI/P2A/321842744773/ARCHIT GU/Axis Bank/UPI</t>
        </is>
      </c>
      <c r="L581" s="40" t="inlineStr">
        <is>
          <t>Axis Bank</t>
        </is>
      </c>
      <c r="M581" s="40" t="inlineStr"/>
    </row>
    <row r="582">
      <c r="A582" s="39" t="n">
        <v>45145</v>
      </c>
      <c r="B582" s="39" t="n">
        <v>45145</v>
      </c>
      <c r="C582" s="40" t="n">
        <v>0</v>
      </c>
      <c r="D582" s="40" t="n">
        <v>130</v>
      </c>
      <c r="E582" s="40" t="inlineStr"/>
      <c r="F582" s="40" t="inlineStr">
        <is>
          <t>Received - Archit Gupta</t>
        </is>
      </c>
      <c r="G582" s="18" t="n">
        <v>0.85</v>
      </c>
      <c r="H582" s="40" t="inlineStr">
        <is>
          <t>Archit Gupta</t>
        </is>
      </c>
      <c r="I582" s="40" t="inlineStr">
        <is>
          <t>AXIS</t>
        </is>
      </c>
      <c r="J582" s="40" t="inlineStr"/>
      <c r="K582" s="40" t="inlineStr">
        <is>
          <t>UPI/P2A/321948620399/Archit  G/State Ban/UPI</t>
        </is>
      </c>
      <c r="L582" s="40" t="inlineStr">
        <is>
          <t>Axis Bank</t>
        </is>
      </c>
      <c r="M582" s="40" t="inlineStr"/>
    </row>
    <row r="583">
      <c r="A583" s="21" t="n">
        <v>45145</v>
      </c>
      <c r="B583" s="21" t="n">
        <v>45145</v>
      </c>
      <c r="C583" s="22" t="n">
        <v>0</v>
      </c>
      <c r="D583" s="22" t="n">
        <v>2260.28</v>
      </c>
      <c r="E583" s="22" t="inlineStr"/>
      <c r="F583" s="22" t="inlineStr">
        <is>
          <t>UPI - IRCTC</t>
        </is>
      </c>
      <c r="G583" s="34" t="n">
        <v>0.68</v>
      </c>
      <c r="H583" s="22" t="inlineStr">
        <is>
          <t>Travel</t>
        </is>
      </c>
      <c r="I583" s="22" t="inlineStr">
        <is>
          <t>SBI 1227</t>
        </is>
      </c>
      <c r="J583" s="22" t="inlineStr"/>
      <c r="K583" s="22" t="inlineStr">
        <is>
          <t xml:space="preserve">   BY TRANSFER-UPI/CR/321982792010/IRCTC CF/HDFC/irctc.cf@h/UPI R--</t>
        </is>
      </c>
      <c r="L583" s="22" t="inlineStr">
        <is>
          <t>State Bank of India</t>
        </is>
      </c>
      <c r="M583" s="22" t="inlineStr"/>
    </row>
    <row r="584">
      <c r="A584" s="41" t="n">
        <v>45145</v>
      </c>
      <c r="B584" s="41" t="n">
        <v>45145</v>
      </c>
      <c r="C584" s="42" t="n">
        <v>24124.85</v>
      </c>
      <c r="D584" s="42" t="n">
        <v>0</v>
      </c>
      <c r="E584" s="42" t="inlineStr"/>
      <c r="F584" s="42" t="inlineStr">
        <is>
          <t>HDFC Securities - Buy</t>
        </is>
      </c>
      <c r="G584" s="18" t="n">
        <v>0.97</v>
      </c>
      <c r="H584" s="42" t="inlineStr">
        <is>
          <t>HDFC Securities</t>
        </is>
      </c>
      <c r="I584" s="42" t="inlineStr">
        <is>
          <t>HDFC 5413</t>
        </is>
      </c>
      <c r="J584" s="42" t="inlineStr"/>
      <c r="K584" s="42" t="inlineStr">
        <is>
          <t>NET PI TO HSL SEC A/C 2554606-00602340029427</t>
        </is>
      </c>
      <c r="L584" s="42" t="inlineStr">
        <is>
          <t>HDFC Bank</t>
        </is>
      </c>
      <c r="M584" s="42" t="inlineStr"/>
    </row>
    <row r="585">
      <c r="A585" s="26" t="n">
        <v>45145</v>
      </c>
      <c r="B585" s="26" t="n">
        <v>45145</v>
      </c>
      <c r="C585" s="27" t="n">
        <v>0</v>
      </c>
      <c r="D585" s="27" t="n">
        <v>10000</v>
      </c>
      <c r="E585" s="27" t="inlineStr"/>
      <c r="F585" s="27" t="inlineStr">
        <is>
          <t>Received - Ajay Gupta</t>
        </is>
      </c>
      <c r="G585" s="18" t="n">
        <v>0.88</v>
      </c>
      <c r="H585" s="27" t="inlineStr">
        <is>
          <t>Ajay Gupta</t>
        </is>
      </c>
      <c r="I585" s="27" t="inlineStr">
        <is>
          <t>HDFC 5413</t>
        </is>
      </c>
      <c r="J585" s="27" t="inlineStr"/>
      <c r="K585" s="27" t="inlineStr">
        <is>
          <t>UPI-AJAY KUMAR GUPTA-AJAYGUPTANEL@YBL-HDFC0000167-358542458244-BORROW FROM AKG</t>
        </is>
      </c>
      <c r="L585" s="27" t="inlineStr">
        <is>
          <t>HDFC Bank</t>
        </is>
      </c>
      <c r="M585" s="27" t="inlineStr"/>
    </row>
    <row r="586">
      <c r="A586" s="41" t="n">
        <v>45145</v>
      </c>
      <c r="B586" s="41" t="n">
        <v>45145</v>
      </c>
      <c r="C586" s="42" t="n">
        <v>10875.15</v>
      </c>
      <c r="D586" s="42" t="n">
        <v>0</v>
      </c>
      <c r="E586" s="42" t="inlineStr"/>
      <c r="F586" s="42" t="inlineStr">
        <is>
          <t>HDFC Securities - Buy</t>
        </is>
      </c>
      <c r="G586" s="18" t="n">
        <v>0.97</v>
      </c>
      <c r="H586" s="42" t="inlineStr">
        <is>
          <t>HDFC Securities</t>
        </is>
      </c>
      <c r="I586" s="42" t="inlineStr">
        <is>
          <t>HDFC 5413</t>
        </is>
      </c>
      <c r="J586" s="42" t="inlineStr"/>
      <c r="K586" s="42" t="inlineStr">
        <is>
          <t>NET PI TO HSL SEC A/C 2554606-00602340029427</t>
        </is>
      </c>
      <c r="L586" s="42" t="inlineStr">
        <is>
          <t>HDFC Bank</t>
        </is>
      </c>
      <c r="M586" s="42" t="inlineStr"/>
    </row>
    <row r="587">
      <c r="A587" s="64" t="n">
        <v>45145</v>
      </c>
      <c r="B587" s="64" t="n">
        <v>45145</v>
      </c>
      <c r="C587" s="65" t="n">
        <v>0</v>
      </c>
      <c r="D587" s="65" t="n">
        <v>162.5</v>
      </c>
      <c r="E587" s="65" t="inlineStr"/>
      <c r="F587" s="65" t="inlineStr">
        <is>
          <t>Dividend Income</t>
        </is>
      </c>
      <c r="G587" s="18" t="n">
        <v>0.88</v>
      </c>
      <c r="H587" s="65" t="inlineStr">
        <is>
          <t>Dividend Income</t>
        </is>
      </c>
      <c r="I587" s="65" t="inlineStr">
        <is>
          <t>HDFC 5413</t>
        </is>
      </c>
      <c r="J587" s="65" t="inlineStr"/>
      <c r="K587" s="65" t="inlineStr">
        <is>
          <t>ACH C- MAHINDRA &amp; MAHINDRA-40494263</t>
        </is>
      </c>
      <c r="L587" s="65" t="inlineStr">
        <is>
          <t>HDFC Bank</t>
        </is>
      </c>
      <c r="M587" s="65" t="inlineStr"/>
    </row>
    <row r="588">
      <c r="A588" s="64" t="n">
        <v>45145</v>
      </c>
      <c r="B588" s="64" t="n">
        <v>45145</v>
      </c>
      <c r="C588" s="65" t="n">
        <v>0</v>
      </c>
      <c r="D588" s="65" t="n">
        <v>207</v>
      </c>
      <c r="E588" s="65" t="inlineStr"/>
      <c r="F588" s="65" t="inlineStr">
        <is>
          <t>Dividend Income</t>
        </is>
      </c>
      <c r="G588" s="18" t="n">
        <v>0.88</v>
      </c>
      <c r="H588" s="65" t="inlineStr">
        <is>
          <t>Dividend Income</t>
        </is>
      </c>
      <c r="I588" s="65" t="inlineStr">
        <is>
          <t>HDFC 5413</t>
        </is>
      </c>
      <c r="J588" s="65" t="inlineStr"/>
      <c r="K588" s="65" t="inlineStr">
        <is>
          <t>ACH C- TCS1STINTDIV070823-1772629</t>
        </is>
      </c>
      <c r="L588" s="65" t="inlineStr">
        <is>
          <t>HDFC Bank</t>
        </is>
      </c>
      <c r="M588" s="65" t="inlineStr"/>
    </row>
    <row r="589">
      <c r="A589" s="26" t="n">
        <v>45145</v>
      </c>
      <c r="B589" s="26" t="n">
        <v>45145</v>
      </c>
      <c r="C589" s="27" t="n">
        <v>0</v>
      </c>
      <c r="D589" s="27" t="n">
        <v>25000</v>
      </c>
      <c r="E589" s="27" t="inlineStr"/>
      <c r="F589" s="27" t="inlineStr">
        <is>
          <t>Received - Ajay Gupta</t>
        </is>
      </c>
      <c r="G589" s="18" t="n">
        <v>0.88</v>
      </c>
      <c r="H589" s="27" t="inlineStr">
        <is>
          <t>Ajay Gupta</t>
        </is>
      </c>
      <c r="I589" s="27" t="inlineStr">
        <is>
          <t>HDFC 5413</t>
        </is>
      </c>
      <c r="J589" s="27" t="inlineStr"/>
      <c r="K589" s="27" t="inlineStr">
        <is>
          <t>01671000085930-TPT-BORROW FROM AJAY-AJAY KUMAR GUPTA</t>
        </is>
      </c>
      <c r="L589" s="27" t="inlineStr">
        <is>
          <t>HDFC Bank</t>
        </is>
      </c>
      <c r="M589" s="27" t="inlineStr"/>
    </row>
    <row r="590">
      <c r="A590" s="23" t="n">
        <v>45145</v>
      </c>
      <c r="B590" s="23" t="n">
        <v>45145</v>
      </c>
      <c r="C590" s="24" t="n">
        <v>0</v>
      </c>
      <c r="D590" s="24" t="n">
        <v>1880</v>
      </c>
      <c r="E590" s="24" t="inlineStr"/>
      <c r="F590" s="24" t="inlineStr">
        <is>
          <t>What is this?</t>
        </is>
      </c>
      <c r="G590" s="25" t="n">
        <v>0</v>
      </c>
      <c r="H590" s="24" t="inlineStr">
        <is>
          <t>Suspense</t>
        </is>
      </c>
      <c r="I590" s="24" t="inlineStr">
        <is>
          <t>HDFC 5413</t>
        </is>
      </c>
      <c r="J590" s="24" t="inlineStr"/>
      <c r="K590" s="24" t="inlineStr">
        <is>
          <t>00602300000434-023090899</t>
        </is>
      </c>
      <c r="L590" s="24" t="inlineStr">
        <is>
          <t>HDFC Bank</t>
        </is>
      </c>
      <c r="M590" s="24" t="inlineStr"/>
    </row>
    <row r="591">
      <c r="A591" s="41" t="n">
        <v>45146</v>
      </c>
      <c r="B591" s="41" t="n">
        <v>45146</v>
      </c>
      <c r="C591" s="42" t="n">
        <v>13883.68</v>
      </c>
      <c r="D591" s="42" t="n">
        <v>0</v>
      </c>
      <c r="E591" s="42" t="inlineStr"/>
      <c r="F591" s="42" t="inlineStr">
        <is>
          <t>HDFC Securities - Buy</t>
        </is>
      </c>
      <c r="G591" s="18" t="n">
        <v>0.97</v>
      </c>
      <c r="H591" s="42" t="inlineStr">
        <is>
          <t>HDFC Securities</t>
        </is>
      </c>
      <c r="I591" s="42" t="inlineStr">
        <is>
          <t>HDFC 5413</t>
        </is>
      </c>
      <c r="J591" s="42" t="inlineStr"/>
      <c r="K591" s="42" t="inlineStr">
        <is>
          <t>NET PI TO HSL SEC A/C 2554606-00602340029427</t>
        </is>
      </c>
      <c r="L591" s="42" t="inlineStr">
        <is>
          <t>HDFC Bank</t>
        </is>
      </c>
      <c r="M591" s="42" t="inlineStr"/>
    </row>
    <row r="592">
      <c r="A592" s="54" t="n">
        <v>45146</v>
      </c>
      <c r="B592" s="54" t="n">
        <v>45145</v>
      </c>
      <c r="C592" s="55" t="n">
        <v>0</v>
      </c>
      <c r="D592" s="55" t="n">
        <v>24124.85</v>
      </c>
      <c r="E592" s="55" t="inlineStr"/>
      <c r="F592" s="55" t="inlineStr">
        <is>
          <t>HDFC Securities - Sell</t>
        </is>
      </c>
      <c r="G592" s="18" t="n">
        <v>0.97</v>
      </c>
      <c r="H592" s="55" t="inlineStr">
        <is>
          <t>HDFC Securities</t>
        </is>
      </c>
      <c r="I592" s="55" t="inlineStr">
        <is>
          <t>HDFC 5413</t>
        </is>
      </c>
      <c r="J592" s="55" t="inlineStr"/>
      <c r="K592" s="55" t="inlineStr">
        <is>
          <t>NET PO FROM HSL A/C 2554606-00602340029427</t>
        </is>
      </c>
      <c r="L592" s="55" t="inlineStr">
        <is>
          <t>HDFC Bank</t>
        </is>
      </c>
      <c r="M592" s="55" t="inlineStr"/>
    </row>
    <row r="593">
      <c r="A593" s="64" t="n">
        <v>45146</v>
      </c>
      <c r="B593" s="64" t="n">
        <v>45146</v>
      </c>
      <c r="C593" s="65" t="n">
        <v>0</v>
      </c>
      <c r="D593" s="65" t="n">
        <v>640</v>
      </c>
      <c r="E593" s="65" t="inlineStr"/>
      <c r="F593" s="65" t="inlineStr">
        <is>
          <t>Dividend Income</t>
        </is>
      </c>
      <c r="G593" s="18" t="n">
        <v>0.85</v>
      </c>
      <c r="H593" s="65" t="inlineStr">
        <is>
          <t>Dividend Income</t>
        </is>
      </c>
      <c r="I593" s="65" t="inlineStr">
        <is>
          <t>HDFC 5413</t>
        </is>
      </c>
      <c r="J593" s="65" t="inlineStr"/>
      <c r="K593" s="65" t="inlineStr">
        <is>
          <t>ALEMBIC PHA DIV22 2300000000000000017339</t>
        </is>
      </c>
      <c r="L593" s="65" t="inlineStr">
        <is>
          <t>HDFC Bank</t>
        </is>
      </c>
      <c r="M593" s="65" t="inlineStr"/>
    </row>
    <row r="594">
      <c r="A594" s="37" t="n">
        <v>45146</v>
      </c>
      <c r="B594" s="37" t="n">
        <v>45146</v>
      </c>
      <c r="C594" s="38" t="n">
        <v>50</v>
      </c>
      <c r="D594" s="38" t="n">
        <v>0</v>
      </c>
      <c r="E594" s="38" t="inlineStr">
        <is>
          <t>Sushil K</t>
        </is>
      </c>
      <c r="F594" s="38" t="inlineStr">
        <is>
          <t>UPI Payment</t>
        </is>
      </c>
      <c r="G594" s="25" t="n">
        <v>0.55</v>
      </c>
      <c r="H594" s="38" t="inlineStr">
        <is>
          <t>Personal</t>
        </is>
      </c>
      <c r="I594" s="38" t="inlineStr">
        <is>
          <t>SBI 1227</t>
        </is>
      </c>
      <c r="J594" s="38" t="inlineStr"/>
      <c r="K594" s="38" t="inlineStr">
        <is>
          <t xml:space="preserve">   TO TRANSFER-UPI/DR/322079768455/SUSHIL K/IPOS/q762550979/UPI--</t>
        </is>
      </c>
      <c r="L594" s="38" t="inlineStr">
        <is>
          <t>State Bank of India</t>
        </is>
      </c>
      <c r="M594" s="38" t="inlineStr"/>
    </row>
    <row r="595">
      <c r="A595" s="54" t="n">
        <v>45146</v>
      </c>
      <c r="B595" s="54" t="n">
        <v>45146</v>
      </c>
      <c r="C595" s="55" t="n">
        <v>0</v>
      </c>
      <c r="D595" s="55" t="n">
        <v>4.88</v>
      </c>
      <c r="E595" s="55" t="inlineStr"/>
      <c r="F595" s="55" t="inlineStr">
        <is>
          <t>HDFC Securities - Sell</t>
        </is>
      </c>
      <c r="G595" s="18" t="n">
        <v>0.97</v>
      </c>
      <c r="H595" s="55" t="inlineStr">
        <is>
          <t>HDFC Securities</t>
        </is>
      </c>
      <c r="I595" s="55" t="inlineStr">
        <is>
          <t>HDFC 5413</t>
        </is>
      </c>
      <c r="J595" s="55" t="inlineStr"/>
      <c r="K595" s="55" t="inlineStr">
        <is>
          <t>NET PO FROM HSL A/C 2554606-00602340029427</t>
        </is>
      </c>
      <c r="L595" s="55" t="inlineStr">
        <is>
          <t>HDFC Bank</t>
        </is>
      </c>
      <c r="M595" s="55" t="inlineStr"/>
    </row>
    <row r="596">
      <c r="A596" s="41" t="n">
        <v>45146</v>
      </c>
      <c r="B596" s="41" t="n">
        <v>45146</v>
      </c>
      <c r="C596" s="42" t="n">
        <v>113.72</v>
      </c>
      <c r="D596" s="42" t="n">
        <v>0</v>
      </c>
      <c r="E596" s="42" t="inlineStr"/>
      <c r="F596" s="42" t="inlineStr">
        <is>
          <t>HDFC Securities - Buy</t>
        </is>
      </c>
      <c r="G596" s="18" t="n">
        <v>0.97</v>
      </c>
      <c r="H596" s="42" t="inlineStr">
        <is>
          <t>HDFC Securities</t>
        </is>
      </c>
      <c r="I596" s="42" t="inlineStr">
        <is>
          <t>HDFC 5413</t>
        </is>
      </c>
      <c r="J596" s="42" t="inlineStr"/>
      <c r="K596" s="42" t="inlineStr">
        <is>
          <t>NET PI TO HSL SEC A/C 2554606-00602340029427</t>
        </is>
      </c>
      <c r="L596" s="42" t="inlineStr">
        <is>
          <t>HDFC Bank</t>
        </is>
      </c>
      <c r="M596" s="42" t="inlineStr"/>
    </row>
    <row r="597">
      <c r="A597" s="37" t="n">
        <v>45147</v>
      </c>
      <c r="B597" s="37" t="n">
        <v>45147</v>
      </c>
      <c r="C597" s="38" t="n">
        <v>50</v>
      </c>
      <c r="D597" s="38" t="n">
        <v>0</v>
      </c>
      <c r="E597" s="38" t="inlineStr">
        <is>
          <t>Sushil Ku</t>
        </is>
      </c>
      <c r="F597" s="38" t="inlineStr">
        <is>
          <t>UPI Payment</t>
        </is>
      </c>
      <c r="G597" s="25" t="n">
        <v>0.55</v>
      </c>
      <c r="H597" s="38" t="inlineStr">
        <is>
          <t>Personal</t>
        </is>
      </c>
      <c r="I597" s="38" t="inlineStr">
        <is>
          <t>AXIS</t>
        </is>
      </c>
      <c r="J597" s="38" t="inlineStr"/>
      <c r="K597" s="38" t="inlineStr">
        <is>
          <t>UPI/P2A/322159589854/SUSHIL KU/India Pos/UPI</t>
        </is>
      </c>
      <c r="L597" s="38" t="inlineStr">
        <is>
          <t>Axis Bank</t>
        </is>
      </c>
      <c r="M597" s="38" t="inlineStr"/>
    </row>
    <row r="598">
      <c r="A598" s="41" t="n">
        <v>45147</v>
      </c>
      <c r="B598" s="41" t="n">
        <v>45147</v>
      </c>
      <c r="C598" s="42" t="n">
        <v>113.72</v>
      </c>
      <c r="D598" s="42" t="n">
        <v>0</v>
      </c>
      <c r="E598" s="42" t="inlineStr"/>
      <c r="F598" s="42" t="inlineStr">
        <is>
          <t>HDFC Securities - Buy</t>
        </is>
      </c>
      <c r="G598" s="18" t="n">
        <v>0.97</v>
      </c>
      <c r="H598" s="42" t="inlineStr">
        <is>
          <t>HDFC Securities</t>
        </is>
      </c>
      <c r="I598" s="42" t="inlineStr">
        <is>
          <t>HDFC 5413</t>
        </is>
      </c>
      <c r="J598" s="42" t="inlineStr"/>
      <c r="K598" s="42" t="inlineStr">
        <is>
          <t>NET PI TO HSL SEC A/C 2554606-00602340029427</t>
        </is>
      </c>
      <c r="L598" s="42" t="inlineStr">
        <is>
          <t>HDFC Bank</t>
        </is>
      </c>
      <c r="M598" s="42" t="inlineStr"/>
    </row>
    <row r="599">
      <c r="A599" s="58" t="n">
        <v>45147</v>
      </c>
      <c r="B599" s="58" t="n">
        <v>45147</v>
      </c>
      <c r="C599" s="59" t="n">
        <v>5000</v>
      </c>
      <c r="D599" s="59" t="n">
        <v>0</v>
      </c>
      <c r="E599" s="59" t="inlineStr"/>
      <c r="F599" s="59" t="inlineStr">
        <is>
          <t>Zerodha Broking</t>
        </is>
      </c>
      <c r="G599" s="18" t="n">
        <v>0.88</v>
      </c>
      <c r="H599" s="59" t="inlineStr">
        <is>
          <t>Zerodha Broking Limited</t>
        </is>
      </c>
      <c r="I599" s="59" t="inlineStr">
        <is>
          <t>SBI 1227</t>
        </is>
      </c>
      <c r="J599" s="59" t="inlineStr"/>
      <c r="K599" s="59" t="inlineStr">
        <is>
          <t xml:space="preserve">   TO TRANSFER-UPI/DR/322190996382/Zerodha /HDFC/zerodhabro/88981--</t>
        </is>
      </c>
      <c r="L599" s="59" t="inlineStr">
        <is>
          <t>State Bank of India</t>
        </is>
      </c>
      <c r="M599" s="59" t="inlineStr"/>
    </row>
    <row r="600">
      <c r="A600" s="41" t="n">
        <v>45147</v>
      </c>
      <c r="B600" s="41" t="n">
        <v>45147</v>
      </c>
      <c r="C600" s="42" t="n">
        <v>34.55</v>
      </c>
      <c r="D600" s="42" t="n">
        <v>0</v>
      </c>
      <c r="E600" s="42" t="inlineStr"/>
      <c r="F600" s="42" t="inlineStr">
        <is>
          <t>HDFC Securities - Buy</t>
        </is>
      </c>
      <c r="G600" s="18" t="n">
        <v>0.97</v>
      </c>
      <c r="H600" s="42" t="inlineStr">
        <is>
          <t>HDFC Securities</t>
        </is>
      </c>
      <c r="I600" s="42" t="inlineStr">
        <is>
          <t>HDFC 5413</t>
        </is>
      </c>
      <c r="J600" s="42" t="inlineStr"/>
      <c r="K600" s="42" t="inlineStr">
        <is>
          <t>NET PI TO HSL SEC A/C 2554606-00602340029427</t>
        </is>
      </c>
      <c r="L600" s="42" t="inlineStr">
        <is>
          <t>HDFC Bank</t>
        </is>
      </c>
      <c r="M600" s="42" t="inlineStr"/>
    </row>
    <row r="601">
      <c r="A601" s="37" t="n">
        <v>45147</v>
      </c>
      <c r="B601" s="37" t="n">
        <v>45147</v>
      </c>
      <c r="C601" s="38" t="n">
        <v>20</v>
      </c>
      <c r="D601" s="38" t="n">
        <v>0</v>
      </c>
      <c r="E601" s="38" t="inlineStr">
        <is>
          <t>Muthupat</t>
        </is>
      </c>
      <c r="F601" s="38" t="inlineStr">
        <is>
          <t>UPI Payment</t>
        </is>
      </c>
      <c r="G601" s="25" t="n">
        <v>0.55</v>
      </c>
      <c r="H601" s="38" t="inlineStr">
        <is>
          <t>Personal</t>
        </is>
      </c>
      <c r="I601" s="38" t="inlineStr">
        <is>
          <t>SBI 1227</t>
        </is>
      </c>
      <c r="J601" s="38" t="inlineStr"/>
      <c r="K601" s="38" t="inlineStr">
        <is>
          <t xml:space="preserve">   TO TRANSFER-UPI/DR/322190143328/MUTHUPAT/YESB/q840913628/UPI--</t>
        </is>
      </c>
      <c r="L601" s="38" t="inlineStr">
        <is>
          <t>State Bank of India</t>
        </is>
      </c>
      <c r="M601" s="38" t="inlineStr"/>
    </row>
    <row r="602">
      <c r="A602" s="37" t="n">
        <v>45148</v>
      </c>
      <c r="B602" s="37" t="n">
        <v>45148</v>
      </c>
      <c r="C602" s="38" t="n">
        <v>475</v>
      </c>
      <c r="D602" s="38" t="n">
        <v>0</v>
      </c>
      <c r="E602" s="38" t="inlineStr">
        <is>
          <t>Ibibo Gr</t>
        </is>
      </c>
      <c r="F602" s="38" t="inlineStr">
        <is>
          <t>UPI Payment</t>
        </is>
      </c>
      <c r="G602" s="25" t="n">
        <v>0.55</v>
      </c>
      <c r="H602" s="38" t="inlineStr">
        <is>
          <t>Personal</t>
        </is>
      </c>
      <c r="I602" s="38" t="inlineStr">
        <is>
          <t>SBI 1227</t>
        </is>
      </c>
      <c r="J602" s="38" t="inlineStr"/>
      <c r="K602" s="38" t="inlineStr">
        <is>
          <t xml:space="preserve">   TO TRANSFER-UPI/DR/358867738820/IBIBO GR/ICIC/redbus.pay/UPI--</t>
        </is>
      </c>
      <c r="L602" s="38" t="inlineStr">
        <is>
          <t>State Bank of India</t>
        </is>
      </c>
      <c r="M602" s="38" t="inlineStr"/>
    </row>
    <row r="603">
      <c r="A603" s="101" t="n">
        <v>45148</v>
      </c>
      <c r="B603" s="101" t="n">
        <v>45148</v>
      </c>
      <c r="C603" s="102" t="n">
        <v>0</v>
      </c>
      <c r="D603" s="102" t="n">
        <v>475</v>
      </c>
      <c r="E603" s="102" t="inlineStr"/>
      <c r="F603" s="102" t="inlineStr">
        <is>
          <t>Received - Aditi  G</t>
        </is>
      </c>
      <c r="G603" s="25" t="n">
        <v>0.55</v>
      </c>
      <c r="H603" s="102" t="inlineStr">
        <is>
          <t>Personal</t>
        </is>
      </c>
      <c r="I603" s="102" t="inlineStr">
        <is>
          <t>SBI 1227</t>
        </is>
      </c>
      <c r="J603" s="102" t="inlineStr"/>
      <c r="K603" s="102" t="inlineStr">
        <is>
          <t xml:space="preserve">   BY TRANSFER-UPI/CR/358866157759/ADITI  G/SBIN/9039494395/Payme--</t>
        </is>
      </c>
      <c r="L603" s="102" t="inlineStr">
        <is>
          <t>State Bank of India</t>
        </is>
      </c>
      <c r="M603" s="102" t="inlineStr"/>
    </row>
    <row r="604">
      <c r="A604" s="41" t="n">
        <v>45148</v>
      </c>
      <c r="B604" s="41" t="n">
        <v>45148</v>
      </c>
      <c r="C604" s="42" t="n">
        <v>113.7</v>
      </c>
      <c r="D604" s="42" t="n">
        <v>0</v>
      </c>
      <c r="E604" s="42" t="inlineStr"/>
      <c r="F604" s="42" t="inlineStr">
        <is>
          <t>HDFC Securities - Buy</t>
        </is>
      </c>
      <c r="G604" s="18" t="n">
        <v>0.97</v>
      </c>
      <c r="H604" s="42" t="inlineStr">
        <is>
          <t>HDFC Securities</t>
        </is>
      </c>
      <c r="I604" s="42" t="inlineStr">
        <is>
          <t>HDFC 5413</t>
        </is>
      </c>
      <c r="J604" s="42" t="inlineStr"/>
      <c r="K604" s="42" t="inlineStr">
        <is>
          <t>NET PI TO HSL SEC A/C 2554606-00602340029427</t>
        </is>
      </c>
      <c r="L604" s="42" t="inlineStr">
        <is>
          <t>HDFC Bank</t>
        </is>
      </c>
      <c r="M604" s="42" t="inlineStr"/>
    </row>
    <row r="605">
      <c r="A605" s="37" t="n">
        <v>45149</v>
      </c>
      <c r="B605" s="37" t="n">
        <v>45149</v>
      </c>
      <c r="C605" s="38" t="n">
        <v>1500</v>
      </c>
      <c r="D605" s="38" t="n">
        <v>0</v>
      </c>
      <c r="E605" s="38" t="inlineStr">
        <is>
          <t>Araghyod</t>
        </is>
      </c>
      <c r="F605" s="38" t="inlineStr">
        <is>
          <t>UPI Payment</t>
        </is>
      </c>
      <c r="G605" s="25" t="n">
        <v>0.55</v>
      </c>
      <c r="H605" s="38" t="inlineStr">
        <is>
          <t>Personal</t>
        </is>
      </c>
      <c r="I605" s="38" t="inlineStr">
        <is>
          <t>SBI 1227</t>
        </is>
      </c>
      <c r="J605" s="38" t="inlineStr"/>
      <c r="K605" s="38" t="inlineStr">
        <is>
          <t xml:space="preserve">   TO TRANSFER-UPI/DR/358982994448/ARAGHYOD/MAHB/anyk@mahb/UPI--</t>
        </is>
      </c>
      <c r="L605" s="38" t="inlineStr">
        <is>
          <t>State Bank of India</t>
        </is>
      </c>
      <c r="M605" s="38" t="inlineStr"/>
    </row>
    <row r="606">
      <c r="A606" s="41" t="n">
        <v>45149</v>
      </c>
      <c r="B606" s="41" t="n">
        <v>45149</v>
      </c>
      <c r="C606" s="42" t="n">
        <v>113.61</v>
      </c>
      <c r="D606" s="42" t="n">
        <v>0</v>
      </c>
      <c r="E606" s="42" t="inlineStr"/>
      <c r="F606" s="42" t="inlineStr">
        <is>
          <t>HDFC Securities - Buy</t>
        </is>
      </c>
      <c r="G606" s="18" t="n">
        <v>0.97</v>
      </c>
      <c r="H606" s="42" t="inlineStr">
        <is>
          <t>HDFC Securities</t>
        </is>
      </c>
      <c r="I606" s="42" t="inlineStr">
        <is>
          <t>HDFC 5413</t>
        </is>
      </c>
      <c r="J606" s="42" t="inlineStr"/>
      <c r="K606" s="42" t="inlineStr">
        <is>
          <t>NET PI TO HSL SEC A/C 2554606-00602340029427</t>
        </is>
      </c>
      <c r="L606" s="42" t="inlineStr">
        <is>
          <t>HDFC Bank</t>
        </is>
      </c>
      <c r="M606" s="42" t="inlineStr"/>
    </row>
    <row r="607">
      <c r="A607" s="58" t="n">
        <v>45149</v>
      </c>
      <c r="B607" s="58" t="n">
        <v>45149</v>
      </c>
      <c r="C607" s="59" t="n">
        <v>3000</v>
      </c>
      <c r="D607" s="59" t="n">
        <v>0</v>
      </c>
      <c r="E607" s="59" t="inlineStr"/>
      <c r="F607" s="59" t="inlineStr">
        <is>
          <t>MF Investment</t>
        </is>
      </c>
      <c r="G607" s="18" t="n">
        <v>0.9</v>
      </c>
      <c r="H607" s="59" t="inlineStr">
        <is>
          <t>Investments</t>
        </is>
      </c>
      <c r="I607" s="59" t="inlineStr">
        <is>
          <t>HDFC 5413</t>
        </is>
      </c>
      <c r="J607" s="59" t="inlineStr"/>
      <c r="K607" s="59" t="inlineStr">
        <is>
          <t>NET PAYIN TO BSE MF A/C -57500000389146- FROM A/C -50100128155413- UCC -2554606-57500000389146</t>
        </is>
      </c>
      <c r="L607" s="59" t="inlineStr">
        <is>
          <t>HDFC Bank</t>
        </is>
      </c>
      <c r="M607" s="59" t="inlineStr"/>
    </row>
    <row r="608">
      <c r="A608" s="41" t="n">
        <v>45149</v>
      </c>
      <c r="B608" s="41" t="n">
        <v>45149</v>
      </c>
      <c r="C608" s="42" t="n">
        <v>179.44</v>
      </c>
      <c r="D608" s="42" t="n">
        <v>0</v>
      </c>
      <c r="E608" s="42" t="inlineStr"/>
      <c r="F608" s="42" t="inlineStr">
        <is>
          <t>HDFC Securities - Buy</t>
        </is>
      </c>
      <c r="G608" s="18" t="n">
        <v>0.97</v>
      </c>
      <c r="H608" s="42" t="inlineStr">
        <is>
          <t>HDFC Securities</t>
        </is>
      </c>
      <c r="I608" s="42" t="inlineStr">
        <is>
          <t>HDFC 5413</t>
        </is>
      </c>
      <c r="J608" s="42" t="inlineStr"/>
      <c r="K608" s="42" t="inlineStr">
        <is>
          <t>NET PI TO HSL SEC A/C 2554606-00602340029427</t>
        </is>
      </c>
      <c r="L608" s="42" t="inlineStr">
        <is>
          <t>HDFC Bank</t>
        </is>
      </c>
      <c r="M608" s="42" t="inlineStr"/>
    </row>
    <row r="609">
      <c r="A609" s="41" t="n">
        <v>45149</v>
      </c>
      <c r="B609" s="41" t="n">
        <v>45149</v>
      </c>
      <c r="C609" s="42" t="n">
        <v>201.59</v>
      </c>
      <c r="D609" s="42" t="n">
        <v>0</v>
      </c>
      <c r="E609" s="42" t="inlineStr"/>
      <c r="F609" s="42" t="inlineStr">
        <is>
          <t>HDFC Securities - Buy</t>
        </is>
      </c>
      <c r="G609" s="18" t="n">
        <v>0.97</v>
      </c>
      <c r="H609" s="42" t="inlineStr">
        <is>
          <t>HDFC Securities</t>
        </is>
      </c>
      <c r="I609" s="42" t="inlineStr">
        <is>
          <t>HDFC 5413</t>
        </is>
      </c>
      <c r="J609" s="42" t="inlineStr"/>
      <c r="K609" s="42" t="inlineStr">
        <is>
          <t>NET PI TO HSL SEC A/C 2554606-00602340029427</t>
        </is>
      </c>
      <c r="L609" s="42" t="inlineStr">
        <is>
          <t>HDFC Bank</t>
        </is>
      </c>
      <c r="M609" s="42" t="inlineStr"/>
    </row>
    <row r="610">
      <c r="A610" s="32" t="n">
        <v>45151</v>
      </c>
      <c r="B610" s="32" t="n">
        <v>45151</v>
      </c>
      <c r="C610" s="33" t="n">
        <v>605</v>
      </c>
      <c r="D610" s="33" t="n">
        <v>0</v>
      </c>
      <c r="E610" s="33" t="inlineStr"/>
      <c r="F610" s="33" t="inlineStr">
        <is>
          <t>UPI - BharatPe</t>
        </is>
      </c>
      <c r="G610" s="34" t="n">
        <v>0.65</v>
      </c>
      <c r="H610" s="33" t="inlineStr">
        <is>
          <t>Personal</t>
        </is>
      </c>
      <c r="I610" s="33" t="inlineStr">
        <is>
          <t>SBI 1227</t>
        </is>
      </c>
      <c r="J610" s="33" t="inlineStr"/>
      <c r="K610" s="33" t="inlineStr">
        <is>
          <t xml:space="preserve">   TO TRANSFER-UPI/DR/322526028539/HARI OM /FDRL/bharatpe.9/Pay T--</t>
        </is>
      </c>
      <c r="L610" s="33" t="inlineStr">
        <is>
          <t>State Bank of India</t>
        </is>
      </c>
      <c r="M610" s="33" t="inlineStr"/>
    </row>
    <row r="611">
      <c r="A611" s="37" t="n">
        <v>45151</v>
      </c>
      <c r="B611" s="37" t="n">
        <v>45151</v>
      </c>
      <c r="C611" s="38" t="n">
        <v>475</v>
      </c>
      <c r="D611" s="38" t="n">
        <v>0</v>
      </c>
      <c r="E611" s="38" t="inlineStr">
        <is>
          <t>Redbus</t>
        </is>
      </c>
      <c r="F611" s="38" t="inlineStr">
        <is>
          <t>UPI Payment</t>
        </is>
      </c>
      <c r="G611" s="25" t="n">
        <v>0.55</v>
      </c>
      <c r="H611" s="38" t="inlineStr">
        <is>
          <t>Personal</t>
        </is>
      </c>
      <c r="I611" s="38" t="inlineStr">
        <is>
          <t>SBI 1227</t>
        </is>
      </c>
      <c r="J611" s="38" t="inlineStr"/>
      <c r="K611" s="38" t="inlineStr">
        <is>
          <t xml:space="preserve">   TO TRANSFER-UPI/DR/322500575226/REDBUS/HDFC/redbus1.pa/UPI--</t>
        </is>
      </c>
      <c r="L611" s="38" t="inlineStr">
        <is>
          <t>State Bank of India</t>
        </is>
      </c>
      <c r="M611" s="38" t="inlineStr"/>
    </row>
    <row r="612">
      <c r="A612" s="37" t="n">
        <v>45151</v>
      </c>
      <c r="B612" s="37" t="n">
        <v>45151</v>
      </c>
      <c r="C612" s="38" t="n">
        <v>110</v>
      </c>
      <c r="D612" s="38" t="n">
        <v>0</v>
      </c>
      <c r="E612" s="38" t="inlineStr">
        <is>
          <t>H L Dhatr</t>
        </is>
      </c>
      <c r="F612" s="38" t="inlineStr">
        <is>
          <t>UPI Payment</t>
        </is>
      </c>
      <c r="G612" s="25" t="n">
        <v>0.55</v>
      </c>
      <c r="H612" s="38" t="inlineStr">
        <is>
          <t>Personal</t>
        </is>
      </c>
      <c r="I612" s="38" t="inlineStr">
        <is>
          <t>AXIS</t>
        </is>
      </c>
      <c r="J612" s="38" t="inlineStr"/>
      <c r="K612" s="38" t="inlineStr">
        <is>
          <t>UPI/P2M/322597908496/H L DHATR/Yes Bank /tyre</t>
        </is>
      </c>
      <c r="L612" s="38" t="inlineStr">
        <is>
          <t>Axis Bank</t>
        </is>
      </c>
      <c r="M612" s="38" t="inlineStr"/>
    </row>
    <row r="613">
      <c r="A613" s="35" t="n">
        <v>45152</v>
      </c>
      <c r="B613" s="35" t="n">
        <v>45152</v>
      </c>
      <c r="C613" s="36" t="n">
        <v>122</v>
      </c>
      <c r="D613" s="36" t="n">
        <v>0</v>
      </c>
      <c r="E613" s="36" t="inlineStr"/>
      <c r="F613" s="36" t="inlineStr">
        <is>
          <t>UPI - Paytm</t>
        </is>
      </c>
      <c r="G613" s="34" t="n">
        <v>0.65</v>
      </c>
      <c r="H613" s="36" t="inlineStr">
        <is>
          <t>Personal</t>
        </is>
      </c>
      <c r="I613" s="36" t="inlineStr">
        <is>
          <t>SBI 1227</t>
        </is>
      </c>
      <c r="J613" s="36" t="inlineStr"/>
      <c r="K613" s="36" t="inlineStr">
        <is>
          <t xml:space="preserve">   TO TRANSFER-UPI/DR/322649034646/Krushnas/PYTM/paytmqrrqs/UPI--</t>
        </is>
      </c>
      <c r="L613" s="36" t="inlineStr">
        <is>
          <t>State Bank of India</t>
        </is>
      </c>
      <c r="M613" s="36" t="inlineStr"/>
    </row>
    <row r="614">
      <c r="A614" s="64" t="n">
        <v>45152</v>
      </c>
      <c r="B614" s="64" t="n">
        <v>45152</v>
      </c>
      <c r="C614" s="65" t="n">
        <v>0</v>
      </c>
      <c r="D614" s="65" t="n">
        <v>95</v>
      </c>
      <c r="E614" s="65" t="inlineStr"/>
      <c r="F614" s="65" t="inlineStr">
        <is>
          <t>Dividend Income</t>
        </is>
      </c>
      <c r="G614" s="18" t="n">
        <v>0.85</v>
      </c>
      <c r="H614" s="65" t="inlineStr">
        <is>
          <t>Dividend Income</t>
        </is>
      </c>
      <c r="I614" s="65" t="inlineStr">
        <is>
          <t>SBI 1227</t>
        </is>
      </c>
      <c r="J614" s="65" t="inlineStr"/>
      <c r="K614" s="65" t="inlineStr">
        <is>
          <t xml:space="preserve">   BULK POSTING-ACHCr IBKL00249000010274 ITCLIMITED--</t>
        </is>
      </c>
      <c r="L614" s="65" t="inlineStr">
        <is>
          <t>State Bank of India</t>
        </is>
      </c>
      <c r="M614" s="65" t="inlineStr"/>
    </row>
    <row r="615">
      <c r="A615" s="37" t="n">
        <v>45152</v>
      </c>
      <c r="B615" s="37" t="n">
        <v>45152</v>
      </c>
      <c r="C615" s="38" t="n">
        <v>80</v>
      </c>
      <c r="D615" s="38" t="n">
        <v>0</v>
      </c>
      <c r="E615" s="38" t="inlineStr">
        <is>
          <t>Amol San</t>
        </is>
      </c>
      <c r="F615" s="38" t="inlineStr">
        <is>
          <t>UPI Payment</t>
        </is>
      </c>
      <c r="G615" s="25" t="n">
        <v>0.55</v>
      </c>
      <c r="H615" s="38" t="inlineStr">
        <is>
          <t>Personal</t>
        </is>
      </c>
      <c r="I615" s="38" t="inlineStr">
        <is>
          <t>SBI 1227</t>
        </is>
      </c>
      <c r="J615" s="38" t="inlineStr"/>
      <c r="K615" s="38" t="inlineStr">
        <is>
          <t xml:space="preserve">   TO TRANSFER-UPI/DR/322627307930/AMOL SAN/YESB/q737575486/UPI--</t>
        </is>
      </c>
      <c r="L615" s="38" t="inlineStr">
        <is>
          <t>State Bank of India</t>
        </is>
      </c>
      <c r="M615" s="38" t="inlineStr"/>
    </row>
    <row r="616">
      <c r="A616" s="64" t="n">
        <v>45152</v>
      </c>
      <c r="B616" s="64" t="n">
        <v>45152</v>
      </c>
      <c r="C616" s="65" t="n">
        <v>0</v>
      </c>
      <c r="D616" s="65" t="n">
        <v>285</v>
      </c>
      <c r="E616" s="65" t="inlineStr"/>
      <c r="F616" s="65" t="inlineStr">
        <is>
          <t>Dividend Income</t>
        </is>
      </c>
      <c r="G616" s="18" t="n">
        <v>0.85</v>
      </c>
      <c r="H616" s="65" t="inlineStr">
        <is>
          <t>Dividend Income</t>
        </is>
      </c>
      <c r="I616" s="65" t="inlineStr">
        <is>
          <t>HDFC 5413</t>
        </is>
      </c>
      <c r="J616" s="65" t="inlineStr"/>
      <c r="K616" s="65" t="inlineStr">
        <is>
          <t>1108486372 HDFC BANK DIVIDEND 2022-2023</t>
        </is>
      </c>
      <c r="L616" s="65" t="inlineStr">
        <is>
          <t>HDFC Bank</t>
        </is>
      </c>
      <c r="M616" s="65" t="inlineStr"/>
    </row>
    <row r="617">
      <c r="A617" s="58" t="n">
        <v>45152</v>
      </c>
      <c r="B617" s="58" t="n">
        <v>45152</v>
      </c>
      <c r="C617" s="59" t="n">
        <v>3000</v>
      </c>
      <c r="D617" s="59" t="n">
        <v>0</v>
      </c>
      <c r="E617" s="59" t="inlineStr"/>
      <c r="F617" s="59" t="inlineStr">
        <is>
          <t>MF Investment</t>
        </is>
      </c>
      <c r="G617" s="18" t="n">
        <v>0.9</v>
      </c>
      <c r="H617" s="59" t="inlineStr">
        <is>
          <t>Investments</t>
        </is>
      </c>
      <c r="I617" s="59" t="inlineStr">
        <is>
          <t>HDFC 5413</t>
        </is>
      </c>
      <c r="J617" s="59" t="inlineStr"/>
      <c r="K617" s="59" t="inlineStr">
        <is>
          <t>NET PAYIN TO NSE MF A/C -00990610005906- FROM A/C -50100128155413- UCC -2554606-00990610005906</t>
        </is>
      </c>
      <c r="L617" s="59" t="inlineStr">
        <is>
          <t>HDFC Bank</t>
        </is>
      </c>
      <c r="M617" s="59" t="inlineStr"/>
    </row>
    <row r="618">
      <c r="A618" s="41" t="n">
        <v>45152</v>
      </c>
      <c r="B618" s="41" t="n">
        <v>45152</v>
      </c>
      <c r="C618" s="42" t="n">
        <v>448.83</v>
      </c>
      <c r="D618" s="42" t="n">
        <v>0</v>
      </c>
      <c r="E618" s="42" t="inlineStr"/>
      <c r="F618" s="42" t="inlineStr">
        <is>
          <t>HDFC Securities - Buy</t>
        </is>
      </c>
      <c r="G618" s="18" t="n">
        <v>0.97</v>
      </c>
      <c r="H618" s="42" t="inlineStr">
        <is>
          <t>HDFC Securities</t>
        </is>
      </c>
      <c r="I618" s="42" t="inlineStr">
        <is>
          <t>HDFC 5413</t>
        </is>
      </c>
      <c r="J618" s="42" t="inlineStr"/>
      <c r="K618" s="42" t="inlineStr">
        <is>
          <t>NET PI TO HSL SEC A/C 2554606-00602340029427</t>
        </is>
      </c>
      <c r="L618" s="42" t="inlineStr">
        <is>
          <t>HDFC Bank</t>
        </is>
      </c>
      <c r="M618" s="42" t="inlineStr"/>
    </row>
    <row r="619">
      <c r="A619" s="41" t="n">
        <v>45152</v>
      </c>
      <c r="B619" s="41" t="n">
        <v>45152</v>
      </c>
      <c r="C619" s="42" t="n">
        <v>340.53</v>
      </c>
      <c r="D619" s="42" t="n">
        <v>0</v>
      </c>
      <c r="E619" s="42" t="inlineStr"/>
      <c r="F619" s="42" t="inlineStr">
        <is>
          <t>HDFC Securities - Buy</t>
        </is>
      </c>
      <c r="G619" s="18" t="n">
        <v>0.97</v>
      </c>
      <c r="H619" s="42" t="inlineStr">
        <is>
          <t>HDFC Securities</t>
        </is>
      </c>
      <c r="I619" s="42" t="inlineStr">
        <is>
          <t>HDFC 5413</t>
        </is>
      </c>
      <c r="J619" s="42" t="inlineStr"/>
      <c r="K619" s="42" t="inlineStr">
        <is>
          <t>NET PI TO HSL SEC A/C 2554606-00602340029427</t>
        </is>
      </c>
      <c r="L619" s="42" t="inlineStr">
        <is>
          <t>HDFC Bank</t>
        </is>
      </c>
      <c r="M619" s="42" t="inlineStr"/>
    </row>
    <row r="620">
      <c r="A620" s="37" t="n">
        <v>45154</v>
      </c>
      <c r="B620" s="37" t="n">
        <v>45154</v>
      </c>
      <c r="C620" s="38" t="n">
        <v>50</v>
      </c>
      <c r="D620" s="38" t="n">
        <v>0</v>
      </c>
      <c r="E620" s="38" t="inlineStr">
        <is>
          <t>Sushil K</t>
        </is>
      </c>
      <c r="F620" s="38" t="inlineStr">
        <is>
          <t>UPI Payment</t>
        </is>
      </c>
      <c r="G620" s="25" t="n">
        <v>0.55</v>
      </c>
      <c r="H620" s="38" t="inlineStr">
        <is>
          <t>Personal</t>
        </is>
      </c>
      <c r="I620" s="38" t="inlineStr">
        <is>
          <t>SBI 1227</t>
        </is>
      </c>
      <c r="J620" s="38" t="inlineStr"/>
      <c r="K620" s="38" t="inlineStr">
        <is>
          <t xml:space="preserve">   TO TRANSFER-UPI/DR/322841052454/SUSHIL K/IPOS/q641920445/UPI--</t>
        </is>
      </c>
      <c r="L620" s="38" t="inlineStr">
        <is>
          <t>State Bank of India</t>
        </is>
      </c>
      <c r="M620" s="38" t="inlineStr"/>
    </row>
    <row r="621">
      <c r="A621" s="37" t="n">
        <v>45154</v>
      </c>
      <c r="B621" s="37" t="n">
        <v>45154</v>
      </c>
      <c r="C621" s="38" t="n">
        <v>200</v>
      </c>
      <c r="D621" s="38" t="n">
        <v>0</v>
      </c>
      <c r="E621" s="38" t="inlineStr">
        <is>
          <t>Sushil K</t>
        </is>
      </c>
      <c r="F621" s="38" t="inlineStr">
        <is>
          <t>UPI Payment</t>
        </is>
      </c>
      <c r="G621" s="25" t="n">
        <v>0.55</v>
      </c>
      <c r="H621" s="38" t="inlineStr">
        <is>
          <t>Personal</t>
        </is>
      </c>
      <c r="I621" s="38" t="inlineStr">
        <is>
          <t>SBI 1227</t>
        </is>
      </c>
      <c r="J621" s="38" t="inlineStr"/>
      <c r="K621" s="38" t="inlineStr">
        <is>
          <t xml:space="preserve">   TO TRANSFER-UPI/DR/322899850164/SUSHIL K/IPOS/q641920445/UPI--</t>
        </is>
      </c>
      <c r="L621" s="38" t="inlineStr">
        <is>
          <t>State Bank of India</t>
        </is>
      </c>
      <c r="M621" s="38" t="inlineStr"/>
    </row>
    <row r="622">
      <c r="A622" s="41" t="n">
        <v>45154</v>
      </c>
      <c r="B622" s="41" t="n">
        <v>45154</v>
      </c>
      <c r="C622" s="42" t="n">
        <v>226.58</v>
      </c>
      <c r="D622" s="42" t="n">
        <v>0</v>
      </c>
      <c r="E622" s="42" t="inlineStr"/>
      <c r="F622" s="42" t="inlineStr">
        <is>
          <t>HDFC Securities - Buy</t>
        </is>
      </c>
      <c r="G622" s="18" t="n">
        <v>0.97</v>
      </c>
      <c r="H622" s="42" t="inlineStr">
        <is>
          <t>HDFC Securities</t>
        </is>
      </c>
      <c r="I622" s="42" t="inlineStr">
        <is>
          <t>HDFC 5413</t>
        </is>
      </c>
      <c r="J622" s="42" t="inlineStr"/>
      <c r="K622" s="42" t="inlineStr">
        <is>
          <t>NET PI TO HSL SEC A/C 2554606-00602340029427</t>
        </is>
      </c>
      <c r="L622" s="42" t="inlineStr">
        <is>
          <t>HDFC Bank</t>
        </is>
      </c>
      <c r="M622" s="42" t="inlineStr"/>
    </row>
    <row r="623">
      <c r="A623" s="58" t="n">
        <v>45154</v>
      </c>
      <c r="B623" s="58" t="n">
        <v>45154</v>
      </c>
      <c r="C623" s="59" t="n">
        <v>2500</v>
      </c>
      <c r="D623" s="59" t="n">
        <v>0</v>
      </c>
      <c r="E623" s="59" t="inlineStr"/>
      <c r="F623" s="59" t="inlineStr">
        <is>
          <t>MF Investment</t>
        </is>
      </c>
      <c r="G623" s="18" t="n">
        <v>0.9</v>
      </c>
      <c r="H623" s="59" t="inlineStr">
        <is>
          <t>Investments</t>
        </is>
      </c>
      <c r="I623" s="59" t="inlineStr">
        <is>
          <t>HDFC 5413</t>
        </is>
      </c>
      <c r="J623" s="59" t="inlineStr"/>
      <c r="K623" s="59" t="inlineStr">
        <is>
          <t>NET PAYIN TO BSE MF A/C -57500000389146- FROM A/C -50100128155413- UCC -2554606-57500000389146</t>
        </is>
      </c>
      <c r="L623" s="59" t="inlineStr">
        <is>
          <t>HDFC Bank</t>
        </is>
      </c>
      <c r="M623" s="59" t="inlineStr"/>
    </row>
    <row r="624">
      <c r="A624" s="35" t="n">
        <v>45155</v>
      </c>
      <c r="B624" s="35" t="n">
        <v>45155</v>
      </c>
      <c r="C624" s="36" t="n">
        <v>2266</v>
      </c>
      <c r="D624" s="36" t="n">
        <v>0</v>
      </c>
      <c r="E624" s="36" t="inlineStr"/>
      <c r="F624" s="36" t="inlineStr">
        <is>
          <t>UPI - Paytm</t>
        </is>
      </c>
      <c r="G624" s="34" t="n">
        <v>0.65</v>
      </c>
      <c r="H624" s="36" t="inlineStr">
        <is>
          <t>Personal</t>
        </is>
      </c>
      <c r="I624" s="36" t="inlineStr">
        <is>
          <t>SBI 1227</t>
        </is>
      </c>
      <c r="J624" s="36" t="inlineStr"/>
      <c r="K624" s="36" t="inlineStr">
        <is>
          <t xml:space="preserve">   TO TRANSFER-UPI/DR/322940352119/CLEARTRI/PYTM/paytm-3548/OidLB--</t>
        </is>
      </c>
      <c r="L624" s="36" t="inlineStr">
        <is>
          <t>State Bank of India</t>
        </is>
      </c>
      <c r="M624" s="36" t="inlineStr"/>
    </row>
    <row r="625">
      <c r="A625" s="54" t="n">
        <v>45155</v>
      </c>
      <c r="B625" s="54" t="n">
        <v>45155</v>
      </c>
      <c r="C625" s="55" t="n">
        <v>0</v>
      </c>
      <c r="D625" s="55" t="n">
        <v>111.15</v>
      </c>
      <c r="E625" s="55" t="inlineStr"/>
      <c r="F625" s="55" t="inlineStr">
        <is>
          <t>HDFC Securities - Sell</t>
        </is>
      </c>
      <c r="G625" s="18" t="n">
        <v>0.97</v>
      </c>
      <c r="H625" s="55" t="inlineStr">
        <is>
          <t>HDFC Securities</t>
        </is>
      </c>
      <c r="I625" s="55" t="inlineStr">
        <is>
          <t>HDFC 5413</t>
        </is>
      </c>
      <c r="J625" s="55" t="inlineStr"/>
      <c r="K625" s="55" t="inlineStr">
        <is>
          <t>NET PO FROM HSL A/C 2554606-00602340029427</t>
        </is>
      </c>
      <c r="L625" s="55" t="inlineStr">
        <is>
          <t>HDFC Bank</t>
        </is>
      </c>
      <c r="M625" s="55" t="inlineStr"/>
    </row>
    <row r="626">
      <c r="A626" s="54" t="n">
        <v>45155</v>
      </c>
      <c r="B626" s="54" t="n">
        <v>45155</v>
      </c>
      <c r="C626" s="55" t="n">
        <v>0</v>
      </c>
      <c r="D626" s="55" t="n">
        <v>44.58</v>
      </c>
      <c r="E626" s="55" t="inlineStr"/>
      <c r="F626" s="55" t="inlineStr">
        <is>
          <t>HDFC Securities - Sell</t>
        </is>
      </c>
      <c r="G626" s="18" t="n">
        <v>0.97</v>
      </c>
      <c r="H626" s="55" t="inlineStr">
        <is>
          <t>HDFC Securities</t>
        </is>
      </c>
      <c r="I626" s="55" t="inlineStr">
        <is>
          <t>HDFC 5413</t>
        </is>
      </c>
      <c r="J626" s="55" t="inlineStr"/>
      <c r="K626" s="55" t="inlineStr">
        <is>
          <t>NET PO FROM HSL A/C 2554606-00602340029427</t>
        </is>
      </c>
      <c r="L626" s="55" t="inlineStr">
        <is>
          <t>HDFC Bank</t>
        </is>
      </c>
      <c r="M626" s="55" t="inlineStr"/>
    </row>
    <row r="627">
      <c r="A627" s="37" t="n">
        <v>45155</v>
      </c>
      <c r="B627" s="37" t="n">
        <v>45155</v>
      </c>
      <c r="C627" s="38" t="n">
        <v>250</v>
      </c>
      <c r="D627" s="38" t="n">
        <v>0</v>
      </c>
      <c r="E627" s="38" t="inlineStr">
        <is>
          <t>Araghyod</t>
        </is>
      </c>
      <c r="F627" s="38" t="inlineStr">
        <is>
          <t>UPI Payment</t>
        </is>
      </c>
      <c r="G627" s="25" t="n">
        <v>0.55</v>
      </c>
      <c r="H627" s="38" t="inlineStr">
        <is>
          <t>Personal</t>
        </is>
      </c>
      <c r="I627" s="38" t="inlineStr">
        <is>
          <t>SBI 1227</t>
        </is>
      </c>
      <c r="J627" s="38" t="inlineStr"/>
      <c r="K627" s="38" t="inlineStr">
        <is>
          <t xml:space="preserve">   TO TRANSFER-UPI/DR/322980455536/ARAGHYOD/MAHB/anyk@mahb/UPI--</t>
        </is>
      </c>
      <c r="L627" s="38" t="inlineStr">
        <is>
          <t>State Bank of India</t>
        </is>
      </c>
      <c r="M627" s="38" t="inlineStr"/>
    </row>
    <row r="628">
      <c r="A628" s="41" t="n">
        <v>45155</v>
      </c>
      <c r="B628" s="41" t="n">
        <v>45155</v>
      </c>
      <c r="C628" s="42" t="n">
        <v>113.31</v>
      </c>
      <c r="D628" s="42" t="n">
        <v>0</v>
      </c>
      <c r="E628" s="42" t="inlineStr"/>
      <c r="F628" s="42" t="inlineStr">
        <is>
          <t>HDFC Securities - Buy</t>
        </is>
      </c>
      <c r="G628" s="18" t="n">
        <v>0.97</v>
      </c>
      <c r="H628" s="42" t="inlineStr">
        <is>
          <t>HDFC Securities</t>
        </is>
      </c>
      <c r="I628" s="42" t="inlineStr">
        <is>
          <t>HDFC 5413</t>
        </is>
      </c>
      <c r="J628" s="42" t="inlineStr"/>
      <c r="K628" s="42" t="inlineStr">
        <is>
          <t>NET PI TO HSL SEC A/C 2554606-00602340029427</t>
        </is>
      </c>
      <c r="L628" s="42" t="inlineStr">
        <is>
          <t>HDFC Bank</t>
        </is>
      </c>
      <c r="M628" s="42" t="inlineStr"/>
    </row>
    <row r="629">
      <c r="A629" s="21" t="n">
        <v>45156</v>
      </c>
      <c r="B629" s="21" t="n">
        <v>45156</v>
      </c>
      <c r="C629" s="22" t="n">
        <v>101.8</v>
      </c>
      <c r="D629" s="22" t="n">
        <v>0</v>
      </c>
      <c r="E629" s="22" t="inlineStr"/>
      <c r="F629" s="22" t="inlineStr">
        <is>
          <t>UPI - IRCTC</t>
        </is>
      </c>
      <c r="G629" s="18" t="n">
        <v>0.88</v>
      </c>
      <c r="H629" s="22" t="inlineStr">
        <is>
          <t>Travel</t>
        </is>
      </c>
      <c r="I629" s="22" t="inlineStr">
        <is>
          <t>SBI 1227</t>
        </is>
      </c>
      <c r="J629" s="22" t="inlineStr"/>
      <c r="K629" s="22" t="inlineStr">
        <is>
          <t xml:space="preserve">   TO TRANSFER-UPI/DR/323004578780/IRCTC Ap/PYTM/paytm-irct/Oid10--</t>
        </is>
      </c>
      <c r="L629" s="22" t="inlineStr">
        <is>
          <t>State Bank of India</t>
        </is>
      </c>
      <c r="M629" s="22" t="inlineStr"/>
    </row>
    <row r="630">
      <c r="A630" s="35" t="n">
        <v>45156</v>
      </c>
      <c r="B630" s="35" t="n">
        <v>45156</v>
      </c>
      <c r="C630" s="36" t="n">
        <v>197</v>
      </c>
      <c r="D630" s="36" t="n">
        <v>0</v>
      </c>
      <c r="E630" s="36" t="inlineStr"/>
      <c r="F630" s="36" t="inlineStr">
        <is>
          <t>UPI - Paytm</t>
        </is>
      </c>
      <c r="G630" s="34" t="n">
        <v>0.65</v>
      </c>
      <c r="H630" s="36" t="inlineStr">
        <is>
          <t>Personal</t>
        </is>
      </c>
      <c r="I630" s="36" t="inlineStr">
        <is>
          <t>SBI 1227</t>
        </is>
      </c>
      <c r="J630" s="36" t="inlineStr"/>
      <c r="K630" s="36" t="inlineStr">
        <is>
          <t xml:space="preserve">   TO TRANSFER-UPI/DR/323020145631/UDIPI RE/PYTM/paytmqr281/UPI--</t>
        </is>
      </c>
      <c r="L630" s="36" t="inlineStr">
        <is>
          <t>State Bank of India</t>
        </is>
      </c>
      <c r="M630" s="36" t="inlineStr"/>
    </row>
    <row r="631">
      <c r="A631" s="41" t="n">
        <v>45156</v>
      </c>
      <c r="B631" s="41" t="n">
        <v>45156</v>
      </c>
      <c r="C631" s="42" t="n">
        <v>113.37</v>
      </c>
      <c r="D631" s="42" t="n">
        <v>0</v>
      </c>
      <c r="E631" s="42" t="inlineStr"/>
      <c r="F631" s="42" t="inlineStr">
        <is>
          <t>HDFC Securities - Buy</t>
        </is>
      </c>
      <c r="G631" s="18" t="n">
        <v>0.97</v>
      </c>
      <c r="H631" s="42" t="inlineStr">
        <is>
          <t>HDFC Securities</t>
        </is>
      </c>
      <c r="I631" s="42" t="inlineStr">
        <is>
          <t>HDFC 5413</t>
        </is>
      </c>
      <c r="J631" s="42" t="inlineStr"/>
      <c r="K631" s="42" t="inlineStr">
        <is>
          <t>NET PI TO HSL SEC A/C 2554606-00602340029427</t>
        </is>
      </c>
      <c r="L631" s="42" t="inlineStr">
        <is>
          <t>HDFC Bank</t>
        </is>
      </c>
      <c r="M631" s="42" t="inlineStr"/>
    </row>
    <row r="632">
      <c r="A632" s="56" t="n">
        <v>45156</v>
      </c>
      <c r="B632" s="56" t="n">
        <v>45156</v>
      </c>
      <c r="C632" s="57" t="n">
        <v>778.8</v>
      </c>
      <c r="D632" s="57" t="n">
        <v>0</v>
      </c>
      <c r="E632" s="57" t="inlineStr"/>
      <c r="F632" s="57" t="inlineStr">
        <is>
          <t>Depository Charges</t>
        </is>
      </c>
      <c r="G632" s="18" t="n">
        <v>0.93</v>
      </c>
      <c r="H632" s="57" t="inlineStr">
        <is>
          <t>Depository Charges</t>
        </is>
      </c>
      <c r="I632" s="57" t="inlineStr">
        <is>
          <t>HDFC 5413</t>
        </is>
      </c>
      <c r="J632" s="57" t="inlineStr"/>
      <c r="K632" s="57" t="inlineStr">
        <is>
          <t>DEPOSITORY CHARGES JUL23 - 52812428</t>
        </is>
      </c>
      <c r="L632" s="57" t="inlineStr">
        <is>
          <t>HDFC Bank</t>
        </is>
      </c>
      <c r="M632" s="57" t="inlineStr"/>
    </row>
    <row r="633">
      <c r="A633" s="41" t="n">
        <v>45156</v>
      </c>
      <c r="B633" s="41" t="n">
        <v>45156</v>
      </c>
      <c r="C633" s="42" t="n">
        <v>113.17</v>
      </c>
      <c r="D633" s="42" t="n">
        <v>0</v>
      </c>
      <c r="E633" s="42" t="inlineStr"/>
      <c r="F633" s="42" t="inlineStr">
        <is>
          <t>HDFC Securities - Buy</t>
        </is>
      </c>
      <c r="G633" s="18" t="n">
        <v>0.97</v>
      </c>
      <c r="H633" s="42" t="inlineStr">
        <is>
          <t>HDFC Securities</t>
        </is>
      </c>
      <c r="I633" s="42" t="inlineStr">
        <is>
          <t>HDFC 5413</t>
        </is>
      </c>
      <c r="J633" s="42" t="inlineStr"/>
      <c r="K633" s="42" t="inlineStr">
        <is>
          <t>NET PI TO HSL SEC A/C 2554606-00602340029427</t>
        </is>
      </c>
      <c r="L633" s="42" t="inlineStr">
        <is>
          <t>HDFC Bank</t>
        </is>
      </c>
      <c r="M633" s="42" t="inlineStr"/>
    </row>
    <row r="634">
      <c r="A634" s="41" t="n">
        <v>45159</v>
      </c>
      <c r="B634" s="41" t="n">
        <v>45159</v>
      </c>
      <c r="C634" s="42" t="n">
        <v>339.93</v>
      </c>
      <c r="D634" s="42" t="n">
        <v>0</v>
      </c>
      <c r="E634" s="42" t="inlineStr"/>
      <c r="F634" s="42" t="inlineStr">
        <is>
          <t>HDFC Securities - Buy</t>
        </is>
      </c>
      <c r="G634" s="18" t="n">
        <v>0.97</v>
      </c>
      <c r="H634" s="42" t="inlineStr">
        <is>
          <t>HDFC Securities</t>
        </is>
      </c>
      <c r="I634" s="42" t="inlineStr">
        <is>
          <t>HDFC 5413</t>
        </is>
      </c>
      <c r="J634" s="42" t="inlineStr"/>
      <c r="K634" s="42" t="inlineStr">
        <is>
          <t>NET PI TO HSL SEC A/C 2554606-00602340029427</t>
        </is>
      </c>
      <c r="L634" s="42" t="inlineStr">
        <is>
          <t>HDFC Bank</t>
        </is>
      </c>
      <c r="M634" s="42" t="inlineStr"/>
    </row>
    <row r="635">
      <c r="A635" s="41" t="n">
        <v>45159</v>
      </c>
      <c r="B635" s="41" t="n">
        <v>45159</v>
      </c>
      <c r="C635" s="42" t="n">
        <v>86.56</v>
      </c>
      <c r="D635" s="42" t="n">
        <v>0</v>
      </c>
      <c r="E635" s="42" t="inlineStr"/>
      <c r="F635" s="42" t="inlineStr">
        <is>
          <t>HDFC Securities - Buy</t>
        </is>
      </c>
      <c r="G635" s="18" t="n">
        <v>0.97</v>
      </c>
      <c r="H635" s="42" t="inlineStr">
        <is>
          <t>HDFC Securities</t>
        </is>
      </c>
      <c r="I635" s="42" t="inlineStr">
        <is>
          <t>HDFC 5413</t>
        </is>
      </c>
      <c r="J635" s="42" t="inlineStr"/>
      <c r="K635" s="42" t="inlineStr">
        <is>
          <t>NET PI TO HSL SEC A/C 2554606-00602340029427</t>
        </is>
      </c>
      <c r="L635" s="42" t="inlineStr">
        <is>
          <t>HDFC Bank</t>
        </is>
      </c>
      <c r="M635" s="42" t="inlineStr"/>
    </row>
    <row r="636">
      <c r="A636" s="41" t="n">
        <v>45160</v>
      </c>
      <c r="B636" s="41" t="n">
        <v>45160</v>
      </c>
      <c r="C636" s="42" t="n">
        <v>113.27</v>
      </c>
      <c r="D636" s="42" t="n">
        <v>0</v>
      </c>
      <c r="E636" s="42" t="inlineStr"/>
      <c r="F636" s="42" t="inlineStr">
        <is>
          <t>HDFC Securities - Buy</t>
        </is>
      </c>
      <c r="G636" s="18" t="n">
        <v>0.97</v>
      </c>
      <c r="H636" s="42" t="inlineStr">
        <is>
          <t>HDFC Securities</t>
        </is>
      </c>
      <c r="I636" s="42" t="inlineStr">
        <is>
          <t>HDFC 5413</t>
        </is>
      </c>
      <c r="J636" s="42" t="inlineStr"/>
      <c r="K636" s="42" t="inlineStr">
        <is>
          <t>NET PI TO HSL SEC A/C 2554606-00602340029427</t>
        </is>
      </c>
      <c r="L636" s="42" t="inlineStr">
        <is>
          <t>HDFC Bank</t>
        </is>
      </c>
      <c r="M636" s="42" t="inlineStr"/>
    </row>
    <row r="637">
      <c r="A637" s="41" t="n">
        <v>45160</v>
      </c>
      <c r="B637" s="41" t="n">
        <v>45160</v>
      </c>
      <c r="C637" s="42" t="n">
        <v>118.89</v>
      </c>
      <c r="D637" s="42" t="n">
        <v>0</v>
      </c>
      <c r="E637" s="42" t="inlineStr"/>
      <c r="F637" s="42" t="inlineStr">
        <is>
          <t>HDFC Securities - Buy</t>
        </is>
      </c>
      <c r="G637" s="18" t="n">
        <v>0.97</v>
      </c>
      <c r="H637" s="42" t="inlineStr">
        <is>
          <t>HDFC Securities</t>
        </is>
      </c>
      <c r="I637" s="42" t="inlineStr">
        <is>
          <t>HDFC 5413</t>
        </is>
      </c>
      <c r="J637" s="42" t="inlineStr"/>
      <c r="K637" s="42" t="inlineStr">
        <is>
          <t>NET PI TO HSL SEC A/C 2554606-00602340029427</t>
        </is>
      </c>
      <c r="L637" s="42" t="inlineStr">
        <is>
          <t>HDFC Bank</t>
        </is>
      </c>
      <c r="M637" s="42" t="inlineStr"/>
    </row>
    <row r="638">
      <c r="A638" s="58" t="n">
        <v>45161</v>
      </c>
      <c r="B638" s="58" t="n">
        <v>45161</v>
      </c>
      <c r="C638" s="59" t="n">
        <v>5000</v>
      </c>
      <c r="D638" s="59" t="n">
        <v>0</v>
      </c>
      <c r="E638" s="59" t="inlineStr"/>
      <c r="F638" s="59" t="inlineStr">
        <is>
          <t>MF Investment</t>
        </is>
      </c>
      <c r="G638" s="18" t="n">
        <v>0.9</v>
      </c>
      <c r="H638" s="59" t="inlineStr">
        <is>
          <t>Investments</t>
        </is>
      </c>
      <c r="I638" s="59" t="inlineStr">
        <is>
          <t>HDFC 5413</t>
        </is>
      </c>
      <c r="J638" s="59" t="inlineStr"/>
      <c r="K638" s="59" t="inlineStr">
        <is>
          <t>NET PAYIN TO NSE MF A/C -00990610005906- FROM A/C -50100128155413- UCC -2554606-00990610005906</t>
        </is>
      </c>
      <c r="L638" s="59" t="inlineStr">
        <is>
          <t>HDFC Bank</t>
        </is>
      </c>
      <c r="M638" s="59" t="inlineStr"/>
    </row>
    <row r="639">
      <c r="A639" s="54" t="n">
        <v>45161</v>
      </c>
      <c r="B639" s="54" t="n">
        <v>45161</v>
      </c>
      <c r="C639" s="55" t="n">
        <v>0</v>
      </c>
      <c r="D639" s="55" t="n">
        <v>109.13</v>
      </c>
      <c r="E639" s="55" t="inlineStr"/>
      <c r="F639" s="55" t="inlineStr">
        <is>
          <t>HDFC Securities - Sell</t>
        </is>
      </c>
      <c r="G639" s="18" t="n">
        <v>0.97</v>
      </c>
      <c r="H639" s="55" t="inlineStr">
        <is>
          <t>HDFC Securities</t>
        </is>
      </c>
      <c r="I639" s="55" t="inlineStr">
        <is>
          <t>HDFC 5413</t>
        </is>
      </c>
      <c r="J639" s="55" t="inlineStr"/>
      <c r="K639" s="55" t="inlineStr">
        <is>
          <t>NET PO FROM HSL A/C 2554606-00602340029427</t>
        </is>
      </c>
      <c r="L639" s="55" t="inlineStr">
        <is>
          <t>HDFC Bank</t>
        </is>
      </c>
      <c r="M639" s="55" t="inlineStr"/>
    </row>
    <row r="640">
      <c r="A640" s="41" t="n">
        <v>45161</v>
      </c>
      <c r="B640" s="41" t="n">
        <v>45161</v>
      </c>
      <c r="C640" s="42" t="n">
        <v>7991.11</v>
      </c>
      <c r="D640" s="42" t="n">
        <v>0</v>
      </c>
      <c r="E640" s="42" t="inlineStr"/>
      <c r="F640" s="42" t="inlineStr">
        <is>
          <t>HDFC Securities - Buy</t>
        </is>
      </c>
      <c r="G640" s="18" t="n">
        <v>0.97</v>
      </c>
      <c r="H640" s="42" t="inlineStr">
        <is>
          <t>HDFC Securities</t>
        </is>
      </c>
      <c r="I640" s="42" t="inlineStr">
        <is>
          <t>HDFC 5413</t>
        </is>
      </c>
      <c r="J640" s="42" t="inlineStr"/>
      <c r="K640" s="42" t="inlineStr">
        <is>
          <t>NET PI TO HSL SEC A/C 2554606-00602340029427</t>
        </is>
      </c>
      <c r="L640" s="42" t="inlineStr">
        <is>
          <t>HDFC Bank</t>
        </is>
      </c>
      <c r="M640" s="42" t="inlineStr"/>
    </row>
    <row r="641">
      <c r="A641" s="41" t="n">
        <v>45161</v>
      </c>
      <c r="B641" s="41" t="n">
        <v>45161</v>
      </c>
      <c r="C641" s="42" t="n">
        <v>113.21</v>
      </c>
      <c r="D641" s="42" t="n">
        <v>0</v>
      </c>
      <c r="E641" s="42" t="inlineStr"/>
      <c r="F641" s="42" t="inlineStr">
        <is>
          <t>HDFC Securities - Buy</t>
        </is>
      </c>
      <c r="G641" s="18" t="n">
        <v>0.97</v>
      </c>
      <c r="H641" s="42" t="inlineStr">
        <is>
          <t>HDFC Securities</t>
        </is>
      </c>
      <c r="I641" s="42" t="inlineStr">
        <is>
          <t>HDFC 5413</t>
        </is>
      </c>
      <c r="J641" s="42" t="inlineStr"/>
      <c r="K641" s="42" t="inlineStr">
        <is>
          <t>NET PI TO HSL SEC A/C 2554606-00602340029427</t>
        </is>
      </c>
      <c r="L641" s="42" t="inlineStr">
        <is>
          <t>HDFC Bank</t>
        </is>
      </c>
      <c r="M641" s="42" t="inlineStr"/>
    </row>
    <row r="642">
      <c r="A642" s="41" t="n">
        <v>45162</v>
      </c>
      <c r="B642" s="41" t="n">
        <v>45162</v>
      </c>
      <c r="C642" s="42" t="n">
        <v>98.68000000000001</v>
      </c>
      <c r="D642" s="42" t="n">
        <v>0</v>
      </c>
      <c r="E642" s="42" t="inlineStr"/>
      <c r="F642" s="42" t="inlineStr">
        <is>
          <t>HDFC Securities - Buy</t>
        </is>
      </c>
      <c r="G642" s="18" t="n">
        <v>0.97</v>
      </c>
      <c r="H642" s="42" t="inlineStr">
        <is>
          <t>HDFC Securities</t>
        </is>
      </c>
      <c r="I642" s="42" t="inlineStr">
        <is>
          <t>HDFC 5413</t>
        </is>
      </c>
      <c r="J642" s="42" t="inlineStr"/>
      <c r="K642" s="42" t="inlineStr">
        <is>
          <t>NET PI TO HSL SEC A/C 2554606-00602340029427</t>
        </is>
      </c>
      <c r="L642" s="42" t="inlineStr">
        <is>
          <t>HDFC Bank</t>
        </is>
      </c>
      <c r="M642" s="42" t="inlineStr"/>
    </row>
    <row r="643">
      <c r="A643" s="41" t="n">
        <v>45162</v>
      </c>
      <c r="B643" s="41" t="n">
        <v>45162</v>
      </c>
      <c r="C643" s="42" t="n">
        <v>113.27</v>
      </c>
      <c r="D643" s="42" t="n">
        <v>0</v>
      </c>
      <c r="E643" s="42" t="inlineStr"/>
      <c r="F643" s="42" t="inlineStr">
        <is>
          <t>HDFC Securities - Buy</t>
        </is>
      </c>
      <c r="G643" s="18" t="n">
        <v>0.97</v>
      </c>
      <c r="H643" s="42" t="inlineStr">
        <is>
          <t>HDFC Securities</t>
        </is>
      </c>
      <c r="I643" s="42" t="inlineStr">
        <is>
          <t>HDFC 5413</t>
        </is>
      </c>
      <c r="J643" s="42" t="inlineStr"/>
      <c r="K643" s="42" t="inlineStr">
        <is>
          <t>NET PI TO HSL SEC A/C 2554606-00602340029427</t>
        </is>
      </c>
      <c r="L643" s="42" t="inlineStr">
        <is>
          <t>HDFC Bank</t>
        </is>
      </c>
      <c r="M643" s="42" t="inlineStr"/>
    </row>
    <row r="644">
      <c r="A644" s="26" t="n">
        <v>45162</v>
      </c>
      <c r="B644" s="26" t="n">
        <v>45162</v>
      </c>
      <c r="C644" s="27" t="n">
        <v>0</v>
      </c>
      <c r="D644" s="27" t="n">
        <v>40000</v>
      </c>
      <c r="E644" s="27" t="inlineStr"/>
      <c r="F644" s="27" t="inlineStr">
        <is>
          <t>Received - Ajay Gupta</t>
        </is>
      </c>
      <c r="G644" s="18" t="n">
        <v>0.88</v>
      </c>
      <c r="H644" s="27" t="inlineStr">
        <is>
          <t>Ajay Gupta</t>
        </is>
      </c>
      <c r="I644" s="27" t="inlineStr">
        <is>
          <t>HDFC 5413</t>
        </is>
      </c>
      <c r="J644" s="27" t="inlineStr"/>
      <c r="K644" s="27" t="inlineStr">
        <is>
          <t>01671000085930-TPT-BORROW FROM AKG-AJAY KUMAR GUPTA</t>
        </is>
      </c>
      <c r="L644" s="27" t="inlineStr">
        <is>
          <t>HDFC Bank</t>
        </is>
      </c>
      <c r="M644" s="27" t="inlineStr"/>
    </row>
    <row r="645">
      <c r="A645" s="58" t="n">
        <v>45162</v>
      </c>
      <c r="B645" s="58" t="n">
        <v>45162</v>
      </c>
      <c r="C645" s="59" t="n">
        <v>10000</v>
      </c>
      <c r="D645" s="59" t="n">
        <v>0</v>
      </c>
      <c r="E645" s="59" t="inlineStr"/>
      <c r="F645" s="59" t="inlineStr">
        <is>
          <t>MF Investment</t>
        </is>
      </c>
      <c r="G645" s="18" t="n">
        <v>0.9</v>
      </c>
      <c r="H645" s="59" t="inlineStr">
        <is>
          <t>Investments</t>
        </is>
      </c>
      <c r="I645" s="59" t="inlineStr">
        <is>
          <t>HDFC 5413</t>
        </is>
      </c>
      <c r="J645" s="59" t="inlineStr"/>
      <c r="K645" s="59" t="inlineStr">
        <is>
          <t>NET PAYIN TO BSE MF A/C -57500000389146- FROM A/C -50100128155413- UCC -2554606-57500000389146</t>
        </is>
      </c>
      <c r="L645" s="59" t="inlineStr">
        <is>
          <t>HDFC Bank</t>
        </is>
      </c>
      <c r="M645" s="59" t="inlineStr"/>
    </row>
    <row r="646">
      <c r="A646" s="58" t="n">
        <v>45163</v>
      </c>
      <c r="B646" s="58" t="n">
        <v>45163</v>
      </c>
      <c r="C646" s="59" t="n">
        <v>2500</v>
      </c>
      <c r="D646" s="59" t="n">
        <v>0</v>
      </c>
      <c r="E646" s="59" t="inlineStr"/>
      <c r="F646" s="59" t="inlineStr">
        <is>
          <t>MF Investment</t>
        </is>
      </c>
      <c r="G646" s="18" t="n">
        <v>0.9</v>
      </c>
      <c r="H646" s="59" t="inlineStr">
        <is>
          <t>Investments</t>
        </is>
      </c>
      <c r="I646" s="59" t="inlineStr">
        <is>
          <t>HDFC 5413</t>
        </is>
      </c>
      <c r="J646" s="59" t="inlineStr"/>
      <c r="K646" s="59" t="inlineStr">
        <is>
          <t>NET PAYIN TO BSE MF A/C -57500000389146- FROM A/C -50100128155413- UCC -2554606-57500000389146</t>
        </is>
      </c>
      <c r="L646" s="59" t="inlineStr">
        <is>
          <t>HDFC Bank</t>
        </is>
      </c>
      <c r="M646" s="59" t="inlineStr"/>
    </row>
    <row r="647">
      <c r="A647" s="41" t="n">
        <v>45163</v>
      </c>
      <c r="B647" s="41" t="n">
        <v>45163</v>
      </c>
      <c r="C647" s="42" t="n">
        <v>113.22</v>
      </c>
      <c r="D647" s="42" t="n">
        <v>0</v>
      </c>
      <c r="E647" s="42" t="inlineStr"/>
      <c r="F647" s="42" t="inlineStr">
        <is>
          <t>HDFC Securities - Buy</t>
        </is>
      </c>
      <c r="G647" s="18" t="n">
        <v>0.97</v>
      </c>
      <c r="H647" s="42" t="inlineStr">
        <is>
          <t>HDFC Securities</t>
        </is>
      </c>
      <c r="I647" s="42" t="inlineStr">
        <is>
          <t>HDFC 5413</t>
        </is>
      </c>
      <c r="J647" s="42" t="inlineStr"/>
      <c r="K647" s="42" t="inlineStr">
        <is>
          <t>NET PI TO HSL SEC A/C 2554606-00602340029427</t>
        </is>
      </c>
      <c r="L647" s="42" t="inlineStr">
        <is>
          <t>HDFC Bank</t>
        </is>
      </c>
      <c r="M647" s="42" t="inlineStr"/>
    </row>
    <row r="648">
      <c r="A648" s="41" t="n">
        <v>45163</v>
      </c>
      <c r="B648" s="41" t="n">
        <v>45163</v>
      </c>
      <c r="C648" s="42" t="n">
        <v>241.3</v>
      </c>
      <c r="D648" s="42" t="n">
        <v>0</v>
      </c>
      <c r="E648" s="42" t="inlineStr"/>
      <c r="F648" s="42" t="inlineStr">
        <is>
          <t>HDFC Securities - Buy</t>
        </is>
      </c>
      <c r="G648" s="18" t="n">
        <v>0.97</v>
      </c>
      <c r="H648" s="42" t="inlineStr">
        <is>
          <t>HDFC Securities</t>
        </is>
      </c>
      <c r="I648" s="42" t="inlineStr">
        <is>
          <t>HDFC 5413</t>
        </is>
      </c>
      <c r="J648" s="42" t="inlineStr"/>
      <c r="K648" s="42" t="inlineStr">
        <is>
          <t>NET PI TO HSL SEC A/C 2554606-00602340029427</t>
        </is>
      </c>
      <c r="L648" s="42" t="inlineStr">
        <is>
          <t>HDFC Bank</t>
        </is>
      </c>
      <c r="M648" s="42" t="inlineStr"/>
    </row>
    <row r="649">
      <c r="A649" s="41" t="n">
        <v>45166</v>
      </c>
      <c r="B649" s="41" t="n">
        <v>45166</v>
      </c>
      <c r="C649" s="42" t="n">
        <v>339.3</v>
      </c>
      <c r="D649" s="42" t="n">
        <v>0</v>
      </c>
      <c r="E649" s="42" t="inlineStr"/>
      <c r="F649" s="42" t="inlineStr">
        <is>
          <t>HDFC Securities - Buy</t>
        </is>
      </c>
      <c r="G649" s="18" t="n">
        <v>0.97</v>
      </c>
      <c r="H649" s="42" t="inlineStr">
        <is>
          <t>HDFC Securities</t>
        </is>
      </c>
      <c r="I649" s="42" t="inlineStr">
        <is>
          <t>HDFC 5413</t>
        </is>
      </c>
      <c r="J649" s="42" t="inlineStr"/>
      <c r="K649" s="42" t="inlineStr">
        <is>
          <t>NET PI TO HSL SEC A/C 2554606-00602340029427</t>
        </is>
      </c>
      <c r="L649" s="42" t="inlineStr">
        <is>
          <t>HDFC Bank</t>
        </is>
      </c>
      <c r="M649" s="42" t="inlineStr"/>
    </row>
    <row r="650">
      <c r="A650" s="64" t="n">
        <v>45166</v>
      </c>
      <c r="B650" s="64" t="n">
        <v>45166</v>
      </c>
      <c r="C650" s="65" t="n">
        <v>0</v>
      </c>
      <c r="D650" s="65" t="n">
        <v>18</v>
      </c>
      <c r="E650" s="65" t="inlineStr"/>
      <c r="F650" s="65" t="inlineStr">
        <is>
          <t>Dividend Income</t>
        </is>
      </c>
      <c r="G650" s="18" t="n">
        <v>0.88</v>
      </c>
      <c r="H650" s="65" t="inlineStr">
        <is>
          <t>Dividend Income</t>
        </is>
      </c>
      <c r="I650" s="65" t="inlineStr">
        <is>
          <t>HDFC 5413</t>
        </is>
      </c>
      <c r="J650" s="65" t="inlineStr"/>
      <c r="K650" s="65" t="inlineStr">
        <is>
          <t>ACH C- RELIANCE INDUSTRIES-232932001</t>
        </is>
      </c>
      <c r="L650" s="65" t="inlineStr">
        <is>
          <t>HDFC Bank</t>
        </is>
      </c>
      <c r="M650" s="65" t="inlineStr"/>
    </row>
    <row r="651">
      <c r="A651" s="68" t="n">
        <v>45167</v>
      </c>
      <c r="B651" s="68" t="n">
        <v>45167</v>
      </c>
      <c r="C651" s="69" t="n">
        <v>14040</v>
      </c>
      <c r="D651" s="69" t="n">
        <v>0</v>
      </c>
      <c r="E651" s="69" t="inlineStr"/>
      <c r="F651" s="69" t="inlineStr">
        <is>
          <t>IPO - Aeroflex</t>
        </is>
      </c>
      <c r="G651" s="18" t="n">
        <v>0.92</v>
      </c>
      <c r="H651" s="69" t="inlineStr">
        <is>
          <t>IPO</t>
        </is>
      </c>
      <c r="I651" s="69" t="inlineStr">
        <is>
          <t>HDFC 5413</t>
        </is>
      </c>
      <c r="J651" s="69" t="inlineStr"/>
      <c r="K651" s="69" t="inlineStr">
        <is>
          <t>AEROFLEXG/2400024022124775-50200036338720</t>
        </is>
      </c>
      <c r="L651" s="69" t="inlineStr">
        <is>
          <t>HDFC Bank</t>
        </is>
      </c>
      <c r="M651" s="69" t="inlineStr"/>
    </row>
    <row r="652">
      <c r="A652" s="54" t="n">
        <v>45167</v>
      </c>
      <c r="B652" s="54" t="n">
        <v>45167</v>
      </c>
      <c r="C652" s="55" t="n">
        <v>0</v>
      </c>
      <c r="D652" s="55" t="n">
        <v>243.25</v>
      </c>
      <c r="E652" s="55" t="inlineStr"/>
      <c r="F652" s="55" t="inlineStr">
        <is>
          <t>HDFC Securities - Sell</t>
        </is>
      </c>
      <c r="G652" s="18" t="n">
        <v>0.97</v>
      </c>
      <c r="H652" s="55" t="inlineStr">
        <is>
          <t>HDFC Securities</t>
        </is>
      </c>
      <c r="I652" s="55" t="inlineStr">
        <is>
          <t>HDFC 5413</t>
        </is>
      </c>
      <c r="J652" s="55" t="inlineStr"/>
      <c r="K652" s="55" t="inlineStr">
        <is>
          <t>NET PO FROM HSL A/C 2554606-50200085415108</t>
        </is>
      </c>
      <c r="L652" s="55" t="inlineStr">
        <is>
          <t>HDFC Bank</t>
        </is>
      </c>
      <c r="M652" s="55" t="inlineStr"/>
    </row>
    <row r="653">
      <c r="A653" s="41" t="n">
        <v>45167</v>
      </c>
      <c r="B653" s="41" t="n">
        <v>45167</v>
      </c>
      <c r="C653" s="42" t="n">
        <v>113.1</v>
      </c>
      <c r="D653" s="42" t="n">
        <v>0</v>
      </c>
      <c r="E653" s="42" t="inlineStr"/>
      <c r="F653" s="42" t="inlineStr">
        <is>
          <t>HDFC Securities - Buy</t>
        </is>
      </c>
      <c r="G653" s="18" t="n">
        <v>0.97</v>
      </c>
      <c r="H653" s="42" t="inlineStr">
        <is>
          <t>HDFC Securities</t>
        </is>
      </c>
      <c r="I653" s="42" t="inlineStr">
        <is>
          <t>HDFC 5413</t>
        </is>
      </c>
      <c r="J653" s="42" t="inlineStr"/>
      <c r="K653" s="42" t="inlineStr">
        <is>
          <t>NET PI TO HSL SEC A/C 2554606-00602340029427</t>
        </is>
      </c>
      <c r="L653" s="42" t="inlineStr">
        <is>
          <t>HDFC Bank</t>
        </is>
      </c>
      <c r="M653" s="42" t="inlineStr"/>
    </row>
    <row r="654">
      <c r="A654" s="41" t="n">
        <v>45168</v>
      </c>
      <c r="B654" s="41" t="n">
        <v>45168</v>
      </c>
      <c r="C654" s="42" t="n">
        <v>267.58</v>
      </c>
      <c r="D654" s="42" t="n">
        <v>0</v>
      </c>
      <c r="E654" s="42" t="inlineStr"/>
      <c r="F654" s="42" t="inlineStr">
        <is>
          <t>HDFC Securities - Buy</t>
        </is>
      </c>
      <c r="G654" s="18" t="n">
        <v>0.97</v>
      </c>
      <c r="H654" s="42" t="inlineStr">
        <is>
          <t>HDFC Securities</t>
        </is>
      </c>
      <c r="I654" s="42" t="inlineStr">
        <is>
          <t>HDFC 5413</t>
        </is>
      </c>
      <c r="J654" s="42" t="inlineStr"/>
      <c r="K654" s="42" t="inlineStr">
        <is>
          <t>NET PI TO HSL SEC A/C 2554606-00602340029427</t>
        </is>
      </c>
      <c r="L654" s="42" t="inlineStr">
        <is>
          <t>HDFC Bank</t>
        </is>
      </c>
      <c r="M654" s="42" t="inlineStr"/>
    </row>
    <row r="655">
      <c r="A655" s="41" t="n">
        <v>45168</v>
      </c>
      <c r="B655" s="41" t="n">
        <v>45168</v>
      </c>
      <c r="C655" s="42" t="n">
        <v>113.22</v>
      </c>
      <c r="D655" s="42" t="n">
        <v>0</v>
      </c>
      <c r="E655" s="42" t="inlineStr"/>
      <c r="F655" s="42" t="inlineStr">
        <is>
          <t>HDFC Securities - Buy</t>
        </is>
      </c>
      <c r="G655" s="18" t="n">
        <v>0.97</v>
      </c>
      <c r="H655" s="42" t="inlineStr">
        <is>
          <t>HDFC Securities</t>
        </is>
      </c>
      <c r="I655" s="42" t="inlineStr">
        <is>
          <t>HDFC 5413</t>
        </is>
      </c>
      <c r="J655" s="42" t="inlineStr"/>
      <c r="K655" s="42" t="inlineStr">
        <is>
          <t>NET PI TO HSL SEC A/C 2554606-00602340029427</t>
        </is>
      </c>
      <c r="L655" s="42" t="inlineStr">
        <is>
          <t>HDFC Bank</t>
        </is>
      </c>
      <c r="M655" s="42" t="inlineStr"/>
    </row>
    <row r="656">
      <c r="A656" s="26" t="n">
        <v>45168</v>
      </c>
      <c r="B656" s="26" t="n">
        <v>45168</v>
      </c>
      <c r="C656" s="27" t="n">
        <v>0</v>
      </c>
      <c r="D656" s="27" t="n">
        <v>150000</v>
      </c>
      <c r="E656" s="27" t="inlineStr"/>
      <c r="F656" s="27" t="inlineStr">
        <is>
          <t>Received - Ajay Gupta</t>
        </is>
      </c>
      <c r="G656" s="18" t="n">
        <v>0.88</v>
      </c>
      <c r="H656" s="27" t="inlineStr">
        <is>
          <t>Ajay Gupta</t>
        </is>
      </c>
      <c r="I656" s="27" t="inlineStr">
        <is>
          <t>HDFC 5413</t>
        </is>
      </c>
      <c r="J656" s="27" t="inlineStr"/>
      <c r="K656" s="27" t="inlineStr">
        <is>
          <t>01671000085930-TPT-FROM AKG-AJAY KUMAR GUPTA</t>
        </is>
      </c>
      <c r="L656" s="27" t="inlineStr">
        <is>
          <t>HDFC Bank</t>
        </is>
      </c>
      <c r="M656" s="27" t="inlineStr"/>
    </row>
    <row r="657">
      <c r="A657" s="54" t="n">
        <v>45168</v>
      </c>
      <c r="B657" s="54" t="n">
        <v>45168</v>
      </c>
      <c r="C657" s="55" t="n">
        <v>0</v>
      </c>
      <c r="D657" s="55" t="n">
        <v>176.49</v>
      </c>
      <c r="E657" s="55" t="inlineStr"/>
      <c r="F657" s="55" t="inlineStr">
        <is>
          <t>HDFC Securities - Sell</t>
        </is>
      </c>
      <c r="G657" s="18" t="n">
        <v>0.97</v>
      </c>
      <c r="H657" s="55" t="inlineStr">
        <is>
          <t>HDFC Securities</t>
        </is>
      </c>
      <c r="I657" s="55" t="inlineStr">
        <is>
          <t>HDFC 5413</t>
        </is>
      </c>
      <c r="J657" s="55" t="inlineStr"/>
      <c r="K657" s="55" t="inlineStr">
        <is>
          <t>NET PO FROM HSL A/C 2554606-50200085415108</t>
        </is>
      </c>
      <c r="L657" s="55" t="inlineStr">
        <is>
          <t>HDFC Bank</t>
        </is>
      </c>
      <c r="M657" s="55" t="inlineStr"/>
    </row>
    <row r="658">
      <c r="A658" s="41" t="n">
        <v>45169</v>
      </c>
      <c r="B658" s="41" t="n">
        <v>45169</v>
      </c>
      <c r="C658" s="42" t="n">
        <v>113.17</v>
      </c>
      <c r="D658" s="42" t="n">
        <v>0</v>
      </c>
      <c r="E658" s="42" t="inlineStr"/>
      <c r="F658" s="42" t="inlineStr">
        <is>
          <t>HDFC Securities - Buy</t>
        </is>
      </c>
      <c r="G658" s="18" t="n">
        <v>0.97</v>
      </c>
      <c r="H658" s="42" t="inlineStr">
        <is>
          <t>HDFC Securities</t>
        </is>
      </c>
      <c r="I658" s="42" t="inlineStr">
        <is>
          <t>HDFC 5413</t>
        </is>
      </c>
      <c r="J658" s="42" t="inlineStr"/>
      <c r="K658" s="42" t="inlineStr">
        <is>
          <t>NET PI TO HSL SEC A/C 2554606-00602340029427</t>
        </is>
      </c>
      <c r="L658" s="42" t="inlineStr">
        <is>
          <t>HDFC Bank</t>
        </is>
      </c>
      <c r="M658" s="42" t="inlineStr"/>
    </row>
    <row r="659">
      <c r="A659" s="41" t="n">
        <v>45170</v>
      </c>
      <c r="B659" s="41" t="n">
        <v>45170</v>
      </c>
      <c r="C659" s="42" t="n">
        <v>23580.75</v>
      </c>
      <c r="D659" s="42" t="n">
        <v>0</v>
      </c>
      <c r="E659" s="42" t="inlineStr"/>
      <c r="F659" s="42" t="inlineStr">
        <is>
          <t>HDFC Securities - Buy</t>
        </is>
      </c>
      <c r="G659" s="18" t="n">
        <v>0.97</v>
      </c>
      <c r="H659" s="42" t="inlineStr">
        <is>
          <t>HDFC Securities</t>
        </is>
      </c>
      <c r="I659" s="42" t="inlineStr">
        <is>
          <t>HDFC 5413</t>
        </is>
      </c>
      <c r="J659" s="42" t="inlineStr"/>
      <c r="K659" s="42" t="inlineStr">
        <is>
          <t>NET PI TO HSL SEC A/C 2554606-00602340029427</t>
        </is>
      </c>
      <c r="L659" s="42" t="inlineStr">
        <is>
          <t>HDFC Bank</t>
        </is>
      </c>
      <c r="M659" s="42" t="inlineStr"/>
    </row>
    <row r="660">
      <c r="A660" s="41" t="n">
        <v>45170</v>
      </c>
      <c r="B660" s="41" t="n">
        <v>45170</v>
      </c>
      <c r="C660" s="42" t="n">
        <v>101.54</v>
      </c>
      <c r="D660" s="42" t="n">
        <v>0</v>
      </c>
      <c r="E660" s="42" t="inlineStr"/>
      <c r="F660" s="42" t="inlineStr">
        <is>
          <t>HDFC Securities - Buy</t>
        </is>
      </c>
      <c r="G660" s="18" t="n">
        <v>0.97</v>
      </c>
      <c r="H660" s="42" t="inlineStr">
        <is>
          <t>HDFC Securities</t>
        </is>
      </c>
      <c r="I660" s="42" t="inlineStr">
        <is>
          <t>HDFC 5413</t>
        </is>
      </c>
      <c r="J660" s="42" t="inlineStr"/>
      <c r="K660" s="42" t="inlineStr">
        <is>
          <t>NET PI TO HSL SEC A/C 2554606-00602340029427</t>
        </is>
      </c>
      <c r="L660" s="42" t="inlineStr">
        <is>
          <t>HDFC Bank</t>
        </is>
      </c>
      <c r="M660" s="42" t="inlineStr"/>
    </row>
    <row r="661">
      <c r="A661" s="64" t="n">
        <v>45170</v>
      </c>
      <c r="B661" s="64" t="n">
        <v>45170</v>
      </c>
      <c r="C661" s="65" t="n">
        <v>0</v>
      </c>
      <c r="D661" s="65" t="n">
        <v>45</v>
      </c>
      <c r="E661" s="65" t="inlineStr"/>
      <c r="F661" s="65" t="inlineStr">
        <is>
          <t>Dividend Income</t>
        </is>
      </c>
      <c r="G661" s="18" t="n">
        <v>0.88</v>
      </c>
      <c r="H661" s="65" t="inlineStr">
        <is>
          <t>Dividend Income</t>
        </is>
      </c>
      <c r="I661" s="65" t="inlineStr">
        <is>
          <t>HDFC 5413</t>
        </is>
      </c>
      <c r="J661" s="65" t="inlineStr"/>
      <c r="K661" s="65" t="inlineStr">
        <is>
          <t>ACH C- LIFE INSURANCE CORPO-7028328</t>
        </is>
      </c>
      <c r="L661" s="65" t="inlineStr">
        <is>
          <t>HDFC Bank</t>
        </is>
      </c>
      <c r="M661" s="65" t="inlineStr"/>
    </row>
    <row r="662">
      <c r="A662" s="64" t="n">
        <v>45170</v>
      </c>
      <c r="B662" s="64" t="n">
        <v>45170</v>
      </c>
      <c r="C662" s="65" t="n">
        <v>0</v>
      </c>
      <c r="D662" s="65" t="n">
        <v>120</v>
      </c>
      <c r="E662" s="65" t="inlineStr"/>
      <c r="F662" s="65" t="inlineStr">
        <is>
          <t>Dividend Income</t>
        </is>
      </c>
      <c r="G662" s="18" t="n">
        <v>0.88</v>
      </c>
      <c r="H662" s="65" t="inlineStr">
        <is>
          <t>Dividend Income</t>
        </is>
      </c>
      <c r="I662" s="65" t="inlineStr">
        <is>
          <t>HDFC 5413</t>
        </is>
      </c>
      <c r="J662" s="65" t="inlineStr"/>
      <c r="K662" s="65" t="inlineStr">
        <is>
          <t>ACH C- ICICI BANK LTD.-5894416</t>
        </is>
      </c>
      <c r="L662" s="65" t="inlineStr">
        <is>
          <t>HDFC Bank</t>
        </is>
      </c>
      <c r="M662" s="65" t="inlineStr"/>
    </row>
    <row r="663">
      <c r="A663" s="19" t="n">
        <v>45170</v>
      </c>
      <c r="B663" s="19" t="n">
        <v>45170</v>
      </c>
      <c r="C663" s="20" t="n">
        <v>1</v>
      </c>
      <c r="D663" s="20" t="n">
        <v>1</v>
      </c>
      <c r="E663" s="20" t="inlineStr"/>
      <c r="F663" s="20" t="inlineStr">
        <is>
          <t>Bank Charges</t>
        </is>
      </c>
      <c r="G663" s="18" t="n">
        <v>0.88</v>
      </c>
      <c r="H663" s="20" t="inlineStr">
        <is>
          <t>Bank Charges</t>
        </is>
      </c>
      <c r="I663" s="20" t="inlineStr">
        <is>
          <t>AXIS</t>
        </is>
      </c>
      <c r="J663" s="20" t="inlineStr"/>
      <c r="K663" s="20" t="inlineStr">
        <is>
          <t>SMS Alert Fee</t>
        </is>
      </c>
      <c r="L663" s="20" t="inlineStr">
        <is>
          <t>Axis Bank</t>
        </is>
      </c>
      <c r="M663" s="20" t="inlineStr"/>
    </row>
    <row r="664">
      <c r="A664" s="54" t="n">
        <v>45170</v>
      </c>
      <c r="B664" s="54" t="n">
        <v>45170</v>
      </c>
      <c r="C664" s="55" t="n">
        <v>0</v>
      </c>
      <c r="D664" s="55" t="n">
        <v>156.86</v>
      </c>
      <c r="E664" s="55" t="inlineStr"/>
      <c r="F664" s="55" t="inlineStr">
        <is>
          <t>HDFC Securities - Sell</t>
        </is>
      </c>
      <c r="G664" s="18" t="n">
        <v>0.97</v>
      </c>
      <c r="H664" s="55" t="inlineStr">
        <is>
          <t>HDFC Securities</t>
        </is>
      </c>
      <c r="I664" s="55" t="inlineStr">
        <is>
          <t>HDFC 5413</t>
        </is>
      </c>
      <c r="J664" s="55" t="inlineStr"/>
      <c r="K664" s="55" t="inlineStr">
        <is>
          <t>NET PO FROM HSL A/C 2554606-50200085415108</t>
        </is>
      </c>
      <c r="L664" s="55" t="inlineStr">
        <is>
          <t>HDFC Bank</t>
        </is>
      </c>
      <c r="M664" s="55" t="inlineStr"/>
    </row>
    <row r="665">
      <c r="A665" s="64" t="n">
        <v>45170</v>
      </c>
      <c r="B665" s="64" t="n">
        <v>45170</v>
      </c>
      <c r="C665" s="65" t="n">
        <v>0</v>
      </c>
      <c r="D665" s="65" t="n">
        <v>140</v>
      </c>
      <c r="E665" s="65" t="inlineStr"/>
      <c r="F665" s="65" t="inlineStr">
        <is>
          <t>Dividend Income</t>
        </is>
      </c>
      <c r="G665" s="18" t="n">
        <v>0.88</v>
      </c>
      <c r="H665" s="65" t="inlineStr">
        <is>
          <t>Dividend Income</t>
        </is>
      </c>
      <c r="I665" s="65" t="inlineStr">
        <is>
          <t>HDFC 5413</t>
        </is>
      </c>
      <c r="J665" s="65" t="inlineStr"/>
      <c r="K665" s="65" t="inlineStr">
        <is>
          <t>ACH C- NGLFINECHEMLIMITE-0000IN301549528</t>
        </is>
      </c>
      <c r="L665" s="65" t="inlineStr">
        <is>
          <t>HDFC Bank</t>
        </is>
      </c>
      <c r="M665" s="65" t="inlineStr"/>
    </row>
    <row r="666">
      <c r="A666" s="41" t="n">
        <v>45173</v>
      </c>
      <c r="B666" s="41" t="n">
        <v>45173</v>
      </c>
      <c r="C666" s="42" t="n">
        <v>304.86</v>
      </c>
      <c r="D666" s="42" t="n">
        <v>0</v>
      </c>
      <c r="E666" s="42" t="inlineStr"/>
      <c r="F666" s="42" t="inlineStr">
        <is>
          <t>HDFC Securities - Buy</t>
        </is>
      </c>
      <c r="G666" s="18" t="n">
        <v>0.97</v>
      </c>
      <c r="H666" s="42" t="inlineStr">
        <is>
          <t>HDFC Securities</t>
        </is>
      </c>
      <c r="I666" s="42" t="inlineStr">
        <is>
          <t>HDFC 5413</t>
        </is>
      </c>
      <c r="J666" s="42" t="inlineStr"/>
      <c r="K666" s="42" t="inlineStr">
        <is>
          <t>NET PI TO HSL SEC A/C 2554606-00602340029427</t>
        </is>
      </c>
      <c r="L666" s="42" t="inlineStr">
        <is>
          <t>HDFC Bank</t>
        </is>
      </c>
      <c r="M666" s="42" t="inlineStr"/>
    </row>
    <row r="667">
      <c r="A667" s="64" t="n">
        <v>45173</v>
      </c>
      <c r="B667" s="64" t="n">
        <v>45173</v>
      </c>
      <c r="C667" s="65" t="n">
        <v>0</v>
      </c>
      <c r="D667" s="65" t="n">
        <v>60</v>
      </c>
      <c r="E667" s="65" t="inlineStr"/>
      <c r="F667" s="65" t="inlineStr">
        <is>
          <t>Dividend Income</t>
        </is>
      </c>
      <c r="G667" s="18" t="n">
        <v>0.88</v>
      </c>
      <c r="H667" s="65" t="inlineStr">
        <is>
          <t>Dividend Income</t>
        </is>
      </c>
      <c r="I667" s="65" t="inlineStr">
        <is>
          <t>HDFC 5413</t>
        </is>
      </c>
      <c r="J667" s="65" t="inlineStr"/>
      <c r="K667" s="65" t="inlineStr">
        <is>
          <t>ACH C- DIVISLABORATORIES-000000000000030</t>
        </is>
      </c>
      <c r="L667" s="65" t="inlineStr">
        <is>
          <t>HDFC Bank</t>
        </is>
      </c>
      <c r="M667" s="65" t="inlineStr"/>
    </row>
    <row r="668">
      <c r="A668" s="54" t="n">
        <v>45174</v>
      </c>
      <c r="B668" s="54" t="n">
        <v>45174</v>
      </c>
      <c r="C668" s="55" t="n">
        <v>0</v>
      </c>
      <c r="D668" s="55" t="n">
        <v>3251.46</v>
      </c>
      <c r="E668" s="55" t="inlineStr"/>
      <c r="F668" s="55" t="inlineStr">
        <is>
          <t>HDFC Securities - Sell</t>
        </is>
      </c>
      <c r="G668" s="18" t="n">
        <v>0.97</v>
      </c>
      <c r="H668" s="55" t="inlineStr">
        <is>
          <t>HDFC Securities</t>
        </is>
      </c>
      <c r="I668" s="55" t="inlineStr">
        <is>
          <t>HDFC 5413</t>
        </is>
      </c>
      <c r="J668" s="55" t="inlineStr"/>
      <c r="K668" s="55" t="inlineStr">
        <is>
          <t>NET PO FROM HSL A/C 2554606-50200085415108</t>
        </is>
      </c>
      <c r="L668" s="55" t="inlineStr">
        <is>
          <t>HDFC Bank</t>
        </is>
      </c>
      <c r="M668" s="55" t="inlineStr"/>
    </row>
    <row r="669">
      <c r="A669" s="41" t="n">
        <v>45174</v>
      </c>
      <c r="B669" s="41" t="n">
        <v>45174</v>
      </c>
      <c r="C669" s="42" t="n">
        <v>101.62</v>
      </c>
      <c r="D669" s="42" t="n">
        <v>0</v>
      </c>
      <c r="E669" s="42" t="inlineStr"/>
      <c r="F669" s="42" t="inlineStr">
        <is>
          <t>HDFC Securities - Buy</t>
        </is>
      </c>
      <c r="G669" s="18" t="n">
        <v>0.97</v>
      </c>
      <c r="H669" s="42" t="inlineStr">
        <is>
          <t>HDFC Securities</t>
        </is>
      </c>
      <c r="I669" s="42" t="inlineStr">
        <is>
          <t>HDFC 5413</t>
        </is>
      </c>
      <c r="J669" s="42" t="inlineStr"/>
      <c r="K669" s="42" t="inlineStr">
        <is>
          <t>NET PI TO HSL SEC A/C 2554606-00602340029427</t>
        </is>
      </c>
      <c r="L669" s="42" t="inlineStr">
        <is>
          <t>HDFC Bank</t>
        </is>
      </c>
      <c r="M669" s="42" t="inlineStr"/>
    </row>
    <row r="670">
      <c r="A670" s="64" t="n">
        <v>45174</v>
      </c>
      <c r="B670" s="64" t="n">
        <v>45174</v>
      </c>
      <c r="C670" s="65" t="n">
        <v>0</v>
      </c>
      <c r="D670" s="65" t="n">
        <v>80</v>
      </c>
      <c r="E670" s="65" t="inlineStr"/>
      <c r="F670" s="65" t="inlineStr">
        <is>
          <t>Dividend Income</t>
        </is>
      </c>
      <c r="G670" s="18" t="n">
        <v>0.88</v>
      </c>
      <c r="H670" s="65" t="inlineStr">
        <is>
          <t>Dividend Income</t>
        </is>
      </c>
      <c r="I670" s="65" t="inlineStr">
        <is>
          <t>HDFC 5413</t>
        </is>
      </c>
      <c r="J670" s="65" t="inlineStr"/>
      <c r="K670" s="65" t="inlineStr">
        <is>
          <t>ACH C- BHARAT PETROLEUM COR-BPCLIN301549</t>
        </is>
      </c>
      <c r="L670" s="65" t="inlineStr">
        <is>
          <t>HDFC Bank</t>
        </is>
      </c>
      <c r="M670" s="65" t="inlineStr"/>
    </row>
    <row r="671">
      <c r="A671" s="64" t="n">
        <v>45174</v>
      </c>
      <c r="B671" s="64" t="n">
        <v>45174</v>
      </c>
      <c r="C671" s="65" t="n">
        <v>0</v>
      </c>
      <c r="D671" s="65" t="n">
        <v>459</v>
      </c>
      <c r="E671" s="65" t="inlineStr"/>
      <c r="F671" s="65" t="inlineStr">
        <is>
          <t>Dividend Income</t>
        </is>
      </c>
      <c r="G671" s="18" t="n">
        <v>0.85</v>
      </c>
      <c r="H671" s="65" t="inlineStr">
        <is>
          <t>Dividend Income</t>
        </is>
      </c>
      <c r="I671" s="65" t="inlineStr">
        <is>
          <t>HDFC 5413</t>
        </is>
      </c>
      <c r="J671" s="65" t="inlineStr"/>
      <c r="K671" s="65" t="inlineStr">
        <is>
          <t>INFO EDGE DIV22 2300000000000000038172</t>
        </is>
      </c>
      <c r="L671" s="65" t="inlineStr">
        <is>
          <t>HDFC Bank</t>
        </is>
      </c>
      <c r="M671" s="65" t="inlineStr"/>
    </row>
    <row r="672">
      <c r="A672" s="54" t="n">
        <v>45175</v>
      </c>
      <c r="B672" s="54" t="n">
        <v>45175</v>
      </c>
      <c r="C672" s="55" t="n">
        <v>0</v>
      </c>
      <c r="D672" s="55" t="n">
        <v>3377.75</v>
      </c>
      <c r="E672" s="55" t="inlineStr"/>
      <c r="F672" s="55" t="inlineStr">
        <is>
          <t>HDFC Securities - Sell</t>
        </is>
      </c>
      <c r="G672" s="18" t="n">
        <v>0.97</v>
      </c>
      <c r="H672" s="55" t="inlineStr">
        <is>
          <t>HDFC Securities</t>
        </is>
      </c>
      <c r="I672" s="55" t="inlineStr">
        <is>
          <t>HDFC 5413</t>
        </is>
      </c>
      <c r="J672" s="55" t="inlineStr"/>
      <c r="K672" s="55" t="inlineStr">
        <is>
          <t>NET PO FROM HSL A/C 2554606-50200085415108</t>
        </is>
      </c>
      <c r="L672" s="55" t="inlineStr">
        <is>
          <t>HDFC Bank</t>
        </is>
      </c>
      <c r="M672" s="55" t="inlineStr"/>
    </row>
    <row r="673">
      <c r="A673" s="41" t="n">
        <v>45175</v>
      </c>
      <c r="B673" s="41" t="n">
        <v>45175</v>
      </c>
      <c r="C673" s="42" t="n">
        <v>100.05</v>
      </c>
      <c r="D673" s="42" t="n">
        <v>0</v>
      </c>
      <c r="E673" s="42" t="inlineStr"/>
      <c r="F673" s="42" t="inlineStr">
        <is>
          <t>HDFC Securities - Buy</t>
        </is>
      </c>
      <c r="G673" s="18" t="n">
        <v>0.97</v>
      </c>
      <c r="H673" s="42" t="inlineStr">
        <is>
          <t>HDFC Securities</t>
        </is>
      </c>
      <c r="I673" s="42" t="inlineStr">
        <is>
          <t>HDFC 5413</t>
        </is>
      </c>
      <c r="J673" s="42" t="inlineStr"/>
      <c r="K673" s="42" t="inlineStr">
        <is>
          <t>NET PI TO HSL SEC A/C 2554606-00602340029427</t>
        </is>
      </c>
      <c r="L673" s="42" t="inlineStr">
        <is>
          <t>HDFC Bank</t>
        </is>
      </c>
      <c r="M673" s="42" t="inlineStr"/>
    </row>
    <row r="674">
      <c r="A674" s="41" t="n">
        <v>45175</v>
      </c>
      <c r="B674" s="41" t="n">
        <v>45175</v>
      </c>
      <c r="C674" s="42" t="n">
        <v>9173.620000000001</v>
      </c>
      <c r="D674" s="42" t="n">
        <v>0</v>
      </c>
      <c r="E674" s="42" t="inlineStr"/>
      <c r="F674" s="42" t="inlineStr">
        <is>
          <t>HDFC Securities - Buy</t>
        </is>
      </c>
      <c r="G674" s="18" t="n">
        <v>0.97</v>
      </c>
      <c r="H674" s="42" t="inlineStr">
        <is>
          <t>HDFC Securities</t>
        </is>
      </c>
      <c r="I674" s="42" t="inlineStr">
        <is>
          <t>HDFC 5413</t>
        </is>
      </c>
      <c r="J674" s="42" t="inlineStr"/>
      <c r="K674" s="42" t="inlineStr">
        <is>
          <t>NET PI TO HSL SEC A/C 2554606-00602340029427</t>
        </is>
      </c>
      <c r="L674" s="42" t="inlineStr">
        <is>
          <t>HDFC Bank</t>
        </is>
      </c>
      <c r="M674" s="42" t="inlineStr"/>
    </row>
    <row r="675">
      <c r="A675" s="41" t="n">
        <v>45176</v>
      </c>
      <c r="B675" s="41" t="n">
        <v>45176</v>
      </c>
      <c r="C675" s="42" t="n">
        <v>93.76000000000001</v>
      </c>
      <c r="D675" s="42" t="n">
        <v>0</v>
      </c>
      <c r="E675" s="42" t="inlineStr"/>
      <c r="F675" s="42" t="inlineStr">
        <is>
          <t>HDFC Securities - Buy</t>
        </is>
      </c>
      <c r="G675" s="18" t="n">
        <v>0.97</v>
      </c>
      <c r="H675" s="42" t="inlineStr">
        <is>
          <t>HDFC Securities</t>
        </is>
      </c>
      <c r="I675" s="42" t="inlineStr">
        <is>
          <t>HDFC 5413</t>
        </is>
      </c>
      <c r="J675" s="42" t="inlineStr"/>
      <c r="K675" s="42" t="inlineStr">
        <is>
          <t>NET PI TO HSL SEC A/C 2554606-00602340029427</t>
        </is>
      </c>
      <c r="L675" s="42" t="inlineStr">
        <is>
          <t>HDFC Bank</t>
        </is>
      </c>
      <c r="M675" s="42" t="inlineStr"/>
    </row>
    <row r="676">
      <c r="A676" s="64" t="n">
        <v>45176</v>
      </c>
      <c r="B676" s="64" t="n">
        <v>45176</v>
      </c>
      <c r="C676" s="65" t="n">
        <v>0</v>
      </c>
      <c r="D676" s="65" t="n">
        <v>100</v>
      </c>
      <c r="E676" s="65" t="inlineStr"/>
      <c r="F676" s="65" t="inlineStr">
        <is>
          <t>Dividend Income</t>
        </is>
      </c>
      <c r="G676" s="18" t="n">
        <v>0.88</v>
      </c>
      <c r="H676" s="65" t="inlineStr">
        <is>
          <t>Dividend Income</t>
        </is>
      </c>
      <c r="I676" s="65" t="inlineStr">
        <is>
          <t>HDFC 5413</t>
        </is>
      </c>
      <c r="J676" s="65" t="inlineStr"/>
      <c r="K676" s="65" t="inlineStr">
        <is>
          <t>ACH C- INDIANENERGYEXCHAN-00000000000005</t>
        </is>
      </c>
      <c r="L676" s="65" t="inlineStr">
        <is>
          <t>HDFC Bank</t>
        </is>
      </c>
      <c r="M676" s="65" t="inlineStr"/>
    </row>
    <row r="677">
      <c r="A677" s="23" t="n">
        <v>45176</v>
      </c>
      <c r="B677" s="23" t="n">
        <v>45176</v>
      </c>
      <c r="C677" s="24" t="n">
        <v>0</v>
      </c>
      <c r="D677" s="24" t="n">
        <v>1880</v>
      </c>
      <c r="E677" s="24" t="inlineStr"/>
      <c r="F677" s="24" t="inlineStr">
        <is>
          <t>What is this?</t>
        </is>
      </c>
      <c r="G677" s="25" t="n">
        <v>0</v>
      </c>
      <c r="H677" s="24" t="inlineStr">
        <is>
          <t>Suspense</t>
        </is>
      </c>
      <c r="I677" s="24" t="inlineStr">
        <is>
          <t>HDFC 5413</t>
        </is>
      </c>
      <c r="J677" s="24" t="inlineStr"/>
      <c r="K677" s="24" t="inlineStr">
        <is>
          <t>00602300000434-023562798</t>
        </is>
      </c>
      <c r="L677" s="24" t="inlineStr">
        <is>
          <t>HDFC Bank</t>
        </is>
      </c>
      <c r="M677" s="24" t="inlineStr"/>
    </row>
    <row r="678">
      <c r="A678" s="41" t="n">
        <v>45177</v>
      </c>
      <c r="B678" s="41" t="n">
        <v>45177</v>
      </c>
      <c r="C678" s="42" t="n">
        <v>93.76000000000001</v>
      </c>
      <c r="D678" s="42" t="n">
        <v>0</v>
      </c>
      <c r="E678" s="42" t="inlineStr"/>
      <c r="F678" s="42" t="inlineStr">
        <is>
          <t>HDFC Securities - Buy</t>
        </is>
      </c>
      <c r="G678" s="18" t="n">
        <v>0.97</v>
      </c>
      <c r="H678" s="42" t="inlineStr">
        <is>
          <t>HDFC Securities</t>
        </is>
      </c>
      <c r="I678" s="42" t="inlineStr">
        <is>
          <t>HDFC 5413</t>
        </is>
      </c>
      <c r="J678" s="42" t="inlineStr"/>
      <c r="K678" s="42" t="inlineStr">
        <is>
          <t>NET PI TO HSL SEC A/C 2554606-00602340029427</t>
        </is>
      </c>
      <c r="L678" s="42" t="inlineStr">
        <is>
          <t>HDFC Bank</t>
        </is>
      </c>
      <c r="M678" s="42" t="inlineStr"/>
    </row>
    <row r="679">
      <c r="A679" s="54" t="n">
        <v>45177</v>
      </c>
      <c r="B679" s="54" t="n">
        <v>45177</v>
      </c>
      <c r="C679" s="55" t="n">
        <v>0</v>
      </c>
      <c r="D679" s="55" t="n">
        <v>281.98</v>
      </c>
      <c r="E679" s="55" t="inlineStr"/>
      <c r="F679" s="55" t="inlineStr">
        <is>
          <t>HDFC Securities - Sell</t>
        </is>
      </c>
      <c r="G679" s="18" t="n">
        <v>0.97</v>
      </c>
      <c r="H679" s="55" t="inlineStr">
        <is>
          <t>HDFC Securities</t>
        </is>
      </c>
      <c r="I679" s="55" t="inlineStr">
        <is>
          <t>HDFC 5413</t>
        </is>
      </c>
      <c r="J679" s="55" t="inlineStr"/>
      <c r="K679" s="55" t="inlineStr">
        <is>
          <t>NET PO FROM HSL A/C 2554606-50200085415108</t>
        </is>
      </c>
      <c r="L679" s="55" t="inlineStr">
        <is>
          <t>HDFC Bank</t>
        </is>
      </c>
      <c r="M679" s="55" t="inlineStr"/>
    </row>
    <row r="680">
      <c r="A680" s="41" t="n">
        <v>45180</v>
      </c>
      <c r="B680" s="41" t="n">
        <v>45180</v>
      </c>
      <c r="C680" s="42" t="n">
        <v>32347.65</v>
      </c>
      <c r="D680" s="42" t="n">
        <v>0</v>
      </c>
      <c r="E680" s="42" t="inlineStr"/>
      <c r="F680" s="42" t="inlineStr">
        <is>
          <t>HDFC Securities - Buy</t>
        </is>
      </c>
      <c r="G680" s="18" t="n">
        <v>0.97</v>
      </c>
      <c r="H680" s="42" t="inlineStr">
        <is>
          <t>HDFC Securities</t>
        </is>
      </c>
      <c r="I680" s="42" t="inlineStr">
        <is>
          <t>HDFC 5413</t>
        </is>
      </c>
      <c r="J680" s="42" t="inlineStr"/>
      <c r="K680" s="42" t="inlineStr">
        <is>
          <t>NET PI TO HSL SEC A/C 2554606-00602340029427</t>
        </is>
      </c>
      <c r="L680" s="42" t="inlineStr">
        <is>
          <t>HDFC Bank</t>
        </is>
      </c>
      <c r="M680" s="42" t="inlineStr"/>
    </row>
    <row r="681">
      <c r="A681" s="41" t="n">
        <v>45180</v>
      </c>
      <c r="B681" s="41" t="n">
        <v>45180</v>
      </c>
      <c r="C681" s="42" t="n">
        <v>50678.87</v>
      </c>
      <c r="D681" s="42" t="n">
        <v>0</v>
      </c>
      <c r="E681" s="42" t="inlineStr"/>
      <c r="F681" s="42" t="inlineStr">
        <is>
          <t>HDFC Securities - Buy</t>
        </is>
      </c>
      <c r="G681" s="18" t="n">
        <v>0.97</v>
      </c>
      <c r="H681" s="42" t="inlineStr">
        <is>
          <t>HDFC Securities</t>
        </is>
      </c>
      <c r="I681" s="42" t="inlineStr">
        <is>
          <t>HDFC 5413</t>
        </is>
      </c>
      <c r="J681" s="42" t="inlineStr"/>
      <c r="K681" s="42" t="inlineStr">
        <is>
          <t>NET PI TO HSL SEC A/C 2554606-00602340029427</t>
        </is>
      </c>
      <c r="L681" s="42" t="inlineStr">
        <is>
          <t>HDFC Bank</t>
        </is>
      </c>
      <c r="M681" s="42" t="inlineStr"/>
    </row>
    <row r="682">
      <c r="A682" s="19" t="n">
        <v>45180</v>
      </c>
      <c r="B682" s="19" t="n">
        <v>45180</v>
      </c>
      <c r="C682" s="20" t="n">
        <v>295</v>
      </c>
      <c r="D682" s="20" t="n">
        <v>0</v>
      </c>
      <c r="E682" s="20" t="inlineStr"/>
      <c r="F682" s="20" t="inlineStr">
        <is>
          <t>Bank Charges</t>
        </is>
      </c>
      <c r="G682" s="18" t="n">
        <v>0.9</v>
      </c>
      <c r="H682" s="20" t="inlineStr">
        <is>
          <t>Bank Charges</t>
        </is>
      </c>
      <c r="I682" s="20" t="inlineStr">
        <is>
          <t>HDFC 5413</t>
        </is>
      </c>
      <c r="J682" s="20" t="inlineStr"/>
      <c r="K682" s="20" t="inlineStr">
        <is>
          <t>ISAQMC-JAN-MAR23-417944 310723-MIR2425184892270</t>
        </is>
      </c>
      <c r="L682" s="20" t="inlineStr">
        <is>
          <t>HDFC Bank</t>
        </is>
      </c>
      <c r="M682" s="20" t="inlineStr"/>
    </row>
    <row r="683">
      <c r="A683" s="41" t="n">
        <v>45180</v>
      </c>
      <c r="B683" s="41" t="n">
        <v>45180</v>
      </c>
      <c r="C683" s="42" t="n">
        <v>281.7</v>
      </c>
      <c r="D683" s="42" t="n">
        <v>0</v>
      </c>
      <c r="E683" s="42" t="inlineStr"/>
      <c r="F683" s="42" t="inlineStr">
        <is>
          <t>HDFC Securities - Buy</t>
        </is>
      </c>
      <c r="G683" s="18" t="n">
        <v>0.97</v>
      </c>
      <c r="H683" s="42" t="inlineStr">
        <is>
          <t>HDFC Securities</t>
        </is>
      </c>
      <c r="I683" s="42" t="inlineStr">
        <is>
          <t>HDFC 5413</t>
        </is>
      </c>
      <c r="J683" s="42" t="inlineStr"/>
      <c r="K683" s="42" t="inlineStr">
        <is>
          <t>NET PI TO HSL SEC A/C 2554606-00602340029427</t>
        </is>
      </c>
      <c r="L683" s="42" t="inlineStr">
        <is>
          <t>HDFC Bank</t>
        </is>
      </c>
      <c r="M683" s="42" t="inlineStr"/>
    </row>
    <row r="684">
      <c r="A684" s="58" t="n">
        <v>45180</v>
      </c>
      <c r="B684" s="58" t="n">
        <v>45180</v>
      </c>
      <c r="C684" s="59" t="n">
        <v>3000</v>
      </c>
      <c r="D684" s="59" t="n">
        <v>0</v>
      </c>
      <c r="E684" s="59" t="inlineStr"/>
      <c r="F684" s="59" t="inlineStr">
        <is>
          <t>MF Investment</t>
        </is>
      </c>
      <c r="G684" s="18" t="n">
        <v>0.9</v>
      </c>
      <c r="H684" s="59" t="inlineStr">
        <is>
          <t>Investments</t>
        </is>
      </c>
      <c r="I684" s="59" t="inlineStr">
        <is>
          <t>HDFC 5413</t>
        </is>
      </c>
      <c r="J684" s="59" t="inlineStr"/>
      <c r="K684" s="59" t="inlineStr">
        <is>
          <t>NET PAYIN TO BSE MF A/C -57500000389146- FROM A/C -50100128155413- UCC -2554606-57500000389146</t>
        </is>
      </c>
      <c r="L684" s="59" t="inlineStr">
        <is>
          <t>HDFC Bank</t>
        </is>
      </c>
      <c r="M684" s="59" t="inlineStr"/>
    </row>
    <row r="685">
      <c r="A685" s="54" t="n">
        <v>45180</v>
      </c>
      <c r="B685" s="54" t="n">
        <v>45180</v>
      </c>
      <c r="C685" s="55" t="n">
        <v>0</v>
      </c>
      <c r="D685" s="55" t="n">
        <v>160.02</v>
      </c>
      <c r="E685" s="55" t="inlineStr"/>
      <c r="F685" s="55" t="inlineStr">
        <is>
          <t>HDFC Securities - Sell</t>
        </is>
      </c>
      <c r="G685" s="18" t="n">
        <v>0.97</v>
      </c>
      <c r="H685" s="55" t="inlineStr">
        <is>
          <t>HDFC Securities</t>
        </is>
      </c>
      <c r="I685" s="55" t="inlineStr">
        <is>
          <t>HDFC 5413</t>
        </is>
      </c>
      <c r="J685" s="55" t="inlineStr"/>
      <c r="K685" s="55" t="inlineStr">
        <is>
          <t>NET PO FROM HSL A/C 2554606-50200085415108</t>
        </is>
      </c>
      <c r="L685" s="55" t="inlineStr">
        <is>
          <t>HDFC Bank</t>
        </is>
      </c>
      <c r="M685" s="55" t="inlineStr"/>
    </row>
    <row r="686">
      <c r="A686" s="41" t="n">
        <v>45181</v>
      </c>
      <c r="B686" s="41" t="n">
        <v>45181</v>
      </c>
      <c r="C686" s="42" t="n">
        <v>56.49</v>
      </c>
      <c r="D686" s="42" t="n">
        <v>0</v>
      </c>
      <c r="E686" s="42" t="inlineStr"/>
      <c r="F686" s="42" t="inlineStr">
        <is>
          <t>HDFC Securities - Buy</t>
        </is>
      </c>
      <c r="G686" s="18" t="n">
        <v>0.97</v>
      </c>
      <c r="H686" s="42" t="inlineStr">
        <is>
          <t>HDFC Securities</t>
        </is>
      </c>
      <c r="I686" s="42" t="inlineStr">
        <is>
          <t>HDFC 5413</t>
        </is>
      </c>
      <c r="J686" s="42" t="inlineStr"/>
      <c r="K686" s="42" t="inlineStr">
        <is>
          <t>NET PI TO HSL SEC A/C 2554606-00602340029427</t>
        </is>
      </c>
      <c r="L686" s="42" t="inlineStr">
        <is>
          <t>HDFC Bank</t>
        </is>
      </c>
      <c r="M686" s="42" t="inlineStr"/>
    </row>
    <row r="687">
      <c r="A687" s="41" t="n">
        <v>45181</v>
      </c>
      <c r="B687" s="41" t="n">
        <v>45181</v>
      </c>
      <c r="C687" s="42" t="n">
        <v>68.98999999999999</v>
      </c>
      <c r="D687" s="42" t="n">
        <v>0</v>
      </c>
      <c r="E687" s="42" t="inlineStr"/>
      <c r="F687" s="42" t="inlineStr">
        <is>
          <t>HDFC Securities - Buy</t>
        </is>
      </c>
      <c r="G687" s="18" t="n">
        <v>0.97</v>
      </c>
      <c r="H687" s="42" t="inlineStr">
        <is>
          <t>HDFC Securities</t>
        </is>
      </c>
      <c r="I687" s="42" t="inlineStr">
        <is>
          <t>HDFC 5413</t>
        </is>
      </c>
      <c r="J687" s="42" t="inlineStr"/>
      <c r="K687" s="42" t="inlineStr">
        <is>
          <t>NET PI TO HSL SEC A/C 2554606-00602340029427</t>
        </is>
      </c>
      <c r="L687" s="42" t="inlineStr">
        <is>
          <t>HDFC Bank</t>
        </is>
      </c>
      <c r="M687" s="42" t="inlineStr"/>
    </row>
    <row r="688">
      <c r="A688" s="41" t="n">
        <v>45181</v>
      </c>
      <c r="B688" s="41" t="n">
        <v>45181</v>
      </c>
      <c r="C688" s="42" t="n">
        <v>18742.47</v>
      </c>
      <c r="D688" s="42" t="n">
        <v>0</v>
      </c>
      <c r="E688" s="42" t="inlineStr"/>
      <c r="F688" s="42" t="inlineStr">
        <is>
          <t>HDFC Securities - Buy</t>
        </is>
      </c>
      <c r="G688" s="18" t="n">
        <v>0.97</v>
      </c>
      <c r="H688" s="42" t="inlineStr">
        <is>
          <t>HDFC Securities</t>
        </is>
      </c>
      <c r="I688" s="42" t="inlineStr">
        <is>
          <t>HDFC 5413</t>
        </is>
      </c>
      <c r="J688" s="42" t="inlineStr"/>
      <c r="K688" s="42" t="inlineStr">
        <is>
          <t>NET PI TO HSL SEC A/C 2554606-00602340029427</t>
        </is>
      </c>
      <c r="L688" s="42" t="inlineStr">
        <is>
          <t>HDFC Bank</t>
        </is>
      </c>
      <c r="M688" s="42" t="inlineStr"/>
    </row>
    <row r="689">
      <c r="A689" s="41" t="n">
        <v>45181</v>
      </c>
      <c r="B689" s="41" t="n">
        <v>45181</v>
      </c>
      <c r="C689" s="42" t="n">
        <v>8141.8</v>
      </c>
      <c r="D689" s="42" t="n">
        <v>0</v>
      </c>
      <c r="E689" s="42" t="inlineStr"/>
      <c r="F689" s="42" t="inlineStr">
        <is>
          <t>HDFC Securities - Buy</t>
        </is>
      </c>
      <c r="G689" s="18" t="n">
        <v>0.97</v>
      </c>
      <c r="H689" s="42" t="inlineStr">
        <is>
          <t>HDFC Securities</t>
        </is>
      </c>
      <c r="I689" s="42" t="inlineStr">
        <is>
          <t>HDFC 5413</t>
        </is>
      </c>
      <c r="J689" s="42" t="inlineStr"/>
      <c r="K689" s="42" t="inlineStr">
        <is>
          <t>NET PI TO HSL SEC A/C 2554606-00602340029427</t>
        </is>
      </c>
      <c r="L689" s="42" t="inlineStr">
        <is>
          <t>HDFC Bank</t>
        </is>
      </c>
      <c r="M689" s="42" t="inlineStr"/>
    </row>
    <row r="690">
      <c r="A690" s="26" t="n">
        <v>45182</v>
      </c>
      <c r="B690" s="26" t="n">
        <v>45182</v>
      </c>
      <c r="C690" s="27" t="n">
        <v>0</v>
      </c>
      <c r="D690" s="27" t="n">
        <v>200000</v>
      </c>
      <c r="E690" s="27" t="inlineStr"/>
      <c r="F690" s="27" t="inlineStr">
        <is>
          <t>Received - Ajay Gupta</t>
        </is>
      </c>
      <c r="G690" s="18" t="n">
        <v>0.88</v>
      </c>
      <c r="H690" s="27" t="inlineStr">
        <is>
          <t>Ajay Gupta</t>
        </is>
      </c>
      <c r="I690" s="27" t="inlineStr">
        <is>
          <t>HDFC 5413</t>
        </is>
      </c>
      <c r="J690" s="27" t="inlineStr"/>
      <c r="K690" s="27" t="inlineStr">
        <is>
          <t>01671000085930-TPT-FROM AKG-AJAY KUMAR GUPTA</t>
        </is>
      </c>
      <c r="L690" s="27" t="inlineStr">
        <is>
          <t>HDFC Bank</t>
        </is>
      </c>
      <c r="M690" s="27" t="inlineStr"/>
    </row>
    <row r="691">
      <c r="A691" s="41" t="n">
        <v>45182</v>
      </c>
      <c r="B691" s="41" t="n">
        <v>45182</v>
      </c>
      <c r="C691" s="42" t="n">
        <v>79.7</v>
      </c>
      <c r="D691" s="42" t="n">
        <v>0</v>
      </c>
      <c r="E691" s="42" t="inlineStr"/>
      <c r="F691" s="42" t="inlineStr">
        <is>
          <t>HDFC Securities - Buy</t>
        </is>
      </c>
      <c r="G691" s="18" t="n">
        <v>0.97</v>
      </c>
      <c r="H691" s="42" t="inlineStr">
        <is>
          <t>HDFC Securities</t>
        </is>
      </c>
      <c r="I691" s="42" t="inlineStr">
        <is>
          <t>HDFC 5413</t>
        </is>
      </c>
      <c r="J691" s="42" t="inlineStr"/>
      <c r="K691" s="42" t="inlineStr">
        <is>
          <t>NET PI TO HSL SEC A/C 2554606-00602340029427</t>
        </is>
      </c>
      <c r="L691" s="42" t="inlineStr">
        <is>
          <t>HDFC Bank</t>
        </is>
      </c>
      <c r="M691" s="42" t="inlineStr"/>
    </row>
    <row r="692">
      <c r="A692" s="41" t="n">
        <v>45182</v>
      </c>
      <c r="B692" s="41" t="n">
        <v>45182</v>
      </c>
      <c r="C692" s="42" t="n">
        <v>99405.5</v>
      </c>
      <c r="D692" s="42" t="n">
        <v>0</v>
      </c>
      <c r="E692" s="42" t="inlineStr"/>
      <c r="F692" s="42" t="inlineStr">
        <is>
          <t>HDFC Securities - Buy</t>
        </is>
      </c>
      <c r="G692" s="18" t="n">
        <v>0.97</v>
      </c>
      <c r="H692" s="42" t="inlineStr">
        <is>
          <t>HDFC Securities</t>
        </is>
      </c>
      <c r="I692" s="42" t="inlineStr">
        <is>
          <t>HDFC 5413</t>
        </is>
      </c>
      <c r="J692" s="42" t="inlineStr"/>
      <c r="K692" s="42" t="inlineStr">
        <is>
          <t>NET PI TO HSL SEC A/C 2554606-00602340029427</t>
        </is>
      </c>
      <c r="L692" s="42" t="inlineStr">
        <is>
          <t>HDFC Bank</t>
        </is>
      </c>
      <c r="M692" s="42" t="inlineStr"/>
    </row>
    <row r="693">
      <c r="A693" s="58" t="n">
        <v>45183</v>
      </c>
      <c r="B693" s="58" t="n">
        <v>45183</v>
      </c>
      <c r="C693" s="59" t="n">
        <v>3000</v>
      </c>
      <c r="D693" s="59" t="n">
        <v>0</v>
      </c>
      <c r="E693" s="59" t="inlineStr"/>
      <c r="F693" s="59" t="inlineStr">
        <is>
          <t>MF Investment</t>
        </is>
      </c>
      <c r="G693" s="18" t="n">
        <v>0.9</v>
      </c>
      <c r="H693" s="59" t="inlineStr">
        <is>
          <t>Investments</t>
        </is>
      </c>
      <c r="I693" s="59" t="inlineStr">
        <is>
          <t>HDFC 5413</t>
        </is>
      </c>
      <c r="J693" s="59" t="inlineStr"/>
      <c r="K693" s="59" t="inlineStr">
        <is>
          <t>NET PAYIN TO NSE MF A/C -00990610005906- FROM A/C -50100128155413- UCC -2554606-00990610005906</t>
        </is>
      </c>
      <c r="L693" s="59" t="inlineStr">
        <is>
          <t>HDFC Bank</t>
        </is>
      </c>
      <c r="M693" s="59" t="inlineStr"/>
    </row>
    <row r="694">
      <c r="A694" s="41" t="n">
        <v>45183</v>
      </c>
      <c r="B694" s="41" t="n">
        <v>45183</v>
      </c>
      <c r="C694" s="42" t="n">
        <v>338.47</v>
      </c>
      <c r="D694" s="42" t="n">
        <v>0</v>
      </c>
      <c r="E694" s="42" t="inlineStr"/>
      <c r="F694" s="42" t="inlineStr">
        <is>
          <t>HDFC Securities - Buy</t>
        </is>
      </c>
      <c r="G694" s="18" t="n">
        <v>0.97</v>
      </c>
      <c r="H694" s="42" t="inlineStr">
        <is>
          <t>HDFC Securities</t>
        </is>
      </c>
      <c r="I694" s="42" t="inlineStr">
        <is>
          <t>HDFC 5413</t>
        </is>
      </c>
      <c r="J694" s="42" t="inlineStr"/>
      <c r="K694" s="42" t="inlineStr">
        <is>
          <t>NET PI TO HSL SEC A/C 2554606-00602340029427</t>
        </is>
      </c>
      <c r="L694" s="42" t="inlineStr">
        <is>
          <t>HDFC Bank</t>
        </is>
      </c>
      <c r="M694" s="42" t="inlineStr"/>
    </row>
    <row r="695">
      <c r="A695" s="41" t="n">
        <v>45183</v>
      </c>
      <c r="B695" s="41" t="n">
        <v>45183</v>
      </c>
      <c r="C695" s="42" t="n">
        <v>41.67</v>
      </c>
      <c r="D695" s="42" t="n">
        <v>0</v>
      </c>
      <c r="E695" s="42" t="inlineStr"/>
      <c r="F695" s="42" t="inlineStr">
        <is>
          <t>HDFC Securities - Buy</t>
        </is>
      </c>
      <c r="G695" s="18" t="n">
        <v>0.97</v>
      </c>
      <c r="H695" s="42" t="inlineStr">
        <is>
          <t>HDFC Securities</t>
        </is>
      </c>
      <c r="I695" s="42" t="inlineStr">
        <is>
          <t>HDFC 5413</t>
        </is>
      </c>
      <c r="J695" s="42" t="inlineStr"/>
      <c r="K695" s="42" t="inlineStr">
        <is>
          <t>NET PI TO HSL SEC A/C 2554606-00602340029427</t>
        </is>
      </c>
      <c r="L695" s="42" t="inlineStr">
        <is>
          <t>HDFC Bank</t>
        </is>
      </c>
      <c r="M695" s="42" t="inlineStr"/>
    </row>
    <row r="696">
      <c r="A696" s="58" t="n">
        <v>45184</v>
      </c>
      <c r="B696" s="58" t="n">
        <v>45184</v>
      </c>
      <c r="C696" s="59" t="n">
        <v>2500</v>
      </c>
      <c r="D696" s="59" t="n">
        <v>0</v>
      </c>
      <c r="E696" s="59" t="inlineStr"/>
      <c r="F696" s="59" t="inlineStr">
        <is>
          <t>MF Investment</t>
        </is>
      </c>
      <c r="G696" s="18" t="n">
        <v>0.9</v>
      </c>
      <c r="H696" s="59" t="inlineStr">
        <is>
          <t>Investments</t>
        </is>
      </c>
      <c r="I696" s="59" t="inlineStr">
        <is>
          <t>HDFC 5413</t>
        </is>
      </c>
      <c r="J696" s="59" t="inlineStr"/>
      <c r="K696" s="59" t="inlineStr">
        <is>
          <t>NET PAYIN TO BSE MF A/C -57500000389146- FROM A/C -50100128155413- UCC -2554606-57500000389146</t>
        </is>
      </c>
      <c r="L696" s="59" t="inlineStr">
        <is>
          <t>HDFC Bank</t>
        </is>
      </c>
      <c r="M696" s="59" t="inlineStr"/>
    </row>
    <row r="697">
      <c r="A697" s="87" t="n">
        <v>45185</v>
      </c>
      <c r="B697" s="87" t="n">
        <v>45185</v>
      </c>
      <c r="C697" s="88" t="n">
        <v>50</v>
      </c>
      <c r="D697" s="88" t="n">
        <v>0</v>
      </c>
      <c r="E697" s="88" t="inlineStr"/>
      <c r="F697" s="88" t="inlineStr">
        <is>
          <t>Contra - Kotak</t>
        </is>
      </c>
      <c r="G697" s="18" t="n">
        <v>0.9</v>
      </c>
      <c r="H697" s="88" t="inlineStr">
        <is>
          <t>KOTAK 0333</t>
        </is>
      </c>
      <c r="I697" s="88" t="inlineStr">
        <is>
          <t>FEDERAL 0847</t>
        </is>
      </c>
      <c r="J697" s="88" t="inlineStr"/>
      <c r="K697" s="88" t="inlineStr">
        <is>
          <t>UPIOUT/325984099503/aayush20gupta@oksbi/Se
nt/0000</t>
        </is>
      </c>
      <c r="L697" s="88" t="inlineStr">
        <is>
          <t>Federal Bank (Jupiter)</t>
        </is>
      </c>
      <c r="M697" s="88" t="inlineStr">
        <is>
          <t>⚠ Possible Duplicate</t>
        </is>
      </c>
    </row>
    <row r="698">
      <c r="A698" s="87" t="n">
        <v>45185</v>
      </c>
      <c r="B698" s="87" t="n">
        <v>45185</v>
      </c>
      <c r="C698" s="88" t="n">
        <v>50</v>
      </c>
      <c r="D698" s="88" t="n">
        <v>0</v>
      </c>
      <c r="E698" s="88" t="inlineStr"/>
      <c r="F698" s="88" t="inlineStr">
        <is>
          <t>Contra - Kotak</t>
        </is>
      </c>
      <c r="G698" s="18" t="n">
        <v>0.9</v>
      </c>
      <c r="H698" s="88" t="inlineStr">
        <is>
          <t>KOTAK 0333</t>
        </is>
      </c>
      <c r="I698" s="88" t="inlineStr">
        <is>
          <t>FEDERAL 0847</t>
        </is>
      </c>
      <c r="J698" s="88" t="inlineStr"/>
      <c r="K698" s="88" t="inlineStr">
        <is>
          <t>UPIOUT/325984092359/aayush20gupta@oksbi/Se
nt/0000</t>
        </is>
      </c>
      <c r="L698" s="88" t="inlineStr">
        <is>
          <t>Federal Bank (Jupiter)</t>
        </is>
      </c>
      <c r="M698" s="88" t="inlineStr">
        <is>
          <t>⚠ Possible Duplicate</t>
        </is>
      </c>
    </row>
    <row r="699">
      <c r="A699" s="87" t="n">
        <v>45185</v>
      </c>
      <c r="B699" s="87" t="n">
        <v>45185</v>
      </c>
      <c r="C699" s="88" t="n">
        <v>50</v>
      </c>
      <c r="D699" s="88" t="n">
        <v>0</v>
      </c>
      <c r="E699" s="88" t="inlineStr"/>
      <c r="F699" s="88" t="inlineStr">
        <is>
          <t>Contra - Kotak</t>
        </is>
      </c>
      <c r="G699" s="18" t="n">
        <v>0.9</v>
      </c>
      <c r="H699" s="88" t="inlineStr">
        <is>
          <t>KOTAK 0333</t>
        </is>
      </c>
      <c r="I699" s="88" t="inlineStr">
        <is>
          <t>FEDERAL 0847</t>
        </is>
      </c>
      <c r="J699" s="88" t="inlineStr"/>
      <c r="K699" s="88" t="inlineStr">
        <is>
          <t>UPIOUT/325984070086/aayush20gupta@oksbi/Se
nt/0000</t>
        </is>
      </c>
      <c r="L699" s="88" t="inlineStr">
        <is>
          <t>Federal Bank (Jupiter)</t>
        </is>
      </c>
      <c r="M699" s="88" t="inlineStr">
        <is>
          <t>⚠ Possible Duplicate</t>
        </is>
      </c>
    </row>
    <row r="700">
      <c r="A700" s="87" t="n">
        <v>45185</v>
      </c>
      <c r="B700" s="87" t="n">
        <v>45185</v>
      </c>
      <c r="C700" s="88" t="n">
        <v>0</v>
      </c>
      <c r="D700" s="88" t="n">
        <v>1000</v>
      </c>
      <c r="E700" s="88" t="inlineStr"/>
      <c r="F700" s="88" t="inlineStr">
        <is>
          <t>Contra - Kotak</t>
        </is>
      </c>
      <c r="G700" s="18" t="n">
        <v>0.9</v>
      </c>
      <c r="H700" s="88" t="inlineStr">
        <is>
          <t>KOTAK 0333</t>
        </is>
      </c>
      <c r="I700" s="88" t="inlineStr">
        <is>
          <t>FEDERAL 0847</t>
        </is>
      </c>
      <c r="J700" s="88" t="inlineStr"/>
      <c r="K700" s="88" t="inlineStr">
        <is>
          <t>UPI IN/325984057818/9594435259@jupiteraxis
/A/0000</t>
        </is>
      </c>
      <c r="L700" s="88" t="inlineStr">
        <is>
          <t>Federal Bank (Jupiter)</t>
        </is>
      </c>
      <c r="M700" s="88" t="inlineStr"/>
    </row>
    <row r="701">
      <c r="A701" s="87" t="n">
        <v>45185</v>
      </c>
      <c r="B701" s="87" t="n">
        <v>45185</v>
      </c>
      <c r="C701" s="88" t="n">
        <v>50</v>
      </c>
      <c r="D701" s="88" t="n">
        <v>0</v>
      </c>
      <c r="E701" s="88" t="inlineStr"/>
      <c r="F701" s="88" t="inlineStr">
        <is>
          <t>Contra - Kotak</t>
        </is>
      </c>
      <c r="G701" s="18" t="n">
        <v>0.9</v>
      </c>
      <c r="H701" s="88" t="inlineStr">
        <is>
          <t>KOTAK 0333</t>
        </is>
      </c>
      <c r="I701" s="88" t="inlineStr">
        <is>
          <t>FEDERAL 0847</t>
        </is>
      </c>
      <c r="J701" s="88" t="inlineStr"/>
      <c r="K701" s="88" t="inlineStr">
        <is>
          <t>UPIOUT/325984131514/aayush20gupta@oksbi/Se
nt/0000</t>
        </is>
      </c>
      <c r="L701" s="88" t="inlineStr">
        <is>
          <t>Federal Bank (Jupiter)</t>
        </is>
      </c>
      <c r="M701" s="88" t="inlineStr">
        <is>
          <t>⚠ Possible Duplicate</t>
        </is>
      </c>
    </row>
    <row r="702">
      <c r="A702" s="87" t="n">
        <v>45185</v>
      </c>
      <c r="B702" s="87" t="n">
        <v>45185</v>
      </c>
      <c r="C702" s="88" t="n">
        <v>50</v>
      </c>
      <c r="D702" s="88" t="n">
        <v>0</v>
      </c>
      <c r="E702" s="88" t="inlineStr"/>
      <c r="F702" s="88" t="inlineStr">
        <is>
          <t>Contra - Kotak</t>
        </is>
      </c>
      <c r="G702" s="18" t="n">
        <v>0.9</v>
      </c>
      <c r="H702" s="88" t="inlineStr">
        <is>
          <t>KOTAK 0333</t>
        </is>
      </c>
      <c r="I702" s="88" t="inlineStr">
        <is>
          <t>FEDERAL 0847</t>
        </is>
      </c>
      <c r="J702" s="88" t="inlineStr"/>
      <c r="K702" s="88" t="inlineStr">
        <is>
          <t>UPIOUT/325984177608/aayush20gupta@oksbi/Se
nt/0000</t>
        </is>
      </c>
      <c r="L702" s="88" t="inlineStr">
        <is>
          <t>Federal Bank (Jupiter)</t>
        </is>
      </c>
      <c r="M702" s="88" t="inlineStr">
        <is>
          <t>⚠ Possible Duplicate</t>
        </is>
      </c>
    </row>
    <row r="703">
      <c r="A703" s="87" t="n">
        <v>45185</v>
      </c>
      <c r="B703" s="87" t="n">
        <v>45185</v>
      </c>
      <c r="C703" s="88" t="n">
        <v>50</v>
      </c>
      <c r="D703" s="88" t="n">
        <v>0</v>
      </c>
      <c r="E703" s="88" t="inlineStr"/>
      <c r="F703" s="88" t="inlineStr">
        <is>
          <t>Contra - Kotak</t>
        </is>
      </c>
      <c r="G703" s="18" t="n">
        <v>0.9</v>
      </c>
      <c r="H703" s="88" t="inlineStr">
        <is>
          <t>KOTAK 0333</t>
        </is>
      </c>
      <c r="I703" s="88" t="inlineStr">
        <is>
          <t>FEDERAL 0847</t>
        </is>
      </c>
      <c r="J703" s="88" t="inlineStr"/>
      <c r="K703" s="88" t="inlineStr">
        <is>
          <t>UPIOUT/325984108755/aayush20gupta@oksbi/Se
nt/0000</t>
        </is>
      </c>
      <c r="L703" s="88" t="inlineStr">
        <is>
          <t>Federal Bank (Jupiter)</t>
        </is>
      </c>
      <c r="M703" s="88" t="inlineStr">
        <is>
          <t>⚠ Possible Duplicate</t>
        </is>
      </c>
    </row>
    <row r="704">
      <c r="A704" s="87" t="n">
        <v>45185</v>
      </c>
      <c r="B704" s="87" t="n">
        <v>45185</v>
      </c>
      <c r="C704" s="88" t="n">
        <v>50</v>
      </c>
      <c r="D704" s="88" t="n">
        <v>0</v>
      </c>
      <c r="E704" s="88" t="inlineStr"/>
      <c r="F704" s="88" t="inlineStr">
        <is>
          <t>Contra - Kotak</t>
        </is>
      </c>
      <c r="G704" s="18" t="n">
        <v>0.9</v>
      </c>
      <c r="H704" s="88" t="inlineStr">
        <is>
          <t>KOTAK 0333</t>
        </is>
      </c>
      <c r="I704" s="88" t="inlineStr">
        <is>
          <t>FEDERAL 0847</t>
        </is>
      </c>
      <c r="J704" s="88" t="inlineStr"/>
      <c r="K704" s="88" t="inlineStr">
        <is>
          <t>UPIOUT/325984156059/aayush20gupta@oksbi/Se
nt/0000</t>
        </is>
      </c>
      <c r="L704" s="88" t="inlineStr">
        <is>
          <t>Federal Bank (Jupiter)</t>
        </is>
      </c>
      <c r="M704" s="88" t="inlineStr">
        <is>
          <t>⚠ Possible Duplicate</t>
        </is>
      </c>
    </row>
    <row r="705">
      <c r="A705" s="87" t="n">
        <v>45185</v>
      </c>
      <c r="B705" s="87" t="n">
        <v>45185</v>
      </c>
      <c r="C705" s="88" t="n">
        <v>50</v>
      </c>
      <c r="D705" s="88" t="n">
        <v>0</v>
      </c>
      <c r="E705" s="88" t="inlineStr"/>
      <c r="F705" s="88" t="inlineStr">
        <is>
          <t>Contra - Kotak</t>
        </is>
      </c>
      <c r="G705" s="18" t="n">
        <v>0.9</v>
      </c>
      <c r="H705" s="88" t="inlineStr">
        <is>
          <t>KOTAK 0333</t>
        </is>
      </c>
      <c r="I705" s="88" t="inlineStr">
        <is>
          <t>FEDERAL 0847</t>
        </is>
      </c>
      <c r="J705" s="88" t="inlineStr"/>
      <c r="K705" s="88" t="inlineStr">
        <is>
          <t>UPIOUT/325984148205/aayush20gupta@oksbi/Se
nt/0000</t>
        </is>
      </c>
      <c r="L705" s="88" t="inlineStr">
        <is>
          <t>Federal Bank (Jupiter)</t>
        </is>
      </c>
      <c r="M705" s="88" t="inlineStr">
        <is>
          <t>⚠ Possible Duplicate</t>
        </is>
      </c>
    </row>
    <row r="706">
      <c r="A706" s="87" t="n">
        <v>45185</v>
      </c>
      <c r="B706" s="87" t="n">
        <v>45185</v>
      </c>
      <c r="C706" s="88" t="n">
        <v>50</v>
      </c>
      <c r="D706" s="88" t="n">
        <v>0</v>
      </c>
      <c r="E706" s="88" t="inlineStr"/>
      <c r="F706" s="88" t="inlineStr">
        <is>
          <t>Contra - Kotak</t>
        </is>
      </c>
      <c r="G706" s="18" t="n">
        <v>0.9</v>
      </c>
      <c r="H706" s="88" t="inlineStr">
        <is>
          <t>KOTAK 0333</t>
        </is>
      </c>
      <c r="I706" s="88" t="inlineStr">
        <is>
          <t>FEDERAL 0847</t>
        </is>
      </c>
      <c r="J706" s="88" t="inlineStr"/>
      <c r="K706" s="88" t="inlineStr">
        <is>
          <t>UPIOUT/325984141517/aayush20gupta@oksbi/Se
nt/0000</t>
        </is>
      </c>
      <c r="L706" s="88" t="inlineStr">
        <is>
          <t>Federal Bank (Jupiter)</t>
        </is>
      </c>
      <c r="M706" s="88" t="inlineStr">
        <is>
          <t>⚠ Possible Duplicate</t>
        </is>
      </c>
    </row>
    <row r="707">
      <c r="A707" s="87" t="n">
        <v>45185</v>
      </c>
      <c r="B707" s="87" t="n">
        <v>45185</v>
      </c>
      <c r="C707" s="88" t="n">
        <v>50</v>
      </c>
      <c r="D707" s="88" t="n">
        <v>0</v>
      </c>
      <c r="E707" s="88" t="inlineStr"/>
      <c r="F707" s="88" t="inlineStr">
        <is>
          <t>Contra - Kotak</t>
        </is>
      </c>
      <c r="G707" s="18" t="n">
        <v>0.9</v>
      </c>
      <c r="H707" s="88" t="inlineStr">
        <is>
          <t>KOTAK 0333</t>
        </is>
      </c>
      <c r="I707" s="88" t="inlineStr">
        <is>
          <t>FEDERAL 0847</t>
        </is>
      </c>
      <c r="J707" s="88" t="inlineStr"/>
      <c r="K707" s="88" t="inlineStr">
        <is>
          <t>UPIOUT/325983968688/aayush20gupta@oksbi/Se
nt/0000</t>
        </is>
      </c>
      <c r="L707" s="88" t="inlineStr">
        <is>
          <t>Federal Bank (Jupiter)</t>
        </is>
      </c>
      <c r="M707" s="88" t="inlineStr">
        <is>
          <t>⚠ Possible Duplicate</t>
        </is>
      </c>
    </row>
    <row r="708">
      <c r="A708" s="87" t="n">
        <v>45185</v>
      </c>
      <c r="B708" s="87" t="n">
        <v>45185</v>
      </c>
      <c r="C708" s="88" t="n">
        <v>50</v>
      </c>
      <c r="D708" s="88" t="n">
        <v>0</v>
      </c>
      <c r="E708" s="88" t="inlineStr"/>
      <c r="F708" s="88" t="inlineStr">
        <is>
          <t>Contra - Kotak</t>
        </is>
      </c>
      <c r="G708" s="18" t="n">
        <v>0.9</v>
      </c>
      <c r="H708" s="88" t="inlineStr">
        <is>
          <t>KOTAK 0333</t>
        </is>
      </c>
      <c r="I708" s="88" t="inlineStr">
        <is>
          <t>FEDERAL 0847</t>
        </is>
      </c>
      <c r="J708" s="88" t="inlineStr"/>
      <c r="K708" s="88" t="inlineStr">
        <is>
          <t>UPIOUT/325983946204/aayush20gupta@oksbi/Se
nt/0000</t>
        </is>
      </c>
      <c r="L708" s="88" t="inlineStr">
        <is>
          <t>Federal Bank (Jupiter)</t>
        </is>
      </c>
      <c r="M708" s="88" t="inlineStr">
        <is>
          <t>⚠ Possible Duplicate</t>
        </is>
      </c>
    </row>
    <row r="709">
      <c r="A709" s="87" t="n">
        <v>45185</v>
      </c>
      <c r="B709" s="87" t="n">
        <v>45185</v>
      </c>
      <c r="C709" s="88" t="n">
        <v>50</v>
      </c>
      <c r="D709" s="88" t="n">
        <v>0</v>
      </c>
      <c r="E709" s="88" t="inlineStr"/>
      <c r="F709" s="88" t="inlineStr">
        <is>
          <t>Contra - Kotak</t>
        </is>
      </c>
      <c r="G709" s="18" t="n">
        <v>0.9</v>
      </c>
      <c r="H709" s="88" t="inlineStr">
        <is>
          <t>KOTAK 0333</t>
        </is>
      </c>
      <c r="I709" s="88" t="inlineStr">
        <is>
          <t>FEDERAL 0847</t>
        </is>
      </c>
      <c r="J709" s="88" t="inlineStr"/>
      <c r="K709" s="88" t="inlineStr">
        <is>
          <t>UPIOUT/325984184014/aayush20gupta@oksbi/Se
nt/0000</t>
        </is>
      </c>
      <c r="L709" s="88" t="inlineStr">
        <is>
          <t>Federal Bank (Jupiter)</t>
        </is>
      </c>
      <c r="M709" s="88" t="inlineStr">
        <is>
          <t>⚠ Possible Duplicate</t>
        </is>
      </c>
    </row>
    <row r="710">
      <c r="A710" s="60" t="n">
        <v>45185</v>
      </c>
      <c r="B710" s="60" t="n">
        <v>45185</v>
      </c>
      <c r="C710" s="61" t="n">
        <v>500</v>
      </c>
      <c r="D710" s="61" t="n">
        <v>0</v>
      </c>
      <c r="E710" s="61" t="inlineStr"/>
      <c r="F710" s="61" t="inlineStr">
        <is>
          <t>Cash Withdrawal</t>
        </is>
      </c>
      <c r="G710" s="18" t="n">
        <v>0.92</v>
      </c>
      <c r="H710" s="61" t="inlineStr">
        <is>
          <t>Cash</t>
        </is>
      </c>
      <c r="I710" s="61" t="inlineStr">
        <is>
          <t>HDFC 5413</t>
        </is>
      </c>
      <c r="J710" s="61" t="inlineStr"/>
      <c r="K710" s="61" t="inlineStr">
        <is>
          <t>ATW-652166XXXXXX8920-S1ANMN04-NASHIK</t>
        </is>
      </c>
      <c r="L710" s="61" t="inlineStr">
        <is>
          <t>HDFC Bank</t>
        </is>
      </c>
      <c r="M710" s="61" t="inlineStr"/>
    </row>
    <row r="711">
      <c r="A711" s="87" t="n">
        <v>45185</v>
      </c>
      <c r="B711" s="87" t="n">
        <v>45185</v>
      </c>
      <c r="C711" s="88" t="n">
        <v>50</v>
      </c>
      <c r="D711" s="88" t="n">
        <v>0</v>
      </c>
      <c r="E711" s="88" t="inlineStr"/>
      <c r="F711" s="88" t="inlineStr">
        <is>
          <t>Contra - Kotak</t>
        </is>
      </c>
      <c r="G711" s="18" t="n">
        <v>0.9</v>
      </c>
      <c r="H711" s="88" t="inlineStr">
        <is>
          <t>KOTAK 0333</t>
        </is>
      </c>
      <c r="I711" s="88" t="inlineStr">
        <is>
          <t>FEDERAL 0847</t>
        </is>
      </c>
      <c r="J711" s="88" t="inlineStr"/>
      <c r="K711" s="88" t="inlineStr">
        <is>
          <t>UPIOUT/325984190985/aayush20gupta@oksbi/Se
nt/0000</t>
        </is>
      </c>
      <c r="L711" s="88" t="inlineStr">
        <is>
          <t>Federal Bank (Jupiter)</t>
        </is>
      </c>
      <c r="M711" s="88" t="inlineStr">
        <is>
          <t>⚠ Possible Duplicate</t>
        </is>
      </c>
    </row>
    <row r="712">
      <c r="A712" s="87" t="n">
        <v>45185</v>
      </c>
      <c r="B712" s="87" t="n">
        <v>45185</v>
      </c>
      <c r="C712" s="88" t="n">
        <v>50</v>
      </c>
      <c r="D712" s="88" t="n">
        <v>0</v>
      </c>
      <c r="E712" s="88" t="inlineStr"/>
      <c r="F712" s="88" t="inlineStr">
        <is>
          <t>Contra - Kotak</t>
        </is>
      </c>
      <c r="G712" s="18" t="n">
        <v>0.9</v>
      </c>
      <c r="H712" s="88" t="inlineStr">
        <is>
          <t>KOTAK 0333</t>
        </is>
      </c>
      <c r="I712" s="88" t="inlineStr">
        <is>
          <t>FEDERAL 0847</t>
        </is>
      </c>
      <c r="J712" s="88" t="inlineStr"/>
      <c r="K712" s="88" t="inlineStr">
        <is>
          <t>UPIOUT/325984197954/aayush20gupta@oksbi/Se
nt/0000</t>
        </is>
      </c>
      <c r="L712" s="88" t="inlineStr">
        <is>
          <t>Federal Bank (Jupiter)</t>
        </is>
      </c>
      <c r="M712" s="88" t="inlineStr">
        <is>
          <t>⚠ Possible Duplicate</t>
        </is>
      </c>
    </row>
    <row r="713">
      <c r="A713" s="87" t="n">
        <v>45185</v>
      </c>
      <c r="B713" s="87" t="n">
        <v>45185</v>
      </c>
      <c r="C713" s="88" t="n">
        <v>50</v>
      </c>
      <c r="D713" s="88" t="n">
        <v>0</v>
      </c>
      <c r="E713" s="88" t="inlineStr"/>
      <c r="F713" s="88" t="inlineStr">
        <is>
          <t>Contra - Kotak</t>
        </is>
      </c>
      <c r="G713" s="18" t="n">
        <v>0.9</v>
      </c>
      <c r="H713" s="88" t="inlineStr">
        <is>
          <t>KOTAK 0333</t>
        </is>
      </c>
      <c r="I713" s="88" t="inlineStr">
        <is>
          <t>FEDERAL 0847</t>
        </is>
      </c>
      <c r="J713" s="88" t="inlineStr"/>
      <c r="K713" s="88" t="inlineStr">
        <is>
          <t>UPIOUT/325984204616/aayush20gupta@oksbi/Se
nt/0000</t>
        </is>
      </c>
      <c r="L713" s="88" t="inlineStr">
        <is>
          <t>Federal Bank (Jupiter)</t>
        </is>
      </c>
      <c r="M713" s="88" t="inlineStr">
        <is>
          <t>⚠ Possible Duplicate</t>
        </is>
      </c>
    </row>
    <row r="714">
      <c r="A714" s="87" t="n">
        <v>45185</v>
      </c>
      <c r="B714" s="87" t="n">
        <v>45185</v>
      </c>
      <c r="C714" s="88" t="n">
        <v>50</v>
      </c>
      <c r="D714" s="88" t="n">
        <v>0</v>
      </c>
      <c r="E714" s="88" t="inlineStr"/>
      <c r="F714" s="88" t="inlineStr">
        <is>
          <t>Contra - Kotak</t>
        </is>
      </c>
      <c r="G714" s="18" t="n">
        <v>0.9</v>
      </c>
      <c r="H714" s="88" t="inlineStr">
        <is>
          <t>KOTAK 0333</t>
        </is>
      </c>
      <c r="I714" s="88" t="inlineStr">
        <is>
          <t>FEDERAL 0847</t>
        </is>
      </c>
      <c r="J714" s="88" t="inlineStr"/>
      <c r="K714" s="88" t="inlineStr">
        <is>
          <t>UPIOUT/325984246568/aayush20gupta@oksbi/Se
nt/0000</t>
        </is>
      </c>
      <c r="L714" s="88" t="inlineStr">
        <is>
          <t>Federal Bank (Jupiter)</t>
        </is>
      </c>
      <c r="M714" s="88" t="inlineStr">
        <is>
          <t>⚠ Possible Duplicate</t>
        </is>
      </c>
    </row>
    <row r="715">
      <c r="A715" s="87" t="n">
        <v>45185</v>
      </c>
      <c r="B715" s="87" t="n">
        <v>45185</v>
      </c>
      <c r="C715" s="88" t="n">
        <v>0</v>
      </c>
      <c r="D715" s="88" t="n">
        <v>100</v>
      </c>
      <c r="E715" s="88" t="inlineStr"/>
      <c r="F715" s="88" t="inlineStr">
        <is>
          <t>Contra - Kotak</t>
        </is>
      </c>
      <c r="G715" s="18" t="n">
        <v>0.9</v>
      </c>
      <c r="H715" s="88" t="inlineStr">
        <is>
          <t>KOTAK 0333</t>
        </is>
      </c>
      <c r="I715" s="88" t="inlineStr">
        <is>
          <t>FEDERAL 0847</t>
        </is>
      </c>
      <c r="J715" s="88" t="inlineStr"/>
      <c r="K715" s="88" t="inlineStr">
        <is>
          <t>UPI IN/325983918366/9594435259@jupiteraxis
/A/0000</t>
        </is>
      </c>
      <c r="L715" s="88" t="inlineStr">
        <is>
          <t>Federal Bank (Jupiter)</t>
        </is>
      </c>
      <c r="M715" s="88" t="inlineStr"/>
    </row>
    <row r="716">
      <c r="A716" s="87" t="n">
        <v>45186</v>
      </c>
      <c r="B716" s="87" t="n">
        <v>45186</v>
      </c>
      <c r="C716" s="88" t="n">
        <v>50</v>
      </c>
      <c r="D716" s="88" t="n">
        <v>0</v>
      </c>
      <c r="E716" s="88" t="inlineStr"/>
      <c r="F716" s="88" t="inlineStr">
        <is>
          <t>Contra - Kotak</t>
        </is>
      </c>
      <c r="G716" s="18" t="n">
        <v>0.9</v>
      </c>
      <c r="H716" s="88" t="inlineStr">
        <is>
          <t>KOTAK 0333</t>
        </is>
      </c>
      <c r="I716" s="88" t="inlineStr">
        <is>
          <t>FEDERAL 0847</t>
        </is>
      </c>
      <c r="J716" s="88" t="inlineStr"/>
      <c r="K716" s="88" t="inlineStr">
        <is>
          <t>UPIOUT/326016087025/aayush20gupta@oksbi/Se
nt/0000</t>
        </is>
      </c>
      <c r="L716" s="88" t="inlineStr">
        <is>
          <t>Federal Bank (Jupiter)</t>
        </is>
      </c>
      <c r="M716" s="88" t="inlineStr"/>
    </row>
    <row r="717">
      <c r="A717" s="41" t="n">
        <v>45187</v>
      </c>
      <c r="B717" s="41" t="n">
        <v>45187</v>
      </c>
      <c r="C717" s="42" t="n">
        <v>15243.18</v>
      </c>
      <c r="D717" s="42" t="n">
        <v>0</v>
      </c>
      <c r="E717" s="42" t="inlineStr"/>
      <c r="F717" s="42" t="inlineStr">
        <is>
          <t>HDFC Securities - Buy</t>
        </is>
      </c>
      <c r="G717" s="18" t="n">
        <v>0.97</v>
      </c>
      <c r="H717" s="42" t="inlineStr">
        <is>
          <t>HDFC Securities</t>
        </is>
      </c>
      <c r="I717" s="42" t="inlineStr">
        <is>
          <t>HDFC 5413</t>
        </is>
      </c>
      <c r="J717" s="42" t="inlineStr"/>
      <c r="K717" s="42" t="inlineStr">
        <is>
          <t>NET PI TO HSL SEC A/C 2554606-00602340029427</t>
        </is>
      </c>
      <c r="L717" s="42" t="inlineStr">
        <is>
          <t>HDFC Bank</t>
        </is>
      </c>
      <c r="M717" s="42" t="inlineStr"/>
    </row>
    <row r="718">
      <c r="A718" s="56" t="n">
        <v>45187</v>
      </c>
      <c r="B718" s="56" t="n">
        <v>45187</v>
      </c>
      <c r="C718" s="57" t="n">
        <v>224.2</v>
      </c>
      <c r="D718" s="57" t="n">
        <v>0</v>
      </c>
      <c r="E718" s="57" t="inlineStr"/>
      <c r="F718" s="57" t="inlineStr">
        <is>
          <t>Depository Charges</t>
        </is>
      </c>
      <c r="G718" s="18" t="n">
        <v>0.93</v>
      </c>
      <c r="H718" s="57" t="inlineStr">
        <is>
          <t>Depository Charges</t>
        </is>
      </c>
      <c r="I718" s="57" t="inlineStr">
        <is>
          <t>HDFC 5413</t>
        </is>
      </c>
      <c r="J718" s="57" t="inlineStr"/>
      <c r="K718" s="57" t="inlineStr">
        <is>
          <t>DEPOSITORY CHARGES AUG23 - 52812428</t>
        </is>
      </c>
      <c r="L718" s="57" t="inlineStr">
        <is>
          <t>HDFC Bank</t>
        </is>
      </c>
      <c r="M718" s="57" t="inlineStr"/>
    </row>
    <row r="719">
      <c r="A719" s="54" t="n">
        <v>45187</v>
      </c>
      <c r="B719" s="54" t="n">
        <v>45187</v>
      </c>
      <c r="C719" s="55" t="n">
        <v>0</v>
      </c>
      <c r="D719" s="55" t="n">
        <v>751.91</v>
      </c>
      <c r="E719" s="55" t="inlineStr"/>
      <c r="F719" s="55" t="inlineStr">
        <is>
          <t>HDFC Securities - Sell</t>
        </is>
      </c>
      <c r="G719" s="18" t="n">
        <v>0.97</v>
      </c>
      <c r="H719" s="55" t="inlineStr">
        <is>
          <t>HDFC Securities</t>
        </is>
      </c>
      <c r="I719" s="55" t="inlineStr">
        <is>
          <t>HDFC 5413</t>
        </is>
      </c>
      <c r="J719" s="55" t="inlineStr"/>
      <c r="K719" s="55" t="inlineStr">
        <is>
          <t>NET PO FROM HSL A/C 2554606-50200085415108</t>
        </is>
      </c>
      <c r="L719" s="55" t="inlineStr">
        <is>
          <t>HDFC Bank</t>
        </is>
      </c>
      <c r="M719" s="55" t="inlineStr"/>
    </row>
    <row r="720">
      <c r="A720" s="41" t="n">
        <v>45187</v>
      </c>
      <c r="B720" s="41" t="n">
        <v>45187</v>
      </c>
      <c r="C720" s="42" t="n">
        <v>136.08</v>
      </c>
      <c r="D720" s="42" t="n">
        <v>0</v>
      </c>
      <c r="E720" s="42" t="inlineStr"/>
      <c r="F720" s="42" t="inlineStr">
        <is>
          <t>HDFC Securities - Buy</t>
        </is>
      </c>
      <c r="G720" s="18" t="n">
        <v>0.97</v>
      </c>
      <c r="H720" s="42" t="inlineStr">
        <is>
          <t>HDFC Securities</t>
        </is>
      </c>
      <c r="I720" s="42" t="inlineStr">
        <is>
          <t>HDFC 5413</t>
        </is>
      </c>
      <c r="J720" s="42" t="inlineStr"/>
      <c r="K720" s="42" t="inlineStr">
        <is>
          <t>NET PI TO HSL SEC A/C 2554606-00602340029427</t>
        </is>
      </c>
      <c r="L720" s="42" t="inlineStr">
        <is>
          <t>HDFC Bank</t>
        </is>
      </c>
      <c r="M720" s="42" t="inlineStr"/>
    </row>
    <row r="721">
      <c r="A721" s="35" t="n">
        <v>45189</v>
      </c>
      <c r="B721" s="35" t="n">
        <v>45189</v>
      </c>
      <c r="C721" s="36" t="n">
        <v>48</v>
      </c>
      <c r="D721" s="36" t="n">
        <v>0</v>
      </c>
      <c r="E721" s="36" t="inlineStr"/>
      <c r="F721" s="36" t="inlineStr">
        <is>
          <t>UPI - Paytm</t>
        </is>
      </c>
      <c r="G721" s="34" t="n">
        <v>0.65</v>
      </c>
      <c r="H721" s="36" t="inlineStr">
        <is>
          <t>Personal</t>
        </is>
      </c>
      <c r="I721" s="36" t="inlineStr">
        <is>
          <t>FEDERAL 0847</t>
        </is>
      </c>
      <c r="J721" s="36" t="inlineStr"/>
      <c r="K721" s="36" t="inlineStr">
        <is>
          <t>UPIOUT/326360819605/paytmqr2810050501019ut
hb/5411</t>
        </is>
      </c>
      <c r="L721" s="36" t="inlineStr">
        <is>
          <t>Federal Bank (Jupiter)</t>
        </is>
      </c>
      <c r="M721" s="36" t="inlineStr"/>
    </row>
    <row r="722">
      <c r="A722" s="37" t="n">
        <v>45189</v>
      </c>
      <c r="B722" s="37" t="n">
        <v>45189</v>
      </c>
      <c r="C722" s="38" t="n">
        <v>30</v>
      </c>
      <c r="D722" s="38" t="n">
        <v>0</v>
      </c>
      <c r="E722" s="38" t="inlineStr"/>
      <c r="F722" s="38" t="inlineStr">
        <is>
          <t>UPI Payment</t>
        </is>
      </c>
      <c r="G722" s="25" t="n">
        <v>0.55</v>
      </c>
      <c r="H722" s="38" t="inlineStr">
        <is>
          <t>Personal</t>
        </is>
      </c>
      <c r="I722" s="38" t="inlineStr">
        <is>
          <t>FEDERAL 0847</t>
        </is>
      </c>
      <c r="J722" s="38" t="inlineStr"/>
      <c r="K722" s="38" t="inlineStr">
        <is>
          <t>UPIOUT/326360885479/Q233653707@ybl/Sent
via /5814</t>
        </is>
      </c>
      <c r="L722" s="38" t="inlineStr">
        <is>
          <t>Federal Bank (Jupiter)</t>
        </is>
      </c>
      <c r="M722" s="38" t="inlineStr"/>
    </row>
    <row r="723">
      <c r="A723" s="37" t="n">
        <v>45189</v>
      </c>
      <c r="B723" s="37" t="n">
        <v>45189</v>
      </c>
      <c r="C723" s="38" t="n">
        <v>88</v>
      </c>
      <c r="D723" s="38" t="n">
        <v>0</v>
      </c>
      <c r="E723" s="38" t="inlineStr"/>
      <c r="F723" s="38" t="inlineStr">
        <is>
          <t>UPI Payment</t>
        </is>
      </c>
      <c r="G723" s="25" t="n">
        <v>0.55</v>
      </c>
      <c r="H723" s="38" t="inlineStr">
        <is>
          <t>Personal</t>
        </is>
      </c>
      <c r="I723" s="38" t="inlineStr">
        <is>
          <t>FEDERAL 0847</t>
        </is>
      </c>
      <c r="J723" s="38" t="inlineStr"/>
      <c r="K723" s="38" t="inlineStr">
        <is>
          <t>UPIOUT/326360743545/Q037540648@ybl/Sent
via /5912</t>
        </is>
      </c>
      <c r="L723" s="38" t="inlineStr">
        <is>
          <t>Federal Bank (Jupiter)</t>
        </is>
      </c>
      <c r="M723" s="38" t="inlineStr"/>
    </row>
    <row r="724">
      <c r="A724" s="41" t="n">
        <v>45189</v>
      </c>
      <c r="B724" s="41" t="n">
        <v>45189</v>
      </c>
      <c r="C724" s="42" t="n">
        <v>76.42</v>
      </c>
      <c r="D724" s="42" t="n">
        <v>0</v>
      </c>
      <c r="E724" s="42" t="inlineStr"/>
      <c r="F724" s="42" t="inlineStr">
        <is>
          <t>HDFC Securities - Buy</t>
        </is>
      </c>
      <c r="G724" s="18" t="n">
        <v>0.97</v>
      </c>
      <c r="H724" s="42" t="inlineStr">
        <is>
          <t>HDFC Securities</t>
        </is>
      </c>
      <c r="I724" s="42" t="inlineStr">
        <is>
          <t>HDFC 5413</t>
        </is>
      </c>
      <c r="J724" s="42" t="inlineStr"/>
      <c r="K724" s="42" t="inlineStr">
        <is>
          <t>NET PI TO HSL SEC A/C 2554606-00602340029427</t>
        </is>
      </c>
      <c r="L724" s="42" t="inlineStr">
        <is>
          <t>HDFC Bank</t>
        </is>
      </c>
      <c r="M724" s="42" t="inlineStr"/>
    </row>
    <row r="725">
      <c r="A725" s="54" t="n">
        <v>45189</v>
      </c>
      <c r="B725" s="54" t="n">
        <v>45189</v>
      </c>
      <c r="C725" s="55" t="n">
        <v>0</v>
      </c>
      <c r="D725" s="55" t="n">
        <v>8000</v>
      </c>
      <c r="E725" s="55" t="inlineStr"/>
      <c r="F725" s="55" t="inlineStr">
        <is>
          <t>HDFC Securities - Sell</t>
        </is>
      </c>
      <c r="G725" s="18" t="n">
        <v>0.97</v>
      </c>
      <c r="H725" s="55" t="inlineStr">
        <is>
          <t>HDFC Securities</t>
        </is>
      </c>
      <c r="I725" s="55" t="inlineStr">
        <is>
          <t>HDFC 5413</t>
        </is>
      </c>
      <c r="J725" s="55" t="inlineStr"/>
      <c r="K725" s="55" t="inlineStr">
        <is>
          <t>NET PO FROM HSL A/C 2554606-50200085415108</t>
        </is>
      </c>
      <c r="L725" s="55" t="inlineStr">
        <is>
          <t>HDFC Bank</t>
        </is>
      </c>
      <c r="M725" s="55" t="inlineStr"/>
    </row>
    <row r="726">
      <c r="A726" s="41" t="n">
        <v>45189</v>
      </c>
      <c r="B726" s="41" t="n">
        <v>45189</v>
      </c>
      <c r="C726" s="42" t="n">
        <v>13410.04</v>
      </c>
      <c r="D726" s="42" t="n">
        <v>0</v>
      </c>
      <c r="E726" s="42" t="inlineStr"/>
      <c r="F726" s="42" t="inlineStr">
        <is>
          <t>HDFC Securities - Buy</t>
        </is>
      </c>
      <c r="G726" s="18" t="n">
        <v>0.97</v>
      </c>
      <c r="H726" s="42" t="inlineStr">
        <is>
          <t>HDFC Securities</t>
        </is>
      </c>
      <c r="I726" s="42" t="inlineStr">
        <is>
          <t>HDFC 5413</t>
        </is>
      </c>
      <c r="J726" s="42" t="inlineStr"/>
      <c r="K726" s="42" t="inlineStr">
        <is>
          <t>NET PI TO HSL SEC A/C 2554606-00602340029427</t>
        </is>
      </c>
      <c r="L726" s="42" t="inlineStr">
        <is>
          <t>HDFC Bank</t>
        </is>
      </c>
      <c r="M726" s="42" t="inlineStr"/>
    </row>
    <row r="727">
      <c r="A727" s="41" t="n">
        <v>45189</v>
      </c>
      <c r="B727" s="41" t="n">
        <v>45189</v>
      </c>
      <c r="C727" s="42" t="n">
        <v>9742.309999999999</v>
      </c>
      <c r="D727" s="42" t="n">
        <v>0</v>
      </c>
      <c r="E727" s="42" t="inlineStr"/>
      <c r="F727" s="42" t="inlineStr">
        <is>
          <t>HDFC Securities - Buy</t>
        </is>
      </c>
      <c r="G727" s="18" t="n">
        <v>0.97</v>
      </c>
      <c r="H727" s="42" t="inlineStr">
        <is>
          <t>HDFC Securities</t>
        </is>
      </c>
      <c r="I727" s="42" t="inlineStr">
        <is>
          <t>HDFC 5413</t>
        </is>
      </c>
      <c r="J727" s="42" t="inlineStr"/>
      <c r="K727" s="42" t="inlineStr">
        <is>
          <t>NET PI TO HSL SEC A/C 2554606-00602340029427</t>
        </is>
      </c>
      <c r="L727" s="42" t="inlineStr">
        <is>
          <t>HDFC Bank</t>
        </is>
      </c>
      <c r="M727" s="42" t="inlineStr"/>
    </row>
    <row r="728">
      <c r="A728" s="41" t="n">
        <v>45190</v>
      </c>
      <c r="B728" s="41" t="n">
        <v>45190</v>
      </c>
      <c r="C728" s="42" t="n">
        <v>57.69</v>
      </c>
      <c r="D728" s="42" t="n">
        <v>0</v>
      </c>
      <c r="E728" s="42" t="inlineStr"/>
      <c r="F728" s="42" t="inlineStr">
        <is>
          <t>HDFC Securities - Buy</t>
        </is>
      </c>
      <c r="G728" s="18" t="n">
        <v>0.97</v>
      </c>
      <c r="H728" s="42" t="inlineStr">
        <is>
          <t>HDFC Securities</t>
        </is>
      </c>
      <c r="I728" s="42" t="inlineStr">
        <is>
          <t>HDFC 5413</t>
        </is>
      </c>
      <c r="J728" s="42" t="inlineStr"/>
      <c r="K728" s="42" t="inlineStr">
        <is>
          <t>NET PI TO HSL SEC A/C 2554606-00602340029427</t>
        </is>
      </c>
      <c r="L728" s="42" t="inlineStr">
        <is>
          <t>HDFC Bank</t>
        </is>
      </c>
      <c r="M728" s="42" t="inlineStr"/>
    </row>
    <row r="729">
      <c r="A729" s="41" t="n">
        <v>45190</v>
      </c>
      <c r="B729" s="41" t="n">
        <v>45190</v>
      </c>
      <c r="C729" s="42" t="n">
        <v>10280.45</v>
      </c>
      <c r="D729" s="42" t="n">
        <v>0</v>
      </c>
      <c r="E729" s="42" t="inlineStr"/>
      <c r="F729" s="42" t="inlineStr">
        <is>
          <t>HDFC Securities - Buy</t>
        </is>
      </c>
      <c r="G729" s="18" t="n">
        <v>0.97</v>
      </c>
      <c r="H729" s="42" t="inlineStr">
        <is>
          <t>HDFC Securities</t>
        </is>
      </c>
      <c r="I729" s="42" t="inlineStr">
        <is>
          <t>HDFC 5413</t>
        </is>
      </c>
      <c r="J729" s="42" t="inlineStr"/>
      <c r="K729" s="42" t="inlineStr">
        <is>
          <t>NET PI TO HSL SEC A/C 2554606-00602340029427</t>
        </is>
      </c>
      <c r="L729" s="42" t="inlineStr">
        <is>
          <t>HDFC Bank</t>
        </is>
      </c>
      <c r="M729" s="42" t="inlineStr"/>
    </row>
    <row r="730">
      <c r="A730" s="62" t="n">
        <v>45190</v>
      </c>
      <c r="B730" s="62" t="n">
        <v>45190</v>
      </c>
      <c r="C730" s="63" t="n">
        <v>30000</v>
      </c>
      <c r="D730" s="63" t="n">
        <v>0</v>
      </c>
      <c r="E730" s="63" t="inlineStr"/>
      <c r="F730" s="63" t="inlineStr">
        <is>
          <t>Transfer - Sunita Gupta</t>
        </is>
      </c>
      <c r="G730" s="18" t="n">
        <v>0.88</v>
      </c>
      <c r="H730" s="63" t="inlineStr">
        <is>
          <t>Sunita Gupta</t>
        </is>
      </c>
      <c r="I730" s="63" t="inlineStr">
        <is>
          <t>HDFC 5413</t>
        </is>
      </c>
      <c r="J730" s="63" t="inlineStr"/>
      <c r="K730" s="63" t="inlineStr">
        <is>
          <t>01671000060094-TPT-FROM AAYUSH-SUNITA GUPTA</t>
        </is>
      </c>
      <c r="L730" s="63" t="inlineStr">
        <is>
          <t>HDFC Bank</t>
        </is>
      </c>
      <c r="M730" s="63" t="inlineStr"/>
    </row>
    <row r="731">
      <c r="A731" s="41" t="n">
        <v>45191</v>
      </c>
      <c r="B731" s="41" t="n">
        <v>45191</v>
      </c>
      <c r="C731" s="42" t="n">
        <v>65.56999999999999</v>
      </c>
      <c r="D731" s="42" t="n">
        <v>0</v>
      </c>
      <c r="E731" s="42" t="inlineStr"/>
      <c r="F731" s="42" t="inlineStr">
        <is>
          <t>HDFC Securities - Buy</t>
        </is>
      </c>
      <c r="G731" s="18" t="n">
        <v>0.97</v>
      </c>
      <c r="H731" s="42" t="inlineStr">
        <is>
          <t>HDFC Securities</t>
        </is>
      </c>
      <c r="I731" s="42" t="inlineStr">
        <is>
          <t>HDFC 5413</t>
        </is>
      </c>
      <c r="J731" s="42" t="inlineStr"/>
      <c r="K731" s="42" t="inlineStr">
        <is>
          <t>NET PI TO HSL SEC A/C 2554606-00602340029427</t>
        </is>
      </c>
      <c r="L731" s="42" t="inlineStr">
        <is>
          <t>HDFC Bank</t>
        </is>
      </c>
      <c r="M731" s="42" t="inlineStr"/>
    </row>
    <row r="732">
      <c r="A732" s="41" t="n">
        <v>45191</v>
      </c>
      <c r="B732" s="41" t="n">
        <v>45191</v>
      </c>
      <c r="C732" s="42" t="n">
        <v>8145.09</v>
      </c>
      <c r="D732" s="42" t="n">
        <v>0</v>
      </c>
      <c r="E732" s="42" t="inlineStr"/>
      <c r="F732" s="42" t="inlineStr">
        <is>
          <t>HDFC Securities - Buy</t>
        </is>
      </c>
      <c r="G732" s="18" t="n">
        <v>0.97</v>
      </c>
      <c r="H732" s="42" t="inlineStr">
        <is>
          <t>HDFC Securities</t>
        </is>
      </c>
      <c r="I732" s="42" t="inlineStr">
        <is>
          <t>HDFC 5413</t>
        </is>
      </c>
      <c r="J732" s="42" t="inlineStr"/>
      <c r="K732" s="42" t="inlineStr">
        <is>
          <t>NET PI TO HSL SEC A/C 2554606-00602340029427</t>
        </is>
      </c>
      <c r="L732" s="42" t="inlineStr">
        <is>
          <t>HDFC Bank</t>
        </is>
      </c>
      <c r="M732" s="42" t="inlineStr"/>
    </row>
    <row r="733">
      <c r="A733" s="54" t="n">
        <v>45194</v>
      </c>
      <c r="B733" s="54" t="n">
        <v>45194</v>
      </c>
      <c r="C733" s="55" t="n">
        <v>0</v>
      </c>
      <c r="D733" s="55" t="n">
        <v>36925.73</v>
      </c>
      <c r="E733" s="55" t="inlineStr"/>
      <c r="F733" s="55" t="inlineStr">
        <is>
          <t>HDFC Securities - Sell</t>
        </is>
      </c>
      <c r="G733" s="18" t="n">
        <v>0.97</v>
      </c>
      <c r="H733" s="55" t="inlineStr">
        <is>
          <t>HDFC Securities</t>
        </is>
      </c>
      <c r="I733" s="55" t="inlineStr">
        <is>
          <t>HDFC 5413</t>
        </is>
      </c>
      <c r="J733" s="55" t="inlineStr"/>
      <c r="K733" s="55" t="inlineStr">
        <is>
          <t>NET PO FROM HSL A/C 2554606-50200085415108</t>
        </is>
      </c>
      <c r="L733" s="55" t="inlineStr">
        <is>
          <t>HDFC Bank</t>
        </is>
      </c>
      <c r="M733" s="55" t="inlineStr"/>
    </row>
    <row r="734">
      <c r="A734" s="58" t="n">
        <v>45194</v>
      </c>
      <c r="B734" s="58" t="n">
        <v>45194</v>
      </c>
      <c r="C734" s="59" t="n">
        <v>2500</v>
      </c>
      <c r="D734" s="59" t="n">
        <v>0</v>
      </c>
      <c r="E734" s="59" t="inlineStr"/>
      <c r="F734" s="59" t="inlineStr">
        <is>
          <t>MF Investment</t>
        </is>
      </c>
      <c r="G734" s="18" t="n">
        <v>0.9</v>
      </c>
      <c r="H734" s="59" t="inlineStr">
        <is>
          <t>Investments</t>
        </is>
      </c>
      <c r="I734" s="59" t="inlineStr">
        <is>
          <t>HDFC 5413</t>
        </is>
      </c>
      <c r="J734" s="59" t="inlineStr"/>
      <c r="K734" s="59" t="inlineStr">
        <is>
          <t>NET PAYIN TO BSE MF A/C -57500000389146- FROM A/C -50100128155413- UCC -2554606-57500000389146</t>
        </is>
      </c>
      <c r="L734" s="59" t="inlineStr">
        <is>
          <t>HDFC Bank</t>
        </is>
      </c>
      <c r="M734" s="59" t="inlineStr"/>
    </row>
    <row r="735">
      <c r="A735" s="41" t="n">
        <v>45194</v>
      </c>
      <c r="B735" s="41" t="n">
        <v>45194</v>
      </c>
      <c r="C735" s="42" t="n">
        <v>222.63</v>
      </c>
      <c r="D735" s="42" t="n">
        <v>0</v>
      </c>
      <c r="E735" s="42" t="inlineStr"/>
      <c r="F735" s="42" t="inlineStr">
        <is>
          <t>HDFC Securities - Buy</t>
        </is>
      </c>
      <c r="G735" s="18" t="n">
        <v>0.97</v>
      </c>
      <c r="H735" s="42" t="inlineStr">
        <is>
          <t>HDFC Securities</t>
        </is>
      </c>
      <c r="I735" s="42" t="inlineStr">
        <is>
          <t>HDFC 5413</t>
        </is>
      </c>
      <c r="J735" s="42" t="inlineStr"/>
      <c r="K735" s="42" t="inlineStr">
        <is>
          <t>NET PI TO HSL SEC A/C 2554606-00602340029427</t>
        </is>
      </c>
      <c r="L735" s="42" t="inlineStr">
        <is>
          <t>HDFC Bank</t>
        </is>
      </c>
      <c r="M735" s="42" t="inlineStr"/>
    </row>
    <row r="736">
      <c r="A736" s="41" t="n">
        <v>45194</v>
      </c>
      <c r="B736" s="41" t="n">
        <v>45194</v>
      </c>
      <c r="C736" s="42" t="n">
        <v>240.57</v>
      </c>
      <c r="D736" s="42" t="n">
        <v>0</v>
      </c>
      <c r="E736" s="42" t="inlineStr"/>
      <c r="F736" s="42" t="inlineStr">
        <is>
          <t>HDFC Securities - Buy</t>
        </is>
      </c>
      <c r="G736" s="18" t="n">
        <v>0.97</v>
      </c>
      <c r="H736" s="42" t="inlineStr">
        <is>
          <t>HDFC Securities</t>
        </is>
      </c>
      <c r="I736" s="42" t="inlineStr">
        <is>
          <t>HDFC 5413</t>
        </is>
      </c>
      <c r="J736" s="42" t="inlineStr"/>
      <c r="K736" s="42" t="inlineStr">
        <is>
          <t>NET PI TO HSL SEC A/C 2554606-00602340029427</t>
        </is>
      </c>
      <c r="L736" s="42" t="inlineStr">
        <is>
          <t>HDFC Bank</t>
        </is>
      </c>
      <c r="M736" s="42" t="inlineStr"/>
    </row>
    <row r="737">
      <c r="A737" s="41" t="n">
        <v>45195</v>
      </c>
      <c r="B737" s="41" t="n">
        <v>45195</v>
      </c>
      <c r="C737" s="42" t="n">
        <v>85.62</v>
      </c>
      <c r="D737" s="42" t="n">
        <v>0</v>
      </c>
      <c r="E737" s="42" t="inlineStr"/>
      <c r="F737" s="42" t="inlineStr">
        <is>
          <t>HDFC Securities - Buy</t>
        </is>
      </c>
      <c r="G737" s="18" t="n">
        <v>0.97</v>
      </c>
      <c r="H737" s="42" t="inlineStr">
        <is>
          <t>HDFC Securities</t>
        </is>
      </c>
      <c r="I737" s="42" t="inlineStr">
        <is>
          <t>HDFC 5413</t>
        </is>
      </c>
      <c r="J737" s="42" t="inlineStr"/>
      <c r="K737" s="42" t="inlineStr">
        <is>
          <t>NET PI TO HSL SEC A/C 2554606-00602340029427</t>
        </is>
      </c>
      <c r="L737" s="42" t="inlineStr">
        <is>
          <t>HDFC Bank</t>
        </is>
      </c>
      <c r="M737" s="42" t="inlineStr"/>
    </row>
    <row r="738">
      <c r="A738" s="41" t="n">
        <v>45196</v>
      </c>
      <c r="B738" s="41" t="n">
        <v>45196</v>
      </c>
      <c r="C738" s="42" t="n">
        <v>85.62</v>
      </c>
      <c r="D738" s="42" t="n">
        <v>0</v>
      </c>
      <c r="E738" s="42" t="inlineStr"/>
      <c r="F738" s="42" t="inlineStr">
        <is>
          <t>HDFC Securities - Buy</t>
        </is>
      </c>
      <c r="G738" s="18" t="n">
        <v>0.97</v>
      </c>
      <c r="H738" s="42" t="inlineStr">
        <is>
          <t>HDFC Securities</t>
        </is>
      </c>
      <c r="I738" s="42" t="inlineStr">
        <is>
          <t>HDFC 5413</t>
        </is>
      </c>
      <c r="J738" s="42" t="inlineStr"/>
      <c r="K738" s="42" t="inlineStr">
        <is>
          <t>NET PI TO HSL SEC A/C 2554606-00602340029427</t>
        </is>
      </c>
      <c r="L738" s="42" t="inlineStr">
        <is>
          <t>HDFC Bank</t>
        </is>
      </c>
      <c r="M738" s="42" t="inlineStr"/>
    </row>
    <row r="739">
      <c r="A739" s="58" t="n">
        <v>45196</v>
      </c>
      <c r="B739" s="58" t="n">
        <v>45196</v>
      </c>
      <c r="C739" s="59" t="n">
        <v>10000</v>
      </c>
      <c r="D739" s="59" t="n">
        <v>0</v>
      </c>
      <c r="E739" s="59" t="inlineStr"/>
      <c r="F739" s="59" t="inlineStr">
        <is>
          <t>SIP</t>
        </is>
      </c>
      <c r="G739" s="18" t="n">
        <v>0.9</v>
      </c>
      <c r="H739" s="59" t="inlineStr">
        <is>
          <t>SIP</t>
        </is>
      </c>
      <c r="I739" s="59" t="inlineStr">
        <is>
          <t>HDFC 5413</t>
        </is>
      </c>
      <c r="J739" s="59" t="inlineStr"/>
      <c r="K739" s="59" t="inlineStr">
        <is>
          <t>YHDF2090683091/BILLDKINDIANCLEARING</t>
        </is>
      </c>
      <c r="L739" s="59" t="inlineStr">
        <is>
          <t>HDFC Bank</t>
        </is>
      </c>
      <c r="M739" s="59" t="inlineStr"/>
    </row>
    <row r="740">
      <c r="A740" s="54" t="n">
        <v>45196</v>
      </c>
      <c r="B740" s="54" t="n">
        <v>45196</v>
      </c>
      <c r="C740" s="55" t="n">
        <v>0</v>
      </c>
      <c r="D740" s="55" t="n">
        <v>15791.65</v>
      </c>
      <c r="E740" s="55" t="inlineStr"/>
      <c r="F740" s="55" t="inlineStr">
        <is>
          <t>HDFC Securities - Sell</t>
        </is>
      </c>
      <c r="G740" s="18" t="n">
        <v>0.97</v>
      </c>
      <c r="H740" s="55" t="inlineStr">
        <is>
          <t>HDFC Securities</t>
        </is>
      </c>
      <c r="I740" s="55" t="inlineStr">
        <is>
          <t>HDFC 5413</t>
        </is>
      </c>
      <c r="J740" s="55" t="inlineStr"/>
      <c r="K740" s="55" t="inlineStr">
        <is>
          <t>NET PO FROM HSL A/C 2554606-50200085415108</t>
        </is>
      </c>
      <c r="L740" s="55" t="inlineStr">
        <is>
          <t>HDFC Bank</t>
        </is>
      </c>
      <c r="M740" s="55" t="inlineStr"/>
    </row>
    <row r="741">
      <c r="A741" s="41" t="n">
        <v>45197</v>
      </c>
      <c r="B741" s="41" t="n">
        <v>45197</v>
      </c>
      <c r="C741" s="42" t="n">
        <v>5105.12</v>
      </c>
      <c r="D741" s="42" t="n">
        <v>0</v>
      </c>
      <c r="E741" s="42" t="inlineStr"/>
      <c r="F741" s="42" t="inlineStr">
        <is>
          <t>HDFC Securities - Buy</t>
        </is>
      </c>
      <c r="G741" s="18" t="n">
        <v>0.97</v>
      </c>
      <c r="H741" s="42" t="inlineStr">
        <is>
          <t>HDFC Securities</t>
        </is>
      </c>
      <c r="I741" s="42" t="inlineStr">
        <is>
          <t>HDFC 5413</t>
        </is>
      </c>
      <c r="J741" s="42" t="inlineStr"/>
      <c r="K741" s="42" t="inlineStr">
        <is>
          <t>NET PI TO HSL SEC A/C 2554606-00602340029427</t>
        </is>
      </c>
      <c r="L741" s="42" t="inlineStr">
        <is>
          <t>HDFC Bank</t>
        </is>
      </c>
      <c r="M741" s="42" t="inlineStr"/>
    </row>
    <row r="742">
      <c r="A742" s="41" t="n">
        <v>45197</v>
      </c>
      <c r="B742" s="41" t="n">
        <v>45197</v>
      </c>
      <c r="C742" s="42" t="n">
        <v>71.40000000000001</v>
      </c>
      <c r="D742" s="42" t="n">
        <v>0</v>
      </c>
      <c r="E742" s="42" t="inlineStr"/>
      <c r="F742" s="42" t="inlineStr">
        <is>
          <t>HDFC Securities - Buy</t>
        </is>
      </c>
      <c r="G742" s="18" t="n">
        <v>0.97</v>
      </c>
      <c r="H742" s="42" t="inlineStr">
        <is>
          <t>HDFC Securities</t>
        </is>
      </c>
      <c r="I742" s="42" t="inlineStr">
        <is>
          <t>HDFC 5413</t>
        </is>
      </c>
      <c r="J742" s="42" t="inlineStr"/>
      <c r="K742" s="42" t="inlineStr">
        <is>
          <t>NET PI TO HSL SEC A/C 2554606-00602340029427</t>
        </is>
      </c>
      <c r="L742" s="42" t="inlineStr">
        <is>
          <t>HDFC Bank</t>
        </is>
      </c>
      <c r="M742" s="42" t="inlineStr"/>
    </row>
    <row r="743">
      <c r="A743" s="54" t="n">
        <v>45197</v>
      </c>
      <c r="B743" s="54" t="n">
        <v>45197</v>
      </c>
      <c r="C743" s="55" t="n">
        <v>0</v>
      </c>
      <c r="D743" s="55" t="n">
        <v>11623.62</v>
      </c>
      <c r="E743" s="55" t="inlineStr"/>
      <c r="F743" s="55" t="inlineStr">
        <is>
          <t>HDFC Securities - Sell</t>
        </is>
      </c>
      <c r="G743" s="18" t="n">
        <v>0.97</v>
      </c>
      <c r="H743" s="55" t="inlineStr">
        <is>
          <t>HDFC Securities</t>
        </is>
      </c>
      <c r="I743" s="55" t="inlineStr">
        <is>
          <t>HDFC 5413</t>
        </is>
      </c>
      <c r="J743" s="55" t="inlineStr"/>
      <c r="K743" s="55" t="inlineStr">
        <is>
          <t>NET PO FROM HSL A/C 2554606-50200085415108</t>
        </is>
      </c>
      <c r="L743" s="55" t="inlineStr">
        <is>
          <t>HDFC Bank</t>
        </is>
      </c>
      <c r="M743" s="55" t="inlineStr"/>
    </row>
    <row r="744">
      <c r="A744" s="41" t="n">
        <v>45197</v>
      </c>
      <c r="B744" s="41" t="n">
        <v>45197</v>
      </c>
      <c r="C744" s="42" t="n">
        <v>98.13</v>
      </c>
      <c r="D744" s="42" t="n">
        <v>0</v>
      </c>
      <c r="E744" s="42" t="inlineStr"/>
      <c r="F744" s="42" t="inlineStr">
        <is>
          <t>HDFC Securities - Buy</t>
        </is>
      </c>
      <c r="G744" s="18" t="n">
        <v>0.97</v>
      </c>
      <c r="H744" s="42" t="inlineStr">
        <is>
          <t>HDFC Securities</t>
        </is>
      </c>
      <c r="I744" s="42" t="inlineStr">
        <is>
          <t>HDFC 5413</t>
        </is>
      </c>
      <c r="J744" s="42" t="inlineStr"/>
      <c r="K744" s="42" t="inlineStr">
        <is>
          <t>NET PI TO HSL SEC A/C 2554606-00602340029427</t>
        </is>
      </c>
      <c r="L744" s="42" t="inlineStr">
        <is>
          <t>HDFC Bank</t>
        </is>
      </c>
      <c r="M744" s="42" t="inlineStr"/>
    </row>
    <row r="745">
      <c r="A745" s="64" t="n">
        <v>45198</v>
      </c>
      <c r="B745" s="64" t="n">
        <v>45198</v>
      </c>
      <c r="C745" s="65" t="n">
        <v>0</v>
      </c>
      <c r="D745" s="65" t="n">
        <v>186</v>
      </c>
      <c r="E745" s="65" t="inlineStr"/>
      <c r="F745" s="65" t="inlineStr">
        <is>
          <t>Dividend Income</t>
        </is>
      </c>
      <c r="G745" s="18" t="n">
        <v>0.85</v>
      </c>
      <c r="H745" s="65" t="inlineStr">
        <is>
          <t>Dividend Income</t>
        </is>
      </c>
      <c r="I745" s="65" t="inlineStr">
        <is>
          <t>HDFC 5413</t>
        </is>
      </c>
      <c r="J745" s="65" t="inlineStr"/>
      <c r="K745" s="65" t="inlineStr">
        <is>
          <t>GARWARE TEC DIV22 2300000000000000007972</t>
        </is>
      </c>
      <c r="L745" s="65" t="inlineStr">
        <is>
          <t>HDFC Bank</t>
        </is>
      </c>
      <c r="M745" s="65" t="inlineStr"/>
    </row>
    <row r="746">
      <c r="A746" s="41" t="n">
        <v>45198</v>
      </c>
      <c r="B746" s="41" t="n">
        <v>45198</v>
      </c>
      <c r="C746" s="42" t="n">
        <v>65.98999999999999</v>
      </c>
      <c r="D746" s="42" t="n">
        <v>0</v>
      </c>
      <c r="E746" s="42" t="inlineStr"/>
      <c r="F746" s="42" t="inlineStr">
        <is>
          <t>HDFC Securities - Buy</t>
        </is>
      </c>
      <c r="G746" s="18" t="n">
        <v>0.97</v>
      </c>
      <c r="H746" s="42" t="inlineStr">
        <is>
          <t>HDFC Securities</t>
        </is>
      </c>
      <c r="I746" s="42" t="inlineStr">
        <is>
          <t>HDFC 5413</t>
        </is>
      </c>
      <c r="J746" s="42" t="inlineStr"/>
      <c r="K746" s="42" t="inlineStr">
        <is>
          <t>NET PI TO HSL SEC A/C 2554606-00602340029427</t>
        </is>
      </c>
      <c r="L746" s="42" t="inlineStr">
        <is>
          <t>HDFC Bank</t>
        </is>
      </c>
      <c r="M746" s="42" t="inlineStr"/>
    </row>
    <row r="747">
      <c r="A747" s="68" t="n">
        <v>45198</v>
      </c>
      <c r="B747" s="68" t="n">
        <v>45198</v>
      </c>
      <c r="C747" s="69" t="n">
        <v>14994</v>
      </c>
      <c r="D747" s="69" t="n">
        <v>0</v>
      </c>
      <c r="E747" s="69" t="inlineStr"/>
      <c r="F747" s="69" t="inlineStr">
        <is>
          <t>IPO - JSW Infra</t>
        </is>
      </c>
      <c r="G747" s="18" t="n">
        <v>0.92</v>
      </c>
      <c r="H747" s="69" t="inlineStr">
        <is>
          <t>IPO</t>
        </is>
      </c>
      <c r="I747" s="69" t="inlineStr">
        <is>
          <t>HDFC 5413</t>
        </is>
      </c>
      <c r="J747" s="69" t="inlineStr"/>
      <c r="K747" s="69" t="inlineStr">
        <is>
          <t>JSINFRA/2400024055226136-50200036338720</t>
        </is>
      </c>
      <c r="L747" s="69" t="inlineStr">
        <is>
          <t>HDFC Bank</t>
        </is>
      </c>
      <c r="M747" s="69" t="inlineStr"/>
    </row>
    <row r="748">
      <c r="A748" s="41" t="n">
        <v>45198</v>
      </c>
      <c r="B748" s="41" t="n">
        <v>45198</v>
      </c>
      <c r="C748" s="42" t="n">
        <v>10971.38</v>
      </c>
      <c r="D748" s="42" t="n">
        <v>0</v>
      </c>
      <c r="E748" s="42" t="inlineStr"/>
      <c r="F748" s="42" t="inlineStr">
        <is>
          <t>HDFC Securities - Buy</t>
        </is>
      </c>
      <c r="G748" s="18" t="n">
        <v>0.97</v>
      </c>
      <c r="H748" s="42" t="inlineStr">
        <is>
          <t>HDFC Securities</t>
        </is>
      </c>
      <c r="I748" s="42" t="inlineStr">
        <is>
          <t>HDFC 5413</t>
        </is>
      </c>
      <c r="J748" s="42" t="inlineStr"/>
      <c r="K748" s="42" t="inlineStr">
        <is>
          <t>NET PI TO HSL SEC A/C 2554606-00602340029427</t>
        </is>
      </c>
      <c r="L748" s="42" t="inlineStr">
        <is>
          <t>HDFC Bank</t>
        </is>
      </c>
      <c r="M748" s="42" t="inlineStr"/>
    </row>
    <row r="749">
      <c r="A749" s="87" t="n">
        <v>45199</v>
      </c>
      <c r="B749" s="87" t="n">
        <v>45199</v>
      </c>
      <c r="C749" s="88" t="n">
        <v>50</v>
      </c>
      <c r="D749" s="88" t="n">
        <v>0</v>
      </c>
      <c r="E749" s="88" t="inlineStr"/>
      <c r="F749" s="88" t="inlineStr">
        <is>
          <t>Contra - Kotak</t>
        </is>
      </c>
      <c r="G749" s="18" t="n">
        <v>0.9</v>
      </c>
      <c r="H749" s="88" t="inlineStr">
        <is>
          <t>KOTAK 0333</t>
        </is>
      </c>
      <c r="I749" s="88" t="inlineStr">
        <is>
          <t>FEDERAL 0847</t>
        </is>
      </c>
      <c r="J749" s="88" t="inlineStr"/>
      <c r="K749" s="88" t="inlineStr">
        <is>
          <t>UPIOUT/327347997687/aayush20gupta@oksbi/Se
nt/0000</t>
        </is>
      </c>
      <c r="L749" s="88" t="inlineStr">
        <is>
          <t>Federal Bank (Jupiter)</t>
        </is>
      </c>
      <c r="M749" s="88" t="inlineStr">
        <is>
          <t>⚠ Possible Duplicate</t>
        </is>
      </c>
    </row>
    <row r="750">
      <c r="A750" s="87" t="n">
        <v>45199</v>
      </c>
      <c r="B750" s="87" t="n">
        <v>45199</v>
      </c>
      <c r="C750" s="88" t="n">
        <v>50</v>
      </c>
      <c r="D750" s="88" t="n">
        <v>0</v>
      </c>
      <c r="E750" s="88" t="inlineStr"/>
      <c r="F750" s="88" t="inlineStr">
        <is>
          <t>Contra - Kotak</t>
        </is>
      </c>
      <c r="G750" s="18" t="n">
        <v>0.9</v>
      </c>
      <c r="H750" s="88" t="inlineStr">
        <is>
          <t>KOTAK 0333</t>
        </is>
      </c>
      <c r="I750" s="88" t="inlineStr">
        <is>
          <t>FEDERAL 0847</t>
        </is>
      </c>
      <c r="J750" s="88" t="inlineStr"/>
      <c r="K750" s="88" t="inlineStr">
        <is>
          <t>UPIOUT/327348027549/aayush20gupta@oksbi/Se
nt/0000</t>
        </is>
      </c>
      <c r="L750" s="88" t="inlineStr">
        <is>
          <t>Federal Bank (Jupiter)</t>
        </is>
      </c>
      <c r="M750" s="88" t="inlineStr">
        <is>
          <t>⚠ Possible Duplicate</t>
        </is>
      </c>
    </row>
    <row r="751">
      <c r="A751" s="87" t="n">
        <v>45199</v>
      </c>
      <c r="B751" s="87" t="n">
        <v>45199</v>
      </c>
      <c r="C751" s="88" t="n">
        <v>50</v>
      </c>
      <c r="D751" s="88" t="n">
        <v>0</v>
      </c>
      <c r="E751" s="88" t="inlineStr"/>
      <c r="F751" s="88" t="inlineStr">
        <is>
          <t>Contra - Kotak</t>
        </is>
      </c>
      <c r="G751" s="18" t="n">
        <v>0.9</v>
      </c>
      <c r="H751" s="88" t="inlineStr">
        <is>
          <t>KOTAK 0333</t>
        </is>
      </c>
      <c r="I751" s="88" t="inlineStr">
        <is>
          <t>FEDERAL 0847</t>
        </is>
      </c>
      <c r="J751" s="88" t="inlineStr"/>
      <c r="K751" s="88" t="inlineStr">
        <is>
          <t>UPIOUT/327348037249/aayush20gupta@oksbi/Se
nt/0000</t>
        </is>
      </c>
      <c r="L751" s="88" t="inlineStr">
        <is>
          <t>Federal Bank (Jupiter)</t>
        </is>
      </c>
      <c r="M751" s="88" t="inlineStr">
        <is>
          <t>⚠ Possible Duplicate</t>
        </is>
      </c>
    </row>
    <row r="752">
      <c r="A752" s="87" t="n">
        <v>45199</v>
      </c>
      <c r="B752" s="87" t="n">
        <v>45199</v>
      </c>
      <c r="C752" s="88" t="n">
        <v>50</v>
      </c>
      <c r="D752" s="88" t="n">
        <v>0</v>
      </c>
      <c r="E752" s="88" t="inlineStr"/>
      <c r="F752" s="88" t="inlineStr">
        <is>
          <t>Contra - Kotak</t>
        </is>
      </c>
      <c r="G752" s="18" t="n">
        <v>0.9</v>
      </c>
      <c r="H752" s="88" t="inlineStr">
        <is>
          <t>KOTAK 0333</t>
        </is>
      </c>
      <c r="I752" s="88" t="inlineStr">
        <is>
          <t>FEDERAL 0847</t>
        </is>
      </c>
      <c r="J752" s="88" t="inlineStr"/>
      <c r="K752" s="88" t="inlineStr">
        <is>
          <t>UPIOUT/327348040791/aayush20gupta@oksbi/Se
nt/0000</t>
        </is>
      </c>
      <c r="L752" s="88" t="inlineStr">
        <is>
          <t>Federal Bank (Jupiter)</t>
        </is>
      </c>
      <c r="M752" s="88" t="inlineStr">
        <is>
          <t>⚠ Possible Duplicate</t>
        </is>
      </c>
    </row>
    <row r="753">
      <c r="A753" s="87" t="n">
        <v>45199</v>
      </c>
      <c r="B753" s="87" t="n">
        <v>45199</v>
      </c>
      <c r="C753" s="88" t="n">
        <v>50</v>
      </c>
      <c r="D753" s="88" t="n">
        <v>0</v>
      </c>
      <c r="E753" s="88" t="inlineStr"/>
      <c r="F753" s="88" t="inlineStr">
        <is>
          <t>Contra - Kotak</t>
        </is>
      </c>
      <c r="G753" s="18" t="n">
        <v>0.9</v>
      </c>
      <c r="H753" s="88" t="inlineStr">
        <is>
          <t>KOTAK 0333</t>
        </is>
      </c>
      <c r="I753" s="88" t="inlineStr">
        <is>
          <t>FEDERAL 0847</t>
        </is>
      </c>
      <c r="J753" s="88" t="inlineStr"/>
      <c r="K753" s="88" t="inlineStr">
        <is>
          <t>UPIOUT/327348053384/aayush20gupta@oksbi/Se
nt/0000</t>
        </is>
      </c>
      <c r="L753" s="88" t="inlineStr">
        <is>
          <t>Federal Bank (Jupiter)</t>
        </is>
      </c>
      <c r="M753" s="88" t="inlineStr">
        <is>
          <t>⚠ Possible Duplicate</t>
        </is>
      </c>
    </row>
    <row r="754">
      <c r="A754" s="87" t="n">
        <v>45199</v>
      </c>
      <c r="B754" s="87" t="n">
        <v>45199</v>
      </c>
      <c r="C754" s="88" t="n">
        <v>50</v>
      </c>
      <c r="D754" s="88" t="n">
        <v>0</v>
      </c>
      <c r="E754" s="88" t="inlineStr"/>
      <c r="F754" s="88" t="inlineStr">
        <is>
          <t>Contra - Kotak</t>
        </is>
      </c>
      <c r="G754" s="18" t="n">
        <v>0.9</v>
      </c>
      <c r="H754" s="88" t="inlineStr">
        <is>
          <t>KOTAK 0333</t>
        </is>
      </c>
      <c r="I754" s="88" t="inlineStr">
        <is>
          <t>FEDERAL 0847</t>
        </is>
      </c>
      <c r="J754" s="88" t="inlineStr"/>
      <c r="K754" s="88" t="inlineStr">
        <is>
          <t>UPIOUT/327348049059/aayush20gupta@oksbi/Se
nt/0000</t>
        </is>
      </c>
      <c r="L754" s="88" t="inlineStr">
        <is>
          <t>Federal Bank (Jupiter)</t>
        </is>
      </c>
      <c r="M754" s="88" t="inlineStr">
        <is>
          <t>⚠ Possible Duplicate</t>
        </is>
      </c>
    </row>
    <row r="755">
      <c r="A755" s="87" t="n">
        <v>45199</v>
      </c>
      <c r="B755" s="87" t="n">
        <v>45199</v>
      </c>
      <c r="C755" s="88" t="n">
        <v>50</v>
      </c>
      <c r="D755" s="88" t="n">
        <v>0</v>
      </c>
      <c r="E755" s="88" t="inlineStr"/>
      <c r="F755" s="88" t="inlineStr">
        <is>
          <t>Contra - Kotak</t>
        </is>
      </c>
      <c r="G755" s="18" t="n">
        <v>0.9</v>
      </c>
      <c r="H755" s="88" t="inlineStr">
        <is>
          <t>KOTAK 0333</t>
        </is>
      </c>
      <c r="I755" s="88" t="inlineStr">
        <is>
          <t>FEDERAL 0847</t>
        </is>
      </c>
      <c r="J755" s="88" t="inlineStr"/>
      <c r="K755" s="88" t="inlineStr">
        <is>
          <t>UPIOUT/327348022692/aayush20gupta@oksbi/Se
nt/0000</t>
        </is>
      </c>
      <c r="L755" s="88" t="inlineStr">
        <is>
          <t>Federal Bank (Jupiter)</t>
        </is>
      </c>
      <c r="M755" s="88" t="inlineStr">
        <is>
          <t>⚠ Possible Duplicate</t>
        </is>
      </c>
    </row>
    <row r="756">
      <c r="A756" s="87" t="n">
        <v>45199</v>
      </c>
      <c r="B756" s="87" t="n">
        <v>45199</v>
      </c>
      <c r="C756" s="88" t="n">
        <v>50</v>
      </c>
      <c r="D756" s="88" t="n">
        <v>0</v>
      </c>
      <c r="E756" s="88" t="inlineStr"/>
      <c r="F756" s="88" t="inlineStr">
        <is>
          <t>Contra - Kotak</t>
        </is>
      </c>
      <c r="G756" s="18" t="n">
        <v>0.9</v>
      </c>
      <c r="H756" s="88" t="inlineStr">
        <is>
          <t>KOTAK 0333</t>
        </is>
      </c>
      <c r="I756" s="88" t="inlineStr">
        <is>
          <t>FEDERAL 0847</t>
        </is>
      </c>
      <c r="J756" s="88" t="inlineStr"/>
      <c r="K756" s="88" t="inlineStr">
        <is>
          <t>UPIOUT/327348057342/aayush20gupta@oksbi/Se
nt/0000</t>
        </is>
      </c>
      <c r="L756" s="88" t="inlineStr">
        <is>
          <t>Federal Bank (Jupiter)</t>
        </is>
      </c>
      <c r="M756" s="88" t="inlineStr">
        <is>
          <t>⚠ Possible Duplicate</t>
        </is>
      </c>
    </row>
    <row r="757">
      <c r="A757" s="87" t="n">
        <v>45199</v>
      </c>
      <c r="B757" s="87" t="n">
        <v>45199</v>
      </c>
      <c r="C757" s="88" t="n">
        <v>50</v>
      </c>
      <c r="D757" s="88" t="n">
        <v>0</v>
      </c>
      <c r="E757" s="88" t="inlineStr"/>
      <c r="F757" s="88" t="inlineStr">
        <is>
          <t>Contra - Kotak</t>
        </is>
      </c>
      <c r="G757" s="18" t="n">
        <v>0.9</v>
      </c>
      <c r="H757" s="88" t="inlineStr">
        <is>
          <t>KOTAK 0333</t>
        </is>
      </c>
      <c r="I757" s="88" t="inlineStr">
        <is>
          <t>FEDERAL 0847</t>
        </is>
      </c>
      <c r="J757" s="88" t="inlineStr"/>
      <c r="K757" s="88" t="inlineStr">
        <is>
          <t>UPIOUT/327348061477/aayush20gupta@oksbi/Se
nt/0000</t>
        </is>
      </c>
      <c r="L757" s="88" t="inlineStr">
        <is>
          <t>Federal Bank (Jupiter)</t>
        </is>
      </c>
      <c r="M757" s="88" t="inlineStr">
        <is>
          <t>⚠ Possible Duplicate</t>
        </is>
      </c>
    </row>
    <row r="758">
      <c r="A758" s="87" t="n">
        <v>45199</v>
      </c>
      <c r="B758" s="87" t="n">
        <v>45199</v>
      </c>
      <c r="C758" s="88" t="n">
        <v>50</v>
      </c>
      <c r="D758" s="88" t="n">
        <v>0</v>
      </c>
      <c r="E758" s="88" t="inlineStr"/>
      <c r="F758" s="88" t="inlineStr">
        <is>
          <t>Contra - Kotak</t>
        </is>
      </c>
      <c r="G758" s="18" t="n">
        <v>0.9</v>
      </c>
      <c r="H758" s="88" t="inlineStr">
        <is>
          <t>KOTAK 0333</t>
        </is>
      </c>
      <c r="I758" s="88" t="inlineStr">
        <is>
          <t>FEDERAL 0847</t>
        </is>
      </c>
      <c r="J758" s="88" t="inlineStr"/>
      <c r="K758" s="88" t="inlineStr">
        <is>
          <t>UPIOUT/327348044976/aayush20gupta@oksbi/Se
nt/0000</t>
        </is>
      </c>
      <c r="L758" s="88" t="inlineStr">
        <is>
          <t>Federal Bank (Jupiter)</t>
        </is>
      </c>
      <c r="M758" s="88" t="inlineStr">
        <is>
          <t>⚠ Possible Duplicate</t>
        </is>
      </c>
    </row>
    <row r="759">
      <c r="A759" s="87" t="n">
        <v>45199</v>
      </c>
      <c r="B759" s="87" t="n">
        <v>45199</v>
      </c>
      <c r="C759" s="88" t="n">
        <v>50</v>
      </c>
      <c r="D759" s="88" t="n">
        <v>0</v>
      </c>
      <c r="E759" s="88" t="inlineStr"/>
      <c r="F759" s="88" t="inlineStr">
        <is>
          <t>Contra - Kotak</t>
        </is>
      </c>
      <c r="G759" s="18" t="n">
        <v>0.9</v>
      </c>
      <c r="H759" s="88" t="inlineStr">
        <is>
          <t>KOTAK 0333</t>
        </is>
      </c>
      <c r="I759" s="88" t="inlineStr">
        <is>
          <t>FEDERAL 0847</t>
        </is>
      </c>
      <c r="J759" s="88" t="inlineStr"/>
      <c r="K759" s="88" t="inlineStr">
        <is>
          <t>UPIOUT/327348017047/aayush20gupta@oksbi/Se
nt/0000</t>
        </is>
      </c>
      <c r="L759" s="88" t="inlineStr">
        <is>
          <t>Federal Bank (Jupiter)</t>
        </is>
      </c>
      <c r="M759" s="88" t="inlineStr">
        <is>
          <t>⚠ Possible Duplicate</t>
        </is>
      </c>
    </row>
    <row r="760">
      <c r="A760" s="87" t="n">
        <v>45199</v>
      </c>
      <c r="B760" s="87" t="n">
        <v>45199</v>
      </c>
      <c r="C760" s="88" t="n">
        <v>50</v>
      </c>
      <c r="D760" s="88" t="n">
        <v>0</v>
      </c>
      <c r="E760" s="88" t="inlineStr"/>
      <c r="F760" s="88" t="inlineStr">
        <is>
          <t>Contra - Kotak</t>
        </is>
      </c>
      <c r="G760" s="18" t="n">
        <v>0.9</v>
      </c>
      <c r="H760" s="88" t="inlineStr">
        <is>
          <t>KOTAK 0333</t>
        </is>
      </c>
      <c r="I760" s="88" t="inlineStr">
        <is>
          <t>FEDERAL 0847</t>
        </is>
      </c>
      <c r="J760" s="88" t="inlineStr"/>
      <c r="K760" s="88" t="inlineStr">
        <is>
          <t>UPIOUT/327347985091/aayush20gupta@oksbi/Se
nt/0000</t>
        </is>
      </c>
      <c r="L760" s="88" t="inlineStr">
        <is>
          <t>Federal Bank (Jupiter)</t>
        </is>
      </c>
      <c r="M760" s="88" t="inlineStr">
        <is>
          <t>⚠ Possible Duplicate</t>
        </is>
      </c>
    </row>
    <row r="761">
      <c r="A761" s="87" t="n">
        <v>45199</v>
      </c>
      <c r="B761" s="87" t="n">
        <v>45199</v>
      </c>
      <c r="C761" s="88" t="n">
        <v>50</v>
      </c>
      <c r="D761" s="88" t="n">
        <v>0</v>
      </c>
      <c r="E761" s="88" t="inlineStr"/>
      <c r="F761" s="88" t="inlineStr">
        <is>
          <t>Contra - Kotak</t>
        </is>
      </c>
      <c r="G761" s="18" t="n">
        <v>0.9</v>
      </c>
      <c r="H761" s="88" t="inlineStr">
        <is>
          <t>KOTAK 0333</t>
        </is>
      </c>
      <c r="I761" s="88" t="inlineStr">
        <is>
          <t>FEDERAL 0847</t>
        </is>
      </c>
      <c r="J761" s="88" t="inlineStr"/>
      <c r="K761" s="88" t="inlineStr">
        <is>
          <t>UPIOUT/327348005114/aayush20gupta@oksbi/Se
nt/0000</t>
        </is>
      </c>
      <c r="L761" s="88" t="inlineStr">
        <is>
          <t>Federal Bank (Jupiter)</t>
        </is>
      </c>
      <c r="M761" s="88" t="inlineStr">
        <is>
          <t>⚠ Possible Duplicate</t>
        </is>
      </c>
    </row>
    <row r="762">
      <c r="A762" s="87" t="n">
        <v>45199</v>
      </c>
      <c r="B762" s="87" t="n">
        <v>45199</v>
      </c>
      <c r="C762" s="88" t="n">
        <v>50</v>
      </c>
      <c r="D762" s="88" t="n">
        <v>0</v>
      </c>
      <c r="E762" s="88" t="inlineStr"/>
      <c r="F762" s="88" t="inlineStr">
        <is>
          <t>Contra - Kotak</t>
        </is>
      </c>
      <c r="G762" s="18" t="n">
        <v>0.9</v>
      </c>
      <c r="H762" s="88" t="inlineStr">
        <is>
          <t>KOTAK 0333</t>
        </is>
      </c>
      <c r="I762" s="88" t="inlineStr">
        <is>
          <t>FEDERAL 0847</t>
        </is>
      </c>
      <c r="J762" s="88" t="inlineStr"/>
      <c r="K762" s="88" t="inlineStr">
        <is>
          <t>UPIOUT/327347989422/aayush20gupta@oksbi/Se
nt/0000</t>
        </is>
      </c>
      <c r="L762" s="88" t="inlineStr">
        <is>
          <t>Federal Bank (Jupiter)</t>
        </is>
      </c>
      <c r="M762" s="88" t="inlineStr">
        <is>
          <t>⚠ Possible Duplicate</t>
        </is>
      </c>
    </row>
    <row r="763">
      <c r="A763" s="87" t="n">
        <v>45199</v>
      </c>
      <c r="B763" s="87" t="n">
        <v>45199</v>
      </c>
      <c r="C763" s="88" t="n">
        <v>50</v>
      </c>
      <c r="D763" s="88" t="n">
        <v>0</v>
      </c>
      <c r="E763" s="88" t="inlineStr"/>
      <c r="F763" s="88" t="inlineStr">
        <is>
          <t>Contra - Kotak</t>
        </is>
      </c>
      <c r="G763" s="18" t="n">
        <v>0.9</v>
      </c>
      <c r="H763" s="88" t="inlineStr">
        <is>
          <t>KOTAK 0333</t>
        </is>
      </c>
      <c r="I763" s="88" t="inlineStr">
        <is>
          <t>FEDERAL 0847</t>
        </is>
      </c>
      <c r="J763" s="88" t="inlineStr"/>
      <c r="K763" s="88" t="inlineStr">
        <is>
          <t>UPIOUT/327348078195/aayush20gupta@oksbi/Se
nt/0000</t>
        </is>
      </c>
      <c r="L763" s="88" t="inlineStr">
        <is>
          <t>Federal Bank (Jupiter)</t>
        </is>
      </c>
      <c r="M763" s="88" t="inlineStr">
        <is>
          <t>⚠ Possible Duplicate</t>
        </is>
      </c>
    </row>
    <row r="764">
      <c r="A764" s="87" t="n">
        <v>45199</v>
      </c>
      <c r="B764" s="87" t="n">
        <v>45199</v>
      </c>
      <c r="C764" s="88" t="n">
        <v>0</v>
      </c>
      <c r="D764" s="88" t="n">
        <v>1000</v>
      </c>
      <c r="E764" s="88" t="inlineStr"/>
      <c r="F764" s="88" t="inlineStr">
        <is>
          <t>Contra - Kotak</t>
        </is>
      </c>
      <c r="G764" s="18" t="n">
        <v>0.9</v>
      </c>
      <c r="H764" s="88" t="inlineStr">
        <is>
          <t>KOTAK 0333</t>
        </is>
      </c>
      <c r="I764" s="88" t="inlineStr">
        <is>
          <t>FEDERAL 0847</t>
        </is>
      </c>
      <c r="J764" s="88" t="inlineStr"/>
      <c r="K764" s="88" t="inlineStr">
        <is>
          <t>UPI IN/327347976871/9594435259@jupiteraxis
/A/0000</t>
        </is>
      </c>
      <c r="L764" s="88" t="inlineStr">
        <is>
          <t>Federal Bank (Jupiter)</t>
        </is>
      </c>
      <c r="M764" s="88" t="inlineStr"/>
    </row>
    <row r="765">
      <c r="A765" s="87" t="n">
        <v>45199</v>
      </c>
      <c r="B765" s="87" t="n">
        <v>45199</v>
      </c>
      <c r="C765" s="88" t="n">
        <v>50</v>
      </c>
      <c r="D765" s="88" t="n">
        <v>0</v>
      </c>
      <c r="E765" s="88" t="inlineStr"/>
      <c r="F765" s="88" t="inlineStr">
        <is>
          <t>Contra - Kotak</t>
        </is>
      </c>
      <c r="G765" s="18" t="n">
        <v>0.9</v>
      </c>
      <c r="H765" s="88" t="inlineStr">
        <is>
          <t>KOTAK 0333</t>
        </is>
      </c>
      <c r="I765" s="88" t="inlineStr">
        <is>
          <t>FEDERAL 0847</t>
        </is>
      </c>
      <c r="J765" s="88" t="inlineStr"/>
      <c r="K765" s="88" t="inlineStr">
        <is>
          <t>UPIOUT/327347525145/aayush20gupta@oksbi/Se
nt/0000</t>
        </is>
      </c>
      <c r="L765" s="88" t="inlineStr">
        <is>
          <t>Federal Bank (Jupiter)</t>
        </is>
      </c>
      <c r="M765" s="88" t="inlineStr">
        <is>
          <t>⚠ Possible Duplicate</t>
        </is>
      </c>
    </row>
    <row r="766">
      <c r="A766" s="87" t="n">
        <v>45199</v>
      </c>
      <c r="B766" s="87" t="n">
        <v>45199</v>
      </c>
      <c r="C766" s="88" t="n">
        <v>50</v>
      </c>
      <c r="D766" s="88" t="n">
        <v>0</v>
      </c>
      <c r="E766" s="88" t="inlineStr"/>
      <c r="F766" s="88" t="inlineStr">
        <is>
          <t>Contra - Kotak</t>
        </is>
      </c>
      <c r="G766" s="18" t="n">
        <v>0.9</v>
      </c>
      <c r="H766" s="88" t="inlineStr">
        <is>
          <t>KOTAK 0333</t>
        </is>
      </c>
      <c r="I766" s="88" t="inlineStr">
        <is>
          <t>FEDERAL 0847</t>
        </is>
      </c>
      <c r="J766" s="88" t="inlineStr"/>
      <c r="K766" s="88" t="inlineStr">
        <is>
          <t>UPIOUT/327348090241/aayush20gupta@oksbi/Se
nt/0000</t>
        </is>
      </c>
      <c r="L766" s="88" t="inlineStr">
        <is>
          <t>Federal Bank (Jupiter)</t>
        </is>
      </c>
      <c r="M766" s="88" t="inlineStr">
        <is>
          <t>⚠ Possible Duplicate</t>
        </is>
      </c>
    </row>
    <row r="767">
      <c r="A767" s="87" t="n">
        <v>45199</v>
      </c>
      <c r="B767" s="87" t="n">
        <v>45199</v>
      </c>
      <c r="C767" s="88" t="n">
        <v>50</v>
      </c>
      <c r="D767" s="88" t="n">
        <v>0</v>
      </c>
      <c r="E767" s="88" t="inlineStr"/>
      <c r="F767" s="88" t="inlineStr">
        <is>
          <t>Contra - Kotak</t>
        </is>
      </c>
      <c r="G767" s="18" t="n">
        <v>0.9</v>
      </c>
      <c r="H767" s="88" t="inlineStr">
        <is>
          <t>KOTAK 0333</t>
        </is>
      </c>
      <c r="I767" s="88" t="inlineStr">
        <is>
          <t>FEDERAL 0847</t>
        </is>
      </c>
      <c r="J767" s="88" t="inlineStr"/>
      <c r="K767" s="88" t="inlineStr">
        <is>
          <t>UPIOUT/327348012148/aayush20gupta@oksbi/Se
nt/0000</t>
        </is>
      </c>
      <c r="L767" s="88" t="inlineStr">
        <is>
          <t>Federal Bank (Jupiter)</t>
        </is>
      </c>
      <c r="M767" s="88" t="inlineStr">
        <is>
          <t>⚠ Possible Duplicate</t>
        </is>
      </c>
    </row>
    <row r="768">
      <c r="A768" s="87" t="n">
        <v>45199</v>
      </c>
      <c r="B768" s="87" t="n">
        <v>45199</v>
      </c>
      <c r="C768" s="88" t="n">
        <v>50</v>
      </c>
      <c r="D768" s="88" t="n">
        <v>0</v>
      </c>
      <c r="E768" s="88" t="inlineStr"/>
      <c r="F768" s="88" t="inlineStr">
        <is>
          <t>Contra - Kotak</t>
        </is>
      </c>
      <c r="G768" s="18" t="n">
        <v>0.9</v>
      </c>
      <c r="H768" s="88" t="inlineStr">
        <is>
          <t>KOTAK 0333</t>
        </is>
      </c>
      <c r="I768" s="88" t="inlineStr">
        <is>
          <t>FEDERAL 0847</t>
        </is>
      </c>
      <c r="J768" s="88" t="inlineStr"/>
      <c r="K768" s="88" t="inlineStr">
        <is>
          <t>UPIOUT/327348085266/aayush20gupta@oksbi/Se
nt/0000</t>
        </is>
      </c>
      <c r="L768" s="88" t="inlineStr">
        <is>
          <t>Federal Bank (Jupiter)</t>
        </is>
      </c>
      <c r="M768" s="88" t="inlineStr">
        <is>
          <t>⚠ Possible Duplicate</t>
        </is>
      </c>
    </row>
    <row r="769">
      <c r="A769" s="30" t="n">
        <v>45200</v>
      </c>
      <c r="B769" s="30" t="n">
        <v>45200</v>
      </c>
      <c r="C769" s="31" t="n">
        <v>0</v>
      </c>
      <c r="D769" s="31" t="n">
        <v>357</v>
      </c>
      <c r="E769" s="31" t="inlineStr"/>
      <c r="F769" s="31" t="inlineStr">
        <is>
          <t>Bank Interest</t>
        </is>
      </c>
      <c r="G769" s="18" t="n">
        <v>0.93</v>
      </c>
      <c r="H769" s="31" t="inlineStr">
        <is>
          <t>Bank Interest</t>
        </is>
      </c>
      <c r="I769" s="31" t="inlineStr">
        <is>
          <t>AXIS</t>
        </is>
      </c>
      <c r="J769" s="31" t="inlineStr"/>
      <c r="K769" s="31" t="inlineStr">
        <is>
          <t>915010020334307:Int.Pd:01-07-2023 to 30-09-2023</t>
        </is>
      </c>
      <c r="L769" s="31" t="inlineStr">
        <is>
          <t>Axis Bank</t>
        </is>
      </c>
      <c r="M769" s="31" t="inlineStr"/>
    </row>
    <row r="770">
      <c r="A770" s="30" t="n">
        <v>45200</v>
      </c>
      <c r="B770" s="30" t="n">
        <v>45199</v>
      </c>
      <c r="C770" s="31" t="n">
        <v>0</v>
      </c>
      <c r="D770" s="31" t="n">
        <v>478</v>
      </c>
      <c r="E770" s="31" t="inlineStr"/>
      <c r="F770" s="31" t="inlineStr">
        <is>
          <t>Bank Interest</t>
        </is>
      </c>
      <c r="G770" s="18" t="n">
        <v>0.95</v>
      </c>
      <c r="H770" s="31" t="inlineStr">
        <is>
          <t>Bank Interest</t>
        </is>
      </c>
      <c r="I770" s="31" t="inlineStr">
        <is>
          <t>HDFC 5413</t>
        </is>
      </c>
      <c r="J770" s="31" t="inlineStr"/>
      <c r="K770" s="31" t="inlineStr">
        <is>
          <t>CREDIT INTEREST CAPITALISED</t>
        </is>
      </c>
      <c r="L770" s="31" t="inlineStr">
        <is>
          <t>HDFC Bank</t>
        </is>
      </c>
      <c r="M770" s="31" t="inlineStr"/>
    </row>
    <row r="771">
      <c r="A771" s="32" t="n">
        <v>45200</v>
      </c>
      <c r="B771" s="32" t="n">
        <v>45200</v>
      </c>
      <c r="C771" s="33" t="n">
        <v>20</v>
      </c>
      <c r="D771" s="33" t="n">
        <v>0</v>
      </c>
      <c r="E771" s="33" t="inlineStr"/>
      <c r="F771" s="33" t="inlineStr">
        <is>
          <t>UPI - BharatPe</t>
        </is>
      </c>
      <c r="G771" s="34" t="n">
        <v>0.65</v>
      </c>
      <c r="H771" s="33" t="inlineStr">
        <is>
          <t>Personal</t>
        </is>
      </c>
      <c r="I771" s="33" t="inlineStr">
        <is>
          <t>FEDERAL 0847</t>
        </is>
      </c>
      <c r="J771" s="33" t="inlineStr"/>
      <c r="K771" s="33" t="inlineStr">
        <is>
          <t>UPIOUT/327488430429/BHARATPE09909220132@ye
sb/5814</t>
        </is>
      </c>
      <c r="L771" s="33" t="inlineStr">
        <is>
          <t>Federal Bank (Jupiter)</t>
        </is>
      </c>
      <c r="M771" s="33" t="inlineStr"/>
    </row>
    <row r="772">
      <c r="A772" s="70" t="n">
        <v>45202</v>
      </c>
      <c r="B772" s="70" t="n">
        <v>45202</v>
      </c>
      <c r="C772" s="71" t="n">
        <v>5114</v>
      </c>
      <c r="D772" s="71" t="n">
        <v>0</v>
      </c>
      <c r="E772" s="71" t="inlineStr"/>
      <c r="F772" s="71" t="inlineStr">
        <is>
          <t>Health Insurance</t>
        </is>
      </c>
      <c r="G772" s="18" t="n">
        <v>0.92</v>
      </c>
      <c r="H772" s="71" t="inlineStr">
        <is>
          <t>Health Insurance</t>
        </is>
      </c>
      <c r="I772" s="71" t="inlineStr">
        <is>
          <t>HDFC 5413</t>
        </is>
      </c>
      <c r="J772" s="71" t="inlineStr"/>
      <c r="K772" s="71" t="inlineStr">
        <is>
          <t>MJIRQYQBRH5ISB/RAZPMAXBUPAHEALTHINS</t>
        </is>
      </c>
      <c r="L772" s="71" t="inlineStr">
        <is>
          <t>HDFC Bank</t>
        </is>
      </c>
      <c r="M772" s="71" t="inlineStr"/>
    </row>
    <row r="773">
      <c r="A773" s="54" t="n">
        <v>45202</v>
      </c>
      <c r="B773" s="54" t="n">
        <v>45202</v>
      </c>
      <c r="C773" s="55" t="n">
        <v>0</v>
      </c>
      <c r="D773" s="55" t="n">
        <v>398.69</v>
      </c>
      <c r="E773" s="55" t="inlineStr"/>
      <c r="F773" s="55" t="inlineStr">
        <is>
          <t>HDFC Securities - Sell</t>
        </is>
      </c>
      <c r="G773" s="18" t="n">
        <v>0.97</v>
      </c>
      <c r="H773" s="55" t="inlineStr">
        <is>
          <t>HDFC Securities</t>
        </is>
      </c>
      <c r="I773" s="55" t="inlineStr">
        <is>
          <t>HDFC 5413</t>
        </is>
      </c>
      <c r="J773" s="55" t="inlineStr"/>
      <c r="K773" s="55" t="inlineStr">
        <is>
          <t>NET PO FROM HSL A/C 2554606-50200085415108</t>
        </is>
      </c>
      <c r="L773" s="55" t="inlineStr">
        <is>
          <t>HDFC Bank</t>
        </is>
      </c>
      <c r="M773" s="55" t="inlineStr"/>
    </row>
    <row r="774">
      <c r="A774" s="23" t="n">
        <v>45202</v>
      </c>
      <c r="B774" s="23" t="n">
        <v>45202</v>
      </c>
      <c r="C774" s="24" t="n">
        <v>0</v>
      </c>
      <c r="D774" s="24" t="n">
        <v>20161.29</v>
      </c>
      <c r="E774" s="24" t="inlineStr"/>
      <c r="F774" s="24" t="inlineStr">
        <is>
          <t>What is this?</t>
        </is>
      </c>
      <c r="G774" s="25" t="n">
        <v>0</v>
      </c>
      <c r="H774" s="24" t="inlineStr">
        <is>
          <t>Suspense</t>
        </is>
      </c>
      <c r="I774" s="24" t="inlineStr">
        <is>
          <t>FEDERAL 0847</t>
        </is>
      </c>
      <c r="J774" s="24" t="inlineStr"/>
      <c r="K774" s="24" t="inlineStr">
        <is>
          <t>NFT/LINCOLN ELECTRI/23A300420OM40K93/BANK
OF AM</t>
        </is>
      </c>
      <c r="L774" s="24" t="inlineStr">
        <is>
          <t>Federal Bank (Jupiter)</t>
        </is>
      </c>
      <c r="M774" s="24" t="inlineStr"/>
    </row>
    <row r="775">
      <c r="A775" s="23" t="n">
        <v>45203</v>
      </c>
      <c r="B775" s="23" t="n">
        <v>45203</v>
      </c>
      <c r="C775" s="24" t="n">
        <v>1000</v>
      </c>
      <c r="D775" s="24" t="n">
        <v>0</v>
      </c>
      <c r="E775" s="24" t="inlineStr"/>
      <c r="F775" s="24" t="inlineStr">
        <is>
          <t>What is this?</t>
        </is>
      </c>
      <c r="G775" s="25" t="n">
        <v>0</v>
      </c>
      <c r="H775" s="24" t="inlineStr">
        <is>
          <t>Suspense</t>
        </is>
      </c>
      <c r="I775" s="24" t="inlineStr">
        <is>
          <t>FEDERAL 0847</t>
        </is>
      </c>
      <c r="J775" s="24" t="inlineStr"/>
      <c r="K775" s="24" t="inlineStr">
        <is>
          <t>Dr. Tran for funding A/c 77770300389653</t>
        </is>
      </c>
      <c r="L775" s="24" t="inlineStr">
        <is>
          <t>Federal Bank (Jupiter)</t>
        </is>
      </c>
      <c r="M775" s="24" t="inlineStr">
        <is>
          <t>⚠ Possible Duplicate</t>
        </is>
      </c>
    </row>
    <row r="776">
      <c r="A776" s="35" t="n">
        <v>45203</v>
      </c>
      <c r="B776" s="35" t="n">
        <v>45203</v>
      </c>
      <c r="C776" s="36" t="n">
        <v>40</v>
      </c>
      <c r="D776" s="36" t="n">
        <v>0</v>
      </c>
      <c r="E776" s="36" t="inlineStr"/>
      <c r="F776" s="36" t="inlineStr">
        <is>
          <t>UPI - Paytm</t>
        </is>
      </c>
      <c r="G776" s="34" t="n">
        <v>0.65</v>
      </c>
      <c r="H776" s="36" t="inlineStr">
        <is>
          <t>Personal</t>
        </is>
      </c>
      <c r="I776" s="36" t="inlineStr">
        <is>
          <t>FEDERAL 0847</t>
        </is>
      </c>
      <c r="J776" s="36" t="inlineStr"/>
      <c r="K776" s="36" t="inlineStr">
        <is>
          <t>UPIOUT/327740919950/paytmqri4e2wzxu0x@payt
m//5814</t>
        </is>
      </c>
      <c r="L776" s="36" t="inlineStr">
        <is>
          <t>Federal Bank (Jupiter)</t>
        </is>
      </c>
      <c r="M776" s="36" t="inlineStr"/>
    </row>
    <row r="777">
      <c r="A777" s="23" t="n">
        <v>45203</v>
      </c>
      <c r="B777" s="23" t="n">
        <v>45203</v>
      </c>
      <c r="C777" s="24" t="n">
        <v>1000</v>
      </c>
      <c r="D777" s="24" t="n">
        <v>0</v>
      </c>
      <c r="E777" s="24" t="inlineStr"/>
      <c r="F777" s="24" t="inlineStr">
        <is>
          <t>What is this?</t>
        </is>
      </c>
      <c r="G777" s="25" t="n">
        <v>0</v>
      </c>
      <c r="H777" s="24" t="inlineStr">
        <is>
          <t>Suspense</t>
        </is>
      </c>
      <c r="I777" s="24" t="inlineStr">
        <is>
          <t>FEDERAL 0847</t>
        </is>
      </c>
      <c r="J777" s="24" t="inlineStr"/>
      <c r="K777" s="24" t="inlineStr">
        <is>
          <t>IFN/p8VegTu5aku1oE9M Transfer to 6 Weeks
Saving Ch</t>
        </is>
      </c>
      <c r="L777" s="24" t="inlineStr">
        <is>
          <t>Federal Bank (Jupiter)</t>
        </is>
      </c>
      <c r="M777" s="24" t="inlineStr">
        <is>
          <t>⚠ Possible Duplicate</t>
        </is>
      </c>
    </row>
    <row r="778">
      <c r="A778" s="23" t="n">
        <v>45203</v>
      </c>
      <c r="B778" s="23" t="n">
        <v>45203</v>
      </c>
      <c r="C778" s="24" t="n">
        <v>100</v>
      </c>
      <c r="D778" s="24" t="n">
        <v>0</v>
      </c>
      <c r="E778" s="24" t="inlineStr"/>
      <c r="F778" s="24" t="inlineStr">
        <is>
          <t>What is this?</t>
        </is>
      </c>
      <c r="G778" s="25" t="n">
        <v>0</v>
      </c>
      <c r="H778" s="24" t="inlineStr">
        <is>
          <t>Suspense</t>
        </is>
      </c>
      <c r="I778" s="24" t="inlineStr">
        <is>
          <t>FEDERAL 0847</t>
        </is>
      </c>
      <c r="J778" s="24" t="inlineStr"/>
      <c r="K778" s="24" t="inlineStr">
        <is>
          <t>Dr. Tran for funding A/c 77770701776482</t>
        </is>
      </c>
      <c r="L778" s="24" t="inlineStr">
        <is>
          <t>Federal Bank (Jupiter)</t>
        </is>
      </c>
      <c r="M778" s="24" t="inlineStr"/>
    </row>
    <row r="779">
      <c r="A779" s="37" t="n">
        <v>45203</v>
      </c>
      <c r="B779" s="37" t="n">
        <v>45203</v>
      </c>
      <c r="C779" s="38" t="n">
        <v>150</v>
      </c>
      <c r="D779" s="38" t="n">
        <v>0</v>
      </c>
      <c r="E779" s="38" t="inlineStr"/>
      <c r="F779" s="38" t="inlineStr">
        <is>
          <t>UPI Payment</t>
        </is>
      </c>
      <c r="G779" s="25" t="n">
        <v>0.55</v>
      </c>
      <c r="H779" s="38" t="inlineStr">
        <is>
          <t>Personal</t>
        </is>
      </c>
      <c r="I779" s="38" t="inlineStr">
        <is>
          <t>FEDERAL 0847</t>
        </is>
      </c>
      <c r="J779" s="38" t="inlineStr"/>
      <c r="K779" s="38" t="inlineStr">
        <is>
          <t>UPIOUT/327758951663/Q629310231@ybl/Sent
via /5451</t>
        </is>
      </c>
      <c r="L779" s="38" t="inlineStr">
        <is>
          <t>Federal Bank (Jupiter)</t>
        </is>
      </c>
      <c r="M779" s="38" t="inlineStr"/>
    </row>
    <row r="780">
      <c r="A780" s="58" t="n">
        <v>45203</v>
      </c>
      <c r="B780" s="58" t="n">
        <v>45203</v>
      </c>
      <c r="C780" s="59" t="n">
        <v>5000</v>
      </c>
      <c r="D780" s="59" t="n">
        <v>0</v>
      </c>
      <c r="E780" s="59" t="inlineStr"/>
      <c r="F780" s="59" t="inlineStr">
        <is>
          <t>MF Investment</t>
        </is>
      </c>
      <c r="G780" s="18" t="n">
        <v>0.9</v>
      </c>
      <c r="H780" s="59" t="inlineStr">
        <is>
          <t>Investments</t>
        </is>
      </c>
      <c r="I780" s="59" t="inlineStr">
        <is>
          <t>HDFC 5413</t>
        </is>
      </c>
      <c r="J780" s="59" t="inlineStr"/>
      <c r="K780" s="59" t="inlineStr">
        <is>
          <t>NET PAYIN TO NSE MF A/C -00990610005906- FROM A/C -50100128155413- UCC -2554606-00990610005906</t>
        </is>
      </c>
      <c r="L780" s="59" t="inlineStr">
        <is>
          <t>HDFC Bank</t>
        </is>
      </c>
      <c r="M780" s="59" t="inlineStr"/>
    </row>
    <row r="781">
      <c r="A781" s="41" t="n">
        <v>45203</v>
      </c>
      <c r="B781" s="41" t="n">
        <v>45203</v>
      </c>
      <c r="C781" s="42" t="n">
        <v>153.15</v>
      </c>
      <c r="D781" s="42" t="n">
        <v>0</v>
      </c>
      <c r="E781" s="42" t="inlineStr"/>
      <c r="F781" s="42" t="inlineStr">
        <is>
          <t>HDFC Securities - Buy</t>
        </is>
      </c>
      <c r="G781" s="18" t="n">
        <v>0.97</v>
      </c>
      <c r="H781" s="42" t="inlineStr">
        <is>
          <t>HDFC Securities</t>
        </is>
      </c>
      <c r="I781" s="42" t="inlineStr">
        <is>
          <t>HDFC 5413</t>
        </is>
      </c>
      <c r="J781" s="42" t="inlineStr"/>
      <c r="K781" s="42" t="inlineStr">
        <is>
          <t>NET PI TO HSL SEC A/C 2554606-00602340029427</t>
        </is>
      </c>
      <c r="L781" s="42" t="inlineStr">
        <is>
          <t>HDFC Bank</t>
        </is>
      </c>
      <c r="M781" s="42" t="inlineStr"/>
    </row>
    <row r="782">
      <c r="A782" s="41" t="n">
        <v>45203</v>
      </c>
      <c r="B782" s="41" t="n">
        <v>45203</v>
      </c>
      <c r="C782" s="42" t="n">
        <v>17886.74</v>
      </c>
      <c r="D782" s="42" t="n">
        <v>0</v>
      </c>
      <c r="E782" s="42" t="inlineStr"/>
      <c r="F782" s="42" t="inlineStr">
        <is>
          <t>HDFC Securities - Buy</t>
        </is>
      </c>
      <c r="G782" s="18" t="n">
        <v>0.97</v>
      </c>
      <c r="H782" s="42" t="inlineStr">
        <is>
          <t>HDFC Securities</t>
        </is>
      </c>
      <c r="I782" s="42" t="inlineStr">
        <is>
          <t>HDFC 5413</t>
        </is>
      </c>
      <c r="J782" s="42" t="inlineStr"/>
      <c r="K782" s="42" t="inlineStr">
        <is>
          <t>NET PI TO HSL SEC A/C 2554606-00602340029427</t>
        </is>
      </c>
      <c r="L782" s="42" t="inlineStr">
        <is>
          <t>HDFC Bank</t>
        </is>
      </c>
      <c r="M782" s="42" t="inlineStr"/>
    </row>
    <row r="783">
      <c r="A783" s="41" t="n">
        <v>45203</v>
      </c>
      <c r="B783" s="41" t="n">
        <v>45203</v>
      </c>
      <c r="C783" s="42" t="n">
        <v>73.19</v>
      </c>
      <c r="D783" s="42" t="n">
        <v>0</v>
      </c>
      <c r="E783" s="42" t="inlineStr"/>
      <c r="F783" s="42" t="inlineStr">
        <is>
          <t>HDFC Securities - Buy</t>
        </is>
      </c>
      <c r="G783" s="18" t="n">
        <v>0.97</v>
      </c>
      <c r="H783" s="42" t="inlineStr">
        <is>
          <t>HDFC Securities</t>
        </is>
      </c>
      <c r="I783" s="42" t="inlineStr">
        <is>
          <t>HDFC 5413</t>
        </is>
      </c>
      <c r="J783" s="42" t="inlineStr"/>
      <c r="K783" s="42" t="inlineStr">
        <is>
          <t>NET PI TO HSL SEC A/C 2554606-00602340029427</t>
        </is>
      </c>
      <c r="L783" s="42" t="inlineStr">
        <is>
          <t>HDFC Bank</t>
        </is>
      </c>
      <c r="M783" s="42" t="inlineStr"/>
    </row>
    <row r="784">
      <c r="A784" s="41" t="n">
        <v>45204</v>
      </c>
      <c r="B784" s="41" t="n">
        <v>45204</v>
      </c>
      <c r="C784" s="42" t="n">
        <v>73.11</v>
      </c>
      <c r="D784" s="42" t="n">
        <v>0</v>
      </c>
      <c r="E784" s="42" t="inlineStr"/>
      <c r="F784" s="42" t="inlineStr">
        <is>
          <t>HDFC Securities - Buy</t>
        </is>
      </c>
      <c r="G784" s="18" t="n">
        <v>0.97</v>
      </c>
      <c r="H784" s="42" t="inlineStr">
        <is>
          <t>HDFC Securities</t>
        </is>
      </c>
      <c r="I784" s="42" t="inlineStr">
        <is>
          <t>HDFC 5413</t>
        </is>
      </c>
      <c r="J784" s="42" t="inlineStr"/>
      <c r="K784" s="42" t="inlineStr">
        <is>
          <t>NET PI TO HSL SEC A/C 2554606-00602340029427</t>
        </is>
      </c>
      <c r="L784" s="42" t="inlineStr">
        <is>
          <t>HDFC Bank</t>
        </is>
      </c>
      <c r="M784" s="42" t="inlineStr"/>
    </row>
    <row r="785">
      <c r="A785" s="58" t="n">
        <v>45204</v>
      </c>
      <c r="B785" s="58" t="n">
        <v>45204</v>
      </c>
      <c r="C785" s="59" t="n">
        <v>10</v>
      </c>
      <c r="D785" s="59" t="n">
        <v>0</v>
      </c>
      <c r="E785" s="59" t="inlineStr"/>
      <c r="F785" s="59" t="inlineStr">
        <is>
          <t>MF Investment</t>
        </is>
      </c>
      <c r="G785" s="18" t="n">
        <v>0.88</v>
      </c>
      <c r="H785" s="59" t="inlineStr">
        <is>
          <t>Investments</t>
        </is>
      </c>
      <c r="I785" s="59" t="inlineStr">
        <is>
          <t>FEDERAL 0847</t>
        </is>
      </c>
      <c r="J785" s="59" t="inlineStr"/>
      <c r="K785" s="59" t="inlineStr">
        <is>
          <t>NFT/NEOSIEXEDDD2023100504313650042 NAVI
Mutual Fun</t>
        </is>
      </c>
      <c r="L785" s="59" t="inlineStr">
        <is>
          <t>Federal Bank (Jupiter)</t>
        </is>
      </c>
      <c r="M785" s="59" t="inlineStr"/>
    </row>
    <row r="786">
      <c r="A786" s="23" t="n">
        <v>45204</v>
      </c>
      <c r="B786" s="23" t="n">
        <v>45204</v>
      </c>
      <c r="C786" s="24" t="n">
        <v>50</v>
      </c>
      <c r="D786" s="24" t="n">
        <v>0</v>
      </c>
      <c r="E786" s="24" t="inlineStr"/>
      <c r="F786" s="24" t="inlineStr">
        <is>
          <t>What is this?</t>
        </is>
      </c>
      <c r="G786" s="25" t="n">
        <v>0</v>
      </c>
      <c r="H786" s="24" t="inlineStr">
        <is>
          <t>Suspense</t>
        </is>
      </c>
      <c r="I786" s="24" t="inlineStr">
        <is>
          <t>FEDERAL 0847</t>
        </is>
      </c>
      <c r="J786" s="24" t="inlineStr"/>
      <c r="K786" s="24" t="inlineStr">
        <is>
          <t>IFN/NEOSIEXEDDD2023100506331862670
Transfer to sup</t>
        </is>
      </c>
      <c r="L786" s="24" t="inlineStr">
        <is>
          <t>Federal Bank (Jupiter)</t>
        </is>
      </c>
      <c r="M786" s="24" t="inlineStr"/>
    </row>
    <row r="787">
      <c r="A787" s="37" t="n">
        <v>45205</v>
      </c>
      <c r="B787" s="37" t="n">
        <v>45205</v>
      </c>
      <c r="C787" s="38" t="n">
        <v>30</v>
      </c>
      <c r="D787" s="38" t="n">
        <v>0</v>
      </c>
      <c r="E787" s="38" t="inlineStr"/>
      <c r="F787" s="38" t="inlineStr">
        <is>
          <t>UPI Payment</t>
        </is>
      </c>
      <c r="G787" s="25" t="n">
        <v>0.55</v>
      </c>
      <c r="H787" s="38" t="inlineStr">
        <is>
          <t>Personal</t>
        </is>
      </c>
      <c r="I787" s="38" t="inlineStr">
        <is>
          <t>FEDERAL 0847</t>
        </is>
      </c>
      <c r="J787" s="38" t="inlineStr"/>
      <c r="K787" s="38" t="inlineStr">
        <is>
          <t>UPIOUT/327954867247/Q930032498@ybl/Sent
via /5812</t>
        </is>
      </c>
      <c r="L787" s="38" t="inlineStr">
        <is>
          <t>Federal Bank (Jupiter)</t>
        </is>
      </c>
      <c r="M787" s="38" t="inlineStr"/>
    </row>
    <row r="788">
      <c r="A788" s="23" t="n">
        <v>45205</v>
      </c>
      <c r="B788" s="23" t="n">
        <v>45205</v>
      </c>
      <c r="C788" s="24" t="n">
        <v>50</v>
      </c>
      <c r="D788" s="24" t="n">
        <v>0</v>
      </c>
      <c r="E788" s="24" t="inlineStr"/>
      <c r="F788" s="24" t="inlineStr">
        <is>
          <t>What is this?</t>
        </is>
      </c>
      <c r="G788" s="25" t="n">
        <v>0</v>
      </c>
      <c r="H788" s="24" t="inlineStr">
        <is>
          <t>Suspense</t>
        </is>
      </c>
      <c r="I788" s="24" t="inlineStr">
        <is>
          <t>FEDERAL 0847</t>
        </is>
      </c>
      <c r="J788" s="24" t="inlineStr"/>
      <c r="K788" s="24" t="inlineStr">
        <is>
          <t>IFN/NEOSIEXEDDD2023100606335813287
Transfer to sup</t>
        </is>
      </c>
      <c r="L788" s="24" t="inlineStr">
        <is>
          <t>Federal Bank (Jupiter)</t>
        </is>
      </c>
      <c r="M788" s="24" t="inlineStr"/>
    </row>
    <row r="789">
      <c r="A789" s="58" t="n">
        <v>45205</v>
      </c>
      <c r="B789" s="58" t="n">
        <v>45205</v>
      </c>
      <c r="C789" s="59" t="n">
        <v>10</v>
      </c>
      <c r="D789" s="59" t="n">
        <v>0</v>
      </c>
      <c r="E789" s="59" t="inlineStr"/>
      <c r="F789" s="59" t="inlineStr">
        <is>
          <t>MF Investment</t>
        </is>
      </c>
      <c r="G789" s="18" t="n">
        <v>0.88</v>
      </c>
      <c r="H789" s="59" t="inlineStr">
        <is>
          <t>Investments</t>
        </is>
      </c>
      <c r="I789" s="59" t="inlineStr">
        <is>
          <t>FEDERAL 0847</t>
        </is>
      </c>
      <c r="J789" s="59" t="inlineStr"/>
      <c r="K789" s="59" t="inlineStr">
        <is>
          <t>NFT/NEOSIEXEDDD2023100604331742179 NAVI
Mutual Fun</t>
        </is>
      </c>
      <c r="L789" s="59" t="inlineStr">
        <is>
          <t>Federal Bank (Jupiter)</t>
        </is>
      </c>
      <c r="M789" s="59" t="inlineStr"/>
    </row>
    <row r="790">
      <c r="A790" s="54" t="n">
        <v>45205</v>
      </c>
      <c r="B790" s="54" t="n">
        <v>45205</v>
      </c>
      <c r="C790" s="55" t="n">
        <v>0</v>
      </c>
      <c r="D790" s="55" t="n">
        <v>974.64</v>
      </c>
      <c r="E790" s="55" t="inlineStr"/>
      <c r="F790" s="55" t="inlineStr">
        <is>
          <t>HDFC Securities - Sell</t>
        </is>
      </c>
      <c r="G790" s="18" t="n">
        <v>0.97</v>
      </c>
      <c r="H790" s="55" t="inlineStr">
        <is>
          <t>HDFC Securities</t>
        </is>
      </c>
      <c r="I790" s="55" t="inlineStr">
        <is>
          <t>HDFC 5413</t>
        </is>
      </c>
      <c r="J790" s="55" t="inlineStr"/>
      <c r="K790" s="55" t="inlineStr">
        <is>
          <t>NET PO FROM HSL A/C 2554606-50200085415108</t>
        </is>
      </c>
      <c r="L790" s="55" t="inlineStr">
        <is>
          <t>HDFC Bank</t>
        </is>
      </c>
      <c r="M790" s="55" t="inlineStr"/>
    </row>
    <row r="791">
      <c r="A791" s="41" t="n">
        <v>45205</v>
      </c>
      <c r="B791" s="41" t="n">
        <v>45205</v>
      </c>
      <c r="C791" s="42" t="n">
        <v>22193.64</v>
      </c>
      <c r="D791" s="42" t="n">
        <v>0</v>
      </c>
      <c r="E791" s="42" t="inlineStr"/>
      <c r="F791" s="42" t="inlineStr">
        <is>
          <t>HDFC Securities - Buy</t>
        </is>
      </c>
      <c r="G791" s="18" t="n">
        <v>0.97</v>
      </c>
      <c r="H791" s="42" t="inlineStr">
        <is>
          <t>HDFC Securities</t>
        </is>
      </c>
      <c r="I791" s="42" t="inlineStr">
        <is>
          <t>HDFC 5413</t>
        </is>
      </c>
      <c r="J791" s="42" t="inlineStr"/>
      <c r="K791" s="42" t="inlineStr">
        <is>
          <t>NET PI TO HSL SEC A/C 2554606-00602340029427</t>
        </is>
      </c>
      <c r="L791" s="42" t="inlineStr">
        <is>
          <t>HDFC Bank</t>
        </is>
      </c>
      <c r="M791" s="42" t="inlineStr"/>
    </row>
    <row r="792">
      <c r="A792" s="41" t="n">
        <v>45205</v>
      </c>
      <c r="B792" s="41" t="n">
        <v>45205</v>
      </c>
      <c r="C792" s="42" t="n">
        <v>73.11</v>
      </c>
      <c r="D792" s="42" t="n">
        <v>0</v>
      </c>
      <c r="E792" s="42" t="inlineStr"/>
      <c r="F792" s="42" t="inlineStr">
        <is>
          <t>HDFC Securities - Buy</t>
        </is>
      </c>
      <c r="G792" s="18" t="n">
        <v>0.97</v>
      </c>
      <c r="H792" s="42" t="inlineStr">
        <is>
          <t>HDFC Securities</t>
        </is>
      </c>
      <c r="I792" s="42" t="inlineStr">
        <is>
          <t>HDFC 5413</t>
        </is>
      </c>
      <c r="J792" s="42" t="inlineStr"/>
      <c r="K792" s="42" t="inlineStr">
        <is>
          <t>NET PI TO HSL SEC A/C 2554606-00602340029427</t>
        </is>
      </c>
      <c r="L792" s="42" t="inlineStr">
        <is>
          <t>HDFC Bank</t>
        </is>
      </c>
      <c r="M792" s="42" t="inlineStr"/>
    </row>
    <row r="793">
      <c r="A793" s="54" t="n">
        <v>45205</v>
      </c>
      <c r="B793" s="54" t="n">
        <v>45205</v>
      </c>
      <c r="C793" s="55" t="n">
        <v>0</v>
      </c>
      <c r="D793" s="55" t="n">
        <v>54620.56</v>
      </c>
      <c r="E793" s="55" t="inlineStr"/>
      <c r="F793" s="55" t="inlineStr">
        <is>
          <t>HDFC Securities - Sell</t>
        </is>
      </c>
      <c r="G793" s="18" t="n">
        <v>0.97</v>
      </c>
      <c r="H793" s="55" t="inlineStr">
        <is>
          <t>HDFC Securities</t>
        </is>
      </c>
      <c r="I793" s="55" t="inlineStr">
        <is>
          <t>HDFC 5413</t>
        </is>
      </c>
      <c r="J793" s="55" t="inlineStr"/>
      <c r="K793" s="55" t="inlineStr">
        <is>
          <t>NET PO FROM HSL A/C 2554606-50200085415108</t>
        </is>
      </c>
      <c r="L793" s="55" t="inlineStr">
        <is>
          <t>HDFC Bank</t>
        </is>
      </c>
      <c r="M793" s="55" t="inlineStr"/>
    </row>
    <row r="794">
      <c r="A794" s="35" t="n">
        <v>45206</v>
      </c>
      <c r="B794" s="35" t="n">
        <v>45206</v>
      </c>
      <c r="C794" s="36" t="n">
        <v>136</v>
      </c>
      <c r="D794" s="36" t="n">
        <v>0</v>
      </c>
      <c r="E794" s="36" t="inlineStr"/>
      <c r="F794" s="36" t="inlineStr">
        <is>
          <t>UPI - Paytm</t>
        </is>
      </c>
      <c r="G794" s="34" t="n">
        <v>0.65</v>
      </c>
      <c r="H794" s="36" t="inlineStr">
        <is>
          <t>Personal</t>
        </is>
      </c>
      <c r="I794" s="36" t="inlineStr">
        <is>
          <t>FEDERAL 0847</t>
        </is>
      </c>
      <c r="J794" s="36" t="inlineStr"/>
      <c r="K794" s="36" t="inlineStr">
        <is>
          <t>UPIOUT/328077340513/paytmqr281005050101ba1
ua/5812</t>
        </is>
      </c>
      <c r="L794" s="36" t="inlineStr">
        <is>
          <t>Federal Bank (Jupiter)</t>
        </is>
      </c>
      <c r="M794" s="36" t="inlineStr"/>
    </row>
    <row r="795">
      <c r="A795" s="23" t="n">
        <v>45206</v>
      </c>
      <c r="B795" s="23" t="n">
        <v>45206</v>
      </c>
      <c r="C795" s="24" t="n">
        <v>50</v>
      </c>
      <c r="D795" s="24" t="n">
        <v>0</v>
      </c>
      <c r="E795" s="24" t="inlineStr"/>
      <c r="F795" s="24" t="inlineStr">
        <is>
          <t>What is this?</t>
        </is>
      </c>
      <c r="G795" s="25" t="n">
        <v>0</v>
      </c>
      <c r="H795" s="24" t="inlineStr">
        <is>
          <t>Suspense</t>
        </is>
      </c>
      <c r="I795" s="24" t="inlineStr">
        <is>
          <t>FEDERAL 0847</t>
        </is>
      </c>
      <c r="J795" s="24" t="inlineStr"/>
      <c r="K795" s="24" t="inlineStr">
        <is>
          <t>IFN/NEOSIEXEDDD2023100706341434806
Transfer to sup</t>
        </is>
      </c>
      <c r="L795" s="24" t="inlineStr">
        <is>
          <t>Federal Bank (Jupiter)</t>
        </is>
      </c>
      <c r="M795" s="24" t="inlineStr"/>
    </row>
    <row r="796">
      <c r="A796" s="58" t="n">
        <v>45206</v>
      </c>
      <c r="B796" s="58" t="n">
        <v>45206</v>
      </c>
      <c r="C796" s="59" t="n">
        <v>10</v>
      </c>
      <c r="D796" s="59" t="n">
        <v>0</v>
      </c>
      <c r="E796" s="59" t="inlineStr"/>
      <c r="F796" s="59" t="inlineStr">
        <is>
          <t>MF Investment</t>
        </is>
      </c>
      <c r="G796" s="18" t="n">
        <v>0.88</v>
      </c>
      <c r="H796" s="59" t="inlineStr">
        <is>
          <t>Investments</t>
        </is>
      </c>
      <c r="I796" s="59" t="inlineStr">
        <is>
          <t>FEDERAL 0847</t>
        </is>
      </c>
      <c r="J796" s="59" t="inlineStr"/>
      <c r="K796" s="59" t="inlineStr">
        <is>
          <t>NFT/NEOSIEXEDDD2023100704342289054 NAVI
Mutual Fun</t>
        </is>
      </c>
      <c r="L796" s="59" t="inlineStr">
        <is>
          <t>Federal Bank (Jupiter)</t>
        </is>
      </c>
      <c r="M796" s="59" t="inlineStr"/>
    </row>
    <row r="797">
      <c r="A797" s="37" t="n">
        <v>45206</v>
      </c>
      <c r="B797" s="37" t="n">
        <v>45206</v>
      </c>
      <c r="C797" s="38" t="n">
        <v>50</v>
      </c>
      <c r="D797" s="38" t="n">
        <v>0</v>
      </c>
      <c r="E797" s="38" t="inlineStr"/>
      <c r="F797" s="38" t="inlineStr">
        <is>
          <t>UPI Payment</t>
        </is>
      </c>
      <c r="G797" s="25" t="n">
        <v>0.55</v>
      </c>
      <c r="H797" s="38" t="inlineStr">
        <is>
          <t>Personal</t>
        </is>
      </c>
      <c r="I797" s="38" t="inlineStr">
        <is>
          <t>FEDERAL 0847</t>
        </is>
      </c>
      <c r="J797" s="38" t="inlineStr"/>
      <c r="K797" s="38" t="inlineStr">
        <is>
          <t>UPIOUT/328069106430/Q438491684@ybl/Sent
via /5814</t>
        </is>
      </c>
      <c r="L797" s="38" t="inlineStr">
        <is>
          <t>Federal Bank (Jupiter)</t>
        </is>
      </c>
      <c r="M797" s="38" t="inlineStr"/>
    </row>
    <row r="798">
      <c r="A798" s="37" t="n">
        <v>45206</v>
      </c>
      <c r="B798" s="37" t="n">
        <v>45206</v>
      </c>
      <c r="C798" s="38" t="n">
        <v>20</v>
      </c>
      <c r="D798" s="38" t="n">
        <v>0</v>
      </c>
      <c r="E798" s="38" t="inlineStr"/>
      <c r="F798" s="38" t="inlineStr">
        <is>
          <t>UPI Payment</t>
        </is>
      </c>
      <c r="G798" s="25" t="n">
        <v>0.55</v>
      </c>
      <c r="H798" s="38" t="inlineStr">
        <is>
          <t>Personal</t>
        </is>
      </c>
      <c r="I798" s="38" t="inlineStr">
        <is>
          <t>FEDERAL 0847</t>
        </is>
      </c>
      <c r="J798" s="38" t="inlineStr"/>
      <c r="K798" s="38" t="inlineStr">
        <is>
          <t>UPIOUT/328085400948/Q269943231@ybl/Sent
via /5814</t>
        </is>
      </c>
      <c r="L798" s="38" t="inlineStr">
        <is>
          <t>Federal Bank (Jupiter)</t>
        </is>
      </c>
      <c r="M798" s="38" t="inlineStr"/>
    </row>
    <row r="799">
      <c r="A799" s="37" t="n">
        <v>45206</v>
      </c>
      <c r="B799" s="37" t="n">
        <v>45206</v>
      </c>
      <c r="C799" s="38" t="n">
        <v>70</v>
      </c>
      <c r="D799" s="38" t="n">
        <v>0</v>
      </c>
      <c r="E799" s="38" t="inlineStr"/>
      <c r="F799" s="38" t="inlineStr">
        <is>
          <t>UPI Payment</t>
        </is>
      </c>
      <c r="G799" s="25" t="n">
        <v>0.55</v>
      </c>
      <c r="H799" s="38" t="inlineStr">
        <is>
          <t>Personal</t>
        </is>
      </c>
      <c r="I799" s="38" t="inlineStr">
        <is>
          <t>FEDERAL 0847</t>
        </is>
      </c>
      <c r="J799" s="38" t="inlineStr"/>
      <c r="K799" s="38" t="inlineStr">
        <is>
          <t>UPIOUT/328077624233/Q267751124@ybl/Sent
via /5441</t>
        </is>
      </c>
      <c r="L799" s="38" t="inlineStr">
        <is>
          <t>Federal Bank (Jupiter)</t>
        </is>
      </c>
      <c r="M799" s="38" t="inlineStr"/>
    </row>
    <row r="800">
      <c r="A800" s="23" t="n">
        <v>45206</v>
      </c>
      <c r="B800" s="23" t="n">
        <v>45206</v>
      </c>
      <c r="C800" s="24" t="n">
        <v>0</v>
      </c>
      <c r="D800" s="24" t="n">
        <v>1880</v>
      </c>
      <c r="E800" s="24" t="inlineStr"/>
      <c r="F800" s="24" t="inlineStr">
        <is>
          <t>What is this?</t>
        </is>
      </c>
      <c r="G800" s="25" t="n">
        <v>0</v>
      </c>
      <c r="H800" s="24" t="inlineStr">
        <is>
          <t>Suspense</t>
        </is>
      </c>
      <c r="I800" s="24" t="inlineStr">
        <is>
          <t>HDFC 5413</t>
        </is>
      </c>
      <c r="J800" s="24" t="inlineStr"/>
      <c r="K800" s="24" t="inlineStr">
        <is>
          <t>00602300000434-024052645</t>
        </is>
      </c>
      <c r="L800" s="24" t="inlineStr">
        <is>
          <t>HDFC Bank</t>
        </is>
      </c>
      <c r="M800" s="24" t="inlineStr"/>
    </row>
    <row r="801">
      <c r="A801" s="37" t="n">
        <v>45207</v>
      </c>
      <c r="B801" s="37" t="n">
        <v>45207</v>
      </c>
      <c r="C801" s="38" t="n">
        <v>264.85</v>
      </c>
      <c r="D801" s="38" t="n">
        <v>0</v>
      </c>
      <c r="E801" s="38" t="inlineStr"/>
      <c r="F801" s="38" t="inlineStr">
        <is>
          <t>UPI Payment</t>
        </is>
      </c>
      <c r="G801" s="25" t="n">
        <v>0.55</v>
      </c>
      <c r="H801" s="38" t="inlineStr">
        <is>
          <t>Personal</t>
        </is>
      </c>
      <c r="I801" s="38" t="inlineStr">
        <is>
          <t>FEDERAL 0847</t>
        </is>
      </c>
      <c r="J801" s="38" t="inlineStr"/>
      <c r="K801" s="38" t="inlineStr">
        <is>
          <t>UPIOUT/328121853835/cf.simp@icici/UPI
Intent/7322</t>
        </is>
      </c>
      <c r="L801" s="38" t="inlineStr">
        <is>
          <t>Federal Bank (Jupiter)</t>
        </is>
      </c>
      <c r="M801" s="38" t="inlineStr"/>
    </row>
    <row r="802">
      <c r="A802" s="37" t="n">
        <v>45207</v>
      </c>
      <c r="B802" s="37" t="n">
        <v>45207</v>
      </c>
      <c r="C802" s="38" t="n">
        <v>50</v>
      </c>
      <c r="D802" s="38" t="n">
        <v>0</v>
      </c>
      <c r="E802" s="38" t="inlineStr"/>
      <c r="F802" s="38" t="inlineStr">
        <is>
          <t>UPI Payment</t>
        </is>
      </c>
      <c r="G802" s="25" t="n">
        <v>0.55</v>
      </c>
      <c r="H802" s="38" t="inlineStr">
        <is>
          <t>Personal</t>
        </is>
      </c>
      <c r="I802" s="38" t="inlineStr">
        <is>
          <t>FEDERAL 0847</t>
        </is>
      </c>
      <c r="J802" s="38" t="inlineStr"/>
      <c r="K802" s="38" t="inlineStr">
        <is>
          <t>UPIOUT/328119343414/Q521635612@ybl/Sent
via /5451</t>
        </is>
      </c>
      <c r="L802" s="38" t="inlineStr">
        <is>
          <t>Federal Bank (Jupiter)</t>
        </is>
      </c>
      <c r="M802" s="38" t="inlineStr">
        <is>
          <t>⚠ Possible Duplicate</t>
        </is>
      </c>
    </row>
    <row r="803">
      <c r="A803" s="37" t="n">
        <v>45207</v>
      </c>
      <c r="B803" s="37" t="n">
        <v>45207</v>
      </c>
      <c r="C803" s="38" t="n">
        <v>50</v>
      </c>
      <c r="D803" s="38" t="n">
        <v>0</v>
      </c>
      <c r="E803" s="38" t="inlineStr"/>
      <c r="F803" s="38" t="inlineStr">
        <is>
          <t>UPI Payment</t>
        </is>
      </c>
      <c r="G803" s="25" t="n">
        <v>0.55</v>
      </c>
      <c r="H803" s="38" t="inlineStr">
        <is>
          <t>Personal</t>
        </is>
      </c>
      <c r="I803" s="38" t="inlineStr">
        <is>
          <t>FEDERAL 0847</t>
        </is>
      </c>
      <c r="J803" s="38" t="inlineStr"/>
      <c r="K803" s="38" t="inlineStr">
        <is>
          <t>UPIOUT/328149230594/Q882147483@ybl/Sent
via /5814</t>
        </is>
      </c>
      <c r="L803" s="38" t="inlineStr">
        <is>
          <t>Federal Bank (Jupiter)</t>
        </is>
      </c>
      <c r="M803" s="38" t="inlineStr">
        <is>
          <t>⚠ Possible Duplicate</t>
        </is>
      </c>
    </row>
    <row r="804">
      <c r="A804" s="35" t="n">
        <v>45207</v>
      </c>
      <c r="B804" s="35" t="n">
        <v>45207</v>
      </c>
      <c r="C804" s="36" t="n">
        <v>336</v>
      </c>
      <c r="D804" s="36" t="n">
        <v>0</v>
      </c>
      <c r="E804" s="36" t="inlineStr"/>
      <c r="F804" s="36" t="inlineStr">
        <is>
          <t>UPI - Paytm</t>
        </is>
      </c>
      <c r="G804" s="34" t="n">
        <v>0.65</v>
      </c>
      <c r="H804" s="36" t="inlineStr">
        <is>
          <t>Personal</t>
        </is>
      </c>
      <c r="I804" s="36" t="inlineStr">
        <is>
          <t>FEDERAL 0847</t>
        </is>
      </c>
      <c r="J804" s="36" t="inlineStr"/>
      <c r="K804" s="36" t="inlineStr">
        <is>
          <t>UPIOUT/328129528198/paytmqr281005050101ba1
ua/5812</t>
        </is>
      </c>
      <c r="L804" s="36" t="inlineStr">
        <is>
          <t>Federal Bank (Jupiter)</t>
        </is>
      </c>
      <c r="M804" s="36" t="inlineStr"/>
    </row>
    <row r="805">
      <c r="A805" s="37" t="n">
        <v>45207</v>
      </c>
      <c r="B805" s="37" t="n">
        <v>45207</v>
      </c>
      <c r="C805" s="38" t="n">
        <v>20</v>
      </c>
      <c r="D805" s="38" t="n">
        <v>0</v>
      </c>
      <c r="E805" s="38" t="inlineStr"/>
      <c r="F805" s="38" t="inlineStr">
        <is>
          <t>UPI Payment</t>
        </is>
      </c>
      <c r="G805" s="25" t="n">
        <v>0.55</v>
      </c>
      <c r="H805" s="38" t="inlineStr">
        <is>
          <t>Personal</t>
        </is>
      </c>
      <c r="I805" s="38" t="inlineStr">
        <is>
          <t>FEDERAL 0847</t>
        </is>
      </c>
      <c r="J805" s="38" t="inlineStr"/>
      <c r="K805" s="38" t="inlineStr">
        <is>
          <t>UPIOUT/328119168987/Q444099957@ybl/Sent
via /5812</t>
        </is>
      </c>
      <c r="L805" s="38" t="inlineStr">
        <is>
          <t>Federal Bank (Jupiter)</t>
        </is>
      </c>
      <c r="M805" s="38" t="inlineStr"/>
    </row>
    <row r="806">
      <c r="A806" s="23" t="n">
        <v>45207</v>
      </c>
      <c r="B806" s="23" t="n">
        <v>45207</v>
      </c>
      <c r="C806" s="24" t="n">
        <v>50</v>
      </c>
      <c r="D806" s="24" t="n">
        <v>0</v>
      </c>
      <c r="E806" s="24" t="inlineStr"/>
      <c r="F806" s="24" t="inlineStr">
        <is>
          <t>What is this?</t>
        </is>
      </c>
      <c r="G806" s="25" t="n">
        <v>0</v>
      </c>
      <c r="H806" s="24" t="inlineStr">
        <is>
          <t>Suspense</t>
        </is>
      </c>
      <c r="I806" s="24" t="inlineStr">
        <is>
          <t>FEDERAL 0847</t>
        </is>
      </c>
      <c r="J806" s="24" t="inlineStr"/>
      <c r="K806" s="24" t="inlineStr">
        <is>
          <t>IFN/NEOSIEXEDDD2023100806332963234
Transfer to sup</t>
        </is>
      </c>
      <c r="L806" s="24" t="inlineStr">
        <is>
          <t>Federal Bank (Jupiter)</t>
        </is>
      </c>
      <c r="M806" s="24" t="inlineStr"/>
    </row>
    <row r="807">
      <c r="A807" s="58" t="n">
        <v>45207</v>
      </c>
      <c r="B807" s="58" t="n">
        <v>45207</v>
      </c>
      <c r="C807" s="59" t="n">
        <v>10</v>
      </c>
      <c r="D807" s="59" t="n">
        <v>0</v>
      </c>
      <c r="E807" s="59" t="inlineStr"/>
      <c r="F807" s="59" t="inlineStr">
        <is>
          <t>MF Investment</t>
        </is>
      </c>
      <c r="G807" s="18" t="n">
        <v>0.88</v>
      </c>
      <c r="H807" s="59" t="inlineStr">
        <is>
          <t>Investments</t>
        </is>
      </c>
      <c r="I807" s="59" t="inlineStr">
        <is>
          <t>FEDERAL 0847</t>
        </is>
      </c>
      <c r="J807" s="59" t="inlineStr"/>
      <c r="K807" s="59" t="inlineStr">
        <is>
          <t>NFT/NEOSIEXEDDD2023100804350193992 NAVI
Mutual Fun</t>
        </is>
      </c>
      <c r="L807" s="59" t="inlineStr">
        <is>
          <t>Federal Bank (Jupiter)</t>
        </is>
      </c>
      <c r="M807" s="59" t="inlineStr"/>
    </row>
    <row r="808">
      <c r="A808" s="41" t="n">
        <v>45208</v>
      </c>
      <c r="B808" s="41" t="n">
        <v>45208</v>
      </c>
      <c r="C808" s="42" t="n">
        <v>187.95</v>
      </c>
      <c r="D808" s="42" t="n">
        <v>0</v>
      </c>
      <c r="E808" s="42" t="inlineStr"/>
      <c r="F808" s="42" t="inlineStr">
        <is>
          <t>HDFC Securities - Buy</t>
        </is>
      </c>
      <c r="G808" s="18" t="n">
        <v>0.97</v>
      </c>
      <c r="H808" s="42" t="inlineStr">
        <is>
          <t>HDFC Securities</t>
        </is>
      </c>
      <c r="I808" s="42" t="inlineStr">
        <is>
          <t>HDFC 5413</t>
        </is>
      </c>
      <c r="J808" s="42" t="inlineStr"/>
      <c r="K808" s="42" t="inlineStr">
        <is>
          <t>NET PI TO HSL SEC A/C 2554606-00602340029427</t>
        </is>
      </c>
      <c r="L808" s="42" t="inlineStr">
        <is>
          <t>HDFC Bank</t>
        </is>
      </c>
      <c r="M808" s="42" t="inlineStr"/>
    </row>
    <row r="809">
      <c r="A809" s="58" t="n">
        <v>45208</v>
      </c>
      <c r="B809" s="58" t="n">
        <v>45208</v>
      </c>
      <c r="C809" s="59" t="n">
        <v>10</v>
      </c>
      <c r="D809" s="59" t="n">
        <v>0</v>
      </c>
      <c r="E809" s="59" t="inlineStr"/>
      <c r="F809" s="59" t="inlineStr">
        <is>
          <t>MF Investment</t>
        </is>
      </c>
      <c r="G809" s="18" t="n">
        <v>0.88</v>
      </c>
      <c r="H809" s="59" t="inlineStr">
        <is>
          <t>Investments</t>
        </is>
      </c>
      <c r="I809" s="59" t="inlineStr">
        <is>
          <t>FEDERAL 0847</t>
        </is>
      </c>
      <c r="J809" s="59" t="inlineStr"/>
      <c r="K809" s="59" t="inlineStr">
        <is>
          <t>NFT/NEOSIEXEDDD2023100904351642222 NAVI
Mutual Fun</t>
        </is>
      </c>
      <c r="L809" s="59" t="inlineStr">
        <is>
          <t>Federal Bank (Jupiter)</t>
        </is>
      </c>
      <c r="M809" s="59" t="inlineStr"/>
    </row>
    <row r="810">
      <c r="A810" s="21" t="n">
        <v>45208</v>
      </c>
      <c r="B810" s="21" t="n">
        <v>45208</v>
      </c>
      <c r="C810" s="22" t="n">
        <v>97.15000000000001</v>
      </c>
      <c r="D810" s="22" t="n">
        <v>0</v>
      </c>
      <c r="E810" s="22" t="inlineStr"/>
      <c r="F810" s="22" t="inlineStr">
        <is>
          <t>UPI - IRCTC</t>
        </is>
      </c>
      <c r="G810" s="18" t="n">
        <v>0.88</v>
      </c>
      <c r="H810" s="22" t="inlineStr">
        <is>
          <t>Travel</t>
        </is>
      </c>
      <c r="I810" s="22" t="inlineStr">
        <is>
          <t>FEDERAL 0847</t>
        </is>
      </c>
      <c r="J810" s="22" t="inlineStr"/>
      <c r="K810" s="22" t="inlineStr">
        <is>
          <t>UPIOUT/364833035007/paytm-
irctcapp@paytm/Oid/4011</t>
        </is>
      </c>
      <c r="L810" s="22" t="inlineStr">
        <is>
          <t>Federal Bank (Jupiter)</t>
        </is>
      </c>
      <c r="M810" s="22" t="inlineStr"/>
    </row>
    <row r="811">
      <c r="A811" s="21" t="n">
        <v>45208</v>
      </c>
      <c r="B811" s="21" t="n">
        <v>45208</v>
      </c>
      <c r="C811" s="22" t="n">
        <v>983.95</v>
      </c>
      <c r="D811" s="22" t="n">
        <v>0</v>
      </c>
      <c r="E811" s="22" t="inlineStr"/>
      <c r="F811" s="22" t="inlineStr">
        <is>
          <t>UPI - IRCTC</t>
        </is>
      </c>
      <c r="G811" s="18" t="n">
        <v>0.88</v>
      </c>
      <c r="H811" s="22" t="inlineStr">
        <is>
          <t>Travel</t>
        </is>
      </c>
      <c r="I811" s="22" t="inlineStr">
        <is>
          <t>FEDERAL 0847</t>
        </is>
      </c>
      <c r="J811" s="22" t="inlineStr"/>
      <c r="K811" s="22" t="inlineStr">
        <is>
          <t>UPIOUT/364839258870/paytm-
irctcapp@paytm/Oid/4011</t>
        </is>
      </c>
      <c r="L811" s="22" t="inlineStr">
        <is>
          <t>Federal Bank (Jupiter)</t>
        </is>
      </c>
      <c r="M811" s="22" t="inlineStr"/>
    </row>
    <row r="812">
      <c r="A812" s="37" t="n">
        <v>45208</v>
      </c>
      <c r="B812" s="37" t="n">
        <v>45208</v>
      </c>
      <c r="C812" s="38" t="n">
        <v>20</v>
      </c>
      <c r="D812" s="38" t="n">
        <v>0</v>
      </c>
      <c r="E812" s="38" t="inlineStr"/>
      <c r="F812" s="38" t="inlineStr">
        <is>
          <t>UPI Payment</t>
        </is>
      </c>
      <c r="G812" s="25" t="n">
        <v>0.55</v>
      </c>
      <c r="H812" s="38" t="inlineStr">
        <is>
          <t>Personal</t>
        </is>
      </c>
      <c r="I812" s="38" t="inlineStr">
        <is>
          <t>FEDERAL 0847</t>
        </is>
      </c>
      <c r="J812" s="38" t="inlineStr"/>
      <c r="K812" s="38" t="inlineStr">
        <is>
          <t>UPIOUT/328285534629/Q492641334@ybl/Sent
via /5411</t>
        </is>
      </c>
      <c r="L812" s="38" t="inlineStr">
        <is>
          <t>Federal Bank (Jupiter)</t>
        </is>
      </c>
      <c r="M812" s="38" t="inlineStr"/>
    </row>
    <row r="813">
      <c r="A813" s="37" t="n">
        <v>45208</v>
      </c>
      <c r="B813" s="37" t="n">
        <v>45208</v>
      </c>
      <c r="C813" s="38" t="n">
        <v>30</v>
      </c>
      <c r="D813" s="38" t="n">
        <v>0</v>
      </c>
      <c r="E813" s="38" t="inlineStr"/>
      <c r="F813" s="38" t="inlineStr">
        <is>
          <t>UPI Payment</t>
        </is>
      </c>
      <c r="G813" s="25" t="n">
        <v>0.55</v>
      </c>
      <c r="H813" s="38" t="inlineStr">
        <is>
          <t>Personal</t>
        </is>
      </c>
      <c r="I813" s="38" t="inlineStr">
        <is>
          <t>FEDERAL 0847</t>
        </is>
      </c>
      <c r="J813" s="38" t="inlineStr"/>
      <c r="K813" s="38" t="inlineStr">
        <is>
          <t>UPIOUT/328285161291/Q981404186@ybl/Sent
via /5814</t>
        </is>
      </c>
      <c r="L813" s="38" t="inlineStr">
        <is>
          <t>Federal Bank (Jupiter)</t>
        </is>
      </c>
      <c r="M813" s="38" t="inlineStr"/>
    </row>
    <row r="814">
      <c r="A814" s="23" t="n">
        <v>45208</v>
      </c>
      <c r="B814" s="23" t="n">
        <v>45208</v>
      </c>
      <c r="C814" s="24" t="n">
        <v>50</v>
      </c>
      <c r="D814" s="24" t="n">
        <v>0</v>
      </c>
      <c r="E814" s="24" t="inlineStr"/>
      <c r="F814" s="24" t="inlineStr">
        <is>
          <t>What is this?</t>
        </is>
      </c>
      <c r="G814" s="25" t="n">
        <v>0</v>
      </c>
      <c r="H814" s="24" t="inlineStr">
        <is>
          <t>Suspense</t>
        </is>
      </c>
      <c r="I814" s="24" t="inlineStr">
        <is>
          <t>FEDERAL 0847</t>
        </is>
      </c>
      <c r="J814" s="24" t="inlineStr"/>
      <c r="K814" s="24" t="inlineStr">
        <is>
          <t>IFN/NEOSIEXEDDD2023100906330377610
Transfer to sup</t>
        </is>
      </c>
      <c r="L814" s="24" t="inlineStr">
        <is>
          <t>Federal Bank (Jupiter)</t>
        </is>
      </c>
      <c r="M814" s="24" t="inlineStr"/>
    </row>
    <row r="815">
      <c r="A815" s="41" t="n">
        <v>45208</v>
      </c>
      <c r="B815" s="41" t="n">
        <v>45208</v>
      </c>
      <c r="C815" s="42" t="n">
        <v>5614.82</v>
      </c>
      <c r="D815" s="42" t="n">
        <v>0</v>
      </c>
      <c r="E815" s="42" t="inlineStr"/>
      <c r="F815" s="42" t="inlineStr">
        <is>
          <t>HDFC Securities - Buy</t>
        </is>
      </c>
      <c r="G815" s="18" t="n">
        <v>0.97</v>
      </c>
      <c r="H815" s="42" t="inlineStr">
        <is>
          <t>HDFC Securities</t>
        </is>
      </c>
      <c r="I815" s="42" t="inlineStr">
        <is>
          <t>HDFC 5413</t>
        </is>
      </c>
      <c r="J815" s="42" t="inlineStr"/>
      <c r="K815" s="42" t="inlineStr">
        <is>
          <t>NET PI TO HSL SEC A/C 2554606-00602340029427</t>
        </is>
      </c>
      <c r="L815" s="42" t="inlineStr">
        <is>
          <t>HDFC Bank</t>
        </is>
      </c>
      <c r="M815" s="42" t="inlineStr"/>
    </row>
    <row r="816">
      <c r="A816" s="37" t="n">
        <v>45208</v>
      </c>
      <c r="B816" s="37" t="n">
        <v>45208</v>
      </c>
      <c r="C816" s="38" t="n">
        <v>122</v>
      </c>
      <c r="D816" s="38" t="n">
        <v>0</v>
      </c>
      <c r="E816" s="38" t="inlineStr"/>
      <c r="F816" s="38" t="inlineStr">
        <is>
          <t>UPI Payment</t>
        </is>
      </c>
      <c r="G816" s="25" t="n">
        <v>0.55</v>
      </c>
      <c r="H816" s="38" t="inlineStr">
        <is>
          <t>Personal</t>
        </is>
      </c>
      <c r="I816" s="38" t="inlineStr">
        <is>
          <t>FEDERAL 0847</t>
        </is>
      </c>
      <c r="J816" s="38" t="inlineStr"/>
      <c r="K816" s="38" t="inlineStr">
        <is>
          <t>UPIOUT/328258866701/Q726253442@ybl/Sent
via /5311</t>
        </is>
      </c>
      <c r="L816" s="38" t="inlineStr">
        <is>
          <t>Federal Bank (Jupiter)</t>
        </is>
      </c>
      <c r="M816" s="38" t="inlineStr"/>
    </row>
    <row r="817">
      <c r="A817" s="37" t="n">
        <v>45208</v>
      </c>
      <c r="B817" s="37" t="n">
        <v>45208</v>
      </c>
      <c r="C817" s="38" t="n">
        <v>70</v>
      </c>
      <c r="D817" s="38" t="n">
        <v>0</v>
      </c>
      <c r="E817" s="38" t="inlineStr"/>
      <c r="F817" s="38" t="inlineStr">
        <is>
          <t>UPI Payment</t>
        </is>
      </c>
      <c r="G817" s="25" t="n">
        <v>0.55</v>
      </c>
      <c r="H817" s="38" t="inlineStr">
        <is>
          <t>Personal</t>
        </is>
      </c>
      <c r="I817" s="38" t="inlineStr">
        <is>
          <t>FEDERAL 0847</t>
        </is>
      </c>
      <c r="J817" s="38" t="inlineStr"/>
      <c r="K817" s="38" t="inlineStr">
        <is>
          <t>UPIOUT/328292669312/Q267751124@ybl/Sent
via /5441</t>
        </is>
      </c>
      <c r="L817" s="38" t="inlineStr">
        <is>
          <t>Federal Bank (Jupiter)</t>
        </is>
      </c>
      <c r="M817" s="38" t="inlineStr"/>
    </row>
    <row r="818">
      <c r="A818" s="41" t="n">
        <v>45209</v>
      </c>
      <c r="B818" s="41" t="n">
        <v>45209</v>
      </c>
      <c r="C818" s="42" t="n">
        <v>59.88</v>
      </c>
      <c r="D818" s="42" t="n">
        <v>0</v>
      </c>
      <c r="E818" s="42" t="inlineStr"/>
      <c r="F818" s="42" t="inlineStr">
        <is>
          <t>HDFC Securities - Buy</t>
        </is>
      </c>
      <c r="G818" s="18" t="n">
        <v>0.97</v>
      </c>
      <c r="H818" s="42" t="inlineStr">
        <is>
          <t>HDFC Securities</t>
        </is>
      </c>
      <c r="I818" s="42" t="inlineStr">
        <is>
          <t>HDFC 5413</t>
        </is>
      </c>
      <c r="J818" s="42" t="inlineStr"/>
      <c r="K818" s="42" t="inlineStr">
        <is>
          <t>NET PI TO HSL SEC A/C 2554606-00602340029427</t>
        </is>
      </c>
      <c r="L818" s="42" t="inlineStr">
        <is>
          <t>HDFC Bank</t>
        </is>
      </c>
      <c r="M818" s="42" t="inlineStr"/>
    </row>
    <row r="819">
      <c r="A819" s="37" t="n">
        <v>45209</v>
      </c>
      <c r="B819" s="37" t="n">
        <v>45209</v>
      </c>
      <c r="C819" s="38" t="n">
        <v>20</v>
      </c>
      <c r="D819" s="38" t="n">
        <v>0</v>
      </c>
      <c r="E819" s="38" t="inlineStr"/>
      <c r="F819" s="38" t="inlineStr">
        <is>
          <t>UPI Payment</t>
        </is>
      </c>
      <c r="G819" s="25" t="n">
        <v>0.55</v>
      </c>
      <c r="H819" s="38" t="inlineStr">
        <is>
          <t>Personal</t>
        </is>
      </c>
      <c r="I819" s="38" t="inlineStr">
        <is>
          <t>FEDERAL 0847</t>
        </is>
      </c>
      <c r="J819" s="38" t="inlineStr"/>
      <c r="K819" s="38" t="inlineStr">
        <is>
          <t>UPIOUT/328321238606/Q97308535@ybl/Sent via
J/5411</t>
        </is>
      </c>
      <c r="L819" s="38" t="inlineStr">
        <is>
          <t>Federal Bank (Jupiter)</t>
        </is>
      </c>
      <c r="M819" s="38" t="inlineStr"/>
    </row>
    <row r="820">
      <c r="A820" s="21" t="n">
        <v>45209</v>
      </c>
      <c r="B820" s="21" t="n">
        <v>45209</v>
      </c>
      <c r="C820" s="22" t="n">
        <v>182.5</v>
      </c>
      <c r="D820" s="22" t="n">
        <v>0</v>
      </c>
      <c r="E820" s="22" t="inlineStr"/>
      <c r="F820" s="22" t="inlineStr">
        <is>
          <t>UPI - IRCTC</t>
        </is>
      </c>
      <c r="G820" s="18" t="n">
        <v>0.88</v>
      </c>
      <c r="H820" s="22" t="inlineStr">
        <is>
          <t>Travel</t>
        </is>
      </c>
      <c r="I820" s="22" t="inlineStr">
        <is>
          <t>FEDERAL 0847</t>
        </is>
      </c>
      <c r="J820" s="22" t="inlineStr"/>
      <c r="K820" s="22" t="inlineStr">
        <is>
          <t>UPIOUT/328302153606/paytm-
irctcapp@paytm/Oid/4011</t>
        </is>
      </c>
      <c r="L820" s="22" t="inlineStr">
        <is>
          <t>Federal Bank (Jupiter)</t>
        </is>
      </c>
      <c r="M820" s="22" t="inlineStr"/>
    </row>
    <row r="821">
      <c r="A821" s="58" t="n">
        <v>45209</v>
      </c>
      <c r="B821" s="58" t="n">
        <v>45209</v>
      </c>
      <c r="C821" s="59" t="n">
        <v>10</v>
      </c>
      <c r="D821" s="59" t="n">
        <v>0</v>
      </c>
      <c r="E821" s="59" t="inlineStr"/>
      <c r="F821" s="59" t="inlineStr">
        <is>
          <t>MF Investment</t>
        </is>
      </c>
      <c r="G821" s="18" t="n">
        <v>0.88</v>
      </c>
      <c r="H821" s="59" t="inlineStr">
        <is>
          <t>Investments</t>
        </is>
      </c>
      <c r="I821" s="59" t="inlineStr">
        <is>
          <t>FEDERAL 0847</t>
        </is>
      </c>
      <c r="J821" s="59" t="inlineStr"/>
      <c r="K821" s="59" t="inlineStr">
        <is>
          <t>NFT/NEOSIEXEDDD2023101004362061758 NAVI
Mutual Fun</t>
        </is>
      </c>
      <c r="L821" s="59" t="inlineStr">
        <is>
          <t>Federal Bank (Jupiter)</t>
        </is>
      </c>
      <c r="M821" s="59" t="inlineStr"/>
    </row>
    <row r="822">
      <c r="A822" s="23" t="n">
        <v>45209</v>
      </c>
      <c r="B822" s="23" t="n">
        <v>45209</v>
      </c>
      <c r="C822" s="24" t="n">
        <v>50</v>
      </c>
      <c r="D822" s="24" t="n">
        <v>0</v>
      </c>
      <c r="E822" s="24" t="inlineStr"/>
      <c r="F822" s="24" t="inlineStr">
        <is>
          <t>What is this?</t>
        </is>
      </c>
      <c r="G822" s="25" t="n">
        <v>0</v>
      </c>
      <c r="H822" s="24" t="inlineStr">
        <is>
          <t>Suspense</t>
        </is>
      </c>
      <c r="I822" s="24" t="inlineStr">
        <is>
          <t>FEDERAL 0847</t>
        </is>
      </c>
      <c r="J822" s="24" t="inlineStr"/>
      <c r="K822" s="24" t="inlineStr">
        <is>
          <t>IFN/NEOSIEXEDDD2023101006335873990
Transfer to sup</t>
        </is>
      </c>
      <c r="L822" s="24" t="inlineStr">
        <is>
          <t>Federal Bank (Jupiter)</t>
        </is>
      </c>
      <c r="M822" s="24" t="inlineStr"/>
    </row>
    <row r="823">
      <c r="A823" s="37" t="n">
        <v>45209</v>
      </c>
      <c r="B823" s="37" t="n">
        <v>45209</v>
      </c>
      <c r="C823" s="38" t="n">
        <v>1700</v>
      </c>
      <c r="D823" s="38" t="n">
        <v>0</v>
      </c>
      <c r="E823" s="38" t="inlineStr"/>
      <c r="F823" s="38" t="inlineStr">
        <is>
          <t>UPI Payment</t>
        </is>
      </c>
      <c r="G823" s="25" t="n">
        <v>0.55</v>
      </c>
      <c r="H823" s="38" t="inlineStr">
        <is>
          <t>Personal</t>
        </is>
      </c>
      <c r="I823" s="38" t="inlineStr">
        <is>
          <t>FEDERAL 0847</t>
        </is>
      </c>
      <c r="J823" s="38" t="inlineStr"/>
      <c r="K823" s="38" t="inlineStr">
        <is>
          <t>UPIOUT/328320608283/9011139401@ibl/Sent
via /0000</t>
        </is>
      </c>
      <c r="L823" s="38" t="inlineStr">
        <is>
          <t>Federal Bank (Jupiter)</t>
        </is>
      </c>
      <c r="M823" s="38" t="inlineStr"/>
    </row>
    <row r="824">
      <c r="A824" s="37" t="n">
        <v>45209</v>
      </c>
      <c r="B824" s="37" t="n">
        <v>45209</v>
      </c>
      <c r="C824" s="38" t="n">
        <v>18</v>
      </c>
      <c r="D824" s="38" t="n">
        <v>0</v>
      </c>
      <c r="E824" s="38" t="inlineStr"/>
      <c r="F824" s="38" t="inlineStr">
        <is>
          <t>UPI Payment</t>
        </is>
      </c>
      <c r="G824" s="25" t="n">
        <v>0.55</v>
      </c>
      <c r="H824" s="38" t="inlineStr">
        <is>
          <t>Personal</t>
        </is>
      </c>
      <c r="I824" s="38" t="inlineStr">
        <is>
          <t>FEDERAL 0847</t>
        </is>
      </c>
      <c r="J824" s="38" t="inlineStr"/>
      <c r="K824" s="38" t="inlineStr">
        <is>
          <t>UPIOUT/328321156237/Q423659019@ybl/Sent
via /5311</t>
        </is>
      </c>
      <c r="L824" s="38" t="inlineStr">
        <is>
          <t>Federal Bank (Jupiter)</t>
        </is>
      </c>
      <c r="M824" s="38" t="inlineStr"/>
    </row>
    <row r="825">
      <c r="A825" s="37" t="n">
        <v>45209</v>
      </c>
      <c r="B825" s="37" t="n">
        <v>45209</v>
      </c>
      <c r="C825" s="38" t="n">
        <v>75</v>
      </c>
      <c r="D825" s="38" t="n">
        <v>0</v>
      </c>
      <c r="E825" s="38" t="inlineStr"/>
      <c r="F825" s="38" t="inlineStr">
        <is>
          <t>UPI Payment</t>
        </is>
      </c>
      <c r="G825" s="25" t="n">
        <v>0.55</v>
      </c>
      <c r="H825" s="38" t="inlineStr">
        <is>
          <t>Personal</t>
        </is>
      </c>
      <c r="I825" s="38" t="inlineStr">
        <is>
          <t>FEDERAL 0847</t>
        </is>
      </c>
      <c r="J825" s="38" t="inlineStr"/>
      <c r="K825" s="38" t="inlineStr">
        <is>
          <t>UPIOUT/328311386904/Q521635612@ybl/Sent
via /5451</t>
        </is>
      </c>
      <c r="L825" s="38" t="inlineStr">
        <is>
          <t>Federal Bank (Jupiter)</t>
        </is>
      </c>
      <c r="M825" s="38" t="inlineStr"/>
    </row>
    <row r="826">
      <c r="A826" s="72" t="n">
        <v>45210</v>
      </c>
      <c r="B826" s="72" t="n">
        <v>45210</v>
      </c>
      <c r="C826" s="73" t="n">
        <v>0</v>
      </c>
      <c r="D826" s="73" t="n">
        <v>2000</v>
      </c>
      <c r="E826" s="73" t="inlineStr"/>
      <c r="F826" s="73" t="inlineStr">
        <is>
          <t>Misc Income</t>
        </is>
      </c>
      <c r="G826" s="34" t="n">
        <v>0.6</v>
      </c>
      <c r="H826" s="73" t="inlineStr">
        <is>
          <t>Misc Income</t>
        </is>
      </c>
      <c r="I826" s="73" t="inlineStr">
        <is>
          <t>FEDERAL 0847</t>
        </is>
      </c>
      <c r="J826" s="73" t="inlineStr"/>
      <c r="K826" s="73" t="inlineStr">
        <is>
          <t>IFN/EtgmrB2DD3NrpPoE Withdraw from 6 Weeks
Saving</t>
        </is>
      </c>
      <c r="L826" s="73" t="inlineStr">
        <is>
          <t>Federal Bank (Jupiter)</t>
        </is>
      </c>
      <c r="M826" s="73" t="inlineStr"/>
    </row>
    <row r="827">
      <c r="A827" s="58" t="n">
        <v>45210</v>
      </c>
      <c r="B827" s="58" t="n">
        <v>45210</v>
      </c>
      <c r="C827" s="59" t="n">
        <v>10</v>
      </c>
      <c r="D827" s="59" t="n">
        <v>0</v>
      </c>
      <c r="E827" s="59" t="inlineStr"/>
      <c r="F827" s="59" t="inlineStr">
        <is>
          <t>MF Investment</t>
        </is>
      </c>
      <c r="G827" s="18" t="n">
        <v>0.88</v>
      </c>
      <c r="H827" s="59" t="inlineStr">
        <is>
          <t>Investments</t>
        </is>
      </c>
      <c r="I827" s="59" t="inlineStr">
        <is>
          <t>FEDERAL 0847</t>
        </is>
      </c>
      <c r="J827" s="59" t="inlineStr"/>
      <c r="K827" s="59" t="inlineStr">
        <is>
          <t>NFT/NEOSIEXEDDD2023101104350017880 NAVI
Mutual Fun</t>
        </is>
      </c>
      <c r="L827" s="59" t="inlineStr">
        <is>
          <t>Federal Bank (Jupiter)</t>
        </is>
      </c>
      <c r="M827" s="59" t="inlineStr"/>
    </row>
    <row r="828">
      <c r="A828" s="23" t="n">
        <v>45210</v>
      </c>
      <c r="B828" s="23" t="n">
        <v>45210</v>
      </c>
      <c r="C828" s="24" t="n">
        <v>1000</v>
      </c>
      <c r="D828" s="24" t="n">
        <v>0</v>
      </c>
      <c r="E828" s="24" t="inlineStr"/>
      <c r="F828" s="24" t="inlineStr">
        <is>
          <t>What is this?</t>
        </is>
      </c>
      <c r="G828" s="25" t="n">
        <v>0</v>
      </c>
      <c r="H828" s="24" t="inlineStr">
        <is>
          <t>Suspense</t>
        </is>
      </c>
      <c r="I828" s="24" t="inlineStr">
        <is>
          <t>FEDERAL 0847</t>
        </is>
      </c>
      <c r="J828" s="24" t="inlineStr"/>
      <c r="K828" s="24" t="inlineStr">
        <is>
          <t>IFN/NEOSIEXEDDD2023101105401245383
Transfer to pot</t>
        </is>
      </c>
      <c r="L828" s="24" t="inlineStr">
        <is>
          <t>Federal Bank (Jupiter)</t>
        </is>
      </c>
      <c r="M828" s="24" t="inlineStr"/>
    </row>
    <row r="829">
      <c r="A829" s="37" t="n">
        <v>45210</v>
      </c>
      <c r="B829" s="37" t="n">
        <v>45210</v>
      </c>
      <c r="C829" s="38" t="n">
        <v>75</v>
      </c>
      <c r="D829" s="38" t="n">
        <v>0</v>
      </c>
      <c r="E829" s="38" t="inlineStr"/>
      <c r="F829" s="38" t="inlineStr">
        <is>
          <t>UPI Payment</t>
        </is>
      </c>
      <c r="G829" s="25" t="n">
        <v>0.55</v>
      </c>
      <c r="H829" s="38" t="inlineStr">
        <is>
          <t>Personal</t>
        </is>
      </c>
      <c r="I829" s="38" t="inlineStr">
        <is>
          <t>FEDERAL 0847</t>
        </is>
      </c>
      <c r="J829" s="38" t="inlineStr"/>
      <c r="K829" s="38" t="inlineStr">
        <is>
          <t>UPIOUT/328455016693/Q521635612@ybl/Sent
via /5451</t>
        </is>
      </c>
      <c r="L829" s="38" t="inlineStr">
        <is>
          <t>Federal Bank (Jupiter)</t>
        </is>
      </c>
      <c r="M829" s="38" t="inlineStr"/>
    </row>
    <row r="830">
      <c r="A830" s="23" t="n">
        <v>45210</v>
      </c>
      <c r="B830" s="23" t="n">
        <v>45210</v>
      </c>
      <c r="C830" s="24" t="n">
        <v>0</v>
      </c>
      <c r="D830" s="24" t="n">
        <v>450</v>
      </c>
      <c r="E830" s="24" t="inlineStr"/>
      <c r="F830" s="24" t="inlineStr">
        <is>
          <t>What is this?</t>
        </is>
      </c>
      <c r="G830" s="25" t="n">
        <v>0</v>
      </c>
      <c r="H830" s="24" t="inlineStr">
        <is>
          <t>Suspense</t>
        </is>
      </c>
      <c r="I830" s="24" t="inlineStr">
        <is>
          <t>FEDERAL 0847</t>
        </is>
      </c>
      <c r="J830" s="24" t="inlineStr"/>
      <c r="K830" s="24" t="inlineStr">
        <is>
          <t>FD-77770701776482 closure proceeds
credited</t>
        </is>
      </c>
      <c r="L830" s="24" t="inlineStr">
        <is>
          <t>Federal Bank (Jupiter)</t>
        </is>
      </c>
      <c r="M830" s="24" t="inlineStr"/>
    </row>
    <row r="831">
      <c r="A831" s="54" t="n">
        <v>45210</v>
      </c>
      <c r="B831" s="54" t="n">
        <v>45210</v>
      </c>
      <c r="C831" s="55" t="n">
        <v>0</v>
      </c>
      <c r="D831" s="55" t="n">
        <v>349.91</v>
      </c>
      <c r="E831" s="55" t="inlineStr"/>
      <c r="F831" s="55" t="inlineStr">
        <is>
          <t>HDFC Securities - Sell</t>
        </is>
      </c>
      <c r="G831" s="18" t="n">
        <v>0.97</v>
      </c>
      <c r="H831" s="55" t="inlineStr">
        <is>
          <t>HDFC Securities</t>
        </is>
      </c>
      <c r="I831" s="55" t="inlineStr">
        <is>
          <t>HDFC 5413</t>
        </is>
      </c>
      <c r="J831" s="55" t="inlineStr"/>
      <c r="K831" s="55" t="inlineStr">
        <is>
          <t>NET PO FROM HSL A/C 2554606-50200085415108</t>
        </is>
      </c>
      <c r="L831" s="55" t="inlineStr">
        <is>
          <t>HDFC Bank</t>
        </is>
      </c>
      <c r="M831" s="55" t="inlineStr"/>
    </row>
    <row r="832">
      <c r="A832" s="58" t="n">
        <v>45210</v>
      </c>
      <c r="B832" s="58" t="n">
        <v>45210</v>
      </c>
      <c r="C832" s="59" t="n">
        <v>3000</v>
      </c>
      <c r="D832" s="59" t="n">
        <v>0</v>
      </c>
      <c r="E832" s="59" t="inlineStr"/>
      <c r="F832" s="59" t="inlineStr">
        <is>
          <t>MF Investment</t>
        </is>
      </c>
      <c r="G832" s="18" t="n">
        <v>0.9</v>
      </c>
      <c r="H832" s="59" t="inlineStr">
        <is>
          <t>Investments</t>
        </is>
      </c>
      <c r="I832" s="59" t="inlineStr">
        <is>
          <t>HDFC 5413</t>
        </is>
      </c>
      <c r="J832" s="59" t="inlineStr"/>
      <c r="K832" s="59" t="inlineStr">
        <is>
          <t>NET PAYIN TO BSE MF A/C -57500000389146- FROM A/C -50100128155413- UCC -2554606-57500000389146</t>
        </is>
      </c>
      <c r="L832" s="59" t="inlineStr">
        <is>
          <t>HDFC Bank</t>
        </is>
      </c>
      <c r="M832" s="59" t="inlineStr"/>
    </row>
    <row r="833">
      <c r="A833" s="41" t="n">
        <v>45210</v>
      </c>
      <c r="B833" s="41" t="n">
        <v>45210</v>
      </c>
      <c r="C833" s="42" t="n">
        <v>69.08</v>
      </c>
      <c r="D833" s="42" t="n">
        <v>0</v>
      </c>
      <c r="E833" s="42" t="inlineStr"/>
      <c r="F833" s="42" t="inlineStr">
        <is>
          <t>HDFC Securities - Buy</t>
        </is>
      </c>
      <c r="G833" s="18" t="n">
        <v>0.97</v>
      </c>
      <c r="H833" s="42" t="inlineStr">
        <is>
          <t>HDFC Securities</t>
        </is>
      </c>
      <c r="I833" s="42" t="inlineStr">
        <is>
          <t>HDFC 5413</t>
        </is>
      </c>
      <c r="J833" s="42" t="inlineStr"/>
      <c r="K833" s="42" t="inlineStr">
        <is>
          <t>NET PI TO HSL SEC A/C 2554606-00602340029427</t>
        </is>
      </c>
      <c r="L833" s="42" t="inlineStr">
        <is>
          <t>HDFC Bank</t>
        </is>
      </c>
      <c r="M833" s="42" t="inlineStr"/>
    </row>
    <row r="834">
      <c r="A834" s="72" t="n">
        <v>45210</v>
      </c>
      <c r="B834" s="72" t="n">
        <v>45210</v>
      </c>
      <c r="C834" s="73" t="n">
        <v>0</v>
      </c>
      <c r="D834" s="73" t="n">
        <v>200</v>
      </c>
      <c r="E834" s="73" t="inlineStr"/>
      <c r="F834" s="73" t="inlineStr">
        <is>
          <t>Misc Income</t>
        </is>
      </c>
      <c r="G834" s="34" t="n">
        <v>0.6</v>
      </c>
      <c r="H834" s="73" t="inlineStr">
        <is>
          <t>Misc Income</t>
        </is>
      </c>
      <c r="I834" s="73" t="inlineStr">
        <is>
          <t>FEDERAL 0847</t>
        </is>
      </c>
      <c r="J834" s="73" t="inlineStr"/>
      <c r="K834" s="73" t="inlineStr">
        <is>
          <t>IFN/INBINBFT20231011032553605 Jupiter
Rewards</t>
        </is>
      </c>
      <c r="L834" s="73" t="inlineStr">
        <is>
          <t>Federal Bank (Jupiter)</t>
        </is>
      </c>
      <c r="M834" s="73" t="inlineStr"/>
    </row>
    <row r="835">
      <c r="A835" s="23" t="n">
        <v>45210</v>
      </c>
      <c r="B835" s="23" t="n">
        <v>45210</v>
      </c>
      <c r="C835" s="24" t="n">
        <v>0</v>
      </c>
      <c r="D835" s="24" t="n">
        <v>1001</v>
      </c>
      <c r="E835" s="24" t="inlineStr"/>
      <c r="F835" s="24" t="inlineStr">
        <is>
          <t>What is this?</t>
        </is>
      </c>
      <c r="G835" s="25" t="n">
        <v>0</v>
      </c>
      <c r="H835" s="24" t="inlineStr">
        <is>
          <t>Suspense</t>
        </is>
      </c>
      <c r="I835" s="24" t="inlineStr">
        <is>
          <t>FEDERAL 0847</t>
        </is>
      </c>
      <c r="J835" s="24" t="inlineStr"/>
      <c r="K835" s="24" t="inlineStr">
        <is>
          <t>FD-77770300389653 closure proceeds
credited</t>
        </is>
      </c>
      <c r="L835" s="24" t="inlineStr">
        <is>
          <t>Federal Bank (Jupiter)</t>
        </is>
      </c>
      <c r="M835" s="24" t="inlineStr"/>
    </row>
    <row r="836">
      <c r="A836" s="23" t="n">
        <v>45210</v>
      </c>
      <c r="B836" s="23" t="n">
        <v>45210</v>
      </c>
      <c r="C836" s="24" t="n">
        <v>50</v>
      </c>
      <c r="D836" s="24" t="n">
        <v>0</v>
      </c>
      <c r="E836" s="24" t="inlineStr"/>
      <c r="F836" s="24" t="inlineStr">
        <is>
          <t>What is this?</t>
        </is>
      </c>
      <c r="G836" s="25" t="n">
        <v>0</v>
      </c>
      <c r="H836" s="24" t="inlineStr">
        <is>
          <t>Suspense</t>
        </is>
      </c>
      <c r="I836" s="24" t="inlineStr">
        <is>
          <t>FEDERAL 0847</t>
        </is>
      </c>
      <c r="J836" s="24" t="inlineStr"/>
      <c r="K836" s="24" t="inlineStr">
        <is>
          <t>IFN/NEOSIEXEDDD2023101106330220186
Transfer to sup</t>
        </is>
      </c>
      <c r="L836" s="24" t="inlineStr">
        <is>
          <t>Federal Bank (Jupiter)</t>
        </is>
      </c>
      <c r="M836" s="24" t="inlineStr"/>
    </row>
    <row r="837">
      <c r="A837" s="58" t="n">
        <v>45211</v>
      </c>
      <c r="B837" s="58" t="n">
        <v>45211</v>
      </c>
      <c r="C837" s="59" t="n">
        <v>10</v>
      </c>
      <c r="D837" s="59" t="n">
        <v>0</v>
      </c>
      <c r="E837" s="59" t="inlineStr"/>
      <c r="F837" s="59" t="inlineStr">
        <is>
          <t>MF Investment</t>
        </is>
      </c>
      <c r="G837" s="18" t="n">
        <v>0.88</v>
      </c>
      <c r="H837" s="59" t="inlineStr">
        <is>
          <t>Investments</t>
        </is>
      </c>
      <c r="I837" s="59" t="inlineStr">
        <is>
          <t>FEDERAL 0847</t>
        </is>
      </c>
      <c r="J837" s="59" t="inlineStr"/>
      <c r="K837" s="59" t="inlineStr">
        <is>
          <t>NFT/NEOSIEXEDDD2023101204361934171 NAVI
Mutual Fun</t>
        </is>
      </c>
      <c r="L837" s="59" t="inlineStr">
        <is>
          <t>Federal Bank (Jupiter)</t>
        </is>
      </c>
      <c r="M837" s="59" t="inlineStr"/>
    </row>
    <row r="838">
      <c r="A838" s="37" t="n">
        <v>45211</v>
      </c>
      <c r="B838" s="37" t="n">
        <v>45211</v>
      </c>
      <c r="C838" s="38" t="n">
        <v>10</v>
      </c>
      <c r="D838" s="38" t="n">
        <v>0</v>
      </c>
      <c r="E838" s="38" t="inlineStr"/>
      <c r="F838" s="38" t="inlineStr">
        <is>
          <t>UPI Payment</t>
        </is>
      </c>
      <c r="G838" s="25" t="n">
        <v>0.55</v>
      </c>
      <c r="H838" s="38" t="inlineStr">
        <is>
          <t>Personal</t>
        </is>
      </c>
      <c r="I838" s="38" t="inlineStr">
        <is>
          <t>FEDERAL 0847</t>
        </is>
      </c>
      <c r="J838" s="38" t="inlineStr"/>
      <c r="K838" s="38" t="inlineStr">
        <is>
          <t>UPIOUT/328512390943/Q738150595@ybl/Sent
via /5943</t>
        </is>
      </c>
      <c r="L838" s="38" t="inlineStr">
        <is>
          <t>Federal Bank (Jupiter)</t>
        </is>
      </c>
      <c r="M838" s="38" t="inlineStr"/>
    </row>
    <row r="839">
      <c r="A839" s="64" t="n">
        <v>45211</v>
      </c>
      <c r="B839" s="64" t="n">
        <v>45211</v>
      </c>
      <c r="C839" s="65" t="n">
        <v>0</v>
      </c>
      <c r="D839" s="65" t="n">
        <v>90</v>
      </c>
      <c r="E839" s="65" t="inlineStr"/>
      <c r="F839" s="65" t="inlineStr">
        <is>
          <t>Dividend Income</t>
        </is>
      </c>
      <c r="G839" s="18" t="n">
        <v>0.88</v>
      </c>
      <c r="H839" s="65" t="inlineStr">
        <is>
          <t>Dividend Income</t>
        </is>
      </c>
      <c r="I839" s="65" t="inlineStr">
        <is>
          <t>HDFC 5413</t>
        </is>
      </c>
      <c r="J839" s="65" t="inlineStr"/>
      <c r="K839" s="65" t="inlineStr">
        <is>
          <t>ACH C- POWER MECH PROJECTS-715399</t>
        </is>
      </c>
      <c r="L839" s="65" t="inlineStr">
        <is>
          <t>HDFC Bank</t>
        </is>
      </c>
      <c r="M839" s="65" t="inlineStr"/>
    </row>
    <row r="840">
      <c r="A840" s="54" t="n">
        <v>45211</v>
      </c>
      <c r="B840" s="54" t="n">
        <v>45211</v>
      </c>
      <c r="C840" s="55" t="n">
        <v>0</v>
      </c>
      <c r="D840" s="55" t="n">
        <v>184.48</v>
      </c>
      <c r="E840" s="55" t="inlineStr"/>
      <c r="F840" s="55" t="inlineStr">
        <is>
          <t>HDFC Securities - Sell</t>
        </is>
      </c>
      <c r="G840" s="18" t="n">
        <v>0.97</v>
      </c>
      <c r="H840" s="55" t="inlineStr">
        <is>
          <t>HDFC Securities</t>
        </is>
      </c>
      <c r="I840" s="55" t="inlineStr">
        <is>
          <t>HDFC 5413</t>
        </is>
      </c>
      <c r="J840" s="55" t="inlineStr"/>
      <c r="K840" s="55" t="inlineStr">
        <is>
          <t>NET PO FROM HSL A/C 2554606-50200085415108</t>
        </is>
      </c>
      <c r="L840" s="55" t="inlineStr">
        <is>
          <t>HDFC Bank</t>
        </is>
      </c>
      <c r="M840" s="55" t="inlineStr"/>
    </row>
    <row r="841">
      <c r="A841" s="41" t="n">
        <v>45211</v>
      </c>
      <c r="B841" s="41" t="n">
        <v>45211</v>
      </c>
      <c r="C841" s="42" t="n">
        <v>69.25</v>
      </c>
      <c r="D841" s="42" t="n">
        <v>0</v>
      </c>
      <c r="E841" s="42" t="inlineStr"/>
      <c r="F841" s="42" t="inlineStr">
        <is>
          <t>HDFC Securities - Buy</t>
        </is>
      </c>
      <c r="G841" s="18" t="n">
        <v>0.97</v>
      </c>
      <c r="H841" s="42" t="inlineStr">
        <is>
          <t>HDFC Securities</t>
        </is>
      </c>
      <c r="I841" s="42" t="inlineStr">
        <is>
          <t>HDFC 5413</t>
        </is>
      </c>
      <c r="J841" s="42" t="inlineStr"/>
      <c r="K841" s="42" t="inlineStr">
        <is>
          <t>NET PI TO HSL SEC A/C 2554606-00602340029427</t>
        </is>
      </c>
      <c r="L841" s="42" t="inlineStr">
        <is>
          <t>HDFC Bank</t>
        </is>
      </c>
      <c r="M841" s="42" t="inlineStr"/>
    </row>
    <row r="842">
      <c r="A842" s="56" t="n">
        <v>45211</v>
      </c>
      <c r="B842" s="56" t="n">
        <v>45211</v>
      </c>
      <c r="C842" s="57" t="n">
        <v>1144.6</v>
      </c>
      <c r="D842" s="57" t="n">
        <v>0</v>
      </c>
      <c r="E842" s="57" t="inlineStr"/>
      <c r="F842" s="57" t="inlineStr">
        <is>
          <t>Depository Charges</t>
        </is>
      </c>
      <c r="G842" s="18" t="n">
        <v>0.93</v>
      </c>
      <c r="H842" s="57" t="inlineStr">
        <is>
          <t>Depository Charges</t>
        </is>
      </c>
      <c r="I842" s="57" t="inlineStr">
        <is>
          <t>HDFC 5413</t>
        </is>
      </c>
      <c r="J842" s="57" t="inlineStr"/>
      <c r="K842" s="57" t="inlineStr">
        <is>
          <t>DEPOSITORY CHARGES SEP23 - 52812428</t>
        </is>
      </c>
      <c r="L842" s="57" t="inlineStr">
        <is>
          <t>HDFC Bank</t>
        </is>
      </c>
      <c r="M842" s="57" t="inlineStr"/>
    </row>
    <row r="843">
      <c r="A843" s="41" t="n">
        <v>45211</v>
      </c>
      <c r="B843" s="41" t="n">
        <v>45211</v>
      </c>
      <c r="C843" s="42" t="n">
        <v>7309.53</v>
      </c>
      <c r="D843" s="42" t="n">
        <v>0</v>
      </c>
      <c r="E843" s="42" t="inlineStr"/>
      <c r="F843" s="42" t="inlineStr">
        <is>
          <t>HDFC Securities - Buy</t>
        </is>
      </c>
      <c r="G843" s="18" t="n">
        <v>0.97</v>
      </c>
      <c r="H843" s="42" t="inlineStr">
        <is>
          <t>HDFC Securities</t>
        </is>
      </c>
      <c r="I843" s="42" t="inlineStr">
        <is>
          <t>HDFC 5413</t>
        </is>
      </c>
      <c r="J843" s="42" t="inlineStr"/>
      <c r="K843" s="42" t="inlineStr">
        <is>
          <t>NET PI TO HSL SEC A/C 2554606-00602340029427</t>
        </is>
      </c>
      <c r="L843" s="42" t="inlineStr">
        <is>
          <t>HDFC Bank</t>
        </is>
      </c>
      <c r="M843" s="42" t="inlineStr"/>
    </row>
    <row r="844">
      <c r="A844" s="23" t="n">
        <v>45211</v>
      </c>
      <c r="B844" s="23" t="n">
        <v>45211</v>
      </c>
      <c r="C844" s="24" t="n">
        <v>0</v>
      </c>
      <c r="D844" s="24" t="n">
        <v>5000</v>
      </c>
      <c r="E844" s="24" t="inlineStr"/>
      <c r="F844" s="24" t="inlineStr">
        <is>
          <t>What is this?</t>
        </is>
      </c>
      <c r="G844" s="25" t="n">
        <v>0</v>
      </c>
      <c r="H844" s="24" t="inlineStr">
        <is>
          <t>Suspense</t>
        </is>
      </c>
      <c r="I844" s="24" t="inlineStr">
        <is>
          <t>SBI 1227</t>
        </is>
      </c>
      <c r="J844" s="24" t="inlineStr"/>
      <c r="K844" s="24" t="inlineStr">
        <is>
          <t xml:space="preserve">   BY TRANSFER-INB Deposit / Investment--</t>
        </is>
      </c>
      <c r="L844" s="24" t="inlineStr">
        <is>
          <t>State Bank of India</t>
        </is>
      </c>
      <c r="M844" s="24" t="inlineStr"/>
    </row>
    <row r="845">
      <c r="A845" s="58" t="n">
        <v>45212</v>
      </c>
      <c r="B845" s="58" t="n">
        <v>45212</v>
      </c>
      <c r="C845" s="59" t="n">
        <v>10</v>
      </c>
      <c r="D845" s="59" t="n">
        <v>0</v>
      </c>
      <c r="E845" s="59" t="inlineStr"/>
      <c r="F845" s="59" t="inlineStr">
        <is>
          <t>MF Investment</t>
        </is>
      </c>
      <c r="G845" s="18" t="n">
        <v>0.88</v>
      </c>
      <c r="H845" s="59" t="inlineStr">
        <is>
          <t>Investments</t>
        </is>
      </c>
      <c r="I845" s="59" t="inlineStr">
        <is>
          <t>FEDERAL 0847</t>
        </is>
      </c>
      <c r="J845" s="59" t="inlineStr"/>
      <c r="K845" s="59" t="inlineStr">
        <is>
          <t>NFT/NEOSIEXEDDD2023101304362004453 NAVI
Mutual Fun</t>
        </is>
      </c>
      <c r="L845" s="59" t="inlineStr">
        <is>
          <t>Federal Bank (Jupiter)</t>
        </is>
      </c>
      <c r="M845" s="59" t="inlineStr"/>
    </row>
    <row r="846">
      <c r="A846" s="37" t="n">
        <v>45212</v>
      </c>
      <c r="B846" s="37" t="n">
        <v>45212</v>
      </c>
      <c r="C846" s="38" t="n">
        <v>75</v>
      </c>
      <c r="D846" s="38" t="n">
        <v>0</v>
      </c>
      <c r="E846" s="38" t="inlineStr"/>
      <c r="F846" s="38" t="inlineStr">
        <is>
          <t>UPI Payment</t>
        </is>
      </c>
      <c r="G846" s="25" t="n">
        <v>0.55</v>
      </c>
      <c r="H846" s="38" t="inlineStr">
        <is>
          <t>Personal</t>
        </is>
      </c>
      <c r="I846" s="38" t="inlineStr">
        <is>
          <t>FEDERAL 0847</t>
        </is>
      </c>
      <c r="J846" s="38" t="inlineStr"/>
      <c r="K846" s="38" t="inlineStr">
        <is>
          <t>UPIOUT/328677963842/Q521635612@ybl/Sent
via /5451</t>
        </is>
      </c>
      <c r="L846" s="38" t="inlineStr">
        <is>
          <t>Federal Bank (Jupiter)</t>
        </is>
      </c>
      <c r="M846" s="38" t="inlineStr"/>
    </row>
    <row r="847">
      <c r="A847" s="41" t="n">
        <v>45212</v>
      </c>
      <c r="B847" s="41" t="n">
        <v>45212</v>
      </c>
      <c r="C847" s="42" t="n">
        <v>647.8099999999999</v>
      </c>
      <c r="D847" s="42" t="n">
        <v>0</v>
      </c>
      <c r="E847" s="42" t="inlineStr"/>
      <c r="F847" s="42" t="inlineStr">
        <is>
          <t>HDFC Securities - Buy</t>
        </is>
      </c>
      <c r="G847" s="18" t="n">
        <v>0.97</v>
      </c>
      <c r="H847" s="42" t="inlineStr">
        <is>
          <t>HDFC Securities</t>
        </is>
      </c>
      <c r="I847" s="42" t="inlineStr">
        <is>
          <t>HDFC 5413</t>
        </is>
      </c>
      <c r="J847" s="42" t="inlineStr"/>
      <c r="K847" s="42" t="inlineStr">
        <is>
          <t>NET PI TO HSL SEC A/C 2554606-00602340029427</t>
        </is>
      </c>
      <c r="L847" s="42" t="inlineStr">
        <is>
          <t>HDFC Bank</t>
        </is>
      </c>
      <c r="M847" s="42" t="inlineStr"/>
    </row>
    <row r="848">
      <c r="A848" s="41" t="n">
        <v>45212</v>
      </c>
      <c r="B848" s="41" t="n">
        <v>45212</v>
      </c>
      <c r="C848" s="42" t="n">
        <v>6551.64</v>
      </c>
      <c r="D848" s="42" t="n">
        <v>0</v>
      </c>
      <c r="E848" s="42" t="inlineStr"/>
      <c r="F848" s="42" t="inlineStr">
        <is>
          <t>HDFC Securities - Buy</t>
        </is>
      </c>
      <c r="G848" s="18" t="n">
        <v>0.97</v>
      </c>
      <c r="H848" s="42" t="inlineStr">
        <is>
          <t>HDFC Securities</t>
        </is>
      </c>
      <c r="I848" s="42" t="inlineStr">
        <is>
          <t>HDFC 5413</t>
        </is>
      </c>
      <c r="J848" s="42" t="inlineStr"/>
      <c r="K848" s="42" t="inlineStr">
        <is>
          <t>NET PI TO HSL SEC A/C 2554606-00602340029427</t>
        </is>
      </c>
      <c r="L848" s="42" t="inlineStr">
        <is>
          <t>HDFC Bank</t>
        </is>
      </c>
      <c r="M848" s="42" t="inlineStr"/>
    </row>
    <row r="849">
      <c r="A849" s="41" t="n">
        <v>45212</v>
      </c>
      <c r="B849" s="41" t="n">
        <v>45212</v>
      </c>
      <c r="C849" s="42" t="n">
        <v>65.73999999999999</v>
      </c>
      <c r="D849" s="42" t="n">
        <v>0</v>
      </c>
      <c r="E849" s="42" t="inlineStr"/>
      <c r="F849" s="42" t="inlineStr">
        <is>
          <t>HDFC Securities - Buy</t>
        </is>
      </c>
      <c r="G849" s="18" t="n">
        <v>0.97</v>
      </c>
      <c r="H849" s="42" t="inlineStr">
        <is>
          <t>HDFC Securities</t>
        </is>
      </c>
      <c r="I849" s="42" t="inlineStr">
        <is>
          <t>HDFC 5413</t>
        </is>
      </c>
      <c r="J849" s="42" t="inlineStr"/>
      <c r="K849" s="42" t="inlineStr">
        <is>
          <t>NET PI TO HSL SEC A/C 2554606-00602340029427</t>
        </is>
      </c>
      <c r="L849" s="42" t="inlineStr">
        <is>
          <t>HDFC Bank</t>
        </is>
      </c>
      <c r="M849" s="42" t="inlineStr"/>
    </row>
    <row r="850">
      <c r="A850" s="37" t="n">
        <v>45212</v>
      </c>
      <c r="B850" s="37" t="n">
        <v>45212</v>
      </c>
      <c r="C850" s="38" t="n">
        <v>100</v>
      </c>
      <c r="D850" s="38" t="n">
        <v>0</v>
      </c>
      <c r="E850" s="38" t="inlineStr"/>
      <c r="F850" s="38" t="inlineStr">
        <is>
          <t>UPI Payment</t>
        </is>
      </c>
      <c r="G850" s="25" t="n">
        <v>0.55</v>
      </c>
      <c r="H850" s="38" t="inlineStr">
        <is>
          <t>Personal</t>
        </is>
      </c>
      <c r="I850" s="38" t="inlineStr">
        <is>
          <t>FEDERAL 0847</t>
        </is>
      </c>
      <c r="J850" s="38" t="inlineStr"/>
      <c r="K850" s="38" t="inlineStr">
        <is>
          <t>UPIOUT/328651505211/Q178744345@ybl/Sent
via /7230</t>
        </is>
      </c>
      <c r="L850" s="38" t="inlineStr">
        <is>
          <t>Federal Bank (Jupiter)</t>
        </is>
      </c>
      <c r="M850" s="38" t="inlineStr"/>
    </row>
    <row r="851">
      <c r="A851" s="54" t="n">
        <v>45212</v>
      </c>
      <c r="B851" s="54" t="n">
        <v>45212</v>
      </c>
      <c r="C851" s="55" t="n">
        <v>0</v>
      </c>
      <c r="D851" s="55" t="n">
        <v>20649.04</v>
      </c>
      <c r="E851" s="55" t="inlineStr"/>
      <c r="F851" s="55" t="inlineStr">
        <is>
          <t>HDFC Securities - Sell</t>
        </is>
      </c>
      <c r="G851" s="18" t="n">
        <v>0.97</v>
      </c>
      <c r="H851" s="55" t="inlineStr">
        <is>
          <t>HDFC Securities</t>
        </is>
      </c>
      <c r="I851" s="55" t="inlineStr">
        <is>
          <t>HDFC 5413</t>
        </is>
      </c>
      <c r="J851" s="55" t="inlineStr"/>
      <c r="K851" s="55" t="inlineStr">
        <is>
          <t>NET PO FROM HSL A/C 2554606-50200085415108</t>
        </is>
      </c>
      <c r="L851" s="55" t="inlineStr">
        <is>
          <t>HDFC Bank</t>
        </is>
      </c>
      <c r="M851" s="55" t="inlineStr"/>
    </row>
    <row r="852">
      <c r="A852" s="37" t="n">
        <v>45212</v>
      </c>
      <c r="B852" s="37" t="n">
        <v>45212</v>
      </c>
      <c r="C852" s="38" t="n">
        <v>149</v>
      </c>
      <c r="D852" s="38" t="n">
        <v>0</v>
      </c>
      <c r="E852" s="38" t="inlineStr"/>
      <c r="F852" s="38" t="inlineStr">
        <is>
          <t>UPI Payment</t>
        </is>
      </c>
      <c r="G852" s="25" t="n">
        <v>0.55</v>
      </c>
      <c r="H852" s="38" t="inlineStr">
        <is>
          <t>Personal</t>
        </is>
      </c>
      <c r="I852" s="38" t="inlineStr">
        <is>
          <t>FEDERAL 0847</t>
        </is>
      </c>
      <c r="J852" s="38" t="inlineStr"/>
      <c r="K852" s="38" t="inlineStr">
        <is>
          <t>UPIOUT/328670883824/jupiterbillpay2@fbl/BB
PS/4814</t>
        </is>
      </c>
      <c r="L852" s="38" t="inlineStr">
        <is>
          <t>Federal Bank (Jupiter)</t>
        </is>
      </c>
      <c r="M852" s="38" t="inlineStr"/>
    </row>
    <row r="853">
      <c r="A853" s="58" t="n">
        <v>45213</v>
      </c>
      <c r="B853" s="58" t="n">
        <v>45213</v>
      </c>
      <c r="C853" s="59" t="n">
        <v>0</v>
      </c>
      <c r="D853" s="59" t="n">
        <v>21.89</v>
      </c>
      <c r="E853" s="59" t="inlineStr"/>
      <c r="F853" s="59" t="inlineStr">
        <is>
          <t>NEFT Transfer</t>
        </is>
      </c>
      <c r="G853" s="34" t="n">
        <v>0.7</v>
      </c>
      <c r="H853" s="59" t="inlineStr">
        <is>
          <t>Transfer</t>
        </is>
      </c>
      <c r="I853" s="59" t="inlineStr">
        <is>
          <t>FEDERAL 0847</t>
        </is>
      </c>
      <c r="J853" s="59" t="inlineStr"/>
      <c r="K853" s="59" t="inlineStr">
        <is>
          <t>FT IMPS/IFI/328718945589/RZPX PVT
LTD/Jupiter</t>
        </is>
      </c>
      <c r="L853" s="59" t="inlineStr">
        <is>
          <t>Federal Bank (Jupiter)</t>
        </is>
      </c>
      <c r="M853" s="59" t="inlineStr"/>
    </row>
    <row r="854">
      <c r="A854" s="58" t="n">
        <v>45213</v>
      </c>
      <c r="B854" s="58" t="n">
        <v>45213</v>
      </c>
      <c r="C854" s="59" t="n">
        <v>10</v>
      </c>
      <c r="D854" s="59" t="n">
        <v>0</v>
      </c>
      <c r="E854" s="59" t="inlineStr"/>
      <c r="F854" s="59" t="inlineStr">
        <is>
          <t>MF Investment</t>
        </is>
      </c>
      <c r="G854" s="18" t="n">
        <v>0.88</v>
      </c>
      <c r="H854" s="59" t="inlineStr">
        <is>
          <t>Investments</t>
        </is>
      </c>
      <c r="I854" s="59" t="inlineStr">
        <is>
          <t>FEDERAL 0847</t>
        </is>
      </c>
      <c r="J854" s="59" t="inlineStr"/>
      <c r="K854" s="59" t="inlineStr">
        <is>
          <t>NFT/NEOSIEXEDDD2023101404390676103 NAVI
Mutual Fun</t>
        </is>
      </c>
      <c r="L854" s="59" t="inlineStr">
        <is>
          <t>Federal Bank (Jupiter)</t>
        </is>
      </c>
      <c r="M854" s="59" t="inlineStr"/>
    </row>
    <row r="855">
      <c r="A855" s="37" t="n">
        <v>45214</v>
      </c>
      <c r="B855" s="37" t="n">
        <v>45214</v>
      </c>
      <c r="C855" s="38" t="n">
        <v>102</v>
      </c>
      <c r="D855" s="38" t="n">
        <v>0</v>
      </c>
      <c r="E855" s="38" t="inlineStr"/>
      <c r="F855" s="38" t="inlineStr">
        <is>
          <t>UPI Payment</t>
        </is>
      </c>
      <c r="G855" s="25" t="n">
        <v>0.55</v>
      </c>
      <c r="H855" s="38" t="inlineStr">
        <is>
          <t>Personal</t>
        </is>
      </c>
      <c r="I855" s="38" t="inlineStr">
        <is>
          <t>FEDERAL 0847</t>
        </is>
      </c>
      <c r="J855" s="38" t="inlineStr"/>
      <c r="K855" s="38" t="inlineStr">
        <is>
          <t>UPIOUT/328872542036/bombairajareddy2@ybl/S
en/0000</t>
        </is>
      </c>
      <c r="L855" s="38" t="inlineStr">
        <is>
          <t>Federal Bank (Jupiter)</t>
        </is>
      </c>
      <c r="M855" s="38" t="inlineStr"/>
    </row>
    <row r="856">
      <c r="A856" s="91" t="n">
        <v>45214</v>
      </c>
      <c r="B856" s="91" t="n">
        <v>45214</v>
      </c>
      <c r="C856" s="92" t="n">
        <v>0</v>
      </c>
      <c r="D856" s="92" t="n">
        <v>1</v>
      </c>
      <c r="E856" s="92" t="inlineStr"/>
      <c r="F856" s="92" t="inlineStr">
        <is>
          <t>UPI - Uber</t>
        </is>
      </c>
      <c r="G856" s="34" t="n">
        <v>0.68</v>
      </c>
      <c r="H856" s="92" t="inlineStr">
        <is>
          <t>Transport</t>
        </is>
      </c>
      <c r="I856" s="92" t="inlineStr">
        <is>
          <t>FEDERAL 0847</t>
        </is>
      </c>
      <c r="J856" s="92" t="inlineStr"/>
      <c r="K856" s="92" t="inlineStr">
        <is>
          <t>UPI IN/328855627204/uberrides@hdfcbank/Cha
rg/0000</t>
        </is>
      </c>
      <c r="L856" s="92" t="inlineStr">
        <is>
          <t>Federal Bank (Jupiter)</t>
        </is>
      </c>
      <c r="M856" s="92" t="inlineStr"/>
    </row>
    <row r="857">
      <c r="A857" s="89" t="n">
        <v>45214</v>
      </c>
      <c r="B857" s="89" t="n">
        <v>45214</v>
      </c>
      <c r="C857" s="90" t="n">
        <v>118</v>
      </c>
      <c r="D857" s="90" t="n">
        <v>0</v>
      </c>
      <c r="E857" s="90" t="inlineStr"/>
      <c r="F857" s="90" t="inlineStr">
        <is>
          <t>UPI - Ola</t>
        </is>
      </c>
      <c r="G857" s="34" t="n">
        <v>0.68</v>
      </c>
      <c r="H857" s="90" t="inlineStr">
        <is>
          <t>Transport</t>
        </is>
      </c>
      <c r="I857" s="90" t="inlineStr">
        <is>
          <t>FEDERAL 0847</t>
        </is>
      </c>
      <c r="J857" s="90" t="inlineStr"/>
      <c r="K857" s="90" t="inlineStr">
        <is>
          <t>UPIOUT/328847387456/olacabs.rzp@axisbank/P
ay/4121</t>
        </is>
      </c>
      <c r="L857" s="90" t="inlineStr">
        <is>
          <t>Federal Bank (Jupiter)</t>
        </is>
      </c>
      <c r="M857" s="90" t="inlineStr"/>
    </row>
    <row r="858">
      <c r="A858" s="91" t="n">
        <v>45214</v>
      </c>
      <c r="B858" s="91" t="n">
        <v>45214</v>
      </c>
      <c r="C858" s="92" t="n">
        <v>1</v>
      </c>
      <c r="D858" s="92" t="n">
        <v>0</v>
      </c>
      <c r="E858" s="92" t="inlineStr"/>
      <c r="F858" s="92" t="inlineStr">
        <is>
          <t>UPI - Uber</t>
        </is>
      </c>
      <c r="G858" s="34" t="n">
        <v>0.68</v>
      </c>
      <c r="H858" s="92" t="inlineStr">
        <is>
          <t>Transport</t>
        </is>
      </c>
      <c r="I858" s="92" t="inlineStr">
        <is>
          <t>FEDERAL 0847</t>
        </is>
      </c>
      <c r="J858" s="92" t="inlineStr"/>
      <c r="K858" s="92" t="inlineStr">
        <is>
          <t>UPIOUT/328865999935/uberrides@hdfcbank/Ube
rR/5960</t>
        </is>
      </c>
      <c r="L858" s="92" t="inlineStr">
        <is>
          <t>Federal Bank (Jupiter)</t>
        </is>
      </c>
      <c r="M858" s="92" t="inlineStr"/>
    </row>
    <row r="859">
      <c r="A859" s="87" t="n">
        <v>45214</v>
      </c>
      <c r="B859" s="87" t="n">
        <v>45214</v>
      </c>
      <c r="C859" s="88" t="n">
        <v>0</v>
      </c>
      <c r="D859" s="88" t="n">
        <v>1</v>
      </c>
      <c r="E859" s="88" t="inlineStr"/>
      <c r="F859" s="88" t="inlineStr">
        <is>
          <t>Contra - Kotak</t>
        </is>
      </c>
      <c r="G859" s="18" t="n">
        <v>0.9</v>
      </c>
      <c r="H859" s="88" t="inlineStr">
        <is>
          <t>KOTAK 0333</t>
        </is>
      </c>
      <c r="I859" s="88" t="inlineStr">
        <is>
          <t>FEDERAL 0847</t>
        </is>
      </c>
      <c r="J859" s="88" t="inlineStr"/>
      <c r="K859" s="88" t="inlineStr">
        <is>
          <t>UPI IN/328898684766/aayush20gupta@oksbi/UP
I/0000</t>
        </is>
      </c>
      <c r="L859" s="88" t="inlineStr">
        <is>
          <t>Federal Bank (Jupiter)</t>
        </is>
      </c>
      <c r="M859" s="88" t="inlineStr"/>
    </row>
    <row r="860">
      <c r="A860" s="58" t="n">
        <v>45214</v>
      </c>
      <c r="B860" s="58" t="n">
        <v>45214</v>
      </c>
      <c r="C860" s="59" t="n">
        <v>10</v>
      </c>
      <c r="D860" s="59" t="n">
        <v>0</v>
      </c>
      <c r="E860" s="59" t="inlineStr"/>
      <c r="F860" s="59" t="inlineStr">
        <is>
          <t>MF Investment</t>
        </is>
      </c>
      <c r="G860" s="18" t="n">
        <v>0.88</v>
      </c>
      <c r="H860" s="59" t="inlineStr">
        <is>
          <t>Investments</t>
        </is>
      </c>
      <c r="I860" s="59" t="inlineStr">
        <is>
          <t>FEDERAL 0847</t>
        </is>
      </c>
      <c r="J860" s="59" t="inlineStr"/>
      <c r="K860" s="59" t="inlineStr">
        <is>
          <t>NFT/NEOSIEXEDDD2023101504390239932 NAVI
Mutual Fun</t>
        </is>
      </c>
      <c r="L860" s="59" t="inlineStr">
        <is>
          <t>Federal Bank (Jupiter)</t>
        </is>
      </c>
      <c r="M860" s="59" t="inlineStr"/>
    </row>
    <row r="861">
      <c r="A861" s="35" t="n">
        <v>45214</v>
      </c>
      <c r="B861" s="35" t="n">
        <v>45214</v>
      </c>
      <c r="C861" s="36" t="n">
        <v>0</v>
      </c>
      <c r="D861" s="36" t="n">
        <v>100</v>
      </c>
      <c r="E861" s="36" t="inlineStr"/>
      <c r="F861" s="36" t="inlineStr">
        <is>
          <t>UPI - Paytm</t>
        </is>
      </c>
      <c r="G861" s="34" t="n">
        <v>0.65</v>
      </c>
      <c r="H861" s="36" t="inlineStr">
        <is>
          <t>Personal</t>
        </is>
      </c>
      <c r="I861" s="36" t="inlineStr">
        <is>
          <t>FEDERAL 0847</t>
        </is>
      </c>
      <c r="J861" s="36" t="inlineStr"/>
      <c r="K861" s="36" t="inlineStr">
        <is>
          <t>UPI IN/365428987264/walletmoneytobank@payt
m//0000</t>
        </is>
      </c>
      <c r="L861" s="36" t="inlineStr">
        <is>
          <t>Federal Bank (Jupiter)</t>
        </is>
      </c>
      <c r="M861" s="36" t="inlineStr"/>
    </row>
    <row r="862">
      <c r="A862" s="41" t="n">
        <v>45215</v>
      </c>
      <c r="B862" s="41" t="n">
        <v>45215</v>
      </c>
      <c r="C862" s="42" t="n">
        <v>227.46</v>
      </c>
      <c r="D862" s="42" t="n">
        <v>0</v>
      </c>
      <c r="E862" s="42" t="inlineStr"/>
      <c r="F862" s="42" t="inlineStr">
        <is>
          <t>HDFC Securities - Buy</t>
        </is>
      </c>
      <c r="G862" s="18" t="n">
        <v>0.97</v>
      </c>
      <c r="H862" s="42" t="inlineStr">
        <is>
          <t>HDFC Securities</t>
        </is>
      </c>
      <c r="I862" s="42" t="inlineStr">
        <is>
          <t>HDFC 5413</t>
        </is>
      </c>
      <c r="J862" s="42" t="inlineStr"/>
      <c r="K862" s="42" t="inlineStr">
        <is>
          <t>NET PI TO HSL SEC A/C 2554606-00602340029427</t>
        </is>
      </c>
      <c r="L862" s="42" t="inlineStr">
        <is>
          <t>HDFC Bank</t>
        </is>
      </c>
      <c r="M862" s="42" t="inlineStr"/>
    </row>
    <row r="863">
      <c r="A863" s="41" t="n">
        <v>45215</v>
      </c>
      <c r="B863" s="41" t="n">
        <v>45215</v>
      </c>
      <c r="C863" s="42" t="n">
        <v>319.22</v>
      </c>
      <c r="D863" s="42" t="n">
        <v>0</v>
      </c>
      <c r="E863" s="42" t="inlineStr"/>
      <c r="F863" s="42" t="inlineStr">
        <is>
          <t>HDFC Securities - Buy</t>
        </is>
      </c>
      <c r="G863" s="18" t="n">
        <v>0.97</v>
      </c>
      <c r="H863" s="42" t="inlineStr">
        <is>
          <t>HDFC Securities</t>
        </is>
      </c>
      <c r="I863" s="42" t="inlineStr">
        <is>
          <t>HDFC 5413</t>
        </is>
      </c>
      <c r="J863" s="42" t="inlineStr"/>
      <c r="K863" s="42" t="inlineStr">
        <is>
          <t>NET PI TO HSL SEC A/C 2554606-00602340029427</t>
        </is>
      </c>
      <c r="L863" s="42" t="inlineStr">
        <is>
          <t>HDFC Bank</t>
        </is>
      </c>
      <c r="M863" s="42" t="inlineStr"/>
    </row>
    <row r="864">
      <c r="A864" s="64" t="n">
        <v>45215</v>
      </c>
      <c r="B864" s="64" t="n">
        <v>45215</v>
      </c>
      <c r="C864" s="65" t="n">
        <v>0</v>
      </c>
      <c r="D864" s="65" t="n">
        <v>30</v>
      </c>
      <c r="E864" s="65" t="inlineStr"/>
      <c r="F864" s="65" t="inlineStr">
        <is>
          <t>Dividend Income</t>
        </is>
      </c>
      <c r="G864" s="18" t="n">
        <v>0.88</v>
      </c>
      <c r="H864" s="65" t="inlineStr">
        <is>
          <t>Dividend Income</t>
        </is>
      </c>
      <c r="I864" s="65" t="inlineStr">
        <is>
          <t>HDFC 5413</t>
        </is>
      </c>
      <c r="J864" s="65" t="inlineStr"/>
      <c r="K864" s="65" t="inlineStr">
        <is>
          <t>ACH C- TEXMACO RAIL &amp; ENGIN-1388123</t>
        </is>
      </c>
      <c r="L864" s="65" t="inlineStr">
        <is>
          <t>HDFC Bank</t>
        </is>
      </c>
      <c r="M864" s="65" t="inlineStr"/>
    </row>
    <row r="865">
      <c r="A865" s="89" t="n">
        <v>45215</v>
      </c>
      <c r="B865" s="89" t="n">
        <v>45215</v>
      </c>
      <c r="C865" s="90" t="n">
        <v>274</v>
      </c>
      <c r="D865" s="90" t="n">
        <v>0</v>
      </c>
      <c r="E865" s="90" t="inlineStr"/>
      <c r="F865" s="90" t="inlineStr">
        <is>
          <t>UPI - Ola</t>
        </is>
      </c>
      <c r="G865" s="34" t="n">
        <v>0.68</v>
      </c>
      <c r="H865" s="90" t="inlineStr">
        <is>
          <t>Transport</t>
        </is>
      </c>
      <c r="I865" s="90" t="inlineStr">
        <is>
          <t>FEDERAL 0847</t>
        </is>
      </c>
      <c r="J865" s="90" t="inlineStr"/>
      <c r="K865" s="90" t="inlineStr">
        <is>
          <t>UPIOUT/328981486926/olacabs.rzp@axisbank/P
ay/4121</t>
        </is>
      </c>
      <c r="L865" s="90" t="inlineStr">
        <is>
          <t>Federal Bank (Jupiter)</t>
        </is>
      </c>
      <c r="M865" s="90" t="inlineStr"/>
    </row>
    <row r="866">
      <c r="A866" s="58" t="n">
        <v>45215</v>
      </c>
      <c r="B866" s="58" t="n">
        <v>45215</v>
      </c>
      <c r="C866" s="59" t="n">
        <v>10</v>
      </c>
      <c r="D866" s="59" t="n">
        <v>0</v>
      </c>
      <c r="E866" s="59" t="inlineStr"/>
      <c r="F866" s="59" t="inlineStr">
        <is>
          <t>MF Investment</t>
        </is>
      </c>
      <c r="G866" s="18" t="n">
        <v>0.88</v>
      </c>
      <c r="H866" s="59" t="inlineStr">
        <is>
          <t>Investments</t>
        </is>
      </c>
      <c r="I866" s="59" t="inlineStr">
        <is>
          <t>FEDERAL 0847</t>
        </is>
      </c>
      <c r="J866" s="59" t="inlineStr"/>
      <c r="K866" s="59" t="inlineStr">
        <is>
          <t>NFT/NEOSIEXEDDD2023101604385515255 NAVI
Mutual Fun</t>
        </is>
      </c>
      <c r="L866" s="59" t="inlineStr">
        <is>
          <t>Federal Bank (Jupiter)</t>
        </is>
      </c>
      <c r="M866" s="59" t="inlineStr"/>
    </row>
    <row r="867">
      <c r="A867" s="41" t="n">
        <v>45216</v>
      </c>
      <c r="B867" s="41" t="n">
        <v>45216</v>
      </c>
      <c r="C867" s="42" t="n">
        <v>75.66</v>
      </c>
      <c r="D867" s="42" t="n">
        <v>0</v>
      </c>
      <c r="E867" s="42" t="inlineStr"/>
      <c r="F867" s="42" t="inlineStr">
        <is>
          <t>HDFC Securities - Buy</t>
        </is>
      </c>
      <c r="G867" s="18" t="n">
        <v>0.97</v>
      </c>
      <c r="H867" s="42" t="inlineStr">
        <is>
          <t>HDFC Securities</t>
        </is>
      </c>
      <c r="I867" s="42" t="inlineStr">
        <is>
          <t>HDFC 5413</t>
        </is>
      </c>
      <c r="J867" s="42" t="inlineStr"/>
      <c r="K867" s="42" t="inlineStr">
        <is>
          <t>NET PI TO HSL SEC A/C 2554606-00602340029427</t>
        </is>
      </c>
      <c r="L867" s="42" t="inlineStr">
        <is>
          <t>HDFC Bank</t>
        </is>
      </c>
      <c r="M867" s="42" t="inlineStr"/>
    </row>
    <row r="868">
      <c r="A868" s="41" t="n">
        <v>45216</v>
      </c>
      <c r="B868" s="41" t="n">
        <v>45216</v>
      </c>
      <c r="C868" s="42" t="n">
        <v>26216.46</v>
      </c>
      <c r="D868" s="42" t="n">
        <v>0</v>
      </c>
      <c r="E868" s="42" t="inlineStr"/>
      <c r="F868" s="42" t="inlineStr">
        <is>
          <t>HDFC Securities - Buy</t>
        </is>
      </c>
      <c r="G868" s="18" t="n">
        <v>0.97</v>
      </c>
      <c r="H868" s="42" t="inlineStr">
        <is>
          <t>HDFC Securities</t>
        </is>
      </c>
      <c r="I868" s="42" t="inlineStr">
        <is>
          <t>HDFC 5413</t>
        </is>
      </c>
      <c r="J868" s="42" t="inlineStr"/>
      <c r="K868" s="42" t="inlineStr">
        <is>
          <t>NET PI TO HSL SEC A/C 2554606-00602340029427</t>
        </is>
      </c>
      <c r="L868" s="42" t="inlineStr">
        <is>
          <t>HDFC Bank</t>
        </is>
      </c>
      <c r="M868" s="42" t="inlineStr"/>
    </row>
    <row r="869">
      <c r="A869" s="58" t="n">
        <v>45216</v>
      </c>
      <c r="B869" s="58" t="n">
        <v>45216</v>
      </c>
      <c r="C869" s="59" t="n">
        <v>10</v>
      </c>
      <c r="D869" s="59" t="n">
        <v>0</v>
      </c>
      <c r="E869" s="59" t="inlineStr"/>
      <c r="F869" s="59" t="inlineStr">
        <is>
          <t>MF Investment</t>
        </is>
      </c>
      <c r="G869" s="18" t="n">
        <v>0.88</v>
      </c>
      <c r="H869" s="59" t="inlineStr">
        <is>
          <t>Investments</t>
        </is>
      </c>
      <c r="I869" s="59" t="inlineStr">
        <is>
          <t>FEDERAL 0847</t>
        </is>
      </c>
      <c r="J869" s="59" t="inlineStr"/>
      <c r="K869" s="59" t="inlineStr">
        <is>
          <t>NFT/NEOSIEXEDDD2023101704370912056 NAVI
Mutual Fun</t>
        </is>
      </c>
      <c r="L869" s="59" t="inlineStr">
        <is>
          <t>Federal Bank (Jupiter)</t>
        </is>
      </c>
      <c r="M869" s="59" t="inlineStr"/>
    </row>
    <row r="870">
      <c r="A870" s="58" t="n">
        <v>45217</v>
      </c>
      <c r="B870" s="58" t="n">
        <v>45217</v>
      </c>
      <c r="C870" s="59" t="n">
        <v>10</v>
      </c>
      <c r="D870" s="59" t="n">
        <v>0</v>
      </c>
      <c r="E870" s="59" t="inlineStr"/>
      <c r="F870" s="59" t="inlineStr">
        <is>
          <t>MF Investment</t>
        </is>
      </c>
      <c r="G870" s="18" t="n">
        <v>0.88</v>
      </c>
      <c r="H870" s="59" t="inlineStr">
        <is>
          <t>Investments</t>
        </is>
      </c>
      <c r="I870" s="59" t="inlineStr">
        <is>
          <t>FEDERAL 0847</t>
        </is>
      </c>
      <c r="J870" s="59" t="inlineStr"/>
      <c r="K870" s="59" t="inlineStr">
        <is>
          <t>NFT/NEOSIEXEDDD2023101804405565392 NAVI
Mutual Fun</t>
        </is>
      </c>
      <c r="L870" s="59" t="inlineStr">
        <is>
          <t>Federal Bank (Jupiter)</t>
        </is>
      </c>
      <c r="M870" s="59" t="inlineStr"/>
    </row>
    <row r="871">
      <c r="A871" s="91" t="n">
        <v>45217</v>
      </c>
      <c r="B871" s="91" t="n">
        <v>45217</v>
      </c>
      <c r="C871" s="92" t="n">
        <v>1</v>
      </c>
      <c r="D871" s="92" t="n">
        <v>0</v>
      </c>
      <c r="E871" s="92" t="inlineStr"/>
      <c r="F871" s="92" t="inlineStr">
        <is>
          <t>UPI - Uber</t>
        </is>
      </c>
      <c r="G871" s="34" t="n">
        <v>0.68</v>
      </c>
      <c r="H871" s="92" t="inlineStr">
        <is>
          <t>Transport</t>
        </is>
      </c>
      <c r="I871" s="92" t="inlineStr">
        <is>
          <t>FEDERAL 0847</t>
        </is>
      </c>
      <c r="J871" s="92" t="inlineStr"/>
      <c r="K871" s="92" t="inlineStr">
        <is>
          <t>UPIOUT/329179397426/uber@axisbank/charge/4
121</t>
        </is>
      </c>
      <c r="L871" s="92" t="inlineStr">
        <is>
          <t>Federal Bank (Jupiter)</t>
        </is>
      </c>
      <c r="M871" s="92" t="inlineStr"/>
    </row>
    <row r="872">
      <c r="A872" s="37" t="n">
        <v>45217</v>
      </c>
      <c r="B872" s="37" t="n">
        <v>45217</v>
      </c>
      <c r="C872" s="38" t="n">
        <v>82</v>
      </c>
      <c r="D872" s="38" t="n">
        <v>0</v>
      </c>
      <c r="E872" s="38" t="inlineStr"/>
      <c r="F872" s="38" t="inlineStr">
        <is>
          <t>UPI Payment</t>
        </is>
      </c>
      <c r="G872" s="25" t="n">
        <v>0.55</v>
      </c>
      <c r="H872" s="38" t="inlineStr">
        <is>
          <t>Personal</t>
        </is>
      </c>
      <c r="I872" s="38" t="inlineStr">
        <is>
          <t>FEDERAL 0847</t>
        </is>
      </c>
      <c r="J872" s="38" t="inlineStr"/>
      <c r="K872" s="38" t="inlineStr">
        <is>
          <t>UPIOUT/329180657757/7780191548@axl/Sent
via /0000</t>
        </is>
      </c>
      <c r="L872" s="38" t="inlineStr">
        <is>
          <t>Federal Bank (Jupiter)</t>
        </is>
      </c>
      <c r="M872" s="38" t="inlineStr"/>
    </row>
    <row r="873">
      <c r="A873" s="54" t="n">
        <v>45217</v>
      </c>
      <c r="B873" s="54" t="n">
        <v>45217</v>
      </c>
      <c r="C873" s="55" t="n">
        <v>0</v>
      </c>
      <c r="D873" s="55" t="n">
        <v>60857.97</v>
      </c>
      <c r="E873" s="55" t="inlineStr"/>
      <c r="F873" s="55" t="inlineStr">
        <is>
          <t>HDFC Securities - Sell</t>
        </is>
      </c>
      <c r="G873" s="18" t="n">
        <v>0.97</v>
      </c>
      <c r="H873" s="55" t="inlineStr">
        <is>
          <t>HDFC Securities</t>
        </is>
      </c>
      <c r="I873" s="55" t="inlineStr">
        <is>
          <t>HDFC 5413</t>
        </is>
      </c>
      <c r="J873" s="55" t="inlineStr"/>
      <c r="K873" s="55" t="inlineStr">
        <is>
          <t>NET PO FROM HSL A/C 2554606-50200085415108</t>
        </is>
      </c>
      <c r="L873" s="55" t="inlineStr">
        <is>
          <t>HDFC Bank</t>
        </is>
      </c>
      <c r="M873" s="55" t="inlineStr"/>
    </row>
    <row r="874">
      <c r="A874" s="41" t="n">
        <v>45217</v>
      </c>
      <c r="B874" s="41" t="n">
        <v>45217</v>
      </c>
      <c r="C874" s="42" t="n">
        <v>62.73</v>
      </c>
      <c r="D874" s="42" t="n">
        <v>0</v>
      </c>
      <c r="E874" s="42" t="inlineStr"/>
      <c r="F874" s="42" t="inlineStr">
        <is>
          <t>HDFC Securities - Buy</t>
        </is>
      </c>
      <c r="G874" s="18" t="n">
        <v>0.97</v>
      </c>
      <c r="H874" s="42" t="inlineStr">
        <is>
          <t>HDFC Securities</t>
        </is>
      </c>
      <c r="I874" s="42" t="inlineStr">
        <is>
          <t>HDFC 5413</t>
        </is>
      </c>
      <c r="J874" s="42" t="inlineStr"/>
      <c r="K874" s="42" t="inlineStr">
        <is>
          <t>NET PI TO HSL SEC A/C 2554606-00602340029427</t>
        </is>
      </c>
      <c r="L874" s="42" t="inlineStr">
        <is>
          <t>HDFC Bank</t>
        </is>
      </c>
      <c r="M874" s="42" t="inlineStr"/>
    </row>
    <row r="875">
      <c r="A875" s="41" t="n">
        <v>45217</v>
      </c>
      <c r="B875" s="41" t="n">
        <v>45217</v>
      </c>
      <c r="C875" s="42" t="n">
        <v>2873.28</v>
      </c>
      <c r="D875" s="42" t="n">
        <v>0</v>
      </c>
      <c r="E875" s="42" t="inlineStr"/>
      <c r="F875" s="42" t="inlineStr">
        <is>
          <t>HDFC Securities - Buy</t>
        </is>
      </c>
      <c r="G875" s="18" t="n">
        <v>0.97</v>
      </c>
      <c r="H875" s="42" t="inlineStr">
        <is>
          <t>HDFC Securities</t>
        </is>
      </c>
      <c r="I875" s="42" t="inlineStr">
        <is>
          <t>HDFC 5413</t>
        </is>
      </c>
      <c r="J875" s="42" t="inlineStr"/>
      <c r="K875" s="42" t="inlineStr">
        <is>
          <t>NET PI TO HSL SEC A/C 2554606-00602340029427</t>
        </is>
      </c>
      <c r="L875" s="42" t="inlineStr">
        <is>
          <t>HDFC Bank</t>
        </is>
      </c>
      <c r="M875" s="42" t="inlineStr"/>
    </row>
    <row r="876">
      <c r="A876" s="37" t="n">
        <v>45218</v>
      </c>
      <c r="B876" s="37" t="n">
        <v>45218</v>
      </c>
      <c r="C876" s="38" t="n">
        <v>30</v>
      </c>
      <c r="D876" s="38" t="n">
        <v>0</v>
      </c>
      <c r="E876" s="38" t="inlineStr"/>
      <c r="F876" s="38" t="inlineStr">
        <is>
          <t>UPI Payment</t>
        </is>
      </c>
      <c r="G876" s="25" t="n">
        <v>0.55</v>
      </c>
      <c r="H876" s="38" t="inlineStr">
        <is>
          <t>Personal</t>
        </is>
      </c>
      <c r="I876" s="38" t="inlineStr">
        <is>
          <t>FEDERAL 0847</t>
        </is>
      </c>
      <c r="J876" s="38" t="inlineStr"/>
      <c r="K876" s="38" t="inlineStr">
        <is>
          <t>UPIOUT/329257126241/9396816736@ybl/Sent
via /0000</t>
        </is>
      </c>
      <c r="L876" s="38" t="inlineStr">
        <is>
          <t>Federal Bank (Jupiter)</t>
        </is>
      </c>
      <c r="M876" s="38" t="inlineStr"/>
    </row>
    <row r="877">
      <c r="A877" s="41" t="n">
        <v>45218</v>
      </c>
      <c r="B877" s="41" t="n">
        <v>45218</v>
      </c>
      <c r="C877" s="42" t="n">
        <v>61.32</v>
      </c>
      <c r="D877" s="42" t="n">
        <v>0</v>
      </c>
      <c r="E877" s="42" t="inlineStr"/>
      <c r="F877" s="42" t="inlineStr">
        <is>
          <t>HDFC Securities - Buy</t>
        </is>
      </c>
      <c r="G877" s="18" t="n">
        <v>0.97</v>
      </c>
      <c r="H877" s="42" t="inlineStr">
        <is>
          <t>HDFC Securities</t>
        </is>
      </c>
      <c r="I877" s="42" t="inlineStr">
        <is>
          <t>HDFC 5413</t>
        </is>
      </c>
      <c r="J877" s="42" t="inlineStr"/>
      <c r="K877" s="42" t="inlineStr">
        <is>
          <t>NET PI TO HSL SEC A/C 2554606-00602340029427</t>
        </is>
      </c>
      <c r="L877" s="42" t="inlineStr">
        <is>
          <t>HDFC Bank</t>
        </is>
      </c>
      <c r="M877" s="42" t="inlineStr"/>
    </row>
    <row r="878">
      <c r="A878" s="41" t="n">
        <v>45218</v>
      </c>
      <c r="B878" s="41" t="n">
        <v>45218</v>
      </c>
      <c r="C878" s="42" t="n">
        <v>31771.79</v>
      </c>
      <c r="D878" s="42" t="n">
        <v>0</v>
      </c>
      <c r="E878" s="42" t="inlineStr"/>
      <c r="F878" s="42" t="inlineStr">
        <is>
          <t>HDFC Securities - Buy</t>
        </is>
      </c>
      <c r="G878" s="18" t="n">
        <v>0.97</v>
      </c>
      <c r="H878" s="42" t="inlineStr">
        <is>
          <t>HDFC Securities</t>
        </is>
      </c>
      <c r="I878" s="42" t="inlineStr">
        <is>
          <t>HDFC 5413</t>
        </is>
      </c>
      <c r="J878" s="42" t="inlineStr"/>
      <c r="K878" s="42" t="inlineStr">
        <is>
          <t>NET PI TO HSL SEC A/C 2554606-00602340029427</t>
        </is>
      </c>
      <c r="L878" s="42" t="inlineStr">
        <is>
          <t>HDFC Bank</t>
        </is>
      </c>
      <c r="M878" s="42" t="inlineStr"/>
    </row>
    <row r="879">
      <c r="A879" s="58" t="n">
        <v>45218</v>
      </c>
      <c r="B879" s="58" t="n">
        <v>45218</v>
      </c>
      <c r="C879" s="59" t="n">
        <v>10</v>
      </c>
      <c r="D879" s="59" t="n">
        <v>0</v>
      </c>
      <c r="E879" s="59" t="inlineStr"/>
      <c r="F879" s="59" t="inlineStr">
        <is>
          <t>MF Investment</t>
        </is>
      </c>
      <c r="G879" s="18" t="n">
        <v>0.88</v>
      </c>
      <c r="H879" s="59" t="inlineStr">
        <is>
          <t>Investments</t>
        </is>
      </c>
      <c r="I879" s="59" t="inlineStr">
        <is>
          <t>FEDERAL 0847</t>
        </is>
      </c>
      <c r="J879" s="59" t="inlineStr"/>
      <c r="K879" s="59" t="inlineStr">
        <is>
          <t>NFT/NEOSIEXEDDD2023101904395526401 NAVI
Mutual Fun</t>
        </is>
      </c>
      <c r="L879" s="59" t="inlineStr">
        <is>
          <t>Federal Bank (Jupiter)</t>
        </is>
      </c>
      <c r="M879" s="59" t="inlineStr"/>
    </row>
    <row r="880">
      <c r="A880" s="54" t="n">
        <v>45219</v>
      </c>
      <c r="B880" s="54" t="n">
        <v>45219</v>
      </c>
      <c r="C880" s="55" t="n">
        <v>0</v>
      </c>
      <c r="D880" s="55" t="n">
        <v>1460.8</v>
      </c>
      <c r="E880" s="55" t="inlineStr"/>
      <c r="F880" s="55" t="inlineStr">
        <is>
          <t>HDFC Securities - Sell</t>
        </is>
      </c>
      <c r="G880" s="18" t="n">
        <v>0.97</v>
      </c>
      <c r="H880" s="55" t="inlineStr">
        <is>
          <t>HDFC Securities</t>
        </is>
      </c>
      <c r="I880" s="55" t="inlineStr">
        <is>
          <t>HDFC 5413</t>
        </is>
      </c>
      <c r="J880" s="55" t="inlineStr"/>
      <c r="K880" s="55" t="inlineStr">
        <is>
          <t>NET PO FROM HSL A/C 2554606-50200085415108</t>
        </is>
      </c>
      <c r="L880" s="55" t="inlineStr">
        <is>
          <t>HDFC Bank</t>
        </is>
      </c>
      <c r="M880" s="55" t="inlineStr"/>
    </row>
    <row r="881">
      <c r="A881" s="41" t="n">
        <v>45219</v>
      </c>
      <c r="B881" s="41" t="n">
        <v>45219</v>
      </c>
      <c r="C881" s="42" t="n">
        <v>49.6</v>
      </c>
      <c r="D881" s="42" t="n">
        <v>0</v>
      </c>
      <c r="E881" s="42" t="inlineStr"/>
      <c r="F881" s="42" t="inlineStr">
        <is>
          <t>HDFC Securities - Buy</t>
        </is>
      </c>
      <c r="G881" s="18" t="n">
        <v>0.97</v>
      </c>
      <c r="H881" s="42" t="inlineStr">
        <is>
          <t>HDFC Securities</t>
        </is>
      </c>
      <c r="I881" s="42" t="inlineStr">
        <is>
          <t>HDFC 5413</t>
        </is>
      </c>
      <c r="J881" s="42" t="inlineStr"/>
      <c r="K881" s="42" t="inlineStr">
        <is>
          <t>NET PI TO HSL SEC A/C 2554606-00602340029427</t>
        </is>
      </c>
      <c r="L881" s="42" t="inlineStr">
        <is>
          <t>HDFC Bank</t>
        </is>
      </c>
      <c r="M881" s="42" t="inlineStr"/>
    </row>
    <row r="882">
      <c r="A882" s="41" t="n">
        <v>45219</v>
      </c>
      <c r="B882" s="41" t="n">
        <v>45219</v>
      </c>
      <c r="C882" s="42" t="n">
        <v>17985.04</v>
      </c>
      <c r="D882" s="42" t="n">
        <v>0</v>
      </c>
      <c r="E882" s="42" t="inlineStr"/>
      <c r="F882" s="42" t="inlineStr">
        <is>
          <t>HDFC Securities - Buy</t>
        </is>
      </c>
      <c r="G882" s="18" t="n">
        <v>0.97</v>
      </c>
      <c r="H882" s="42" t="inlineStr">
        <is>
          <t>HDFC Securities</t>
        </is>
      </c>
      <c r="I882" s="42" t="inlineStr">
        <is>
          <t>HDFC 5413</t>
        </is>
      </c>
      <c r="J882" s="42" t="inlineStr"/>
      <c r="K882" s="42" t="inlineStr">
        <is>
          <t>NET PI TO HSL SEC A/C 2554606-00602340029427</t>
        </is>
      </c>
      <c r="L882" s="42" t="inlineStr">
        <is>
          <t>HDFC Bank</t>
        </is>
      </c>
      <c r="M882" s="42" t="inlineStr"/>
    </row>
    <row r="883">
      <c r="A883" s="41" t="n">
        <v>45219</v>
      </c>
      <c r="B883" s="41" t="n">
        <v>45219</v>
      </c>
      <c r="C883" s="42" t="n">
        <v>9016.77</v>
      </c>
      <c r="D883" s="42" t="n">
        <v>0</v>
      </c>
      <c r="E883" s="42" t="inlineStr"/>
      <c r="F883" s="42" t="inlineStr">
        <is>
          <t>HDFC Securities - Buy</t>
        </is>
      </c>
      <c r="G883" s="18" t="n">
        <v>0.97</v>
      </c>
      <c r="H883" s="42" t="inlineStr">
        <is>
          <t>HDFC Securities</t>
        </is>
      </c>
      <c r="I883" s="42" t="inlineStr">
        <is>
          <t>HDFC 5413</t>
        </is>
      </c>
      <c r="J883" s="42" t="inlineStr"/>
      <c r="K883" s="42" t="inlineStr">
        <is>
          <t>NET PI TO HSL SEC A/C 2554606-00602340029427</t>
        </is>
      </c>
      <c r="L883" s="42" t="inlineStr">
        <is>
          <t>HDFC Bank</t>
        </is>
      </c>
      <c r="M883" s="42" t="inlineStr"/>
    </row>
    <row r="884">
      <c r="A884" s="58" t="n">
        <v>45220</v>
      </c>
      <c r="B884" s="58" t="n">
        <v>45220</v>
      </c>
      <c r="C884" s="59" t="n">
        <v>1000</v>
      </c>
      <c r="D884" s="59" t="n">
        <v>0</v>
      </c>
      <c r="E884" s="59" t="inlineStr"/>
      <c r="F884" s="59" t="inlineStr">
        <is>
          <t>MF Investment</t>
        </is>
      </c>
      <c r="G884" s="18" t="n">
        <v>0.88</v>
      </c>
      <c r="H884" s="59" t="inlineStr">
        <is>
          <t>Investments</t>
        </is>
      </c>
      <c r="I884" s="59" t="inlineStr">
        <is>
          <t>FEDERAL 0847</t>
        </is>
      </c>
      <c r="J884" s="59" t="inlineStr"/>
      <c r="K884" s="59" t="inlineStr">
        <is>
          <t>NFT/NEOSIEXEDDD2023102102430284576 Mirae
Asset Mut</t>
        </is>
      </c>
      <c r="L884" s="59" t="inlineStr">
        <is>
          <t>Federal Bank (Jupiter)</t>
        </is>
      </c>
      <c r="M884" s="59" t="inlineStr">
        <is>
          <t>⚠ Possible Duplicate</t>
        </is>
      </c>
    </row>
    <row r="885">
      <c r="A885" s="58" t="n">
        <v>45220</v>
      </c>
      <c r="B885" s="58" t="n">
        <v>45220</v>
      </c>
      <c r="C885" s="59" t="n">
        <v>100</v>
      </c>
      <c r="D885" s="59" t="n">
        <v>0</v>
      </c>
      <c r="E885" s="59" t="inlineStr"/>
      <c r="F885" s="59" t="inlineStr">
        <is>
          <t>MF Investment</t>
        </is>
      </c>
      <c r="G885" s="18" t="n">
        <v>0.88</v>
      </c>
      <c r="H885" s="59" t="inlineStr">
        <is>
          <t>Investments</t>
        </is>
      </c>
      <c r="I885" s="59" t="inlineStr">
        <is>
          <t>FEDERAL 0847</t>
        </is>
      </c>
      <c r="J885" s="59" t="inlineStr"/>
      <c r="K885" s="59" t="inlineStr">
        <is>
          <t>NFT/NEOSIEXEDDD2023102112362546460 NAVI
Mutual Fun</t>
        </is>
      </c>
      <c r="L885" s="59" t="inlineStr">
        <is>
          <t>Federal Bank (Jupiter)</t>
        </is>
      </c>
      <c r="M885" s="59" t="inlineStr"/>
    </row>
    <row r="886">
      <c r="A886" s="58" t="n">
        <v>45220</v>
      </c>
      <c r="B886" s="58" t="n">
        <v>45220</v>
      </c>
      <c r="C886" s="59" t="n">
        <v>1000</v>
      </c>
      <c r="D886" s="59" t="n">
        <v>0</v>
      </c>
      <c r="E886" s="59" t="inlineStr"/>
      <c r="F886" s="59" t="inlineStr">
        <is>
          <t>MF Investment</t>
        </is>
      </c>
      <c r="G886" s="18" t="n">
        <v>0.88</v>
      </c>
      <c r="H886" s="59" t="inlineStr">
        <is>
          <t>Investments</t>
        </is>
      </c>
      <c r="I886" s="59" t="inlineStr">
        <is>
          <t>FEDERAL 0847</t>
        </is>
      </c>
      <c r="J886" s="59" t="inlineStr"/>
      <c r="K886" s="59" t="inlineStr">
        <is>
          <t>NFT/NEOSIEXEDDD2023102103115667953 Quant
Mutual Fu</t>
        </is>
      </c>
      <c r="L886" s="59" t="inlineStr">
        <is>
          <t>Federal Bank (Jupiter)</t>
        </is>
      </c>
      <c r="M886" s="59" t="inlineStr">
        <is>
          <t>⚠ Possible Duplicate</t>
        </is>
      </c>
    </row>
    <row r="887">
      <c r="A887" s="58" t="n">
        <v>45221</v>
      </c>
      <c r="B887" s="58" t="n">
        <v>45221</v>
      </c>
      <c r="C887" s="59" t="n">
        <v>100</v>
      </c>
      <c r="D887" s="59" t="n">
        <v>0</v>
      </c>
      <c r="E887" s="59" t="inlineStr"/>
      <c r="F887" s="59" t="inlineStr">
        <is>
          <t>MF Investment</t>
        </is>
      </c>
      <c r="G887" s="18" t="n">
        <v>0.88</v>
      </c>
      <c r="H887" s="59" t="inlineStr">
        <is>
          <t>Investments</t>
        </is>
      </c>
      <c r="I887" s="59" t="inlineStr">
        <is>
          <t>FEDERAL 0847</t>
        </is>
      </c>
      <c r="J887" s="59" t="inlineStr"/>
      <c r="K887" s="59" t="inlineStr">
        <is>
          <t>NFT/NEOSIEXEDDD2023102212352368958 NAVI
Mutual Fun</t>
        </is>
      </c>
      <c r="L887" s="59" t="inlineStr">
        <is>
          <t>Federal Bank (Jupiter)</t>
        </is>
      </c>
      <c r="M887" s="59" t="inlineStr"/>
    </row>
    <row r="888">
      <c r="A888" s="19" t="n">
        <v>45221</v>
      </c>
      <c r="B888" s="19" t="n">
        <v>45221</v>
      </c>
      <c r="C888" s="20" t="n">
        <v>1.18</v>
      </c>
      <c r="D888" s="20" t="n">
        <v>0</v>
      </c>
      <c r="E888" s="20" t="inlineStr"/>
      <c r="F888" s="20" t="inlineStr">
        <is>
          <t>Bank Charges</t>
        </is>
      </c>
      <c r="G888" s="18" t="n">
        <v>0.88</v>
      </c>
      <c r="H888" s="20" t="inlineStr">
        <is>
          <t>Bank Charges</t>
        </is>
      </c>
      <c r="I888" s="20" t="inlineStr">
        <is>
          <t>AXIS</t>
        </is>
      </c>
      <c r="J888" s="20" t="inlineStr"/>
      <c r="K888" s="20" t="inlineStr">
        <is>
          <t>SMS Alerts Chrgs Incl GST</t>
        </is>
      </c>
      <c r="L888" s="20" t="inlineStr">
        <is>
          <t>Axis Bank</t>
        </is>
      </c>
      <c r="M888" s="20" t="inlineStr"/>
    </row>
    <row r="889">
      <c r="A889" s="62" t="n">
        <v>45221</v>
      </c>
      <c r="B889" s="62" t="n">
        <v>45221</v>
      </c>
      <c r="C889" s="63" t="n">
        <v>0</v>
      </c>
      <c r="D889" s="63" t="n">
        <v>30000</v>
      </c>
      <c r="E889" s="63" t="inlineStr"/>
      <c r="F889" s="63" t="inlineStr">
        <is>
          <t>Received - Sunita Gupta</t>
        </is>
      </c>
      <c r="G889" s="18" t="n">
        <v>0.88</v>
      </c>
      <c r="H889" s="63" t="inlineStr">
        <is>
          <t>Sunita Gupta</t>
        </is>
      </c>
      <c r="I889" s="63" t="inlineStr">
        <is>
          <t>HDFC 5413</t>
        </is>
      </c>
      <c r="J889" s="63" t="inlineStr"/>
      <c r="K889" s="63" t="inlineStr">
        <is>
          <t>01671000060094-TPT-RETURN TO AAYUSH-SUNITA GUPTA</t>
        </is>
      </c>
      <c r="L889" s="63" t="inlineStr">
        <is>
          <t>HDFC Bank</t>
        </is>
      </c>
      <c r="M889" s="63" t="inlineStr"/>
    </row>
    <row r="890">
      <c r="A890" s="21" t="n">
        <v>45222</v>
      </c>
      <c r="B890" s="21" t="n">
        <v>45222</v>
      </c>
      <c r="C890" s="22" t="n">
        <v>366.8</v>
      </c>
      <c r="D890" s="22" t="n">
        <v>0</v>
      </c>
      <c r="E890" s="22" t="inlineStr"/>
      <c r="F890" s="22" t="inlineStr">
        <is>
          <t>UPI - IRCTC</t>
        </is>
      </c>
      <c r="G890" s="18" t="n">
        <v>0.88</v>
      </c>
      <c r="H890" s="22" t="inlineStr">
        <is>
          <t>Travel</t>
        </is>
      </c>
      <c r="I890" s="22" t="inlineStr">
        <is>
          <t>FEDERAL 0847</t>
        </is>
      </c>
      <c r="J890" s="22" t="inlineStr"/>
      <c r="K890" s="22" t="inlineStr">
        <is>
          <t>UPIOUT/329672952148/irctc.cf@hdfcbank/IRCT
C /4722</t>
        </is>
      </c>
      <c r="L890" s="22" t="inlineStr">
        <is>
          <t>Federal Bank (Jupiter)</t>
        </is>
      </c>
      <c r="M890" s="22" t="inlineStr">
        <is>
          <t>⚠ Possible Duplicate</t>
        </is>
      </c>
    </row>
    <row r="891">
      <c r="A891" s="21" t="n">
        <v>45222</v>
      </c>
      <c r="B891" s="21" t="n">
        <v>45222</v>
      </c>
      <c r="C891" s="22" t="n">
        <v>366.8</v>
      </c>
      <c r="D891" s="22" t="n">
        <v>0</v>
      </c>
      <c r="E891" s="22" t="inlineStr"/>
      <c r="F891" s="22" t="inlineStr">
        <is>
          <t>UPI - IRCTC</t>
        </is>
      </c>
      <c r="G891" s="18" t="n">
        <v>0.88</v>
      </c>
      <c r="H891" s="22" t="inlineStr">
        <is>
          <t>Travel</t>
        </is>
      </c>
      <c r="I891" s="22" t="inlineStr">
        <is>
          <t>FEDERAL 0847</t>
        </is>
      </c>
      <c r="J891" s="22" t="inlineStr"/>
      <c r="K891" s="22" t="inlineStr">
        <is>
          <t>UPIOUT/329672950777/irctc.cf@hdfcbank/IRCT
C /4722</t>
        </is>
      </c>
      <c r="L891" s="22" t="inlineStr">
        <is>
          <t>Federal Bank (Jupiter)</t>
        </is>
      </c>
      <c r="M891" s="22" t="inlineStr">
        <is>
          <t>⚠ Possible Duplicate</t>
        </is>
      </c>
    </row>
    <row r="892">
      <c r="A892" s="58" t="n">
        <v>45222</v>
      </c>
      <c r="B892" s="58" t="n">
        <v>45222</v>
      </c>
      <c r="C892" s="59" t="n">
        <v>100</v>
      </c>
      <c r="D892" s="59" t="n">
        <v>0</v>
      </c>
      <c r="E892" s="59" t="inlineStr"/>
      <c r="F892" s="59" t="inlineStr">
        <is>
          <t>MF Investment</t>
        </is>
      </c>
      <c r="G892" s="18" t="n">
        <v>0.88</v>
      </c>
      <c r="H892" s="59" t="inlineStr">
        <is>
          <t>Investments</t>
        </is>
      </c>
      <c r="I892" s="59" t="inlineStr">
        <is>
          <t>FEDERAL 0847</t>
        </is>
      </c>
      <c r="J892" s="59" t="inlineStr"/>
      <c r="K892" s="59" t="inlineStr">
        <is>
          <t>NFT/NEOSIEXEDDD2023102312351055988 NAVI
Mutual Fun</t>
        </is>
      </c>
      <c r="L892" s="59" t="inlineStr">
        <is>
          <t>Federal Bank (Jupiter)</t>
        </is>
      </c>
      <c r="M892" s="59" t="inlineStr"/>
    </row>
    <row r="893">
      <c r="A893" s="41" t="n">
        <v>45222</v>
      </c>
      <c r="B893" s="41" t="n">
        <v>45222</v>
      </c>
      <c r="C893" s="42" t="n">
        <v>263.1</v>
      </c>
      <c r="D893" s="42" t="n">
        <v>0</v>
      </c>
      <c r="E893" s="42" t="inlineStr"/>
      <c r="F893" s="42" t="inlineStr">
        <is>
          <t>HDFC Securities - Buy</t>
        </is>
      </c>
      <c r="G893" s="18" t="n">
        <v>0.97</v>
      </c>
      <c r="H893" s="42" t="inlineStr">
        <is>
          <t>HDFC Securities</t>
        </is>
      </c>
      <c r="I893" s="42" t="inlineStr">
        <is>
          <t>HDFC 5413</t>
        </is>
      </c>
      <c r="J893" s="42" t="inlineStr"/>
      <c r="K893" s="42" t="inlineStr">
        <is>
          <t>NET PI TO HSL SEC A/C 2554606-00602340029427</t>
        </is>
      </c>
      <c r="L893" s="42" t="inlineStr">
        <is>
          <t>HDFC Bank</t>
        </is>
      </c>
      <c r="M893" s="42" t="inlineStr"/>
    </row>
    <row r="894">
      <c r="A894" s="41" t="n">
        <v>45222</v>
      </c>
      <c r="B894" s="41" t="n">
        <v>45222</v>
      </c>
      <c r="C894" s="42" t="n">
        <v>21590.34</v>
      </c>
      <c r="D894" s="42" t="n">
        <v>0</v>
      </c>
      <c r="E894" s="42" t="inlineStr"/>
      <c r="F894" s="42" t="inlineStr">
        <is>
          <t>HDFC Securities - Buy</t>
        </is>
      </c>
      <c r="G894" s="18" t="n">
        <v>0.97</v>
      </c>
      <c r="H894" s="42" t="inlineStr">
        <is>
          <t>HDFC Securities</t>
        </is>
      </c>
      <c r="I894" s="42" t="inlineStr">
        <is>
          <t>HDFC 5413</t>
        </is>
      </c>
      <c r="J894" s="42" t="inlineStr"/>
      <c r="K894" s="42" t="inlineStr">
        <is>
          <t>NET PI TO HSL SEC A/C 2554606-00602340029427</t>
        </is>
      </c>
      <c r="L894" s="42" t="inlineStr">
        <is>
          <t>HDFC Bank</t>
        </is>
      </c>
      <c r="M894" s="42" t="inlineStr"/>
    </row>
    <row r="895">
      <c r="A895" s="72" t="n">
        <v>45223</v>
      </c>
      <c r="B895" s="72" t="n">
        <v>45223</v>
      </c>
      <c r="C895" s="73" t="n">
        <v>0</v>
      </c>
      <c r="D895" s="73" t="n">
        <v>1</v>
      </c>
      <c r="E895" s="73" t="inlineStr"/>
      <c r="F895" s="73" t="inlineStr">
        <is>
          <t>Misc Income</t>
        </is>
      </c>
      <c r="G895" s="25" t="n">
        <v>0.55</v>
      </c>
      <c r="H895" s="73" t="inlineStr">
        <is>
          <t>Misc Income</t>
        </is>
      </c>
      <c r="I895" s="73" t="inlineStr">
        <is>
          <t>HDFC 5413</t>
        </is>
      </c>
      <c r="J895" s="73" t="inlineStr"/>
      <c r="K895" s="73" t="inlineStr">
        <is>
          <t>IMPS-329711427436-TAPITS TECHNOLOGIES-ICIC-XXXXXXXX8888-HDFCLIFENB</t>
        </is>
      </c>
      <c r="L895" s="73" t="inlineStr">
        <is>
          <t>HDFC Bank</t>
        </is>
      </c>
      <c r="M895" s="73" t="inlineStr"/>
    </row>
    <row r="896">
      <c r="A896" s="26" t="n">
        <v>45223</v>
      </c>
      <c r="B896" s="26" t="n">
        <v>45223</v>
      </c>
      <c r="C896" s="27" t="n">
        <v>0</v>
      </c>
      <c r="D896" s="27" t="n">
        <v>250000</v>
      </c>
      <c r="E896" s="27" t="inlineStr"/>
      <c r="F896" s="27" t="inlineStr">
        <is>
          <t>Received - Ajay Gupta</t>
        </is>
      </c>
      <c r="G896" s="18" t="n">
        <v>0.88</v>
      </c>
      <c r="H896" s="27" t="inlineStr">
        <is>
          <t>Ajay Gupta</t>
        </is>
      </c>
      <c r="I896" s="27" t="inlineStr">
        <is>
          <t>HDFC 5413</t>
        </is>
      </c>
      <c r="J896" s="27" t="inlineStr"/>
      <c r="K896" s="27" t="inlineStr">
        <is>
          <t>01671000085930-TPT-GIFT TO AAYUSH-AJAY KUMAR GUPTA</t>
        </is>
      </c>
      <c r="L896" s="27" t="inlineStr">
        <is>
          <t>HDFC Bank</t>
        </is>
      </c>
      <c r="M896" s="27" t="inlineStr"/>
    </row>
    <row r="897">
      <c r="A897" s="66" t="n">
        <v>45223</v>
      </c>
      <c r="B897" s="66" t="n">
        <v>45223</v>
      </c>
      <c r="C897" s="67" t="n">
        <v>256000</v>
      </c>
      <c r="D897" s="67" t="n">
        <v>0</v>
      </c>
      <c r="E897" s="67" t="inlineStr"/>
      <c r="F897" s="67" t="inlineStr">
        <is>
          <t>Life Insurance Premium</t>
        </is>
      </c>
      <c r="G897" s="18" t="n">
        <v>0.9</v>
      </c>
      <c r="H897" s="67" t="inlineStr">
        <is>
          <t>Life Insurance</t>
        </is>
      </c>
      <c r="I897" s="67" t="inlineStr">
        <is>
          <t>HDFC 5413</t>
        </is>
      </c>
      <c r="J897" s="67" t="inlineStr"/>
      <c r="K897" s="67" t="inlineStr">
        <is>
          <t>MS3A0W4CLCQX9H/RAZPHDFCLIFEINSURANC</t>
        </is>
      </c>
      <c r="L897" s="67" t="inlineStr">
        <is>
          <t>HDFC Bank</t>
        </is>
      </c>
      <c r="M897" s="67" t="inlineStr"/>
    </row>
    <row r="898">
      <c r="A898" s="58" t="n">
        <v>45223</v>
      </c>
      <c r="B898" s="58" t="n">
        <v>45223</v>
      </c>
      <c r="C898" s="59" t="n">
        <v>100</v>
      </c>
      <c r="D898" s="59" t="n">
        <v>0</v>
      </c>
      <c r="E898" s="59" t="inlineStr"/>
      <c r="F898" s="59" t="inlineStr">
        <is>
          <t>MF Investment</t>
        </is>
      </c>
      <c r="G898" s="18" t="n">
        <v>0.88</v>
      </c>
      <c r="H898" s="59" t="inlineStr">
        <is>
          <t>Investments</t>
        </is>
      </c>
      <c r="I898" s="59" t="inlineStr">
        <is>
          <t>FEDERAL 0847</t>
        </is>
      </c>
      <c r="J898" s="59" t="inlineStr"/>
      <c r="K898" s="59" t="inlineStr">
        <is>
          <t>NFT/NEOSIEXEDDD2023102412350483123 NAVI
Mutual Fun</t>
        </is>
      </c>
      <c r="L898" s="59" t="inlineStr">
        <is>
          <t>Federal Bank (Jupiter)</t>
        </is>
      </c>
      <c r="M898" s="59" t="inlineStr"/>
    </row>
    <row r="899">
      <c r="A899" s="54" t="n">
        <v>45224</v>
      </c>
      <c r="B899" s="54" t="n">
        <v>45224</v>
      </c>
      <c r="C899" s="55" t="n">
        <v>0</v>
      </c>
      <c r="D899" s="55" t="n">
        <v>12403.87</v>
      </c>
      <c r="E899" s="55" t="inlineStr"/>
      <c r="F899" s="55" t="inlineStr">
        <is>
          <t>HDFC Securities - Sell</t>
        </is>
      </c>
      <c r="G899" s="18" t="n">
        <v>0.97</v>
      </c>
      <c r="H899" s="55" t="inlineStr">
        <is>
          <t>HDFC Securities</t>
        </is>
      </c>
      <c r="I899" s="55" t="inlineStr">
        <is>
          <t>HDFC 5413</t>
        </is>
      </c>
      <c r="J899" s="55" t="inlineStr"/>
      <c r="K899" s="55" t="inlineStr">
        <is>
          <t>NET PO FROM HSL A/C 2554606-50200085415108</t>
        </is>
      </c>
      <c r="L899" s="55" t="inlineStr">
        <is>
          <t>HDFC Bank</t>
        </is>
      </c>
      <c r="M899" s="55" t="inlineStr"/>
    </row>
    <row r="900">
      <c r="A900" s="41" t="n">
        <v>45224</v>
      </c>
      <c r="B900" s="41" t="n">
        <v>45224</v>
      </c>
      <c r="C900" s="42" t="n">
        <v>128.96</v>
      </c>
      <c r="D900" s="42" t="n">
        <v>0</v>
      </c>
      <c r="E900" s="42" t="inlineStr"/>
      <c r="F900" s="42" t="inlineStr">
        <is>
          <t>HDFC Securities - Buy</t>
        </is>
      </c>
      <c r="G900" s="18" t="n">
        <v>0.97</v>
      </c>
      <c r="H900" s="42" t="inlineStr">
        <is>
          <t>HDFC Securities</t>
        </is>
      </c>
      <c r="I900" s="42" t="inlineStr">
        <is>
          <t>HDFC 5413</t>
        </is>
      </c>
      <c r="J900" s="42" t="inlineStr"/>
      <c r="K900" s="42" t="inlineStr">
        <is>
          <t>NET PI TO HSL SEC A/C 2554606-00602340029427</t>
        </is>
      </c>
      <c r="L900" s="42" t="inlineStr">
        <is>
          <t>HDFC Bank</t>
        </is>
      </c>
      <c r="M900" s="42" t="inlineStr"/>
    </row>
    <row r="901">
      <c r="A901" s="41" t="n">
        <v>45224</v>
      </c>
      <c r="B901" s="41" t="n">
        <v>45224</v>
      </c>
      <c r="C901" s="42" t="n">
        <v>7555.81</v>
      </c>
      <c r="D901" s="42" t="n">
        <v>0</v>
      </c>
      <c r="E901" s="42" t="inlineStr"/>
      <c r="F901" s="42" t="inlineStr">
        <is>
          <t>HDFC Securities - Buy</t>
        </is>
      </c>
      <c r="G901" s="18" t="n">
        <v>0.97</v>
      </c>
      <c r="H901" s="42" t="inlineStr">
        <is>
          <t>HDFC Securities</t>
        </is>
      </c>
      <c r="I901" s="42" t="inlineStr">
        <is>
          <t>HDFC 5413</t>
        </is>
      </c>
      <c r="J901" s="42" t="inlineStr"/>
      <c r="K901" s="42" t="inlineStr">
        <is>
          <t>NET PI TO HSL SEC A/C 2554606-00602340029427</t>
        </is>
      </c>
      <c r="L901" s="42" t="inlineStr">
        <is>
          <t>HDFC Bank</t>
        </is>
      </c>
      <c r="M901" s="42" t="inlineStr"/>
    </row>
    <row r="902">
      <c r="A902" s="41" t="n">
        <v>45224</v>
      </c>
      <c r="B902" s="41" t="n">
        <v>45224</v>
      </c>
      <c r="C902" s="42" t="n">
        <v>9150.030000000001</v>
      </c>
      <c r="D902" s="42" t="n">
        <v>0</v>
      </c>
      <c r="E902" s="42" t="inlineStr"/>
      <c r="F902" s="42" t="inlineStr">
        <is>
          <t>HDFC Securities - Buy</t>
        </is>
      </c>
      <c r="G902" s="18" t="n">
        <v>0.97</v>
      </c>
      <c r="H902" s="42" t="inlineStr">
        <is>
          <t>HDFC Securities</t>
        </is>
      </c>
      <c r="I902" s="42" t="inlineStr">
        <is>
          <t>HDFC 5413</t>
        </is>
      </c>
      <c r="J902" s="42" t="inlineStr"/>
      <c r="K902" s="42" t="inlineStr">
        <is>
          <t>NET PI TO HSL SEC A/C 2554606-00602340029427</t>
        </is>
      </c>
      <c r="L902" s="42" t="inlineStr">
        <is>
          <t>HDFC Bank</t>
        </is>
      </c>
      <c r="M902" s="42" t="inlineStr"/>
    </row>
    <row r="903">
      <c r="A903" s="58" t="n">
        <v>45224</v>
      </c>
      <c r="B903" s="58" t="n">
        <v>45224</v>
      </c>
      <c r="C903" s="59" t="n">
        <v>100</v>
      </c>
      <c r="D903" s="59" t="n">
        <v>0</v>
      </c>
      <c r="E903" s="59" t="inlineStr"/>
      <c r="F903" s="59" t="inlineStr">
        <is>
          <t>MF Investment</t>
        </is>
      </c>
      <c r="G903" s="18" t="n">
        <v>0.88</v>
      </c>
      <c r="H903" s="59" t="inlineStr">
        <is>
          <t>Investments</t>
        </is>
      </c>
      <c r="I903" s="59" t="inlineStr">
        <is>
          <t>FEDERAL 0847</t>
        </is>
      </c>
      <c r="J903" s="59" t="inlineStr"/>
      <c r="K903" s="59" t="inlineStr">
        <is>
          <t>NFT/NEOSIEXEDDD2023102512352494766 NAVI
Mutual Fun</t>
        </is>
      </c>
      <c r="L903" s="59" t="inlineStr">
        <is>
          <t>Federal Bank (Jupiter)</t>
        </is>
      </c>
      <c r="M903" s="59" t="inlineStr"/>
    </row>
    <row r="904">
      <c r="A904" s="41" t="n">
        <v>45225</v>
      </c>
      <c r="B904" s="41" t="n">
        <v>45225</v>
      </c>
      <c r="C904" s="42" t="n">
        <v>37.34</v>
      </c>
      <c r="D904" s="42" t="n">
        <v>0</v>
      </c>
      <c r="E904" s="42" t="inlineStr"/>
      <c r="F904" s="42" t="inlineStr">
        <is>
          <t>HDFC Securities - Buy</t>
        </is>
      </c>
      <c r="G904" s="18" t="n">
        <v>0.97</v>
      </c>
      <c r="H904" s="42" t="inlineStr">
        <is>
          <t>HDFC Securities</t>
        </is>
      </c>
      <c r="I904" s="42" t="inlineStr">
        <is>
          <t>HDFC 5413</t>
        </is>
      </c>
      <c r="J904" s="42" t="inlineStr"/>
      <c r="K904" s="42" t="inlineStr">
        <is>
          <t>NET PI TO HSL SEC A/C 2554606-00602340029427</t>
        </is>
      </c>
      <c r="L904" s="42" t="inlineStr">
        <is>
          <t>HDFC Bank</t>
        </is>
      </c>
      <c r="M904" s="42" t="inlineStr"/>
    </row>
    <row r="905">
      <c r="A905" s="93" t="n">
        <v>45225</v>
      </c>
      <c r="B905" s="93" t="n">
        <v>45225</v>
      </c>
      <c r="C905" s="94" t="n">
        <v>135</v>
      </c>
      <c r="D905" s="94" t="n">
        <v>0</v>
      </c>
      <c r="E905" s="94" t="inlineStr"/>
      <c r="F905" s="94" t="inlineStr">
        <is>
          <t>UPI - Google Pay</t>
        </is>
      </c>
      <c r="G905" s="34" t="n">
        <v>0.65</v>
      </c>
      <c r="H905" s="94" t="inlineStr">
        <is>
          <t>Personal</t>
        </is>
      </c>
      <c r="I905" s="94" t="inlineStr">
        <is>
          <t>FEDERAL 0847</t>
        </is>
      </c>
      <c r="J905" s="94" t="inlineStr"/>
      <c r="K905" s="94" t="inlineStr">
        <is>
          <t>UPIOUT/329942858809/gpay-11232400083@okbiz
ax/5411</t>
        </is>
      </c>
      <c r="L905" s="94" t="inlineStr">
        <is>
          <t>Federal Bank (Jupiter)</t>
        </is>
      </c>
      <c r="M905" s="94" t="inlineStr"/>
    </row>
    <row r="906">
      <c r="A906" s="41" t="n">
        <v>45225</v>
      </c>
      <c r="B906" s="41" t="n">
        <v>45225</v>
      </c>
      <c r="C906" s="42" t="n">
        <v>289.73</v>
      </c>
      <c r="D906" s="42" t="n">
        <v>0</v>
      </c>
      <c r="E906" s="42" t="inlineStr"/>
      <c r="F906" s="42" t="inlineStr">
        <is>
          <t>HDFC Securities - Buy</t>
        </is>
      </c>
      <c r="G906" s="18" t="n">
        <v>0.97</v>
      </c>
      <c r="H906" s="42" t="inlineStr">
        <is>
          <t>HDFC Securities</t>
        </is>
      </c>
      <c r="I906" s="42" t="inlineStr">
        <is>
          <t>HDFC 5413</t>
        </is>
      </c>
      <c r="J906" s="42" t="inlineStr"/>
      <c r="K906" s="42" t="inlineStr">
        <is>
          <t>NET PI TO HSL SEC A/C 2554606-00602340029427</t>
        </is>
      </c>
      <c r="L906" s="42" t="inlineStr">
        <is>
          <t>HDFC Bank</t>
        </is>
      </c>
      <c r="M906" s="42" t="inlineStr"/>
    </row>
    <row r="907">
      <c r="A907" s="37" t="n">
        <v>45225</v>
      </c>
      <c r="B907" s="37" t="n">
        <v>45225</v>
      </c>
      <c r="C907" s="38" t="n">
        <v>30</v>
      </c>
      <c r="D907" s="38" t="n">
        <v>0</v>
      </c>
      <c r="E907" s="38" t="inlineStr"/>
      <c r="F907" s="38" t="inlineStr">
        <is>
          <t>UPI Payment</t>
        </is>
      </c>
      <c r="G907" s="25" t="n">
        <v>0.55</v>
      </c>
      <c r="H907" s="38" t="inlineStr">
        <is>
          <t>Personal</t>
        </is>
      </c>
      <c r="I907" s="38" t="inlineStr">
        <is>
          <t>FEDERAL 0847</t>
        </is>
      </c>
      <c r="J907" s="38" t="inlineStr"/>
      <c r="K907" s="38" t="inlineStr">
        <is>
          <t>UPIOUT/329959835902/Q218188765@ybl/Sent
via /5411</t>
        </is>
      </c>
      <c r="L907" s="38" t="inlineStr">
        <is>
          <t>Federal Bank (Jupiter)</t>
        </is>
      </c>
      <c r="M907" s="38" t="inlineStr"/>
    </row>
    <row r="908">
      <c r="A908" s="37" t="n">
        <v>45225</v>
      </c>
      <c r="B908" s="37" t="n">
        <v>45225</v>
      </c>
      <c r="C908" s="38" t="n">
        <v>1296</v>
      </c>
      <c r="D908" s="38" t="n">
        <v>0</v>
      </c>
      <c r="E908" s="38" t="inlineStr"/>
      <c r="F908" s="38" t="inlineStr">
        <is>
          <t>UPI Payment</t>
        </is>
      </c>
      <c r="G908" s="25" t="n">
        <v>0.55</v>
      </c>
      <c r="H908" s="38" t="inlineStr">
        <is>
          <t>Personal</t>
        </is>
      </c>
      <c r="I908" s="38" t="inlineStr">
        <is>
          <t>FEDERAL 0847</t>
        </is>
      </c>
      <c r="J908" s="38" t="inlineStr"/>
      <c r="K908" s="38" t="inlineStr">
        <is>
          <t>UPIOUT/329963181188/redbus1.DBQR.payu@indu
s//4722</t>
        </is>
      </c>
      <c r="L908" s="38" t="inlineStr">
        <is>
          <t>Federal Bank (Jupiter)</t>
        </is>
      </c>
      <c r="M908" s="38" t="inlineStr"/>
    </row>
    <row r="909">
      <c r="A909" s="58" t="n">
        <v>45225</v>
      </c>
      <c r="B909" s="58" t="n">
        <v>45225</v>
      </c>
      <c r="C909" s="59" t="n">
        <v>100</v>
      </c>
      <c r="D909" s="59" t="n">
        <v>0</v>
      </c>
      <c r="E909" s="59" t="inlineStr"/>
      <c r="F909" s="59" t="inlineStr">
        <is>
          <t>MF Investment</t>
        </is>
      </c>
      <c r="G909" s="18" t="n">
        <v>0.88</v>
      </c>
      <c r="H909" s="59" t="inlineStr">
        <is>
          <t>Investments</t>
        </is>
      </c>
      <c r="I909" s="59" t="inlineStr">
        <is>
          <t>FEDERAL 0847</t>
        </is>
      </c>
      <c r="J909" s="59" t="inlineStr"/>
      <c r="K909" s="59" t="inlineStr">
        <is>
          <t>NFT/NEOSIEXEDDD2023102612353608383 NAVI
Mutual Fun</t>
        </is>
      </c>
      <c r="L909" s="59" t="inlineStr">
        <is>
          <t>Federal Bank (Jupiter)</t>
        </is>
      </c>
      <c r="M909" s="59" t="inlineStr"/>
    </row>
    <row r="910">
      <c r="A910" s="35" t="n">
        <v>45226</v>
      </c>
      <c r="B910" s="35" t="n">
        <v>45226</v>
      </c>
      <c r="C910" s="36" t="n">
        <v>126</v>
      </c>
      <c r="D910" s="36" t="n">
        <v>0</v>
      </c>
      <c r="E910" s="36" t="inlineStr"/>
      <c r="F910" s="36" t="inlineStr">
        <is>
          <t>UPI - Paytm</t>
        </is>
      </c>
      <c r="G910" s="34" t="n">
        <v>0.65</v>
      </c>
      <c r="H910" s="36" t="inlineStr">
        <is>
          <t>Personal</t>
        </is>
      </c>
      <c r="I910" s="36" t="inlineStr">
        <is>
          <t>FEDERAL 0847</t>
        </is>
      </c>
      <c r="J910" s="36" t="inlineStr"/>
      <c r="K910" s="36" t="inlineStr">
        <is>
          <t>UPIOUT/330096853832/paytmqrz1tc46rqs8@payt
m//5812</t>
        </is>
      </c>
      <c r="L910" s="36" t="inlineStr">
        <is>
          <t>Federal Bank (Jupiter)</t>
        </is>
      </c>
      <c r="M910" s="36" t="inlineStr"/>
    </row>
    <row r="911">
      <c r="A911" s="23" t="n">
        <v>45226</v>
      </c>
      <c r="B911" s="23" t="n">
        <v>45226</v>
      </c>
      <c r="C911" s="24" t="n">
        <v>0</v>
      </c>
      <c r="D911" s="24" t="n">
        <v>9166.66</v>
      </c>
      <c r="E911" s="24" t="inlineStr"/>
      <c r="F911" s="24" t="inlineStr">
        <is>
          <t>What is this?</t>
        </is>
      </c>
      <c r="G911" s="25" t="n">
        <v>0</v>
      </c>
      <c r="H911" s="24" t="inlineStr">
        <is>
          <t>Suspense</t>
        </is>
      </c>
      <c r="I911" s="24" t="inlineStr">
        <is>
          <t>FEDERAL 0847</t>
        </is>
      </c>
      <c r="J911" s="24" t="inlineStr"/>
      <c r="K911" s="24" t="inlineStr">
        <is>
          <t>NFT/LINCOLN ELECTRI/23AR65620QK11X91/BANK
OF AM</t>
        </is>
      </c>
      <c r="L911" s="24" t="inlineStr">
        <is>
          <t>Federal Bank (Jupiter)</t>
        </is>
      </c>
      <c r="M911" s="24" t="inlineStr"/>
    </row>
    <row r="912">
      <c r="A912" s="41" t="n">
        <v>45226</v>
      </c>
      <c r="B912" s="41" t="n">
        <v>45226</v>
      </c>
      <c r="C912" s="42" t="n">
        <v>43.52</v>
      </c>
      <c r="D912" s="42" t="n">
        <v>0</v>
      </c>
      <c r="E912" s="42" t="inlineStr"/>
      <c r="F912" s="42" t="inlineStr">
        <is>
          <t>HDFC Securities - Buy</t>
        </is>
      </c>
      <c r="G912" s="18" t="n">
        <v>0.97</v>
      </c>
      <c r="H912" s="42" t="inlineStr">
        <is>
          <t>HDFC Securities</t>
        </is>
      </c>
      <c r="I912" s="42" t="inlineStr">
        <is>
          <t>HDFC 5413</t>
        </is>
      </c>
      <c r="J912" s="42" t="inlineStr"/>
      <c r="K912" s="42" t="inlineStr">
        <is>
          <t>NET PI TO HSL SEC A/C 2554606-00602340029427</t>
        </is>
      </c>
      <c r="L912" s="42" t="inlineStr">
        <is>
          <t>HDFC Bank</t>
        </is>
      </c>
      <c r="M912" s="42" t="inlineStr"/>
    </row>
    <row r="913">
      <c r="A913" s="74" t="n">
        <v>45226</v>
      </c>
      <c r="B913" s="74" t="n">
        <v>45226</v>
      </c>
      <c r="C913" s="75" t="n">
        <v>0</v>
      </c>
      <c r="D913" s="75" t="n">
        <v>100</v>
      </c>
      <c r="E913" s="75" t="inlineStr"/>
      <c r="F913" s="75" t="inlineStr">
        <is>
          <t>MF Redemption</t>
        </is>
      </c>
      <c r="G913" s="18" t="n">
        <v>0.88</v>
      </c>
      <c r="H913" s="75" t="inlineStr">
        <is>
          <t>Mutual Funds</t>
        </is>
      </c>
      <c r="I913" s="75" t="inlineStr">
        <is>
          <t>FEDERAL 0847</t>
        </is>
      </c>
      <c r="J913" s="75" t="inlineStr"/>
      <c r="K913" s="75" t="inlineStr">
        <is>
          <t>NFT/NEOSIEXEDDD2023102712350915224 NAVI
Mutual Fun</t>
        </is>
      </c>
      <c r="L913" s="75" t="inlineStr">
        <is>
          <t>Federal Bank (Jupiter)</t>
        </is>
      </c>
      <c r="M913" s="75" t="inlineStr"/>
    </row>
    <row r="914">
      <c r="A914" s="58" t="n">
        <v>45226</v>
      </c>
      <c r="B914" s="58" t="n">
        <v>45226</v>
      </c>
      <c r="C914" s="59" t="n">
        <v>100</v>
      </c>
      <c r="D914" s="59" t="n">
        <v>0</v>
      </c>
      <c r="E914" s="59" t="inlineStr"/>
      <c r="F914" s="59" t="inlineStr">
        <is>
          <t>MF Investment</t>
        </is>
      </c>
      <c r="G914" s="18" t="n">
        <v>0.88</v>
      </c>
      <c r="H914" s="59" t="inlineStr">
        <is>
          <t>Investments</t>
        </is>
      </c>
      <c r="I914" s="59" t="inlineStr">
        <is>
          <t>FEDERAL 0847</t>
        </is>
      </c>
      <c r="J914" s="59" t="inlineStr"/>
      <c r="K914" s="59" t="inlineStr">
        <is>
          <t>NFT/NEOSIEXEDDD2023102710420877892 NAVI
Mutual Fun</t>
        </is>
      </c>
      <c r="L914" s="59" t="inlineStr">
        <is>
          <t>Federal Bank (Jupiter)</t>
        </is>
      </c>
      <c r="M914" s="59" t="inlineStr">
        <is>
          <t>⚠ Possible Duplicate</t>
        </is>
      </c>
    </row>
    <row r="915">
      <c r="A915" s="41" t="n">
        <v>45226</v>
      </c>
      <c r="B915" s="41" t="n">
        <v>45226</v>
      </c>
      <c r="C915" s="42" t="n">
        <v>7392.07</v>
      </c>
      <c r="D915" s="42" t="n">
        <v>0</v>
      </c>
      <c r="E915" s="42" t="inlineStr"/>
      <c r="F915" s="42" t="inlineStr">
        <is>
          <t>HDFC Securities - Buy</t>
        </is>
      </c>
      <c r="G915" s="18" t="n">
        <v>0.97</v>
      </c>
      <c r="H915" s="42" t="inlineStr">
        <is>
          <t>HDFC Securities</t>
        </is>
      </c>
      <c r="I915" s="42" t="inlineStr">
        <is>
          <t>HDFC 5413</t>
        </is>
      </c>
      <c r="J915" s="42" t="inlineStr"/>
      <c r="K915" s="42" t="inlineStr">
        <is>
          <t>NET PI TO HSL SEC A/C 2554606-00602340029427</t>
        </is>
      </c>
      <c r="L915" s="42" t="inlineStr">
        <is>
          <t>HDFC Bank</t>
        </is>
      </c>
      <c r="M915" s="42" t="inlineStr"/>
    </row>
    <row r="916">
      <c r="A916" s="58" t="n">
        <v>45226</v>
      </c>
      <c r="B916" s="58" t="n">
        <v>45226</v>
      </c>
      <c r="C916" s="59" t="n">
        <v>100</v>
      </c>
      <c r="D916" s="59" t="n">
        <v>0</v>
      </c>
      <c r="E916" s="59" t="inlineStr"/>
      <c r="F916" s="59" t="inlineStr">
        <is>
          <t>MF Investment</t>
        </is>
      </c>
      <c r="G916" s="18" t="n">
        <v>0.88</v>
      </c>
      <c r="H916" s="59" t="inlineStr">
        <is>
          <t>Investments</t>
        </is>
      </c>
      <c r="I916" s="59" t="inlineStr">
        <is>
          <t>FEDERAL 0847</t>
        </is>
      </c>
      <c r="J916" s="59" t="inlineStr"/>
      <c r="K916" s="59" t="inlineStr">
        <is>
          <t>NFT/NEOSIEXEDDD2023102712350915224 NAVI
Mutual Fun</t>
        </is>
      </c>
      <c r="L916" s="59" t="inlineStr">
        <is>
          <t>Federal Bank (Jupiter)</t>
        </is>
      </c>
      <c r="M916" s="59" t="inlineStr">
        <is>
          <t>⚠ Possible Duplicate</t>
        </is>
      </c>
    </row>
    <row r="917">
      <c r="A917" s="58" t="n">
        <v>45227</v>
      </c>
      <c r="B917" s="58" t="n">
        <v>45227</v>
      </c>
      <c r="C917" s="59" t="n">
        <v>100</v>
      </c>
      <c r="D917" s="59" t="n">
        <v>0</v>
      </c>
      <c r="E917" s="59" t="inlineStr"/>
      <c r="F917" s="59" t="inlineStr">
        <is>
          <t>MF Investment</t>
        </is>
      </c>
      <c r="G917" s="18" t="n">
        <v>0.88</v>
      </c>
      <c r="H917" s="59" t="inlineStr">
        <is>
          <t>Investments</t>
        </is>
      </c>
      <c r="I917" s="59" t="inlineStr">
        <is>
          <t>FEDERAL 0847</t>
        </is>
      </c>
      <c r="J917" s="59" t="inlineStr"/>
      <c r="K917" s="59" t="inlineStr">
        <is>
          <t>NFT/NEOSIEXEDDD2023102812351693385 NAVI
Mutual Fun</t>
        </is>
      </c>
      <c r="L917" s="59" t="inlineStr">
        <is>
          <t>Federal Bank (Jupiter)</t>
        </is>
      </c>
      <c r="M917" s="59" t="inlineStr"/>
    </row>
    <row r="918">
      <c r="A918" s="93" t="n">
        <v>45227</v>
      </c>
      <c r="B918" s="93" t="n">
        <v>45227</v>
      </c>
      <c r="C918" s="94" t="n">
        <v>199</v>
      </c>
      <c r="D918" s="94" t="n">
        <v>0</v>
      </c>
      <c r="E918" s="94" t="inlineStr"/>
      <c r="F918" s="94" t="inlineStr">
        <is>
          <t>UPI - Google Pay</t>
        </is>
      </c>
      <c r="G918" s="34" t="n">
        <v>0.65</v>
      </c>
      <c r="H918" s="94" t="inlineStr">
        <is>
          <t>Personal</t>
        </is>
      </c>
      <c r="I918" s="94" t="inlineStr">
        <is>
          <t>FEDERAL 0847</t>
        </is>
      </c>
      <c r="J918" s="94" t="inlineStr"/>
      <c r="K918" s="94" t="inlineStr">
        <is>
          <t>UPIOUT/330161961236/euronetgpay.playrc@ici
ci/6540</t>
        </is>
      </c>
      <c r="L918" s="94" t="inlineStr">
        <is>
          <t>Federal Bank (Jupiter)</t>
        </is>
      </c>
      <c r="M918" s="94" t="inlineStr"/>
    </row>
    <row r="919">
      <c r="A919" s="58" t="n">
        <v>45228</v>
      </c>
      <c r="B919" s="58" t="n">
        <v>45228</v>
      </c>
      <c r="C919" s="59" t="n">
        <v>100</v>
      </c>
      <c r="D919" s="59" t="n">
        <v>0</v>
      </c>
      <c r="E919" s="59" t="inlineStr"/>
      <c r="F919" s="59" t="inlineStr">
        <is>
          <t>MF Investment</t>
        </is>
      </c>
      <c r="G919" s="18" t="n">
        <v>0.88</v>
      </c>
      <c r="H919" s="59" t="inlineStr">
        <is>
          <t>Investments</t>
        </is>
      </c>
      <c r="I919" s="59" t="inlineStr">
        <is>
          <t>FEDERAL 0847</t>
        </is>
      </c>
      <c r="J919" s="59" t="inlineStr"/>
      <c r="K919" s="59" t="inlineStr">
        <is>
          <t>NFT/NEOSIEXEDDD2023102912351170029 NAVI
Mutual Fun</t>
        </is>
      </c>
      <c r="L919" s="59" t="inlineStr">
        <is>
          <t>Federal Bank (Jupiter)</t>
        </is>
      </c>
      <c r="M919" s="59" t="inlineStr"/>
    </row>
    <row r="920">
      <c r="A920" s="37" t="n">
        <v>45228</v>
      </c>
      <c r="B920" s="37" t="n">
        <v>45228</v>
      </c>
      <c r="C920" s="38" t="n">
        <v>99</v>
      </c>
      <c r="D920" s="38" t="n">
        <v>0</v>
      </c>
      <c r="E920" s="38" t="inlineStr"/>
      <c r="F920" s="38" t="inlineStr">
        <is>
          <t>UPI Payment</t>
        </is>
      </c>
      <c r="G920" s="25" t="n">
        <v>0.55</v>
      </c>
      <c r="H920" s="38" t="inlineStr">
        <is>
          <t>Personal</t>
        </is>
      </c>
      <c r="I920" s="38" t="inlineStr">
        <is>
          <t>FEDERAL 0847</t>
        </is>
      </c>
      <c r="J920" s="38" t="inlineStr"/>
      <c r="K920" s="38" t="inlineStr">
        <is>
          <t>UPIOUT/330288558124/Q614784165@ybl/Sent
via /5311</t>
        </is>
      </c>
      <c r="L920" s="38" t="inlineStr">
        <is>
          <t>Federal Bank (Jupiter)</t>
        </is>
      </c>
      <c r="M920" s="38" t="inlineStr"/>
    </row>
    <row r="921">
      <c r="A921" s="21" t="n">
        <v>45228</v>
      </c>
      <c r="B921" s="21" t="n">
        <v>45228</v>
      </c>
      <c r="C921" s="22" t="n">
        <v>121</v>
      </c>
      <c r="D921" s="22" t="n">
        <v>0</v>
      </c>
      <c r="E921" s="22" t="inlineStr"/>
      <c r="F921" s="22" t="inlineStr">
        <is>
          <t>UPI - Rapido</t>
        </is>
      </c>
      <c r="G921" s="34" t="n">
        <v>0.68</v>
      </c>
      <c r="H921" s="22" t="inlineStr">
        <is>
          <t>Transport</t>
        </is>
      </c>
      <c r="I921" s="22" t="inlineStr">
        <is>
          <t>FEDERAL 0847</t>
        </is>
      </c>
      <c r="J921" s="22" t="inlineStr"/>
      <c r="K921" s="22" t="inlineStr">
        <is>
          <t>UPIOUT/330280344442/rapido.rzp@icici/Recha
rg/4121</t>
        </is>
      </c>
      <c r="L921" s="22" t="inlineStr">
        <is>
          <t>Federal Bank (Jupiter)</t>
        </is>
      </c>
      <c r="M921" s="22" t="inlineStr"/>
    </row>
    <row r="922">
      <c r="A922" s="58" t="n">
        <v>45229</v>
      </c>
      <c r="B922" s="58" t="n">
        <v>45229</v>
      </c>
      <c r="C922" s="59" t="n">
        <v>100</v>
      </c>
      <c r="D922" s="59" t="n">
        <v>0</v>
      </c>
      <c r="E922" s="59" t="inlineStr"/>
      <c r="F922" s="59" t="inlineStr">
        <is>
          <t>MF Investment</t>
        </is>
      </c>
      <c r="G922" s="18" t="n">
        <v>0.88</v>
      </c>
      <c r="H922" s="59" t="inlineStr">
        <is>
          <t>Investments</t>
        </is>
      </c>
      <c r="I922" s="59" t="inlineStr">
        <is>
          <t>FEDERAL 0847</t>
        </is>
      </c>
      <c r="J922" s="59" t="inlineStr"/>
      <c r="K922" s="59" t="inlineStr">
        <is>
          <t>NFT/NEOSIEXEDDD2023103012350943349 NAVI
Mutual Fun</t>
        </is>
      </c>
      <c r="L922" s="59" t="inlineStr">
        <is>
          <t>Federal Bank (Jupiter)</t>
        </is>
      </c>
      <c r="M922" s="59" t="inlineStr"/>
    </row>
    <row r="923">
      <c r="A923" s="95" t="n">
        <v>45229</v>
      </c>
      <c r="B923" s="95" t="n">
        <v>45229</v>
      </c>
      <c r="C923" s="96" t="n">
        <v>624</v>
      </c>
      <c r="D923" s="96" t="n">
        <v>0</v>
      </c>
      <c r="E923" s="96" t="inlineStr"/>
      <c r="F923" s="96" t="inlineStr">
        <is>
          <t>UPI - Zepto</t>
        </is>
      </c>
      <c r="G923" s="34" t="n">
        <v>0.68</v>
      </c>
      <c r="H923" s="96" t="inlineStr">
        <is>
          <t>Groceries</t>
        </is>
      </c>
      <c r="I923" s="96" t="inlineStr">
        <is>
          <t>FEDERAL 0847</t>
        </is>
      </c>
      <c r="J923" s="96" t="inlineStr"/>
      <c r="K923" s="96" t="inlineStr">
        <is>
          <t>UPIOUT/330331022277/zeptonowcashfree@hdfcb
an/5411</t>
        </is>
      </c>
      <c r="L923" s="96" t="inlineStr">
        <is>
          <t>Federal Bank (Jupiter)</t>
        </is>
      </c>
      <c r="M923" s="96" t="inlineStr"/>
    </row>
    <row r="924">
      <c r="A924" s="54" t="n">
        <v>45229</v>
      </c>
      <c r="B924" s="54" t="n">
        <v>45229</v>
      </c>
      <c r="C924" s="55" t="n">
        <v>0</v>
      </c>
      <c r="D924" s="55" t="n">
        <v>1729.24</v>
      </c>
      <c r="E924" s="55" t="inlineStr"/>
      <c r="F924" s="55" t="inlineStr">
        <is>
          <t>HDFC Securities - Sell</t>
        </is>
      </c>
      <c r="G924" s="18" t="n">
        <v>0.97</v>
      </c>
      <c r="H924" s="55" t="inlineStr">
        <is>
          <t>HDFC Securities</t>
        </is>
      </c>
      <c r="I924" s="55" t="inlineStr">
        <is>
          <t>HDFC 5413</t>
        </is>
      </c>
      <c r="J924" s="55" t="inlineStr"/>
      <c r="K924" s="55" t="inlineStr">
        <is>
          <t>NET PO FROM HSL A/C 2554606-50200085415108</t>
        </is>
      </c>
      <c r="L924" s="55" t="inlineStr">
        <is>
          <t>HDFC Bank</t>
        </is>
      </c>
      <c r="M924" s="55" t="inlineStr"/>
    </row>
    <row r="925">
      <c r="A925" s="58" t="n">
        <v>45229</v>
      </c>
      <c r="B925" s="58" t="n">
        <v>45229</v>
      </c>
      <c r="C925" s="59" t="n">
        <v>5000</v>
      </c>
      <c r="D925" s="59" t="n">
        <v>0</v>
      </c>
      <c r="E925" s="59" t="inlineStr"/>
      <c r="F925" s="59" t="inlineStr">
        <is>
          <t>MF Investment</t>
        </is>
      </c>
      <c r="G925" s="18" t="n">
        <v>0.9</v>
      </c>
      <c r="H925" s="59" t="inlineStr">
        <is>
          <t>Investments</t>
        </is>
      </c>
      <c r="I925" s="59" t="inlineStr">
        <is>
          <t>HDFC 5413</t>
        </is>
      </c>
      <c r="J925" s="59" t="inlineStr"/>
      <c r="K925" s="59" t="inlineStr">
        <is>
          <t>ACH D- INDIAN CLEARING CORP-P25847674X05</t>
        </is>
      </c>
      <c r="L925" s="59" t="inlineStr">
        <is>
          <t>HDFC Bank</t>
        </is>
      </c>
      <c r="M925" s="59" t="inlineStr">
        <is>
          <t>⚠ Possible Duplicate</t>
        </is>
      </c>
    </row>
    <row r="926">
      <c r="A926" s="58" t="n">
        <v>45229</v>
      </c>
      <c r="B926" s="58" t="n">
        <v>45229</v>
      </c>
      <c r="C926" s="59" t="n">
        <v>5000</v>
      </c>
      <c r="D926" s="59" t="n">
        <v>0</v>
      </c>
      <c r="E926" s="59" t="inlineStr"/>
      <c r="F926" s="59" t="inlineStr">
        <is>
          <t>MF Investment</t>
        </is>
      </c>
      <c r="G926" s="18" t="n">
        <v>0.9</v>
      </c>
      <c r="H926" s="59" t="inlineStr">
        <is>
          <t>Investments</t>
        </is>
      </c>
      <c r="I926" s="59" t="inlineStr">
        <is>
          <t>HDFC 5413</t>
        </is>
      </c>
      <c r="J926" s="59" t="inlineStr"/>
      <c r="K926" s="59" t="inlineStr">
        <is>
          <t>ACH D- INDIAN CLEARING CORP-P25847674X05</t>
        </is>
      </c>
      <c r="L926" s="59" t="inlineStr">
        <is>
          <t>HDFC Bank</t>
        </is>
      </c>
      <c r="M926" s="59" t="inlineStr">
        <is>
          <t>⚠ Possible Duplicate</t>
        </is>
      </c>
    </row>
    <row r="927">
      <c r="A927" s="41" t="n">
        <v>45229</v>
      </c>
      <c r="B927" s="41" t="n">
        <v>45229</v>
      </c>
      <c r="C927" s="42" t="n">
        <v>130.56</v>
      </c>
      <c r="D927" s="42" t="n">
        <v>0</v>
      </c>
      <c r="E927" s="42" t="inlineStr"/>
      <c r="F927" s="42" t="inlineStr">
        <is>
          <t>HDFC Securities - Buy</t>
        </is>
      </c>
      <c r="G927" s="18" t="n">
        <v>0.97</v>
      </c>
      <c r="H927" s="42" t="inlineStr">
        <is>
          <t>HDFC Securities</t>
        </is>
      </c>
      <c r="I927" s="42" t="inlineStr">
        <is>
          <t>HDFC 5413</t>
        </is>
      </c>
      <c r="J927" s="42" t="inlineStr"/>
      <c r="K927" s="42" t="inlineStr">
        <is>
          <t>NET PI TO HSL SEC A/C 2554606-00602340029427</t>
        </is>
      </c>
      <c r="L927" s="42" t="inlineStr">
        <is>
          <t>HDFC Bank</t>
        </is>
      </c>
      <c r="M927" s="42" t="inlineStr"/>
    </row>
    <row r="928">
      <c r="A928" s="41" t="n">
        <v>45229</v>
      </c>
      <c r="B928" s="41" t="n">
        <v>45229</v>
      </c>
      <c r="C928" s="42" t="n">
        <v>6269.96</v>
      </c>
      <c r="D928" s="42" t="n">
        <v>0</v>
      </c>
      <c r="E928" s="42" t="inlineStr"/>
      <c r="F928" s="42" t="inlineStr">
        <is>
          <t>HDFC Securities - Buy</t>
        </is>
      </c>
      <c r="G928" s="18" t="n">
        <v>0.97</v>
      </c>
      <c r="H928" s="42" t="inlineStr">
        <is>
          <t>HDFC Securities</t>
        </is>
      </c>
      <c r="I928" s="42" t="inlineStr">
        <is>
          <t>HDFC 5413</t>
        </is>
      </c>
      <c r="J928" s="42" t="inlineStr"/>
      <c r="K928" s="42" t="inlineStr">
        <is>
          <t>NET PI TO HSL SEC A/C 2554606-00602340029427</t>
        </is>
      </c>
      <c r="L928" s="42" t="inlineStr">
        <is>
          <t>HDFC Bank</t>
        </is>
      </c>
      <c r="M928" s="42" t="inlineStr"/>
    </row>
    <row r="929">
      <c r="A929" s="41" t="n">
        <v>45230</v>
      </c>
      <c r="B929" s="41" t="n">
        <v>45230</v>
      </c>
      <c r="C929" s="42" t="n">
        <v>41.91</v>
      </c>
      <c r="D929" s="42" t="n">
        <v>0</v>
      </c>
      <c r="E929" s="42" t="inlineStr"/>
      <c r="F929" s="42" t="inlineStr">
        <is>
          <t>HDFC Securities - Buy</t>
        </is>
      </c>
      <c r="G929" s="18" t="n">
        <v>0.97</v>
      </c>
      <c r="H929" s="42" t="inlineStr">
        <is>
          <t>HDFC Securities</t>
        </is>
      </c>
      <c r="I929" s="42" t="inlineStr">
        <is>
          <t>HDFC 5413</t>
        </is>
      </c>
      <c r="J929" s="42" t="inlineStr"/>
      <c r="K929" s="42" t="inlineStr">
        <is>
          <t>NET PI TO HSL SEC A/C 2554606-00602340029427</t>
        </is>
      </c>
      <c r="L929" s="42" t="inlineStr">
        <is>
          <t>HDFC Bank</t>
        </is>
      </c>
      <c r="M929" s="42" t="inlineStr"/>
    </row>
    <row r="930">
      <c r="A930" s="41" t="n">
        <v>45230</v>
      </c>
      <c r="B930" s="41" t="n">
        <v>45230</v>
      </c>
      <c r="C930" s="42" t="n">
        <v>2122.55</v>
      </c>
      <c r="D930" s="42" t="n">
        <v>0</v>
      </c>
      <c r="E930" s="42" t="inlineStr"/>
      <c r="F930" s="42" t="inlineStr">
        <is>
          <t>HDFC Securities - Buy</t>
        </is>
      </c>
      <c r="G930" s="18" t="n">
        <v>0.97</v>
      </c>
      <c r="H930" s="42" t="inlineStr">
        <is>
          <t>HDFC Securities</t>
        </is>
      </c>
      <c r="I930" s="42" t="inlineStr">
        <is>
          <t>HDFC 5413</t>
        </is>
      </c>
      <c r="J930" s="42" t="inlineStr"/>
      <c r="K930" s="42" t="inlineStr">
        <is>
          <t>NET PI TO HSL SEC A/C 2554606-00602340029427</t>
        </is>
      </c>
      <c r="L930" s="42" t="inlineStr">
        <is>
          <t>HDFC Bank</t>
        </is>
      </c>
      <c r="M930" s="42" t="inlineStr"/>
    </row>
    <row r="931">
      <c r="A931" s="54" t="n">
        <v>45230</v>
      </c>
      <c r="B931" s="54" t="n">
        <v>45230</v>
      </c>
      <c r="C931" s="55" t="n">
        <v>0</v>
      </c>
      <c r="D931" s="55" t="n">
        <v>12214.38</v>
      </c>
      <c r="E931" s="55" t="inlineStr"/>
      <c r="F931" s="55" t="inlineStr">
        <is>
          <t>HDFC Securities - Sell</t>
        </is>
      </c>
      <c r="G931" s="18" t="n">
        <v>0.97</v>
      </c>
      <c r="H931" s="55" t="inlineStr">
        <is>
          <t>HDFC Securities</t>
        </is>
      </c>
      <c r="I931" s="55" t="inlineStr">
        <is>
          <t>HDFC 5413</t>
        </is>
      </c>
      <c r="J931" s="55" t="inlineStr"/>
      <c r="K931" s="55" t="inlineStr">
        <is>
          <t>NET PO FROM HSL A/C 2554606-50200085415108</t>
        </is>
      </c>
      <c r="L931" s="55" t="inlineStr">
        <is>
          <t>HDFC Bank</t>
        </is>
      </c>
      <c r="M931" s="55" t="inlineStr"/>
    </row>
    <row r="932">
      <c r="A932" s="58" t="n">
        <v>45230</v>
      </c>
      <c r="B932" s="58" t="n">
        <v>45230</v>
      </c>
      <c r="C932" s="59" t="n">
        <v>100</v>
      </c>
      <c r="D932" s="59" t="n">
        <v>0</v>
      </c>
      <c r="E932" s="59" t="inlineStr"/>
      <c r="F932" s="59" t="inlineStr">
        <is>
          <t>MF Investment</t>
        </is>
      </c>
      <c r="G932" s="18" t="n">
        <v>0.88</v>
      </c>
      <c r="H932" s="59" t="inlineStr">
        <is>
          <t>Investments</t>
        </is>
      </c>
      <c r="I932" s="59" t="inlineStr">
        <is>
          <t>FEDERAL 0847</t>
        </is>
      </c>
      <c r="J932" s="59" t="inlineStr"/>
      <c r="K932" s="59" t="inlineStr">
        <is>
          <t>NFT/NEOSIEXEDDD2023103112351278421 NAVI
Mutual Fun</t>
        </is>
      </c>
      <c r="L932" s="59" t="inlineStr">
        <is>
          <t>Federal Bank (Jupiter)</t>
        </is>
      </c>
      <c r="M932" s="59" t="inlineStr"/>
    </row>
    <row r="933">
      <c r="A933" s="23" t="n">
        <v>45230</v>
      </c>
      <c r="B933" s="23" t="n">
        <v>45230</v>
      </c>
      <c r="C933" s="24" t="n">
        <v>613</v>
      </c>
      <c r="D933" s="24" t="n">
        <v>0</v>
      </c>
      <c r="E933" s="24" t="inlineStr"/>
      <c r="F933" s="24" t="inlineStr">
        <is>
          <t>What is this?</t>
        </is>
      </c>
      <c r="G933" s="25" t="n">
        <v>0</v>
      </c>
      <c r="H933" s="24" t="inlineStr">
        <is>
          <t>Suspense</t>
        </is>
      </c>
      <c r="I933" s="24" t="inlineStr">
        <is>
          <t>FEDERAL 0847</t>
        </is>
      </c>
      <c r="J933" s="24" t="inlineStr"/>
      <c r="K933" s="24" t="inlineStr">
        <is>
          <t>TO ECM/330302191453/470000087086204
\Amazon</t>
        </is>
      </c>
      <c r="L933" s="24" t="inlineStr">
        <is>
          <t>Federal Bank (Jupiter)</t>
        </is>
      </c>
      <c r="M933" s="24" t="inlineStr"/>
    </row>
    <row r="934">
      <c r="A934" s="23" t="n">
        <v>45230</v>
      </c>
      <c r="B934" s="23" t="n">
        <v>45230</v>
      </c>
      <c r="C934" s="24" t="n">
        <v>0</v>
      </c>
      <c r="D934" s="24" t="n">
        <v>34112</v>
      </c>
      <c r="E934" s="24" t="inlineStr"/>
      <c r="F934" s="24" t="inlineStr">
        <is>
          <t>What is this?</t>
        </is>
      </c>
      <c r="G934" s="25" t="n">
        <v>0</v>
      </c>
      <c r="H934" s="24" t="inlineStr">
        <is>
          <t>Suspense</t>
        </is>
      </c>
      <c r="I934" s="24" t="inlineStr">
        <is>
          <t>FEDERAL 0847</t>
        </is>
      </c>
      <c r="J934" s="24" t="inlineStr"/>
      <c r="K934" s="24" t="inlineStr">
        <is>
          <t>NFT/DR REDDYS LABOR/CITIN23446568003/CITI</t>
        </is>
      </c>
      <c r="L934" s="24" t="inlineStr">
        <is>
          <t>Federal Bank (Jupiter)</t>
        </is>
      </c>
      <c r="M934" s="24" t="inlineStr"/>
    </row>
    <row r="935">
      <c r="A935" s="41" t="n">
        <v>45231</v>
      </c>
      <c r="B935" s="41" t="n">
        <v>45231</v>
      </c>
      <c r="C935" s="42" t="n">
        <v>47.48</v>
      </c>
      <c r="D935" s="42" t="n">
        <v>0</v>
      </c>
      <c r="E935" s="42" t="inlineStr"/>
      <c r="F935" s="42" t="inlineStr">
        <is>
          <t>HDFC Securities - Buy</t>
        </is>
      </c>
      <c r="G935" s="18" t="n">
        <v>0.97</v>
      </c>
      <c r="H935" s="42" t="inlineStr">
        <is>
          <t>HDFC Securities</t>
        </is>
      </c>
      <c r="I935" s="42" t="inlineStr">
        <is>
          <t>HDFC 5413</t>
        </is>
      </c>
      <c r="J935" s="42" t="inlineStr"/>
      <c r="K935" s="42" t="inlineStr">
        <is>
          <t>NET PI TO HSL SEC A/C 2554606-00602340029427</t>
        </is>
      </c>
      <c r="L935" s="42" t="inlineStr">
        <is>
          <t>HDFC Bank</t>
        </is>
      </c>
      <c r="M935" s="42" t="inlineStr"/>
    </row>
    <row r="936">
      <c r="A936" s="58" t="n">
        <v>45231</v>
      </c>
      <c r="B936" s="58" t="n">
        <v>45231</v>
      </c>
      <c r="C936" s="59" t="n">
        <v>100</v>
      </c>
      <c r="D936" s="59" t="n">
        <v>0</v>
      </c>
      <c r="E936" s="59" t="inlineStr"/>
      <c r="F936" s="59" t="inlineStr">
        <is>
          <t>MF Investment</t>
        </is>
      </c>
      <c r="G936" s="18" t="n">
        <v>0.88</v>
      </c>
      <c r="H936" s="59" t="inlineStr">
        <is>
          <t>Investments</t>
        </is>
      </c>
      <c r="I936" s="59" t="inlineStr">
        <is>
          <t>FEDERAL 0847</t>
        </is>
      </c>
      <c r="J936" s="59" t="inlineStr"/>
      <c r="K936" s="59" t="inlineStr">
        <is>
          <t>NFT/NEOSIEXEDDD2023110112365375387 NAVI
Mutual Fun</t>
        </is>
      </c>
      <c r="L936" s="59" t="inlineStr">
        <is>
          <t>Federal Bank (Jupiter)</t>
        </is>
      </c>
      <c r="M936" s="59" t="inlineStr"/>
    </row>
    <row r="937">
      <c r="A937" s="35" t="n">
        <v>45231</v>
      </c>
      <c r="B937" s="35" t="n">
        <v>45231</v>
      </c>
      <c r="C937" s="36" t="n">
        <v>35</v>
      </c>
      <c r="D937" s="36" t="n">
        <v>0</v>
      </c>
      <c r="E937" s="36" t="inlineStr"/>
      <c r="F937" s="36" t="inlineStr">
        <is>
          <t>UPI - Paytm</t>
        </is>
      </c>
      <c r="G937" s="34" t="n">
        <v>0.65</v>
      </c>
      <c r="H937" s="36" t="inlineStr">
        <is>
          <t>Personal</t>
        </is>
      </c>
      <c r="I937" s="36" t="inlineStr">
        <is>
          <t>FEDERAL 0847</t>
        </is>
      </c>
      <c r="J937" s="36" t="inlineStr"/>
      <c r="K937" s="36" t="inlineStr">
        <is>
          <t>UPIOUT/330586054884/paytmqry3eyiz8yp2@payt
m//5812</t>
        </is>
      </c>
      <c r="L937" s="36" t="inlineStr">
        <is>
          <t>Federal Bank (Jupiter)</t>
        </is>
      </c>
      <c r="M937" s="36" t="inlineStr"/>
    </row>
    <row r="938">
      <c r="A938" s="35" t="n">
        <v>45231</v>
      </c>
      <c r="B938" s="35" t="n">
        <v>45231</v>
      </c>
      <c r="C938" s="36" t="n">
        <v>15</v>
      </c>
      <c r="D938" s="36" t="n">
        <v>0</v>
      </c>
      <c r="E938" s="36" t="inlineStr"/>
      <c r="F938" s="36" t="inlineStr">
        <is>
          <t>UPI - Paytm</t>
        </is>
      </c>
      <c r="G938" s="34" t="n">
        <v>0.65</v>
      </c>
      <c r="H938" s="36" t="inlineStr">
        <is>
          <t>Personal</t>
        </is>
      </c>
      <c r="I938" s="36" t="inlineStr">
        <is>
          <t>FEDERAL 0847</t>
        </is>
      </c>
      <c r="J938" s="36" t="inlineStr"/>
      <c r="K938" s="36" t="inlineStr">
        <is>
          <t>UPIOUT/330586364945/paytmqr1ox7m6rgyo@payt
m//5812</t>
        </is>
      </c>
      <c r="L938" s="36" t="inlineStr">
        <is>
          <t>Federal Bank (Jupiter)</t>
        </is>
      </c>
      <c r="M938" s="36" t="inlineStr"/>
    </row>
    <row r="939">
      <c r="A939" s="35" t="n">
        <v>45231</v>
      </c>
      <c r="B939" s="35" t="n">
        <v>45231</v>
      </c>
      <c r="C939" s="36" t="n">
        <v>20</v>
      </c>
      <c r="D939" s="36" t="n">
        <v>0</v>
      </c>
      <c r="E939" s="36" t="inlineStr"/>
      <c r="F939" s="36" t="inlineStr">
        <is>
          <t>UPI - Paytm</t>
        </is>
      </c>
      <c r="G939" s="34" t="n">
        <v>0.65</v>
      </c>
      <c r="H939" s="36" t="inlineStr">
        <is>
          <t>Personal</t>
        </is>
      </c>
      <c r="I939" s="36" t="inlineStr">
        <is>
          <t>FEDERAL 0847</t>
        </is>
      </c>
      <c r="J939" s="36" t="inlineStr"/>
      <c r="K939" s="36" t="inlineStr">
        <is>
          <t>UPIOUT/330596071626/paytmqrfmo9fujhwg@payt
m//5812</t>
        </is>
      </c>
      <c r="L939" s="36" t="inlineStr">
        <is>
          <t>Federal Bank (Jupiter)</t>
        </is>
      </c>
      <c r="M939" s="36" t="inlineStr"/>
    </row>
    <row r="940">
      <c r="A940" s="35" t="n">
        <v>45231</v>
      </c>
      <c r="B940" s="35" t="n">
        <v>45231</v>
      </c>
      <c r="C940" s="36" t="n">
        <v>150</v>
      </c>
      <c r="D940" s="36" t="n">
        <v>0</v>
      </c>
      <c r="E940" s="36" t="inlineStr"/>
      <c r="F940" s="36" t="inlineStr">
        <is>
          <t>UPI - Paytm</t>
        </is>
      </c>
      <c r="G940" s="34" t="n">
        <v>0.65</v>
      </c>
      <c r="H940" s="36" t="inlineStr">
        <is>
          <t>Personal</t>
        </is>
      </c>
      <c r="I940" s="36" t="inlineStr">
        <is>
          <t>FEDERAL 0847</t>
        </is>
      </c>
      <c r="J940" s="36" t="inlineStr"/>
      <c r="K940" s="36" t="inlineStr">
        <is>
          <t>UPIOUT/330595243238/paytmqrfmo9fujhwg@payt
m//5812</t>
        </is>
      </c>
      <c r="L940" s="36" t="inlineStr">
        <is>
          <t>Federal Bank (Jupiter)</t>
        </is>
      </c>
      <c r="M940" s="36" t="inlineStr"/>
    </row>
    <row r="941">
      <c r="A941" s="54" t="n">
        <v>45231</v>
      </c>
      <c r="B941" s="54" t="n">
        <v>45231</v>
      </c>
      <c r="C941" s="55" t="n">
        <v>0</v>
      </c>
      <c r="D941" s="55" t="n">
        <v>18367.21</v>
      </c>
      <c r="E941" s="55" t="inlineStr"/>
      <c r="F941" s="55" t="inlineStr">
        <is>
          <t>HDFC Securities - Sell</t>
        </is>
      </c>
      <c r="G941" s="18" t="n">
        <v>0.97</v>
      </c>
      <c r="H941" s="55" t="inlineStr">
        <is>
          <t>HDFC Securities</t>
        </is>
      </c>
      <c r="I941" s="55" t="inlineStr">
        <is>
          <t>HDFC 5413</t>
        </is>
      </c>
      <c r="J941" s="55" t="inlineStr"/>
      <c r="K941" s="55" t="inlineStr">
        <is>
          <t>NET PO FROM HSL A/C 2554606-50200085415108</t>
        </is>
      </c>
      <c r="L941" s="55" t="inlineStr">
        <is>
          <t>HDFC Bank</t>
        </is>
      </c>
      <c r="M941" s="55" t="inlineStr"/>
    </row>
    <row r="942">
      <c r="A942" s="41" t="n">
        <v>45231</v>
      </c>
      <c r="B942" s="41" t="n">
        <v>45231</v>
      </c>
      <c r="C942" s="42" t="n">
        <v>29121.75</v>
      </c>
      <c r="D942" s="42" t="n">
        <v>0</v>
      </c>
      <c r="E942" s="42" t="inlineStr"/>
      <c r="F942" s="42" t="inlineStr">
        <is>
          <t>HDFC Securities - Buy</t>
        </is>
      </c>
      <c r="G942" s="18" t="n">
        <v>0.97</v>
      </c>
      <c r="H942" s="42" t="inlineStr">
        <is>
          <t>HDFC Securities</t>
        </is>
      </c>
      <c r="I942" s="42" t="inlineStr">
        <is>
          <t>HDFC 5413</t>
        </is>
      </c>
      <c r="J942" s="42" t="inlineStr"/>
      <c r="K942" s="42" t="inlineStr">
        <is>
          <t>NET PI TO HSL SEC A/C 2554606-00602340029427</t>
        </is>
      </c>
      <c r="L942" s="42" t="inlineStr">
        <is>
          <t>HDFC Bank</t>
        </is>
      </c>
      <c r="M942" s="42" t="inlineStr"/>
    </row>
    <row r="943">
      <c r="A943" s="58" t="n">
        <v>45232</v>
      </c>
      <c r="B943" s="58" t="n">
        <v>45232</v>
      </c>
      <c r="C943" s="59" t="n">
        <v>100</v>
      </c>
      <c r="D943" s="59" t="n">
        <v>0</v>
      </c>
      <c r="E943" s="59" t="inlineStr"/>
      <c r="F943" s="59" t="inlineStr">
        <is>
          <t>MF Investment</t>
        </is>
      </c>
      <c r="G943" s="18" t="n">
        <v>0.88</v>
      </c>
      <c r="H943" s="59" t="inlineStr">
        <is>
          <t>Investments</t>
        </is>
      </c>
      <c r="I943" s="59" t="inlineStr">
        <is>
          <t>FEDERAL 0847</t>
        </is>
      </c>
      <c r="J943" s="59" t="inlineStr"/>
      <c r="K943" s="59" t="inlineStr">
        <is>
          <t>NFT/NEOSIEXEDDD2023110212361814706 NAVI
Mutual Fun</t>
        </is>
      </c>
      <c r="L943" s="59" t="inlineStr">
        <is>
          <t>Federal Bank (Jupiter)</t>
        </is>
      </c>
      <c r="M943" s="59" t="inlineStr"/>
    </row>
    <row r="944">
      <c r="A944" s="37" t="n">
        <v>45232</v>
      </c>
      <c r="B944" s="37" t="n">
        <v>45232</v>
      </c>
      <c r="C944" s="38" t="n">
        <v>40</v>
      </c>
      <c r="D944" s="38" t="n">
        <v>0</v>
      </c>
      <c r="E944" s="38" t="inlineStr"/>
      <c r="F944" s="38" t="inlineStr">
        <is>
          <t>UPI Payment</t>
        </is>
      </c>
      <c r="G944" s="25" t="n">
        <v>0.55</v>
      </c>
      <c r="H944" s="38" t="inlineStr">
        <is>
          <t>Personal</t>
        </is>
      </c>
      <c r="I944" s="38" t="inlineStr">
        <is>
          <t>FEDERAL 0847</t>
        </is>
      </c>
      <c r="J944" s="38" t="inlineStr"/>
      <c r="K944" s="38" t="inlineStr">
        <is>
          <t>UPIOUT/330667461912/Q984373069@ybl/Sent
via /5814</t>
        </is>
      </c>
      <c r="L944" s="38" t="inlineStr">
        <is>
          <t>Federal Bank (Jupiter)</t>
        </is>
      </c>
      <c r="M944" s="38" t="inlineStr"/>
    </row>
    <row r="945">
      <c r="A945" s="41" t="n">
        <v>45232</v>
      </c>
      <c r="B945" s="41" t="n">
        <v>45232</v>
      </c>
      <c r="C945" s="42" t="n">
        <v>5685.38</v>
      </c>
      <c r="D945" s="42" t="n">
        <v>0</v>
      </c>
      <c r="E945" s="42" t="inlineStr"/>
      <c r="F945" s="42" t="inlineStr">
        <is>
          <t>HDFC Securities - Buy</t>
        </is>
      </c>
      <c r="G945" s="18" t="n">
        <v>0.97</v>
      </c>
      <c r="H945" s="42" t="inlineStr">
        <is>
          <t>HDFC Securities</t>
        </is>
      </c>
      <c r="I945" s="42" t="inlineStr">
        <is>
          <t>HDFC 5413</t>
        </is>
      </c>
      <c r="J945" s="42" t="inlineStr"/>
      <c r="K945" s="42" t="inlineStr">
        <is>
          <t>NET PI TO HSL SEC A/C 2554606-00602340029427</t>
        </is>
      </c>
      <c r="L945" s="42" t="inlineStr">
        <is>
          <t>HDFC Bank</t>
        </is>
      </c>
      <c r="M945" s="42" t="inlineStr"/>
    </row>
    <row r="946">
      <c r="A946" s="74" t="n">
        <v>45232</v>
      </c>
      <c r="B946" s="74" t="n">
        <v>45232</v>
      </c>
      <c r="C946" s="75" t="n">
        <v>0</v>
      </c>
      <c r="D946" s="75" t="n">
        <v>1</v>
      </c>
      <c r="E946" s="75" t="inlineStr"/>
      <c r="F946" s="75" t="inlineStr">
        <is>
          <t>MF Redemption</t>
        </is>
      </c>
      <c r="G946" s="18" t="n">
        <v>0.85</v>
      </c>
      <c r="H946" s="75" t="inlineStr">
        <is>
          <t>Mutual Funds</t>
        </is>
      </c>
      <c r="I946" s="75" t="inlineStr">
        <is>
          <t>FEDERAL 0847</t>
        </is>
      </c>
      <c r="J946" s="75" t="inlineStr"/>
      <c r="K946" s="75" t="inlineStr">
        <is>
          <t>FT
IMPS/IFI/330621248872/CAMS/8199017149997</t>
        </is>
      </c>
      <c r="L946" s="75" t="inlineStr">
        <is>
          <t>Federal Bank (Jupiter)</t>
        </is>
      </c>
      <c r="M946" s="75" t="inlineStr"/>
    </row>
    <row r="947">
      <c r="A947" s="37" t="n">
        <v>45232</v>
      </c>
      <c r="B947" s="37" t="n">
        <v>45232</v>
      </c>
      <c r="C947" s="38" t="n">
        <v>25</v>
      </c>
      <c r="D947" s="38" t="n">
        <v>0</v>
      </c>
      <c r="E947" s="38" t="inlineStr"/>
      <c r="F947" s="38" t="inlineStr">
        <is>
          <t>UPI Payment</t>
        </is>
      </c>
      <c r="G947" s="25" t="n">
        <v>0.55</v>
      </c>
      <c r="H947" s="38" t="inlineStr">
        <is>
          <t>Personal</t>
        </is>
      </c>
      <c r="I947" s="38" t="inlineStr">
        <is>
          <t>FEDERAL 0847</t>
        </is>
      </c>
      <c r="J947" s="38" t="inlineStr"/>
      <c r="K947" s="38" t="inlineStr">
        <is>
          <t>UPIOUT/330668791954/Q664676942@ybl/Sent
via /8999</t>
        </is>
      </c>
      <c r="L947" s="38" t="inlineStr">
        <is>
          <t>Federal Bank (Jupiter)</t>
        </is>
      </c>
      <c r="M947" s="38" t="inlineStr"/>
    </row>
    <row r="948">
      <c r="A948" s="35" t="n">
        <v>45232</v>
      </c>
      <c r="B948" s="35" t="n">
        <v>45232</v>
      </c>
      <c r="C948" s="36" t="n">
        <v>90</v>
      </c>
      <c r="D948" s="36" t="n">
        <v>0</v>
      </c>
      <c r="E948" s="36" t="inlineStr"/>
      <c r="F948" s="36" t="inlineStr">
        <is>
          <t>UPI - Paytm</t>
        </is>
      </c>
      <c r="G948" s="34" t="n">
        <v>0.65</v>
      </c>
      <c r="H948" s="36" t="inlineStr">
        <is>
          <t>Personal</t>
        </is>
      </c>
      <c r="I948" s="36" t="inlineStr">
        <is>
          <t>FEDERAL 0847</t>
        </is>
      </c>
      <c r="J948" s="36" t="inlineStr"/>
      <c r="K948" s="36" t="inlineStr">
        <is>
          <t>UPIOUT/330667736470/paytmqrfmo9fujhwg@payt
m//5812</t>
        </is>
      </c>
      <c r="L948" s="36" t="inlineStr">
        <is>
          <t>Federal Bank (Jupiter)</t>
        </is>
      </c>
      <c r="M948" s="36" t="inlineStr"/>
    </row>
    <row r="949">
      <c r="A949" s="41" t="n">
        <v>45232</v>
      </c>
      <c r="B949" s="41" t="n">
        <v>45232</v>
      </c>
      <c r="C949" s="42" t="n">
        <v>39.53</v>
      </c>
      <c r="D949" s="42" t="n">
        <v>0</v>
      </c>
      <c r="E949" s="42" t="inlineStr"/>
      <c r="F949" s="42" t="inlineStr">
        <is>
          <t>HDFC Securities - Buy</t>
        </is>
      </c>
      <c r="G949" s="18" t="n">
        <v>0.97</v>
      </c>
      <c r="H949" s="42" t="inlineStr">
        <is>
          <t>HDFC Securities</t>
        </is>
      </c>
      <c r="I949" s="42" t="inlineStr">
        <is>
          <t>HDFC 5413</t>
        </is>
      </c>
      <c r="J949" s="42" t="inlineStr"/>
      <c r="K949" s="42" t="inlineStr">
        <is>
          <t>NET PI TO HSL SEC A/C 2554606-00602340029427</t>
        </is>
      </c>
      <c r="L949" s="42" t="inlineStr">
        <is>
          <t>HDFC Bank</t>
        </is>
      </c>
      <c r="M949" s="42" t="inlineStr"/>
    </row>
    <row r="950">
      <c r="A950" s="37" t="n">
        <v>45233</v>
      </c>
      <c r="B950" s="37" t="n">
        <v>45233</v>
      </c>
      <c r="C950" s="38" t="n">
        <v>20</v>
      </c>
      <c r="D950" s="38" t="n">
        <v>0</v>
      </c>
      <c r="E950" s="38" t="inlineStr"/>
      <c r="F950" s="38" t="inlineStr">
        <is>
          <t>UPI Payment</t>
        </is>
      </c>
      <c r="G950" s="25" t="n">
        <v>0.55</v>
      </c>
      <c r="H950" s="38" t="inlineStr">
        <is>
          <t>Personal</t>
        </is>
      </c>
      <c r="I950" s="38" t="inlineStr">
        <is>
          <t>FEDERAL 0847</t>
        </is>
      </c>
      <c r="J950" s="38" t="inlineStr"/>
      <c r="K950" s="38" t="inlineStr">
        <is>
          <t>UPIOUT/330794701468/9010397615@kotak/Sent
vi/0000</t>
        </is>
      </c>
      <c r="L950" s="38" t="inlineStr">
        <is>
          <t>Federal Bank (Jupiter)</t>
        </is>
      </c>
      <c r="M950" s="38" t="inlineStr"/>
    </row>
    <row r="951">
      <c r="A951" s="37" t="n">
        <v>45233</v>
      </c>
      <c r="B951" s="37" t="n">
        <v>45233</v>
      </c>
      <c r="C951" s="38" t="n">
        <v>1799</v>
      </c>
      <c r="D951" s="38" t="n">
        <v>0</v>
      </c>
      <c r="E951" s="38" t="inlineStr"/>
      <c r="F951" s="38" t="inlineStr">
        <is>
          <t>UPI Payment</t>
        </is>
      </c>
      <c r="G951" s="25" t="n">
        <v>0.55</v>
      </c>
      <c r="H951" s="38" t="inlineStr">
        <is>
          <t>Personal</t>
        </is>
      </c>
      <c r="I951" s="38" t="inlineStr">
        <is>
          <t>FEDERAL 0847</t>
        </is>
      </c>
      <c r="J951" s="38" t="inlineStr"/>
      <c r="K951" s="38" t="inlineStr">
        <is>
          <t>UPIOUT/330789256870/jupiterbillpay2@fbl/BB
PS/4814</t>
        </is>
      </c>
      <c r="L951" s="38" t="inlineStr">
        <is>
          <t>Federal Bank (Jupiter)</t>
        </is>
      </c>
      <c r="M951" s="38" t="inlineStr"/>
    </row>
    <row r="952">
      <c r="A952" s="35" t="n">
        <v>45233</v>
      </c>
      <c r="B952" s="35" t="n">
        <v>45233</v>
      </c>
      <c r="C952" s="36" t="n">
        <v>15</v>
      </c>
      <c r="D952" s="36" t="n">
        <v>0</v>
      </c>
      <c r="E952" s="36" t="inlineStr"/>
      <c r="F952" s="36" t="inlineStr">
        <is>
          <t>UPI - Paytm</t>
        </is>
      </c>
      <c r="G952" s="34" t="n">
        <v>0.65</v>
      </c>
      <c r="H952" s="36" t="inlineStr">
        <is>
          <t>Personal</t>
        </is>
      </c>
      <c r="I952" s="36" t="inlineStr">
        <is>
          <t>FEDERAL 0847</t>
        </is>
      </c>
      <c r="J952" s="36" t="inlineStr"/>
      <c r="K952" s="36" t="inlineStr">
        <is>
          <t>UPIOUT/330781019986/paytmqr1ox7m6rgyo@payt
m//5812</t>
        </is>
      </c>
      <c r="L952" s="36" t="inlineStr">
        <is>
          <t>Federal Bank (Jupiter)</t>
        </is>
      </c>
      <c r="M952" s="36" t="inlineStr"/>
    </row>
    <row r="953">
      <c r="A953" s="35" t="n">
        <v>45233</v>
      </c>
      <c r="B953" s="35" t="n">
        <v>45233</v>
      </c>
      <c r="C953" s="36" t="n">
        <v>35</v>
      </c>
      <c r="D953" s="36" t="n">
        <v>0</v>
      </c>
      <c r="E953" s="36" t="inlineStr"/>
      <c r="F953" s="36" t="inlineStr">
        <is>
          <t>UPI - Paytm</t>
        </is>
      </c>
      <c r="G953" s="34" t="n">
        <v>0.65</v>
      </c>
      <c r="H953" s="36" t="inlineStr">
        <is>
          <t>Personal</t>
        </is>
      </c>
      <c r="I953" s="36" t="inlineStr">
        <is>
          <t>FEDERAL 0847</t>
        </is>
      </c>
      <c r="J953" s="36" t="inlineStr"/>
      <c r="K953" s="36" t="inlineStr">
        <is>
          <t>UPIOUT/330780740709/paytmqry3eyiz8yp2@payt
m//5812</t>
        </is>
      </c>
      <c r="L953" s="36" t="inlineStr">
        <is>
          <t>Federal Bank (Jupiter)</t>
        </is>
      </c>
      <c r="M953" s="36" t="inlineStr"/>
    </row>
    <row r="954">
      <c r="A954" s="58" t="n">
        <v>45233</v>
      </c>
      <c r="B954" s="58" t="n">
        <v>45233</v>
      </c>
      <c r="C954" s="59" t="n">
        <v>100</v>
      </c>
      <c r="D954" s="59" t="n">
        <v>0</v>
      </c>
      <c r="E954" s="59" t="inlineStr"/>
      <c r="F954" s="59" t="inlineStr">
        <is>
          <t>MF Investment</t>
        </is>
      </c>
      <c r="G954" s="18" t="n">
        <v>0.88</v>
      </c>
      <c r="H954" s="59" t="inlineStr">
        <is>
          <t>Investments</t>
        </is>
      </c>
      <c r="I954" s="59" t="inlineStr">
        <is>
          <t>FEDERAL 0847</t>
        </is>
      </c>
      <c r="J954" s="59" t="inlineStr"/>
      <c r="K954" s="59" t="inlineStr">
        <is>
          <t>NFT/NEOSIEXEDDD2023110312352497782 NAVI
Mutual Fun</t>
        </is>
      </c>
      <c r="L954" s="59" t="inlineStr">
        <is>
          <t>Federal Bank (Jupiter)</t>
        </is>
      </c>
      <c r="M954" s="59" t="inlineStr"/>
    </row>
    <row r="955">
      <c r="A955" s="35" t="n">
        <v>45233</v>
      </c>
      <c r="B955" s="35" t="n">
        <v>45233</v>
      </c>
      <c r="C955" s="36" t="n">
        <v>30</v>
      </c>
      <c r="D955" s="36" t="n">
        <v>0</v>
      </c>
      <c r="E955" s="36" t="inlineStr"/>
      <c r="F955" s="36" t="inlineStr">
        <is>
          <t>UPI - Paytm</t>
        </is>
      </c>
      <c r="G955" s="34" t="n">
        <v>0.65</v>
      </c>
      <c r="H955" s="36" t="inlineStr">
        <is>
          <t>Personal</t>
        </is>
      </c>
      <c r="I955" s="36" t="inlineStr">
        <is>
          <t>FEDERAL 0847</t>
        </is>
      </c>
      <c r="J955" s="36" t="inlineStr"/>
      <c r="K955" s="36" t="inlineStr">
        <is>
          <t>UPIOUT/330713643429/paytmqruct2pt8f1w@payt
m//5462</t>
        </is>
      </c>
      <c r="L955" s="36" t="inlineStr">
        <is>
          <t>Federal Bank (Jupiter)</t>
        </is>
      </c>
      <c r="M955" s="36" t="inlineStr"/>
    </row>
    <row r="956">
      <c r="A956" s="35" t="n">
        <v>45233</v>
      </c>
      <c r="B956" s="35" t="n">
        <v>45233</v>
      </c>
      <c r="C956" s="36" t="n">
        <v>70</v>
      </c>
      <c r="D956" s="36" t="n">
        <v>0</v>
      </c>
      <c r="E956" s="36" t="inlineStr"/>
      <c r="F956" s="36" t="inlineStr">
        <is>
          <t>UPI - Paytm</t>
        </is>
      </c>
      <c r="G956" s="34" t="n">
        <v>0.65</v>
      </c>
      <c r="H956" s="36" t="inlineStr">
        <is>
          <t>Personal</t>
        </is>
      </c>
      <c r="I956" s="36" t="inlineStr">
        <is>
          <t>FEDERAL 0847</t>
        </is>
      </c>
      <c r="J956" s="36" t="inlineStr"/>
      <c r="K956" s="36" t="inlineStr">
        <is>
          <t>UPIOUT/330725397088/paytmqrfmo9fujhwg@payt
m//5812</t>
        </is>
      </c>
      <c r="L956" s="36" t="inlineStr">
        <is>
          <t>Federal Bank (Jupiter)</t>
        </is>
      </c>
      <c r="M956" s="36" t="inlineStr"/>
    </row>
    <row r="957">
      <c r="A957" s="93" t="n">
        <v>45233</v>
      </c>
      <c r="B957" s="93" t="n">
        <v>45233</v>
      </c>
      <c r="C957" s="94" t="n">
        <v>299</v>
      </c>
      <c r="D957" s="94" t="n">
        <v>0</v>
      </c>
      <c r="E957" s="94" t="inlineStr"/>
      <c r="F957" s="94" t="inlineStr">
        <is>
          <t>UPI - Google Pay</t>
        </is>
      </c>
      <c r="G957" s="34" t="n">
        <v>0.65</v>
      </c>
      <c r="H957" s="94" t="inlineStr">
        <is>
          <t>Personal</t>
        </is>
      </c>
      <c r="I957" s="94" t="inlineStr">
        <is>
          <t>FEDERAL 0847</t>
        </is>
      </c>
      <c r="J957" s="94" t="inlineStr"/>
      <c r="K957" s="94" t="inlineStr">
        <is>
          <t>UPIOUT/330768778963/euronetgpay.playrc@ici
ci/6540</t>
        </is>
      </c>
      <c r="L957" s="94" t="inlineStr">
        <is>
          <t>Federal Bank (Jupiter)</t>
        </is>
      </c>
      <c r="M957" s="94" t="inlineStr"/>
    </row>
    <row r="958">
      <c r="A958" s="91" t="n">
        <v>45233</v>
      </c>
      <c r="B958" s="91" t="n">
        <v>45233</v>
      </c>
      <c r="C958" s="92" t="n">
        <v>26.02</v>
      </c>
      <c r="D958" s="92" t="n">
        <v>0</v>
      </c>
      <c r="E958" s="92" t="inlineStr"/>
      <c r="F958" s="92" t="inlineStr">
        <is>
          <t>UPI - Uber</t>
        </is>
      </c>
      <c r="G958" s="34" t="n">
        <v>0.68</v>
      </c>
      <c r="H958" s="92" t="inlineStr">
        <is>
          <t>Transport</t>
        </is>
      </c>
      <c r="I958" s="92" t="inlineStr">
        <is>
          <t>FEDERAL 0847</t>
        </is>
      </c>
      <c r="J958" s="92" t="inlineStr"/>
      <c r="K958" s="92" t="inlineStr">
        <is>
          <t>UPIOUT/330786190449/uber@axisbank/charge/4
121</t>
        </is>
      </c>
      <c r="L958" s="92" t="inlineStr">
        <is>
          <t>Federal Bank (Jupiter)</t>
        </is>
      </c>
      <c r="M958" s="92" t="inlineStr"/>
    </row>
    <row r="959">
      <c r="A959" s="35" t="n">
        <v>45233</v>
      </c>
      <c r="B959" s="35" t="n">
        <v>45233</v>
      </c>
      <c r="C959" s="36" t="n">
        <v>25</v>
      </c>
      <c r="D959" s="36" t="n">
        <v>0</v>
      </c>
      <c r="E959" s="36" t="inlineStr"/>
      <c r="F959" s="36" t="inlineStr">
        <is>
          <t>UPI - Paytm</t>
        </is>
      </c>
      <c r="G959" s="34" t="n">
        <v>0.65</v>
      </c>
      <c r="H959" s="36" t="inlineStr">
        <is>
          <t>Personal</t>
        </is>
      </c>
      <c r="I959" s="36" t="inlineStr">
        <is>
          <t>FEDERAL 0847</t>
        </is>
      </c>
      <c r="J959" s="36" t="inlineStr"/>
      <c r="K959" s="36" t="inlineStr">
        <is>
          <t>UPIOUT/330726300240/paytmqr1pmo8nvizk@payt
m//5812</t>
        </is>
      </c>
      <c r="L959" s="36" t="inlineStr">
        <is>
          <t>Federal Bank (Jupiter)</t>
        </is>
      </c>
      <c r="M959" s="36" t="inlineStr"/>
    </row>
    <row r="960">
      <c r="A960" s="54" t="n">
        <v>45233</v>
      </c>
      <c r="B960" s="54" t="n">
        <v>45233</v>
      </c>
      <c r="C960" s="55" t="n">
        <v>0</v>
      </c>
      <c r="D960" s="55" t="n">
        <v>2837.4</v>
      </c>
      <c r="E960" s="55" t="inlineStr"/>
      <c r="F960" s="55" t="inlineStr">
        <is>
          <t>HDFC Securities - Sell</t>
        </is>
      </c>
      <c r="G960" s="18" t="n">
        <v>0.97</v>
      </c>
      <c r="H960" s="55" t="inlineStr">
        <is>
          <t>HDFC Securities</t>
        </is>
      </c>
      <c r="I960" s="55" t="inlineStr">
        <is>
          <t>HDFC 5413</t>
        </is>
      </c>
      <c r="J960" s="55" t="inlineStr"/>
      <c r="K960" s="55" t="inlineStr">
        <is>
          <t>NET PO FROM HSL A/C 2554606-50200085415108</t>
        </is>
      </c>
      <c r="L960" s="55" t="inlineStr">
        <is>
          <t>HDFC Bank</t>
        </is>
      </c>
      <c r="M960" s="55" t="inlineStr"/>
    </row>
    <row r="961">
      <c r="A961" s="41" t="n">
        <v>45233</v>
      </c>
      <c r="B961" s="41" t="n">
        <v>45233</v>
      </c>
      <c r="C961" s="42" t="n">
        <v>68.67</v>
      </c>
      <c r="D961" s="42" t="n">
        <v>0</v>
      </c>
      <c r="E961" s="42" t="inlineStr"/>
      <c r="F961" s="42" t="inlineStr">
        <is>
          <t>HDFC Securities - Buy</t>
        </is>
      </c>
      <c r="G961" s="18" t="n">
        <v>0.97</v>
      </c>
      <c r="H961" s="42" t="inlineStr">
        <is>
          <t>HDFC Securities</t>
        </is>
      </c>
      <c r="I961" s="42" t="inlineStr">
        <is>
          <t>HDFC 5413</t>
        </is>
      </c>
      <c r="J961" s="42" t="inlineStr"/>
      <c r="K961" s="42" t="inlineStr">
        <is>
          <t>NET PI TO HSL SEC A/C 2554606-00602340029427</t>
        </is>
      </c>
      <c r="L961" s="42" t="inlineStr">
        <is>
          <t>HDFC Bank</t>
        </is>
      </c>
      <c r="M961" s="42" t="inlineStr"/>
    </row>
    <row r="962">
      <c r="A962" s="54" t="n">
        <v>45233</v>
      </c>
      <c r="B962" s="54" t="n">
        <v>45233</v>
      </c>
      <c r="C962" s="55" t="n">
        <v>0</v>
      </c>
      <c r="D962" s="55" t="n">
        <v>14987.68</v>
      </c>
      <c r="E962" s="55" t="inlineStr"/>
      <c r="F962" s="55" t="inlineStr">
        <is>
          <t>HDFC Securities - Sell</t>
        </is>
      </c>
      <c r="G962" s="18" t="n">
        <v>0.97</v>
      </c>
      <c r="H962" s="55" t="inlineStr">
        <is>
          <t>HDFC Securities</t>
        </is>
      </c>
      <c r="I962" s="55" t="inlineStr">
        <is>
          <t>HDFC 5413</t>
        </is>
      </c>
      <c r="J962" s="55" t="inlineStr"/>
      <c r="K962" s="55" t="inlineStr">
        <is>
          <t>NET PO FROM HSL A/C 2554606-50200085415108</t>
        </is>
      </c>
      <c r="L962" s="55" t="inlineStr">
        <is>
          <t>HDFC Bank</t>
        </is>
      </c>
      <c r="M962" s="55" t="inlineStr"/>
    </row>
    <row r="963">
      <c r="A963" s="37" t="n">
        <v>45234</v>
      </c>
      <c r="B963" s="37" t="n">
        <v>45234</v>
      </c>
      <c r="C963" s="38" t="n">
        <v>239</v>
      </c>
      <c r="D963" s="38" t="n">
        <v>0</v>
      </c>
      <c r="E963" s="38" t="inlineStr"/>
      <c r="F963" s="38" t="inlineStr">
        <is>
          <t>UPI Payment</t>
        </is>
      </c>
      <c r="G963" s="25" t="n">
        <v>0.55</v>
      </c>
      <c r="H963" s="38" t="inlineStr">
        <is>
          <t>Personal</t>
        </is>
      </c>
      <c r="I963" s="38" t="inlineStr">
        <is>
          <t>FEDERAL 0847</t>
        </is>
      </c>
      <c r="J963" s="38" t="inlineStr"/>
      <c r="K963" s="38" t="inlineStr">
        <is>
          <t>UPIOUT/330875630315/jupiterbillpay2@fbl/BB
PS/4814</t>
        </is>
      </c>
      <c r="L963" s="38" t="inlineStr">
        <is>
          <t>Federal Bank (Jupiter)</t>
        </is>
      </c>
      <c r="M963" s="38" t="inlineStr"/>
    </row>
    <row r="964">
      <c r="A964" s="37" t="n">
        <v>45234</v>
      </c>
      <c r="B964" s="37" t="n">
        <v>45234</v>
      </c>
      <c r="C964" s="38" t="n">
        <v>50</v>
      </c>
      <c r="D964" s="38" t="n">
        <v>0</v>
      </c>
      <c r="E964" s="38" t="inlineStr"/>
      <c r="F964" s="38" t="inlineStr">
        <is>
          <t>UPI Payment</t>
        </is>
      </c>
      <c r="G964" s="25" t="n">
        <v>0.55</v>
      </c>
      <c r="H964" s="38" t="inlineStr">
        <is>
          <t>Personal</t>
        </is>
      </c>
      <c r="I964" s="38" t="inlineStr">
        <is>
          <t>FEDERAL 0847</t>
        </is>
      </c>
      <c r="J964" s="38" t="inlineStr"/>
      <c r="K964" s="38" t="inlineStr">
        <is>
          <t>UPIOUT/330855221836/8797652202@airtel/Pay
mo/0000</t>
        </is>
      </c>
      <c r="L964" s="38" t="inlineStr">
        <is>
          <t>Federal Bank (Jupiter)</t>
        </is>
      </c>
      <c r="M964" s="38" t="inlineStr"/>
    </row>
    <row r="965">
      <c r="A965" s="35" t="n">
        <v>45234</v>
      </c>
      <c r="B965" s="35" t="n">
        <v>45234</v>
      </c>
      <c r="C965" s="36" t="n">
        <v>255</v>
      </c>
      <c r="D965" s="36" t="n">
        <v>0</v>
      </c>
      <c r="E965" s="36" t="inlineStr"/>
      <c r="F965" s="36" t="inlineStr">
        <is>
          <t>UPI - Paytm</t>
        </is>
      </c>
      <c r="G965" s="34" t="n">
        <v>0.65</v>
      </c>
      <c r="H965" s="36" t="inlineStr">
        <is>
          <t>Personal</t>
        </is>
      </c>
      <c r="I965" s="36" t="inlineStr">
        <is>
          <t>FEDERAL 0847</t>
        </is>
      </c>
      <c r="J965" s="36" t="inlineStr"/>
      <c r="K965" s="36" t="inlineStr">
        <is>
          <t>UPIOUT/330851213069/paytmqrfmo9fujhwg@payt
m//5812</t>
        </is>
      </c>
      <c r="L965" s="36" t="inlineStr">
        <is>
          <t>Federal Bank (Jupiter)</t>
        </is>
      </c>
      <c r="M965" s="36" t="inlineStr"/>
    </row>
    <row r="966">
      <c r="A966" s="37" t="n">
        <v>45234</v>
      </c>
      <c r="B966" s="37" t="n">
        <v>45234</v>
      </c>
      <c r="C966" s="38" t="n">
        <v>45</v>
      </c>
      <c r="D966" s="38" t="n">
        <v>0</v>
      </c>
      <c r="E966" s="38" t="inlineStr"/>
      <c r="F966" s="38" t="inlineStr">
        <is>
          <t>UPI Payment</t>
        </is>
      </c>
      <c r="G966" s="25" t="n">
        <v>0.55</v>
      </c>
      <c r="H966" s="38" t="inlineStr">
        <is>
          <t>Personal</t>
        </is>
      </c>
      <c r="I966" s="38" t="inlineStr">
        <is>
          <t>FEDERAL 0847</t>
        </is>
      </c>
      <c r="J966" s="38" t="inlineStr"/>
      <c r="K966" s="38" t="inlineStr">
        <is>
          <t>UPIOUT/330842390729/Q614784165@ybl/Sent
via /5311</t>
        </is>
      </c>
      <c r="L966" s="38" t="inlineStr">
        <is>
          <t>Federal Bank (Jupiter)</t>
        </is>
      </c>
      <c r="M966" s="38" t="inlineStr"/>
    </row>
    <row r="967">
      <c r="A967" s="35" t="n">
        <v>45234</v>
      </c>
      <c r="B967" s="35" t="n">
        <v>45234</v>
      </c>
      <c r="C967" s="36" t="n">
        <v>279</v>
      </c>
      <c r="D967" s="36" t="n">
        <v>0</v>
      </c>
      <c r="E967" s="36" t="inlineStr"/>
      <c r="F967" s="36" t="inlineStr">
        <is>
          <t>UPI - Paytm</t>
        </is>
      </c>
      <c r="G967" s="34" t="n">
        <v>0.65</v>
      </c>
      <c r="H967" s="36" t="inlineStr">
        <is>
          <t>Personal</t>
        </is>
      </c>
      <c r="I967" s="36" t="inlineStr">
        <is>
          <t>FEDERAL 0847</t>
        </is>
      </c>
      <c r="J967" s="36" t="inlineStr"/>
      <c r="K967" s="36" t="inlineStr">
        <is>
          <t>UPIOUT/330842147758/paytmqr5me7ey4chy@payt
m//5411</t>
        </is>
      </c>
      <c r="L967" s="36" t="inlineStr">
        <is>
          <t>Federal Bank (Jupiter)</t>
        </is>
      </c>
      <c r="M967" s="36" t="inlineStr"/>
    </row>
    <row r="968">
      <c r="A968" s="23" t="n">
        <v>45234</v>
      </c>
      <c r="B968" s="23" t="n">
        <v>45234</v>
      </c>
      <c r="C968" s="24" t="n">
        <v>50</v>
      </c>
      <c r="D968" s="24" t="n">
        <v>0</v>
      </c>
      <c r="E968" s="24" t="inlineStr"/>
      <c r="F968" s="24" t="inlineStr">
        <is>
          <t>What is this?</t>
        </is>
      </c>
      <c r="G968" s="25" t="n">
        <v>0</v>
      </c>
      <c r="H968" s="24" t="inlineStr">
        <is>
          <t>Suspense</t>
        </is>
      </c>
      <c r="I968" s="24" t="inlineStr">
        <is>
          <t>FEDERAL 0847</t>
        </is>
      </c>
      <c r="J968" s="24" t="inlineStr"/>
      <c r="K968" s="24" t="inlineStr">
        <is>
          <t>NFT/NEONEFTTDDD2023110404084526215 NAVI
Mutual Fun</t>
        </is>
      </c>
      <c r="L968" s="24" t="inlineStr">
        <is>
          <t>Federal Bank (Jupiter)</t>
        </is>
      </c>
      <c r="M968" s="24" t="inlineStr"/>
    </row>
    <row r="969">
      <c r="A969" s="35" t="n">
        <v>45234</v>
      </c>
      <c r="B969" s="35" t="n">
        <v>45234</v>
      </c>
      <c r="C969" s="36" t="n">
        <v>70</v>
      </c>
      <c r="D969" s="36" t="n">
        <v>0</v>
      </c>
      <c r="E969" s="36" t="inlineStr"/>
      <c r="F969" s="36" t="inlineStr">
        <is>
          <t>UPI - Paytm</t>
        </is>
      </c>
      <c r="G969" s="34" t="n">
        <v>0.65</v>
      </c>
      <c r="H969" s="36" t="inlineStr">
        <is>
          <t>Personal</t>
        </is>
      </c>
      <c r="I969" s="36" t="inlineStr">
        <is>
          <t>FEDERAL 0847</t>
        </is>
      </c>
      <c r="J969" s="36" t="inlineStr"/>
      <c r="K969" s="36" t="inlineStr">
        <is>
          <t>UPIOUT/330835730483/paytmqrfmo9fujhwg@payt
m//5812</t>
        </is>
      </c>
      <c r="L969" s="36" t="inlineStr">
        <is>
          <t>Federal Bank (Jupiter)</t>
        </is>
      </c>
      <c r="M969" s="36" t="inlineStr"/>
    </row>
    <row r="970">
      <c r="A970" s="58" t="n">
        <v>45234</v>
      </c>
      <c r="B970" s="58" t="n">
        <v>45234</v>
      </c>
      <c r="C970" s="59" t="n">
        <v>100</v>
      </c>
      <c r="D970" s="59" t="n">
        <v>0</v>
      </c>
      <c r="E970" s="59" t="inlineStr"/>
      <c r="F970" s="59" t="inlineStr">
        <is>
          <t>MF Investment</t>
        </is>
      </c>
      <c r="G970" s="18" t="n">
        <v>0.88</v>
      </c>
      <c r="H970" s="59" t="inlineStr">
        <is>
          <t>Investments</t>
        </is>
      </c>
      <c r="I970" s="59" t="inlineStr">
        <is>
          <t>FEDERAL 0847</t>
        </is>
      </c>
      <c r="J970" s="59" t="inlineStr"/>
      <c r="K970" s="59" t="inlineStr">
        <is>
          <t>NFT/NEOSIEXEDDD2023110412361582270 NAVI
Mutual Fun</t>
        </is>
      </c>
      <c r="L970" s="59" t="inlineStr">
        <is>
          <t>Federal Bank (Jupiter)</t>
        </is>
      </c>
      <c r="M970" s="59" t="inlineStr"/>
    </row>
    <row r="971">
      <c r="A971" s="41" t="n">
        <v>45235</v>
      </c>
      <c r="B971" s="41" t="n">
        <v>45235</v>
      </c>
      <c r="C971" s="42" t="n">
        <v>0</v>
      </c>
      <c r="D971" s="42" t="n">
        <v>30000</v>
      </c>
      <c r="E971" s="42" t="inlineStr"/>
      <c r="F971" s="42" t="inlineStr">
        <is>
          <t>Contra - Axis</t>
        </is>
      </c>
      <c r="G971" s="18" t="n">
        <v>0.9</v>
      </c>
      <c r="H971" s="42" t="inlineStr">
        <is>
          <t>AXIS</t>
        </is>
      </c>
      <c r="I971" s="42" t="inlineStr">
        <is>
          <t>HDFC 5413</t>
        </is>
      </c>
      <c r="J971" s="42" t="inlineStr"/>
      <c r="K971" s="42" t="inlineStr">
        <is>
          <t>NEFT CR-UTIB0002656-AAYUSH KUMAR GUPTA-AAYUSH KUMAR GUPTA-AXOIR33099676704</t>
        </is>
      </c>
      <c r="L971" s="42" t="inlineStr">
        <is>
          <t>HDFC Bank</t>
        </is>
      </c>
      <c r="M971" s="42" t="inlineStr"/>
    </row>
    <row r="972">
      <c r="A972" s="58" t="n">
        <v>45235</v>
      </c>
      <c r="B972" s="58" t="n">
        <v>45235</v>
      </c>
      <c r="C972" s="59" t="n">
        <v>100</v>
      </c>
      <c r="D972" s="59" t="n">
        <v>0</v>
      </c>
      <c r="E972" s="59" t="inlineStr"/>
      <c r="F972" s="59" t="inlineStr">
        <is>
          <t>MF Investment</t>
        </is>
      </c>
      <c r="G972" s="18" t="n">
        <v>0.88</v>
      </c>
      <c r="H972" s="59" t="inlineStr">
        <is>
          <t>Investments</t>
        </is>
      </c>
      <c r="I972" s="59" t="inlineStr">
        <is>
          <t>FEDERAL 0847</t>
        </is>
      </c>
      <c r="J972" s="59" t="inlineStr"/>
      <c r="K972" s="59" t="inlineStr">
        <is>
          <t>NFT/NEOSIEXEDDD2023110512514962764 NAVI
Mutual Fun</t>
        </is>
      </c>
      <c r="L972" s="59" t="inlineStr">
        <is>
          <t>Federal Bank (Jupiter)</t>
        </is>
      </c>
      <c r="M972" s="59" t="inlineStr"/>
    </row>
    <row r="973">
      <c r="A973" s="41" t="n">
        <v>45235</v>
      </c>
      <c r="B973" s="41" t="n">
        <v>45235</v>
      </c>
      <c r="C973" s="42" t="n">
        <v>30000</v>
      </c>
      <c r="D973" s="42" t="n">
        <v>0</v>
      </c>
      <c r="E973" s="42" t="inlineStr"/>
      <c r="F973" s="42" t="inlineStr">
        <is>
          <t>Contra - Axis</t>
        </is>
      </c>
      <c r="G973" s="18" t="n">
        <v>0.9</v>
      </c>
      <c r="H973" s="42" t="inlineStr">
        <is>
          <t>AXIS</t>
        </is>
      </c>
      <c r="I973" s="42" t="inlineStr">
        <is>
          <t>AXIS</t>
        </is>
      </c>
      <c r="J973" s="42" t="inlineStr"/>
      <c r="K973" s="42" t="inlineStr">
        <is>
          <t>NEFT/IR/AXOIR33099676704/Aayush Kumar Gupta/HDFC BANK/Transfer fom Aayush Axis</t>
        </is>
      </c>
      <c r="L973" s="42" t="inlineStr">
        <is>
          <t>Axis Bank</t>
        </is>
      </c>
      <c r="M973" s="42" t="inlineStr"/>
    </row>
    <row r="974">
      <c r="A974" s="37" t="n">
        <v>45235</v>
      </c>
      <c r="B974" s="37" t="n">
        <v>45235</v>
      </c>
      <c r="C974" s="38" t="n">
        <v>30</v>
      </c>
      <c r="D974" s="38" t="n">
        <v>0</v>
      </c>
      <c r="E974" s="38" t="inlineStr"/>
      <c r="F974" s="38" t="inlineStr">
        <is>
          <t>UPI Payment</t>
        </is>
      </c>
      <c r="G974" s="25" t="n">
        <v>0.55</v>
      </c>
      <c r="H974" s="38" t="inlineStr">
        <is>
          <t>Personal</t>
        </is>
      </c>
      <c r="I974" s="38" t="inlineStr">
        <is>
          <t>FEDERAL 0847</t>
        </is>
      </c>
      <c r="J974" s="38" t="inlineStr"/>
      <c r="K974" s="38" t="inlineStr">
        <is>
          <t>UPIOUT/330927069828/Q917893938@ybl/Sent
via /5814</t>
        </is>
      </c>
      <c r="L974" s="38" t="inlineStr">
        <is>
          <t>Federal Bank (Jupiter)</t>
        </is>
      </c>
      <c r="M974" s="38" t="inlineStr"/>
    </row>
    <row r="975">
      <c r="A975" s="54" t="n">
        <v>45236</v>
      </c>
      <c r="B975" s="54" t="n">
        <v>45236</v>
      </c>
      <c r="C975" s="55" t="n">
        <v>0</v>
      </c>
      <c r="D975" s="55" t="n">
        <v>1324.43</v>
      </c>
      <c r="E975" s="55" t="inlineStr"/>
      <c r="F975" s="55" t="inlineStr">
        <is>
          <t>HDFC Securities - Sell</t>
        </is>
      </c>
      <c r="G975" s="18" t="n">
        <v>0.97</v>
      </c>
      <c r="H975" s="55" t="inlineStr">
        <is>
          <t>HDFC Securities</t>
        </is>
      </c>
      <c r="I975" s="55" t="inlineStr">
        <is>
          <t>HDFC 5413</t>
        </is>
      </c>
      <c r="J975" s="55" t="inlineStr"/>
      <c r="K975" s="55" t="inlineStr">
        <is>
          <t>NET PO FROM HSL A/C 2554606-50200085415108</t>
        </is>
      </c>
      <c r="L975" s="55" t="inlineStr">
        <is>
          <t>HDFC Bank</t>
        </is>
      </c>
      <c r="M975" s="55" t="inlineStr"/>
    </row>
    <row r="976">
      <c r="A976" s="58" t="n">
        <v>45236</v>
      </c>
      <c r="B976" s="58" t="n">
        <v>45236</v>
      </c>
      <c r="C976" s="59" t="n">
        <v>100</v>
      </c>
      <c r="D976" s="59" t="n">
        <v>0</v>
      </c>
      <c r="E976" s="59" t="inlineStr"/>
      <c r="F976" s="59" t="inlineStr">
        <is>
          <t>MF Investment</t>
        </is>
      </c>
      <c r="G976" s="18" t="n">
        <v>0.88</v>
      </c>
      <c r="H976" s="59" t="inlineStr">
        <is>
          <t>Investments</t>
        </is>
      </c>
      <c r="I976" s="59" t="inlineStr">
        <is>
          <t>FEDERAL 0847</t>
        </is>
      </c>
      <c r="J976" s="59" t="inlineStr"/>
      <c r="K976" s="59" t="inlineStr">
        <is>
          <t>NFT/NEOSIEXEDDD2023110612374928984 NAVI
Mutual Fun</t>
        </is>
      </c>
      <c r="L976" s="59" t="inlineStr">
        <is>
          <t>Federal Bank (Jupiter)</t>
        </is>
      </c>
      <c r="M976" s="59" t="inlineStr"/>
    </row>
    <row r="977">
      <c r="A977" s="41" t="n">
        <v>45236</v>
      </c>
      <c r="B977" s="41" t="n">
        <v>45236</v>
      </c>
      <c r="C977" s="42" t="n">
        <v>225.45</v>
      </c>
      <c r="D977" s="42" t="n">
        <v>0</v>
      </c>
      <c r="E977" s="42" t="inlineStr"/>
      <c r="F977" s="42" t="inlineStr">
        <is>
          <t>HDFC Securities - Buy</t>
        </is>
      </c>
      <c r="G977" s="18" t="n">
        <v>0.97</v>
      </c>
      <c r="H977" s="42" t="inlineStr">
        <is>
          <t>HDFC Securities</t>
        </is>
      </c>
      <c r="I977" s="42" t="inlineStr">
        <is>
          <t>HDFC 5413</t>
        </is>
      </c>
      <c r="J977" s="42" t="inlineStr"/>
      <c r="K977" s="42" t="inlineStr">
        <is>
          <t>NET PI TO HSL SEC A/C 2554606-00602340029427</t>
        </is>
      </c>
      <c r="L977" s="42" t="inlineStr">
        <is>
          <t>HDFC Bank</t>
        </is>
      </c>
      <c r="M977" s="42" t="inlineStr"/>
    </row>
    <row r="978">
      <c r="A978" s="64" t="n">
        <v>45236</v>
      </c>
      <c r="B978" s="64" t="n">
        <v>45236</v>
      </c>
      <c r="C978" s="65" t="n">
        <v>0</v>
      </c>
      <c r="D978" s="65" t="n">
        <v>660</v>
      </c>
      <c r="E978" s="65" t="inlineStr"/>
      <c r="F978" s="65" t="inlineStr">
        <is>
          <t>Dividend Income</t>
        </is>
      </c>
      <c r="G978" s="18" t="n">
        <v>0.85</v>
      </c>
      <c r="H978" s="65" t="inlineStr">
        <is>
          <t>Dividend Income</t>
        </is>
      </c>
      <c r="I978" s="65" t="inlineStr">
        <is>
          <t>HDFC 5413</t>
        </is>
      </c>
      <c r="J978" s="65" t="inlineStr"/>
      <c r="K978" s="65" t="inlineStr">
        <is>
          <t>0611104786 LTIMINDTREE LIMITED INT DIV 2</t>
        </is>
      </c>
      <c r="L978" s="65" t="inlineStr">
        <is>
          <t>HDFC Bank</t>
        </is>
      </c>
      <c r="M978" s="65" t="inlineStr"/>
    </row>
    <row r="979">
      <c r="A979" s="64" t="n">
        <v>45236</v>
      </c>
      <c r="B979" s="64" t="n">
        <v>45236</v>
      </c>
      <c r="C979" s="65" t="n">
        <v>0</v>
      </c>
      <c r="D979" s="65" t="n">
        <v>450</v>
      </c>
      <c r="E979" s="65" t="inlineStr"/>
      <c r="F979" s="65" t="inlineStr">
        <is>
          <t>Dividend Income</t>
        </is>
      </c>
      <c r="G979" s="18" t="n">
        <v>0.88</v>
      </c>
      <c r="H979" s="65" t="inlineStr">
        <is>
          <t>Dividend Income</t>
        </is>
      </c>
      <c r="I979" s="65" t="inlineStr">
        <is>
          <t>HDFC 5413</t>
        </is>
      </c>
      <c r="J979" s="65" t="inlineStr"/>
      <c r="K979" s="65" t="inlineStr">
        <is>
          <t>ACH C- INFOSYS LIMITED-38356468</t>
        </is>
      </c>
      <c r="L979" s="65" t="inlineStr">
        <is>
          <t>HDFC Bank</t>
        </is>
      </c>
      <c r="M979" s="65" t="inlineStr"/>
    </row>
    <row r="980">
      <c r="A980" s="41" t="n">
        <v>45236</v>
      </c>
      <c r="B980" s="41" t="n">
        <v>45236</v>
      </c>
      <c r="C980" s="42" t="n">
        <v>42899.1</v>
      </c>
      <c r="D980" s="42" t="n">
        <v>0</v>
      </c>
      <c r="E980" s="42" t="inlineStr"/>
      <c r="F980" s="42" t="inlineStr">
        <is>
          <t>HDFC Securities - Buy</t>
        </is>
      </c>
      <c r="G980" s="18" t="n">
        <v>0.97</v>
      </c>
      <c r="H980" s="42" t="inlineStr">
        <is>
          <t>HDFC Securities</t>
        </is>
      </c>
      <c r="I980" s="42" t="inlineStr">
        <is>
          <t>HDFC 5413</t>
        </is>
      </c>
      <c r="J980" s="42" t="inlineStr"/>
      <c r="K980" s="42" t="inlineStr">
        <is>
          <t>NET PI TO HSL SEC A/C 2554606-00602340029427</t>
        </is>
      </c>
      <c r="L980" s="42" t="inlineStr">
        <is>
          <t>HDFC Bank</t>
        </is>
      </c>
      <c r="M980" s="42" t="inlineStr"/>
    </row>
    <row r="981">
      <c r="A981" s="54" t="n">
        <v>45236</v>
      </c>
      <c r="B981" s="54" t="n">
        <v>45236</v>
      </c>
      <c r="C981" s="55" t="n">
        <v>0</v>
      </c>
      <c r="D981" s="55" t="n">
        <v>9526.77</v>
      </c>
      <c r="E981" s="55" t="inlineStr"/>
      <c r="F981" s="55" t="inlineStr">
        <is>
          <t>HDFC Securities - Sell</t>
        </is>
      </c>
      <c r="G981" s="18" t="n">
        <v>0.97</v>
      </c>
      <c r="H981" s="55" t="inlineStr">
        <is>
          <t>HDFC Securities</t>
        </is>
      </c>
      <c r="I981" s="55" t="inlineStr">
        <is>
          <t>HDFC 5413</t>
        </is>
      </c>
      <c r="J981" s="55" t="inlineStr"/>
      <c r="K981" s="55" t="inlineStr">
        <is>
          <t>NET PO FROM HSL A/C 2554606-50200085415108</t>
        </is>
      </c>
      <c r="L981" s="55" t="inlineStr">
        <is>
          <t>HDFC Bank</t>
        </is>
      </c>
      <c r="M981" s="55" t="inlineStr"/>
    </row>
    <row r="982">
      <c r="A982" s="41" t="n">
        <v>45237</v>
      </c>
      <c r="B982" s="41" t="n">
        <v>45237</v>
      </c>
      <c r="C982" s="42" t="n">
        <v>414.74</v>
      </c>
      <c r="D982" s="42" t="n">
        <v>0</v>
      </c>
      <c r="E982" s="42" t="inlineStr"/>
      <c r="F982" s="42" t="inlineStr">
        <is>
          <t>HDFC Securities - Buy</t>
        </is>
      </c>
      <c r="G982" s="18" t="n">
        <v>0.97</v>
      </c>
      <c r="H982" s="42" t="inlineStr">
        <is>
          <t>HDFC Securities</t>
        </is>
      </c>
      <c r="I982" s="42" t="inlineStr">
        <is>
          <t>HDFC 5413</t>
        </is>
      </c>
      <c r="J982" s="42" t="inlineStr"/>
      <c r="K982" s="42" t="inlineStr">
        <is>
          <t>NET PI TO HSL SEC A/C 2554606-00602340029427</t>
        </is>
      </c>
      <c r="L982" s="42" t="inlineStr">
        <is>
          <t>HDFC Bank</t>
        </is>
      </c>
      <c r="M982" s="42" t="inlineStr"/>
    </row>
    <row r="983">
      <c r="A983" s="35" t="n">
        <v>45237</v>
      </c>
      <c r="B983" s="35" t="n">
        <v>45237</v>
      </c>
      <c r="C983" s="36" t="n">
        <v>20</v>
      </c>
      <c r="D983" s="36" t="n">
        <v>0</v>
      </c>
      <c r="E983" s="36" t="inlineStr"/>
      <c r="F983" s="36" t="inlineStr">
        <is>
          <t>UPI - Paytm</t>
        </is>
      </c>
      <c r="G983" s="34" t="n">
        <v>0.65</v>
      </c>
      <c r="H983" s="36" t="inlineStr">
        <is>
          <t>Personal</t>
        </is>
      </c>
      <c r="I983" s="36" t="inlineStr">
        <is>
          <t>FEDERAL 0847</t>
        </is>
      </c>
      <c r="J983" s="36" t="inlineStr"/>
      <c r="K983" s="36" t="inlineStr">
        <is>
          <t>UPIOUT/331111354771/paytmqr1lam17volq@payt
m//5812</t>
        </is>
      </c>
      <c r="L983" s="36" t="inlineStr">
        <is>
          <t>Federal Bank (Jupiter)</t>
        </is>
      </c>
      <c r="M983" s="36" t="inlineStr"/>
    </row>
    <row r="984">
      <c r="A984" s="41" t="n">
        <v>45237</v>
      </c>
      <c r="B984" s="41" t="n">
        <v>45237</v>
      </c>
      <c r="C984" s="42" t="n">
        <v>8223.719999999999</v>
      </c>
      <c r="D984" s="42" t="n">
        <v>0</v>
      </c>
      <c r="E984" s="42" t="inlineStr"/>
      <c r="F984" s="42" t="inlineStr">
        <is>
          <t>HDFC Securities - Buy</t>
        </is>
      </c>
      <c r="G984" s="18" t="n">
        <v>0.97</v>
      </c>
      <c r="H984" s="42" t="inlineStr">
        <is>
          <t>HDFC Securities</t>
        </is>
      </c>
      <c r="I984" s="42" t="inlineStr">
        <is>
          <t>HDFC 5413</t>
        </is>
      </c>
      <c r="J984" s="42" t="inlineStr"/>
      <c r="K984" s="42" t="inlineStr">
        <is>
          <t>NET PI TO HSL SEC A/C 2554606-00602340029427</t>
        </is>
      </c>
      <c r="L984" s="42" t="inlineStr">
        <is>
          <t>HDFC Bank</t>
        </is>
      </c>
      <c r="M984" s="42" t="inlineStr"/>
    </row>
    <row r="985">
      <c r="A985" s="64" t="n">
        <v>45237</v>
      </c>
      <c r="B985" s="64" t="n">
        <v>45237</v>
      </c>
      <c r="C985" s="65" t="n">
        <v>0</v>
      </c>
      <c r="D985" s="65" t="n">
        <v>189</v>
      </c>
      <c r="E985" s="65" t="inlineStr"/>
      <c r="F985" s="65" t="inlineStr">
        <is>
          <t>Dividend Income</t>
        </is>
      </c>
      <c r="G985" s="18" t="n">
        <v>0.88</v>
      </c>
      <c r="H985" s="65" t="inlineStr">
        <is>
          <t>Dividend Income</t>
        </is>
      </c>
      <c r="I985" s="65" t="inlineStr">
        <is>
          <t>HDFC 5413</t>
        </is>
      </c>
      <c r="J985" s="65" t="inlineStr"/>
      <c r="K985" s="65" t="inlineStr">
        <is>
          <t>ACH C- TCS2NDINTDIV071123-1911711</t>
        </is>
      </c>
      <c r="L985" s="65" t="inlineStr">
        <is>
          <t>HDFC Bank</t>
        </is>
      </c>
      <c r="M985" s="65" t="inlineStr"/>
    </row>
    <row r="986">
      <c r="A986" s="58" t="n">
        <v>45237</v>
      </c>
      <c r="B986" s="58" t="n">
        <v>45237</v>
      </c>
      <c r="C986" s="59" t="n">
        <v>100</v>
      </c>
      <c r="D986" s="59" t="n">
        <v>0</v>
      </c>
      <c r="E986" s="59" t="inlineStr"/>
      <c r="F986" s="59" t="inlineStr">
        <is>
          <t>MF Investment</t>
        </is>
      </c>
      <c r="G986" s="18" t="n">
        <v>0.88</v>
      </c>
      <c r="H986" s="59" t="inlineStr">
        <is>
          <t>Investments</t>
        </is>
      </c>
      <c r="I986" s="59" t="inlineStr">
        <is>
          <t>FEDERAL 0847</t>
        </is>
      </c>
      <c r="J986" s="59" t="inlineStr"/>
      <c r="K986" s="59" t="inlineStr">
        <is>
          <t>NFT/NEOSIEXEDDD2023110712362153715 NAVI
Mutual Fun</t>
        </is>
      </c>
      <c r="L986" s="59" t="inlineStr">
        <is>
          <t>Federal Bank (Jupiter)</t>
        </is>
      </c>
      <c r="M986" s="59" t="inlineStr"/>
    </row>
    <row r="987">
      <c r="A987" s="37" t="n">
        <v>45237</v>
      </c>
      <c r="B987" s="37" t="n">
        <v>45237</v>
      </c>
      <c r="C987" s="38" t="n">
        <v>28</v>
      </c>
      <c r="D987" s="38" t="n">
        <v>0</v>
      </c>
      <c r="E987" s="38" t="inlineStr"/>
      <c r="F987" s="38" t="inlineStr">
        <is>
          <t>UPI Payment</t>
        </is>
      </c>
      <c r="G987" s="25" t="n">
        <v>0.55</v>
      </c>
      <c r="H987" s="38" t="inlineStr">
        <is>
          <t>Personal</t>
        </is>
      </c>
      <c r="I987" s="38" t="inlineStr">
        <is>
          <t>FEDERAL 0847</t>
        </is>
      </c>
      <c r="J987" s="38" t="inlineStr"/>
      <c r="K987" s="38" t="inlineStr">
        <is>
          <t>UPIOUT/331196009475/pittalkarunakar-1@okhd
fc/0000</t>
        </is>
      </c>
      <c r="L987" s="38" t="inlineStr">
        <is>
          <t>Federal Bank (Jupiter)</t>
        </is>
      </c>
      <c r="M987" s="38" t="inlineStr"/>
    </row>
    <row r="988">
      <c r="A988" s="35" t="n">
        <v>45237</v>
      </c>
      <c r="B988" s="35" t="n">
        <v>45237</v>
      </c>
      <c r="C988" s="36" t="n">
        <v>24</v>
      </c>
      <c r="D988" s="36" t="n">
        <v>0</v>
      </c>
      <c r="E988" s="36" t="inlineStr"/>
      <c r="F988" s="36" t="inlineStr">
        <is>
          <t>UPI - Paytm</t>
        </is>
      </c>
      <c r="G988" s="34" t="n">
        <v>0.65</v>
      </c>
      <c r="H988" s="36" t="inlineStr">
        <is>
          <t>Personal</t>
        </is>
      </c>
      <c r="I988" s="36" t="inlineStr">
        <is>
          <t>FEDERAL 0847</t>
        </is>
      </c>
      <c r="J988" s="36" t="inlineStr"/>
      <c r="K988" s="36" t="inlineStr">
        <is>
          <t>UPIOUT/331110542501/paytmqry3eyiz8yp2@payt
m//5812</t>
        </is>
      </c>
      <c r="L988" s="36" t="inlineStr">
        <is>
          <t>Federal Bank (Jupiter)</t>
        </is>
      </c>
      <c r="M988" s="36" t="inlineStr"/>
    </row>
    <row r="989">
      <c r="A989" s="54" t="n">
        <v>45237</v>
      </c>
      <c r="B989" s="54" t="n">
        <v>45237</v>
      </c>
      <c r="C989" s="55" t="n">
        <v>0</v>
      </c>
      <c r="D989" s="55" t="n">
        <v>6342.6</v>
      </c>
      <c r="E989" s="55" t="inlineStr"/>
      <c r="F989" s="55" t="inlineStr">
        <is>
          <t>HDFC Securities - Sell</t>
        </is>
      </c>
      <c r="G989" s="18" t="n">
        <v>0.97</v>
      </c>
      <c r="H989" s="55" t="inlineStr">
        <is>
          <t>HDFC Securities</t>
        </is>
      </c>
      <c r="I989" s="55" t="inlineStr">
        <is>
          <t>HDFC 5413</t>
        </is>
      </c>
      <c r="J989" s="55" t="inlineStr"/>
      <c r="K989" s="55" t="inlineStr">
        <is>
          <t>NET PO FROM HSL A/C 2554606-50200085415108</t>
        </is>
      </c>
      <c r="L989" s="55" t="inlineStr">
        <is>
          <t>HDFC Bank</t>
        </is>
      </c>
      <c r="M989" s="55" t="inlineStr"/>
    </row>
    <row r="990">
      <c r="A990" s="41" t="n">
        <v>45237</v>
      </c>
      <c r="B990" s="41" t="n">
        <v>45237</v>
      </c>
      <c r="C990" s="42" t="n">
        <v>60.78</v>
      </c>
      <c r="D990" s="42" t="n">
        <v>0</v>
      </c>
      <c r="E990" s="42" t="inlineStr"/>
      <c r="F990" s="42" t="inlineStr">
        <is>
          <t>HDFC Securities - Buy</t>
        </is>
      </c>
      <c r="G990" s="18" t="n">
        <v>0.97</v>
      </c>
      <c r="H990" s="42" t="inlineStr">
        <is>
          <t>HDFC Securities</t>
        </is>
      </c>
      <c r="I990" s="42" t="inlineStr">
        <is>
          <t>HDFC 5413</t>
        </is>
      </c>
      <c r="J990" s="42" t="inlineStr"/>
      <c r="K990" s="42" t="inlineStr">
        <is>
          <t>NET PI TO HSL SEC A/C 2554606-00602340029427</t>
        </is>
      </c>
      <c r="L990" s="42" t="inlineStr">
        <is>
          <t>HDFC Bank</t>
        </is>
      </c>
      <c r="M990" s="42" t="inlineStr"/>
    </row>
    <row r="991">
      <c r="A991" s="23" t="n">
        <v>45237</v>
      </c>
      <c r="B991" s="23" t="n">
        <v>45237</v>
      </c>
      <c r="C991" s="24" t="n">
        <v>0</v>
      </c>
      <c r="D991" s="24" t="n">
        <v>1880</v>
      </c>
      <c r="E991" s="24" t="inlineStr"/>
      <c r="F991" s="24" t="inlineStr">
        <is>
          <t>What is this?</t>
        </is>
      </c>
      <c r="G991" s="25" t="n">
        <v>0</v>
      </c>
      <c r="H991" s="24" t="inlineStr">
        <is>
          <t>Suspense</t>
        </is>
      </c>
      <c r="I991" s="24" t="inlineStr">
        <is>
          <t>HDFC 5413</t>
        </is>
      </c>
      <c r="J991" s="24" t="inlineStr"/>
      <c r="K991" s="24" t="inlineStr">
        <is>
          <t>00602300000434-024470371</t>
        </is>
      </c>
      <c r="L991" s="24" t="inlineStr">
        <is>
          <t>HDFC Bank</t>
        </is>
      </c>
      <c r="M991" s="24" t="inlineStr"/>
    </row>
    <row r="992">
      <c r="A992" s="58" t="n">
        <v>45238</v>
      </c>
      <c r="B992" s="58" t="n">
        <v>45238</v>
      </c>
      <c r="C992" s="59" t="n">
        <v>100</v>
      </c>
      <c r="D992" s="59" t="n">
        <v>0</v>
      </c>
      <c r="E992" s="59" t="inlineStr"/>
      <c r="F992" s="59" t="inlineStr">
        <is>
          <t>MF Investment</t>
        </is>
      </c>
      <c r="G992" s="18" t="n">
        <v>0.88</v>
      </c>
      <c r="H992" s="59" t="inlineStr">
        <is>
          <t>Investments</t>
        </is>
      </c>
      <c r="I992" s="59" t="inlineStr">
        <is>
          <t>FEDERAL 0847</t>
        </is>
      </c>
      <c r="J992" s="59" t="inlineStr"/>
      <c r="K992" s="59" t="inlineStr">
        <is>
          <t>NFT/NEOSIEXEDDD2023110812363765766 NAVI
Mutual Fun</t>
        </is>
      </c>
      <c r="L992" s="59" t="inlineStr">
        <is>
          <t>Federal Bank (Jupiter)</t>
        </is>
      </c>
      <c r="M992" s="59" t="inlineStr"/>
    </row>
    <row r="993">
      <c r="A993" s="35" t="n">
        <v>45238</v>
      </c>
      <c r="B993" s="35" t="n">
        <v>45238</v>
      </c>
      <c r="C993" s="36" t="n">
        <v>35</v>
      </c>
      <c r="D993" s="36" t="n">
        <v>0</v>
      </c>
      <c r="E993" s="36" t="inlineStr"/>
      <c r="F993" s="36" t="inlineStr">
        <is>
          <t>UPI - Paytm</t>
        </is>
      </c>
      <c r="G993" s="34" t="n">
        <v>0.65</v>
      </c>
      <c r="H993" s="36" t="inlineStr">
        <is>
          <t>Personal</t>
        </is>
      </c>
      <c r="I993" s="36" t="inlineStr">
        <is>
          <t>FEDERAL 0847</t>
        </is>
      </c>
      <c r="J993" s="36" t="inlineStr"/>
      <c r="K993" s="36" t="inlineStr">
        <is>
          <t>UPIOUT/331228317453/paytmqr2810050501011dp
bh/5812</t>
        </is>
      </c>
      <c r="L993" s="36" t="inlineStr">
        <is>
          <t>Federal Bank (Jupiter)</t>
        </is>
      </c>
      <c r="M993" s="36" t="inlineStr"/>
    </row>
    <row r="994">
      <c r="A994" s="35" t="n">
        <v>45238</v>
      </c>
      <c r="B994" s="35" t="n">
        <v>45238</v>
      </c>
      <c r="C994" s="36" t="n">
        <v>20</v>
      </c>
      <c r="D994" s="36" t="n">
        <v>0</v>
      </c>
      <c r="E994" s="36" t="inlineStr"/>
      <c r="F994" s="36" t="inlineStr">
        <is>
          <t>UPI - Paytm</t>
        </is>
      </c>
      <c r="G994" s="34" t="n">
        <v>0.65</v>
      </c>
      <c r="H994" s="36" t="inlineStr">
        <is>
          <t>Personal</t>
        </is>
      </c>
      <c r="I994" s="36" t="inlineStr">
        <is>
          <t>FEDERAL 0847</t>
        </is>
      </c>
      <c r="J994" s="36" t="inlineStr"/>
      <c r="K994" s="36" t="inlineStr">
        <is>
          <t>UPIOUT/331228466445/paytmqrfmo9fujhwg@payt
m//5812</t>
        </is>
      </c>
      <c r="L994" s="36" t="inlineStr">
        <is>
          <t>Federal Bank (Jupiter)</t>
        </is>
      </c>
      <c r="M994" s="36" t="inlineStr"/>
    </row>
    <row r="995">
      <c r="A995" s="35" t="n">
        <v>45238</v>
      </c>
      <c r="B995" s="35" t="n">
        <v>45238</v>
      </c>
      <c r="C995" s="36" t="n">
        <v>23</v>
      </c>
      <c r="D995" s="36" t="n">
        <v>0</v>
      </c>
      <c r="E995" s="36" t="inlineStr"/>
      <c r="F995" s="36" t="inlineStr">
        <is>
          <t>UPI - Paytm</t>
        </is>
      </c>
      <c r="G995" s="34" t="n">
        <v>0.65</v>
      </c>
      <c r="H995" s="36" t="inlineStr">
        <is>
          <t>Personal</t>
        </is>
      </c>
      <c r="I995" s="36" t="inlineStr">
        <is>
          <t>FEDERAL 0847</t>
        </is>
      </c>
      <c r="J995" s="36" t="inlineStr"/>
      <c r="K995" s="36" t="inlineStr">
        <is>
          <t>UPIOUT/331252186883/paytm-76881028@paytm/S
en/4121</t>
        </is>
      </c>
      <c r="L995" s="36" t="inlineStr">
        <is>
          <t>Federal Bank (Jupiter)</t>
        </is>
      </c>
      <c r="M995" s="36" t="inlineStr"/>
    </row>
    <row r="996">
      <c r="A996" s="35" t="n">
        <v>45238</v>
      </c>
      <c r="B996" s="35" t="n">
        <v>45238</v>
      </c>
      <c r="C996" s="36" t="n">
        <v>50</v>
      </c>
      <c r="D996" s="36" t="n">
        <v>0</v>
      </c>
      <c r="E996" s="36" t="inlineStr"/>
      <c r="F996" s="36" t="inlineStr">
        <is>
          <t>UPI - Paytm</t>
        </is>
      </c>
      <c r="G996" s="34" t="n">
        <v>0.65</v>
      </c>
      <c r="H996" s="36" t="inlineStr">
        <is>
          <t>Personal</t>
        </is>
      </c>
      <c r="I996" s="36" t="inlineStr">
        <is>
          <t>FEDERAL 0847</t>
        </is>
      </c>
      <c r="J996" s="36" t="inlineStr"/>
      <c r="K996" s="36" t="inlineStr">
        <is>
          <t>UPIOUT/331252968093/paytmqr17hgjzxr2t@payt
m//5814</t>
        </is>
      </c>
      <c r="L996" s="36" t="inlineStr">
        <is>
          <t>Federal Bank (Jupiter)</t>
        </is>
      </c>
      <c r="M996" s="36" t="inlineStr"/>
    </row>
    <row r="997">
      <c r="A997" s="97" t="n">
        <v>45238</v>
      </c>
      <c r="B997" s="97" t="n">
        <v>45238</v>
      </c>
      <c r="C997" s="98" t="n">
        <v>336</v>
      </c>
      <c r="D997" s="98" t="n">
        <v>0</v>
      </c>
      <c r="E997" s="98" t="inlineStr"/>
      <c r="F997" s="98" t="inlineStr">
        <is>
          <t>UPI - Swiggy</t>
        </is>
      </c>
      <c r="G997" s="34" t="n">
        <v>0.68</v>
      </c>
      <c r="H997" s="98" t="inlineStr">
        <is>
          <t>Food &amp; Dining</t>
        </is>
      </c>
      <c r="I997" s="98" t="inlineStr">
        <is>
          <t>FEDERAL 0847</t>
        </is>
      </c>
      <c r="J997" s="98" t="inlineStr"/>
      <c r="K997" s="98" t="inlineStr">
        <is>
          <t>UPIOUT/367810083396/swiggy@yespay/Debit
Mone/5812</t>
        </is>
      </c>
      <c r="L997" s="98" t="inlineStr">
        <is>
          <t>Federal Bank (Jupiter)</t>
        </is>
      </c>
      <c r="M997" s="98" t="inlineStr"/>
    </row>
    <row r="998">
      <c r="A998" s="37" t="n">
        <v>45238</v>
      </c>
      <c r="B998" s="37" t="n">
        <v>45238</v>
      </c>
      <c r="C998" s="38" t="n">
        <v>50</v>
      </c>
      <c r="D998" s="38" t="n">
        <v>0</v>
      </c>
      <c r="E998" s="38" t="inlineStr"/>
      <c r="F998" s="38" t="inlineStr">
        <is>
          <t>UPI Payment</t>
        </is>
      </c>
      <c r="G998" s="25" t="n">
        <v>0.55</v>
      </c>
      <c r="H998" s="38" t="inlineStr">
        <is>
          <t>Personal</t>
        </is>
      </c>
      <c r="I998" s="38" t="inlineStr">
        <is>
          <t>FEDERAL 0847</t>
        </is>
      </c>
      <c r="J998" s="38" t="inlineStr"/>
      <c r="K998" s="38" t="inlineStr">
        <is>
          <t>UPIOUT/331254617948/8797652202@airtel/Pay
mo/0000</t>
        </is>
      </c>
      <c r="L998" s="38" t="inlineStr">
        <is>
          <t>Federal Bank (Jupiter)</t>
        </is>
      </c>
      <c r="M998" s="38" t="inlineStr"/>
    </row>
    <row r="999">
      <c r="A999" s="41" t="n">
        <v>45238</v>
      </c>
      <c r="B999" s="41" t="n">
        <v>45238</v>
      </c>
      <c r="C999" s="42" t="n">
        <v>17091.83</v>
      </c>
      <c r="D999" s="42" t="n">
        <v>0</v>
      </c>
      <c r="E999" s="42" t="inlineStr"/>
      <c r="F999" s="42" t="inlineStr">
        <is>
          <t>HDFC Securities - Buy</t>
        </is>
      </c>
      <c r="G999" s="18" t="n">
        <v>0.97</v>
      </c>
      <c r="H999" s="42" t="inlineStr">
        <is>
          <t>HDFC Securities</t>
        </is>
      </c>
      <c r="I999" s="42" t="inlineStr">
        <is>
          <t>HDFC 5413</t>
        </is>
      </c>
      <c r="J999" s="42" t="inlineStr"/>
      <c r="K999" s="42" t="inlineStr">
        <is>
          <t>NET PI TO HSL SEC A/C 2554606-00602340029427</t>
        </is>
      </c>
      <c r="L999" s="42" t="inlineStr">
        <is>
          <t>HDFC Bank</t>
        </is>
      </c>
      <c r="M999" s="42" t="inlineStr"/>
    </row>
    <row r="1000">
      <c r="A1000" s="41" t="n">
        <v>45238</v>
      </c>
      <c r="B1000" s="41" t="n">
        <v>45238</v>
      </c>
      <c r="C1000" s="42" t="n">
        <v>56.74</v>
      </c>
      <c r="D1000" s="42" t="n">
        <v>0</v>
      </c>
      <c r="E1000" s="42" t="inlineStr"/>
      <c r="F1000" s="42" t="inlineStr">
        <is>
          <t>HDFC Securities - Buy</t>
        </is>
      </c>
      <c r="G1000" s="18" t="n">
        <v>0.97</v>
      </c>
      <c r="H1000" s="42" t="inlineStr">
        <is>
          <t>HDFC Securities</t>
        </is>
      </c>
      <c r="I1000" s="42" t="inlineStr">
        <is>
          <t>HDFC 5413</t>
        </is>
      </c>
      <c r="J1000" s="42" t="inlineStr"/>
      <c r="K1000" s="42" t="inlineStr">
        <is>
          <t>NET PI TO HSL SEC A/C 2554606-00602340029427</t>
        </is>
      </c>
      <c r="L1000" s="42" t="inlineStr">
        <is>
          <t>HDFC Bank</t>
        </is>
      </c>
      <c r="M1000" s="42" t="inlineStr"/>
    </row>
    <row r="1001">
      <c r="A1001" s="21" t="n">
        <v>45239</v>
      </c>
      <c r="B1001" s="21" t="n">
        <v>45239</v>
      </c>
      <c r="C1001" s="22" t="n">
        <v>983.95</v>
      </c>
      <c r="D1001" s="22" t="n">
        <v>0</v>
      </c>
      <c r="E1001" s="22" t="inlineStr"/>
      <c r="F1001" s="22" t="inlineStr">
        <is>
          <t>UPI - IRCTC</t>
        </is>
      </c>
      <c r="G1001" s="18" t="n">
        <v>0.88</v>
      </c>
      <c r="H1001" s="22" t="inlineStr">
        <is>
          <t>Travel</t>
        </is>
      </c>
      <c r="I1001" s="22" t="inlineStr">
        <is>
          <t>FEDERAL 0847</t>
        </is>
      </c>
      <c r="J1001" s="22" t="inlineStr"/>
      <c r="K1001" s="22" t="inlineStr">
        <is>
          <t>UPIOUT/367923024587/paytm-
irctcapp@paytm/Oid/4011</t>
        </is>
      </c>
      <c r="L1001" s="22" t="inlineStr">
        <is>
          <t>Federal Bank (Jupiter)</t>
        </is>
      </c>
      <c r="M1001" s="22" t="inlineStr"/>
    </row>
    <row r="1002">
      <c r="A1002" s="37" t="n">
        <v>45239</v>
      </c>
      <c r="B1002" s="37" t="n">
        <v>45239</v>
      </c>
      <c r="C1002" s="38" t="n">
        <v>340</v>
      </c>
      <c r="D1002" s="38" t="n">
        <v>0</v>
      </c>
      <c r="E1002" s="38" t="inlineStr"/>
      <c r="F1002" s="38" t="inlineStr">
        <is>
          <t>UPI Payment</t>
        </is>
      </c>
      <c r="G1002" s="25" t="n">
        <v>0.55</v>
      </c>
      <c r="H1002" s="38" t="inlineStr">
        <is>
          <t>Personal</t>
        </is>
      </c>
      <c r="I1002" s="38" t="inlineStr">
        <is>
          <t>FEDERAL 0847</t>
        </is>
      </c>
      <c r="J1002" s="38" t="inlineStr"/>
      <c r="K1002" s="38" t="inlineStr">
        <is>
          <t>UPIOUT/331310457657/6281052278@ibl/Sent
via /0000</t>
        </is>
      </c>
      <c r="L1002" s="38" t="inlineStr">
        <is>
          <t>Federal Bank (Jupiter)</t>
        </is>
      </c>
      <c r="M1002" s="38" t="inlineStr"/>
    </row>
    <row r="1003">
      <c r="A1003" s="41" t="n">
        <v>45239</v>
      </c>
      <c r="B1003" s="41" t="n">
        <v>45239</v>
      </c>
      <c r="C1003" s="42" t="n">
        <v>1653.99</v>
      </c>
      <c r="D1003" s="42" t="n">
        <v>0</v>
      </c>
      <c r="E1003" s="42" t="inlineStr"/>
      <c r="F1003" s="42" t="inlineStr">
        <is>
          <t>HDFC Securities - Buy</t>
        </is>
      </c>
      <c r="G1003" s="18" t="n">
        <v>0.97</v>
      </c>
      <c r="H1003" s="42" t="inlineStr">
        <is>
          <t>HDFC Securities</t>
        </is>
      </c>
      <c r="I1003" s="42" t="inlineStr">
        <is>
          <t>HDFC 5413</t>
        </is>
      </c>
      <c r="J1003" s="42" t="inlineStr"/>
      <c r="K1003" s="42" t="inlineStr">
        <is>
          <t>NET PI TO HSL SEC A/C 2554606-00602340029427</t>
        </is>
      </c>
      <c r="L1003" s="42" t="inlineStr">
        <is>
          <t>HDFC Bank</t>
        </is>
      </c>
      <c r="M1003" s="42" t="inlineStr"/>
    </row>
    <row r="1004">
      <c r="A1004" s="41" t="n">
        <v>45239</v>
      </c>
      <c r="B1004" s="41" t="n">
        <v>45239</v>
      </c>
      <c r="C1004" s="42" t="n">
        <v>50.65</v>
      </c>
      <c r="D1004" s="42" t="n">
        <v>0</v>
      </c>
      <c r="E1004" s="42" t="inlineStr"/>
      <c r="F1004" s="42" t="inlineStr">
        <is>
          <t>HDFC Securities - Buy</t>
        </is>
      </c>
      <c r="G1004" s="18" t="n">
        <v>0.97</v>
      </c>
      <c r="H1004" s="42" t="inlineStr">
        <is>
          <t>HDFC Securities</t>
        </is>
      </c>
      <c r="I1004" s="42" t="inlineStr">
        <is>
          <t>HDFC 5413</t>
        </is>
      </c>
      <c r="J1004" s="42" t="inlineStr"/>
      <c r="K1004" s="42" t="inlineStr">
        <is>
          <t>NET PI TO HSL SEC A/C 2554606-00602340029427</t>
        </is>
      </c>
      <c r="L1004" s="42" t="inlineStr">
        <is>
          <t>HDFC Bank</t>
        </is>
      </c>
      <c r="M1004" s="42" t="inlineStr"/>
    </row>
    <row r="1005">
      <c r="A1005" s="54" t="n">
        <v>45239</v>
      </c>
      <c r="B1005" s="54" t="n">
        <v>45239</v>
      </c>
      <c r="C1005" s="55" t="n">
        <v>0</v>
      </c>
      <c r="D1005" s="55" t="n">
        <v>13493.54</v>
      </c>
      <c r="E1005" s="55" t="inlineStr"/>
      <c r="F1005" s="55" t="inlineStr">
        <is>
          <t>HDFC Securities - Sell</t>
        </is>
      </c>
      <c r="G1005" s="18" t="n">
        <v>0.97</v>
      </c>
      <c r="H1005" s="55" t="inlineStr">
        <is>
          <t>HDFC Securities</t>
        </is>
      </c>
      <c r="I1005" s="55" t="inlineStr">
        <is>
          <t>HDFC 5413</t>
        </is>
      </c>
      <c r="J1005" s="55" t="inlineStr"/>
      <c r="K1005" s="55" t="inlineStr">
        <is>
          <t>NET PO FROM HSL A/C 2554606-50200085415108</t>
        </is>
      </c>
      <c r="L1005" s="55" t="inlineStr">
        <is>
          <t>HDFC Bank</t>
        </is>
      </c>
      <c r="M1005" s="55" t="inlineStr"/>
    </row>
    <row r="1006">
      <c r="A1006" s="35" t="n">
        <v>45239</v>
      </c>
      <c r="B1006" s="35" t="n">
        <v>45239</v>
      </c>
      <c r="C1006" s="36" t="n">
        <v>100</v>
      </c>
      <c r="D1006" s="36" t="n">
        <v>0</v>
      </c>
      <c r="E1006" s="36" t="inlineStr"/>
      <c r="F1006" s="36" t="inlineStr">
        <is>
          <t>UPI - Paytm</t>
        </is>
      </c>
      <c r="G1006" s="34" t="n">
        <v>0.65</v>
      </c>
      <c r="H1006" s="36" t="inlineStr">
        <is>
          <t>Personal</t>
        </is>
      </c>
      <c r="I1006" s="36" t="inlineStr">
        <is>
          <t>FEDERAL 0847</t>
        </is>
      </c>
      <c r="J1006" s="36" t="inlineStr"/>
      <c r="K1006" s="36" t="inlineStr">
        <is>
          <t>UPIOUT/331376399582/paytmqrfmo9fujhwg@payt
m//5812</t>
        </is>
      </c>
      <c r="L1006" s="36" t="inlineStr">
        <is>
          <t>Federal Bank (Jupiter)</t>
        </is>
      </c>
      <c r="M1006" s="36" t="inlineStr"/>
    </row>
    <row r="1007">
      <c r="A1007" s="21" t="n">
        <v>45239</v>
      </c>
      <c r="B1007" s="21" t="n">
        <v>45239</v>
      </c>
      <c r="C1007" s="22" t="n">
        <v>202</v>
      </c>
      <c r="D1007" s="22" t="n">
        <v>0</v>
      </c>
      <c r="E1007" s="22" t="inlineStr"/>
      <c r="F1007" s="22" t="inlineStr">
        <is>
          <t>UPI - Rapido</t>
        </is>
      </c>
      <c r="G1007" s="34" t="n">
        <v>0.68</v>
      </c>
      <c r="H1007" s="22" t="inlineStr">
        <is>
          <t>Transport</t>
        </is>
      </c>
      <c r="I1007" s="22" t="inlineStr">
        <is>
          <t>FEDERAL 0847</t>
        </is>
      </c>
      <c r="J1007" s="22" t="inlineStr"/>
      <c r="K1007" s="22" t="inlineStr">
        <is>
          <t>UPIOUT/331396767216/rapido.rzp@axisbank/Re
ch/4214</t>
        </is>
      </c>
      <c r="L1007" s="22" t="inlineStr">
        <is>
          <t>Federal Bank (Jupiter)</t>
        </is>
      </c>
      <c r="M1007" s="22" t="inlineStr"/>
    </row>
    <row r="1008">
      <c r="A1008" s="58" t="n">
        <v>45239</v>
      </c>
      <c r="B1008" s="58" t="n">
        <v>45239</v>
      </c>
      <c r="C1008" s="59" t="n">
        <v>100</v>
      </c>
      <c r="D1008" s="59" t="n">
        <v>0</v>
      </c>
      <c r="E1008" s="59" t="inlineStr"/>
      <c r="F1008" s="59" t="inlineStr">
        <is>
          <t>MF Investment</t>
        </is>
      </c>
      <c r="G1008" s="18" t="n">
        <v>0.88</v>
      </c>
      <c r="H1008" s="59" t="inlineStr">
        <is>
          <t>Investments</t>
        </is>
      </c>
      <c r="I1008" s="59" t="inlineStr">
        <is>
          <t>FEDERAL 0847</t>
        </is>
      </c>
      <c r="J1008" s="59" t="inlineStr"/>
      <c r="K1008" s="59" t="inlineStr">
        <is>
          <t>NFT/NEOSIEXEDDD2023110912363337554 NAVI
Mutual Fun</t>
        </is>
      </c>
      <c r="L1008" s="59" t="inlineStr">
        <is>
          <t>Federal Bank (Jupiter)</t>
        </is>
      </c>
      <c r="M1008" s="59" t="inlineStr"/>
    </row>
    <row r="1009">
      <c r="A1009" s="41" t="n">
        <v>45240</v>
      </c>
      <c r="B1009" s="41" t="n">
        <v>45240</v>
      </c>
      <c r="C1009" s="42" t="n">
        <v>63.78</v>
      </c>
      <c r="D1009" s="42" t="n">
        <v>0</v>
      </c>
      <c r="E1009" s="42" t="inlineStr"/>
      <c r="F1009" s="42" t="inlineStr">
        <is>
          <t>HDFC Securities - Buy</t>
        </is>
      </c>
      <c r="G1009" s="18" t="n">
        <v>0.97</v>
      </c>
      <c r="H1009" s="42" t="inlineStr">
        <is>
          <t>HDFC Securities</t>
        </is>
      </c>
      <c r="I1009" s="42" t="inlineStr">
        <is>
          <t>HDFC 5413</t>
        </is>
      </c>
      <c r="J1009" s="42" t="inlineStr"/>
      <c r="K1009" s="42" t="inlineStr">
        <is>
          <t>NET PI TO HSL SEC A/C 2554606-00602340029427</t>
        </is>
      </c>
      <c r="L1009" s="42" t="inlineStr">
        <is>
          <t>HDFC Bank</t>
        </is>
      </c>
      <c r="M1009" s="42" t="inlineStr"/>
    </row>
    <row r="1010">
      <c r="A1010" s="54" t="n">
        <v>45240</v>
      </c>
      <c r="B1010" s="54" t="n">
        <v>45240</v>
      </c>
      <c r="C1010" s="55" t="n">
        <v>0</v>
      </c>
      <c r="D1010" s="55" t="n">
        <v>21125.9</v>
      </c>
      <c r="E1010" s="55" t="inlineStr"/>
      <c r="F1010" s="55" t="inlineStr">
        <is>
          <t>HDFC Securities - Sell</t>
        </is>
      </c>
      <c r="G1010" s="18" t="n">
        <v>0.97</v>
      </c>
      <c r="H1010" s="55" t="inlineStr">
        <is>
          <t>HDFC Securities</t>
        </is>
      </c>
      <c r="I1010" s="55" t="inlineStr">
        <is>
          <t>HDFC 5413</t>
        </is>
      </c>
      <c r="J1010" s="55" t="inlineStr"/>
      <c r="K1010" s="55" t="inlineStr">
        <is>
          <t>NET PO FROM HSL A/C 2554606-50200085415108</t>
        </is>
      </c>
      <c r="L1010" s="55" t="inlineStr">
        <is>
          <t>HDFC Bank</t>
        </is>
      </c>
      <c r="M1010" s="55" t="inlineStr"/>
    </row>
    <row r="1011">
      <c r="A1011" s="19" t="n">
        <v>45240</v>
      </c>
      <c r="B1011" s="19" t="n">
        <v>45240</v>
      </c>
      <c r="C1011" s="20" t="n">
        <v>295</v>
      </c>
      <c r="D1011" s="20" t="n">
        <v>0</v>
      </c>
      <c r="E1011" s="20" t="inlineStr"/>
      <c r="F1011" s="20" t="inlineStr">
        <is>
          <t>Bank Charges</t>
        </is>
      </c>
      <c r="G1011" s="18" t="n">
        <v>0.9</v>
      </c>
      <c r="H1011" s="20" t="inlineStr">
        <is>
          <t>Bank Charges</t>
        </is>
      </c>
      <c r="I1011" s="20" t="inlineStr">
        <is>
          <t>HDFC 5413</t>
        </is>
      </c>
      <c r="J1011" s="20" t="inlineStr"/>
      <c r="K1011" s="20" t="inlineStr">
        <is>
          <t>ISAQMC-APR-JUN23-417944 031023-MIR2431348541703</t>
        </is>
      </c>
      <c r="L1011" s="20" t="inlineStr">
        <is>
          <t>HDFC Bank</t>
        </is>
      </c>
      <c r="M1011" s="20" t="inlineStr"/>
    </row>
    <row r="1012">
      <c r="A1012" s="19" t="n">
        <v>45240</v>
      </c>
      <c r="B1012" s="19" t="n">
        <v>45240</v>
      </c>
      <c r="C1012" s="20" t="n">
        <v>12.28</v>
      </c>
      <c r="D1012" s="20" t="n">
        <v>0</v>
      </c>
      <c r="E1012" s="20" t="inlineStr"/>
      <c r="F1012" s="20" t="inlineStr">
        <is>
          <t>Bank Charges</t>
        </is>
      </c>
      <c r="G1012" s="18" t="n">
        <v>0.9</v>
      </c>
      <c r="H1012" s="20" t="inlineStr">
        <is>
          <t>Bank Charges</t>
        </is>
      </c>
      <c r="I1012" s="20" t="inlineStr">
        <is>
          <t>HDFC 5413</t>
        </is>
      </c>
      <c r="J1012" s="20" t="inlineStr"/>
      <c r="K1012" s="20" t="inlineStr">
        <is>
          <t>JULSEP23 INSTAALERTCHG 52 SMS 031023-MIR2431348541726</t>
        </is>
      </c>
      <c r="L1012" s="20" t="inlineStr">
        <is>
          <t>HDFC Bank</t>
        </is>
      </c>
      <c r="M1012" s="20" t="inlineStr"/>
    </row>
    <row r="1013">
      <c r="A1013" s="58" t="n">
        <v>45240</v>
      </c>
      <c r="B1013" s="58" t="n">
        <v>45240</v>
      </c>
      <c r="C1013" s="59" t="n">
        <v>100</v>
      </c>
      <c r="D1013" s="59" t="n">
        <v>0</v>
      </c>
      <c r="E1013" s="59" t="inlineStr"/>
      <c r="F1013" s="59" t="inlineStr">
        <is>
          <t>MF Investment</t>
        </is>
      </c>
      <c r="G1013" s="18" t="n">
        <v>0.88</v>
      </c>
      <c r="H1013" s="59" t="inlineStr">
        <is>
          <t>Investments</t>
        </is>
      </c>
      <c r="I1013" s="59" t="inlineStr">
        <is>
          <t>FEDERAL 0847</t>
        </is>
      </c>
      <c r="J1013" s="59" t="inlineStr"/>
      <c r="K1013" s="59" t="inlineStr">
        <is>
          <t>NFT/NEOSIEXEDDD2023111012362651292 NAVI
Mutual Fun</t>
        </is>
      </c>
      <c r="L1013" s="59" t="inlineStr">
        <is>
          <t>Federal Bank (Jupiter)</t>
        </is>
      </c>
      <c r="M1013" s="59" t="inlineStr"/>
    </row>
    <row r="1014">
      <c r="A1014" s="21" t="n">
        <v>45240</v>
      </c>
      <c r="B1014" s="21" t="n">
        <v>45240</v>
      </c>
      <c r="C1014" s="22" t="n">
        <v>102.15</v>
      </c>
      <c r="D1014" s="22" t="n">
        <v>0</v>
      </c>
      <c r="E1014" s="22" t="inlineStr"/>
      <c r="F1014" s="22" t="inlineStr">
        <is>
          <t>UPI - IRCTC</t>
        </is>
      </c>
      <c r="G1014" s="18" t="n">
        <v>0.88</v>
      </c>
      <c r="H1014" s="22" t="inlineStr">
        <is>
          <t>Travel</t>
        </is>
      </c>
      <c r="I1014" s="22" t="inlineStr">
        <is>
          <t>FEDERAL 0847</t>
        </is>
      </c>
      <c r="J1014" s="22" t="inlineStr"/>
      <c r="K1014" s="22" t="inlineStr">
        <is>
          <t>UPIOUT/331402784766/paytm-
irctcapp@paytm/Oid/4011</t>
        </is>
      </c>
      <c r="L1014" s="22" t="inlineStr">
        <is>
          <t>Federal Bank (Jupiter)</t>
        </is>
      </c>
      <c r="M1014" s="22" t="inlineStr"/>
    </row>
    <row r="1015">
      <c r="A1015" s="41" t="n">
        <v>45240</v>
      </c>
      <c r="B1015" s="41" t="n">
        <v>45240</v>
      </c>
      <c r="C1015" s="42" t="n">
        <v>464.7</v>
      </c>
      <c r="D1015" s="42" t="n">
        <v>0</v>
      </c>
      <c r="E1015" s="42" t="inlineStr"/>
      <c r="F1015" s="42" t="inlineStr">
        <is>
          <t>HDFC Securities - Buy</t>
        </is>
      </c>
      <c r="G1015" s="18" t="n">
        <v>0.97</v>
      </c>
      <c r="H1015" s="42" t="inlineStr">
        <is>
          <t>HDFC Securities</t>
        </is>
      </c>
      <c r="I1015" s="42" t="inlineStr">
        <is>
          <t>HDFC 5413</t>
        </is>
      </c>
      <c r="J1015" s="42" t="inlineStr"/>
      <c r="K1015" s="42" t="inlineStr">
        <is>
          <t>NET PI TO HSL SEC A/C 2554606-00602340029427</t>
        </is>
      </c>
      <c r="L1015" s="42" t="inlineStr">
        <is>
          <t>HDFC Bank</t>
        </is>
      </c>
      <c r="M1015" s="42" t="inlineStr"/>
    </row>
    <row r="1016">
      <c r="A1016" s="58" t="n">
        <v>45241</v>
      </c>
      <c r="B1016" s="58" t="n">
        <v>45241</v>
      </c>
      <c r="C1016" s="59" t="n">
        <v>100</v>
      </c>
      <c r="D1016" s="59" t="n">
        <v>0</v>
      </c>
      <c r="E1016" s="59" t="inlineStr"/>
      <c r="F1016" s="59" t="inlineStr">
        <is>
          <t>MF Investment</t>
        </is>
      </c>
      <c r="G1016" s="18" t="n">
        <v>0.88</v>
      </c>
      <c r="H1016" s="59" t="inlineStr">
        <is>
          <t>Investments</t>
        </is>
      </c>
      <c r="I1016" s="59" t="inlineStr">
        <is>
          <t>FEDERAL 0847</t>
        </is>
      </c>
      <c r="J1016" s="59" t="inlineStr"/>
      <c r="K1016" s="59" t="inlineStr">
        <is>
          <t>NFT/NEOSIEXEDDD2023111112350979960 NAVI
Mutual Fun</t>
        </is>
      </c>
      <c r="L1016" s="59" t="inlineStr">
        <is>
          <t>Federal Bank (Jupiter)</t>
        </is>
      </c>
      <c r="M1016" s="59" t="inlineStr"/>
    </row>
    <row r="1017">
      <c r="A1017" s="21" t="n">
        <v>45241</v>
      </c>
      <c r="B1017" s="21" t="n">
        <v>45241</v>
      </c>
      <c r="C1017" s="22" t="n">
        <v>72.15000000000001</v>
      </c>
      <c r="D1017" s="22" t="n">
        <v>0</v>
      </c>
      <c r="E1017" s="22" t="inlineStr"/>
      <c r="F1017" s="22" t="inlineStr">
        <is>
          <t>UPI - IRCTC</t>
        </is>
      </c>
      <c r="G1017" s="18" t="n">
        <v>0.88</v>
      </c>
      <c r="H1017" s="22" t="inlineStr">
        <is>
          <t>Travel</t>
        </is>
      </c>
      <c r="I1017" s="22" t="inlineStr">
        <is>
          <t>FEDERAL 0847</t>
        </is>
      </c>
      <c r="J1017" s="22" t="inlineStr"/>
      <c r="K1017" s="22" t="inlineStr">
        <is>
          <t>UPIOUT/331538213140/paytm-
irctcapp@paytm/Oid/4011</t>
        </is>
      </c>
      <c r="L1017" s="22" t="inlineStr">
        <is>
          <t>Federal Bank (Jupiter)</t>
        </is>
      </c>
      <c r="M1017" s="22" t="inlineStr"/>
    </row>
    <row r="1018">
      <c r="A1018" s="21" t="n">
        <v>45241</v>
      </c>
      <c r="B1018" s="21" t="n">
        <v>45242</v>
      </c>
      <c r="C1018" s="22" t="n">
        <v>0</v>
      </c>
      <c r="D1018" s="22" t="n">
        <v>295</v>
      </c>
      <c r="E1018" s="22" t="inlineStr"/>
      <c r="F1018" s="22" t="inlineStr">
        <is>
          <t>UPI - IRCTC</t>
        </is>
      </c>
      <c r="G1018" s="34" t="n">
        <v>0.68</v>
      </c>
      <c r="H1018" s="22" t="inlineStr">
        <is>
          <t>Travel</t>
        </is>
      </c>
      <c r="I1018" s="22" t="inlineStr">
        <is>
          <t>FEDERAL 0847</t>
        </is>
      </c>
      <c r="J1018" s="22" t="inlineStr"/>
      <c r="K1018" s="22" t="inlineStr">
        <is>
          <t>UPI IN/331619684203/irctc.cf@hdfcbank/UPI
Re/0000</t>
        </is>
      </c>
      <c r="L1018" s="22" t="inlineStr">
        <is>
          <t>Federal Bank (Jupiter)</t>
        </is>
      </c>
      <c r="M1018" s="22" t="inlineStr"/>
    </row>
    <row r="1019">
      <c r="A1019" s="58" t="n">
        <v>45242</v>
      </c>
      <c r="B1019" s="58" t="n">
        <v>45242</v>
      </c>
      <c r="C1019" s="59" t="n">
        <v>100</v>
      </c>
      <c r="D1019" s="59" t="n">
        <v>0</v>
      </c>
      <c r="E1019" s="59" t="inlineStr"/>
      <c r="F1019" s="59" t="inlineStr">
        <is>
          <t>MF Investment</t>
        </is>
      </c>
      <c r="G1019" s="18" t="n">
        <v>0.88</v>
      </c>
      <c r="H1019" s="59" t="inlineStr">
        <is>
          <t>Investments</t>
        </is>
      </c>
      <c r="I1019" s="59" t="inlineStr">
        <is>
          <t>FEDERAL 0847</t>
        </is>
      </c>
      <c r="J1019" s="59" t="inlineStr"/>
      <c r="K1019" s="59" t="inlineStr">
        <is>
          <t>NFT/NEOSIEXEDDD2023111212363920385 NAVI
Mutual Fun</t>
        </is>
      </c>
      <c r="L1019" s="59" t="inlineStr">
        <is>
          <t>Federal Bank (Jupiter)</t>
        </is>
      </c>
      <c r="M1019" s="59" t="inlineStr"/>
    </row>
    <row r="1020">
      <c r="A1020" s="41" t="n">
        <v>45243</v>
      </c>
      <c r="B1020" s="41" t="n">
        <v>45243</v>
      </c>
      <c r="C1020" s="42" t="n">
        <v>730.22</v>
      </c>
      <c r="D1020" s="42" t="n">
        <v>0</v>
      </c>
      <c r="E1020" s="42" t="inlineStr"/>
      <c r="F1020" s="42" t="inlineStr">
        <is>
          <t>HDFC Securities - Buy</t>
        </is>
      </c>
      <c r="G1020" s="18" t="n">
        <v>0.97</v>
      </c>
      <c r="H1020" s="42" t="inlineStr">
        <is>
          <t>HDFC Securities</t>
        </is>
      </c>
      <c r="I1020" s="42" t="inlineStr">
        <is>
          <t>HDFC 5413</t>
        </is>
      </c>
      <c r="J1020" s="42" t="inlineStr"/>
      <c r="K1020" s="42" t="inlineStr">
        <is>
          <t>NET PI TO HSL SEC A/C 2554606-00602340029427</t>
        </is>
      </c>
      <c r="L1020" s="42" t="inlineStr">
        <is>
          <t>HDFC Bank</t>
        </is>
      </c>
      <c r="M1020" s="42" t="inlineStr"/>
    </row>
    <row r="1021">
      <c r="A1021" s="54" t="n">
        <v>45243</v>
      </c>
      <c r="B1021" s="54" t="n">
        <v>45243</v>
      </c>
      <c r="C1021" s="55" t="n">
        <v>0</v>
      </c>
      <c r="D1021" s="55" t="n">
        <v>1693.79</v>
      </c>
      <c r="E1021" s="55" t="inlineStr"/>
      <c r="F1021" s="55" t="inlineStr">
        <is>
          <t>HDFC Securities - Sell</t>
        </is>
      </c>
      <c r="G1021" s="18" t="n">
        <v>0.97</v>
      </c>
      <c r="H1021" s="55" t="inlineStr">
        <is>
          <t>HDFC Securities</t>
        </is>
      </c>
      <c r="I1021" s="55" t="inlineStr">
        <is>
          <t>HDFC 5413</t>
        </is>
      </c>
      <c r="J1021" s="55" t="inlineStr"/>
      <c r="K1021" s="55" t="inlineStr">
        <is>
          <t>NET PO FROM HSL A/C 2554606-50200085415108</t>
        </is>
      </c>
      <c r="L1021" s="55" t="inlineStr">
        <is>
          <t>HDFC Bank</t>
        </is>
      </c>
      <c r="M1021" s="55" t="inlineStr"/>
    </row>
    <row r="1022">
      <c r="A1022" s="41" t="n">
        <v>45243</v>
      </c>
      <c r="B1022" s="41" t="n">
        <v>45243</v>
      </c>
      <c r="C1022" s="42" t="n">
        <v>5332.47</v>
      </c>
      <c r="D1022" s="42" t="n">
        <v>0</v>
      </c>
      <c r="E1022" s="42" t="inlineStr"/>
      <c r="F1022" s="42" t="inlineStr">
        <is>
          <t>HDFC Securities - Buy</t>
        </is>
      </c>
      <c r="G1022" s="18" t="n">
        <v>0.97</v>
      </c>
      <c r="H1022" s="42" t="inlineStr">
        <is>
          <t>HDFC Securities</t>
        </is>
      </c>
      <c r="I1022" s="42" t="inlineStr">
        <is>
          <t>HDFC 5413</t>
        </is>
      </c>
      <c r="J1022" s="42" t="inlineStr"/>
      <c r="K1022" s="42" t="inlineStr">
        <is>
          <t>NET PI TO HSL SEC A/C 2554606-00602340029427</t>
        </is>
      </c>
      <c r="L1022" s="42" t="inlineStr">
        <is>
          <t>HDFC Bank</t>
        </is>
      </c>
      <c r="M1022" s="42" t="inlineStr"/>
    </row>
    <row r="1023">
      <c r="A1023" s="35" t="n">
        <v>45243</v>
      </c>
      <c r="B1023" s="35" t="n">
        <v>45243</v>
      </c>
      <c r="C1023" s="36" t="n">
        <v>40</v>
      </c>
      <c r="D1023" s="36" t="n">
        <v>0</v>
      </c>
      <c r="E1023" s="36" t="inlineStr"/>
      <c r="F1023" s="36" t="inlineStr">
        <is>
          <t>UPI - Paytm</t>
        </is>
      </c>
      <c r="G1023" s="34" t="n">
        <v>0.65</v>
      </c>
      <c r="H1023" s="36" t="inlineStr">
        <is>
          <t>Personal</t>
        </is>
      </c>
      <c r="I1023" s="36" t="inlineStr">
        <is>
          <t>FEDERAL 0847</t>
        </is>
      </c>
      <c r="J1023" s="36" t="inlineStr"/>
      <c r="K1023" s="36" t="inlineStr">
        <is>
          <t>UPIOUT/331796150755/paytmqr281005050101jd7
t3/5812</t>
        </is>
      </c>
      <c r="L1023" s="36" t="inlineStr">
        <is>
          <t>Federal Bank (Jupiter)</t>
        </is>
      </c>
      <c r="M1023" s="36" t="inlineStr"/>
    </row>
    <row r="1024">
      <c r="A1024" s="35" t="n">
        <v>45243</v>
      </c>
      <c r="B1024" s="35" t="n">
        <v>45243</v>
      </c>
      <c r="C1024" s="36" t="n">
        <v>15</v>
      </c>
      <c r="D1024" s="36" t="n">
        <v>0</v>
      </c>
      <c r="E1024" s="36" t="inlineStr"/>
      <c r="F1024" s="36" t="inlineStr">
        <is>
          <t>UPI - Paytm</t>
        </is>
      </c>
      <c r="G1024" s="34" t="n">
        <v>0.65</v>
      </c>
      <c r="H1024" s="36" t="inlineStr">
        <is>
          <t>Personal</t>
        </is>
      </c>
      <c r="I1024" s="36" t="inlineStr">
        <is>
          <t>FEDERAL 0847</t>
        </is>
      </c>
      <c r="J1024" s="36" t="inlineStr"/>
      <c r="K1024" s="36" t="inlineStr">
        <is>
          <t>UPIOUT/331711717885/paytmqr2810050501011ov
td/5814</t>
        </is>
      </c>
      <c r="L1024" s="36" t="inlineStr">
        <is>
          <t>Federal Bank (Jupiter)</t>
        </is>
      </c>
      <c r="M1024" s="36" t="inlineStr"/>
    </row>
    <row r="1025">
      <c r="A1025" s="32" t="n">
        <v>45243</v>
      </c>
      <c r="B1025" s="32" t="n">
        <v>45243</v>
      </c>
      <c r="C1025" s="33" t="n">
        <v>60</v>
      </c>
      <c r="D1025" s="33" t="n">
        <v>0</v>
      </c>
      <c r="E1025" s="33" t="inlineStr"/>
      <c r="F1025" s="33" t="inlineStr">
        <is>
          <t>UPI - BharatPe</t>
        </is>
      </c>
      <c r="G1025" s="34" t="n">
        <v>0.65</v>
      </c>
      <c r="H1025" s="33" t="inlineStr">
        <is>
          <t>Personal</t>
        </is>
      </c>
      <c r="I1025" s="33" t="inlineStr">
        <is>
          <t>FEDERAL 0847</t>
        </is>
      </c>
      <c r="J1025" s="33" t="inlineStr"/>
      <c r="K1025" s="33" t="inlineStr">
        <is>
          <t>UPIOUT/331796090152/BHARATPE.90063849287@f
bp/5814</t>
        </is>
      </c>
      <c r="L1025" s="33" t="inlineStr">
        <is>
          <t>Federal Bank (Jupiter)</t>
        </is>
      </c>
      <c r="M1025" s="33" t="inlineStr"/>
    </row>
    <row r="1026">
      <c r="A1026" s="58" t="n">
        <v>45243</v>
      </c>
      <c r="B1026" s="58" t="n">
        <v>45243</v>
      </c>
      <c r="C1026" s="59" t="n">
        <v>100</v>
      </c>
      <c r="D1026" s="59" t="n">
        <v>0</v>
      </c>
      <c r="E1026" s="59" t="inlineStr"/>
      <c r="F1026" s="59" t="inlineStr">
        <is>
          <t>MF Investment</t>
        </is>
      </c>
      <c r="G1026" s="18" t="n">
        <v>0.88</v>
      </c>
      <c r="H1026" s="59" t="inlineStr">
        <is>
          <t>Investments</t>
        </is>
      </c>
      <c r="I1026" s="59" t="inlineStr">
        <is>
          <t>FEDERAL 0847</t>
        </is>
      </c>
      <c r="J1026" s="59" t="inlineStr"/>
      <c r="K1026" s="59" t="inlineStr">
        <is>
          <t>NFT/NEOSIEXEDDD2023111312352034443 NAVI
Mutual Fun</t>
        </is>
      </c>
      <c r="L1026" s="59" t="inlineStr">
        <is>
          <t>Federal Bank (Jupiter)</t>
        </is>
      </c>
      <c r="M1026" s="59" t="inlineStr"/>
    </row>
    <row r="1027">
      <c r="A1027" s="91" t="n">
        <v>45244</v>
      </c>
      <c r="B1027" s="91" t="n">
        <v>45244</v>
      </c>
      <c r="C1027" s="92" t="n">
        <v>106.42</v>
      </c>
      <c r="D1027" s="92" t="n">
        <v>0</v>
      </c>
      <c r="E1027" s="92" t="inlineStr"/>
      <c r="F1027" s="92" t="inlineStr">
        <is>
          <t>UPI - Uber</t>
        </is>
      </c>
      <c r="G1027" s="34" t="n">
        <v>0.68</v>
      </c>
      <c r="H1027" s="92" t="inlineStr">
        <is>
          <t>Transport</t>
        </is>
      </c>
      <c r="I1027" s="92" t="inlineStr">
        <is>
          <t>FEDERAL 0847</t>
        </is>
      </c>
      <c r="J1027" s="92" t="inlineStr"/>
      <c r="K1027" s="92" t="inlineStr">
        <is>
          <t>UPIOUT/331826207318/uber@axisbank/charge/4
121</t>
        </is>
      </c>
      <c r="L1027" s="92" t="inlineStr">
        <is>
          <t>Federal Bank (Jupiter)</t>
        </is>
      </c>
      <c r="M1027" s="92" t="inlineStr"/>
    </row>
    <row r="1028">
      <c r="A1028" s="35" t="n">
        <v>45244</v>
      </c>
      <c r="B1028" s="35" t="n">
        <v>45244</v>
      </c>
      <c r="C1028" s="36" t="n">
        <v>40</v>
      </c>
      <c r="D1028" s="36" t="n">
        <v>0</v>
      </c>
      <c r="E1028" s="36" t="inlineStr"/>
      <c r="F1028" s="36" t="inlineStr">
        <is>
          <t>UPI - Paytm</t>
        </is>
      </c>
      <c r="G1028" s="34" t="n">
        <v>0.65</v>
      </c>
      <c r="H1028" s="36" t="inlineStr">
        <is>
          <t>Personal</t>
        </is>
      </c>
      <c r="I1028" s="36" t="inlineStr">
        <is>
          <t>FEDERAL 0847</t>
        </is>
      </c>
      <c r="J1028" s="36" t="inlineStr"/>
      <c r="K1028" s="36" t="inlineStr">
        <is>
          <t>UPIOUT/331851486145/paytmqruct2pt8f1w@payt
m//5462</t>
        </is>
      </c>
      <c r="L1028" s="36" t="inlineStr">
        <is>
          <t>Federal Bank (Jupiter)</t>
        </is>
      </c>
      <c r="M1028" s="36" t="inlineStr"/>
    </row>
    <row r="1029">
      <c r="A1029" s="37" t="n">
        <v>45244</v>
      </c>
      <c r="B1029" s="37" t="n">
        <v>45244</v>
      </c>
      <c r="C1029" s="38" t="n">
        <v>20</v>
      </c>
      <c r="D1029" s="38" t="n">
        <v>0</v>
      </c>
      <c r="E1029" s="38" t="inlineStr"/>
      <c r="F1029" s="38" t="inlineStr">
        <is>
          <t>UPI Payment</t>
        </is>
      </c>
      <c r="G1029" s="25" t="n">
        <v>0.55</v>
      </c>
      <c r="H1029" s="38" t="inlineStr">
        <is>
          <t>Personal</t>
        </is>
      </c>
      <c r="I1029" s="38" t="inlineStr">
        <is>
          <t>FEDERAL 0847</t>
        </is>
      </c>
      <c r="J1029" s="38" t="inlineStr"/>
      <c r="K1029" s="38" t="inlineStr">
        <is>
          <t>UPIOUT/331852093335/Q614784165@ybl/Sent
via /5311</t>
        </is>
      </c>
      <c r="L1029" s="38" t="inlineStr">
        <is>
          <t>Federal Bank (Jupiter)</t>
        </is>
      </c>
      <c r="M1029" s="38" t="inlineStr"/>
    </row>
    <row r="1030">
      <c r="A1030" s="62" t="n">
        <v>45244</v>
      </c>
      <c r="B1030" s="62" t="n">
        <v>45244</v>
      </c>
      <c r="C1030" s="63" t="n">
        <v>30000</v>
      </c>
      <c r="D1030" s="63" t="n">
        <v>0</v>
      </c>
      <c r="E1030" s="63" t="inlineStr"/>
      <c r="F1030" s="63" t="inlineStr">
        <is>
          <t>Transfer - Sunita Gupta</t>
        </is>
      </c>
      <c r="G1030" s="18" t="n">
        <v>0.88</v>
      </c>
      <c r="H1030" s="63" t="inlineStr">
        <is>
          <t>Sunita Gupta</t>
        </is>
      </c>
      <c r="I1030" s="63" t="inlineStr">
        <is>
          <t>HDFC 5413</t>
        </is>
      </c>
      <c r="J1030" s="63" t="inlineStr"/>
      <c r="K1030" s="63" t="inlineStr">
        <is>
          <t>01671000060094-TPT-BORROW FROM AAYUSH-SUNITA GUPTA</t>
        </is>
      </c>
      <c r="L1030" s="63" t="inlineStr">
        <is>
          <t>HDFC Bank</t>
        </is>
      </c>
      <c r="M1030" s="63" t="inlineStr"/>
    </row>
    <row r="1031">
      <c r="A1031" s="58" t="n">
        <v>45244</v>
      </c>
      <c r="B1031" s="58" t="n">
        <v>45244</v>
      </c>
      <c r="C1031" s="59" t="n">
        <v>100</v>
      </c>
      <c r="D1031" s="59" t="n">
        <v>0</v>
      </c>
      <c r="E1031" s="59" t="inlineStr"/>
      <c r="F1031" s="59" t="inlineStr">
        <is>
          <t>MF Investment</t>
        </is>
      </c>
      <c r="G1031" s="18" t="n">
        <v>0.88</v>
      </c>
      <c r="H1031" s="59" t="inlineStr">
        <is>
          <t>Investments</t>
        </is>
      </c>
      <c r="I1031" s="59" t="inlineStr">
        <is>
          <t>FEDERAL 0847</t>
        </is>
      </c>
      <c r="J1031" s="59" t="inlineStr"/>
      <c r="K1031" s="59" t="inlineStr">
        <is>
          <t>NFT/NEOSIEXEDDD2023111412351088128 NAVI
Mutual Fun</t>
        </is>
      </c>
      <c r="L1031" s="59" t="inlineStr">
        <is>
          <t>Federal Bank (Jupiter)</t>
        </is>
      </c>
      <c r="M1031" s="59" t="inlineStr"/>
    </row>
    <row r="1032">
      <c r="A1032" s="56" t="n">
        <v>45245</v>
      </c>
      <c r="B1032" s="56" t="n">
        <v>45245</v>
      </c>
      <c r="C1032" s="57" t="n">
        <v>2147.6</v>
      </c>
      <c r="D1032" s="57" t="n">
        <v>0</v>
      </c>
      <c r="E1032" s="57" t="inlineStr"/>
      <c r="F1032" s="57" t="inlineStr">
        <is>
          <t>Depository Charges</t>
        </is>
      </c>
      <c r="G1032" s="18" t="n">
        <v>0.93</v>
      </c>
      <c r="H1032" s="57" t="inlineStr">
        <is>
          <t>Depository Charges</t>
        </is>
      </c>
      <c r="I1032" s="57" t="inlineStr">
        <is>
          <t>HDFC 5413</t>
        </is>
      </c>
      <c r="J1032" s="57" t="inlineStr"/>
      <c r="K1032" s="57" t="inlineStr">
        <is>
          <t>DEPOSITORY CHARGES OCT23 - 52812428</t>
        </is>
      </c>
      <c r="L1032" s="57" t="inlineStr">
        <is>
          <t>HDFC Bank</t>
        </is>
      </c>
      <c r="M1032" s="57" t="inlineStr"/>
    </row>
    <row r="1033">
      <c r="A1033" s="54" t="n">
        <v>45245</v>
      </c>
      <c r="B1033" s="54" t="n">
        <v>45245</v>
      </c>
      <c r="C1033" s="55" t="n">
        <v>0</v>
      </c>
      <c r="D1033" s="55" t="n">
        <v>16142.02</v>
      </c>
      <c r="E1033" s="55" t="inlineStr"/>
      <c r="F1033" s="55" t="inlineStr">
        <is>
          <t>HDFC Securities - Sell</t>
        </is>
      </c>
      <c r="G1033" s="18" t="n">
        <v>0.97</v>
      </c>
      <c r="H1033" s="55" t="inlineStr">
        <is>
          <t>HDFC Securities</t>
        </is>
      </c>
      <c r="I1033" s="55" t="inlineStr">
        <is>
          <t>HDFC 5413</t>
        </is>
      </c>
      <c r="J1033" s="55" t="inlineStr"/>
      <c r="K1033" s="55" t="inlineStr">
        <is>
          <t>NET PO FROM HSL A/C 2554606-50200085415108</t>
        </is>
      </c>
      <c r="L1033" s="55" t="inlineStr">
        <is>
          <t>HDFC Bank</t>
        </is>
      </c>
      <c r="M1033" s="55" t="inlineStr"/>
    </row>
    <row r="1034">
      <c r="A1034" s="41" t="n">
        <v>45245</v>
      </c>
      <c r="B1034" s="41" t="n">
        <v>45245</v>
      </c>
      <c r="C1034" s="42" t="n">
        <v>128.06</v>
      </c>
      <c r="D1034" s="42" t="n">
        <v>0</v>
      </c>
      <c r="E1034" s="42" t="inlineStr"/>
      <c r="F1034" s="42" t="inlineStr">
        <is>
          <t>HDFC Securities - Buy</t>
        </is>
      </c>
      <c r="G1034" s="18" t="n">
        <v>0.97</v>
      </c>
      <c r="H1034" s="42" t="inlineStr">
        <is>
          <t>HDFC Securities</t>
        </is>
      </c>
      <c r="I1034" s="42" t="inlineStr">
        <is>
          <t>HDFC 5413</t>
        </is>
      </c>
      <c r="J1034" s="42" t="inlineStr"/>
      <c r="K1034" s="42" t="inlineStr">
        <is>
          <t>NET PI TO HSL SEC A/C 2554606-00602340029427</t>
        </is>
      </c>
      <c r="L1034" s="42" t="inlineStr">
        <is>
          <t>HDFC Bank</t>
        </is>
      </c>
      <c r="M1034" s="42" t="inlineStr"/>
    </row>
    <row r="1035">
      <c r="A1035" s="41" t="n">
        <v>45245</v>
      </c>
      <c r="B1035" s="41" t="n">
        <v>45245</v>
      </c>
      <c r="C1035" s="42" t="n">
        <v>4344.39</v>
      </c>
      <c r="D1035" s="42" t="n">
        <v>0</v>
      </c>
      <c r="E1035" s="42" t="inlineStr"/>
      <c r="F1035" s="42" t="inlineStr">
        <is>
          <t>HDFC Securities - Buy</t>
        </is>
      </c>
      <c r="G1035" s="18" t="n">
        <v>0.97</v>
      </c>
      <c r="H1035" s="42" t="inlineStr">
        <is>
          <t>HDFC Securities</t>
        </is>
      </c>
      <c r="I1035" s="42" t="inlineStr">
        <is>
          <t>HDFC 5413</t>
        </is>
      </c>
      <c r="J1035" s="42" t="inlineStr"/>
      <c r="K1035" s="42" t="inlineStr">
        <is>
          <t>NET PI TO HSL SEC A/C 2554606-00602340029427</t>
        </is>
      </c>
      <c r="L1035" s="42" t="inlineStr">
        <is>
          <t>HDFC Bank</t>
        </is>
      </c>
      <c r="M1035" s="42" t="inlineStr"/>
    </row>
    <row r="1036">
      <c r="A1036" s="99" t="n">
        <v>45245</v>
      </c>
      <c r="B1036" s="99" t="n">
        <v>45245</v>
      </c>
      <c r="C1036" s="100" t="n">
        <v>275.39</v>
      </c>
      <c r="D1036" s="100" t="n">
        <v>0</v>
      </c>
      <c r="E1036" s="100" t="inlineStr"/>
      <c r="F1036" s="100" t="inlineStr">
        <is>
          <t>UPI - Zomato</t>
        </is>
      </c>
      <c r="G1036" s="34" t="n">
        <v>0.68</v>
      </c>
      <c r="H1036" s="100" t="inlineStr">
        <is>
          <t>Food &amp; Dining</t>
        </is>
      </c>
      <c r="I1036" s="100" t="inlineStr">
        <is>
          <t>FEDERAL 0847</t>
        </is>
      </c>
      <c r="J1036" s="100" t="inlineStr"/>
      <c r="K1036" s="100" t="inlineStr">
        <is>
          <t>UPIOUT/331995905967/payzomato@hdfcbank/Sen
t /5814</t>
        </is>
      </c>
      <c r="L1036" s="100" t="inlineStr">
        <is>
          <t>Federal Bank (Jupiter)</t>
        </is>
      </c>
      <c r="M1036" s="100" t="inlineStr"/>
    </row>
    <row r="1037">
      <c r="A1037" s="37" t="n">
        <v>45245</v>
      </c>
      <c r="B1037" s="37" t="n">
        <v>45245</v>
      </c>
      <c r="C1037" s="38" t="n">
        <v>30</v>
      </c>
      <c r="D1037" s="38" t="n">
        <v>0</v>
      </c>
      <c r="E1037" s="38" t="inlineStr"/>
      <c r="F1037" s="38" t="inlineStr">
        <is>
          <t>UPI Payment</t>
        </is>
      </c>
      <c r="G1037" s="25" t="n">
        <v>0.55</v>
      </c>
      <c r="H1037" s="38" t="inlineStr">
        <is>
          <t>Personal</t>
        </is>
      </c>
      <c r="I1037" s="38" t="inlineStr">
        <is>
          <t>FEDERAL 0847</t>
        </is>
      </c>
      <c r="J1037" s="38" t="inlineStr"/>
      <c r="K1037" s="38" t="inlineStr">
        <is>
          <t>UPIOUT/331976133074/RIOTAAGROOFFLINE@ybl/P
ay/5046</t>
        </is>
      </c>
      <c r="L1037" s="38" t="inlineStr">
        <is>
          <t>Federal Bank (Jupiter)</t>
        </is>
      </c>
      <c r="M1037" s="38" t="inlineStr"/>
    </row>
    <row r="1038">
      <c r="A1038" s="58" t="n">
        <v>45245</v>
      </c>
      <c r="B1038" s="58" t="n">
        <v>45245</v>
      </c>
      <c r="C1038" s="59" t="n">
        <v>100</v>
      </c>
      <c r="D1038" s="59" t="n">
        <v>0</v>
      </c>
      <c r="E1038" s="59" t="inlineStr"/>
      <c r="F1038" s="59" t="inlineStr">
        <is>
          <t>MF Investment</t>
        </is>
      </c>
      <c r="G1038" s="18" t="n">
        <v>0.88</v>
      </c>
      <c r="H1038" s="59" t="inlineStr">
        <is>
          <t>Investments</t>
        </is>
      </c>
      <c r="I1038" s="59" t="inlineStr">
        <is>
          <t>FEDERAL 0847</t>
        </is>
      </c>
      <c r="J1038" s="59" t="inlineStr"/>
      <c r="K1038" s="59" t="inlineStr">
        <is>
          <t>NFT/NEOSIEXEDDD2023111512364110336 NAVI
Mutual Fun</t>
        </is>
      </c>
      <c r="L1038" s="59" t="inlineStr">
        <is>
          <t>Federal Bank (Jupiter)</t>
        </is>
      </c>
      <c r="M1038" s="59" t="inlineStr"/>
    </row>
    <row r="1039">
      <c r="A1039" s="62" t="n">
        <v>45246</v>
      </c>
      <c r="B1039" s="62" t="n">
        <v>45246</v>
      </c>
      <c r="C1039" s="63" t="n">
        <v>0</v>
      </c>
      <c r="D1039" s="63" t="n">
        <v>30000</v>
      </c>
      <c r="E1039" s="63" t="inlineStr"/>
      <c r="F1039" s="63" t="inlineStr">
        <is>
          <t>Received - Sunita Gupta</t>
        </is>
      </c>
      <c r="G1039" s="18" t="n">
        <v>0.88</v>
      </c>
      <c r="H1039" s="63" t="inlineStr">
        <is>
          <t>Sunita Gupta</t>
        </is>
      </c>
      <c r="I1039" s="63" t="inlineStr">
        <is>
          <t>HDFC 5413</t>
        </is>
      </c>
      <c r="J1039" s="63" t="inlineStr"/>
      <c r="K1039" s="63" t="inlineStr">
        <is>
          <t>01671000060094-TPT-MONEY RETURN TO AAYUSH-SUNITA GUPTA</t>
        </is>
      </c>
      <c r="L1039" s="63" t="inlineStr">
        <is>
          <t>HDFC Bank</t>
        </is>
      </c>
      <c r="M1039" s="63" t="inlineStr"/>
    </row>
    <row r="1040">
      <c r="A1040" s="37" t="n">
        <v>45246</v>
      </c>
      <c r="B1040" s="37" t="n">
        <v>45246</v>
      </c>
      <c r="C1040" s="38" t="n">
        <v>10</v>
      </c>
      <c r="D1040" s="38" t="n">
        <v>0</v>
      </c>
      <c r="E1040" s="38" t="inlineStr"/>
      <c r="F1040" s="38" t="inlineStr">
        <is>
          <t>UPI Payment</t>
        </is>
      </c>
      <c r="G1040" s="25" t="n">
        <v>0.55</v>
      </c>
      <c r="H1040" s="38" t="inlineStr">
        <is>
          <t>Personal</t>
        </is>
      </c>
      <c r="I1040" s="38" t="inlineStr">
        <is>
          <t>FEDERAL 0847</t>
        </is>
      </c>
      <c r="J1040" s="38" t="inlineStr"/>
      <c r="K1040" s="38" t="inlineStr">
        <is>
          <t>UPIOUT/332033967903/santoshkumargarikimukk
ul/0000</t>
        </is>
      </c>
      <c r="L1040" s="38" t="inlineStr">
        <is>
          <t>Federal Bank (Jupiter)</t>
        </is>
      </c>
      <c r="M1040" s="38" t="inlineStr"/>
    </row>
    <row r="1041">
      <c r="A1041" s="35" t="n">
        <v>45246</v>
      </c>
      <c r="B1041" s="35" t="n">
        <v>45246</v>
      </c>
      <c r="C1041" s="36" t="n">
        <v>16</v>
      </c>
      <c r="D1041" s="36" t="n">
        <v>0</v>
      </c>
      <c r="E1041" s="36" t="inlineStr"/>
      <c r="F1041" s="36" t="inlineStr">
        <is>
          <t>UPI - Paytm</t>
        </is>
      </c>
      <c r="G1041" s="34" t="n">
        <v>0.65</v>
      </c>
      <c r="H1041" s="36" t="inlineStr">
        <is>
          <t>Personal</t>
        </is>
      </c>
      <c r="I1041" s="36" t="inlineStr">
        <is>
          <t>FEDERAL 0847</t>
        </is>
      </c>
      <c r="J1041" s="36" t="inlineStr"/>
      <c r="K1041" s="36" t="inlineStr">
        <is>
          <t>UPIOUT/332014655702/paytm-76881028@paytm/S
en/4121</t>
        </is>
      </c>
      <c r="L1041" s="36" t="inlineStr">
        <is>
          <t>Federal Bank (Jupiter)</t>
        </is>
      </c>
      <c r="M1041" s="36" t="inlineStr"/>
    </row>
    <row r="1042">
      <c r="A1042" s="35" t="n">
        <v>45246</v>
      </c>
      <c r="B1042" s="35" t="n">
        <v>45246</v>
      </c>
      <c r="C1042" s="36" t="n">
        <v>35</v>
      </c>
      <c r="D1042" s="36" t="n">
        <v>0</v>
      </c>
      <c r="E1042" s="36" t="inlineStr"/>
      <c r="F1042" s="36" t="inlineStr">
        <is>
          <t>UPI - Paytm</t>
        </is>
      </c>
      <c r="G1042" s="34" t="n">
        <v>0.65</v>
      </c>
      <c r="H1042" s="36" t="inlineStr">
        <is>
          <t>Personal</t>
        </is>
      </c>
      <c r="I1042" s="36" t="inlineStr">
        <is>
          <t>FEDERAL 0847</t>
        </is>
      </c>
      <c r="J1042" s="36" t="inlineStr"/>
      <c r="K1042" s="36" t="inlineStr">
        <is>
          <t>UPIOUT/332012580913/paytmqry3eyiz8yp2@payt
m//5812</t>
        </is>
      </c>
      <c r="L1042" s="36" t="inlineStr">
        <is>
          <t>Federal Bank (Jupiter)</t>
        </is>
      </c>
      <c r="M1042" s="36" t="inlineStr"/>
    </row>
    <row r="1043">
      <c r="A1043" s="58" t="n">
        <v>45246</v>
      </c>
      <c r="B1043" s="58" t="n">
        <v>45246</v>
      </c>
      <c r="C1043" s="59" t="n">
        <v>100</v>
      </c>
      <c r="D1043" s="59" t="n">
        <v>0</v>
      </c>
      <c r="E1043" s="59" t="inlineStr"/>
      <c r="F1043" s="59" t="inlineStr">
        <is>
          <t>MF Investment</t>
        </is>
      </c>
      <c r="G1043" s="18" t="n">
        <v>0.88</v>
      </c>
      <c r="H1043" s="59" t="inlineStr">
        <is>
          <t>Investments</t>
        </is>
      </c>
      <c r="I1043" s="59" t="inlineStr">
        <is>
          <t>FEDERAL 0847</t>
        </is>
      </c>
      <c r="J1043" s="59" t="inlineStr"/>
      <c r="K1043" s="59" t="inlineStr">
        <is>
          <t>NFT/NEOSIEXEDDD2023111612351325848 NAVI
Mutual Fun</t>
        </is>
      </c>
      <c r="L1043" s="59" t="inlineStr">
        <is>
          <t>Federal Bank (Jupiter)</t>
        </is>
      </c>
      <c r="M1043" s="59" t="inlineStr"/>
    </row>
    <row r="1044">
      <c r="A1044" s="41" t="n">
        <v>45246</v>
      </c>
      <c r="B1044" s="41" t="n">
        <v>45246</v>
      </c>
      <c r="C1044" s="42" t="n">
        <v>62.48</v>
      </c>
      <c r="D1044" s="42" t="n">
        <v>0</v>
      </c>
      <c r="E1044" s="42" t="inlineStr"/>
      <c r="F1044" s="42" t="inlineStr">
        <is>
          <t>HDFC Securities - Buy</t>
        </is>
      </c>
      <c r="G1044" s="18" t="n">
        <v>0.97</v>
      </c>
      <c r="H1044" s="42" t="inlineStr">
        <is>
          <t>HDFC Securities</t>
        </is>
      </c>
      <c r="I1044" s="42" t="inlineStr">
        <is>
          <t>HDFC 5413</t>
        </is>
      </c>
      <c r="J1044" s="42" t="inlineStr"/>
      <c r="K1044" s="42" t="inlineStr">
        <is>
          <t>NET PI TO HSL SEC A/C 2554606-00602340029427</t>
        </is>
      </c>
      <c r="L1044" s="42" t="inlineStr">
        <is>
          <t>HDFC Bank</t>
        </is>
      </c>
      <c r="M1044" s="42" t="inlineStr"/>
    </row>
    <row r="1045">
      <c r="A1045" s="37" t="n">
        <v>45246</v>
      </c>
      <c r="B1045" s="37" t="n">
        <v>45246</v>
      </c>
      <c r="C1045" s="38" t="n">
        <v>40</v>
      </c>
      <c r="D1045" s="38" t="n">
        <v>0</v>
      </c>
      <c r="E1045" s="38" t="inlineStr"/>
      <c r="F1045" s="38" t="inlineStr">
        <is>
          <t>UPI Payment</t>
        </is>
      </c>
      <c r="G1045" s="25" t="n">
        <v>0.55</v>
      </c>
      <c r="H1045" s="38" t="inlineStr">
        <is>
          <t>Personal</t>
        </is>
      </c>
      <c r="I1045" s="38" t="inlineStr">
        <is>
          <t>FEDERAL 0847</t>
        </is>
      </c>
      <c r="J1045" s="38" t="inlineStr"/>
      <c r="K1045" s="38" t="inlineStr">
        <is>
          <t>UPIOUT/332034349026/Q084270040@ybl/Sent
via /5812</t>
        </is>
      </c>
      <c r="L1045" s="38" t="inlineStr">
        <is>
          <t>Federal Bank (Jupiter)</t>
        </is>
      </c>
      <c r="M1045" s="38" t="inlineStr"/>
    </row>
    <row r="1046">
      <c r="A1046" s="37" t="n">
        <v>45246</v>
      </c>
      <c r="B1046" s="37" t="n">
        <v>45246</v>
      </c>
      <c r="C1046" s="38" t="n">
        <v>30</v>
      </c>
      <c r="D1046" s="38" t="n">
        <v>0</v>
      </c>
      <c r="E1046" s="38" t="inlineStr"/>
      <c r="F1046" s="38" t="inlineStr">
        <is>
          <t>UPI Payment</t>
        </is>
      </c>
      <c r="G1046" s="25" t="n">
        <v>0.55</v>
      </c>
      <c r="H1046" s="38" t="inlineStr">
        <is>
          <t>Personal</t>
        </is>
      </c>
      <c r="I1046" s="38" t="inlineStr">
        <is>
          <t>FEDERAL 0847</t>
        </is>
      </c>
      <c r="J1046" s="38" t="inlineStr"/>
      <c r="K1046" s="38" t="inlineStr">
        <is>
          <t>UPIOUT/332034991781/Q939019145@ybl/Sent
via /5814</t>
        </is>
      </c>
      <c r="L1046" s="38" t="inlineStr">
        <is>
          <t>Federal Bank (Jupiter)</t>
        </is>
      </c>
      <c r="M1046" s="38" t="inlineStr"/>
    </row>
    <row r="1047">
      <c r="A1047" s="54" t="n">
        <v>45247</v>
      </c>
      <c r="B1047" s="54" t="n">
        <v>45247</v>
      </c>
      <c r="C1047" s="55" t="n">
        <v>0</v>
      </c>
      <c r="D1047" s="55" t="n">
        <v>14895.95</v>
      </c>
      <c r="E1047" s="55" t="inlineStr"/>
      <c r="F1047" s="55" t="inlineStr">
        <is>
          <t>HDFC Securities - Sell</t>
        </is>
      </c>
      <c r="G1047" s="18" t="n">
        <v>0.97</v>
      </c>
      <c r="H1047" s="55" t="inlineStr">
        <is>
          <t>HDFC Securities</t>
        </is>
      </c>
      <c r="I1047" s="55" t="inlineStr">
        <is>
          <t>HDFC 5413</t>
        </is>
      </c>
      <c r="J1047" s="55" t="inlineStr"/>
      <c r="K1047" s="55" t="inlineStr">
        <is>
          <t>NET PO FROM HSL A/C 2554606-50200085415108</t>
        </is>
      </c>
      <c r="L1047" s="55" t="inlineStr">
        <is>
          <t>HDFC Bank</t>
        </is>
      </c>
      <c r="M1047" s="55" t="inlineStr"/>
    </row>
    <row r="1048">
      <c r="A1048" s="41" t="n">
        <v>45247</v>
      </c>
      <c r="B1048" s="41" t="n">
        <v>45247</v>
      </c>
      <c r="C1048" s="42" t="n">
        <v>67.79000000000001</v>
      </c>
      <c r="D1048" s="42" t="n">
        <v>0</v>
      </c>
      <c r="E1048" s="42" t="inlineStr"/>
      <c r="F1048" s="42" t="inlineStr">
        <is>
          <t>HDFC Securities - Buy</t>
        </is>
      </c>
      <c r="G1048" s="18" t="n">
        <v>0.97</v>
      </c>
      <c r="H1048" s="42" t="inlineStr">
        <is>
          <t>HDFC Securities</t>
        </is>
      </c>
      <c r="I1048" s="42" t="inlineStr">
        <is>
          <t>HDFC 5413</t>
        </is>
      </c>
      <c r="J1048" s="42" t="inlineStr"/>
      <c r="K1048" s="42" t="inlineStr">
        <is>
          <t>NET PI TO HSL SEC A/C 2554606-00602340029427</t>
        </is>
      </c>
      <c r="L1048" s="42" t="inlineStr">
        <is>
          <t>HDFC Bank</t>
        </is>
      </c>
      <c r="M1048" s="42" t="inlineStr"/>
    </row>
    <row r="1049">
      <c r="A1049" s="41" t="n">
        <v>45247</v>
      </c>
      <c r="B1049" s="41" t="n">
        <v>45247</v>
      </c>
      <c r="C1049" s="42" t="n">
        <v>32348.32</v>
      </c>
      <c r="D1049" s="42" t="n">
        <v>0</v>
      </c>
      <c r="E1049" s="42" t="inlineStr"/>
      <c r="F1049" s="42" t="inlineStr">
        <is>
          <t>HDFC Securities - Buy</t>
        </is>
      </c>
      <c r="G1049" s="18" t="n">
        <v>0.97</v>
      </c>
      <c r="H1049" s="42" t="inlineStr">
        <is>
          <t>HDFC Securities</t>
        </is>
      </c>
      <c r="I1049" s="42" t="inlineStr">
        <is>
          <t>HDFC 5413</t>
        </is>
      </c>
      <c r="J1049" s="42" t="inlineStr"/>
      <c r="K1049" s="42" t="inlineStr">
        <is>
          <t>NET PI TO HSL SEC A/C 2554606-00602340029427</t>
        </is>
      </c>
      <c r="L1049" s="42" t="inlineStr">
        <is>
          <t>HDFC Bank</t>
        </is>
      </c>
      <c r="M1049" s="42" t="inlineStr"/>
    </row>
    <row r="1050">
      <c r="A1050" s="99" t="n">
        <v>45247</v>
      </c>
      <c r="B1050" s="99" t="n">
        <v>45247</v>
      </c>
      <c r="C1050" s="100" t="n">
        <v>269.99</v>
      </c>
      <c r="D1050" s="100" t="n">
        <v>0</v>
      </c>
      <c r="E1050" s="100" t="inlineStr"/>
      <c r="F1050" s="100" t="inlineStr">
        <is>
          <t>UPI - Zomato</t>
        </is>
      </c>
      <c r="G1050" s="34" t="n">
        <v>0.68</v>
      </c>
      <c r="H1050" s="100" t="inlineStr">
        <is>
          <t>Food &amp; Dining</t>
        </is>
      </c>
      <c r="I1050" s="100" t="inlineStr">
        <is>
          <t>FEDERAL 0847</t>
        </is>
      </c>
      <c r="J1050" s="100" t="inlineStr"/>
      <c r="K1050" s="100" t="inlineStr">
        <is>
          <t>UPIOUT/332181780137/zomato-
order@paytm/Zomat/5812</t>
        </is>
      </c>
      <c r="L1050" s="100" t="inlineStr">
        <is>
          <t>Federal Bank (Jupiter)</t>
        </is>
      </c>
      <c r="M1050" s="100" t="inlineStr"/>
    </row>
    <row r="1051">
      <c r="A1051" s="37" t="n">
        <v>45247</v>
      </c>
      <c r="B1051" s="37" t="n">
        <v>45247</v>
      </c>
      <c r="C1051" s="38" t="n">
        <v>20</v>
      </c>
      <c r="D1051" s="38" t="n">
        <v>0</v>
      </c>
      <c r="E1051" s="38" t="inlineStr"/>
      <c r="F1051" s="38" t="inlineStr">
        <is>
          <t>UPI Payment</t>
        </is>
      </c>
      <c r="G1051" s="25" t="n">
        <v>0.55</v>
      </c>
      <c r="H1051" s="38" t="inlineStr">
        <is>
          <t>Personal</t>
        </is>
      </c>
      <c r="I1051" s="38" t="inlineStr">
        <is>
          <t>FEDERAL 0847</t>
        </is>
      </c>
      <c r="J1051" s="38" t="inlineStr"/>
      <c r="K1051" s="38" t="inlineStr">
        <is>
          <t>UPIOUT/332172953207/Q614784165@ybl/Sent
via /5311</t>
        </is>
      </c>
      <c r="L1051" s="38" t="inlineStr">
        <is>
          <t>Federal Bank (Jupiter)</t>
        </is>
      </c>
      <c r="M1051" s="38" t="inlineStr"/>
    </row>
    <row r="1052">
      <c r="A1052" s="37" t="n">
        <v>45247</v>
      </c>
      <c r="B1052" s="37" t="n">
        <v>45247</v>
      </c>
      <c r="C1052" s="38" t="n">
        <v>30</v>
      </c>
      <c r="D1052" s="38" t="n">
        <v>0</v>
      </c>
      <c r="E1052" s="38" t="inlineStr"/>
      <c r="F1052" s="38" t="inlineStr">
        <is>
          <t>UPI Payment</t>
        </is>
      </c>
      <c r="G1052" s="25" t="n">
        <v>0.55</v>
      </c>
      <c r="H1052" s="38" t="inlineStr">
        <is>
          <t>Personal</t>
        </is>
      </c>
      <c r="I1052" s="38" t="inlineStr">
        <is>
          <t>FEDERAL 0847</t>
        </is>
      </c>
      <c r="J1052" s="38" t="inlineStr"/>
      <c r="K1052" s="38" t="inlineStr">
        <is>
          <t>UPIOUT/332164106579/RIOTAAGROOFFLINE@ybl/P
ay/5046</t>
        </is>
      </c>
      <c r="L1052" s="38" t="inlineStr">
        <is>
          <t>Federal Bank (Jupiter)</t>
        </is>
      </c>
      <c r="M1052" s="38" t="inlineStr"/>
    </row>
    <row r="1053">
      <c r="A1053" s="37" t="n">
        <v>45247</v>
      </c>
      <c r="B1053" s="37" t="n">
        <v>45247</v>
      </c>
      <c r="C1053" s="38" t="n">
        <v>26</v>
      </c>
      <c r="D1053" s="38" t="n">
        <v>0</v>
      </c>
      <c r="E1053" s="38" t="inlineStr"/>
      <c r="F1053" s="38" t="inlineStr">
        <is>
          <t>UPI Payment</t>
        </is>
      </c>
      <c r="G1053" s="25" t="n">
        <v>0.55</v>
      </c>
      <c r="H1053" s="38" t="inlineStr">
        <is>
          <t>Personal</t>
        </is>
      </c>
      <c r="I1053" s="38" t="inlineStr">
        <is>
          <t>FEDERAL 0847</t>
        </is>
      </c>
      <c r="J1053" s="38" t="inlineStr"/>
      <c r="K1053" s="38" t="inlineStr">
        <is>
          <t>UPIOUT/332155943817/8179140461@ybl/Sent
via /0000</t>
        </is>
      </c>
      <c r="L1053" s="38" t="inlineStr">
        <is>
          <t>Federal Bank (Jupiter)</t>
        </is>
      </c>
      <c r="M1053" s="38" t="inlineStr"/>
    </row>
    <row r="1054">
      <c r="A1054" s="35" t="n">
        <v>45247</v>
      </c>
      <c r="B1054" s="35" t="n">
        <v>45247</v>
      </c>
      <c r="C1054" s="36" t="n">
        <v>35</v>
      </c>
      <c r="D1054" s="36" t="n">
        <v>0</v>
      </c>
      <c r="E1054" s="36" t="inlineStr"/>
      <c r="F1054" s="36" t="inlineStr">
        <is>
          <t>UPI - Paytm</t>
        </is>
      </c>
      <c r="G1054" s="34" t="n">
        <v>0.65</v>
      </c>
      <c r="H1054" s="36" t="inlineStr">
        <is>
          <t>Personal</t>
        </is>
      </c>
      <c r="I1054" s="36" t="inlineStr">
        <is>
          <t>FEDERAL 0847</t>
        </is>
      </c>
      <c r="J1054" s="36" t="inlineStr"/>
      <c r="K1054" s="36" t="inlineStr">
        <is>
          <t>UPIOUT/332152243692/paytmqry3eyiz8yp2@payt
m//5812</t>
        </is>
      </c>
      <c r="L1054" s="36" t="inlineStr">
        <is>
          <t>Federal Bank (Jupiter)</t>
        </is>
      </c>
      <c r="M1054" s="36" t="inlineStr"/>
    </row>
    <row r="1055">
      <c r="A1055" s="54" t="n">
        <v>45247</v>
      </c>
      <c r="B1055" s="54" t="n">
        <v>45247</v>
      </c>
      <c r="C1055" s="55" t="n">
        <v>0</v>
      </c>
      <c r="D1055" s="55" t="n">
        <v>487.28</v>
      </c>
      <c r="E1055" s="55" t="inlineStr"/>
      <c r="F1055" s="55" t="inlineStr">
        <is>
          <t>HDFC Securities - Sell</t>
        </is>
      </c>
      <c r="G1055" s="18" t="n">
        <v>0.97</v>
      </c>
      <c r="H1055" s="55" t="inlineStr">
        <is>
          <t>HDFC Securities</t>
        </is>
      </c>
      <c r="I1055" s="55" t="inlineStr">
        <is>
          <t>HDFC 5413</t>
        </is>
      </c>
      <c r="J1055" s="55" t="inlineStr"/>
      <c r="K1055" s="55" t="inlineStr">
        <is>
          <t>NET PO FROM HSL A/C 2554606-50200085415108</t>
        </is>
      </c>
      <c r="L1055" s="55" t="inlineStr">
        <is>
          <t>HDFC Bank</t>
        </is>
      </c>
      <c r="M1055" s="55" t="inlineStr"/>
    </row>
    <row r="1056">
      <c r="A1056" s="58" t="n">
        <v>45247</v>
      </c>
      <c r="B1056" s="58" t="n">
        <v>45247</v>
      </c>
      <c r="C1056" s="59" t="n">
        <v>100</v>
      </c>
      <c r="D1056" s="59" t="n">
        <v>0</v>
      </c>
      <c r="E1056" s="59" t="inlineStr"/>
      <c r="F1056" s="59" t="inlineStr">
        <is>
          <t>MF Investment</t>
        </is>
      </c>
      <c r="G1056" s="18" t="n">
        <v>0.88</v>
      </c>
      <c r="H1056" s="59" t="inlineStr">
        <is>
          <t>Investments</t>
        </is>
      </c>
      <c r="I1056" s="59" t="inlineStr">
        <is>
          <t>FEDERAL 0847</t>
        </is>
      </c>
      <c r="J1056" s="59" t="inlineStr"/>
      <c r="K1056" s="59" t="inlineStr">
        <is>
          <t>NFT/NEOSIEXEDDD2023111712362104738 NAVI
Mutual Fun</t>
        </is>
      </c>
      <c r="L1056" s="59" t="inlineStr">
        <is>
          <t>Federal Bank (Jupiter)</t>
        </is>
      </c>
      <c r="M1056" s="59" t="inlineStr"/>
    </row>
    <row r="1057">
      <c r="A1057" s="37" t="n">
        <v>45248</v>
      </c>
      <c r="B1057" s="37" t="n">
        <v>45248</v>
      </c>
      <c r="C1057" s="38" t="n">
        <v>75</v>
      </c>
      <c r="D1057" s="38" t="n">
        <v>0</v>
      </c>
      <c r="E1057" s="38" t="inlineStr"/>
      <c r="F1057" s="38" t="inlineStr">
        <is>
          <t>UPI Payment</t>
        </is>
      </c>
      <c r="G1057" s="25" t="n">
        <v>0.55</v>
      </c>
      <c r="H1057" s="38" t="inlineStr">
        <is>
          <t>Personal</t>
        </is>
      </c>
      <c r="I1057" s="38" t="inlineStr">
        <is>
          <t>FEDERAL 0847</t>
        </is>
      </c>
      <c r="J1057" s="38" t="inlineStr"/>
      <c r="K1057" s="38" t="inlineStr">
        <is>
          <t>UPIOUT/332210009464/Q092156324@ybl/Sent
via /5814</t>
        </is>
      </c>
      <c r="L1057" s="38" t="inlineStr">
        <is>
          <t>Federal Bank (Jupiter)</t>
        </is>
      </c>
      <c r="M1057" s="38" t="inlineStr"/>
    </row>
    <row r="1058">
      <c r="A1058" s="95" t="n">
        <v>45248</v>
      </c>
      <c r="B1058" s="95" t="n">
        <v>45248</v>
      </c>
      <c r="C1058" s="96" t="n">
        <v>332</v>
      </c>
      <c r="D1058" s="96" t="n">
        <v>0</v>
      </c>
      <c r="E1058" s="96" t="inlineStr"/>
      <c r="F1058" s="96" t="inlineStr">
        <is>
          <t>UPI - Zepto</t>
        </is>
      </c>
      <c r="G1058" s="34" t="n">
        <v>0.68</v>
      </c>
      <c r="H1058" s="96" t="inlineStr">
        <is>
          <t>Groceries</t>
        </is>
      </c>
      <c r="I1058" s="96" t="inlineStr">
        <is>
          <t>FEDERAL 0847</t>
        </is>
      </c>
      <c r="J1058" s="96" t="inlineStr"/>
      <c r="K1058" s="96" t="inlineStr">
        <is>
          <t>UPIOUT/332220728063/zeptonowcashfree@hdfcb
an/5411</t>
        </is>
      </c>
      <c r="L1058" s="96" t="inlineStr">
        <is>
          <t>Federal Bank (Jupiter)</t>
        </is>
      </c>
      <c r="M1058" s="96" t="inlineStr"/>
    </row>
    <row r="1059">
      <c r="A1059" s="58" t="n">
        <v>45248</v>
      </c>
      <c r="B1059" s="58" t="n">
        <v>45248</v>
      </c>
      <c r="C1059" s="59" t="n">
        <v>100</v>
      </c>
      <c r="D1059" s="59" t="n">
        <v>0</v>
      </c>
      <c r="E1059" s="59" t="inlineStr"/>
      <c r="F1059" s="59" t="inlineStr">
        <is>
          <t>MF Investment</t>
        </is>
      </c>
      <c r="G1059" s="18" t="n">
        <v>0.88</v>
      </c>
      <c r="H1059" s="59" t="inlineStr">
        <is>
          <t>Investments</t>
        </is>
      </c>
      <c r="I1059" s="59" t="inlineStr">
        <is>
          <t>FEDERAL 0847</t>
        </is>
      </c>
      <c r="J1059" s="59" t="inlineStr"/>
      <c r="K1059" s="59" t="inlineStr">
        <is>
          <t>NFT/NEOSIEXEDDD2023111812352644394 NAVI
Mutual Fun</t>
        </is>
      </c>
      <c r="L1059" s="59" t="inlineStr">
        <is>
          <t>Federal Bank (Jupiter)</t>
        </is>
      </c>
      <c r="M1059" s="59" t="inlineStr"/>
    </row>
    <row r="1060">
      <c r="A1060" s="37" t="n">
        <v>45248</v>
      </c>
      <c r="B1060" s="37" t="n">
        <v>45248</v>
      </c>
      <c r="C1060" s="38" t="n">
        <v>20</v>
      </c>
      <c r="D1060" s="38" t="n">
        <v>0</v>
      </c>
      <c r="E1060" s="38" t="inlineStr"/>
      <c r="F1060" s="38" t="inlineStr">
        <is>
          <t>UPI Payment</t>
        </is>
      </c>
      <c r="G1060" s="25" t="n">
        <v>0.55</v>
      </c>
      <c r="H1060" s="38" t="inlineStr">
        <is>
          <t>Personal</t>
        </is>
      </c>
      <c r="I1060" s="38" t="inlineStr">
        <is>
          <t>FEDERAL 0847</t>
        </is>
      </c>
      <c r="J1060" s="38" t="inlineStr"/>
      <c r="K1060" s="38" t="inlineStr">
        <is>
          <t>UPIOUT/332231635559/Q614784165@ybl/Sent
via /5311</t>
        </is>
      </c>
      <c r="L1060" s="38" t="inlineStr">
        <is>
          <t>Federal Bank (Jupiter)</t>
        </is>
      </c>
      <c r="M1060" s="38" t="inlineStr"/>
    </row>
    <row r="1061">
      <c r="A1061" s="32" t="n">
        <v>45248</v>
      </c>
      <c r="B1061" s="32" t="n">
        <v>45248</v>
      </c>
      <c r="C1061" s="33" t="n">
        <v>20</v>
      </c>
      <c r="D1061" s="33" t="n">
        <v>0</v>
      </c>
      <c r="E1061" s="33" t="inlineStr"/>
      <c r="F1061" s="33" t="inlineStr">
        <is>
          <t>UPI - BharatPe</t>
        </is>
      </c>
      <c r="G1061" s="34" t="n">
        <v>0.65</v>
      </c>
      <c r="H1061" s="33" t="inlineStr">
        <is>
          <t>Personal</t>
        </is>
      </c>
      <c r="I1061" s="33" t="inlineStr">
        <is>
          <t>FEDERAL 0847</t>
        </is>
      </c>
      <c r="J1061" s="33" t="inlineStr"/>
      <c r="K1061" s="33" t="inlineStr">
        <is>
          <t>UPIOUT/332231274369/BHARATPE90727090707@ye
sb/5814</t>
        </is>
      </c>
      <c r="L1061" s="33" t="inlineStr">
        <is>
          <t>Federal Bank (Jupiter)</t>
        </is>
      </c>
      <c r="M1061" s="33" t="inlineStr"/>
    </row>
    <row r="1062">
      <c r="A1062" s="35" t="n">
        <v>45248</v>
      </c>
      <c r="B1062" s="35" t="n">
        <v>45248</v>
      </c>
      <c r="C1062" s="36" t="n">
        <v>60</v>
      </c>
      <c r="D1062" s="36" t="n">
        <v>0</v>
      </c>
      <c r="E1062" s="36" t="inlineStr"/>
      <c r="F1062" s="36" t="inlineStr">
        <is>
          <t>UPI - Paytm</t>
        </is>
      </c>
      <c r="G1062" s="34" t="n">
        <v>0.65</v>
      </c>
      <c r="H1062" s="36" t="inlineStr">
        <is>
          <t>Personal</t>
        </is>
      </c>
      <c r="I1062" s="36" t="inlineStr">
        <is>
          <t>FEDERAL 0847</t>
        </is>
      </c>
      <c r="J1062" s="36" t="inlineStr"/>
      <c r="K1062" s="36" t="inlineStr">
        <is>
          <t>UPIOUT/332230792421/paytmqr1a2plltyay@payt
m//5812</t>
        </is>
      </c>
      <c r="L1062" s="36" t="inlineStr">
        <is>
          <t>Federal Bank (Jupiter)</t>
        </is>
      </c>
      <c r="M1062" s="36" t="inlineStr"/>
    </row>
    <row r="1063">
      <c r="A1063" s="35" t="n">
        <v>45248</v>
      </c>
      <c r="B1063" s="35" t="n">
        <v>45248</v>
      </c>
      <c r="C1063" s="36" t="n">
        <v>30</v>
      </c>
      <c r="D1063" s="36" t="n">
        <v>0</v>
      </c>
      <c r="E1063" s="36" t="inlineStr"/>
      <c r="F1063" s="36" t="inlineStr">
        <is>
          <t>UPI - Paytm</t>
        </is>
      </c>
      <c r="G1063" s="34" t="n">
        <v>0.65</v>
      </c>
      <c r="H1063" s="36" t="inlineStr">
        <is>
          <t>Personal</t>
        </is>
      </c>
      <c r="I1063" s="36" t="inlineStr">
        <is>
          <t>FEDERAL 0847</t>
        </is>
      </c>
      <c r="J1063" s="36" t="inlineStr"/>
      <c r="K1063" s="36" t="inlineStr">
        <is>
          <t>UPIOUT/332225101972/paytmqry58zxdl1zx@payt
m//5814</t>
        </is>
      </c>
      <c r="L1063" s="36" t="inlineStr">
        <is>
          <t>Federal Bank (Jupiter)</t>
        </is>
      </c>
      <c r="M1063" s="36" t="inlineStr"/>
    </row>
    <row r="1064">
      <c r="A1064" s="37" t="n">
        <v>45248</v>
      </c>
      <c r="B1064" s="37" t="n">
        <v>45248</v>
      </c>
      <c r="C1064" s="38" t="n">
        <v>25</v>
      </c>
      <c r="D1064" s="38" t="n">
        <v>0</v>
      </c>
      <c r="E1064" s="38" t="inlineStr"/>
      <c r="F1064" s="38" t="inlineStr">
        <is>
          <t>UPI Payment</t>
        </is>
      </c>
      <c r="G1064" s="25" t="n">
        <v>0.55</v>
      </c>
      <c r="H1064" s="38" t="inlineStr">
        <is>
          <t>Personal</t>
        </is>
      </c>
      <c r="I1064" s="38" t="inlineStr">
        <is>
          <t>FEDERAL 0847</t>
        </is>
      </c>
      <c r="J1064" s="38" t="inlineStr"/>
      <c r="K1064" s="38" t="inlineStr">
        <is>
          <t>UPIOUT/332210616891/Q092156324@ybl/Sent
via /5814</t>
        </is>
      </c>
      <c r="L1064" s="38" t="inlineStr">
        <is>
          <t>Federal Bank (Jupiter)</t>
        </is>
      </c>
      <c r="M1064" s="38" t="inlineStr"/>
    </row>
    <row r="1065">
      <c r="A1065" s="91" t="n">
        <v>45248</v>
      </c>
      <c r="B1065" s="91" t="n">
        <v>45248</v>
      </c>
      <c r="C1065" s="92" t="n">
        <v>99.01000000000001</v>
      </c>
      <c r="D1065" s="92" t="n">
        <v>0</v>
      </c>
      <c r="E1065" s="92" t="inlineStr"/>
      <c r="F1065" s="92" t="inlineStr">
        <is>
          <t>UPI - Uber</t>
        </is>
      </c>
      <c r="G1065" s="34" t="n">
        <v>0.68</v>
      </c>
      <c r="H1065" s="92" t="inlineStr">
        <is>
          <t>Transport</t>
        </is>
      </c>
      <c r="I1065" s="92" t="inlineStr">
        <is>
          <t>FEDERAL 0847</t>
        </is>
      </c>
      <c r="J1065" s="92" t="inlineStr"/>
      <c r="K1065" s="92" t="inlineStr">
        <is>
          <t>UPIOUT/332232131392/uberrides@hdfcbank/cha
rg/5960</t>
        </is>
      </c>
      <c r="L1065" s="92" t="inlineStr">
        <is>
          <t>Federal Bank (Jupiter)</t>
        </is>
      </c>
      <c r="M1065" s="92" t="inlineStr"/>
    </row>
    <row r="1066">
      <c r="A1066" s="37" t="n">
        <v>45248</v>
      </c>
      <c r="B1066" s="37" t="n">
        <v>45248</v>
      </c>
      <c r="C1066" s="38" t="n">
        <v>299</v>
      </c>
      <c r="D1066" s="38" t="n">
        <v>0</v>
      </c>
      <c r="E1066" s="38" t="inlineStr"/>
      <c r="F1066" s="38" t="inlineStr">
        <is>
          <t>UPI Payment</t>
        </is>
      </c>
      <c r="G1066" s="25" t="n">
        <v>0.55</v>
      </c>
      <c r="H1066" s="38" t="inlineStr">
        <is>
          <t>Personal</t>
        </is>
      </c>
      <c r="I1066" s="38" t="inlineStr">
        <is>
          <t>FEDERAL 0847</t>
        </is>
      </c>
      <c r="J1066" s="38" t="inlineStr"/>
      <c r="K1066" s="38" t="inlineStr">
        <is>
          <t>UPIOUT/332214285798/crosswordbookstoresl.6
16/5942</t>
        </is>
      </c>
      <c r="L1066" s="38" t="inlineStr">
        <is>
          <t>Federal Bank (Jupiter)</t>
        </is>
      </c>
      <c r="M1066" s="38" t="inlineStr"/>
    </row>
    <row r="1067">
      <c r="A1067" s="35" t="n">
        <v>45249</v>
      </c>
      <c r="B1067" s="35" t="n">
        <v>45249</v>
      </c>
      <c r="C1067" s="36" t="n">
        <v>15</v>
      </c>
      <c r="D1067" s="36" t="n">
        <v>0</v>
      </c>
      <c r="E1067" s="36" t="inlineStr"/>
      <c r="F1067" s="36" t="inlineStr">
        <is>
          <t>UPI - Paytm</t>
        </is>
      </c>
      <c r="G1067" s="34" t="n">
        <v>0.65</v>
      </c>
      <c r="H1067" s="36" t="inlineStr">
        <is>
          <t>Personal</t>
        </is>
      </c>
      <c r="I1067" s="36" t="inlineStr">
        <is>
          <t>FEDERAL 0847</t>
        </is>
      </c>
      <c r="J1067" s="36" t="inlineStr"/>
      <c r="K1067" s="36" t="inlineStr">
        <is>
          <t>UPIOUT/332346610032/paytmqr1ox7m6rgyo@payt
m//5812</t>
        </is>
      </c>
      <c r="L1067" s="36" t="inlineStr">
        <is>
          <t>Federal Bank (Jupiter)</t>
        </is>
      </c>
      <c r="M1067" s="36" t="inlineStr"/>
    </row>
    <row r="1068">
      <c r="A1068" s="35" t="n">
        <v>45249</v>
      </c>
      <c r="B1068" s="35" t="n">
        <v>45249</v>
      </c>
      <c r="C1068" s="36" t="n">
        <v>30</v>
      </c>
      <c r="D1068" s="36" t="n">
        <v>0</v>
      </c>
      <c r="E1068" s="36" t="inlineStr"/>
      <c r="F1068" s="36" t="inlineStr">
        <is>
          <t>UPI - Paytm</t>
        </is>
      </c>
      <c r="G1068" s="34" t="n">
        <v>0.65</v>
      </c>
      <c r="H1068" s="36" t="inlineStr">
        <is>
          <t>Personal</t>
        </is>
      </c>
      <c r="I1068" s="36" t="inlineStr">
        <is>
          <t>FEDERAL 0847</t>
        </is>
      </c>
      <c r="J1068" s="36" t="inlineStr"/>
      <c r="K1068" s="36" t="inlineStr">
        <is>
          <t>UPIOUT/332346344087/paytmqruct2pt8f1w@payt
m//5462</t>
        </is>
      </c>
      <c r="L1068" s="36" t="inlineStr">
        <is>
          <t>Federal Bank (Jupiter)</t>
        </is>
      </c>
      <c r="M1068" s="36" t="inlineStr"/>
    </row>
    <row r="1069">
      <c r="A1069" s="58" t="n">
        <v>45249</v>
      </c>
      <c r="B1069" s="58" t="n">
        <v>45249</v>
      </c>
      <c r="C1069" s="59" t="n">
        <v>100</v>
      </c>
      <c r="D1069" s="59" t="n">
        <v>0</v>
      </c>
      <c r="E1069" s="59" t="inlineStr"/>
      <c r="F1069" s="59" t="inlineStr">
        <is>
          <t>MF Investment</t>
        </is>
      </c>
      <c r="G1069" s="18" t="n">
        <v>0.88</v>
      </c>
      <c r="H1069" s="59" t="inlineStr">
        <is>
          <t>Investments</t>
        </is>
      </c>
      <c r="I1069" s="59" t="inlineStr">
        <is>
          <t>FEDERAL 0847</t>
        </is>
      </c>
      <c r="J1069" s="59" t="inlineStr"/>
      <c r="K1069" s="59" t="inlineStr">
        <is>
          <t>NFT/NEOSIEXEDDD2023111912352958631 NAVI
Mutual Fun</t>
        </is>
      </c>
      <c r="L1069" s="59" t="inlineStr">
        <is>
          <t>Federal Bank (Jupiter)</t>
        </is>
      </c>
      <c r="M1069" s="59" t="inlineStr"/>
    </row>
    <row r="1070">
      <c r="A1070" s="41" t="n">
        <v>45250</v>
      </c>
      <c r="B1070" s="41" t="n">
        <v>45250</v>
      </c>
      <c r="C1070" s="42" t="n">
        <v>169.32</v>
      </c>
      <c r="D1070" s="42" t="n">
        <v>0</v>
      </c>
      <c r="E1070" s="42" t="inlineStr"/>
      <c r="F1070" s="42" t="inlineStr">
        <is>
          <t>HDFC Securities - Buy</t>
        </is>
      </c>
      <c r="G1070" s="18" t="n">
        <v>0.97</v>
      </c>
      <c r="H1070" s="42" t="inlineStr">
        <is>
          <t>HDFC Securities</t>
        </is>
      </c>
      <c r="I1070" s="42" t="inlineStr">
        <is>
          <t>HDFC 5413</t>
        </is>
      </c>
      <c r="J1070" s="42" t="inlineStr"/>
      <c r="K1070" s="42" t="inlineStr">
        <is>
          <t>NET PI TO HSL SEC A/C 2554606-00602340029427</t>
        </is>
      </c>
      <c r="L1070" s="42" t="inlineStr">
        <is>
          <t>HDFC Bank</t>
        </is>
      </c>
      <c r="M1070" s="42" t="inlineStr"/>
    </row>
    <row r="1071">
      <c r="A1071" s="35" t="n">
        <v>45250</v>
      </c>
      <c r="B1071" s="35" t="n">
        <v>45250</v>
      </c>
      <c r="C1071" s="36" t="n">
        <v>90</v>
      </c>
      <c r="D1071" s="36" t="n">
        <v>0</v>
      </c>
      <c r="E1071" s="36" t="inlineStr"/>
      <c r="F1071" s="36" t="inlineStr">
        <is>
          <t>UPI - Paytm</t>
        </is>
      </c>
      <c r="G1071" s="34" t="n">
        <v>0.65</v>
      </c>
      <c r="H1071" s="36" t="inlineStr">
        <is>
          <t>Personal</t>
        </is>
      </c>
      <c r="I1071" s="36" t="inlineStr">
        <is>
          <t>FEDERAL 0847</t>
        </is>
      </c>
      <c r="J1071" s="36" t="inlineStr"/>
      <c r="K1071" s="36" t="inlineStr">
        <is>
          <t>UPIOUT/332420186974/paytmqr2810050501015w5
z0/5812</t>
        </is>
      </c>
      <c r="L1071" s="36" t="inlineStr">
        <is>
          <t>Federal Bank (Jupiter)</t>
        </is>
      </c>
      <c r="M1071" s="36" t="inlineStr"/>
    </row>
    <row r="1072">
      <c r="A1072" s="58" t="n">
        <v>45250</v>
      </c>
      <c r="B1072" s="58" t="n">
        <v>45250</v>
      </c>
      <c r="C1072" s="59" t="n">
        <v>100</v>
      </c>
      <c r="D1072" s="59" t="n">
        <v>0</v>
      </c>
      <c r="E1072" s="59" t="inlineStr"/>
      <c r="F1072" s="59" t="inlineStr">
        <is>
          <t>MF Investment</t>
        </is>
      </c>
      <c r="G1072" s="18" t="n">
        <v>0.88</v>
      </c>
      <c r="H1072" s="59" t="inlineStr">
        <is>
          <t>Investments</t>
        </is>
      </c>
      <c r="I1072" s="59" t="inlineStr">
        <is>
          <t>FEDERAL 0847</t>
        </is>
      </c>
      <c r="J1072" s="59" t="inlineStr"/>
      <c r="K1072" s="59" t="inlineStr">
        <is>
          <t>NFT/NEOSIEXEDDD2023112012351458073 NAVI
Mutual Fun</t>
        </is>
      </c>
      <c r="L1072" s="59" t="inlineStr">
        <is>
          <t>Federal Bank (Jupiter)</t>
        </is>
      </c>
      <c r="M1072" s="59" t="inlineStr"/>
    </row>
    <row r="1073">
      <c r="A1073" s="37" t="n">
        <v>45250</v>
      </c>
      <c r="B1073" s="37" t="n">
        <v>45250</v>
      </c>
      <c r="C1073" s="38" t="n">
        <v>40</v>
      </c>
      <c r="D1073" s="38" t="n">
        <v>0</v>
      </c>
      <c r="E1073" s="38" t="inlineStr"/>
      <c r="F1073" s="38" t="inlineStr">
        <is>
          <t>UPI Payment</t>
        </is>
      </c>
      <c r="G1073" s="25" t="n">
        <v>0.55</v>
      </c>
      <c r="H1073" s="38" t="inlineStr">
        <is>
          <t>Personal</t>
        </is>
      </c>
      <c r="I1073" s="38" t="inlineStr">
        <is>
          <t>FEDERAL 0847</t>
        </is>
      </c>
      <c r="J1073" s="38" t="inlineStr"/>
      <c r="K1073" s="38" t="inlineStr">
        <is>
          <t>UPIOUT/332420265088/Q917893938@ybl/Sent
via /5814</t>
        </is>
      </c>
      <c r="L1073" s="38" t="inlineStr">
        <is>
          <t>Federal Bank (Jupiter)</t>
        </is>
      </c>
      <c r="M1073" s="38" t="inlineStr"/>
    </row>
    <row r="1074">
      <c r="A1074" s="35" t="n">
        <v>45250</v>
      </c>
      <c r="B1074" s="35" t="n">
        <v>45250</v>
      </c>
      <c r="C1074" s="36" t="n">
        <v>30</v>
      </c>
      <c r="D1074" s="36" t="n">
        <v>0</v>
      </c>
      <c r="E1074" s="36" t="inlineStr"/>
      <c r="F1074" s="36" t="inlineStr">
        <is>
          <t>UPI - Paytm</t>
        </is>
      </c>
      <c r="G1074" s="34" t="n">
        <v>0.65</v>
      </c>
      <c r="H1074" s="36" t="inlineStr">
        <is>
          <t>Personal</t>
        </is>
      </c>
      <c r="I1074" s="36" t="inlineStr">
        <is>
          <t>FEDERAL 0847</t>
        </is>
      </c>
      <c r="J1074" s="36" t="inlineStr"/>
      <c r="K1074" s="36" t="inlineStr">
        <is>
          <t>UPIOUT/332411508334/paytmqry58zxdl1zx@payt
m//5814</t>
        </is>
      </c>
      <c r="L1074" s="36" t="inlineStr">
        <is>
          <t>Federal Bank (Jupiter)</t>
        </is>
      </c>
      <c r="M1074" s="36" t="inlineStr"/>
    </row>
    <row r="1075">
      <c r="A1075" s="35" t="n">
        <v>45250</v>
      </c>
      <c r="B1075" s="35" t="n">
        <v>45250</v>
      </c>
      <c r="C1075" s="36" t="n">
        <v>20</v>
      </c>
      <c r="D1075" s="36" t="n">
        <v>0</v>
      </c>
      <c r="E1075" s="36" t="inlineStr"/>
      <c r="F1075" s="36" t="inlineStr">
        <is>
          <t>UPI - Paytm</t>
        </is>
      </c>
      <c r="G1075" s="34" t="n">
        <v>0.65</v>
      </c>
      <c r="H1075" s="36" t="inlineStr">
        <is>
          <t>Personal</t>
        </is>
      </c>
      <c r="I1075" s="36" t="inlineStr">
        <is>
          <t>FEDERAL 0847</t>
        </is>
      </c>
      <c r="J1075" s="36" t="inlineStr"/>
      <c r="K1075" s="36" t="inlineStr">
        <is>
          <t>UPIOUT/332411630892/paytmqrfmo9fujhwg@payt
m//5812</t>
        </is>
      </c>
      <c r="L1075" s="36" t="inlineStr">
        <is>
          <t>Federal Bank (Jupiter)</t>
        </is>
      </c>
      <c r="M1075" s="36" t="inlineStr"/>
    </row>
    <row r="1076">
      <c r="A1076" s="41" t="n">
        <v>45251</v>
      </c>
      <c r="B1076" s="41" t="n">
        <v>45251</v>
      </c>
      <c r="C1076" s="42" t="n">
        <v>73.68000000000001</v>
      </c>
      <c r="D1076" s="42" t="n">
        <v>0</v>
      </c>
      <c r="E1076" s="42" t="inlineStr"/>
      <c r="F1076" s="42" t="inlineStr">
        <is>
          <t>HDFC Securities - Buy</t>
        </is>
      </c>
      <c r="G1076" s="18" t="n">
        <v>0.97</v>
      </c>
      <c r="H1076" s="42" t="inlineStr">
        <is>
          <t>HDFC Securities</t>
        </is>
      </c>
      <c r="I1076" s="42" t="inlineStr">
        <is>
          <t>HDFC 5413</t>
        </is>
      </c>
      <c r="J1076" s="42" t="inlineStr"/>
      <c r="K1076" s="42" t="inlineStr">
        <is>
          <t>NET PI TO HSL SEC A/C 2554606-00602340029427</t>
        </is>
      </c>
      <c r="L1076" s="42" t="inlineStr">
        <is>
          <t>HDFC Bank</t>
        </is>
      </c>
      <c r="M1076" s="42" t="inlineStr"/>
    </row>
    <row r="1077">
      <c r="A1077" s="54" t="n">
        <v>45251</v>
      </c>
      <c r="B1077" s="54" t="n">
        <v>45251</v>
      </c>
      <c r="C1077" s="55" t="n">
        <v>0</v>
      </c>
      <c r="D1077" s="55" t="n">
        <v>235.17</v>
      </c>
      <c r="E1077" s="55" t="inlineStr"/>
      <c r="F1077" s="55" t="inlineStr">
        <is>
          <t>HDFC Securities - Sell</t>
        </is>
      </c>
      <c r="G1077" s="18" t="n">
        <v>0.97</v>
      </c>
      <c r="H1077" s="55" t="inlineStr">
        <is>
          <t>HDFC Securities</t>
        </is>
      </c>
      <c r="I1077" s="55" t="inlineStr">
        <is>
          <t>HDFC 5413</t>
        </is>
      </c>
      <c r="J1077" s="55" t="inlineStr"/>
      <c r="K1077" s="55" t="inlineStr">
        <is>
          <t>NET PO FROM HSL A/C 2554606-50200085415108</t>
        </is>
      </c>
      <c r="L1077" s="55" t="inlineStr">
        <is>
          <t>HDFC Bank</t>
        </is>
      </c>
      <c r="M1077" s="55" t="inlineStr"/>
    </row>
    <row r="1078">
      <c r="A1078" s="54" t="n">
        <v>45251</v>
      </c>
      <c r="B1078" s="54" t="n">
        <v>45251</v>
      </c>
      <c r="C1078" s="55" t="n">
        <v>0</v>
      </c>
      <c r="D1078" s="55" t="n">
        <v>33194.83</v>
      </c>
      <c r="E1078" s="55" t="inlineStr"/>
      <c r="F1078" s="55" t="inlineStr">
        <is>
          <t>HDFC Securities - Sell</t>
        </is>
      </c>
      <c r="G1078" s="18" t="n">
        <v>0.97</v>
      </c>
      <c r="H1078" s="55" t="inlineStr">
        <is>
          <t>HDFC Securities</t>
        </is>
      </c>
      <c r="I1078" s="55" t="inlineStr">
        <is>
          <t>HDFC 5413</t>
        </is>
      </c>
      <c r="J1078" s="55" t="inlineStr"/>
      <c r="K1078" s="55" t="inlineStr">
        <is>
          <t>NET PO FROM HSL A/C 2554606-50200085415108</t>
        </is>
      </c>
      <c r="L1078" s="55" t="inlineStr">
        <is>
          <t>HDFC Bank</t>
        </is>
      </c>
      <c r="M1078" s="55" t="inlineStr"/>
    </row>
    <row r="1079">
      <c r="A1079" s="35" t="n">
        <v>45251</v>
      </c>
      <c r="B1079" s="35" t="n">
        <v>45251</v>
      </c>
      <c r="C1079" s="36" t="n">
        <v>10</v>
      </c>
      <c r="D1079" s="36" t="n">
        <v>0</v>
      </c>
      <c r="E1079" s="36" t="inlineStr"/>
      <c r="F1079" s="36" t="inlineStr">
        <is>
          <t>UPI - Paytm</t>
        </is>
      </c>
      <c r="G1079" s="34" t="n">
        <v>0.65</v>
      </c>
      <c r="H1079" s="36" t="inlineStr">
        <is>
          <t>Personal</t>
        </is>
      </c>
      <c r="I1079" s="36" t="inlineStr">
        <is>
          <t>FEDERAL 0847</t>
        </is>
      </c>
      <c r="J1079" s="36" t="inlineStr"/>
      <c r="K1079" s="36" t="inlineStr">
        <is>
          <t>UPIOUT/332542368966/paytmqrfmo9fujhwg@payt
m//5812</t>
        </is>
      </c>
      <c r="L1079" s="36" t="inlineStr">
        <is>
          <t>Federal Bank (Jupiter)</t>
        </is>
      </c>
      <c r="M1079" s="36" t="inlineStr">
        <is>
          <t>⚠ Possible Duplicate</t>
        </is>
      </c>
    </row>
    <row r="1080">
      <c r="A1080" s="58" t="n">
        <v>45251</v>
      </c>
      <c r="B1080" s="58" t="n">
        <v>45251</v>
      </c>
      <c r="C1080" s="59" t="n">
        <v>100</v>
      </c>
      <c r="D1080" s="59" t="n">
        <v>0</v>
      </c>
      <c r="E1080" s="59" t="inlineStr"/>
      <c r="F1080" s="59" t="inlineStr">
        <is>
          <t>MF Investment</t>
        </is>
      </c>
      <c r="G1080" s="18" t="n">
        <v>0.88</v>
      </c>
      <c r="H1080" s="59" t="inlineStr">
        <is>
          <t>Investments</t>
        </is>
      </c>
      <c r="I1080" s="59" t="inlineStr">
        <is>
          <t>FEDERAL 0847</t>
        </is>
      </c>
      <c r="J1080" s="59" t="inlineStr"/>
      <c r="K1080" s="59" t="inlineStr">
        <is>
          <t>NFT/NEOSIEXEDDD2023112112351466037 NAVI
Mutual Fun</t>
        </is>
      </c>
      <c r="L1080" s="59" t="inlineStr">
        <is>
          <t>Federal Bank (Jupiter)</t>
        </is>
      </c>
      <c r="M1080" s="59" t="inlineStr"/>
    </row>
    <row r="1081">
      <c r="A1081" s="58" t="n">
        <v>45251</v>
      </c>
      <c r="B1081" s="58" t="n">
        <v>45251</v>
      </c>
      <c r="C1081" s="59" t="n">
        <v>1000</v>
      </c>
      <c r="D1081" s="59" t="n">
        <v>0</v>
      </c>
      <c r="E1081" s="59" t="inlineStr"/>
      <c r="F1081" s="59" t="inlineStr">
        <is>
          <t>MF Investment</t>
        </is>
      </c>
      <c r="G1081" s="18" t="n">
        <v>0.88</v>
      </c>
      <c r="H1081" s="59" t="inlineStr">
        <is>
          <t>Investments</t>
        </is>
      </c>
      <c r="I1081" s="59" t="inlineStr">
        <is>
          <t>FEDERAL 0847</t>
        </is>
      </c>
      <c r="J1081" s="59" t="inlineStr"/>
      <c r="K1081" s="59" t="inlineStr">
        <is>
          <t>NFT/NEOSIEXEDDD2023112102390713794 Mirae
Asset Mut</t>
        </is>
      </c>
      <c r="L1081" s="59" t="inlineStr">
        <is>
          <t>Federal Bank (Jupiter)</t>
        </is>
      </c>
      <c r="M1081" s="59" t="inlineStr">
        <is>
          <t>⚠ Possible Duplicate</t>
        </is>
      </c>
    </row>
    <row r="1082">
      <c r="A1082" s="35" t="n">
        <v>45251</v>
      </c>
      <c r="B1082" s="35" t="n">
        <v>45251</v>
      </c>
      <c r="C1082" s="36" t="n">
        <v>35</v>
      </c>
      <c r="D1082" s="36" t="n">
        <v>0</v>
      </c>
      <c r="E1082" s="36" t="inlineStr"/>
      <c r="F1082" s="36" t="inlineStr">
        <is>
          <t>UPI - Paytm</t>
        </is>
      </c>
      <c r="G1082" s="34" t="n">
        <v>0.65</v>
      </c>
      <c r="H1082" s="36" t="inlineStr">
        <is>
          <t>Personal</t>
        </is>
      </c>
      <c r="I1082" s="36" t="inlineStr">
        <is>
          <t>FEDERAL 0847</t>
        </is>
      </c>
      <c r="J1082" s="36" t="inlineStr"/>
      <c r="K1082" s="36" t="inlineStr">
        <is>
          <t>UPIOUT/332531317623/paytmqry3eyiz8yp2@payt
m//5812</t>
        </is>
      </c>
      <c r="L1082" s="36" t="inlineStr">
        <is>
          <t>Federal Bank (Jupiter)</t>
        </is>
      </c>
      <c r="M1082" s="36" t="inlineStr"/>
    </row>
    <row r="1083">
      <c r="A1083" s="35" t="n">
        <v>45251</v>
      </c>
      <c r="B1083" s="35" t="n">
        <v>45251</v>
      </c>
      <c r="C1083" s="36" t="n">
        <v>10</v>
      </c>
      <c r="D1083" s="36" t="n">
        <v>0</v>
      </c>
      <c r="E1083" s="36" t="inlineStr"/>
      <c r="F1083" s="36" t="inlineStr">
        <is>
          <t>UPI - Paytm</t>
        </is>
      </c>
      <c r="G1083" s="34" t="n">
        <v>0.65</v>
      </c>
      <c r="H1083" s="36" t="inlineStr">
        <is>
          <t>Personal</t>
        </is>
      </c>
      <c r="I1083" s="36" t="inlineStr">
        <is>
          <t>FEDERAL 0847</t>
        </is>
      </c>
      <c r="J1083" s="36" t="inlineStr"/>
      <c r="K1083" s="36" t="inlineStr">
        <is>
          <t>UPIOUT/332531554492/paytmqrfmo9fujhwg@payt
m//5812</t>
        </is>
      </c>
      <c r="L1083" s="36" t="inlineStr">
        <is>
          <t>Federal Bank (Jupiter)</t>
        </is>
      </c>
      <c r="M1083" s="36" t="inlineStr">
        <is>
          <t>⚠ Possible Duplicate</t>
        </is>
      </c>
    </row>
    <row r="1084">
      <c r="A1084" s="58" t="n">
        <v>45251</v>
      </c>
      <c r="B1084" s="58" t="n">
        <v>45251</v>
      </c>
      <c r="C1084" s="59" t="n">
        <v>1000</v>
      </c>
      <c r="D1084" s="59" t="n">
        <v>0</v>
      </c>
      <c r="E1084" s="59" t="inlineStr"/>
      <c r="F1084" s="59" t="inlineStr">
        <is>
          <t>MF Investment</t>
        </is>
      </c>
      <c r="G1084" s="18" t="n">
        <v>0.88</v>
      </c>
      <c r="H1084" s="59" t="inlineStr">
        <is>
          <t>Investments</t>
        </is>
      </c>
      <c r="I1084" s="59" t="inlineStr">
        <is>
          <t>FEDERAL 0847</t>
        </is>
      </c>
      <c r="J1084" s="59" t="inlineStr"/>
      <c r="K1084" s="59" t="inlineStr">
        <is>
          <t>NFT/NEOSIEXEDDD2023112103091392679 Quant
Mutual Fu</t>
        </is>
      </c>
      <c r="L1084" s="59" t="inlineStr">
        <is>
          <t>Federal Bank (Jupiter)</t>
        </is>
      </c>
      <c r="M1084" s="59" t="inlineStr">
        <is>
          <t>⚠ Possible Duplicate</t>
        </is>
      </c>
    </row>
    <row r="1085">
      <c r="A1085" s="35" t="n">
        <v>45251</v>
      </c>
      <c r="B1085" s="35" t="n">
        <v>45251</v>
      </c>
      <c r="C1085" s="36" t="n">
        <v>70</v>
      </c>
      <c r="D1085" s="36" t="n">
        <v>0</v>
      </c>
      <c r="E1085" s="36" t="inlineStr"/>
      <c r="F1085" s="36" t="inlineStr">
        <is>
          <t>UPI - Paytm</t>
        </is>
      </c>
      <c r="G1085" s="34" t="n">
        <v>0.65</v>
      </c>
      <c r="H1085" s="36" t="inlineStr">
        <is>
          <t>Personal</t>
        </is>
      </c>
      <c r="I1085" s="36" t="inlineStr">
        <is>
          <t>FEDERAL 0847</t>
        </is>
      </c>
      <c r="J1085" s="36" t="inlineStr"/>
      <c r="K1085" s="36" t="inlineStr">
        <is>
          <t>UPIOUT/332541767018/paytmqrfmo9fujhwg@payt
m//5812</t>
        </is>
      </c>
      <c r="L1085" s="36" t="inlineStr">
        <is>
          <t>Federal Bank (Jupiter)</t>
        </is>
      </c>
      <c r="M1085" s="36" t="inlineStr"/>
    </row>
    <row r="1086">
      <c r="A1086" s="95" t="n">
        <v>45251</v>
      </c>
      <c r="B1086" s="95" t="n">
        <v>45251</v>
      </c>
      <c r="C1086" s="96" t="n">
        <v>329</v>
      </c>
      <c r="D1086" s="96" t="n">
        <v>0</v>
      </c>
      <c r="E1086" s="96" t="inlineStr"/>
      <c r="F1086" s="96" t="inlineStr">
        <is>
          <t>UPI - Zepto</t>
        </is>
      </c>
      <c r="G1086" s="34" t="n">
        <v>0.68</v>
      </c>
      <c r="H1086" s="96" t="inlineStr">
        <is>
          <t>Groceries</t>
        </is>
      </c>
      <c r="I1086" s="96" t="inlineStr">
        <is>
          <t>FEDERAL 0847</t>
        </is>
      </c>
      <c r="J1086" s="96" t="inlineStr"/>
      <c r="K1086" s="96" t="inlineStr">
        <is>
          <t>UPIOUT/332556875600/zeptonowcashfree@hdfcb
an/5411</t>
        </is>
      </c>
      <c r="L1086" s="96" t="inlineStr">
        <is>
          <t>Federal Bank (Jupiter)</t>
        </is>
      </c>
      <c r="M1086" s="96" t="inlineStr"/>
    </row>
    <row r="1087">
      <c r="A1087" s="35" t="n">
        <v>45251</v>
      </c>
      <c r="B1087" s="35" t="n">
        <v>45251</v>
      </c>
      <c r="C1087" s="36" t="n">
        <v>80</v>
      </c>
      <c r="D1087" s="36" t="n">
        <v>0</v>
      </c>
      <c r="E1087" s="36" t="inlineStr"/>
      <c r="F1087" s="36" t="inlineStr">
        <is>
          <t>UPI - Paytm</t>
        </is>
      </c>
      <c r="G1087" s="34" t="n">
        <v>0.65</v>
      </c>
      <c r="H1087" s="36" t="inlineStr">
        <is>
          <t>Personal</t>
        </is>
      </c>
      <c r="I1087" s="36" t="inlineStr">
        <is>
          <t>FEDERAL 0847</t>
        </is>
      </c>
      <c r="J1087" s="36" t="inlineStr"/>
      <c r="K1087" s="36" t="inlineStr">
        <is>
          <t>UPIOUT/332557795900/paytmqr2810050501015w5
z0/5812</t>
        </is>
      </c>
      <c r="L1087" s="36" t="inlineStr">
        <is>
          <t>Federal Bank (Jupiter)</t>
        </is>
      </c>
      <c r="M1087" s="36" t="inlineStr"/>
    </row>
    <row r="1088">
      <c r="A1088" s="41" t="n">
        <v>45252</v>
      </c>
      <c r="B1088" s="41" t="n">
        <v>45252</v>
      </c>
      <c r="C1088" s="42" t="n">
        <v>9623.809999999999</v>
      </c>
      <c r="D1088" s="42" t="n">
        <v>0</v>
      </c>
      <c r="E1088" s="42" t="inlineStr"/>
      <c r="F1088" s="42" t="inlineStr">
        <is>
          <t>HDFC Securities - Buy</t>
        </is>
      </c>
      <c r="G1088" s="18" t="n">
        <v>0.97</v>
      </c>
      <c r="H1088" s="42" t="inlineStr">
        <is>
          <t>HDFC Securities</t>
        </is>
      </c>
      <c r="I1088" s="42" t="inlineStr">
        <is>
          <t>HDFC 5413</t>
        </is>
      </c>
      <c r="J1088" s="42" t="inlineStr"/>
      <c r="K1088" s="42" t="inlineStr">
        <is>
          <t>NET PI TO HSL SEC A/C 2554606-00602340029427</t>
        </is>
      </c>
      <c r="L1088" s="42" t="inlineStr">
        <is>
          <t>HDFC Bank</t>
        </is>
      </c>
      <c r="M1088" s="42" t="inlineStr"/>
    </row>
    <row r="1089">
      <c r="A1089" s="54" t="n">
        <v>45252</v>
      </c>
      <c r="B1089" s="54" t="n">
        <v>45252</v>
      </c>
      <c r="C1089" s="55" t="n">
        <v>0</v>
      </c>
      <c r="D1089" s="55" t="n">
        <v>14746.87</v>
      </c>
      <c r="E1089" s="55" t="inlineStr"/>
      <c r="F1089" s="55" t="inlineStr">
        <is>
          <t>HDFC Securities - Sell</t>
        </is>
      </c>
      <c r="G1089" s="18" t="n">
        <v>0.97</v>
      </c>
      <c r="H1089" s="55" t="inlineStr">
        <is>
          <t>HDFC Securities</t>
        </is>
      </c>
      <c r="I1089" s="55" t="inlineStr">
        <is>
          <t>HDFC 5413</t>
        </is>
      </c>
      <c r="J1089" s="55" t="inlineStr"/>
      <c r="K1089" s="55" t="inlineStr">
        <is>
          <t>NET PO FROM HSL A/C 2554606-50200085415108</t>
        </is>
      </c>
      <c r="L1089" s="55" t="inlineStr">
        <is>
          <t>HDFC Bank</t>
        </is>
      </c>
      <c r="M1089" s="55" t="inlineStr"/>
    </row>
    <row r="1090">
      <c r="A1090" s="54" t="n">
        <v>45252</v>
      </c>
      <c r="B1090" s="54" t="n">
        <v>45252</v>
      </c>
      <c r="C1090" s="55" t="n">
        <v>0</v>
      </c>
      <c r="D1090" s="55" t="n">
        <v>147.43</v>
      </c>
      <c r="E1090" s="55" t="inlineStr"/>
      <c r="F1090" s="55" t="inlineStr">
        <is>
          <t>HDFC Securities - Sell</t>
        </is>
      </c>
      <c r="G1090" s="18" t="n">
        <v>0.97</v>
      </c>
      <c r="H1090" s="55" t="inlineStr">
        <is>
          <t>HDFC Securities</t>
        </is>
      </c>
      <c r="I1090" s="55" t="inlineStr">
        <is>
          <t>HDFC 5413</t>
        </is>
      </c>
      <c r="J1090" s="55" t="inlineStr"/>
      <c r="K1090" s="55" t="inlineStr">
        <is>
          <t>NET PO FROM HSL A/C 2554606-50200085415108</t>
        </is>
      </c>
      <c r="L1090" s="55" t="inlineStr">
        <is>
          <t>HDFC Bank</t>
        </is>
      </c>
      <c r="M1090" s="55" t="inlineStr"/>
    </row>
    <row r="1091">
      <c r="A1091" s="97" t="n">
        <v>45252</v>
      </c>
      <c r="B1091" s="97" t="n">
        <v>45252</v>
      </c>
      <c r="C1091" s="98" t="n">
        <v>236</v>
      </c>
      <c r="D1091" s="98" t="n">
        <v>0</v>
      </c>
      <c r="E1091" s="98" t="inlineStr"/>
      <c r="F1091" s="98" t="inlineStr">
        <is>
          <t>UPI - Swiggy</t>
        </is>
      </c>
      <c r="G1091" s="34" t="n">
        <v>0.68</v>
      </c>
      <c r="H1091" s="98" t="inlineStr">
        <is>
          <t>Food &amp; Dining</t>
        </is>
      </c>
      <c r="I1091" s="98" t="inlineStr">
        <is>
          <t>FEDERAL 0847</t>
        </is>
      </c>
      <c r="J1091" s="98" t="inlineStr"/>
      <c r="K1091" s="98" t="inlineStr">
        <is>
          <t>UPIOUT/332625464650/swiggyupi@axisbank/Swi
gg/5814</t>
        </is>
      </c>
      <c r="L1091" s="98" t="inlineStr">
        <is>
          <t>Federal Bank (Jupiter)</t>
        </is>
      </c>
      <c r="M1091" s="98" t="inlineStr"/>
    </row>
    <row r="1092">
      <c r="A1092" s="35" t="n">
        <v>45252</v>
      </c>
      <c r="B1092" s="35" t="n">
        <v>45252</v>
      </c>
      <c r="C1092" s="36" t="n">
        <v>70</v>
      </c>
      <c r="D1092" s="36" t="n">
        <v>0</v>
      </c>
      <c r="E1092" s="36" t="inlineStr"/>
      <c r="F1092" s="36" t="inlineStr">
        <is>
          <t>UPI - Paytm</t>
        </is>
      </c>
      <c r="G1092" s="34" t="n">
        <v>0.65</v>
      </c>
      <c r="H1092" s="36" t="inlineStr">
        <is>
          <t>Personal</t>
        </is>
      </c>
      <c r="I1092" s="36" t="inlineStr">
        <is>
          <t>FEDERAL 0847</t>
        </is>
      </c>
      <c r="J1092" s="36" t="inlineStr"/>
      <c r="K1092" s="36" t="inlineStr">
        <is>
          <t>UPIOUT/332698022973/paytmqr2810050501015w5
z0/5812</t>
        </is>
      </c>
      <c r="L1092" s="36" t="inlineStr">
        <is>
          <t>Federal Bank (Jupiter)</t>
        </is>
      </c>
      <c r="M1092" s="36" t="inlineStr"/>
    </row>
    <row r="1093">
      <c r="A1093" s="35" t="n">
        <v>45252</v>
      </c>
      <c r="B1093" s="35" t="n">
        <v>45252</v>
      </c>
      <c r="C1093" s="36" t="n">
        <v>35</v>
      </c>
      <c r="D1093" s="36" t="n">
        <v>0</v>
      </c>
      <c r="E1093" s="36" t="inlineStr"/>
      <c r="F1093" s="36" t="inlineStr">
        <is>
          <t>UPI - Paytm</t>
        </is>
      </c>
      <c r="G1093" s="34" t="n">
        <v>0.65</v>
      </c>
      <c r="H1093" s="36" t="inlineStr">
        <is>
          <t>Personal</t>
        </is>
      </c>
      <c r="I1093" s="36" t="inlineStr">
        <is>
          <t>FEDERAL 0847</t>
        </is>
      </c>
      <c r="J1093" s="36" t="inlineStr"/>
      <c r="K1093" s="36" t="inlineStr">
        <is>
          <t>UPIOUT/332673202975/paytmqr2810050501011dp
bh/5812</t>
        </is>
      </c>
      <c r="L1093" s="36" t="inlineStr">
        <is>
          <t>Federal Bank (Jupiter)</t>
        </is>
      </c>
      <c r="M1093" s="36" t="inlineStr"/>
    </row>
    <row r="1094">
      <c r="A1094" s="35" t="n">
        <v>45252</v>
      </c>
      <c r="B1094" s="35" t="n">
        <v>45252</v>
      </c>
      <c r="C1094" s="36" t="n">
        <v>26</v>
      </c>
      <c r="D1094" s="36" t="n">
        <v>0</v>
      </c>
      <c r="E1094" s="36" t="inlineStr"/>
      <c r="F1094" s="36" t="inlineStr">
        <is>
          <t>UPI - Paytm</t>
        </is>
      </c>
      <c r="G1094" s="34" t="n">
        <v>0.65</v>
      </c>
      <c r="H1094" s="36" t="inlineStr">
        <is>
          <t>Personal</t>
        </is>
      </c>
      <c r="I1094" s="36" t="inlineStr">
        <is>
          <t>FEDERAL 0847</t>
        </is>
      </c>
      <c r="J1094" s="36" t="inlineStr"/>
      <c r="K1094" s="36" t="inlineStr">
        <is>
          <t>UPIOUT/332676363016/paytm-76881028@paytm/S
en/4121</t>
        </is>
      </c>
      <c r="L1094" s="36" t="inlineStr">
        <is>
          <t>Federal Bank (Jupiter)</t>
        </is>
      </c>
      <c r="M1094" s="36" t="inlineStr"/>
    </row>
    <row r="1095">
      <c r="A1095" s="35" t="n">
        <v>45252</v>
      </c>
      <c r="B1095" s="35" t="n">
        <v>45252</v>
      </c>
      <c r="C1095" s="36" t="n">
        <v>10</v>
      </c>
      <c r="D1095" s="36" t="n">
        <v>0</v>
      </c>
      <c r="E1095" s="36" t="inlineStr"/>
      <c r="F1095" s="36" t="inlineStr">
        <is>
          <t>UPI - Paytm</t>
        </is>
      </c>
      <c r="G1095" s="34" t="n">
        <v>0.65</v>
      </c>
      <c r="H1095" s="36" t="inlineStr">
        <is>
          <t>Personal</t>
        </is>
      </c>
      <c r="I1095" s="36" t="inlineStr">
        <is>
          <t>FEDERAL 0847</t>
        </is>
      </c>
      <c r="J1095" s="36" t="inlineStr"/>
      <c r="K1095" s="36" t="inlineStr">
        <is>
          <t>UPIOUT/332673612287/paytmqrfmo9fujhwg@payt
m//5812</t>
        </is>
      </c>
      <c r="L1095" s="36" t="inlineStr">
        <is>
          <t>Federal Bank (Jupiter)</t>
        </is>
      </c>
      <c r="M1095" s="36" t="inlineStr"/>
    </row>
    <row r="1096">
      <c r="A1096" s="41" t="n">
        <v>45252</v>
      </c>
      <c r="B1096" s="41" t="n">
        <v>45252</v>
      </c>
      <c r="C1096" s="42" t="n">
        <v>73.77</v>
      </c>
      <c r="D1096" s="42" t="n">
        <v>0</v>
      </c>
      <c r="E1096" s="42" t="inlineStr"/>
      <c r="F1096" s="42" t="inlineStr">
        <is>
          <t>HDFC Securities - Buy</t>
        </is>
      </c>
      <c r="G1096" s="18" t="n">
        <v>0.97</v>
      </c>
      <c r="H1096" s="42" t="inlineStr">
        <is>
          <t>HDFC Securities</t>
        </is>
      </c>
      <c r="I1096" s="42" t="inlineStr">
        <is>
          <t>HDFC 5413</t>
        </is>
      </c>
      <c r="J1096" s="42" t="inlineStr"/>
      <c r="K1096" s="42" t="inlineStr">
        <is>
          <t>NET PI TO HSL SEC A/C 2554606-00602340029427</t>
        </is>
      </c>
      <c r="L1096" s="42" t="inlineStr">
        <is>
          <t>HDFC Bank</t>
        </is>
      </c>
      <c r="M1096" s="42" t="inlineStr"/>
    </row>
    <row r="1097">
      <c r="A1097" s="58" t="n">
        <v>45252</v>
      </c>
      <c r="B1097" s="58" t="n">
        <v>45252</v>
      </c>
      <c r="C1097" s="59" t="n">
        <v>100</v>
      </c>
      <c r="D1097" s="59" t="n">
        <v>0</v>
      </c>
      <c r="E1097" s="59" t="inlineStr"/>
      <c r="F1097" s="59" t="inlineStr">
        <is>
          <t>MF Investment</t>
        </is>
      </c>
      <c r="G1097" s="18" t="n">
        <v>0.88</v>
      </c>
      <c r="H1097" s="59" t="inlineStr">
        <is>
          <t>Investments</t>
        </is>
      </c>
      <c r="I1097" s="59" t="inlineStr">
        <is>
          <t>FEDERAL 0847</t>
        </is>
      </c>
      <c r="J1097" s="59" t="inlineStr"/>
      <c r="K1097" s="59" t="inlineStr">
        <is>
          <t>NFT/NEOSIEXEDDD2023112212363715976 NAVI
Mutual Fun</t>
        </is>
      </c>
      <c r="L1097" s="59" t="inlineStr">
        <is>
          <t>Federal Bank (Jupiter)</t>
        </is>
      </c>
      <c r="M1097" s="59" t="inlineStr"/>
    </row>
    <row r="1098">
      <c r="A1098" s="37" t="n">
        <v>45252</v>
      </c>
      <c r="B1098" s="37" t="n">
        <v>45252</v>
      </c>
      <c r="C1098" s="38" t="n">
        <v>30</v>
      </c>
      <c r="D1098" s="38" t="n">
        <v>0</v>
      </c>
      <c r="E1098" s="38" t="inlineStr"/>
      <c r="F1098" s="38" t="inlineStr">
        <is>
          <t>UPI Payment</t>
        </is>
      </c>
      <c r="G1098" s="25" t="n">
        <v>0.55</v>
      </c>
      <c r="H1098" s="38" t="inlineStr">
        <is>
          <t>Personal</t>
        </is>
      </c>
      <c r="I1098" s="38" t="inlineStr">
        <is>
          <t>FEDERAL 0847</t>
        </is>
      </c>
      <c r="J1098" s="38" t="inlineStr"/>
      <c r="K1098" s="38" t="inlineStr">
        <is>
          <t>UPIOUT/332686404124/RIOTAAGROOFFLINE@ybl/P
ay/5046</t>
        </is>
      </c>
      <c r="L1098" s="38" t="inlineStr">
        <is>
          <t>Federal Bank (Jupiter)</t>
        </is>
      </c>
      <c r="M1098" s="38" t="inlineStr"/>
    </row>
    <row r="1099">
      <c r="A1099" s="41" t="n">
        <v>45252</v>
      </c>
      <c r="B1099" s="41" t="n">
        <v>45252</v>
      </c>
      <c r="C1099" s="42" t="n">
        <v>10582.64</v>
      </c>
      <c r="D1099" s="42" t="n">
        <v>0</v>
      </c>
      <c r="E1099" s="42" t="inlineStr"/>
      <c r="F1099" s="42" t="inlineStr">
        <is>
          <t>HDFC Securities - Buy</t>
        </is>
      </c>
      <c r="G1099" s="18" t="n">
        <v>0.97</v>
      </c>
      <c r="H1099" s="42" t="inlineStr">
        <is>
          <t>HDFC Securities</t>
        </is>
      </c>
      <c r="I1099" s="42" t="inlineStr">
        <is>
          <t>HDFC 5413</t>
        </is>
      </c>
      <c r="J1099" s="42" t="inlineStr"/>
      <c r="K1099" s="42" t="inlineStr">
        <is>
          <t>NET PI TO HSL SEC A/C 2554606-00602340029427</t>
        </is>
      </c>
      <c r="L1099" s="42" t="inlineStr">
        <is>
          <t>HDFC Bank</t>
        </is>
      </c>
      <c r="M1099" s="42" t="inlineStr"/>
    </row>
    <row r="1100">
      <c r="A1100" s="58" t="n">
        <v>45253</v>
      </c>
      <c r="B1100" s="58" t="n">
        <v>45253</v>
      </c>
      <c r="C1100" s="59" t="n">
        <v>100</v>
      </c>
      <c r="D1100" s="59" t="n">
        <v>0</v>
      </c>
      <c r="E1100" s="59" t="inlineStr"/>
      <c r="F1100" s="59" t="inlineStr">
        <is>
          <t>MF Investment</t>
        </is>
      </c>
      <c r="G1100" s="18" t="n">
        <v>0.88</v>
      </c>
      <c r="H1100" s="59" t="inlineStr">
        <is>
          <t>Investments</t>
        </is>
      </c>
      <c r="I1100" s="59" t="inlineStr">
        <is>
          <t>FEDERAL 0847</t>
        </is>
      </c>
      <c r="J1100" s="59" t="inlineStr"/>
      <c r="K1100" s="59" t="inlineStr">
        <is>
          <t>NFT/NEOSIEXEDDD2023112312351574656 NAVI
Mutual Fun</t>
        </is>
      </c>
      <c r="L1100" s="59" t="inlineStr">
        <is>
          <t>Federal Bank (Jupiter)</t>
        </is>
      </c>
      <c r="M1100" s="59" t="inlineStr"/>
    </row>
    <row r="1101">
      <c r="A1101" s="35" t="n">
        <v>45253</v>
      </c>
      <c r="B1101" s="35" t="n">
        <v>45253</v>
      </c>
      <c r="C1101" s="36" t="n">
        <v>35</v>
      </c>
      <c r="D1101" s="36" t="n">
        <v>0</v>
      </c>
      <c r="E1101" s="36" t="inlineStr"/>
      <c r="F1101" s="36" t="inlineStr">
        <is>
          <t>UPI - Paytm</t>
        </is>
      </c>
      <c r="G1101" s="34" t="n">
        <v>0.65</v>
      </c>
      <c r="H1101" s="36" t="inlineStr">
        <is>
          <t>Personal</t>
        </is>
      </c>
      <c r="I1101" s="36" t="inlineStr">
        <is>
          <t>FEDERAL 0847</t>
        </is>
      </c>
      <c r="J1101" s="36" t="inlineStr"/>
      <c r="K1101" s="36" t="inlineStr">
        <is>
          <t>UPIOUT/332720632860/paytmqry3eyiz8yp2@payt
m//5812</t>
        </is>
      </c>
      <c r="L1101" s="36" t="inlineStr">
        <is>
          <t>Federal Bank (Jupiter)</t>
        </is>
      </c>
      <c r="M1101" s="36" t="inlineStr"/>
    </row>
    <row r="1102">
      <c r="A1102" s="37" t="n">
        <v>45253</v>
      </c>
      <c r="B1102" s="37" t="n">
        <v>45253</v>
      </c>
      <c r="C1102" s="38" t="n">
        <v>30</v>
      </c>
      <c r="D1102" s="38" t="n">
        <v>0</v>
      </c>
      <c r="E1102" s="38" t="inlineStr"/>
      <c r="F1102" s="38" t="inlineStr">
        <is>
          <t>UPI Payment</t>
        </is>
      </c>
      <c r="G1102" s="25" t="n">
        <v>0.55</v>
      </c>
      <c r="H1102" s="38" t="inlineStr">
        <is>
          <t>Personal</t>
        </is>
      </c>
      <c r="I1102" s="38" t="inlineStr">
        <is>
          <t>FEDERAL 0847</t>
        </is>
      </c>
      <c r="J1102" s="38" t="inlineStr"/>
      <c r="K1102" s="38" t="inlineStr">
        <is>
          <t>UPIOUT/332732453913/RIOTAAGROOFFLINE@ybl/P
ay/5046</t>
        </is>
      </c>
      <c r="L1102" s="38" t="inlineStr">
        <is>
          <t>Federal Bank (Jupiter)</t>
        </is>
      </c>
      <c r="M1102" s="38" t="inlineStr"/>
    </row>
    <row r="1103">
      <c r="A1103" s="41" t="n">
        <v>45253</v>
      </c>
      <c r="B1103" s="41" t="n">
        <v>45253</v>
      </c>
      <c r="C1103" s="42" t="n">
        <v>70.05</v>
      </c>
      <c r="D1103" s="42" t="n">
        <v>0</v>
      </c>
      <c r="E1103" s="42" t="inlineStr"/>
      <c r="F1103" s="42" t="inlineStr">
        <is>
          <t>HDFC Securities - Buy</t>
        </is>
      </c>
      <c r="G1103" s="18" t="n">
        <v>0.97</v>
      </c>
      <c r="H1103" s="42" t="inlineStr">
        <is>
          <t>HDFC Securities</t>
        </is>
      </c>
      <c r="I1103" s="42" t="inlineStr">
        <is>
          <t>HDFC 5413</t>
        </is>
      </c>
      <c r="J1103" s="42" t="inlineStr"/>
      <c r="K1103" s="42" t="inlineStr">
        <is>
          <t>NET PI TO HSL SEC A/C 2554606-00602340029427</t>
        </is>
      </c>
      <c r="L1103" s="42" t="inlineStr">
        <is>
          <t>HDFC Bank</t>
        </is>
      </c>
      <c r="M1103" s="42" t="inlineStr"/>
    </row>
    <row r="1104">
      <c r="A1104" s="64" t="n">
        <v>45253</v>
      </c>
      <c r="B1104" s="64" t="n">
        <v>45253</v>
      </c>
      <c r="C1104" s="65" t="n">
        <v>0</v>
      </c>
      <c r="D1104" s="65" t="n">
        <v>100</v>
      </c>
      <c r="E1104" s="65" t="inlineStr"/>
      <c r="F1104" s="65" t="inlineStr">
        <is>
          <t>Dividend Income</t>
        </is>
      </c>
      <c r="G1104" s="18" t="n">
        <v>0.85</v>
      </c>
      <c r="H1104" s="65" t="inlineStr">
        <is>
          <t>Dividend Income</t>
        </is>
      </c>
      <c r="I1104" s="65" t="inlineStr">
        <is>
          <t>HDFC 5413</t>
        </is>
      </c>
      <c r="J1104" s="65" t="inlineStr"/>
      <c r="K1104" s="65" t="inlineStr">
        <is>
          <t>BIRLASOFT DIV 23 2400000000000000038702</t>
        </is>
      </c>
      <c r="L1104" s="65" t="inlineStr">
        <is>
          <t>HDFC Bank</t>
        </is>
      </c>
      <c r="M1104" s="65" t="inlineStr"/>
    </row>
    <row r="1105">
      <c r="A1105" s="35" t="n">
        <v>45253</v>
      </c>
      <c r="B1105" s="35" t="n">
        <v>45253</v>
      </c>
      <c r="C1105" s="36" t="n">
        <v>10</v>
      </c>
      <c r="D1105" s="36" t="n">
        <v>0</v>
      </c>
      <c r="E1105" s="36" t="inlineStr"/>
      <c r="F1105" s="36" t="inlineStr">
        <is>
          <t>UPI - Paytm</t>
        </is>
      </c>
      <c r="G1105" s="34" t="n">
        <v>0.65</v>
      </c>
      <c r="H1105" s="36" t="inlineStr">
        <is>
          <t>Personal</t>
        </is>
      </c>
      <c r="I1105" s="36" t="inlineStr">
        <is>
          <t>FEDERAL 0847</t>
        </is>
      </c>
      <c r="J1105" s="36" t="inlineStr"/>
      <c r="K1105" s="36" t="inlineStr">
        <is>
          <t>UPIOUT/332720868095/paytmqrfmo9fujhwg@payt
m//5812</t>
        </is>
      </c>
      <c r="L1105" s="36" t="inlineStr">
        <is>
          <t>Federal Bank (Jupiter)</t>
        </is>
      </c>
      <c r="M1105" s="36" t="inlineStr"/>
    </row>
    <row r="1106">
      <c r="A1106" s="41" t="n">
        <v>45253</v>
      </c>
      <c r="B1106" s="41" t="n">
        <v>45253</v>
      </c>
      <c r="C1106" s="42" t="n">
        <v>1</v>
      </c>
      <c r="D1106" s="42" t="n">
        <v>0</v>
      </c>
      <c r="E1106" s="42" t="inlineStr"/>
      <c r="F1106" s="42" t="inlineStr">
        <is>
          <t>HDFC Securities - Buy</t>
        </is>
      </c>
      <c r="G1106" s="18" t="n">
        <v>0.97</v>
      </c>
      <c r="H1106" s="42" t="inlineStr">
        <is>
          <t>HDFC Securities</t>
        </is>
      </c>
      <c r="I1106" s="42" t="inlineStr">
        <is>
          <t>HDFC 5413</t>
        </is>
      </c>
      <c r="J1106" s="42" t="inlineStr"/>
      <c r="K1106" s="42" t="inlineStr">
        <is>
          <t>NET PI TO HSL SEC A/C 2554606-00602340029427</t>
        </is>
      </c>
      <c r="L1106" s="42" t="inlineStr">
        <is>
          <t>HDFC Bank</t>
        </is>
      </c>
      <c r="M1106" s="42" t="inlineStr"/>
    </row>
    <row r="1107">
      <c r="A1107" s="41" t="n">
        <v>45253</v>
      </c>
      <c r="B1107" s="41" t="n">
        <v>45253</v>
      </c>
      <c r="C1107" s="42" t="n">
        <v>656.5</v>
      </c>
      <c r="D1107" s="42" t="n">
        <v>0</v>
      </c>
      <c r="E1107" s="42" t="inlineStr"/>
      <c r="F1107" s="42" t="inlineStr">
        <is>
          <t>HDFC Securities - Buy</t>
        </is>
      </c>
      <c r="G1107" s="18" t="n">
        <v>0.97</v>
      </c>
      <c r="H1107" s="42" t="inlineStr">
        <is>
          <t>HDFC Securities</t>
        </is>
      </c>
      <c r="I1107" s="42" t="inlineStr">
        <is>
          <t>HDFC 5413</t>
        </is>
      </c>
      <c r="J1107" s="42" t="inlineStr"/>
      <c r="K1107" s="42" t="inlineStr">
        <is>
          <t>NET PI TO HSL SEC A/C 2554606-00602340029427</t>
        </is>
      </c>
      <c r="L1107" s="42" t="inlineStr">
        <is>
          <t>HDFC Bank</t>
        </is>
      </c>
      <c r="M1107" s="42" t="inlineStr"/>
    </row>
    <row r="1108">
      <c r="A1108" s="37" t="n">
        <v>45253</v>
      </c>
      <c r="B1108" s="37" t="n">
        <v>45253</v>
      </c>
      <c r="C1108" s="38" t="n">
        <v>20</v>
      </c>
      <c r="D1108" s="38" t="n">
        <v>0</v>
      </c>
      <c r="E1108" s="38" t="inlineStr"/>
      <c r="F1108" s="38" t="inlineStr">
        <is>
          <t>UPI Payment</t>
        </is>
      </c>
      <c r="G1108" s="25" t="n">
        <v>0.55</v>
      </c>
      <c r="H1108" s="38" t="inlineStr">
        <is>
          <t>Personal</t>
        </is>
      </c>
      <c r="I1108" s="38" t="inlineStr">
        <is>
          <t>FEDERAL 0847</t>
        </is>
      </c>
      <c r="J1108" s="38" t="inlineStr"/>
      <c r="K1108" s="38" t="inlineStr">
        <is>
          <t>UPIOUT/332736162562/RIOTAAGROOFFLINE@ybl/P
ay/5046</t>
        </is>
      </c>
      <c r="L1108" s="38" t="inlineStr">
        <is>
          <t>Federal Bank (Jupiter)</t>
        </is>
      </c>
      <c r="M1108" s="38" t="inlineStr"/>
    </row>
    <row r="1109">
      <c r="A1109" s="37" t="n">
        <v>45253</v>
      </c>
      <c r="B1109" s="37" t="n">
        <v>45253</v>
      </c>
      <c r="C1109" s="38" t="n">
        <v>255</v>
      </c>
      <c r="D1109" s="38" t="n">
        <v>0</v>
      </c>
      <c r="E1109" s="38" t="inlineStr"/>
      <c r="F1109" s="38" t="inlineStr">
        <is>
          <t>UPI Payment</t>
        </is>
      </c>
      <c r="G1109" s="25" t="n">
        <v>0.55</v>
      </c>
      <c r="H1109" s="38" t="inlineStr">
        <is>
          <t>Personal</t>
        </is>
      </c>
      <c r="I1109" s="38" t="inlineStr">
        <is>
          <t>FEDERAL 0847</t>
        </is>
      </c>
      <c r="J1109" s="38" t="inlineStr"/>
      <c r="K1109" s="38" t="inlineStr">
        <is>
          <t>UPIOUT/332750446891/Q843449769@ybl/Sent
via /5812</t>
        </is>
      </c>
      <c r="L1109" s="38" t="inlineStr">
        <is>
          <t>Federal Bank (Jupiter)</t>
        </is>
      </c>
      <c r="M1109" s="38" t="inlineStr"/>
    </row>
    <row r="1110">
      <c r="A1110" s="91" t="n">
        <v>45253</v>
      </c>
      <c r="B1110" s="91" t="n">
        <v>45253</v>
      </c>
      <c r="C1110" s="92" t="n">
        <v>26.02</v>
      </c>
      <c r="D1110" s="92" t="n">
        <v>0</v>
      </c>
      <c r="E1110" s="92" t="inlineStr"/>
      <c r="F1110" s="92" t="inlineStr">
        <is>
          <t>UPI - Uber</t>
        </is>
      </c>
      <c r="G1110" s="34" t="n">
        <v>0.68</v>
      </c>
      <c r="H1110" s="92" t="inlineStr">
        <is>
          <t>Transport</t>
        </is>
      </c>
      <c r="I1110" s="92" t="inlineStr">
        <is>
          <t>FEDERAL 0847</t>
        </is>
      </c>
      <c r="J1110" s="92" t="inlineStr"/>
      <c r="K1110" s="92" t="inlineStr">
        <is>
          <t>UPIOUT/332743829329/uberrides@hdfcbank/cha
rg/5960</t>
        </is>
      </c>
      <c r="L1110" s="92" t="inlineStr">
        <is>
          <t>Federal Bank (Jupiter)</t>
        </is>
      </c>
      <c r="M1110" s="92" t="inlineStr"/>
    </row>
    <row r="1111">
      <c r="A1111" s="58" t="n">
        <v>45254</v>
      </c>
      <c r="B1111" s="58" t="n">
        <v>45254</v>
      </c>
      <c r="C1111" s="59" t="n">
        <v>100</v>
      </c>
      <c r="D1111" s="59" t="n">
        <v>0</v>
      </c>
      <c r="E1111" s="59" t="inlineStr"/>
      <c r="F1111" s="59" t="inlineStr">
        <is>
          <t>MF Investment</t>
        </is>
      </c>
      <c r="G1111" s="18" t="n">
        <v>0.88</v>
      </c>
      <c r="H1111" s="59" t="inlineStr">
        <is>
          <t>Investments</t>
        </is>
      </c>
      <c r="I1111" s="59" t="inlineStr">
        <is>
          <t>FEDERAL 0847</t>
        </is>
      </c>
      <c r="J1111" s="59" t="inlineStr"/>
      <c r="K1111" s="59" t="inlineStr">
        <is>
          <t>NFT/NEOSIEXEDDD2023112412351025129 NAVI
Mutual Fun</t>
        </is>
      </c>
      <c r="L1111" s="59" t="inlineStr">
        <is>
          <t>Federal Bank (Jupiter)</t>
        </is>
      </c>
      <c r="M1111" s="59" t="inlineStr"/>
    </row>
    <row r="1112">
      <c r="A1112" s="35" t="n">
        <v>45254</v>
      </c>
      <c r="B1112" s="35" t="n">
        <v>45254</v>
      </c>
      <c r="C1112" s="36" t="n">
        <v>45</v>
      </c>
      <c r="D1112" s="36" t="n">
        <v>0</v>
      </c>
      <c r="E1112" s="36" t="inlineStr"/>
      <c r="F1112" s="36" t="inlineStr">
        <is>
          <t>UPI - Paytm</t>
        </is>
      </c>
      <c r="G1112" s="34" t="n">
        <v>0.65</v>
      </c>
      <c r="H1112" s="36" t="inlineStr">
        <is>
          <t>Personal</t>
        </is>
      </c>
      <c r="I1112" s="36" t="inlineStr">
        <is>
          <t>FEDERAL 0847</t>
        </is>
      </c>
      <c r="J1112" s="36" t="inlineStr"/>
      <c r="K1112" s="36" t="inlineStr">
        <is>
          <t>UPIOUT/332866539682/paytmqry3eyiz8yp2@payt
m//5812</t>
        </is>
      </c>
      <c r="L1112" s="36" t="inlineStr">
        <is>
          <t>Federal Bank (Jupiter)</t>
        </is>
      </c>
      <c r="M1112" s="36" t="inlineStr"/>
    </row>
    <row r="1113">
      <c r="A1113" s="35" t="n">
        <v>45254</v>
      </c>
      <c r="B1113" s="35" t="n">
        <v>45254</v>
      </c>
      <c r="C1113" s="36" t="n">
        <v>20</v>
      </c>
      <c r="D1113" s="36" t="n">
        <v>0</v>
      </c>
      <c r="E1113" s="36" t="inlineStr"/>
      <c r="F1113" s="36" t="inlineStr">
        <is>
          <t>UPI - Paytm</t>
        </is>
      </c>
      <c r="G1113" s="34" t="n">
        <v>0.65</v>
      </c>
      <c r="H1113" s="36" t="inlineStr">
        <is>
          <t>Personal</t>
        </is>
      </c>
      <c r="I1113" s="36" t="inlineStr">
        <is>
          <t>FEDERAL 0847</t>
        </is>
      </c>
      <c r="J1113" s="36" t="inlineStr"/>
      <c r="K1113" s="36" t="inlineStr">
        <is>
          <t>UPIOUT/332867026119/paytmqrfmo9fujhwg@payt
m//5812</t>
        </is>
      </c>
      <c r="L1113" s="36" t="inlineStr">
        <is>
          <t>Federal Bank (Jupiter)</t>
        </is>
      </c>
      <c r="M1113" s="36" t="inlineStr"/>
    </row>
    <row r="1114">
      <c r="A1114" s="35" t="n">
        <v>45254</v>
      </c>
      <c r="B1114" s="35" t="n">
        <v>45254</v>
      </c>
      <c r="C1114" s="36" t="n">
        <v>210</v>
      </c>
      <c r="D1114" s="36" t="n">
        <v>0</v>
      </c>
      <c r="E1114" s="36" t="inlineStr"/>
      <c r="F1114" s="36" t="inlineStr">
        <is>
          <t>UPI - Paytm</t>
        </is>
      </c>
      <c r="G1114" s="34" t="n">
        <v>0.65</v>
      </c>
      <c r="H1114" s="36" t="inlineStr">
        <is>
          <t>Personal</t>
        </is>
      </c>
      <c r="I1114" s="36" t="inlineStr">
        <is>
          <t>FEDERAL 0847</t>
        </is>
      </c>
      <c r="J1114" s="36" t="inlineStr"/>
      <c r="K1114" s="36" t="inlineStr">
        <is>
          <t>UPIOUT/332871427021/paytm-66490784@paytm/S
en/5411</t>
        </is>
      </c>
      <c r="L1114" s="36" t="inlineStr">
        <is>
          <t>Federal Bank (Jupiter)</t>
        </is>
      </c>
      <c r="M1114" s="36" t="inlineStr"/>
    </row>
    <row r="1115">
      <c r="A1115" s="97" t="n">
        <v>45254</v>
      </c>
      <c r="B1115" s="97" t="n">
        <v>45254</v>
      </c>
      <c r="C1115" s="98" t="n">
        <v>207</v>
      </c>
      <c r="D1115" s="98" t="n">
        <v>0</v>
      </c>
      <c r="E1115" s="98" t="inlineStr"/>
      <c r="F1115" s="98" t="inlineStr">
        <is>
          <t>UPI - Swiggy</t>
        </is>
      </c>
      <c r="G1115" s="34" t="n">
        <v>0.68</v>
      </c>
      <c r="H1115" s="98" t="inlineStr">
        <is>
          <t>Food &amp; Dining</t>
        </is>
      </c>
      <c r="I1115" s="98" t="inlineStr">
        <is>
          <t>FEDERAL 0847</t>
        </is>
      </c>
      <c r="J1115" s="98" t="inlineStr"/>
      <c r="K1115" s="98" t="inlineStr">
        <is>
          <t>UPIOUT/332875271438/upiswiggy@icici/UPI/58
14</t>
        </is>
      </c>
      <c r="L1115" s="98" t="inlineStr">
        <is>
          <t>Federal Bank (Jupiter)</t>
        </is>
      </c>
      <c r="M1115" s="98" t="inlineStr"/>
    </row>
    <row r="1116">
      <c r="A1116" s="54" t="n">
        <v>45254</v>
      </c>
      <c r="B1116" s="54" t="n">
        <v>45254</v>
      </c>
      <c r="C1116" s="55" t="n">
        <v>0</v>
      </c>
      <c r="D1116" s="55" t="n">
        <v>2668.78</v>
      </c>
      <c r="E1116" s="55" t="inlineStr"/>
      <c r="F1116" s="55" t="inlineStr">
        <is>
          <t>HDFC Securities - Sell</t>
        </is>
      </c>
      <c r="G1116" s="18" t="n">
        <v>0.97</v>
      </c>
      <c r="H1116" s="55" t="inlineStr">
        <is>
          <t>HDFC Securities</t>
        </is>
      </c>
      <c r="I1116" s="55" t="inlineStr">
        <is>
          <t>HDFC 5413</t>
        </is>
      </c>
      <c r="J1116" s="55" t="inlineStr"/>
      <c r="K1116" s="55" t="inlineStr">
        <is>
          <t>NET PO FROM HSL A/C 2554606-50200085415108</t>
        </is>
      </c>
      <c r="L1116" s="55" t="inlineStr">
        <is>
          <t>HDFC Bank</t>
        </is>
      </c>
      <c r="M1116" s="55" t="inlineStr"/>
    </row>
    <row r="1117">
      <c r="A1117" s="64" t="n">
        <v>45254</v>
      </c>
      <c r="B1117" s="64" t="n">
        <v>45254</v>
      </c>
      <c r="C1117" s="65" t="n">
        <v>0</v>
      </c>
      <c r="D1117" s="65" t="n">
        <v>300</v>
      </c>
      <c r="E1117" s="65" t="inlineStr"/>
      <c r="F1117" s="65" t="inlineStr">
        <is>
          <t>Dividend Income</t>
        </is>
      </c>
      <c r="G1117" s="18" t="n">
        <v>0.88</v>
      </c>
      <c r="H1117" s="65" t="inlineStr">
        <is>
          <t>Dividend Income</t>
        </is>
      </c>
      <c r="I1117" s="65" t="inlineStr">
        <is>
          <t>HDFC 5413</t>
        </is>
      </c>
      <c r="J1117" s="65" t="inlineStr"/>
      <c r="K1117" s="65" t="inlineStr">
        <is>
          <t>ACH C- MPS INT1DIV2024-WN003447CLIN30154</t>
        </is>
      </c>
      <c r="L1117" s="65" t="inlineStr">
        <is>
          <t>HDFC Bank</t>
        </is>
      </c>
      <c r="M1117" s="65" t="inlineStr"/>
    </row>
    <row r="1118">
      <c r="A1118" s="41" t="n">
        <v>45254</v>
      </c>
      <c r="B1118" s="41" t="n">
        <v>45254</v>
      </c>
      <c r="C1118" s="42" t="n">
        <v>82.93000000000001</v>
      </c>
      <c r="D1118" s="42" t="n">
        <v>0</v>
      </c>
      <c r="E1118" s="42" t="inlineStr"/>
      <c r="F1118" s="42" t="inlineStr">
        <is>
          <t>HDFC Securities - Buy</t>
        </is>
      </c>
      <c r="G1118" s="18" t="n">
        <v>0.97</v>
      </c>
      <c r="H1118" s="42" t="inlineStr">
        <is>
          <t>HDFC Securities</t>
        </is>
      </c>
      <c r="I1118" s="42" t="inlineStr">
        <is>
          <t>HDFC 5413</t>
        </is>
      </c>
      <c r="J1118" s="42" t="inlineStr"/>
      <c r="K1118" s="42" t="inlineStr">
        <is>
          <t>NET PI TO HSL SEC A/C 2554606-00602340029427</t>
        </is>
      </c>
      <c r="L1118" s="42" t="inlineStr">
        <is>
          <t>HDFC Bank</t>
        </is>
      </c>
      <c r="M1118" s="42" t="inlineStr"/>
    </row>
    <row r="1119">
      <c r="A1119" s="35" t="n">
        <v>45254</v>
      </c>
      <c r="B1119" s="35" t="n">
        <v>45254</v>
      </c>
      <c r="C1119" s="36" t="n">
        <v>60</v>
      </c>
      <c r="D1119" s="36" t="n">
        <v>0</v>
      </c>
      <c r="E1119" s="36" t="inlineStr"/>
      <c r="F1119" s="36" t="inlineStr">
        <is>
          <t>UPI - Paytm</t>
        </is>
      </c>
      <c r="G1119" s="34" t="n">
        <v>0.65</v>
      </c>
      <c r="H1119" s="36" t="inlineStr">
        <is>
          <t>Personal</t>
        </is>
      </c>
      <c r="I1119" s="36" t="inlineStr">
        <is>
          <t>FEDERAL 0847</t>
        </is>
      </c>
      <c r="J1119" s="36" t="inlineStr"/>
      <c r="K1119" s="36" t="inlineStr">
        <is>
          <t>UPIOUT/332894151724/paytmqr7an11w2eez@payt
m//5812</t>
        </is>
      </c>
      <c r="L1119" s="36" t="inlineStr">
        <is>
          <t>Federal Bank (Jupiter)</t>
        </is>
      </c>
      <c r="M1119" s="36" t="inlineStr"/>
    </row>
    <row r="1120">
      <c r="A1120" s="58" t="n">
        <v>45255</v>
      </c>
      <c r="B1120" s="58" t="n">
        <v>45255</v>
      </c>
      <c r="C1120" s="59" t="n">
        <v>100</v>
      </c>
      <c r="D1120" s="59" t="n">
        <v>0</v>
      </c>
      <c r="E1120" s="59" t="inlineStr"/>
      <c r="F1120" s="59" t="inlineStr">
        <is>
          <t>MF Investment</t>
        </is>
      </c>
      <c r="G1120" s="18" t="n">
        <v>0.88</v>
      </c>
      <c r="H1120" s="59" t="inlineStr">
        <is>
          <t>Investments</t>
        </is>
      </c>
      <c r="I1120" s="59" t="inlineStr">
        <is>
          <t>FEDERAL 0847</t>
        </is>
      </c>
      <c r="J1120" s="59" t="inlineStr"/>
      <c r="K1120" s="59" t="inlineStr">
        <is>
          <t>NFT/NEOSIEXEDDD2023112512350897847 NAVI
Mutual Fun</t>
        </is>
      </c>
      <c r="L1120" s="59" t="inlineStr">
        <is>
          <t>Federal Bank (Jupiter)</t>
        </is>
      </c>
      <c r="M1120" s="59" t="inlineStr"/>
    </row>
    <row r="1121">
      <c r="A1121" s="97" t="n">
        <v>45255</v>
      </c>
      <c r="B1121" s="97" t="n">
        <v>45255</v>
      </c>
      <c r="C1121" s="98" t="n">
        <v>201</v>
      </c>
      <c r="D1121" s="98" t="n">
        <v>0</v>
      </c>
      <c r="E1121" s="98" t="inlineStr"/>
      <c r="F1121" s="98" t="inlineStr">
        <is>
          <t>UPI - Swiggy</t>
        </is>
      </c>
      <c r="G1121" s="34" t="n">
        <v>0.68</v>
      </c>
      <c r="H1121" s="98" t="inlineStr">
        <is>
          <t>Food &amp; Dining</t>
        </is>
      </c>
      <c r="I1121" s="98" t="inlineStr">
        <is>
          <t>FEDERAL 0847</t>
        </is>
      </c>
      <c r="J1121" s="98" t="inlineStr"/>
      <c r="K1121" s="98" t="inlineStr">
        <is>
          <t>UPIOUT/332909771653/swiggyupi@axisbank/Swi
gg/5814</t>
        </is>
      </c>
      <c r="L1121" s="98" t="inlineStr">
        <is>
          <t>Federal Bank (Jupiter)</t>
        </is>
      </c>
      <c r="M1121" s="98" t="inlineStr"/>
    </row>
    <row r="1122">
      <c r="A1122" s="35" t="n">
        <v>45255</v>
      </c>
      <c r="B1122" s="35" t="n">
        <v>45255</v>
      </c>
      <c r="C1122" s="36" t="n">
        <v>150</v>
      </c>
      <c r="D1122" s="36" t="n">
        <v>0</v>
      </c>
      <c r="E1122" s="36" t="inlineStr"/>
      <c r="F1122" s="36" t="inlineStr">
        <is>
          <t>UPI - Paytm</t>
        </is>
      </c>
      <c r="G1122" s="34" t="n">
        <v>0.65</v>
      </c>
      <c r="H1122" s="36" t="inlineStr">
        <is>
          <t>Personal</t>
        </is>
      </c>
      <c r="I1122" s="36" t="inlineStr">
        <is>
          <t>FEDERAL 0847</t>
        </is>
      </c>
      <c r="J1122" s="36" t="inlineStr"/>
      <c r="K1122" s="36" t="inlineStr">
        <is>
          <t>UPIOUT/332943592546/paytmqr1a2plltyay@payt
m//5812</t>
        </is>
      </c>
      <c r="L1122" s="36" t="inlineStr">
        <is>
          <t>Federal Bank (Jupiter)</t>
        </is>
      </c>
      <c r="M1122" s="36" t="inlineStr"/>
    </row>
    <row r="1123">
      <c r="A1123" s="35" t="n">
        <v>45255</v>
      </c>
      <c r="B1123" s="35" t="n">
        <v>45255</v>
      </c>
      <c r="C1123" s="36" t="n">
        <v>30</v>
      </c>
      <c r="D1123" s="36" t="n">
        <v>0</v>
      </c>
      <c r="E1123" s="36" t="inlineStr"/>
      <c r="F1123" s="36" t="inlineStr">
        <is>
          <t>UPI - Paytm</t>
        </is>
      </c>
      <c r="G1123" s="34" t="n">
        <v>0.65</v>
      </c>
      <c r="H1123" s="36" t="inlineStr">
        <is>
          <t>Personal</t>
        </is>
      </c>
      <c r="I1123" s="36" t="inlineStr">
        <is>
          <t>FEDERAL 0847</t>
        </is>
      </c>
      <c r="J1123" s="36" t="inlineStr"/>
      <c r="K1123" s="36" t="inlineStr">
        <is>
          <t>UPIOUT/332943641751/paytmqr1jm24kbgdo@payt
m//5311</t>
        </is>
      </c>
      <c r="L1123" s="36" t="inlineStr">
        <is>
          <t>Federal Bank (Jupiter)</t>
        </is>
      </c>
      <c r="M1123" s="36" t="inlineStr"/>
    </row>
    <row r="1124">
      <c r="A1124" s="35" t="n">
        <v>45255</v>
      </c>
      <c r="B1124" s="35" t="n">
        <v>45255</v>
      </c>
      <c r="C1124" s="36" t="n">
        <v>80</v>
      </c>
      <c r="D1124" s="36" t="n">
        <v>0</v>
      </c>
      <c r="E1124" s="36" t="inlineStr"/>
      <c r="F1124" s="36" t="inlineStr">
        <is>
          <t>UPI - Paytm</t>
        </is>
      </c>
      <c r="G1124" s="34" t="n">
        <v>0.65</v>
      </c>
      <c r="H1124" s="36" t="inlineStr">
        <is>
          <t>Personal</t>
        </is>
      </c>
      <c r="I1124" s="36" t="inlineStr">
        <is>
          <t>FEDERAL 0847</t>
        </is>
      </c>
      <c r="J1124" s="36" t="inlineStr"/>
      <c r="K1124" s="36" t="inlineStr">
        <is>
          <t>UPIOUT/332915019395/paytmqrfmo9fujhwg@payt
m//5812</t>
        </is>
      </c>
      <c r="L1124" s="36" t="inlineStr">
        <is>
          <t>Federal Bank (Jupiter)</t>
        </is>
      </c>
      <c r="M1124" s="36" t="inlineStr"/>
    </row>
    <row r="1125">
      <c r="A1125" s="97" t="n">
        <v>45256</v>
      </c>
      <c r="B1125" s="97" t="n">
        <v>45256</v>
      </c>
      <c r="C1125" s="98" t="n">
        <v>500</v>
      </c>
      <c r="D1125" s="98" t="n">
        <v>0</v>
      </c>
      <c r="E1125" s="98" t="inlineStr"/>
      <c r="F1125" s="98" t="inlineStr">
        <is>
          <t>UPI - Swiggy</t>
        </is>
      </c>
      <c r="G1125" s="34" t="n">
        <v>0.68</v>
      </c>
      <c r="H1125" s="98" t="inlineStr">
        <is>
          <t>Food &amp; Dining</t>
        </is>
      </c>
      <c r="I1125" s="98" t="inlineStr">
        <is>
          <t>FEDERAL 0847</t>
        </is>
      </c>
      <c r="J1125" s="98" t="inlineStr"/>
      <c r="K1125" s="98" t="inlineStr">
        <is>
          <t>UPIOUT/333039426165/swiggystores@icici/UPI
/5411</t>
        </is>
      </c>
      <c r="L1125" s="98" t="inlineStr">
        <is>
          <t>Federal Bank (Jupiter)</t>
        </is>
      </c>
      <c r="M1125" s="98" t="inlineStr"/>
    </row>
    <row r="1126">
      <c r="A1126" s="58" t="n">
        <v>45256</v>
      </c>
      <c r="B1126" s="58" t="n">
        <v>45256</v>
      </c>
      <c r="C1126" s="59" t="n">
        <v>100</v>
      </c>
      <c r="D1126" s="59" t="n">
        <v>0</v>
      </c>
      <c r="E1126" s="59" t="inlineStr"/>
      <c r="F1126" s="59" t="inlineStr">
        <is>
          <t>MF Investment</t>
        </is>
      </c>
      <c r="G1126" s="18" t="n">
        <v>0.88</v>
      </c>
      <c r="H1126" s="59" t="inlineStr">
        <is>
          <t>Investments</t>
        </is>
      </c>
      <c r="I1126" s="59" t="inlineStr">
        <is>
          <t>FEDERAL 0847</t>
        </is>
      </c>
      <c r="J1126" s="59" t="inlineStr"/>
      <c r="K1126" s="59" t="inlineStr">
        <is>
          <t>NFT/NEOSIEXEDDD2023112612350733176 NAVI
Mutual Fun</t>
        </is>
      </c>
      <c r="L1126" s="59" t="inlineStr">
        <is>
          <t>Federal Bank (Jupiter)</t>
        </is>
      </c>
      <c r="M1126" s="59" t="inlineStr"/>
    </row>
    <row r="1127">
      <c r="A1127" s="35" t="n">
        <v>45256</v>
      </c>
      <c r="B1127" s="35" t="n">
        <v>45256</v>
      </c>
      <c r="C1127" s="36" t="n">
        <v>50</v>
      </c>
      <c r="D1127" s="36" t="n">
        <v>0</v>
      </c>
      <c r="E1127" s="36" t="inlineStr"/>
      <c r="F1127" s="36" t="inlineStr">
        <is>
          <t>UPI - Paytm</t>
        </is>
      </c>
      <c r="G1127" s="34" t="n">
        <v>0.65</v>
      </c>
      <c r="H1127" s="36" t="inlineStr">
        <is>
          <t>Personal</t>
        </is>
      </c>
      <c r="I1127" s="36" t="inlineStr">
        <is>
          <t>FEDERAL 0847</t>
        </is>
      </c>
      <c r="J1127" s="36" t="inlineStr"/>
      <c r="K1127" s="36" t="inlineStr">
        <is>
          <t>UPIOUT/333054386841/paytmqry3eyiz8yp2@payt
m//5812</t>
        </is>
      </c>
      <c r="L1127" s="36" t="inlineStr">
        <is>
          <t>Federal Bank (Jupiter)</t>
        </is>
      </c>
      <c r="M1127" s="36" t="inlineStr"/>
    </row>
    <row r="1128">
      <c r="A1128" s="35" t="n">
        <v>45256</v>
      </c>
      <c r="B1128" s="35" t="n">
        <v>45256</v>
      </c>
      <c r="C1128" s="36" t="n">
        <v>20</v>
      </c>
      <c r="D1128" s="36" t="n">
        <v>0</v>
      </c>
      <c r="E1128" s="36" t="inlineStr"/>
      <c r="F1128" s="36" t="inlineStr">
        <is>
          <t>UPI - Paytm</t>
        </is>
      </c>
      <c r="G1128" s="34" t="n">
        <v>0.65</v>
      </c>
      <c r="H1128" s="36" t="inlineStr">
        <is>
          <t>Personal</t>
        </is>
      </c>
      <c r="I1128" s="36" t="inlineStr">
        <is>
          <t>FEDERAL 0847</t>
        </is>
      </c>
      <c r="J1128" s="36" t="inlineStr"/>
      <c r="K1128" s="36" t="inlineStr">
        <is>
          <t>UPIOUT/333054918027/paytmqrfmo9fujhwg@payt
m//5812</t>
        </is>
      </c>
      <c r="L1128" s="36" t="inlineStr">
        <is>
          <t>Federal Bank (Jupiter)</t>
        </is>
      </c>
      <c r="M1128" s="36" t="inlineStr"/>
    </row>
    <row r="1129">
      <c r="A1129" s="37" t="n">
        <v>45256</v>
      </c>
      <c r="B1129" s="37" t="n">
        <v>45256</v>
      </c>
      <c r="C1129" s="38" t="n">
        <v>200</v>
      </c>
      <c r="D1129" s="38" t="n">
        <v>0</v>
      </c>
      <c r="E1129" s="38" t="inlineStr"/>
      <c r="F1129" s="38" t="inlineStr">
        <is>
          <t>UPI Payment</t>
        </is>
      </c>
      <c r="G1129" s="25" t="n">
        <v>0.55</v>
      </c>
      <c r="H1129" s="38" t="inlineStr">
        <is>
          <t>Personal</t>
        </is>
      </c>
      <c r="I1129" s="38" t="inlineStr">
        <is>
          <t>FEDERAL 0847</t>
        </is>
      </c>
      <c r="J1129" s="38" t="inlineStr"/>
      <c r="K1129" s="38" t="inlineStr">
        <is>
          <t>UPIOUT/333056049473/6301529832@ybl/Sent
via /0000</t>
        </is>
      </c>
      <c r="L1129" s="38" t="inlineStr">
        <is>
          <t>Federal Bank (Jupiter)</t>
        </is>
      </c>
      <c r="M1129" s="38" t="inlineStr"/>
    </row>
    <row r="1130">
      <c r="A1130" s="32" t="n">
        <v>45256</v>
      </c>
      <c r="B1130" s="32" t="n">
        <v>45256</v>
      </c>
      <c r="C1130" s="33" t="n">
        <v>20</v>
      </c>
      <c r="D1130" s="33" t="n">
        <v>0</v>
      </c>
      <c r="E1130" s="33" t="inlineStr"/>
      <c r="F1130" s="33" t="inlineStr">
        <is>
          <t>UPI - BharatPe</t>
        </is>
      </c>
      <c r="G1130" s="34" t="n">
        <v>0.65</v>
      </c>
      <c r="H1130" s="33" t="inlineStr">
        <is>
          <t>Personal</t>
        </is>
      </c>
      <c r="I1130" s="33" t="inlineStr">
        <is>
          <t>FEDERAL 0847</t>
        </is>
      </c>
      <c r="J1130" s="33" t="inlineStr"/>
      <c r="K1130" s="33" t="inlineStr">
        <is>
          <t>UPIOUT/333079173326/BHARATPE90727090707@ye
sb/5814</t>
        </is>
      </c>
      <c r="L1130" s="33" t="inlineStr">
        <is>
          <t>Federal Bank (Jupiter)</t>
        </is>
      </c>
      <c r="M1130" s="33" t="inlineStr"/>
    </row>
    <row r="1131">
      <c r="A1131" s="35" t="n">
        <v>45256</v>
      </c>
      <c r="B1131" s="35" t="n">
        <v>45256</v>
      </c>
      <c r="C1131" s="36" t="n">
        <v>100</v>
      </c>
      <c r="D1131" s="36" t="n">
        <v>0</v>
      </c>
      <c r="E1131" s="36" t="inlineStr"/>
      <c r="F1131" s="36" t="inlineStr">
        <is>
          <t>UPI - Paytm</t>
        </is>
      </c>
      <c r="G1131" s="34" t="n">
        <v>0.65</v>
      </c>
      <c r="H1131" s="36" t="inlineStr">
        <is>
          <t>Personal</t>
        </is>
      </c>
      <c r="I1131" s="36" t="inlineStr">
        <is>
          <t>FEDERAL 0847</t>
        </is>
      </c>
      <c r="J1131" s="36" t="inlineStr"/>
      <c r="K1131" s="36" t="inlineStr">
        <is>
          <t>UPIOUT/333078534955/paytmqr1a2plltyay@payt
m//5812</t>
        </is>
      </c>
      <c r="L1131" s="36" t="inlineStr">
        <is>
          <t>Federal Bank (Jupiter)</t>
        </is>
      </c>
      <c r="M1131" s="36" t="inlineStr"/>
    </row>
    <row r="1132">
      <c r="A1132" s="58" t="n">
        <v>45257</v>
      </c>
      <c r="B1132" s="58" t="n">
        <v>45257</v>
      </c>
      <c r="C1132" s="59" t="n">
        <v>100</v>
      </c>
      <c r="D1132" s="59" t="n">
        <v>0</v>
      </c>
      <c r="E1132" s="59" t="inlineStr"/>
      <c r="F1132" s="59" t="inlineStr">
        <is>
          <t>MF Investment</t>
        </is>
      </c>
      <c r="G1132" s="18" t="n">
        <v>0.88</v>
      </c>
      <c r="H1132" s="59" t="inlineStr">
        <is>
          <t>Investments</t>
        </is>
      </c>
      <c r="I1132" s="59" t="inlineStr">
        <is>
          <t>FEDERAL 0847</t>
        </is>
      </c>
      <c r="J1132" s="59" t="inlineStr"/>
      <c r="K1132" s="59" t="inlineStr">
        <is>
          <t>NFT/NEOSIEXEDDD2023112712300713213 NAVI
Mutual Fun</t>
        </is>
      </c>
      <c r="L1132" s="59" t="inlineStr">
        <is>
          <t>Federal Bank (Jupiter)</t>
        </is>
      </c>
      <c r="M1132" s="59" t="inlineStr"/>
    </row>
    <row r="1133">
      <c r="A1133" s="37" t="n">
        <v>45257</v>
      </c>
      <c r="B1133" s="37" t="n">
        <v>45257</v>
      </c>
      <c r="C1133" s="38" t="n">
        <v>10</v>
      </c>
      <c r="D1133" s="38" t="n">
        <v>0</v>
      </c>
      <c r="E1133" s="38" t="inlineStr"/>
      <c r="F1133" s="38" t="inlineStr">
        <is>
          <t>UPI Payment</t>
        </is>
      </c>
      <c r="G1133" s="25" t="n">
        <v>0.55</v>
      </c>
      <c r="H1133" s="38" t="inlineStr">
        <is>
          <t>Personal</t>
        </is>
      </c>
      <c r="I1133" s="38" t="inlineStr">
        <is>
          <t>FEDERAL 0847</t>
        </is>
      </c>
      <c r="J1133" s="38" t="inlineStr"/>
      <c r="K1133" s="38" t="inlineStr">
        <is>
          <t>UPIOUT/333122838612/Q614784165@ybl/Sent
via /5311</t>
        </is>
      </c>
      <c r="L1133" s="38" t="inlineStr">
        <is>
          <t>Federal Bank (Jupiter)</t>
        </is>
      </c>
      <c r="M1133" s="38" t="inlineStr"/>
    </row>
    <row r="1134">
      <c r="A1134" s="35" t="n">
        <v>45257</v>
      </c>
      <c r="B1134" s="35" t="n">
        <v>45257</v>
      </c>
      <c r="C1134" s="36" t="n">
        <v>30</v>
      </c>
      <c r="D1134" s="36" t="n">
        <v>0</v>
      </c>
      <c r="E1134" s="36" t="inlineStr"/>
      <c r="F1134" s="36" t="inlineStr">
        <is>
          <t>UPI - Paytm</t>
        </is>
      </c>
      <c r="G1134" s="34" t="n">
        <v>0.65</v>
      </c>
      <c r="H1134" s="36" t="inlineStr">
        <is>
          <t>Personal</t>
        </is>
      </c>
      <c r="I1134" s="36" t="inlineStr">
        <is>
          <t>FEDERAL 0847</t>
        </is>
      </c>
      <c r="J1134" s="36" t="inlineStr"/>
      <c r="K1134" s="36" t="inlineStr">
        <is>
          <t>UPIOUT/333122647328/paytmqr1jm24kbgdo@payt
m//5311</t>
        </is>
      </c>
      <c r="L1134" s="36" t="inlineStr">
        <is>
          <t>Federal Bank (Jupiter)</t>
        </is>
      </c>
      <c r="M1134" s="36" t="inlineStr"/>
    </row>
    <row r="1135">
      <c r="A1135" s="32" t="n">
        <v>45257</v>
      </c>
      <c r="B1135" s="32" t="n">
        <v>45257</v>
      </c>
      <c r="C1135" s="33" t="n">
        <v>20</v>
      </c>
      <c r="D1135" s="33" t="n">
        <v>0</v>
      </c>
      <c r="E1135" s="33" t="inlineStr"/>
      <c r="F1135" s="33" t="inlineStr">
        <is>
          <t>UPI - BharatPe</t>
        </is>
      </c>
      <c r="G1135" s="34" t="n">
        <v>0.65</v>
      </c>
      <c r="H1135" s="33" t="inlineStr">
        <is>
          <t>Personal</t>
        </is>
      </c>
      <c r="I1135" s="33" t="inlineStr">
        <is>
          <t>FEDERAL 0847</t>
        </is>
      </c>
      <c r="J1135" s="33" t="inlineStr"/>
      <c r="K1135" s="33" t="inlineStr">
        <is>
          <t>UPIOUT/333121718104/BHARATPE90727090707@ye
sb/5814</t>
        </is>
      </c>
      <c r="L1135" s="33" t="inlineStr">
        <is>
          <t>Federal Bank (Jupiter)</t>
        </is>
      </c>
      <c r="M1135" s="33" t="inlineStr"/>
    </row>
    <row r="1136">
      <c r="A1136" s="37" t="n">
        <v>45257</v>
      </c>
      <c r="B1136" s="37" t="n">
        <v>45257</v>
      </c>
      <c r="C1136" s="38" t="n">
        <v>150</v>
      </c>
      <c r="D1136" s="38" t="n">
        <v>0</v>
      </c>
      <c r="E1136" s="38" t="inlineStr"/>
      <c r="F1136" s="38" t="inlineStr">
        <is>
          <t>UPI Payment</t>
        </is>
      </c>
      <c r="G1136" s="25" t="n">
        <v>0.55</v>
      </c>
      <c r="H1136" s="38" t="inlineStr">
        <is>
          <t>Personal</t>
        </is>
      </c>
      <c r="I1136" s="38" t="inlineStr">
        <is>
          <t>FEDERAL 0847</t>
        </is>
      </c>
      <c r="J1136" s="38" t="inlineStr"/>
      <c r="K1136" s="38" t="inlineStr">
        <is>
          <t>UPIOUT/333121661947/eazypay.2000018932@ici
ci/5812</t>
        </is>
      </c>
      <c r="L1136" s="38" t="inlineStr">
        <is>
          <t>Federal Bank (Jupiter)</t>
        </is>
      </c>
      <c r="M1136" s="38" t="inlineStr"/>
    </row>
    <row r="1137">
      <c r="A1137" s="35" t="n">
        <v>45257</v>
      </c>
      <c r="B1137" s="35" t="n">
        <v>45257</v>
      </c>
      <c r="C1137" s="36" t="n">
        <v>26</v>
      </c>
      <c r="D1137" s="36" t="n">
        <v>0</v>
      </c>
      <c r="E1137" s="36" t="inlineStr"/>
      <c r="F1137" s="36" t="inlineStr">
        <is>
          <t>UPI - Paytm</t>
        </is>
      </c>
      <c r="G1137" s="34" t="n">
        <v>0.65</v>
      </c>
      <c r="H1137" s="36" t="inlineStr">
        <is>
          <t>Personal</t>
        </is>
      </c>
      <c r="I1137" s="36" t="inlineStr">
        <is>
          <t>FEDERAL 0847</t>
        </is>
      </c>
      <c r="J1137" s="36" t="inlineStr"/>
      <c r="K1137" s="36" t="inlineStr">
        <is>
          <t>UPIOUT/333190905947/paytm-76881028@paytm/S
en/4121</t>
        </is>
      </c>
      <c r="L1137" s="36" t="inlineStr">
        <is>
          <t>Federal Bank (Jupiter)</t>
        </is>
      </c>
      <c r="M1137" s="36" t="inlineStr"/>
    </row>
    <row r="1138">
      <c r="A1138" s="35" t="n">
        <v>45257</v>
      </c>
      <c r="B1138" s="35" t="n">
        <v>45257</v>
      </c>
      <c r="C1138" s="36" t="n">
        <v>70</v>
      </c>
      <c r="D1138" s="36" t="n">
        <v>0</v>
      </c>
      <c r="E1138" s="36" t="inlineStr"/>
      <c r="F1138" s="36" t="inlineStr">
        <is>
          <t>UPI - Paytm</t>
        </is>
      </c>
      <c r="G1138" s="34" t="n">
        <v>0.65</v>
      </c>
      <c r="H1138" s="36" t="inlineStr">
        <is>
          <t>Personal</t>
        </is>
      </c>
      <c r="I1138" s="36" t="inlineStr">
        <is>
          <t>FEDERAL 0847</t>
        </is>
      </c>
      <c r="J1138" s="36" t="inlineStr"/>
      <c r="K1138" s="36" t="inlineStr">
        <is>
          <t>UPIOUT/333187997813/paytmqrfmo9fujhwg@payt
m//5812</t>
        </is>
      </c>
      <c r="L1138" s="36" t="inlineStr">
        <is>
          <t>Federal Bank (Jupiter)</t>
        </is>
      </c>
      <c r="M1138" s="36" t="inlineStr"/>
    </row>
    <row r="1139">
      <c r="A1139" s="37" t="n">
        <v>45257</v>
      </c>
      <c r="B1139" s="37" t="n">
        <v>45257</v>
      </c>
      <c r="C1139" s="38" t="n">
        <v>20</v>
      </c>
      <c r="D1139" s="38" t="n">
        <v>0</v>
      </c>
      <c r="E1139" s="38" t="inlineStr"/>
      <c r="F1139" s="38" t="inlineStr">
        <is>
          <t>UPI Payment</t>
        </is>
      </c>
      <c r="G1139" s="25" t="n">
        <v>0.55</v>
      </c>
      <c r="H1139" s="38" t="inlineStr">
        <is>
          <t>Personal</t>
        </is>
      </c>
      <c r="I1139" s="38" t="inlineStr">
        <is>
          <t>FEDERAL 0847</t>
        </is>
      </c>
      <c r="J1139" s="38" t="inlineStr"/>
      <c r="K1139" s="38" t="inlineStr">
        <is>
          <t>UPIOUT/333186992138/Q614784165@ybl/Sent
via /5311</t>
        </is>
      </c>
      <c r="L1139" s="38" t="inlineStr">
        <is>
          <t>Federal Bank (Jupiter)</t>
        </is>
      </c>
      <c r="M1139" s="38" t="inlineStr"/>
    </row>
    <row r="1140">
      <c r="A1140" s="41" t="n">
        <v>45258</v>
      </c>
      <c r="B1140" s="41" t="n">
        <v>45258</v>
      </c>
      <c r="C1140" s="42" t="n">
        <v>335.52</v>
      </c>
      <c r="D1140" s="42" t="n">
        <v>0</v>
      </c>
      <c r="E1140" s="42" t="inlineStr"/>
      <c r="F1140" s="42" t="inlineStr">
        <is>
          <t>HDFC Securities - Buy</t>
        </is>
      </c>
      <c r="G1140" s="18" t="n">
        <v>0.97</v>
      </c>
      <c r="H1140" s="42" t="inlineStr">
        <is>
          <t>HDFC Securities</t>
        </is>
      </c>
      <c r="I1140" s="42" t="inlineStr">
        <is>
          <t>HDFC 5413</t>
        </is>
      </c>
      <c r="J1140" s="42" t="inlineStr"/>
      <c r="K1140" s="42" t="inlineStr">
        <is>
          <t>NET PI TO HSL SEC A/C 2554606-00602340029427</t>
        </is>
      </c>
      <c r="L1140" s="42" t="inlineStr">
        <is>
          <t>HDFC Bank</t>
        </is>
      </c>
      <c r="M1140" s="42" t="inlineStr"/>
    </row>
    <row r="1141">
      <c r="A1141" s="58" t="n">
        <v>45258</v>
      </c>
      <c r="B1141" s="58" t="n">
        <v>45258</v>
      </c>
      <c r="C1141" s="59" t="n">
        <v>5000</v>
      </c>
      <c r="D1141" s="59" t="n">
        <v>0</v>
      </c>
      <c r="E1141" s="59" t="inlineStr"/>
      <c r="F1141" s="59" t="inlineStr">
        <is>
          <t>MF Investment</t>
        </is>
      </c>
      <c r="G1141" s="18" t="n">
        <v>0.9</v>
      </c>
      <c r="H1141" s="59" t="inlineStr">
        <is>
          <t>Investments</t>
        </is>
      </c>
      <c r="I1141" s="59" t="inlineStr">
        <is>
          <t>HDFC 5413</t>
        </is>
      </c>
      <c r="J1141" s="59" t="inlineStr"/>
      <c r="K1141" s="59" t="inlineStr">
        <is>
          <t>ACH D- INDIAN CLEARING CORP-P25847674X05</t>
        </is>
      </c>
      <c r="L1141" s="59" t="inlineStr">
        <is>
          <t>HDFC Bank</t>
        </is>
      </c>
      <c r="M1141" s="59" t="inlineStr"/>
    </row>
    <row r="1142">
      <c r="A1142" s="32" t="n">
        <v>45258</v>
      </c>
      <c r="B1142" s="32" t="n">
        <v>45258</v>
      </c>
      <c r="C1142" s="33" t="n">
        <v>20</v>
      </c>
      <c r="D1142" s="33" t="n">
        <v>0</v>
      </c>
      <c r="E1142" s="33" t="inlineStr"/>
      <c r="F1142" s="33" t="inlineStr">
        <is>
          <t>UPI - BharatPe</t>
        </is>
      </c>
      <c r="G1142" s="34" t="n">
        <v>0.65</v>
      </c>
      <c r="H1142" s="33" t="inlineStr">
        <is>
          <t>Personal</t>
        </is>
      </c>
      <c r="I1142" s="33" t="inlineStr">
        <is>
          <t>FEDERAL 0847</t>
        </is>
      </c>
      <c r="J1142" s="33" t="inlineStr"/>
      <c r="K1142" s="33" t="inlineStr">
        <is>
          <t>UPIOUT/333262466569/BHARATPE90727090707@ye
sb/5814</t>
        </is>
      </c>
      <c r="L1142" s="33" t="inlineStr">
        <is>
          <t>Federal Bank (Jupiter)</t>
        </is>
      </c>
      <c r="M1142" s="33" t="inlineStr"/>
    </row>
    <row r="1143">
      <c r="A1143" s="58" t="n">
        <v>45258</v>
      </c>
      <c r="B1143" s="58" t="n">
        <v>45258</v>
      </c>
      <c r="C1143" s="59" t="n">
        <v>100</v>
      </c>
      <c r="D1143" s="59" t="n">
        <v>0</v>
      </c>
      <c r="E1143" s="59" t="inlineStr"/>
      <c r="F1143" s="59" t="inlineStr">
        <is>
          <t>MF Investment</t>
        </is>
      </c>
      <c r="G1143" s="18" t="n">
        <v>0.88</v>
      </c>
      <c r="H1143" s="59" t="inlineStr">
        <is>
          <t>Investments</t>
        </is>
      </c>
      <c r="I1143" s="59" t="inlineStr">
        <is>
          <t>FEDERAL 0847</t>
        </is>
      </c>
      <c r="J1143" s="59" t="inlineStr"/>
      <c r="K1143" s="59" t="inlineStr">
        <is>
          <t>NFT/NEOSIEXEDDD2023112812301431586 NAVI
Mutual Fun</t>
        </is>
      </c>
      <c r="L1143" s="59" t="inlineStr">
        <is>
          <t>Federal Bank (Jupiter)</t>
        </is>
      </c>
      <c r="M1143" s="59" t="inlineStr"/>
    </row>
    <row r="1144">
      <c r="A1144" s="35" t="n">
        <v>45258</v>
      </c>
      <c r="B1144" s="35" t="n">
        <v>45258</v>
      </c>
      <c r="C1144" s="36" t="n">
        <v>70</v>
      </c>
      <c r="D1144" s="36" t="n">
        <v>0</v>
      </c>
      <c r="E1144" s="36" t="inlineStr"/>
      <c r="F1144" s="36" t="inlineStr">
        <is>
          <t>UPI - Paytm</t>
        </is>
      </c>
      <c r="G1144" s="34" t="n">
        <v>0.65</v>
      </c>
      <c r="H1144" s="36" t="inlineStr">
        <is>
          <t>Personal</t>
        </is>
      </c>
      <c r="I1144" s="36" t="inlineStr">
        <is>
          <t>FEDERAL 0847</t>
        </is>
      </c>
      <c r="J1144" s="36" t="inlineStr"/>
      <c r="K1144" s="36" t="inlineStr">
        <is>
          <t>UPIOUT/333234218723/paytmqrfmo9fujhwg@payt
m//5812</t>
        </is>
      </c>
      <c r="L1144" s="36" t="inlineStr">
        <is>
          <t>Federal Bank (Jupiter)</t>
        </is>
      </c>
      <c r="M1144" s="36" t="inlineStr"/>
    </row>
    <row r="1145">
      <c r="A1145" s="35" t="n">
        <v>45258</v>
      </c>
      <c r="B1145" s="35" t="n">
        <v>45258</v>
      </c>
      <c r="C1145" s="36" t="n">
        <v>26</v>
      </c>
      <c r="D1145" s="36" t="n">
        <v>0</v>
      </c>
      <c r="E1145" s="36" t="inlineStr"/>
      <c r="F1145" s="36" t="inlineStr">
        <is>
          <t>UPI - Paytm</t>
        </is>
      </c>
      <c r="G1145" s="34" t="n">
        <v>0.65</v>
      </c>
      <c r="H1145" s="36" t="inlineStr">
        <is>
          <t>Personal</t>
        </is>
      </c>
      <c r="I1145" s="36" t="inlineStr">
        <is>
          <t>FEDERAL 0847</t>
        </is>
      </c>
      <c r="J1145" s="36" t="inlineStr"/>
      <c r="K1145" s="36" t="inlineStr">
        <is>
          <t>UPIOUT/333238394836/paytm-76881028@paytm/S
en/4121</t>
        </is>
      </c>
      <c r="L1145" s="36" t="inlineStr">
        <is>
          <t>Federal Bank (Jupiter)</t>
        </is>
      </c>
      <c r="M1145" s="36" t="inlineStr"/>
    </row>
    <row r="1146">
      <c r="A1146" s="41" t="n">
        <v>45258</v>
      </c>
      <c r="B1146" s="41" t="n">
        <v>45258</v>
      </c>
      <c r="C1146" s="42" t="n">
        <v>499</v>
      </c>
      <c r="D1146" s="42" t="n">
        <v>0</v>
      </c>
      <c r="E1146" s="42" t="inlineStr"/>
      <c r="F1146" s="42" t="inlineStr">
        <is>
          <t>UPI - Amazon</t>
        </is>
      </c>
      <c r="G1146" s="34" t="n">
        <v>0.68</v>
      </c>
      <c r="H1146" s="42" t="inlineStr">
        <is>
          <t>Shopping</t>
        </is>
      </c>
      <c r="I1146" s="42" t="inlineStr">
        <is>
          <t>FEDERAL 0847</t>
        </is>
      </c>
      <c r="J1146" s="42" t="inlineStr"/>
      <c r="K1146" s="42" t="inlineStr">
        <is>
          <t>UPIOUT/369837250589/amazonpaygrocery@apl/R
eq/5411</t>
        </is>
      </c>
      <c r="L1146" s="42" t="inlineStr">
        <is>
          <t>Federal Bank (Jupiter)</t>
        </is>
      </c>
      <c r="M1146" s="42" t="inlineStr"/>
    </row>
    <row r="1147">
      <c r="A1147" s="35" t="n">
        <v>45258</v>
      </c>
      <c r="B1147" s="35" t="n">
        <v>45258</v>
      </c>
      <c r="C1147" s="36" t="n">
        <v>100</v>
      </c>
      <c r="D1147" s="36" t="n">
        <v>0</v>
      </c>
      <c r="E1147" s="36" t="inlineStr"/>
      <c r="F1147" s="36" t="inlineStr">
        <is>
          <t>UPI - Paytm</t>
        </is>
      </c>
      <c r="G1147" s="34" t="n">
        <v>0.65</v>
      </c>
      <c r="H1147" s="36" t="inlineStr">
        <is>
          <t>Personal</t>
        </is>
      </c>
      <c r="I1147" s="36" t="inlineStr">
        <is>
          <t>FEDERAL 0847</t>
        </is>
      </c>
      <c r="J1147" s="36" t="inlineStr"/>
      <c r="K1147" s="36" t="inlineStr">
        <is>
          <t>UPIOUT/333261853759/paytmqr2810050501015w5
z0/5812</t>
        </is>
      </c>
      <c r="L1147" s="36" t="inlineStr">
        <is>
          <t>Federal Bank (Jupiter)</t>
        </is>
      </c>
      <c r="M1147" s="36" t="inlineStr"/>
    </row>
    <row r="1148">
      <c r="A1148" s="35" t="n">
        <v>45258</v>
      </c>
      <c r="B1148" s="35" t="n">
        <v>45258</v>
      </c>
      <c r="C1148" s="36" t="n">
        <v>0</v>
      </c>
      <c r="D1148" s="36" t="n">
        <v>299</v>
      </c>
      <c r="E1148" s="36" t="inlineStr"/>
      <c r="F1148" s="36" t="inlineStr">
        <is>
          <t>UPI - Paytm</t>
        </is>
      </c>
      <c r="G1148" s="34" t="n">
        <v>0.65</v>
      </c>
      <c r="H1148" s="36" t="inlineStr">
        <is>
          <t>Personal</t>
        </is>
      </c>
      <c r="I1148" s="36" t="inlineStr">
        <is>
          <t>FEDERAL 0847</t>
        </is>
      </c>
      <c r="J1148" s="36" t="inlineStr"/>
      <c r="K1148" s="36" t="inlineStr">
        <is>
          <t>UPI
IN/333245235981/8555996347@paytm/NA/0000</t>
        </is>
      </c>
      <c r="L1148" s="36" t="inlineStr">
        <is>
          <t>Federal Bank (Jupiter)</t>
        </is>
      </c>
      <c r="M1148" s="36" t="inlineStr"/>
    </row>
    <row r="1149">
      <c r="A1149" s="64" t="n">
        <v>45259</v>
      </c>
      <c r="B1149" s="64" t="n">
        <v>45259</v>
      </c>
      <c r="C1149" s="65" t="n">
        <v>0</v>
      </c>
      <c r="D1149" s="65" t="n">
        <v>470</v>
      </c>
      <c r="E1149" s="65" t="inlineStr"/>
      <c r="F1149" s="65" t="inlineStr">
        <is>
          <t>Dividend Income</t>
        </is>
      </c>
      <c r="G1149" s="18" t="n">
        <v>0.85</v>
      </c>
      <c r="H1149" s="65" t="inlineStr">
        <is>
          <t>Dividend Income</t>
        </is>
      </c>
      <c r="I1149" s="65" t="inlineStr">
        <is>
          <t>HDFC 5413</t>
        </is>
      </c>
      <c r="J1149" s="65" t="inlineStr"/>
      <c r="K1149" s="65" t="inlineStr">
        <is>
          <t>INFO EDGE DIV 23 2400000000000000035206</t>
        </is>
      </c>
      <c r="L1149" s="65" t="inlineStr">
        <is>
          <t>HDFC Bank</t>
        </is>
      </c>
      <c r="M1149" s="65" t="inlineStr"/>
    </row>
    <row r="1150">
      <c r="A1150" s="54" t="n">
        <v>45259</v>
      </c>
      <c r="B1150" s="54" t="n">
        <v>45259</v>
      </c>
      <c r="C1150" s="55" t="n">
        <v>0</v>
      </c>
      <c r="D1150" s="55" t="n">
        <v>8847.290000000001</v>
      </c>
      <c r="E1150" s="55" t="inlineStr"/>
      <c r="F1150" s="55" t="inlineStr">
        <is>
          <t>HDFC Securities - Sell</t>
        </is>
      </c>
      <c r="G1150" s="18" t="n">
        <v>0.97</v>
      </c>
      <c r="H1150" s="55" t="inlineStr">
        <is>
          <t>HDFC Securities</t>
        </is>
      </c>
      <c r="I1150" s="55" t="inlineStr">
        <is>
          <t>HDFC 5413</t>
        </is>
      </c>
      <c r="J1150" s="55" t="inlineStr"/>
      <c r="K1150" s="55" t="inlineStr">
        <is>
          <t>NET PO FROM HSL A/C 2554606-50200085415108</t>
        </is>
      </c>
      <c r="L1150" s="55" t="inlineStr">
        <is>
          <t>HDFC Bank</t>
        </is>
      </c>
      <c r="M1150" s="55" t="inlineStr"/>
    </row>
    <row r="1151">
      <c r="A1151" s="41" t="n">
        <v>45259</v>
      </c>
      <c r="B1151" s="41" t="n">
        <v>45259</v>
      </c>
      <c r="C1151" s="42" t="n">
        <v>83.88</v>
      </c>
      <c r="D1151" s="42" t="n">
        <v>0</v>
      </c>
      <c r="E1151" s="42" t="inlineStr"/>
      <c r="F1151" s="42" t="inlineStr">
        <is>
          <t>HDFC Securities - Buy</t>
        </is>
      </c>
      <c r="G1151" s="18" t="n">
        <v>0.97</v>
      </c>
      <c r="H1151" s="42" t="inlineStr">
        <is>
          <t>HDFC Securities</t>
        </is>
      </c>
      <c r="I1151" s="42" t="inlineStr">
        <is>
          <t>HDFC 5413</t>
        </is>
      </c>
      <c r="J1151" s="42" t="inlineStr"/>
      <c r="K1151" s="42" t="inlineStr">
        <is>
          <t>NET PI TO HSL SEC A/C 2554606-00602340029427</t>
        </is>
      </c>
      <c r="L1151" s="42" t="inlineStr">
        <is>
          <t>HDFC Bank</t>
        </is>
      </c>
      <c r="M1151" s="42" t="inlineStr"/>
    </row>
    <row r="1152">
      <c r="A1152" s="68" t="n">
        <v>45259</v>
      </c>
      <c r="B1152" s="68" t="n">
        <v>45259</v>
      </c>
      <c r="C1152" s="69" t="n">
        <v>15000</v>
      </c>
      <c r="D1152" s="69" t="n">
        <v>0</v>
      </c>
      <c r="E1152" s="69" t="inlineStr"/>
      <c r="F1152" s="69" t="inlineStr">
        <is>
          <t>IPO - Tata Tech</t>
        </is>
      </c>
      <c r="G1152" s="18" t="n">
        <v>0.92</v>
      </c>
      <c r="H1152" s="69" t="inlineStr">
        <is>
          <t>IPO</t>
        </is>
      </c>
      <c r="I1152" s="69" t="inlineStr">
        <is>
          <t>HDFC 5413</t>
        </is>
      </c>
      <c r="J1152" s="69" t="inlineStr"/>
      <c r="K1152" s="69" t="inlineStr">
        <is>
          <t>TATAG/2400024058112269-50200036338720</t>
        </is>
      </c>
      <c r="L1152" s="69" t="inlineStr">
        <is>
          <t>HDFC Bank</t>
        </is>
      </c>
      <c r="M1152" s="69" t="inlineStr"/>
    </row>
    <row r="1153">
      <c r="A1153" s="32" t="n">
        <v>45259</v>
      </c>
      <c r="B1153" s="32" t="n">
        <v>45259</v>
      </c>
      <c r="C1153" s="33" t="n">
        <v>20</v>
      </c>
      <c r="D1153" s="33" t="n">
        <v>0</v>
      </c>
      <c r="E1153" s="33" t="inlineStr"/>
      <c r="F1153" s="33" t="inlineStr">
        <is>
          <t>UPI - BharatPe</t>
        </is>
      </c>
      <c r="G1153" s="34" t="n">
        <v>0.65</v>
      </c>
      <c r="H1153" s="33" t="inlineStr">
        <is>
          <t>Personal</t>
        </is>
      </c>
      <c r="I1153" s="33" t="inlineStr">
        <is>
          <t>FEDERAL 0847</t>
        </is>
      </c>
      <c r="J1153" s="33" t="inlineStr"/>
      <c r="K1153" s="33" t="inlineStr">
        <is>
          <t>UPIOUT/333399588091/BHARATPE90727090707@ye
sb/5814</t>
        </is>
      </c>
      <c r="L1153" s="33" t="inlineStr">
        <is>
          <t>Federal Bank (Jupiter)</t>
        </is>
      </c>
      <c r="M1153" s="33" t="inlineStr"/>
    </row>
    <row r="1154">
      <c r="A1154" s="58" t="n">
        <v>45259</v>
      </c>
      <c r="B1154" s="58" t="n">
        <v>45259</v>
      </c>
      <c r="C1154" s="59" t="n">
        <v>100</v>
      </c>
      <c r="D1154" s="59" t="n">
        <v>0</v>
      </c>
      <c r="E1154" s="59" t="inlineStr"/>
      <c r="F1154" s="59" t="inlineStr">
        <is>
          <t>MF Investment</t>
        </is>
      </c>
      <c r="G1154" s="18" t="n">
        <v>0.88</v>
      </c>
      <c r="H1154" s="59" t="inlineStr">
        <is>
          <t>Investments</t>
        </is>
      </c>
      <c r="I1154" s="59" t="inlineStr">
        <is>
          <t>FEDERAL 0847</t>
        </is>
      </c>
      <c r="J1154" s="59" t="inlineStr"/>
      <c r="K1154" s="59" t="inlineStr">
        <is>
          <t>NFT/NEOSIEXEDDD2023112912300722828 NAVI
Mutual Fun</t>
        </is>
      </c>
      <c r="L1154" s="59" t="inlineStr">
        <is>
          <t>Federal Bank (Jupiter)</t>
        </is>
      </c>
      <c r="M1154" s="59" t="inlineStr"/>
    </row>
    <row r="1155">
      <c r="A1155" s="35" t="n">
        <v>45259</v>
      </c>
      <c r="B1155" s="35" t="n">
        <v>45259</v>
      </c>
      <c r="C1155" s="36" t="n">
        <v>35</v>
      </c>
      <c r="D1155" s="36" t="n">
        <v>0</v>
      </c>
      <c r="E1155" s="36" t="inlineStr"/>
      <c r="F1155" s="36" t="inlineStr">
        <is>
          <t>UPI - Paytm</t>
        </is>
      </c>
      <c r="G1155" s="34" t="n">
        <v>0.65</v>
      </c>
      <c r="H1155" s="36" t="inlineStr">
        <is>
          <t>Personal</t>
        </is>
      </c>
      <c r="I1155" s="36" t="inlineStr">
        <is>
          <t>FEDERAL 0847</t>
        </is>
      </c>
      <c r="J1155" s="36" t="inlineStr"/>
      <c r="K1155" s="36" t="inlineStr">
        <is>
          <t>UPIOUT/333373836794/paytmqry3eyiz8yp2@payt
m//5812</t>
        </is>
      </c>
      <c r="L1155" s="36" t="inlineStr">
        <is>
          <t>Federal Bank (Jupiter)</t>
        </is>
      </c>
      <c r="M1155" s="36" t="inlineStr"/>
    </row>
    <row r="1156">
      <c r="A1156" s="35" t="n">
        <v>45259</v>
      </c>
      <c r="B1156" s="35" t="n">
        <v>45259</v>
      </c>
      <c r="C1156" s="36" t="n">
        <v>10</v>
      </c>
      <c r="D1156" s="36" t="n">
        <v>0</v>
      </c>
      <c r="E1156" s="36" t="inlineStr"/>
      <c r="F1156" s="36" t="inlineStr">
        <is>
          <t>UPI - Paytm</t>
        </is>
      </c>
      <c r="G1156" s="34" t="n">
        <v>0.65</v>
      </c>
      <c r="H1156" s="36" t="inlineStr">
        <is>
          <t>Personal</t>
        </is>
      </c>
      <c r="I1156" s="36" t="inlineStr">
        <is>
          <t>FEDERAL 0847</t>
        </is>
      </c>
      <c r="J1156" s="36" t="inlineStr"/>
      <c r="K1156" s="36" t="inlineStr">
        <is>
          <t>UPIOUT/333374102210/paytmqrfmo9fujhwg@payt
m//5812</t>
        </is>
      </c>
      <c r="L1156" s="36" t="inlineStr">
        <is>
          <t>Federal Bank (Jupiter)</t>
        </is>
      </c>
      <c r="M1156" s="36" t="inlineStr"/>
    </row>
    <row r="1157">
      <c r="A1157" s="35" t="n">
        <v>45259</v>
      </c>
      <c r="B1157" s="35" t="n">
        <v>45259</v>
      </c>
      <c r="C1157" s="36" t="n">
        <v>26</v>
      </c>
      <c r="D1157" s="36" t="n">
        <v>0</v>
      </c>
      <c r="E1157" s="36" t="inlineStr"/>
      <c r="F1157" s="36" t="inlineStr">
        <is>
          <t>UPI - Paytm</t>
        </is>
      </c>
      <c r="G1157" s="34" t="n">
        <v>0.65</v>
      </c>
      <c r="H1157" s="36" t="inlineStr">
        <is>
          <t>Personal</t>
        </is>
      </c>
      <c r="I1157" s="36" t="inlineStr">
        <is>
          <t>FEDERAL 0847</t>
        </is>
      </c>
      <c r="J1157" s="36" t="inlineStr"/>
      <c r="K1157" s="36" t="inlineStr">
        <is>
          <t>UPIOUT/333377086297/paytmqr281005050101m7p
xx/5451</t>
        </is>
      </c>
      <c r="L1157" s="36" t="inlineStr">
        <is>
          <t>Federal Bank (Jupiter)</t>
        </is>
      </c>
      <c r="M1157" s="36" t="inlineStr"/>
    </row>
    <row r="1158">
      <c r="A1158" s="37" t="n">
        <v>45259</v>
      </c>
      <c r="B1158" s="37" t="n">
        <v>45259</v>
      </c>
      <c r="C1158" s="38" t="n">
        <v>27</v>
      </c>
      <c r="D1158" s="38" t="n">
        <v>0</v>
      </c>
      <c r="E1158" s="38" t="inlineStr"/>
      <c r="F1158" s="38" t="inlineStr">
        <is>
          <t>UPI Payment</t>
        </is>
      </c>
      <c r="G1158" s="25" t="n">
        <v>0.55</v>
      </c>
      <c r="H1158" s="38" t="inlineStr">
        <is>
          <t>Personal</t>
        </is>
      </c>
      <c r="I1158" s="38" t="inlineStr">
        <is>
          <t>FEDERAL 0847</t>
        </is>
      </c>
      <c r="J1158" s="38" t="inlineStr"/>
      <c r="K1158" s="38" t="inlineStr">
        <is>
          <t>UPIOUT/333396531080/ramanaseggem@axl/Sent
vi/0000</t>
        </is>
      </c>
      <c r="L1158" s="38" t="inlineStr">
        <is>
          <t>Federal Bank (Jupiter)</t>
        </is>
      </c>
      <c r="M1158" s="38" t="inlineStr"/>
    </row>
    <row r="1159">
      <c r="A1159" s="35" t="n">
        <v>45259</v>
      </c>
      <c r="B1159" s="35" t="n">
        <v>45259</v>
      </c>
      <c r="C1159" s="36" t="n">
        <v>120</v>
      </c>
      <c r="D1159" s="36" t="n">
        <v>0</v>
      </c>
      <c r="E1159" s="36" t="inlineStr"/>
      <c r="F1159" s="36" t="inlineStr">
        <is>
          <t>UPI - Paytm</t>
        </is>
      </c>
      <c r="G1159" s="34" t="n">
        <v>0.65</v>
      </c>
      <c r="H1159" s="36" t="inlineStr">
        <is>
          <t>Personal</t>
        </is>
      </c>
      <c r="I1159" s="36" t="inlineStr">
        <is>
          <t>FEDERAL 0847</t>
        </is>
      </c>
      <c r="J1159" s="36" t="inlineStr"/>
      <c r="K1159" s="36" t="inlineStr">
        <is>
          <t>UPIOUT/333399564994/paytmqr2810050501015w5
z0/5812</t>
        </is>
      </c>
      <c r="L1159" s="36" t="inlineStr">
        <is>
          <t>Federal Bank (Jupiter)</t>
        </is>
      </c>
      <c r="M1159" s="36" t="inlineStr"/>
    </row>
    <row r="1160">
      <c r="A1160" s="35" t="n">
        <v>45259</v>
      </c>
      <c r="B1160" s="35" t="n">
        <v>45259</v>
      </c>
      <c r="C1160" s="36" t="n">
        <v>20</v>
      </c>
      <c r="D1160" s="36" t="n">
        <v>0</v>
      </c>
      <c r="E1160" s="36" t="inlineStr"/>
      <c r="F1160" s="36" t="inlineStr">
        <is>
          <t>UPI - Paytm</t>
        </is>
      </c>
      <c r="G1160" s="34" t="n">
        <v>0.65</v>
      </c>
      <c r="H1160" s="36" t="inlineStr">
        <is>
          <t>Personal</t>
        </is>
      </c>
      <c r="I1160" s="36" t="inlineStr">
        <is>
          <t>FEDERAL 0847</t>
        </is>
      </c>
      <c r="J1160" s="36" t="inlineStr"/>
      <c r="K1160" s="36" t="inlineStr">
        <is>
          <t>UPIOUT/333310855822/paytmqr1rtk29j3xy@payt
m//5411</t>
        </is>
      </c>
      <c r="L1160" s="36" t="inlineStr">
        <is>
          <t>Federal Bank (Jupiter)</t>
        </is>
      </c>
      <c r="M1160" s="36" t="inlineStr"/>
    </row>
    <row r="1161">
      <c r="A1161" s="35" t="n">
        <v>45260</v>
      </c>
      <c r="B1161" s="35" t="n">
        <v>45260</v>
      </c>
      <c r="C1161" s="36" t="n">
        <v>10</v>
      </c>
      <c r="D1161" s="36" t="n">
        <v>0</v>
      </c>
      <c r="E1161" s="36" t="inlineStr"/>
      <c r="F1161" s="36" t="inlineStr">
        <is>
          <t>UPI - Paytm</t>
        </is>
      </c>
      <c r="G1161" s="34" t="n">
        <v>0.65</v>
      </c>
      <c r="H1161" s="36" t="inlineStr">
        <is>
          <t>Personal</t>
        </is>
      </c>
      <c r="I1161" s="36" t="inlineStr">
        <is>
          <t>FEDERAL 0847</t>
        </is>
      </c>
      <c r="J1161" s="36" t="inlineStr"/>
      <c r="K1161" s="36" t="inlineStr">
        <is>
          <t>UPIOUT/333419712274/paytmqrfmo9fujhwg@payt
m//5812</t>
        </is>
      </c>
      <c r="L1161" s="36" t="inlineStr">
        <is>
          <t>Federal Bank (Jupiter)</t>
        </is>
      </c>
      <c r="M1161" s="36" t="inlineStr"/>
    </row>
    <row r="1162">
      <c r="A1162" s="41" t="n">
        <v>45260</v>
      </c>
      <c r="B1162" s="41" t="n">
        <v>45260</v>
      </c>
      <c r="C1162" s="42" t="n">
        <v>78.90000000000001</v>
      </c>
      <c r="D1162" s="42" t="n">
        <v>0</v>
      </c>
      <c r="E1162" s="42" t="inlineStr"/>
      <c r="F1162" s="42" t="inlineStr">
        <is>
          <t>HDFC Securities - Buy</t>
        </is>
      </c>
      <c r="G1162" s="18" t="n">
        <v>0.97</v>
      </c>
      <c r="H1162" s="42" t="inlineStr">
        <is>
          <t>HDFC Securities</t>
        </is>
      </c>
      <c r="I1162" s="42" t="inlineStr">
        <is>
          <t>HDFC 5413</t>
        </is>
      </c>
      <c r="J1162" s="42" t="inlineStr"/>
      <c r="K1162" s="42" t="inlineStr">
        <is>
          <t>NET PI TO HSL SEC A/C 2554606-00602340029427</t>
        </is>
      </c>
      <c r="L1162" s="42" t="inlineStr">
        <is>
          <t>HDFC Bank</t>
        </is>
      </c>
      <c r="M1162" s="42" t="inlineStr"/>
    </row>
    <row r="1163">
      <c r="A1163" s="54" t="n">
        <v>45260</v>
      </c>
      <c r="B1163" s="54" t="n">
        <v>45260</v>
      </c>
      <c r="C1163" s="55" t="n">
        <v>0</v>
      </c>
      <c r="D1163" s="55" t="n">
        <v>1316.94</v>
      </c>
      <c r="E1163" s="55" t="inlineStr"/>
      <c r="F1163" s="55" t="inlineStr">
        <is>
          <t>HDFC Securities - Sell</t>
        </is>
      </c>
      <c r="G1163" s="18" t="n">
        <v>0.97</v>
      </c>
      <c r="H1163" s="55" t="inlineStr">
        <is>
          <t>HDFC Securities</t>
        </is>
      </c>
      <c r="I1163" s="55" t="inlineStr">
        <is>
          <t>HDFC 5413</t>
        </is>
      </c>
      <c r="J1163" s="55" t="inlineStr"/>
      <c r="K1163" s="55" t="inlineStr">
        <is>
          <t>NET PO FROM HSL A/C 2554606-50200085415108</t>
        </is>
      </c>
      <c r="L1163" s="55" t="inlineStr">
        <is>
          <t>HDFC Bank</t>
        </is>
      </c>
      <c r="M1163" s="55" t="inlineStr"/>
    </row>
    <row r="1164">
      <c r="A1164" s="58" t="n">
        <v>45260</v>
      </c>
      <c r="B1164" s="58" t="n">
        <v>45260</v>
      </c>
      <c r="C1164" s="59" t="n">
        <v>5000</v>
      </c>
      <c r="D1164" s="59" t="n">
        <v>0</v>
      </c>
      <c r="E1164" s="59" t="inlineStr"/>
      <c r="F1164" s="59" t="inlineStr">
        <is>
          <t>MF Investment</t>
        </is>
      </c>
      <c r="G1164" s="18" t="n">
        <v>0.9</v>
      </c>
      <c r="H1164" s="59" t="inlineStr">
        <is>
          <t>Investments</t>
        </is>
      </c>
      <c r="I1164" s="59" t="inlineStr">
        <is>
          <t>HDFC 5413</t>
        </is>
      </c>
      <c r="J1164" s="59" t="inlineStr"/>
      <c r="K1164" s="59" t="inlineStr">
        <is>
          <t>ACH D- INDIAN CLEARING CORP-P25847674X05</t>
        </is>
      </c>
      <c r="L1164" s="59" t="inlineStr">
        <is>
          <t>HDFC Bank</t>
        </is>
      </c>
      <c r="M1164" s="59" t="inlineStr"/>
    </row>
    <row r="1165">
      <c r="A1165" s="37" t="n">
        <v>45260</v>
      </c>
      <c r="B1165" s="37" t="n">
        <v>45260</v>
      </c>
      <c r="C1165" s="38" t="n">
        <v>7200</v>
      </c>
      <c r="D1165" s="38" t="n">
        <v>0</v>
      </c>
      <c r="E1165" s="38" t="inlineStr"/>
      <c r="F1165" s="38" t="inlineStr">
        <is>
          <t>UPI Payment</t>
        </is>
      </c>
      <c r="G1165" s="25" t="n">
        <v>0.55</v>
      </c>
      <c r="H1165" s="38" t="inlineStr">
        <is>
          <t>Personal</t>
        </is>
      </c>
      <c r="I1165" s="38" t="inlineStr">
        <is>
          <t>FEDERAL 0847</t>
        </is>
      </c>
      <c r="J1165" s="38" t="inlineStr"/>
      <c r="K1165" s="38" t="inlineStr">
        <is>
          <t>UPIOUT/333491551840/vijaykumarbhukya99@oks
bi/0000</t>
        </is>
      </c>
      <c r="L1165" s="38" t="inlineStr">
        <is>
          <t>Federal Bank (Jupiter)</t>
        </is>
      </c>
      <c r="M1165" s="38" t="inlineStr"/>
    </row>
    <row r="1166">
      <c r="A1166" s="91" t="n">
        <v>45260</v>
      </c>
      <c r="B1166" s="91" t="n">
        <v>45260</v>
      </c>
      <c r="C1166" s="92" t="n">
        <v>106.33</v>
      </c>
      <c r="D1166" s="92" t="n">
        <v>0</v>
      </c>
      <c r="E1166" s="92" t="inlineStr"/>
      <c r="F1166" s="92" t="inlineStr">
        <is>
          <t>UPI - Uber</t>
        </is>
      </c>
      <c r="G1166" s="34" t="n">
        <v>0.68</v>
      </c>
      <c r="H1166" s="92" t="inlineStr">
        <is>
          <t>Transport</t>
        </is>
      </c>
      <c r="I1166" s="92" t="inlineStr">
        <is>
          <t>FEDERAL 0847</t>
        </is>
      </c>
      <c r="J1166" s="92" t="inlineStr"/>
      <c r="K1166" s="92" t="inlineStr">
        <is>
          <t>UPIOUT/333421215953/uber@axisbank/charge/4
121</t>
        </is>
      </c>
      <c r="L1166" s="92" t="inlineStr">
        <is>
          <t>Federal Bank (Jupiter)</t>
        </is>
      </c>
      <c r="M1166" s="92" t="inlineStr"/>
    </row>
    <row r="1167">
      <c r="A1167" s="23" t="n">
        <v>45260</v>
      </c>
      <c r="B1167" s="23" t="n">
        <v>45260</v>
      </c>
      <c r="C1167" s="24" t="n">
        <v>0</v>
      </c>
      <c r="D1167" s="24" t="n">
        <v>22500</v>
      </c>
      <c r="E1167" s="24" t="inlineStr"/>
      <c r="F1167" s="24" t="inlineStr">
        <is>
          <t>What is this?</t>
        </is>
      </c>
      <c r="G1167" s="25" t="n">
        <v>0</v>
      </c>
      <c r="H1167" s="24" t="inlineStr">
        <is>
          <t>Suspense</t>
        </is>
      </c>
      <c r="I1167" s="24" t="inlineStr">
        <is>
          <t>FEDERAL 0847</t>
        </is>
      </c>
      <c r="J1167" s="24" t="inlineStr"/>
      <c r="K1167" s="24" t="inlineStr">
        <is>
          <t>NFT/DR REDDYS LABOR/CITIN23461192319/CITI</t>
        </is>
      </c>
      <c r="L1167" s="24" t="inlineStr">
        <is>
          <t>Federal Bank (Jupiter)</t>
        </is>
      </c>
      <c r="M1167" s="24" t="inlineStr"/>
    </row>
    <row r="1168">
      <c r="A1168" s="35" t="n">
        <v>45260</v>
      </c>
      <c r="B1168" s="35" t="n">
        <v>45260</v>
      </c>
      <c r="C1168" s="36" t="n">
        <v>35</v>
      </c>
      <c r="D1168" s="36" t="n">
        <v>0</v>
      </c>
      <c r="E1168" s="36" t="inlineStr"/>
      <c r="F1168" s="36" t="inlineStr">
        <is>
          <t>UPI - Paytm</t>
        </is>
      </c>
      <c r="G1168" s="34" t="n">
        <v>0.65</v>
      </c>
      <c r="H1168" s="36" t="inlineStr">
        <is>
          <t>Personal</t>
        </is>
      </c>
      <c r="I1168" s="36" t="inlineStr">
        <is>
          <t>FEDERAL 0847</t>
        </is>
      </c>
      <c r="J1168" s="36" t="inlineStr"/>
      <c r="K1168" s="36" t="inlineStr">
        <is>
          <t>UPIOUT/333419649656/paytmqry3eyiz8yp2@payt
m//5812</t>
        </is>
      </c>
      <c r="L1168" s="36" t="inlineStr">
        <is>
          <t>Federal Bank (Jupiter)</t>
        </is>
      </c>
      <c r="M1168" s="36" t="inlineStr"/>
    </row>
    <row r="1169">
      <c r="A1169" s="64" t="n">
        <v>45260</v>
      </c>
      <c r="B1169" s="64" t="n">
        <v>45260</v>
      </c>
      <c r="C1169" s="65" t="n">
        <v>0</v>
      </c>
      <c r="D1169" s="65" t="n">
        <v>75</v>
      </c>
      <c r="E1169" s="65" t="inlineStr"/>
      <c r="F1169" s="65" t="inlineStr">
        <is>
          <t>Dividend Income</t>
        </is>
      </c>
      <c r="G1169" s="18" t="n">
        <v>0.85</v>
      </c>
      <c r="H1169" s="65" t="inlineStr">
        <is>
          <t>Dividend Income</t>
        </is>
      </c>
      <c r="I1169" s="65" t="inlineStr">
        <is>
          <t>HDFC 5413</t>
        </is>
      </c>
      <c r="J1169" s="65" t="inlineStr"/>
      <c r="K1169" s="65" t="inlineStr">
        <is>
          <t>STYLAM IND DIV22 2300000000000000006009</t>
        </is>
      </c>
      <c r="L1169" s="65" t="inlineStr">
        <is>
          <t>HDFC Bank</t>
        </is>
      </c>
      <c r="M1169" s="65" t="inlineStr"/>
    </row>
    <row r="1170">
      <c r="A1170" s="58" t="n">
        <v>45260</v>
      </c>
      <c r="B1170" s="58" t="n">
        <v>45260</v>
      </c>
      <c r="C1170" s="59" t="n">
        <v>100</v>
      </c>
      <c r="D1170" s="59" t="n">
        <v>0</v>
      </c>
      <c r="E1170" s="59" t="inlineStr"/>
      <c r="F1170" s="59" t="inlineStr">
        <is>
          <t>MF Investment</t>
        </is>
      </c>
      <c r="G1170" s="18" t="n">
        <v>0.88</v>
      </c>
      <c r="H1170" s="59" t="inlineStr">
        <is>
          <t>Investments</t>
        </is>
      </c>
      <c r="I1170" s="59" t="inlineStr">
        <is>
          <t>FEDERAL 0847</t>
        </is>
      </c>
      <c r="J1170" s="59" t="inlineStr"/>
      <c r="K1170" s="59" t="inlineStr">
        <is>
          <t>NFT/NEOSIEXEDDD2023113012300670545 NAVI
Mutual Fun</t>
        </is>
      </c>
      <c r="L1170" s="59" t="inlineStr">
        <is>
          <t>Federal Bank (Jupiter)</t>
        </is>
      </c>
      <c r="M1170" s="59" t="inlineStr"/>
    </row>
    <row r="1171">
      <c r="A1171" s="54" t="n">
        <v>45260</v>
      </c>
      <c r="B1171" s="54" t="n">
        <v>45260</v>
      </c>
      <c r="C1171" s="55" t="n">
        <v>0</v>
      </c>
      <c r="D1171" s="55" t="n">
        <v>82752.33</v>
      </c>
      <c r="E1171" s="55" t="inlineStr"/>
      <c r="F1171" s="55" t="inlineStr">
        <is>
          <t>HDFC Securities - Sell</t>
        </is>
      </c>
      <c r="G1171" s="18" t="n">
        <v>0.97</v>
      </c>
      <c r="H1171" s="55" t="inlineStr">
        <is>
          <t>HDFC Securities</t>
        </is>
      </c>
      <c r="I1171" s="55" t="inlineStr">
        <is>
          <t>HDFC 5413</t>
        </is>
      </c>
      <c r="J1171" s="55" t="inlineStr"/>
      <c r="K1171" s="55" t="inlineStr">
        <is>
          <t>NET PO FROM HSL A/C 2554606-50200085415108</t>
        </is>
      </c>
      <c r="L1171" s="55" t="inlineStr">
        <is>
          <t>HDFC Bank</t>
        </is>
      </c>
      <c r="M1171" s="55" t="inlineStr"/>
    </row>
    <row r="1172">
      <c r="A1172" s="37" t="n">
        <v>45260</v>
      </c>
      <c r="B1172" s="37" t="n">
        <v>45260</v>
      </c>
      <c r="C1172" s="38" t="n">
        <v>20</v>
      </c>
      <c r="D1172" s="38" t="n">
        <v>0</v>
      </c>
      <c r="E1172" s="38" t="inlineStr"/>
      <c r="F1172" s="38" t="inlineStr">
        <is>
          <t>UPI Payment</t>
        </is>
      </c>
      <c r="G1172" s="25" t="n">
        <v>0.55</v>
      </c>
      <c r="H1172" s="38" t="inlineStr">
        <is>
          <t>Personal</t>
        </is>
      </c>
      <c r="I1172" s="38" t="inlineStr">
        <is>
          <t>FEDERAL 0847</t>
        </is>
      </c>
      <c r="J1172" s="38" t="inlineStr"/>
      <c r="K1172" s="38" t="inlineStr">
        <is>
          <t>UPIOUT/333471057148/jdsrinu1-3@okhdfcbank/
UP/0000</t>
        </is>
      </c>
      <c r="L1172" s="38" t="inlineStr">
        <is>
          <t>Federal Bank (Jupiter)</t>
        </is>
      </c>
      <c r="M1172" s="38" t="inlineStr"/>
    </row>
    <row r="1173">
      <c r="A1173" s="41" t="n">
        <v>45260</v>
      </c>
      <c r="B1173" s="41" t="n">
        <v>45261</v>
      </c>
      <c r="C1173" s="42" t="n">
        <v>11211.63</v>
      </c>
      <c r="D1173" s="42" t="n">
        <v>0</v>
      </c>
      <c r="E1173" s="42" t="inlineStr"/>
      <c r="F1173" s="42" t="inlineStr">
        <is>
          <t>HDFC Securities - Buy</t>
        </is>
      </c>
      <c r="G1173" s="18" t="n">
        <v>0.97</v>
      </c>
      <c r="H1173" s="42" t="inlineStr">
        <is>
          <t>HDFC Securities</t>
        </is>
      </c>
      <c r="I1173" s="42" t="inlineStr">
        <is>
          <t>HDFC 5413</t>
        </is>
      </c>
      <c r="J1173" s="42" t="inlineStr"/>
      <c r="K1173" s="42" t="inlineStr">
        <is>
          <t>NET PI TO HSL SEC A/C 2554606-00602340029427</t>
        </is>
      </c>
      <c r="L1173" s="42" t="inlineStr">
        <is>
          <t>HDFC Bank</t>
        </is>
      </c>
      <c r="M1173" s="42" t="inlineStr"/>
    </row>
    <row r="1174">
      <c r="A1174" s="19" t="n">
        <v>45261</v>
      </c>
      <c r="B1174" s="19" t="n">
        <v>45261</v>
      </c>
      <c r="C1174" s="20" t="n">
        <v>295</v>
      </c>
      <c r="D1174" s="20" t="n">
        <v>0</v>
      </c>
      <c r="E1174" s="20" t="inlineStr"/>
      <c r="F1174" s="20" t="inlineStr">
        <is>
          <t>Bank Charges</t>
        </is>
      </c>
      <c r="G1174" s="18" t="n">
        <v>0.9</v>
      </c>
      <c r="H1174" s="20" t="inlineStr">
        <is>
          <t>Bank Charges</t>
        </is>
      </c>
      <c r="I1174" s="20" t="inlineStr">
        <is>
          <t>HDFC 5413</t>
        </is>
      </c>
      <c r="J1174" s="20" t="inlineStr"/>
      <c r="K1174" s="20" t="inlineStr">
        <is>
          <t>ISAQMC-JUL-SEP23-417944 261023-MIR2433506603891</t>
        </is>
      </c>
      <c r="L1174" s="20" t="inlineStr">
        <is>
          <t>HDFC Bank</t>
        </is>
      </c>
      <c r="M1174" s="20" t="inlineStr"/>
    </row>
    <row r="1175">
      <c r="A1175" s="35" t="n">
        <v>45261</v>
      </c>
      <c r="B1175" s="35" t="n">
        <v>45261</v>
      </c>
      <c r="C1175" s="36" t="n">
        <v>60</v>
      </c>
      <c r="D1175" s="36" t="n">
        <v>0</v>
      </c>
      <c r="E1175" s="36" t="inlineStr"/>
      <c r="F1175" s="36" t="inlineStr">
        <is>
          <t>UPI - Paytm</t>
        </is>
      </c>
      <c r="G1175" s="34" t="n">
        <v>0.65</v>
      </c>
      <c r="H1175" s="36" t="inlineStr">
        <is>
          <t>Personal</t>
        </is>
      </c>
      <c r="I1175" s="36" t="inlineStr">
        <is>
          <t>FEDERAL 0847</t>
        </is>
      </c>
      <c r="J1175" s="36" t="inlineStr"/>
      <c r="K1175" s="36" t="inlineStr">
        <is>
          <t>UPIOUT/333530884713/paytmqr2810050501015w5
z0/5812</t>
        </is>
      </c>
      <c r="L1175" s="36" t="inlineStr">
        <is>
          <t>Federal Bank (Jupiter)</t>
        </is>
      </c>
      <c r="M1175" s="36" t="inlineStr"/>
    </row>
    <row r="1176">
      <c r="A1176" s="26" t="n">
        <v>45261</v>
      </c>
      <c r="B1176" s="26" t="n">
        <v>45261</v>
      </c>
      <c r="C1176" s="27" t="n">
        <v>75000</v>
      </c>
      <c r="D1176" s="27" t="n">
        <v>0</v>
      </c>
      <c r="E1176" s="27" t="inlineStr"/>
      <c r="F1176" s="27" t="inlineStr">
        <is>
          <t>Transfer - Ajay Gupta</t>
        </is>
      </c>
      <c r="G1176" s="18" t="n">
        <v>0.88</v>
      </c>
      <c r="H1176" s="27" t="inlineStr">
        <is>
          <t>Ajay Gupta</t>
        </is>
      </c>
      <c r="I1176" s="27" t="inlineStr">
        <is>
          <t>HDFC 5413</t>
        </is>
      </c>
      <c r="J1176" s="27" t="inlineStr"/>
      <c r="K1176" s="27" t="inlineStr">
        <is>
          <t>01671000085930-TPT-BORROW FROM AAYUSH TO AKG-AJAY KUMAR GUPTA</t>
        </is>
      </c>
      <c r="L1176" s="27" t="inlineStr">
        <is>
          <t>HDFC Bank</t>
        </is>
      </c>
      <c r="M1176" s="27" t="inlineStr"/>
    </row>
    <row r="1177">
      <c r="A1177" s="41" t="n">
        <v>45261</v>
      </c>
      <c r="B1177" s="41" t="n">
        <v>45261</v>
      </c>
      <c r="C1177" s="42" t="n">
        <v>75.38</v>
      </c>
      <c r="D1177" s="42" t="n">
        <v>0</v>
      </c>
      <c r="E1177" s="42" t="inlineStr"/>
      <c r="F1177" s="42" t="inlineStr">
        <is>
          <t>HDFC Securities - Buy</t>
        </is>
      </c>
      <c r="G1177" s="18" t="n">
        <v>0.97</v>
      </c>
      <c r="H1177" s="42" t="inlineStr">
        <is>
          <t>HDFC Securities</t>
        </is>
      </c>
      <c r="I1177" s="42" t="inlineStr">
        <is>
          <t>HDFC 5413</t>
        </is>
      </c>
      <c r="J1177" s="42" t="inlineStr"/>
      <c r="K1177" s="42" t="inlineStr">
        <is>
          <t>NET PI TO HSL SEC A/C 2554606-00602340029427</t>
        </is>
      </c>
      <c r="L1177" s="42" t="inlineStr">
        <is>
          <t>HDFC Bank</t>
        </is>
      </c>
      <c r="M1177" s="42" t="inlineStr"/>
    </row>
    <row r="1178">
      <c r="A1178" s="54" t="n">
        <v>45261</v>
      </c>
      <c r="B1178" s="54" t="n">
        <v>45261</v>
      </c>
      <c r="C1178" s="55" t="n">
        <v>0</v>
      </c>
      <c r="D1178" s="55" t="n">
        <v>520.5599999999999</v>
      </c>
      <c r="E1178" s="55" t="inlineStr"/>
      <c r="F1178" s="55" t="inlineStr">
        <is>
          <t>HDFC Securities - Sell</t>
        </is>
      </c>
      <c r="G1178" s="18" t="n">
        <v>0.97</v>
      </c>
      <c r="H1178" s="55" t="inlineStr">
        <is>
          <t>HDFC Securities</t>
        </is>
      </c>
      <c r="I1178" s="55" t="inlineStr">
        <is>
          <t>HDFC 5413</t>
        </is>
      </c>
      <c r="J1178" s="55" t="inlineStr"/>
      <c r="K1178" s="55" t="inlineStr">
        <is>
          <t>NET PO FROM HSL A/C 2554606-50200085415108</t>
        </is>
      </c>
      <c r="L1178" s="55" t="inlineStr">
        <is>
          <t>HDFC Bank</t>
        </is>
      </c>
      <c r="M1178" s="55" t="inlineStr"/>
    </row>
    <row r="1179">
      <c r="A1179" s="91" t="n">
        <v>45261</v>
      </c>
      <c r="B1179" s="91" t="n">
        <v>45261</v>
      </c>
      <c r="C1179" s="92" t="n">
        <v>167.78</v>
      </c>
      <c r="D1179" s="92" t="n">
        <v>0</v>
      </c>
      <c r="E1179" s="92" t="inlineStr"/>
      <c r="F1179" s="92" t="inlineStr">
        <is>
          <t>UPI - Uber</t>
        </is>
      </c>
      <c r="G1179" s="34" t="n">
        <v>0.68</v>
      </c>
      <c r="H1179" s="92" t="inlineStr">
        <is>
          <t>Transport</t>
        </is>
      </c>
      <c r="I1179" s="92" t="inlineStr">
        <is>
          <t>FEDERAL 0847</t>
        </is>
      </c>
      <c r="J1179" s="92" t="inlineStr"/>
      <c r="K1179" s="92" t="inlineStr">
        <is>
          <t>UPIOUT/333564640882/uberrides@hdfcbank/cha
rg/5960</t>
        </is>
      </c>
      <c r="L1179" s="92" t="inlineStr">
        <is>
          <t>Federal Bank (Jupiter)</t>
        </is>
      </c>
      <c r="M1179" s="92" t="inlineStr"/>
    </row>
    <row r="1180">
      <c r="A1180" s="35" t="n">
        <v>45261</v>
      </c>
      <c r="B1180" s="35" t="n">
        <v>45261</v>
      </c>
      <c r="C1180" s="36" t="n">
        <v>20</v>
      </c>
      <c r="D1180" s="36" t="n">
        <v>0</v>
      </c>
      <c r="E1180" s="36" t="inlineStr"/>
      <c r="F1180" s="36" t="inlineStr">
        <is>
          <t>UPI - Paytm</t>
        </is>
      </c>
      <c r="G1180" s="34" t="n">
        <v>0.65</v>
      </c>
      <c r="H1180" s="36" t="inlineStr">
        <is>
          <t>Personal</t>
        </is>
      </c>
      <c r="I1180" s="36" t="inlineStr">
        <is>
          <t>FEDERAL 0847</t>
        </is>
      </c>
      <c r="J1180" s="36" t="inlineStr"/>
      <c r="K1180" s="36" t="inlineStr">
        <is>
          <t>UPIOUT/333531579508/paytmqrfmo9fujhwg@payt
m//5812</t>
        </is>
      </c>
      <c r="L1180" s="36" t="inlineStr">
        <is>
          <t>Federal Bank (Jupiter)</t>
        </is>
      </c>
      <c r="M1180" s="36" t="inlineStr"/>
    </row>
    <row r="1181">
      <c r="A1181" s="35" t="n">
        <v>45261</v>
      </c>
      <c r="B1181" s="35" t="n">
        <v>45261</v>
      </c>
      <c r="C1181" s="36" t="n">
        <v>30</v>
      </c>
      <c r="D1181" s="36" t="n">
        <v>0</v>
      </c>
      <c r="E1181" s="36" t="inlineStr"/>
      <c r="F1181" s="36" t="inlineStr">
        <is>
          <t>UPI - Paytm</t>
        </is>
      </c>
      <c r="G1181" s="34" t="n">
        <v>0.65</v>
      </c>
      <c r="H1181" s="36" t="inlineStr">
        <is>
          <t>Personal</t>
        </is>
      </c>
      <c r="I1181" s="36" t="inlineStr">
        <is>
          <t>FEDERAL 0847</t>
        </is>
      </c>
      <c r="J1181" s="36" t="inlineStr"/>
      <c r="K1181" s="36" t="inlineStr">
        <is>
          <t>UPIOUT/333530977180/paytmqr1jm24kbgdo@payt
m//5311</t>
        </is>
      </c>
      <c r="L1181" s="36" t="inlineStr">
        <is>
          <t>Federal Bank (Jupiter)</t>
        </is>
      </c>
      <c r="M1181" s="36" t="inlineStr">
        <is>
          <t>⚠ Possible Duplicate</t>
        </is>
      </c>
    </row>
    <row r="1182">
      <c r="A1182" s="35" t="n">
        <v>45261</v>
      </c>
      <c r="B1182" s="35" t="n">
        <v>45261</v>
      </c>
      <c r="C1182" s="36" t="n">
        <v>30</v>
      </c>
      <c r="D1182" s="36" t="n">
        <v>0</v>
      </c>
      <c r="E1182" s="36" t="inlineStr"/>
      <c r="F1182" s="36" t="inlineStr">
        <is>
          <t>UPI - Paytm</t>
        </is>
      </c>
      <c r="G1182" s="34" t="n">
        <v>0.65</v>
      </c>
      <c r="H1182" s="36" t="inlineStr">
        <is>
          <t>Personal</t>
        </is>
      </c>
      <c r="I1182" s="36" t="inlineStr">
        <is>
          <t>FEDERAL 0847</t>
        </is>
      </c>
      <c r="J1182" s="36" t="inlineStr"/>
      <c r="K1182" s="36" t="inlineStr">
        <is>
          <t>UPIOUT/333530363884/paytmqruct2pt8f1w@payt
m//5462</t>
        </is>
      </c>
      <c r="L1182" s="36" t="inlineStr">
        <is>
          <t>Federal Bank (Jupiter)</t>
        </is>
      </c>
      <c r="M1182" s="36" t="inlineStr">
        <is>
          <t>⚠ Possible Duplicate</t>
        </is>
      </c>
    </row>
    <row r="1183">
      <c r="A1183" s="37" t="n">
        <v>45261</v>
      </c>
      <c r="B1183" s="37" t="n">
        <v>45261</v>
      </c>
      <c r="C1183" s="38" t="n">
        <v>10</v>
      </c>
      <c r="D1183" s="38" t="n">
        <v>0</v>
      </c>
      <c r="E1183" s="38" t="inlineStr"/>
      <c r="F1183" s="38" t="inlineStr">
        <is>
          <t>UPI Payment</t>
        </is>
      </c>
      <c r="G1183" s="25" t="n">
        <v>0.55</v>
      </c>
      <c r="H1183" s="38" t="inlineStr">
        <is>
          <t>Personal</t>
        </is>
      </c>
      <c r="I1183" s="38" t="inlineStr">
        <is>
          <t>FEDERAL 0847</t>
        </is>
      </c>
      <c r="J1183" s="38" t="inlineStr"/>
      <c r="K1183" s="38" t="inlineStr">
        <is>
          <t>UPIOUT/333520940077/santhosh.sanga09-1@oks
bi/0000</t>
        </is>
      </c>
      <c r="L1183" s="38" t="inlineStr">
        <is>
          <t>Federal Bank (Jupiter)</t>
        </is>
      </c>
      <c r="M1183" s="38" t="inlineStr"/>
    </row>
    <row r="1184">
      <c r="A1184" s="91" t="n">
        <v>45261</v>
      </c>
      <c r="B1184" s="91" t="n">
        <v>45261</v>
      </c>
      <c r="C1184" s="92" t="n">
        <v>26.02</v>
      </c>
      <c r="D1184" s="92" t="n">
        <v>0</v>
      </c>
      <c r="E1184" s="92" t="inlineStr"/>
      <c r="F1184" s="92" t="inlineStr">
        <is>
          <t>UPI - Uber</t>
        </is>
      </c>
      <c r="G1184" s="34" t="n">
        <v>0.68</v>
      </c>
      <c r="H1184" s="92" t="inlineStr">
        <is>
          <t>Transport</t>
        </is>
      </c>
      <c r="I1184" s="92" t="inlineStr">
        <is>
          <t>FEDERAL 0847</t>
        </is>
      </c>
      <c r="J1184" s="92" t="inlineStr"/>
      <c r="K1184" s="92" t="inlineStr">
        <is>
          <t>UPIOUT/333564892233/uberrides@hdfcbank/cha
rg/5960</t>
        </is>
      </c>
      <c r="L1184" s="92" t="inlineStr">
        <is>
          <t>Federal Bank (Jupiter)</t>
        </is>
      </c>
      <c r="M1184" s="92" t="inlineStr"/>
    </row>
    <row r="1185">
      <c r="A1185" s="58" t="n">
        <v>45261</v>
      </c>
      <c r="B1185" s="58" t="n">
        <v>45261</v>
      </c>
      <c r="C1185" s="59" t="n">
        <v>100</v>
      </c>
      <c r="D1185" s="59" t="n">
        <v>0</v>
      </c>
      <c r="E1185" s="59" t="inlineStr"/>
      <c r="F1185" s="59" t="inlineStr">
        <is>
          <t>MF Investment</t>
        </is>
      </c>
      <c r="G1185" s="18" t="n">
        <v>0.88</v>
      </c>
      <c r="H1185" s="59" t="inlineStr">
        <is>
          <t>Investments</t>
        </is>
      </c>
      <c r="I1185" s="59" t="inlineStr">
        <is>
          <t>FEDERAL 0847</t>
        </is>
      </c>
      <c r="J1185" s="59" t="inlineStr"/>
      <c r="K1185" s="59" t="inlineStr">
        <is>
          <t>NFT/NEOSIEXEDDD2023120112302472066 NAVI
Mutual Fun</t>
        </is>
      </c>
      <c r="L1185" s="59" t="inlineStr">
        <is>
          <t>Federal Bank (Jupiter)</t>
        </is>
      </c>
      <c r="M1185" s="59" t="inlineStr"/>
    </row>
    <row r="1186">
      <c r="A1186" s="19" t="n">
        <v>45261</v>
      </c>
      <c r="B1186" s="19" t="n">
        <v>45261</v>
      </c>
      <c r="C1186" s="20" t="n">
        <v>1</v>
      </c>
      <c r="D1186" s="20" t="n">
        <v>1</v>
      </c>
      <c r="E1186" s="20" t="inlineStr"/>
      <c r="F1186" s="20" t="inlineStr">
        <is>
          <t>Bank Charges</t>
        </is>
      </c>
      <c r="G1186" s="18" t="n">
        <v>0.88</v>
      </c>
      <c r="H1186" s="20" t="inlineStr">
        <is>
          <t>Bank Charges</t>
        </is>
      </c>
      <c r="I1186" s="20" t="inlineStr">
        <is>
          <t>AXIS</t>
        </is>
      </c>
      <c r="J1186" s="20" t="inlineStr"/>
      <c r="K1186" s="20" t="inlineStr">
        <is>
          <t>SMS Alert Fee</t>
        </is>
      </c>
      <c r="L1186" s="20" t="inlineStr">
        <is>
          <t>Axis Bank</t>
        </is>
      </c>
      <c r="M1186" s="20" t="inlineStr"/>
    </row>
    <row r="1187">
      <c r="A1187" s="93" t="n">
        <v>45262</v>
      </c>
      <c r="B1187" s="93" t="n">
        <v>45262</v>
      </c>
      <c r="C1187" s="94" t="n">
        <v>30</v>
      </c>
      <c r="D1187" s="94" t="n">
        <v>0</v>
      </c>
      <c r="E1187" s="94" t="inlineStr"/>
      <c r="F1187" s="94" t="inlineStr">
        <is>
          <t>UPI - Google Pay</t>
        </is>
      </c>
      <c r="G1187" s="34" t="n">
        <v>0.65</v>
      </c>
      <c r="H1187" s="94" t="inlineStr">
        <is>
          <t>Personal</t>
        </is>
      </c>
      <c r="I1187" s="94" t="inlineStr">
        <is>
          <t>FEDERAL 0847</t>
        </is>
      </c>
      <c r="J1187" s="94" t="inlineStr"/>
      <c r="K1187" s="94" t="inlineStr">
        <is>
          <t>UPIOUT/333635901611/gpay-11216810770@okbiz
ax/5331</t>
        </is>
      </c>
      <c r="L1187" s="94" t="inlineStr">
        <is>
          <t>Federal Bank (Jupiter)</t>
        </is>
      </c>
      <c r="M1187" s="94" t="inlineStr"/>
    </row>
    <row r="1188">
      <c r="A1188" s="35" t="n">
        <v>45262</v>
      </c>
      <c r="B1188" s="35" t="n">
        <v>45262</v>
      </c>
      <c r="C1188" s="36" t="n">
        <v>280</v>
      </c>
      <c r="D1188" s="36" t="n">
        <v>0</v>
      </c>
      <c r="E1188" s="36" t="inlineStr"/>
      <c r="F1188" s="36" t="inlineStr">
        <is>
          <t>UPI - Paytm</t>
        </is>
      </c>
      <c r="G1188" s="34" t="n">
        <v>0.65</v>
      </c>
      <c r="H1188" s="36" t="inlineStr">
        <is>
          <t>Personal</t>
        </is>
      </c>
      <c r="I1188" s="36" t="inlineStr">
        <is>
          <t>FEDERAL 0847</t>
        </is>
      </c>
      <c r="J1188" s="36" t="inlineStr"/>
      <c r="K1188" s="36" t="inlineStr">
        <is>
          <t>UPIOUT/333635831256/paytmqrfmo9fujhwg@payt
m//5812</t>
        </is>
      </c>
      <c r="L1188" s="36" t="inlineStr">
        <is>
          <t>Federal Bank (Jupiter)</t>
        </is>
      </c>
      <c r="M1188" s="36" t="inlineStr"/>
    </row>
    <row r="1189">
      <c r="A1189" s="35" t="n">
        <v>45262</v>
      </c>
      <c r="B1189" s="35" t="n">
        <v>45262</v>
      </c>
      <c r="C1189" s="36" t="n">
        <v>23</v>
      </c>
      <c r="D1189" s="36" t="n">
        <v>0</v>
      </c>
      <c r="E1189" s="36" t="inlineStr"/>
      <c r="F1189" s="36" t="inlineStr">
        <is>
          <t>UPI - Paytm</t>
        </is>
      </c>
      <c r="G1189" s="34" t="n">
        <v>0.65</v>
      </c>
      <c r="H1189" s="36" t="inlineStr">
        <is>
          <t>Personal</t>
        </is>
      </c>
      <c r="I1189" s="36" t="inlineStr">
        <is>
          <t>FEDERAL 0847</t>
        </is>
      </c>
      <c r="J1189" s="36" t="inlineStr"/>
      <c r="K1189" s="36" t="inlineStr">
        <is>
          <t>UPIOUT/333634793996/paytmqr1ox7m6rgyo@payt
m//5812</t>
        </is>
      </c>
      <c r="L1189" s="36" t="inlineStr">
        <is>
          <t>Federal Bank (Jupiter)</t>
        </is>
      </c>
      <c r="M1189" s="36" t="inlineStr"/>
    </row>
    <row r="1190">
      <c r="A1190" s="37" t="n">
        <v>45262</v>
      </c>
      <c r="B1190" s="37" t="n">
        <v>45262</v>
      </c>
      <c r="C1190" s="38" t="n">
        <v>20</v>
      </c>
      <c r="D1190" s="38" t="n">
        <v>0</v>
      </c>
      <c r="E1190" s="38" t="inlineStr"/>
      <c r="F1190" s="38" t="inlineStr">
        <is>
          <t>UPI Payment</t>
        </is>
      </c>
      <c r="G1190" s="25" t="n">
        <v>0.55</v>
      </c>
      <c r="H1190" s="38" t="inlineStr">
        <is>
          <t>Personal</t>
        </is>
      </c>
      <c r="I1190" s="38" t="inlineStr">
        <is>
          <t>FEDERAL 0847</t>
        </is>
      </c>
      <c r="J1190" s="38" t="inlineStr"/>
      <c r="K1190" s="38" t="inlineStr">
        <is>
          <t>UPIOUT/333637779469/Q614784165@ybl/Sent
via /5311</t>
        </is>
      </c>
      <c r="L1190" s="38" t="inlineStr">
        <is>
          <t>Federal Bank (Jupiter)</t>
        </is>
      </c>
      <c r="M1190" s="38" t="inlineStr"/>
    </row>
    <row r="1191">
      <c r="A1191" s="58" t="n">
        <v>45262</v>
      </c>
      <c r="B1191" s="58" t="n">
        <v>45262</v>
      </c>
      <c r="C1191" s="59" t="n">
        <v>100</v>
      </c>
      <c r="D1191" s="59" t="n">
        <v>0</v>
      </c>
      <c r="E1191" s="59" t="inlineStr"/>
      <c r="F1191" s="59" t="inlineStr">
        <is>
          <t>MF Investment</t>
        </is>
      </c>
      <c r="G1191" s="18" t="n">
        <v>0.88</v>
      </c>
      <c r="H1191" s="59" t="inlineStr">
        <is>
          <t>Investments</t>
        </is>
      </c>
      <c r="I1191" s="59" t="inlineStr">
        <is>
          <t>FEDERAL 0847</t>
        </is>
      </c>
      <c r="J1191" s="59" t="inlineStr"/>
      <c r="K1191" s="59" t="inlineStr">
        <is>
          <t>NFT/NEOSIEXEDDD2023120212303416809 NAVI
Mutual Fun</t>
        </is>
      </c>
      <c r="L1191" s="59" t="inlineStr">
        <is>
          <t>Federal Bank (Jupiter)</t>
        </is>
      </c>
      <c r="M1191" s="59" t="inlineStr"/>
    </row>
    <row r="1192">
      <c r="A1192" s="32" t="n">
        <v>45262</v>
      </c>
      <c r="B1192" s="32" t="n">
        <v>45262</v>
      </c>
      <c r="C1192" s="33" t="n">
        <v>20</v>
      </c>
      <c r="D1192" s="33" t="n">
        <v>0</v>
      </c>
      <c r="E1192" s="33" t="inlineStr"/>
      <c r="F1192" s="33" t="inlineStr">
        <is>
          <t>UPI - BharatPe</t>
        </is>
      </c>
      <c r="G1192" s="34" t="n">
        <v>0.65</v>
      </c>
      <c r="H1192" s="33" t="inlineStr">
        <is>
          <t>Personal</t>
        </is>
      </c>
      <c r="I1192" s="33" t="inlineStr">
        <is>
          <t>FEDERAL 0847</t>
        </is>
      </c>
      <c r="J1192" s="33" t="inlineStr"/>
      <c r="K1192" s="33" t="inlineStr">
        <is>
          <t>UPIOUT/333637758848/BHARATPE90727090707@ye
sb/5814</t>
        </is>
      </c>
      <c r="L1192" s="33" t="inlineStr">
        <is>
          <t>Federal Bank (Jupiter)</t>
        </is>
      </c>
      <c r="M1192" s="33" t="inlineStr"/>
    </row>
    <row r="1193">
      <c r="A1193" s="37" t="n">
        <v>45262</v>
      </c>
      <c r="B1193" s="37" t="n">
        <v>45262</v>
      </c>
      <c r="C1193" s="38" t="n">
        <v>15</v>
      </c>
      <c r="D1193" s="38" t="n">
        <v>0</v>
      </c>
      <c r="E1193" s="38" t="inlineStr"/>
      <c r="F1193" s="38" t="inlineStr">
        <is>
          <t>UPI Payment</t>
        </is>
      </c>
      <c r="G1193" s="25" t="n">
        <v>0.55</v>
      </c>
      <c r="H1193" s="38" t="inlineStr">
        <is>
          <t>Personal</t>
        </is>
      </c>
      <c r="I1193" s="38" t="inlineStr">
        <is>
          <t>FEDERAL 0847</t>
        </is>
      </c>
      <c r="J1193" s="38" t="inlineStr"/>
      <c r="K1193" s="38" t="inlineStr">
        <is>
          <t>UPIOUT/333634763711/Q621411559@ybl/Sent
via /5441</t>
        </is>
      </c>
      <c r="L1193" s="38" t="inlineStr">
        <is>
          <t>Federal Bank (Jupiter)</t>
        </is>
      </c>
      <c r="M1193" s="38" t="inlineStr"/>
    </row>
    <row r="1194">
      <c r="A1194" s="35" t="n">
        <v>45262</v>
      </c>
      <c r="B1194" s="35" t="n">
        <v>45262</v>
      </c>
      <c r="C1194" s="36" t="n">
        <v>70</v>
      </c>
      <c r="D1194" s="36" t="n">
        <v>0</v>
      </c>
      <c r="E1194" s="36" t="inlineStr"/>
      <c r="F1194" s="36" t="inlineStr">
        <is>
          <t>UPI - Paytm</t>
        </is>
      </c>
      <c r="G1194" s="34" t="n">
        <v>0.65</v>
      </c>
      <c r="H1194" s="36" t="inlineStr">
        <is>
          <t>Personal</t>
        </is>
      </c>
      <c r="I1194" s="36" t="inlineStr">
        <is>
          <t>FEDERAL 0847</t>
        </is>
      </c>
      <c r="J1194" s="36" t="inlineStr"/>
      <c r="K1194" s="36" t="inlineStr">
        <is>
          <t>UPIOUT/333637695245/paytmqr1a2plltyay@payt
m//5812</t>
        </is>
      </c>
      <c r="L1194" s="36" t="inlineStr">
        <is>
          <t>Federal Bank (Jupiter)</t>
        </is>
      </c>
      <c r="M1194" s="36" t="inlineStr"/>
    </row>
    <row r="1195">
      <c r="A1195" s="97" t="n">
        <v>45263</v>
      </c>
      <c r="B1195" s="97" t="n">
        <v>45263</v>
      </c>
      <c r="C1195" s="98" t="n">
        <v>355</v>
      </c>
      <c r="D1195" s="98" t="n">
        <v>0</v>
      </c>
      <c r="E1195" s="98" t="inlineStr"/>
      <c r="F1195" s="98" t="inlineStr">
        <is>
          <t>UPI - Swiggy</t>
        </is>
      </c>
      <c r="G1195" s="34" t="n">
        <v>0.68</v>
      </c>
      <c r="H1195" s="98" t="inlineStr">
        <is>
          <t>Food &amp; Dining</t>
        </is>
      </c>
      <c r="I1195" s="98" t="inlineStr">
        <is>
          <t>FEDERAL 0847</t>
        </is>
      </c>
      <c r="J1195" s="98" t="inlineStr"/>
      <c r="K1195" s="98" t="inlineStr">
        <is>
          <t>UPIOUT/333795406047/swiggy@yespay/Pay for
me/5812</t>
        </is>
      </c>
      <c r="L1195" s="98" t="inlineStr">
        <is>
          <t>Federal Bank (Jupiter)</t>
        </is>
      </c>
      <c r="M1195" s="98" t="inlineStr"/>
    </row>
    <row r="1196">
      <c r="A1196" s="35" t="n">
        <v>45263</v>
      </c>
      <c r="B1196" s="35" t="n">
        <v>45263</v>
      </c>
      <c r="C1196" s="36" t="n">
        <v>70</v>
      </c>
      <c r="D1196" s="36" t="n">
        <v>0</v>
      </c>
      <c r="E1196" s="36" t="inlineStr"/>
      <c r="F1196" s="36" t="inlineStr">
        <is>
          <t>UPI - Paytm</t>
        </is>
      </c>
      <c r="G1196" s="34" t="n">
        <v>0.65</v>
      </c>
      <c r="H1196" s="36" t="inlineStr">
        <is>
          <t>Personal</t>
        </is>
      </c>
      <c r="I1196" s="36" t="inlineStr">
        <is>
          <t>FEDERAL 0847</t>
        </is>
      </c>
      <c r="J1196" s="36" t="inlineStr"/>
      <c r="K1196" s="36" t="inlineStr">
        <is>
          <t>UPIOUT/333740189823/paytmqrfmo9fujhwg@payt
m//5812</t>
        </is>
      </c>
      <c r="L1196" s="36" t="inlineStr">
        <is>
          <t>Federal Bank (Jupiter)</t>
        </is>
      </c>
      <c r="M1196" s="36" t="inlineStr"/>
    </row>
    <row r="1197">
      <c r="A1197" s="58" t="n">
        <v>45263</v>
      </c>
      <c r="B1197" s="58" t="n">
        <v>45263</v>
      </c>
      <c r="C1197" s="59" t="n">
        <v>100</v>
      </c>
      <c r="D1197" s="59" t="n">
        <v>0</v>
      </c>
      <c r="E1197" s="59" t="inlineStr"/>
      <c r="F1197" s="59" t="inlineStr">
        <is>
          <t>MF Investment</t>
        </is>
      </c>
      <c r="G1197" s="18" t="n">
        <v>0.88</v>
      </c>
      <c r="H1197" s="59" t="inlineStr">
        <is>
          <t>Investments</t>
        </is>
      </c>
      <c r="I1197" s="59" t="inlineStr">
        <is>
          <t>FEDERAL 0847</t>
        </is>
      </c>
      <c r="J1197" s="59" t="inlineStr"/>
      <c r="K1197" s="59" t="inlineStr">
        <is>
          <t>NFT/NEOSIEXEDDD2023120312302093915 NAVI
Mutual Fun</t>
        </is>
      </c>
      <c r="L1197" s="59" t="inlineStr">
        <is>
          <t>Federal Bank (Jupiter)</t>
        </is>
      </c>
      <c r="M1197" s="59" t="inlineStr"/>
    </row>
    <row r="1198">
      <c r="A1198" s="35" t="n">
        <v>45264</v>
      </c>
      <c r="B1198" s="35" t="n">
        <v>45264</v>
      </c>
      <c r="C1198" s="36" t="n">
        <v>60</v>
      </c>
      <c r="D1198" s="36" t="n">
        <v>0</v>
      </c>
      <c r="E1198" s="36" t="inlineStr"/>
      <c r="F1198" s="36" t="inlineStr">
        <is>
          <t>UPI - Paytm</t>
        </is>
      </c>
      <c r="G1198" s="34" t="n">
        <v>0.65</v>
      </c>
      <c r="H1198" s="36" t="inlineStr">
        <is>
          <t>Personal</t>
        </is>
      </c>
      <c r="I1198" s="36" t="inlineStr">
        <is>
          <t>FEDERAL 0847</t>
        </is>
      </c>
      <c r="J1198" s="36" t="inlineStr"/>
      <c r="K1198" s="36" t="inlineStr">
        <is>
          <t>UPIOUT/333848096419/paytmqr2810050501015w5
z0/5812</t>
        </is>
      </c>
      <c r="L1198" s="36" t="inlineStr">
        <is>
          <t>Federal Bank (Jupiter)</t>
        </is>
      </c>
      <c r="M1198" s="36" t="inlineStr"/>
    </row>
    <row r="1199">
      <c r="A1199" s="58" t="n">
        <v>45264</v>
      </c>
      <c r="B1199" s="58" t="n">
        <v>45264</v>
      </c>
      <c r="C1199" s="59" t="n">
        <v>100</v>
      </c>
      <c r="D1199" s="59" t="n">
        <v>0</v>
      </c>
      <c r="E1199" s="59" t="inlineStr"/>
      <c r="F1199" s="59" t="inlineStr">
        <is>
          <t>MF Investment</t>
        </is>
      </c>
      <c r="G1199" s="18" t="n">
        <v>0.88</v>
      </c>
      <c r="H1199" s="59" t="inlineStr">
        <is>
          <t>Investments</t>
        </is>
      </c>
      <c r="I1199" s="59" t="inlineStr">
        <is>
          <t>FEDERAL 0847</t>
        </is>
      </c>
      <c r="J1199" s="59" t="inlineStr"/>
      <c r="K1199" s="59" t="inlineStr">
        <is>
          <t>NFT/NEOSIEXEDDD2023120412301691539 NAVI
Mutual Fun</t>
        </is>
      </c>
      <c r="L1199" s="59" t="inlineStr">
        <is>
          <t>Federal Bank (Jupiter)</t>
        </is>
      </c>
      <c r="M1199" s="59" t="inlineStr"/>
    </row>
    <row r="1200">
      <c r="A1200" s="35" t="n">
        <v>45264</v>
      </c>
      <c r="B1200" s="35" t="n">
        <v>45264</v>
      </c>
      <c r="C1200" s="36" t="n">
        <v>35</v>
      </c>
      <c r="D1200" s="36" t="n">
        <v>0</v>
      </c>
      <c r="E1200" s="36" t="inlineStr"/>
      <c r="F1200" s="36" t="inlineStr">
        <is>
          <t>UPI - Paytm</t>
        </is>
      </c>
      <c r="G1200" s="34" t="n">
        <v>0.65</v>
      </c>
      <c r="H1200" s="36" t="inlineStr">
        <is>
          <t>Personal</t>
        </is>
      </c>
      <c r="I1200" s="36" t="inlineStr">
        <is>
          <t>FEDERAL 0847</t>
        </is>
      </c>
      <c r="J1200" s="36" t="inlineStr"/>
      <c r="K1200" s="36" t="inlineStr">
        <is>
          <t>UPIOUT/333844992771/paytmqry3eyiz8yp2@payt
m//5812</t>
        </is>
      </c>
      <c r="L1200" s="36" t="inlineStr">
        <is>
          <t>Federal Bank (Jupiter)</t>
        </is>
      </c>
      <c r="M1200" s="36" t="inlineStr"/>
    </row>
    <row r="1201">
      <c r="A1201" s="35" t="n">
        <v>45264</v>
      </c>
      <c r="B1201" s="35" t="n">
        <v>45264</v>
      </c>
      <c r="C1201" s="36" t="n">
        <v>10</v>
      </c>
      <c r="D1201" s="36" t="n">
        <v>0</v>
      </c>
      <c r="E1201" s="36" t="inlineStr"/>
      <c r="F1201" s="36" t="inlineStr">
        <is>
          <t>UPI - Paytm</t>
        </is>
      </c>
      <c r="G1201" s="34" t="n">
        <v>0.65</v>
      </c>
      <c r="H1201" s="36" t="inlineStr">
        <is>
          <t>Personal</t>
        </is>
      </c>
      <c r="I1201" s="36" t="inlineStr">
        <is>
          <t>FEDERAL 0847</t>
        </is>
      </c>
      <c r="J1201" s="36" t="inlineStr"/>
      <c r="K1201" s="36" t="inlineStr">
        <is>
          <t>UPIOUT/333845022027/paytmqrfmo9fujhwg@payt
m//5812</t>
        </is>
      </c>
      <c r="L1201" s="36" t="inlineStr">
        <is>
          <t>Federal Bank (Jupiter)</t>
        </is>
      </c>
      <c r="M1201" s="36" t="inlineStr"/>
    </row>
    <row r="1202">
      <c r="A1202" s="54" t="n">
        <v>45264</v>
      </c>
      <c r="B1202" s="54" t="n">
        <v>45264</v>
      </c>
      <c r="C1202" s="55" t="n">
        <v>0</v>
      </c>
      <c r="D1202" s="55" t="n">
        <v>36344.18</v>
      </c>
      <c r="E1202" s="55" t="inlineStr"/>
      <c r="F1202" s="55" t="inlineStr">
        <is>
          <t>HDFC Securities - Sell</t>
        </is>
      </c>
      <c r="G1202" s="18" t="n">
        <v>0.97</v>
      </c>
      <c r="H1202" s="55" t="inlineStr">
        <is>
          <t>HDFC Securities</t>
        </is>
      </c>
      <c r="I1202" s="55" t="inlineStr">
        <is>
          <t>HDFC 5413</t>
        </is>
      </c>
      <c r="J1202" s="55" t="inlineStr"/>
      <c r="K1202" s="55" t="inlineStr">
        <is>
          <t>NET PO FROM HSL A/C 2554606-50200085415108</t>
        </is>
      </c>
      <c r="L1202" s="55" t="inlineStr">
        <is>
          <t>HDFC Bank</t>
        </is>
      </c>
      <c r="M1202" s="55" t="inlineStr"/>
    </row>
    <row r="1203">
      <c r="A1203" s="41" t="n">
        <v>45264</v>
      </c>
      <c r="B1203" s="41" t="n">
        <v>45264</v>
      </c>
      <c r="C1203" s="42" t="n">
        <v>267.6</v>
      </c>
      <c r="D1203" s="42" t="n">
        <v>0</v>
      </c>
      <c r="E1203" s="42" t="inlineStr"/>
      <c r="F1203" s="42" t="inlineStr">
        <is>
          <t>HDFC Securities - Buy</t>
        </is>
      </c>
      <c r="G1203" s="18" t="n">
        <v>0.97</v>
      </c>
      <c r="H1203" s="42" t="inlineStr">
        <is>
          <t>HDFC Securities</t>
        </is>
      </c>
      <c r="I1203" s="42" t="inlineStr">
        <is>
          <t>HDFC 5413</t>
        </is>
      </c>
      <c r="J1203" s="42" t="inlineStr"/>
      <c r="K1203" s="42" t="inlineStr">
        <is>
          <t>NET PI TO HSL SEC A/C 2554606-00602340029427</t>
        </is>
      </c>
      <c r="L1203" s="42" t="inlineStr">
        <is>
          <t>HDFC Bank</t>
        </is>
      </c>
      <c r="M1203" s="42" t="inlineStr"/>
    </row>
    <row r="1204">
      <c r="A1204" s="41" t="n">
        <v>45264</v>
      </c>
      <c r="B1204" s="41" t="n">
        <v>45264</v>
      </c>
      <c r="C1204" s="42" t="n">
        <v>16222.68</v>
      </c>
      <c r="D1204" s="42" t="n">
        <v>0</v>
      </c>
      <c r="E1204" s="42" t="inlineStr"/>
      <c r="F1204" s="42" t="inlineStr">
        <is>
          <t>HDFC Securities - Buy</t>
        </is>
      </c>
      <c r="G1204" s="18" t="n">
        <v>0.97</v>
      </c>
      <c r="H1204" s="42" t="inlineStr">
        <is>
          <t>HDFC Securities</t>
        </is>
      </c>
      <c r="I1204" s="42" t="inlineStr">
        <is>
          <t>HDFC 5413</t>
        </is>
      </c>
      <c r="J1204" s="42" t="inlineStr"/>
      <c r="K1204" s="42" t="inlineStr">
        <is>
          <t>NET PI TO HSL SEC A/C 2554606-00602340029427</t>
        </is>
      </c>
      <c r="L1204" s="42" t="inlineStr">
        <is>
          <t>HDFC Bank</t>
        </is>
      </c>
      <c r="M1204" s="42" t="inlineStr"/>
    </row>
    <row r="1205">
      <c r="A1205" s="41" t="n">
        <v>45264</v>
      </c>
      <c r="B1205" s="41" t="n">
        <v>45264</v>
      </c>
      <c r="C1205" s="42" t="n">
        <v>9331.790000000001</v>
      </c>
      <c r="D1205" s="42" t="n">
        <v>0</v>
      </c>
      <c r="E1205" s="42" t="inlineStr"/>
      <c r="F1205" s="42" t="inlineStr">
        <is>
          <t>HDFC Securities - Buy</t>
        </is>
      </c>
      <c r="G1205" s="18" t="n">
        <v>0.97</v>
      </c>
      <c r="H1205" s="42" t="inlineStr">
        <is>
          <t>HDFC Securities</t>
        </is>
      </c>
      <c r="I1205" s="42" t="inlineStr">
        <is>
          <t>HDFC 5413</t>
        </is>
      </c>
      <c r="J1205" s="42" t="inlineStr"/>
      <c r="K1205" s="42" t="inlineStr">
        <is>
          <t>NET PI TO HSL SEC A/C 2554606-00602340029427</t>
        </is>
      </c>
      <c r="L1205" s="42" t="inlineStr">
        <is>
          <t>HDFC Bank</t>
        </is>
      </c>
      <c r="M1205" s="42" t="inlineStr"/>
    </row>
    <row r="1206">
      <c r="A1206" s="91" t="n">
        <v>45264</v>
      </c>
      <c r="B1206" s="91" t="n">
        <v>45264</v>
      </c>
      <c r="C1206" s="92" t="n">
        <v>25</v>
      </c>
      <c r="D1206" s="92" t="n">
        <v>0</v>
      </c>
      <c r="E1206" s="92" t="inlineStr"/>
      <c r="F1206" s="92" t="inlineStr">
        <is>
          <t>UPI - Uber</t>
        </is>
      </c>
      <c r="G1206" s="34" t="n">
        <v>0.68</v>
      </c>
      <c r="H1206" s="92" t="inlineStr">
        <is>
          <t>Transport</t>
        </is>
      </c>
      <c r="I1206" s="92" t="inlineStr">
        <is>
          <t>FEDERAL 0847</t>
        </is>
      </c>
      <c r="J1206" s="92" t="inlineStr"/>
      <c r="K1206" s="92" t="inlineStr">
        <is>
          <t>UPIOUT/333873146038/uberrides@hdfcbank/cha
rg/5960</t>
        </is>
      </c>
      <c r="L1206" s="92" t="inlineStr">
        <is>
          <t>Federal Bank (Jupiter)</t>
        </is>
      </c>
      <c r="M1206" s="92" t="inlineStr"/>
    </row>
    <row r="1207">
      <c r="A1207" s="37" t="n">
        <v>45264</v>
      </c>
      <c r="B1207" s="37" t="n">
        <v>45264</v>
      </c>
      <c r="C1207" s="38" t="n">
        <v>30</v>
      </c>
      <c r="D1207" s="38" t="n">
        <v>0</v>
      </c>
      <c r="E1207" s="38" t="inlineStr"/>
      <c r="F1207" s="38" t="inlineStr">
        <is>
          <t>UPI Payment</t>
        </is>
      </c>
      <c r="G1207" s="25" t="n">
        <v>0.55</v>
      </c>
      <c r="H1207" s="38" t="inlineStr">
        <is>
          <t>Personal</t>
        </is>
      </c>
      <c r="I1207" s="38" t="inlineStr">
        <is>
          <t>FEDERAL 0847</t>
        </is>
      </c>
      <c r="J1207" s="38" t="inlineStr"/>
      <c r="K1207" s="38" t="inlineStr">
        <is>
          <t>UPIOUT/333848106598/Q648842547@ybl/Sent
via /5441</t>
        </is>
      </c>
      <c r="L1207" s="38" t="inlineStr">
        <is>
          <t>Federal Bank (Jupiter)</t>
        </is>
      </c>
      <c r="M1207" s="38" t="inlineStr"/>
    </row>
    <row r="1208">
      <c r="A1208" s="35" t="n">
        <v>45265</v>
      </c>
      <c r="B1208" s="35" t="n">
        <v>45265</v>
      </c>
      <c r="C1208" s="36" t="n">
        <v>90</v>
      </c>
      <c r="D1208" s="36" t="n">
        <v>0</v>
      </c>
      <c r="E1208" s="36" t="inlineStr"/>
      <c r="F1208" s="36" t="inlineStr">
        <is>
          <t>UPI - Paytm</t>
        </is>
      </c>
      <c r="G1208" s="34" t="n">
        <v>0.65</v>
      </c>
      <c r="H1208" s="36" t="inlineStr">
        <is>
          <t>Personal</t>
        </is>
      </c>
      <c r="I1208" s="36" t="inlineStr">
        <is>
          <t>FEDERAL 0847</t>
        </is>
      </c>
      <c r="J1208" s="36" t="inlineStr"/>
      <c r="K1208" s="36" t="inlineStr">
        <is>
          <t>UPIOUT/333953647539/paytmqr1a2plltyay@payt
m//5812</t>
        </is>
      </c>
      <c r="L1208" s="36" t="inlineStr">
        <is>
          <t>Federal Bank (Jupiter)</t>
        </is>
      </c>
      <c r="M1208" s="36" t="inlineStr"/>
    </row>
    <row r="1209">
      <c r="A1209" s="35" t="n">
        <v>45265</v>
      </c>
      <c r="B1209" s="35" t="n">
        <v>45265</v>
      </c>
      <c r="C1209" s="36" t="n">
        <v>10</v>
      </c>
      <c r="D1209" s="36" t="n">
        <v>0</v>
      </c>
      <c r="E1209" s="36" t="inlineStr"/>
      <c r="F1209" s="36" t="inlineStr">
        <is>
          <t>UPI - Paytm</t>
        </is>
      </c>
      <c r="G1209" s="34" t="n">
        <v>0.65</v>
      </c>
      <c r="H1209" s="36" t="inlineStr">
        <is>
          <t>Personal</t>
        </is>
      </c>
      <c r="I1209" s="36" t="inlineStr">
        <is>
          <t>FEDERAL 0847</t>
        </is>
      </c>
      <c r="J1209" s="36" t="inlineStr"/>
      <c r="K1209" s="36" t="inlineStr">
        <is>
          <t>UPIOUT/333953005204/paytmqr21phwr5buv@payt
m//5411</t>
        </is>
      </c>
      <c r="L1209" s="36" t="inlineStr">
        <is>
          <t>Federal Bank (Jupiter)</t>
        </is>
      </c>
      <c r="M1209" s="36" t="inlineStr">
        <is>
          <t>⚠ Possible Duplicate</t>
        </is>
      </c>
    </row>
    <row r="1210">
      <c r="A1210" s="91" t="n">
        <v>45265</v>
      </c>
      <c r="B1210" s="91" t="n">
        <v>45265</v>
      </c>
      <c r="C1210" s="92" t="n">
        <v>29.69</v>
      </c>
      <c r="D1210" s="92" t="n">
        <v>0</v>
      </c>
      <c r="E1210" s="92" t="inlineStr"/>
      <c r="F1210" s="92" t="inlineStr">
        <is>
          <t>UPI - Uber</t>
        </is>
      </c>
      <c r="G1210" s="34" t="n">
        <v>0.68</v>
      </c>
      <c r="H1210" s="92" t="inlineStr">
        <is>
          <t>Transport</t>
        </is>
      </c>
      <c r="I1210" s="92" t="inlineStr">
        <is>
          <t>FEDERAL 0847</t>
        </is>
      </c>
      <c r="J1210" s="92" t="inlineStr"/>
      <c r="K1210" s="92" t="inlineStr">
        <is>
          <t>UPIOUT/333976093552/uberrides@hdfcbank/cha
rg/5960</t>
        </is>
      </c>
      <c r="L1210" s="92" t="inlineStr">
        <is>
          <t>Federal Bank (Jupiter)</t>
        </is>
      </c>
      <c r="M1210" s="92" t="inlineStr"/>
    </row>
    <row r="1211">
      <c r="A1211" s="35" t="n">
        <v>45265</v>
      </c>
      <c r="B1211" s="35" t="n">
        <v>45265</v>
      </c>
      <c r="C1211" s="36" t="n">
        <v>10</v>
      </c>
      <c r="D1211" s="36" t="n">
        <v>0</v>
      </c>
      <c r="E1211" s="36" t="inlineStr"/>
      <c r="F1211" s="36" t="inlineStr">
        <is>
          <t>UPI - Paytm</t>
        </is>
      </c>
      <c r="G1211" s="34" t="n">
        <v>0.65</v>
      </c>
      <c r="H1211" s="36" t="inlineStr">
        <is>
          <t>Personal</t>
        </is>
      </c>
      <c r="I1211" s="36" t="inlineStr">
        <is>
          <t>FEDERAL 0847</t>
        </is>
      </c>
      <c r="J1211" s="36" t="inlineStr"/>
      <c r="K1211" s="36" t="inlineStr">
        <is>
          <t>UPIOUT/333950148089/paytmqrfmo9fujhwg@payt
m//5812</t>
        </is>
      </c>
      <c r="L1211" s="36" t="inlineStr">
        <is>
          <t>Federal Bank (Jupiter)</t>
        </is>
      </c>
      <c r="M1211" s="36" t="inlineStr">
        <is>
          <t>⚠ Possible Duplicate</t>
        </is>
      </c>
    </row>
    <row r="1212">
      <c r="A1212" s="41" t="n">
        <v>45265</v>
      </c>
      <c r="B1212" s="41" t="n">
        <v>45265</v>
      </c>
      <c r="C1212" s="42" t="n">
        <v>7773.14</v>
      </c>
      <c r="D1212" s="42" t="n">
        <v>0</v>
      </c>
      <c r="E1212" s="42" t="inlineStr"/>
      <c r="F1212" s="42" t="inlineStr">
        <is>
          <t>HDFC Securities - Buy</t>
        </is>
      </c>
      <c r="G1212" s="18" t="n">
        <v>0.97</v>
      </c>
      <c r="H1212" s="42" t="inlineStr">
        <is>
          <t>HDFC Securities</t>
        </is>
      </c>
      <c r="I1212" s="42" t="inlineStr">
        <is>
          <t>HDFC 5413</t>
        </is>
      </c>
      <c r="J1212" s="42" t="inlineStr"/>
      <c r="K1212" s="42" t="inlineStr">
        <is>
          <t>NET PI TO HSL SEC A/C 2554606-00602340029427</t>
        </is>
      </c>
      <c r="L1212" s="42" t="inlineStr">
        <is>
          <t>HDFC Bank</t>
        </is>
      </c>
      <c r="M1212" s="42" t="inlineStr"/>
    </row>
    <row r="1213">
      <c r="A1213" s="58" t="n">
        <v>45265</v>
      </c>
      <c r="B1213" s="58" t="n">
        <v>45265</v>
      </c>
      <c r="C1213" s="59" t="n">
        <v>100</v>
      </c>
      <c r="D1213" s="59" t="n">
        <v>0</v>
      </c>
      <c r="E1213" s="59" t="inlineStr"/>
      <c r="F1213" s="59" t="inlineStr">
        <is>
          <t>MF Investment</t>
        </is>
      </c>
      <c r="G1213" s="18" t="n">
        <v>0.88</v>
      </c>
      <c r="H1213" s="59" t="inlineStr">
        <is>
          <t>Investments</t>
        </is>
      </c>
      <c r="I1213" s="59" t="inlineStr">
        <is>
          <t>FEDERAL 0847</t>
        </is>
      </c>
      <c r="J1213" s="59" t="inlineStr"/>
      <c r="K1213" s="59" t="inlineStr">
        <is>
          <t>NFT/NEOSIEXEDDD2023120512304167777 NAVI
Mutual Fun</t>
        </is>
      </c>
      <c r="L1213" s="59" t="inlineStr">
        <is>
          <t>Federal Bank (Jupiter)</t>
        </is>
      </c>
      <c r="M1213" s="59" t="inlineStr"/>
    </row>
    <row r="1214">
      <c r="A1214" s="60" t="n">
        <v>45265</v>
      </c>
      <c r="B1214" s="60" t="n">
        <v>45265</v>
      </c>
      <c r="C1214" s="61" t="n">
        <v>2000</v>
      </c>
      <c r="D1214" s="61" t="n">
        <v>0</v>
      </c>
      <c r="E1214" s="61" t="inlineStr"/>
      <c r="F1214" s="61" t="inlineStr">
        <is>
          <t>Cash Withdrawal</t>
        </is>
      </c>
      <c r="G1214" s="18" t="n">
        <v>0.92</v>
      </c>
      <c r="H1214" s="61" t="inlineStr">
        <is>
          <t>Cash</t>
        </is>
      </c>
      <c r="I1214" s="61" t="inlineStr">
        <is>
          <t>HDFC 5413</t>
        </is>
      </c>
      <c r="J1214" s="61" t="inlineStr"/>
      <c r="K1214" s="61" t="inlineStr">
        <is>
          <t>ATW-652166XXXXXX7402-S1ANMN04-NASHIK</t>
        </is>
      </c>
      <c r="L1214" s="61" t="inlineStr">
        <is>
          <t>HDFC Bank</t>
        </is>
      </c>
      <c r="M1214" s="61" t="inlineStr"/>
    </row>
    <row r="1215">
      <c r="A1215" s="41" t="n">
        <v>45265</v>
      </c>
      <c r="B1215" s="41" t="n">
        <v>45265</v>
      </c>
      <c r="C1215" s="42" t="n">
        <v>85.87</v>
      </c>
      <c r="D1215" s="42" t="n">
        <v>0</v>
      </c>
      <c r="E1215" s="42" t="inlineStr"/>
      <c r="F1215" s="42" t="inlineStr">
        <is>
          <t>HDFC Securities - Buy</t>
        </is>
      </c>
      <c r="G1215" s="18" t="n">
        <v>0.97</v>
      </c>
      <c r="H1215" s="42" t="inlineStr">
        <is>
          <t>HDFC Securities</t>
        </is>
      </c>
      <c r="I1215" s="42" t="inlineStr">
        <is>
          <t>HDFC 5413</t>
        </is>
      </c>
      <c r="J1215" s="42" t="inlineStr"/>
      <c r="K1215" s="42" t="inlineStr">
        <is>
          <t>NET PI TO HSL SEC A/C 2554606-00602340029427</t>
        </is>
      </c>
      <c r="L1215" s="42" t="inlineStr">
        <is>
          <t>HDFC Bank</t>
        </is>
      </c>
      <c r="M1215" s="42" t="inlineStr"/>
    </row>
    <row r="1216">
      <c r="A1216" s="32" t="n">
        <v>45265</v>
      </c>
      <c r="B1216" s="32" t="n">
        <v>45265</v>
      </c>
      <c r="C1216" s="33" t="n">
        <v>35</v>
      </c>
      <c r="D1216" s="33" t="n">
        <v>0</v>
      </c>
      <c r="E1216" s="33" t="inlineStr"/>
      <c r="F1216" s="33" t="inlineStr">
        <is>
          <t>UPI - BharatPe</t>
        </is>
      </c>
      <c r="G1216" s="34" t="n">
        <v>0.65</v>
      </c>
      <c r="H1216" s="33" t="inlineStr">
        <is>
          <t>Personal</t>
        </is>
      </c>
      <c r="I1216" s="33" t="inlineStr">
        <is>
          <t>FEDERAL 0847</t>
        </is>
      </c>
      <c r="J1216" s="33" t="inlineStr"/>
      <c r="K1216" s="33" t="inlineStr">
        <is>
          <t>UPIOUT/333950144109/BHARATPE.90066462056@f
bp/5814</t>
        </is>
      </c>
      <c r="L1216" s="33" t="inlineStr">
        <is>
          <t>Federal Bank (Jupiter)</t>
        </is>
      </c>
      <c r="M1216" s="33" t="inlineStr"/>
    </row>
    <row r="1217">
      <c r="A1217" s="32" t="n">
        <v>45265</v>
      </c>
      <c r="B1217" s="32" t="n">
        <v>45265</v>
      </c>
      <c r="C1217" s="33" t="n">
        <v>20</v>
      </c>
      <c r="D1217" s="33" t="n">
        <v>0</v>
      </c>
      <c r="E1217" s="33" t="inlineStr"/>
      <c r="F1217" s="33" t="inlineStr">
        <is>
          <t>UPI - BharatPe</t>
        </is>
      </c>
      <c r="G1217" s="34" t="n">
        <v>0.65</v>
      </c>
      <c r="H1217" s="33" t="inlineStr">
        <is>
          <t>Personal</t>
        </is>
      </c>
      <c r="I1217" s="33" t="inlineStr">
        <is>
          <t>FEDERAL 0847</t>
        </is>
      </c>
      <c r="J1217" s="33" t="inlineStr"/>
      <c r="K1217" s="33" t="inlineStr">
        <is>
          <t>UPIOUT/333953651185/BHARATPE90727090707@ye
sb/5814</t>
        </is>
      </c>
      <c r="L1217" s="33" t="inlineStr">
        <is>
          <t>Federal Bank (Jupiter)</t>
        </is>
      </c>
      <c r="M1217" s="33" t="inlineStr"/>
    </row>
    <row r="1218">
      <c r="A1218" s="41" t="n">
        <v>45266</v>
      </c>
      <c r="B1218" s="41" t="n">
        <v>45266</v>
      </c>
      <c r="C1218" s="42" t="n">
        <v>83125.39999999999</v>
      </c>
      <c r="D1218" s="42" t="n">
        <v>0</v>
      </c>
      <c r="E1218" s="42" t="inlineStr"/>
      <c r="F1218" s="42" t="inlineStr">
        <is>
          <t>HDFC Securities - Buy</t>
        </is>
      </c>
      <c r="G1218" s="18" t="n">
        <v>0.97</v>
      </c>
      <c r="H1218" s="42" t="inlineStr">
        <is>
          <t>HDFC Securities</t>
        </is>
      </c>
      <c r="I1218" s="42" t="inlineStr">
        <is>
          <t>HDFC 5413</t>
        </is>
      </c>
      <c r="J1218" s="42" t="inlineStr"/>
      <c r="K1218" s="42" t="inlineStr">
        <is>
          <t>NET PI TO HSL SEC A/C 2554606-00602340029427</t>
        </is>
      </c>
      <c r="L1218" s="42" t="inlineStr">
        <is>
          <t>HDFC Bank</t>
        </is>
      </c>
      <c r="M1218" s="42" t="inlineStr"/>
    </row>
    <row r="1219">
      <c r="A1219" s="58" t="n">
        <v>45266</v>
      </c>
      <c r="B1219" s="58" t="n">
        <v>45266</v>
      </c>
      <c r="C1219" s="59" t="n">
        <v>100</v>
      </c>
      <c r="D1219" s="59" t="n">
        <v>0</v>
      </c>
      <c r="E1219" s="59" t="inlineStr"/>
      <c r="F1219" s="59" t="inlineStr">
        <is>
          <t>MF Investment</t>
        </is>
      </c>
      <c r="G1219" s="18" t="n">
        <v>0.88</v>
      </c>
      <c r="H1219" s="59" t="inlineStr">
        <is>
          <t>Investments</t>
        </is>
      </c>
      <c r="I1219" s="59" t="inlineStr">
        <is>
          <t>FEDERAL 0847</t>
        </is>
      </c>
      <c r="J1219" s="59" t="inlineStr"/>
      <c r="K1219" s="59" t="inlineStr">
        <is>
          <t>NFT/NEOSIEXEDDD2023120612304350297 NAVI
Mutual Fun</t>
        </is>
      </c>
      <c r="L1219" s="59" t="inlineStr">
        <is>
          <t>Federal Bank (Jupiter)</t>
        </is>
      </c>
      <c r="M1219" s="59" t="inlineStr"/>
    </row>
    <row r="1220">
      <c r="A1220" s="35" t="n">
        <v>45266</v>
      </c>
      <c r="B1220" s="35" t="n">
        <v>45266</v>
      </c>
      <c r="C1220" s="36" t="n">
        <v>35</v>
      </c>
      <c r="D1220" s="36" t="n">
        <v>0</v>
      </c>
      <c r="E1220" s="36" t="inlineStr"/>
      <c r="F1220" s="36" t="inlineStr">
        <is>
          <t>UPI - Paytm</t>
        </is>
      </c>
      <c r="G1220" s="34" t="n">
        <v>0.65</v>
      </c>
      <c r="H1220" s="36" t="inlineStr">
        <is>
          <t>Personal</t>
        </is>
      </c>
      <c r="I1220" s="36" t="inlineStr">
        <is>
          <t>FEDERAL 0847</t>
        </is>
      </c>
      <c r="J1220" s="36" t="inlineStr"/>
      <c r="K1220" s="36" t="inlineStr">
        <is>
          <t>UPIOUT/334056060188/paytmqry3eyiz8yp2@payt
m//5812</t>
        </is>
      </c>
      <c r="L1220" s="36" t="inlineStr">
        <is>
          <t>Federal Bank (Jupiter)</t>
        </is>
      </c>
      <c r="M1220" s="36" t="inlineStr"/>
    </row>
    <row r="1221">
      <c r="A1221" s="41" t="n">
        <v>45266</v>
      </c>
      <c r="B1221" s="41" t="n">
        <v>45267</v>
      </c>
      <c r="C1221" s="42" t="n">
        <v>783</v>
      </c>
      <c r="D1221" s="42" t="n">
        <v>0</v>
      </c>
      <c r="E1221" s="42" t="inlineStr"/>
      <c r="F1221" s="42" t="inlineStr">
        <is>
          <t>UPI - Amazon</t>
        </is>
      </c>
      <c r="G1221" s="34" t="n">
        <v>0.68</v>
      </c>
      <c r="H1221" s="42" t="inlineStr">
        <is>
          <t>Shopping</t>
        </is>
      </c>
      <c r="I1221" s="42" t="inlineStr">
        <is>
          <t>FEDERAL 0847</t>
        </is>
      </c>
      <c r="J1221" s="42" t="inlineStr"/>
      <c r="K1221" s="42" t="inlineStr">
        <is>
          <t>UPIOUT/334196966530/amazonupi@apl/Request
fr/5262</t>
        </is>
      </c>
      <c r="L1221" s="42" t="inlineStr">
        <is>
          <t>Federal Bank (Jupiter)</t>
        </is>
      </c>
      <c r="M1221" s="42" t="inlineStr"/>
    </row>
    <row r="1222">
      <c r="A1222" s="54" t="n">
        <v>45266</v>
      </c>
      <c r="B1222" s="54" t="n">
        <v>45266</v>
      </c>
      <c r="C1222" s="55" t="n">
        <v>0</v>
      </c>
      <c r="D1222" s="55" t="n">
        <v>46569.07</v>
      </c>
      <c r="E1222" s="55" t="inlineStr"/>
      <c r="F1222" s="55" t="inlineStr">
        <is>
          <t>HDFC Securities - Sell</t>
        </is>
      </c>
      <c r="G1222" s="18" t="n">
        <v>0.97</v>
      </c>
      <c r="H1222" s="55" t="inlineStr">
        <is>
          <t>HDFC Securities</t>
        </is>
      </c>
      <c r="I1222" s="55" t="inlineStr">
        <is>
          <t>HDFC 5413</t>
        </is>
      </c>
      <c r="J1222" s="55" t="inlineStr"/>
      <c r="K1222" s="55" t="inlineStr">
        <is>
          <t>NET PO FROM HSL A/C 2554606-50200085415108</t>
        </is>
      </c>
      <c r="L1222" s="55" t="inlineStr">
        <is>
          <t>HDFC Bank</t>
        </is>
      </c>
      <c r="M1222" s="55" t="inlineStr"/>
    </row>
    <row r="1223">
      <c r="A1223" s="35" t="n">
        <v>45266</v>
      </c>
      <c r="B1223" s="35" t="n">
        <v>45266</v>
      </c>
      <c r="C1223" s="36" t="n">
        <v>20</v>
      </c>
      <c r="D1223" s="36" t="n">
        <v>0</v>
      </c>
      <c r="E1223" s="36" t="inlineStr"/>
      <c r="F1223" s="36" t="inlineStr">
        <is>
          <t>UPI - Paytm</t>
        </is>
      </c>
      <c r="G1223" s="34" t="n">
        <v>0.65</v>
      </c>
      <c r="H1223" s="36" t="inlineStr">
        <is>
          <t>Personal</t>
        </is>
      </c>
      <c r="I1223" s="36" t="inlineStr">
        <is>
          <t>FEDERAL 0847</t>
        </is>
      </c>
      <c r="J1223" s="36" t="inlineStr"/>
      <c r="K1223" s="36" t="inlineStr">
        <is>
          <t>UPIOUT/334059854247/paytmqrfmo9fujhwg@payt
m//5812</t>
        </is>
      </c>
      <c r="L1223" s="36" t="inlineStr">
        <is>
          <t>Federal Bank (Jupiter)</t>
        </is>
      </c>
      <c r="M1223" s="36" t="inlineStr">
        <is>
          <t>⚠ Possible Duplicate</t>
        </is>
      </c>
    </row>
    <row r="1224">
      <c r="A1224" s="97" t="n">
        <v>45266</v>
      </c>
      <c r="B1224" s="97" t="n">
        <v>45266</v>
      </c>
      <c r="C1224" s="98" t="n">
        <v>281</v>
      </c>
      <c r="D1224" s="98" t="n">
        <v>0</v>
      </c>
      <c r="E1224" s="98" t="inlineStr"/>
      <c r="F1224" s="98" t="inlineStr">
        <is>
          <t>UPI - Swiggy</t>
        </is>
      </c>
      <c r="G1224" s="34" t="n">
        <v>0.68</v>
      </c>
      <c r="H1224" s="98" t="inlineStr">
        <is>
          <t>Food &amp; Dining</t>
        </is>
      </c>
      <c r="I1224" s="98" t="inlineStr">
        <is>
          <t>FEDERAL 0847</t>
        </is>
      </c>
      <c r="J1224" s="98" t="inlineStr"/>
      <c r="K1224" s="98" t="inlineStr">
        <is>
          <t>UPIOUT/334017537261/upiswiggy@icici/UPI/58
14</t>
        </is>
      </c>
      <c r="L1224" s="98" t="inlineStr">
        <is>
          <t>Federal Bank (Jupiter)</t>
        </is>
      </c>
      <c r="M1224" s="98" t="inlineStr"/>
    </row>
    <row r="1225">
      <c r="A1225" s="35" t="n">
        <v>45266</v>
      </c>
      <c r="B1225" s="35" t="n">
        <v>45266</v>
      </c>
      <c r="C1225" s="36" t="n">
        <v>90</v>
      </c>
      <c r="D1225" s="36" t="n">
        <v>0</v>
      </c>
      <c r="E1225" s="36" t="inlineStr"/>
      <c r="F1225" s="36" t="inlineStr">
        <is>
          <t>UPI - Paytm</t>
        </is>
      </c>
      <c r="G1225" s="34" t="n">
        <v>0.65</v>
      </c>
      <c r="H1225" s="36" t="inlineStr">
        <is>
          <t>Personal</t>
        </is>
      </c>
      <c r="I1225" s="36" t="inlineStr">
        <is>
          <t>FEDERAL 0847</t>
        </is>
      </c>
      <c r="J1225" s="36" t="inlineStr"/>
      <c r="K1225" s="36" t="inlineStr">
        <is>
          <t>UPIOUT/334059405736/paytmqr1a2plltyay@payt
m//5812</t>
        </is>
      </c>
      <c r="L1225" s="36" t="inlineStr">
        <is>
          <t>Federal Bank (Jupiter)</t>
        </is>
      </c>
      <c r="M1225" s="36" t="inlineStr"/>
    </row>
    <row r="1226">
      <c r="A1226" s="37" t="n">
        <v>45266</v>
      </c>
      <c r="B1226" s="37" t="n">
        <v>45266</v>
      </c>
      <c r="C1226" s="38" t="n">
        <v>26</v>
      </c>
      <c r="D1226" s="38" t="n">
        <v>0</v>
      </c>
      <c r="E1226" s="38" t="inlineStr"/>
      <c r="F1226" s="38" t="inlineStr">
        <is>
          <t>UPI Payment</t>
        </is>
      </c>
      <c r="G1226" s="25" t="n">
        <v>0.55</v>
      </c>
      <c r="H1226" s="38" t="inlineStr">
        <is>
          <t>Personal</t>
        </is>
      </c>
      <c r="I1226" s="38" t="inlineStr">
        <is>
          <t>FEDERAL 0847</t>
        </is>
      </c>
      <c r="J1226" s="38" t="inlineStr"/>
      <c r="K1226" s="38" t="inlineStr">
        <is>
          <t>UPIOUT/334056471414/karnasiddipogu143@ybl/
Se/0000</t>
        </is>
      </c>
      <c r="L1226" s="38" t="inlineStr">
        <is>
          <t>Federal Bank (Jupiter)</t>
        </is>
      </c>
      <c r="M1226" s="38" t="inlineStr"/>
    </row>
    <row r="1227">
      <c r="A1227" s="35" t="n">
        <v>45266</v>
      </c>
      <c r="B1227" s="35" t="n">
        <v>45266</v>
      </c>
      <c r="C1227" s="36" t="n">
        <v>10</v>
      </c>
      <c r="D1227" s="36" t="n">
        <v>0</v>
      </c>
      <c r="E1227" s="36" t="inlineStr"/>
      <c r="F1227" s="36" t="inlineStr">
        <is>
          <t>UPI - Paytm</t>
        </is>
      </c>
      <c r="G1227" s="34" t="n">
        <v>0.65</v>
      </c>
      <c r="H1227" s="36" t="inlineStr">
        <is>
          <t>Personal</t>
        </is>
      </c>
      <c r="I1227" s="36" t="inlineStr">
        <is>
          <t>FEDERAL 0847</t>
        </is>
      </c>
      <c r="J1227" s="36" t="inlineStr"/>
      <c r="K1227" s="36" t="inlineStr">
        <is>
          <t>UPIOUT/334056100325/paytmqrfmo9fujhwg@payt
m//5812</t>
        </is>
      </c>
      <c r="L1227" s="36" t="inlineStr">
        <is>
          <t>Federal Bank (Jupiter)</t>
        </is>
      </c>
      <c r="M1227" s="36" t="inlineStr"/>
    </row>
    <row r="1228">
      <c r="A1228" s="35" t="n">
        <v>45266</v>
      </c>
      <c r="B1228" s="35" t="n">
        <v>45266</v>
      </c>
      <c r="C1228" s="36" t="n">
        <v>20</v>
      </c>
      <c r="D1228" s="36" t="n">
        <v>0</v>
      </c>
      <c r="E1228" s="36" t="inlineStr"/>
      <c r="F1228" s="36" t="inlineStr">
        <is>
          <t>UPI - Paytm</t>
        </is>
      </c>
      <c r="G1228" s="34" t="n">
        <v>0.65</v>
      </c>
      <c r="H1228" s="36" t="inlineStr">
        <is>
          <t>Personal</t>
        </is>
      </c>
      <c r="I1228" s="36" t="inlineStr">
        <is>
          <t>FEDERAL 0847</t>
        </is>
      </c>
      <c r="J1228" s="36" t="inlineStr"/>
      <c r="K1228" s="36" t="inlineStr">
        <is>
          <t>UPIOUT/334059424593/paytmqr1rtk29j3xy@payt
m//5411</t>
        </is>
      </c>
      <c r="L1228" s="36" t="inlineStr">
        <is>
          <t>Federal Bank (Jupiter)</t>
        </is>
      </c>
      <c r="M1228" s="36" t="inlineStr">
        <is>
          <t>⚠ Possible Duplicate</t>
        </is>
      </c>
    </row>
    <row r="1229">
      <c r="A1229" s="41" t="n">
        <v>45266</v>
      </c>
      <c r="B1229" s="41" t="n">
        <v>45266</v>
      </c>
      <c r="C1229" s="42" t="n">
        <v>94.98999999999999</v>
      </c>
      <c r="D1229" s="42" t="n">
        <v>0</v>
      </c>
      <c r="E1229" s="42" t="inlineStr"/>
      <c r="F1229" s="42" t="inlineStr">
        <is>
          <t>HDFC Securities - Buy</t>
        </is>
      </c>
      <c r="G1229" s="18" t="n">
        <v>0.97</v>
      </c>
      <c r="H1229" s="42" t="inlineStr">
        <is>
          <t>HDFC Securities</t>
        </is>
      </c>
      <c r="I1229" s="42" t="inlineStr">
        <is>
          <t>HDFC 5413</t>
        </is>
      </c>
      <c r="J1229" s="42" t="inlineStr"/>
      <c r="K1229" s="42" t="inlineStr">
        <is>
          <t>NET PI TO HSL SEC A/C 2554606-00602340029427</t>
        </is>
      </c>
      <c r="L1229" s="42" t="inlineStr">
        <is>
          <t>HDFC Bank</t>
        </is>
      </c>
      <c r="M1229" s="42" t="inlineStr"/>
    </row>
    <row r="1230">
      <c r="A1230" s="74" t="n">
        <v>45267</v>
      </c>
      <c r="B1230" s="74" t="n">
        <v>45267</v>
      </c>
      <c r="C1230" s="75" t="n">
        <v>0</v>
      </c>
      <c r="D1230" s="75" t="n">
        <v>118595.14</v>
      </c>
      <c r="E1230" s="75" t="inlineStr"/>
      <c r="F1230" s="75" t="inlineStr">
        <is>
          <t>MF Redemption</t>
        </is>
      </c>
      <c r="G1230" s="18" t="n">
        <v>0.85</v>
      </c>
      <c r="H1230" s="75" t="inlineStr">
        <is>
          <t>Mutual Funds</t>
        </is>
      </c>
      <c r="I1230" s="75" t="inlineStr">
        <is>
          <t>HDFC 5413</t>
        </is>
      </c>
      <c r="J1230" s="75" t="inlineStr"/>
      <c r="K1230" s="75" t="inlineStr">
        <is>
          <t>FT- ADITYA BSLMF-POOL RED A/C - BIRLA MF-RED-DC-F NO.  1040257989- 16</t>
        </is>
      </c>
      <c r="L1230" s="75" t="inlineStr">
        <is>
          <t>HDFC Bank</t>
        </is>
      </c>
      <c r="M1230" s="75" t="inlineStr"/>
    </row>
    <row r="1231">
      <c r="A1231" s="54" t="n">
        <v>45267</v>
      </c>
      <c r="B1231" s="54" t="n">
        <v>45267</v>
      </c>
      <c r="C1231" s="55" t="n">
        <v>0</v>
      </c>
      <c r="D1231" s="55" t="n">
        <v>45687.85</v>
      </c>
      <c r="E1231" s="55" t="inlineStr"/>
      <c r="F1231" s="55" t="inlineStr">
        <is>
          <t>HDFC Securities - Sell</t>
        </is>
      </c>
      <c r="G1231" s="18" t="n">
        <v>0.97</v>
      </c>
      <c r="H1231" s="55" t="inlineStr">
        <is>
          <t>HDFC Securities</t>
        </is>
      </c>
      <c r="I1231" s="55" t="inlineStr">
        <is>
          <t>HDFC 5413</t>
        </is>
      </c>
      <c r="J1231" s="55" t="inlineStr"/>
      <c r="K1231" s="55" t="inlineStr">
        <is>
          <t>NET PO FROM HSL A/C 2554606-50200085415108</t>
        </is>
      </c>
      <c r="L1231" s="55" t="inlineStr">
        <is>
          <t>HDFC Bank</t>
        </is>
      </c>
      <c r="M1231" s="55" t="inlineStr"/>
    </row>
    <row r="1232">
      <c r="A1232" s="41" t="n">
        <v>45267</v>
      </c>
      <c r="B1232" s="41" t="n">
        <v>45267</v>
      </c>
      <c r="C1232" s="42" t="n">
        <v>72.64</v>
      </c>
      <c r="D1232" s="42" t="n">
        <v>0</v>
      </c>
      <c r="E1232" s="42" t="inlineStr"/>
      <c r="F1232" s="42" t="inlineStr">
        <is>
          <t>HDFC Securities - Buy</t>
        </is>
      </c>
      <c r="G1232" s="18" t="n">
        <v>0.97</v>
      </c>
      <c r="H1232" s="42" t="inlineStr">
        <is>
          <t>HDFC Securities</t>
        </is>
      </c>
      <c r="I1232" s="42" t="inlineStr">
        <is>
          <t>HDFC 5413</t>
        </is>
      </c>
      <c r="J1232" s="42" t="inlineStr"/>
      <c r="K1232" s="42" t="inlineStr">
        <is>
          <t>NET PI TO HSL SEC A/C 2554606-00602340029427</t>
        </is>
      </c>
      <c r="L1232" s="42" t="inlineStr">
        <is>
          <t>HDFC Bank</t>
        </is>
      </c>
      <c r="M1232" s="42" t="inlineStr"/>
    </row>
    <row r="1233">
      <c r="A1233" s="58" t="n">
        <v>45267</v>
      </c>
      <c r="B1233" s="58" t="n">
        <v>45267</v>
      </c>
      <c r="C1233" s="59" t="n">
        <v>120000</v>
      </c>
      <c r="D1233" s="59" t="n">
        <v>0</v>
      </c>
      <c r="E1233" s="59" t="inlineStr"/>
      <c r="F1233" s="59" t="inlineStr">
        <is>
          <t>SIP</t>
        </is>
      </c>
      <c r="G1233" s="18" t="n">
        <v>0.9</v>
      </c>
      <c r="H1233" s="59" t="inlineStr">
        <is>
          <t>SIP</t>
        </is>
      </c>
      <c r="I1233" s="59" t="inlineStr">
        <is>
          <t>HDFC 5413</t>
        </is>
      </c>
      <c r="J1233" s="59" t="inlineStr"/>
      <c r="K1233" s="59" t="inlineStr">
        <is>
          <t>YHDF2165733280/BILLDKINDIANCLEARING</t>
        </is>
      </c>
      <c r="L1233" s="59" t="inlineStr">
        <is>
          <t>HDFC Bank</t>
        </is>
      </c>
      <c r="M1233" s="59" t="inlineStr"/>
    </row>
    <row r="1234">
      <c r="A1234" s="64" t="n">
        <v>45267</v>
      </c>
      <c r="B1234" s="64" t="n">
        <v>45267</v>
      </c>
      <c r="C1234" s="65" t="n">
        <v>0</v>
      </c>
      <c r="D1234" s="65" t="n">
        <v>81</v>
      </c>
      <c r="E1234" s="65" t="inlineStr"/>
      <c r="F1234" s="65" t="inlineStr">
        <is>
          <t>Dividend Income</t>
        </is>
      </c>
      <c r="G1234" s="18" t="n">
        <v>0.88</v>
      </c>
      <c r="H1234" s="65" t="inlineStr">
        <is>
          <t>Dividend Income</t>
        </is>
      </c>
      <c r="I1234" s="65" t="inlineStr">
        <is>
          <t>HDFC 5413</t>
        </is>
      </c>
      <c r="J1234" s="65" t="inlineStr"/>
      <c r="K1234" s="65" t="inlineStr">
        <is>
          <t>ACH C- POWER FINANCE CORPOR-12156202</t>
        </is>
      </c>
      <c r="L1234" s="65" t="inlineStr">
        <is>
          <t>HDFC Bank</t>
        </is>
      </c>
      <c r="M1234" s="65" t="inlineStr"/>
    </row>
    <row r="1235">
      <c r="A1235" s="23" t="n">
        <v>45267</v>
      </c>
      <c r="B1235" s="23" t="n">
        <v>45267</v>
      </c>
      <c r="C1235" s="24" t="n">
        <v>0</v>
      </c>
      <c r="D1235" s="24" t="n">
        <v>1880</v>
      </c>
      <c r="E1235" s="24" t="inlineStr"/>
      <c r="F1235" s="24" t="inlineStr">
        <is>
          <t>What is this?</t>
        </is>
      </c>
      <c r="G1235" s="25" t="n">
        <v>0</v>
      </c>
      <c r="H1235" s="24" t="inlineStr">
        <is>
          <t>Suspense</t>
        </is>
      </c>
      <c r="I1235" s="24" t="inlineStr">
        <is>
          <t>HDFC 5413</t>
        </is>
      </c>
      <c r="J1235" s="24" t="inlineStr"/>
      <c r="K1235" s="24" t="inlineStr">
        <is>
          <t>00602300000434-024929018</t>
        </is>
      </c>
      <c r="L1235" s="24" t="inlineStr">
        <is>
          <t>HDFC Bank</t>
        </is>
      </c>
      <c r="M1235" s="24" t="inlineStr"/>
    </row>
    <row r="1236">
      <c r="A1236" s="41" t="n">
        <v>45267</v>
      </c>
      <c r="B1236" s="41" t="n">
        <v>45267</v>
      </c>
      <c r="C1236" s="42" t="n">
        <v>22187.2</v>
      </c>
      <c r="D1236" s="42" t="n">
        <v>0</v>
      </c>
      <c r="E1236" s="42" t="inlineStr"/>
      <c r="F1236" s="42" t="inlineStr">
        <is>
          <t>HDFC Securities - Buy</t>
        </is>
      </c>
      <c r="G1236" s="18" t="n">
        <v>0.97</v>
      </c>
      <c r="H1236" s="42" t="inlineStr">
        <is>
          <t>HDFC Securities</t>
        </is>
      </c>
      <c r="I1236" s="42" t="inlineStr">
        <is>
          <t>HDFC 5413</t>
        </is>
      </c>
      <c r="J1236" s="42" t="inlineStr"/>
      <c r="K1236" s="42" t="inlineStr">
        <is>
          <t>NET PI TO HSL SEC A/C 2554606-00602340029427</t>
        </is>
      </c>
      <c r="L1236" s="42" t="inlineStr">
        <is>
          <t>HDFC Bank</t>
        </is>
      </c>
      <c r="M1236" s="42" t="inlineStr"/>
    </row>
    <row r="1237">
      <c r="A1237" s="58" t="n">
        <v>45267</v>
      </c>
      <c r="B1237" s="58" t="n">
        <v>45267</v>
      </c>
      <c r="C1237" s="59" t="n">
        <v>100</v>
      </c>
      <c r="D1237" s="59" t="n">
        <v>0</v>
      </c>
      <c r="E1237" s="59" t="inlineStr"/>
      <c r="F1237" s="59" t="inlineStr">
        <is>
          <t>MF Investment</t>
        </is>
      </c>
      <c r="G1237" s="18" t="n">
        <v>0.88</v>
      </c>
      <c r="H1237" s="59" t="inlineStr">
        <is>
          <t>Investments</t>
        </is>
      </c>
      <c r="I1237" s="59" t="inlineStr">
        <is>
          <t>FEDERAL 0847</t>
        </is>
      </c>
      <c r="J1237" s="59" t="inlineStr"/>
      <c r="K1237" s="59" t="inlineStr">
        <is>
          <t>NFT/NEOSIEXEDDD2023120712301671340 NAVI
Mutual Fun</t>
        </is>
      </c>
      <c r="L1237" s="59" t="inlineStr">
        <is>
          <t>Federal Bank (Jupiter)</t>
        </is>
      </c>
      <c r="M1237" s="59" t="inlineStr"/>
    </row>
    <row r="1238">
      <c r="A1238" s="35" t="n">
        <v>45267</v>
      </c>
      <c r="B1238" s="35" t="n">
        <v>45267</v>
      </c>
      <c r="C1238" s="36" t="n">
        <v>15</v>
      </c>
      <c r="D1238" s="36" t="n">
        <v>0</v>
      </c>
      <c r="E1238" s="36" t="inlineStr"/>
      <c r="F1238" s="36" t="inlineStr">
        <is>
          <t>UPI - Paytm</t>
        </is>
      </c>
      <c r="G1238" s="34" t="n">
        <v>0.65</v>
      </c>
      <c r="H1238" s="36" t="inlineStr">
        <is>
          <t>Personal</t>
        </is>
      </c>
      <c r="I1238" s="36" t="inlineStr">
        <is>
          <t>FEDERAL 0847</t>
        </is>
      </c>
      <c r="J1238" s="36" t="inlineStr"/>
      <c r="K1238" s="36" t="inlineStr">
        <is>
          <t>UPIOUT/334165140294/paytmqr1ox7m6rgyo@payt
m//5812</t>
        </is>
      </c>
      <c r="L1238" s="36" t="inlineStr">
        <is>
          <t>Federal Bank (Jupiter)</t>
        </is>
      </c>
      <c r="M1238" s="36" t="inlineStr"/>
    </row>
    <row r="1239">
      <c r="A1239" s="37" t="n">
        <v>45267</v>
      </c>
      <c r="B1239" s="37" t="n">
        <v>45267</v>
      </c>
      <c r="C1239" s="38" t="n">
        <v>80</v>
      </c>
      <c r="D1239" s="38" t="n">
        <v>0</v>
      </c>
      <c r="E1239" s="38" t="inlineStr"/>
      <c r="F1239" s="38" t="inlineStr">
        <is>
          <t>UPI Payment</t>
        </is>
      </c>
      <c r="G1239" s="25" t="n">
        <v>0.55</v>
      </c>
      <c r="H1239" s="38" t="inlineStr">
        <is>
          <t>Personal</t>
        </is>
      </c>
      <c r="I1239" s="38" t="inlineStr">
        <is>
          <t>FEDERAL 0847</t>
        </is>
      </c>
      <c r="J1239" s="38" t="inlineStr"/>
      <c r="K1239" s="38" t="inlineStr">
        <is>
          <t>UPIOUT/334165088628/Q084270040@ybl/Sent
via /5812</t>
        </is>
      </c>
      <c r="L1239" s="38" t="inlineStr">
        <is>
          <t>Federal Bank (Jupiter)</t>
        </is>
      </c>
      <c r="M1239" s="38" t="inlineStr"/>
    </row>
    <row r="1240">
      <c r="A1240" s="21" t="n">
        <v>45267</v>
      </c>
      <c r="B1240" s="21" t="n">
        <v>45267</v>
      </c>
      <c r="C1240" s="22" t="n">
        <v>23</v>
      </c>
      <c r="D1240" s="22" t="n">
        <v>0</v>
      </c>
      <c r="E1240" s="22" t="inlineStr"/>
      <c r="F1240" s="22" t="inlineStr">
        <is>
          <t>UPI - Rapido</t>
        </is>
      </c>
      <c r="G1240" s="34" t="n">
        <v>0.68</v>
      </c>
      <c r="H1240" s="22" t="inlineStr">
        <is>
          <t>Transport</t>
        </is>
      </c>
      <c r="I1240" s="22" t="inlineStr">
        <is>
          <t>FEDERAL 0847</t>
        </is>
      </c>
      <c r="J1240" s="22" t="inlineStr"/>
      <c r="K1240" s="22" t="inlineStr">
        <is>
          <t>UPIOUT/334162446076/rapido.rzp@icici/Payme
nt/4121</t>
        </is>
      </c>
      <c r="L1240" s="22" t="inlineStr">
        <is>
          <t>Federal Bank (Jupiter)</t>
        </is>
      </c>
      <c r="M1240" s="22" t="inlineStr"/>
    </row>
    <row r="1241">
      <c r="A1241" s="37" t="n">
        <v>45268</v>
      </c>
      <c r="B1241" s="37" t="n">
        <v>45268</v>
      </c>
      <c r="C1241" s="38" t="n">
        <v>26</v>
      </c>
      <c r="D1241" s="38" t="n">
        <v>0</v>
      </c>
      <c r="E1241" s="38" t="inlineStr"/>
      <c r="F1241" s="38" t="inlineStr">
        <is>
          <t>UPI Payment</t>
        </is>
      </c>
      <c r="G1241" s="25" t="n">
        <v>0.55</v>
      </c>
      <c r="H1241" s="38" t="inlineStr">
        <is>
          <t>Personal</t>
        </is>
      </c>
      <c r="I1241" s="38" t="inlineStr">
        <is>
          <t>FEDERAL 0847</t>
        </is>
      </c>
      <c r="J1241" s="38" t="inlineStr"/>
      <c r="K1241" s="38" t="inlineStr">
        <is>
          <t>UPIOUT/334270815614/ksri97671@ybl/Sent via
J/0000</t>
        </is>
      </c>
      <c r="L1241" s="38" t="inlineStr">
        <is>
          <t>Federal Bank (Jupiter)</t>
        </is>
      </c>
      <c r="M1241" s="38" t="inlineStr"/>
    </row>
    <row r="1242">
      <c r="A1242" s="35" t="n">
        <v>45268</v>
      </c>
      <c r="B1242" s="35" t="n">
        <v>45268</v>
      </c>
      <c r="C1242" s="36" t="n">
        <v>20</v>
      </c>
      <c r="D1242" s="36" t="n">
        <v>0</v>
      </c>
      <c r="E1242" s="36" t="inlineStr"/>
      <c r="F1242" s="36" t="inlineStr">
        <is>
          <t>UPI - Paytm</t>
        </is>
      </c>
      <c r="G1242" s="34" t="n">
        <v>0.65</v>
      </c>
      <c r="H1242" s="36" t="inlineStr">
        <is>
          <t>Personal</t>
        </is>
      </c>
      <c r="I1242" s="36" t="inlineStr">
        <is>
          <t>FEDERAL 0847</t>
        </is>
      </c>
      <c r="J1242" s="36" t="inlineStr"/>
      <c r="K1242" s="36" t="inlineStr">
        <is>
          <t>UPIOUT/334267789806/paytmqrfmo9fujhwg@payt
m//5812</t>
        </is>
      </c>
      <c r="L1242" s="36" t="inlineStr">
        <is>
          <t>Federal Bank (Jupiter)</t>
        </is>
      </c>
      <c r="M1242" s="36" t="inlineStr"/>
    </row>
    <row r="1243">
      <c r="A1243" s="58" t="n">
        <v>45268</v>
      </c>
      <c r="B1243" s="58" t="n">
        <v>45268</v>
      </c>
      <c r="C1243" s="59" t="n">
        <v>100</v>
      </c>
      <c r="D1243" s="59" t="n">
        <v>0</v>
      </c>
      <c r="E1243" s="59" t="inlineStr"/>
      <c r="F1243" s="59" t="inlineStr">
        <is>
          <t>MF Investment</t>
        </is>
      </c>
      <c r="G1243" s="18" t="n">
        <v>0.88</v>
      </c>
      <c r="H1243" s="59" t="inlineStr">
        <is>
          <t>Investments</t>
        </is>
      </c>
      <c r="I1243" s="59" t="inlineStr">
        <is>
          <t>FEDERAL 0847</t>
        </is>
      </c>
      <c r="J1243" s="59" t="inlineStr"/>
      <c r="K1243" s="59" t="inlineStr">
        <is>
          <t>NFT/NEOSIEXEDDD2023120812303654824 NAVI
Mutual Fun</t>
        </is>
      </c>
      <c r="L1243" s="59" t="inlineStr">
        <is>
          <t>Federal Bank (Jupiter)</t>
        </is>
      </c>
      <c r="M1243" s="59" t="inlineStr"/>
    </row>
    <row r="1244">
      <c r="A1244" s="41" t="n">
        <v>45268</v>
      </c>
      <c r="B1244" s="41" t="n">
        <v>45268</v>
      </c>
      <c r="C1244" s="42" t="n">
        <v>101.43</v>
      </c>
      <c r="D1244" s="42" t="n">
        <v>0</v>
      </c>
      <c r="E1244" s="42" t="inlineStr"/>
      <c r="F1244" s="42" t="inlineStr">
        <is>
          <t>HDFC Securities - Buy</t>
        </is>
      </c>
      <c r="G1244" s="18" t="n">
        <v>0.97</v>
      </c>
      <c r="H1244" s="42" t="inlineStr">
        <is>
          <t>HDFC Securities</t>
        </is>
      </c>
      <c r="I1244" s="42" t="inlineStr">
        <is>
          <t>HDFC 5413</t>
        </is>
      </c>
      <c r="J1244" s="42" t="inlineStr"/>
      <c r="K1244" s="42" t="inlineStr">
        <is>
          <t>NET PI TO HSL SEC A/C 2554606-00602340029427</t>
        </is>
      </c>
      <c r="L1244" s="42" t="inlineStr">
        <is>
          <t>HDFC Bank</t>
        </is>
      </c>
      <c r="M1244" s="42" t="inlineStr"/>
    </row>
    <row r="1245">
      <c r="A1245" s="56" t="n">
        <v>45268</v>
      </c>
      <c r="B1245" s="56" t="n">
        <v>45268</v>
      </c>
      <c r="C1245" s="57" t="n">
        <v>1101.32</v>
      </c>
      <c r="D1245" s="57" t="n">
        <v>0</v>
      </c>
      <c r="E1245" s="57" t="inlineStr"/>
      <c r="F1245" s="57" t="inlineStr">
        <is>
          <t>Depository Charges</t>
        </is>
      </c>
      <c r="G1245" s="18" t="n">
        <v>0.93</v>
      </c>
      <c r="H1245" s="57" t="inlineStr">
        <is>
          <t>Depository Charges</t>
        </is>
      </c>
      <c r="I1245" s="57" t="inlineStr">
        <is>
          <t>HDFC 5413</t>
        </is>
      </c>
      <c r="J1245" s="57" t="inlineStr"/>
      <c r="K1245" s="57" t="inlineStr">
        <is>
          <t>DEPOSITORY CHARGES NOV23 - 52812428</t>
        </is>
      </c>
      <c r="L1245" s="57" t="inlineStr">
        <is>
          <t>HDFC Bank</t>
        </is>
      </c>
      <c r="M1245" s="57" t="inlineStr"/>
    </row>
    <row r="1246">
      <c r="A1246" s="41" t="n">
        <v>45268</v>
      </c>
      <c r="B1246" s="41" t="n">
        <v>45268</v>
      </c>
      <c r="C1246" s="42" t="n">
        <v>1117.75</v>
      </c>
      <c r="D1246" s="42" t="n">
        <v>0</v>
      </c>
      <c r="E1246" s="42" t="inlineStr"/>
      <c r="F1246" s="42" t="inlineStr">
        <is>
          <t>HDFC Securities - Buy</t>
        </is>
      </c>
      <c r="G1246" s="18" t="n">
        <v>0.97</v>
      </c>
      <c r="H1246" s="42" t="inlineStr">
        <is>
          <t>HDFC Securities</t>
        </is>
      </c>
      <c r="I1246" s="42" t="inlineStr">
        <is>
          <t>HDFC 5413</t>
        </is>
      </c>
      <c r="J1246" s="42" t="inlineStr"/>
      <c r="K1246" s="42" t="inlineStr">
        <is>
          <t>NET PI TO HSL SEC A/C 2554606-00602340029427</t>
        </is>
      </c>
      <c r="L1246" s="42" t="inlineStr">
        <is>
          <t>HDFC Bank</t>
        </is>
      </c>
      <c r="M1246" s="42" t="inlineStr"/>
    </row>
    <row r="1247">
      <c r="A1247" s="35" t="n">
        <v>45268</v>
      </c>
      <c r="B1247" s="35" t="n">
        <v>45268</v>
      </c>
      <c r="C1247" s="36" t="n">
        <v>35</v>
      </c>
      <c r="D1247" s="36" t="n">
        <v>0</v>
      </c>
      <c r="E1247" s="36" t="inlineStr"/>
      <c r="F1247" s="36" t="inlineStr">
        <is>
          <t>UPI - Paytm</t>
        </is>
      </c>
      <c r="G1247" s="34" t="n">
        <v>0.65</v>
      </c>
      <c r="H1247" s="36" t="inlineStr">
        <is>
          <t>Personal</t>
        </is>
      </c>
      <c r="I1247" s="36" t="inlineStr">
        <is>
          <t>FEDERAL 0847</t>
        </is>
      </c>
      <c r="J1247" s="36" t="inlineStr"/>
      <c r="K1247" s="36" t="inlineStr">
        <is>
          <t>UPIOUT/334268092637/paytmqry3eyiz8yp2@payt
m//5812</t>
        </is>
      </c>
      <c r="L1247" s="36" t="inlineStr">
        <is>
          <t>Federal Bank (Jupiter)</t>
        </is>
      </c>
      <c r="M1247" s="36" t="inlineStr"/>
    </row>
    <row r="1248">
      <c r="A1248" s="35" t="n">
        <v>45268</v>
      </c>
      <c r="B1248" s="35" t="n">
        <v>45268</v>
      </c>
      <c r="C1248" s="36" t="n">
        <v>75</v>
      </c>
      <c r="D1248" s="36" t="n">
        <v>0</v>
      </c>
      <c r="E1248" s="36" t="inlineStr"/>
      <c r="F1248" s="36" t="inlineStr">
        <is>
          <t>UPI - Paytm</t>
        </is>
      </c>
      <c r="G1248" s="34" t="n">
        <v>0.65</v>
      </c>
      <c r="H1248" s="36" t="inlineStr">
        <is>
          <t>Personal</t>
        </is>
      </c>
      <c r="I1248" s="36" t="inlineStr">
        <is>
          <t>FEDERAL 0847</t>
        </is>
      </c>
      <c r="J1248" s="36" t="inlineStr"/>
      <c r="K1248" s="36" t="inlineStr">
        <is>
          <t>UPIOUT/334270921355/paytmqrfmo9fujhwg@payt
m//5812</t>
        </is>
      </c>
      <c r="L1248" s="36" t="inlineStr">
        <is>
          <t>Federal Bank (Jupiter)</t>
        </is>
      </c>
      <c r="M1248" s="36" t="inlineStr"/>
    </row>
    <row r="1249">
      <c r="A1249" s="35" t="n">
        <v>45268</v>
      </c>
      <c r="B1249" s="35" t="n">
        <v>45268</v>
      </c>
      <c r="C1249" s="36" t="n">
        <v>0</v>
      </c>
      <c r="D1249" s="36" t="n">
        <v>200</v>
      </c>
      <c r="E1249" s="36" t="inlineStr"/>
      <c r="F1249" s="36" t="inlineStr">
        <is>
          <t>UPI - Paytm</t>
        </is>
      </c>
      <c r="G1249" s="34" t="n">
        <v>0.65</v>
      </c>
      <c r="H1249" s="36" t="inlineStr">
        <is>
          <t>Personal</t>
        </is>
      </c>
      <c r="I1249" s="36" t="inlineStr">
        <is>
          <t>FEDERAL 0847</t>
        </is>
      </c>
      <c r="J1249" s="36" t="inlineStr"/>
      <c r="K1249" s="36" t="inlineStr">
        <is>
          <t>UPI
IN/334218375972/8555996347@paytm/NA/0000</t>
        </is>
      </c>
      <c r="L1249" s="36" t="inlineStr">
        <is>
          <t>Federal Bank (Jupiter)</t>
        </is>
      </c>
      <c r="M1249" s="36" t="inlineStr"/>
    </row>
    <row r="1250">
      <c r="A1250" s="37" t="n">
        <v>45268</v>
      </c>
      <c r="B1250" s="37" t="n">
        <v>45268</v>
      </c>
      <c r="C1250" s="38" t="n">
        <v>2545</v>
      </c>
      <c r="D1250" s="38" t="n">
        <v>0</v>
      </c>
      <c r="E1250" s="38" t="inlineStr"/>
      <c r="F1250" s="38" t="inlineStr">
        <is>
          <t>UPI Payment</t>
        </is>
      </c>
      <c r="G1250" s="25" t="n">
        <v>0.55</v>
      </c>
      <c r="H1250" s="38" t="inlineStr">
        <is>
          <t>Personal</t>
        </is>
      </c>
      <c r="I1250" s="38" t="inlineStr">
        <is>
          <t>FEDERAL 0847</t>
        </is>
      </c>
      <c r="J1250" s="38" t="inlineStr"/>
      <c r="K1250" s="38" t="inlineStr">
        <is>
          <t>UPIOUT/334269795620/jupiterbillpay2@fbl/BB
PS/4814</t>
        </is>
      </c>
      <c r="L1250" s="38" t="inlineStr">
        <is>
          <t>Federal Bank (Jupiter)</t>
        </is>
      </c>
      <c r="M1250" s="38" t="inlineStr"/>
    </row>
    <row r="1251">
      <c r="A1251" s="37" t="n">
        <v>45268</v>
      </c>
      <c r="B1251" s="37" t="n">
        <v>45268</v>
      </c>
      <c r="C1251" s="38" t="n">
        <v>23</v>
      </c>
      <c r="D1251" s="38" t="n">
        <v>0</v>
      </c>
      <c r="E1251" s="38" t="inlineStr"/>
      <c r="F1251" s="38" t="inlineStr">
        <is>
          <t>UPI Payment</t>
        </is>
      </c>
      <c r="G1251" s="25" t="n">
        <v>0.55</v>
      </c>
      <c r="H1251" s="38" t="inlineStr">
        <is>
          <t>Personal</t>
        </is>
      </c>
      <c r="I1251" s="38" t="inlineStr">
        <is>
          <t>FEDERAL 0847</t>
        </is>
      </c>
      <c r="J1251" s="38" t="inlineStr"/>
      <c r="K1251" s="38" t="inlineStr">
        <is>
          <t>UPIOUT/334268513626/8985259112@ybl/Sent
via /0000</t>
        </is>
      </c>
      <c r="L1251" s="38" t="inlineStr">
        <is>
          <t>Federal Bank (Jupiter)</t>
        </is>
      </c>
      <c r="M1251" s="38" t="inlineStr"/>
    </row>
    <row r="1252">
      <c r="A1252" s="35" t="n">
        <v>45268</v>
      </c>
      <c r="B1252" s="35" t="n">
        <v>45268</v>
      </c>
      <c r="C1252" s="36" t="n">
        <v>550</v>
      </c>
      <c r="D1252" s="36" t="n">
        <v>0</v>
      </c>
      <c r="E1252" s="36" t="inlineStr"/>
      <c r="F1252" s="36" t="inlineStr">
        <is>
          <t>UPI - Paytm</t>
        </is>
      </c>
      <c r="G1252" s="34" t="n">
        <v>0.65</v>
      </c>
      <c r="H1252" s="36" t="inlineStr">
        <is>
          <t>Personal</t>
        </is>
      </c>
      <c r="I1252" s="36" t="inlineStr">
        <is>
          <t>FEDERAL 0847</t>
        </is>
      </c>
      <c r="J1252" s="36" t="inlineStr"/>
      <c r="K1252" s="36" t="inlineStr">
        <is>
          <t>UPIOUT/334271546117/paytmqruct2pt8f1w@payt
m//5462</t>
        </is>
      </c>
      <c r="L1252" s="36" t="inlineStr">
        <is>
          <t>Federal Bank (Jupiter)</t>
        </is>
      </c>
      <c r="M1252" s="36" t="inlineStr"/>
    </row>
    <row r="1253">
      <c r="A1253" s="21" t="n">
        <v>45268</v>
      </c>
      <c r="B1253" s="21" t="n">
        <v>45268</v>
      </c>
      <c r="C1253" s="22" t="n">
        <v>136</v>
      </c>
      <c r="D1253" s="22" t="n">
        <v>0</v>
      </c>
      <c r="E1253" s="22" t="inlineStr"/>
      <c r="F1253" s="22" t="inlineStr">
        <is>
          <t>UPI - Rapido</t>
        </is>
      </c>
      <c r="G1253" s="34" t="n">
        <v>0.68</v>
      </c>
      <c r="H1253" s="22" t="inlineStr">
        <is>
          <t>Transport</t>
        </is>
      </c>
      <c r="I1253" s="22" t="inlineStr">
        <is>
          <t>FEDERAL 0847</t>
        </is>
      </c>
      <c r="J1253" s="22" t="inlineStr"/>
      <c r="K1253" s="22" t="inlineStr">
        <is>
          <t>UPIOUT/334271779793/rapido.rzp@icici/Payme
nt/4121</t>
        </is>
      </c>
      <c r="L1253" s="22" t="inlineStr">
        <is>
          <t>Federal Bank (Jupiter)</t>
        </is>
      </c>
      <c r="M1253" s="22" t="inlineStr"/>
    </row>
    <row r="1254">
      <c r="A1254" s="37" t="n">
        <v>45269</v>
      </c>
      <c r="B1254" s="37" t="n">
        <v>45269</v>
      </c>
      <c r="C1254" s="38" t="n">
        <v>284</v>
      </c>
      <c r="D1254" s="38" t="n">
        <v>0</v>
      </c>
      <c r="E1254" s="38" t="inlineStr"/>
      <c r="F1254" s="38" t="inlineStr">
        <is>
          <t>UPI Payment</t>
        </is>
      </c>
      <c r="G1254" s="25" t="n">
        <v>0.55</v>
      </c>
      <c r="H1254" s="38" t="inlineStr">
        <is>
          <t>Personal</t>
        </is>
      </c>
      <c r="I1254" s="38" t="inlineStr">
        <is>
          <t>FEDERAL 0847</t>
        </is>
      </c>
      <c r="J1254" s="38" t="inlineStr"/>
      <c r="K1254" s="38" t="inlineStr">
        <is>
          <t>UPIOUT/334376404668/9381446903@ibl/Sent
via /0000</t>
        </is>
      </c>
      <c r="L1254" s="38" t="inlineStr">
        <is>
          <t>Federal Bank (Jupiter)</t>
        </is>
      </c>
      <c r="M1254" s="38" t="inlineStr"/>
    </row>
    <row r="1255">
      <c r="A1255" s="58" t="n">
        <v>45269</v>
      </c>
      <c r="B1255" s="58" t="n">
        <v>45269</v>
      </c>
      <c r="C1255" s="59" t="n">
        <v>100</v>
      </c>
      <c r="D1255" s="59" t="n">
        <v>0</v>
      </c>
      <c r="E1255" s="59" t="inlineStr"/>
      <c r="F1255" s="59" t="inlineStr">
        <is>
          <t>MF Investment</t>
        </is>
      </c>
      <c r="G1255" s="18" t="n">
        <v>0.88</v>
      </c>
      <c r="H1255" s="59" t="inlineStr">
        <is>
          <t>Investments</t>
        </is>
      </c>
      <c r="I1255" s="59" t="inlineStr">
        <is>
          <t>FEDERAL 0847</t>
        </is>
      </c>
      <c r="J1255" s="59" t="inlineStr"/>
      <c r="K1255" s="59" t="inlineStr">
        <is>
          <t>NFT/NEOSIEXEDDD2023120912302028385 NAVI
Mutual Fun</t>
        </is>
      </c>
      <c r="L1255" s="59" t="inlineStr">
        <is>
          <t>Federal Bank (Jupiter)</t>
        </is>
      </c>
      <c r="M1255" s="59" t="inlineStr"/>
    </row>
    <row r="1256">
      <c r="A1256" s="35" t="n">
        <v>45270</v>
      </c>
      <c r="B1256" s="35" t="n">
        <v>45270</v>
      </c>
      <c r="C1256" s="36" t="n">
        <v>15</v>
      </c>
      <c r="D1256" s="36" t="n">
        <v>0</v>
      </c>
      <c r="E1256" s="36" t="inlineStr"/>
      <c r="F1256" s="36" t="inlineStr">
        <is>
          <t>UPI - Paytm</t>
        </is>
      </c>
      <c r="G1256" s="34" t="n">
        <v>0.65</v>
      </c>
      <c r="H1256" s="36" t="inlineStr">
        <is>
          <t>Personal</t>
        </is>
      </c>
      <c r="I1256" s="36" t="inlineStr">
        <is>
          <t>FEDERAL 0847</t>
        </is>
      </c>
      <c r="J1256" s="36" t="inlineStr"/>
      <c r="K1256" s="36" t="inlineStr">
        <is>
          <t>UPIOUT/334481895246/paytmqr2810050501018c7
c5/5411</t>
        </is>
      </c>
      <c r="L1256" s="36" t="inlineStr">
        <is>
          <t>Federal Bank (Jupiter)</t>
        </is>
      </c>
      <c r="M1256" s="36" t="inlineStr"/>
    </row>
    <row r="1257">
      <c r="A1257" s="35" t="n">
        <v>45270</v>
      </c>
      <c r="B1257" s="35" t="n">
        <v>45270</v>
      </c>
      <c r="C1257" s="36" t="n">
        <v>75</v>
      </c>
      <c r="D1257" s="36" t="n">
        <v>0</v>
      </c>
      <c r="E1257" s="36" t="inlineStr"/>
      <c r="F1257" s="36" t="inlineStr">
        <is>
          <t>UPI - Paytm</t>
        </is>
      </c>
      <c r="G1257" s="34" t="n">
        <v>0.65</v>
      </c>
      <c r="H1257" s="36" t="inlineStr">
        <is>
          <t>Personal</t>
        </is>
      </c>
      <c r="I1257" s="36" t="inlineStr">
        <is>
          <t>FEDERAL 0847</t>
        </is>
      </c>
      <c r="J1257" s="36" t="inlineStr"/>
      <c r="K1257" s="36" t="inlineStr">
        <is>
          <t>UPIOUT/334482690102/paytmqr1e8fr6nm0n@payt
m//5812</t>
        </is>
      </c>
      <c r="L1257" s="36" t="inlineStr">
        <is>
          <t>Federal Bank (Jupiter)</t>
        </is>
      </c>
      <c r="M1257" s="36" t="inlineStr"/>
    </row>
    <row r="1258">
      <c r="A1258" s="21" t="n">
        <v>45270</v>
      </c>
      <c r="B1258" s="21" t="n">
        <v>45270</v>
      </c>
      <c r="C1258" s="22" t="n">
        <v>61</v>
      </c>
      <c r="D1258" s="22" t="n">
        <v>0</v>
      </c>
      <c r="E1258" s="22" t="inlineStr"/>
      <c r="F1258" s="22" t="inlineStr">
        <is>
          <t>UPI - Rapido</t>
        </is>
      </c>
      <c r="G1258" s="34" t="n">
        <v>0.68</v>
      </c>
      <c r="H1258" s="22" t="inlineStr">
        <is>
          <t>Transport</t>
        </is>
      </c>
      <c r="I1258" s="22" t="inlineStr">
        <is>
          <t>FEDERAL 0847</t>
        </is>
      </c>
      <c r="J1258" s="22" t="inlineStr"/>
      <c r="K1258" s="22" t="inlineStr">
        <is>
          <t>UPIOUT/334482050808/rapido.rzp@icici/Payme
nt/4121</t>
        </is>
      </c>
      <c r="L1258" s="22" t="inlineStr">
        <is>
          <t>Federal Bank (Jupiter)</t>
        </is>
      </c>
      <c r="M1258" s="22" t="inlineStr"/>
    </row>
    <row r="1259">
      <c r="A1259" s="58" t="n">
        <v>45270</v>
      </c>
      <c r="B1259" s="58" t="n">
        <v>45270</v>
      </c>
      <c r="C1259" s="59" t="n">
        <v>100</v>
      </c>
      <c r="D1259" s="59" t="n">
        <v>0</v>
      </c>
      <c r="E1259" s="59" t="inlineStr"/>
      <c r="F1259" s="59" t="inlineStr">
        <is>
          <t>MF Investment</t>
        </is>
      </c>
      <c r="G1259" s="18" t="n">
        <v>0.88</v>
      </c>
      <c r="H1259" s="59" t="inlineStr">
        <is>
          <t>Investments</t>
        </is>
      </c>
      <c r="I1259" s="59" t="inlineStr">
        <is>
          <t>FEDERAL 0847</t>
        </is>
      </c>
      <c r="J1259" s="59" t="inlineStr"/>
      <c r="K1259" s="59" t="inlineStr">
        <is>
          <t>NFT/NEOSIEXEDDD2023121012302341654 NAVI
Mutual Fun</t>
        </is>
      </c>
      <c r="L1259" s="59" t="inlineStr">
        <is>
          <t>Federal Bank (Jupiter)</t>
        </is>
      </c>
      <c r="M1259" s="59" t="inlineStr"/>
    </row>
    <row r="1260">
      <c r="A1260" s="91" t="n">
        <v>45270</v>
      </c>
      <c r="B1260" s="91" t="n">
        <v>45270</v>
      </c>
      <c r="C1260" s="92" t="n">
        <v>44.12</v>
      </c>
      <c r="D1260" s="92" t="n">
        <v>0</v>
      </c>
      <c r="E1260" s="92" t="inlineStr"/>
      <c r="F1260" s="92" t="inlineStr">
        <is>
          <t>UPI - Uber</t>
        </is>
      </c>
      <c r="G1260" s="34" t="n">
        <v>0.68</v>
      </c>
      <c r="H1260" s="92" t="inlineStr">
        <is>
          <t>Transport</t>
        </is>
      </c>
      <c r="I1260" s="92" t="inlineStr">
        <is>
          <t>FEDERAL 0847</t>
        </is>
      </c>
      <c r="J1260" s="92" t="inlineStr"/>
      <c r="K1260" s="92" t="inlineStr">
        <is>
          <t>UPIOUT/334489935580/uberrides@hdfcbank/cha
rg/5960</t>
        </is>
      </c>
      <c r="L1260" s="92" t="inlineStr">
        <is>
          <t>Federal Bank (Jupiter)</t>
        </is>
      </c>
      <c r="M1260" s="92" t="inlineStr"/>
    </row>
    <row r="1261">
      <c r="A1261" s="91" t="n">
        <v>45271</v>
      </c>
      <c r="B1261" s="91" t="n">
        <v>45271</v>
      </c>
      <c r="C1261" s="92" t="n">
        <v>44.37</v>
      </c>
      <c r="D1261" s="92" t="n">
        <v>0</v>
      </c>
      <c r="E1261" s="92" t="inlineStr"/>
      <c r="F1261" s="92" t="inlineStr">
        <is>
          <t>UPI - Uber</t>
        </is>
      </c>
      <c r="G1261" s="34" t="n">
        <v>0.68</v>
      </c>
      <c r="H1261" s="92" t="inlineStr">
        <is>
          <t>Transport</t>
        </is>
      </c>
      <c r="I1261" s="92" t="inlineStr">
        <is>
          <t>FEDERAL 0847</t>
        </is>
      </c>
      <c r="J1261" s="92" t="inlineStr"/>
      <c r="K1261" s="92" t="inlineStr">
        <is>
          <t>UPIOUT/334592863968/uberrides@hdfcbank/cha
rg/5960</t>
        </is>
      </c>
      <c r="L1261" s="92" t="inlineStr">
        <is>
          <t>Federal Bank (Jupiter)</t>
        </is>
      </c>
      <c r="M1261" s="92" t="inlineStr"/>
    </row>
    <row r="1262">
      <c r="A1262" s="58" t="n">
        <v>45271</v>
      </c>
      <c r="B1262" s="58" t="n">
        <v>45271</v>
      </c>
      <c r="C1262" s="59" t="n">
        <v>100</v>
      </c>
      <c r="D1262" s="59" t="n">
        <v>0</v>
      </c>
      <c r="E1262" s="59" t="inlineStr"/>
      <c r="F1262" s="59" t="inlineStr">
        <is>
          <t>MF Investment</t>
        </is>
      </c>
      <c r="G1262" s="18" t="n">
        <v>0.88</v>
      </c>
      <c r="H1262" s="59" t="inlineStr">
        <is>
          <t>Investments</t>
        </is>
      </c>
      <c r="I1262" s="59" t="inlineStr">
        <is>
          <t>FEDERAL 0847</t>
        </is>
      </c>
      <c r="J1262" s="59" t="inlineStr"/>
      <c r="K1262" s="59" t="inlineStr">
        <is>
          <t>NFT/NEOSIEXEDDD2023121112302655420 NAVI
Mutual Fun</t>
        </is>
      </c>
      <c r="L1262" s="59" t="inlineStr">
        <is>
          <t>Federal Bank (Jupiter)</t>
        </is>
      </c>
      <c r="M1262" s="59" t="inlineStr"/>
    </row>
    <row r="1263">
      <c r="A1263" s="41" t="n">
        <v>45271</v>
      </c>
      <c r="B1263" s="41" t="n">
        <v>45271</v>
      </c>
      <c r="C1263" s="42" t="n">
        <v>366.69</v>
      </c>
      <c r="D1263" s="42" t="n">
        <v>0</v>
      </c>
      <c r="E1263" s="42" t="inlineStr"/>
      <c r="F1263" s="42" t="inlineStr">
        <is>
          <t>HDFC Securities - Buy</t>
        </is>
      </c>
      <c r="G1263" s="18" t="n">
        <v>0.97</v>
      </c>
      <c r="H1263" s="42" t="inlineStr">
        <is>
          <t>HDFC Securities</t>
        </is>
      </c>
      <c r="I1263" s="42" t="inlineStr">
        <is>
          <t>HDFC 5413</t>
        </is>
      </c>
      <c r="J1263" s="42" t="inlineStr"/>
      <c r="K1263" s="42" t="inlineStr">
        <is>
          <t>NET PI TO HSL SEC A/C 2554606-00602340029427</t>
        </is>
      </c>
      <c r="L1263" s="42" t="inlineStr">
        <is>
          <t>HDFC Bank</t>
        </is>
      </c>
      <c r="M1263" s="42" t="inlineStr"/>
    </row>
    <row r="1264">
      <c r="A1264" s="26" t="n">
        <v>45271</v>
      </c>
      <c r="B1264" s="26" t="n">
        <v>45271</v>
      </c>
      <c r="C1264" s="27" t="n">
        <v>10000</v>
      </c>
      <c r="D1264" s="27" t="n">
        <v>0</v>
      </c>
      <c r="E1264" s="27" t="inlineStr"/>
      <c r="F1264" s="27" t="inlineStr">
        <is>
          <t>Transfer - Ajay Gupta</t>
        </is>
      </c>
      <c r="G1264" s="18" t="n">
        <v>0.88</v>
      </c>
      <c r="H1264" s="27" t="inlineStr">
        <is>
          <t>Ajay Gupta</t>
        </is>
      </c>
      <c r="I1264" s="27" t="inlineStr">
        <is>
          <t>HDFC 5413</t>
        </is>
      </c>
      <c r="J1264" s="27" t="inlineStr"/>
      <c r="K1264" s="27" t="inlineStr">
        <is>
          <t>UPI-AJAY KUMAR GUPTA-AJAYGUPTANEL@AXL-HDFC0000167-371131486874-TRANSFER FROM AAYU</t>
        </is>
      </c>
      <c r="L1264" s="27" t="inlineStr">
        <is>
          <t>HDFC Bank</t>
        </is>
      </c>
      <c r="M1264" s="27" t="inlineStr"/>
    </row>
    <row r="1265">
      <c r="A1265" s="54" t="n">
        <v>45272</v>
      </c>
      <c r="B1265" s="54" t="n">
        <v>45272</v>
      </c>
      <c r="C1265" s="55" t="n">
        <v>0</v>
      </c>
      <c r="D1265" s="55" t="n">
        <v>1448.7</v>
      </c>
      <c r="E1265" s="55" t="inlineStr"/>
      <c r="F1265" s="55" t="inlineStr">
        <is>
          <t>HDFC Securities - Sell</t>
        </is>
      </c>
      <c r="G1265" s="18" t="n">
        <v>0.97</v>
      </c>
      <c r="H1265" s="55" t="inlineStr">
        <is>
          <t>HDFC Securities</t>
        </is>
      </c>
      <c r="I1265" s="55" t="inlineStr">
        <is>
          <t>HDFC 5413</t>
        </is>
      </c>
      <c r="J1265" s="55" t="inlineStr"/>
      <c r="K1265" s="55" t="inlineStr">
        <is>
          <t>NET PO FROM HSL A/C 2554606-50200085415108</t>
        </is>
      </c>
      <c r="L1265" s="55" t="inlineStr">
        <is>
          <t>HDFC Bank</t>
        </is>
      </c>
      <c r="M1265" s="55" t="inlineStr"/>
    </row>
    <row r="1266">
      <c r="A1266" s="54" t="n">
        <v>45272</v>
      </c>
      <c r="B1266" s="54" t="n">
        <v>45272</v>
      </c>
      <c r="C1266" s="55" t="n">
        <v>0</v>
      </c>
      <c r="D1266" s="55" t="n">
        <v>24070.43</v>
      </c>
      <c r="E1266" s="55" t="inlineStr"/>
      <c r="F1266" s="55" t="inlineStr">
        <is>
          <t>HDFC Securities - Sell</t>
        </is>
      </c>
      <c r="G1266" s="18" t="n">
        <v>0.97</v>
      </c>
      <c r="H1266" s="55" t="inlineStr">
        <is>
          <t>HDFC Securities</t>
        </is>
      </c>
      <c r="I1266" s="55" t="inlineStr">
        <is>
          <t>HDFC 5413</t>
        </is>
      </c>
      <c r="J1266" s="55" t="inlineStr"/>
      <c r="K1266" s="55" t="inlineStr">
        <is>
          <t>NET PO FROM HSL A/C 2554606-50200085415108</t>
        </is>
      </c>
      <c r="L1266" s="55" t="inlineStr">
        <is>
          <t>HDFC Bank</t>
        </is>
      </c>
      <c r="M1266" s="55" t="inlineStr"/>
    </row>
    <row r="1267">
      <c r="A1267" s="26" t="n">
        <v>45272</v>
      </c>
      <c r="B1267" s="26" t="n">
        <v>45272</v>
      </c>
      <c r="C1267" s="27" t="n">
        <v>0</v>
      </c>
      <c r="D1267" s="27" t="n">
        <v>10000</v>
      </c>
      <c r="E1267" s="27" t="inlineStr"/>
      <c r="F1267" s="27" t="inlineStr">
        <is>
          <t>Received - Ajay Gupta</t>
        </is>
      </c>
      <c r="G1267" s="18" t="n">
        <v>0.88</v>
      </c>
      <c r="H1267" s="27" t="inlineStr">
        <is>
          <t>Ajay Gupta</t>
        </is>
      </c>
      <c r="I1267" s="27" t="inlineStr">
        <is>
          <t>HDFC 5413</t>
        </is>
      </c>
      <c r="J1267" s="27" t="inlineStr"/>
      <c r="K1267" s="27" t="inlineStr">
        <is>
          <t>UPI-AJAY KUMAR GUPTA-AJAYGUPTANEL@YBL-HDFC0000167-371248964667-RETURNED TO AAYUSH</t>
        </is>
      </c>
      <c r="L1267" s="27" t="inlineStr">
        <is>
          <t>HDFC Bank</t>
        </is>
      </c>
      <c r="M1267" s="27" t="inlineStr"/>
    </row>
    <row r="1268">
      <c r="A1268" s="41" t="n">
        <v>45272</v>
      </c>
      <c r="B1268" s="41" t="n">
        <v>45272</v>
      </c>
      <c r="C1268" s="42" t="n">
        <v>1555.7</v>
      </c>
      <c r="D1268" s="42" t="n">
        <v>0</v>
      </c>
      <c r="E1268" s="42" t="inlineStr"/>
      <c r="F1268" s="42" t="inlineStr">
        <is>
          <t>HDFC Securities - Buy</t>
        </is>
      </c>
      <c r="G1268" s="18" t="n">
        <v>0.97</v>
      </c>
      <c r="H1268" s="42" t="inlineStr">
        <is>
          <t>HDFC Securities</t>
        </is>
      </c>
      <c r="I1268" s="42" t="inlineStr">
        <is>
          <t>HDFC 5413</t>
        </is>
      </c>
      <c r="J1268" s="42" t="inlineStr"/>
      <c r="K1268" s="42" t="inlineStr">
        <is>
          <t>NET PI TO HSL SEC A/C 2554606-00602340029427</t>
        </is>
      </c>
      <c r="L1268" s="42" t="inlineStr">
        <is>
          <t>HDFC Bank</t>
        </is>
      </c>
      <c r="M1268" s="42" t="inlineStr"/>
    </row>
    <row r="1269">
      <c r="A1269" s="58" t="n">
        <v>45272</v>
      </c>
      <c r="B1269" s="58" t="n">
        <v>45272</v>
      </c>
      <c r="C1269" s="59" t="n">
        <v>100</v>
      </c>
      <c r="D1269" s="59" t="n">
        <v>0</v>
      </c>
      <c r="E1269" s="59" t="inlineStr"/>
      <c r="F1269" s="59" t="inlineStr">
        <is>
          <t>MF Investment</t>
        </is>
      </c>
      <c r="G1269" s="18" t="n">
        <v>0.88</v>
      </c>
      <c r="H1269" s="59" t="inlineStr">
        <is>
          <t>Investments</t>
        </is>
      </c>
      <c r="I1269" s="59" t="inlineStr">
        <is>
          <t>FEDERAL 0847</t>
        </is>
      </c>
      <c r="J1269" s="59" t="inlineStr"/>
      <c r="K1269" s="59" t="inlineStr">
        <is>
          <t>NFT/NEOSIEXEDDD2023121212302466761 NAVI
Mutual Fun</t>
        </is>
      </c>
      <c r="L1269" s="59" t="inlineStr">
        <is>
          <t>Federal Bank (Jupiter)</t>
        </is>
      </c>
      <c r="M1269" s="59" t="inlineStr"/>
    </row>
    <row r="1270">
      <c r="A1270" s="37" t="n">
        <v>45272</v>
      </c>
      <c r="B1270" s="37" t="n">
        <v>45272</v>
      </c>
      <c r="C1270" s="38" t="n">
        <v>30</v>
      </c>
      <c r="D1270" s="38" t="n">
        <v>0</v>
      </c>
      <c r="E1270" s="38" t="inlineStr"/>
      <c r="F1270" s="38" t="inlineStr">
        <is>
          <t>UPI Payment</t>
        </is>
      </c>
      <c r="G1270" s="25" t="n">
        <v>0.55</v>
      </c>
      <c r="H1270" s="38" t="inlineStr">
        <is>
          <t>Personal</t>
        </is>
      </c>
      <c r="I1270" s="38" t="inlineStr">
        <is>
          <t>FEDERAL 0847</t>
        </is>
      </c>
      <c r="J1270" s="38" t="inlineStr"/>
      <c r="K1270" s="38" t="inlineStr">
        <is>
          <t>UPIOUT/334693639394/RIOTAAGROOFFLINE@ybl/P
ay/5046</t>
        </is>
      </c>
      <c r="L1270" s="38" t="inlineStr">
        <is>
          <t>Federal Bank (Jupiter)</t>
        </is>
      </c>
      <c r="M1270" s="38" t="inlineStr"/>
    </row>
    <row r="1271">
      <c r="A1271" s="41" t="n">
        <v>45272</v>
      </c>
      <c r="B1271" s="41" t="n">
        <v>45272</v>
      </c>
      <c r="C1271" s="42" t="n">
        <v>122.23</v>
      </c>
      <c r="D1271" s="42" t="n">
        <v>0</v>
      </c>
      <c r="E1271" s="42" t="inlineStr"/>
      <c r="F1271" s="42" t="inlineStr">
        <is>
          <t>HDFC Securities - Buy</t>
        </is>
      </c>
      <c r="G1271" s="18" t="n">
        <v>0.97</v>
      </c>
      <c r="H1271" s="42" t="inlineStr">
        <is>
          <t>HDFC Securities</t>
        </is>
      </c>
      <c r="I1271" s="42" t="inlineStr">
        <is>
          <t>HDFC 5413</t>
        </is>
      </c>
      <c r="J1271" s="42" t="inlineStr"/>
      <c r="K1271" s="42" t="inlineStr">
        <is>
          <t>NET PI TO HSL SEC A/C 2554606-00602340029427</t>
        </is>
      </c>
      <c r="L1271" s="42" t="inlineStr">
        <is>
          <t>HDFC Bank</t>
        </is>
      </c>
      <c r="M1271" s="42" t="inlineStr"/>
    </row>
    <row r="1272">
      <c r="A1272" s="58" t="n">
        <v>45273</v>
      </c>
      <c r="B1272" s="58" t="n">
        <v>45273</v>
      </c>
      <c r="C1272" s="59" t="n">
        <v>100</v>
      </c>
      <c r="D1272" s="59" t="n">
        <v>0</v>
      </c>
      <c r="E1272" s="59" t="inlineStr"/>
      <c r="F1272" s="59" t="inlineStr">
        <is>
          <t>MF Investment</t>
        </is>
      </c>
      <c r="G1272" s="18" t="n">
        <v>0.88</v>
      </c>
      <c r="H1272" s="59" t="inlineStr">
        <is>
          <t>Investments</t>
        </is>
      </c>
      <c r="I1272" s="59" t="inlineStr">
        <is>
          <t>FEDERAL 0847</t>
        </is>
      </c>
      <c r="J1272" s="59" t="inlineStr"/>
      <c r="K1272" s="59" t="inlineStr">
        <is>
          <t>NFT/NEOSIEXEDDD2023121312302308225 NAVI
Mutual Fun</t>
        </is>
      </c>
      <c r="L1272" s="59" t="inlineStr">
        <is>
          <t>Federal Bank (Jupiter)</t>
        </is>
      </c>
      <c r="M1272" s="59" t="inlineStr"/>
    </row>
    <row r="1273">
      <c r="A1273" s="41" t="n">
        <v>45273</v>
      </c>
      <c r="B1273" s="41" t="n">
        <v>45273</v>
      </c>
      <c r="C1273" s="42" t="n">
        <v>122.19</v>
      </c>
      <c r="D1273" s="42" t="n">
        <v>0</v>
      </c>
      <c r="E1273" s="42" t="inlineStr"/>
      <c r="F1273" s="42" t="inlineStr">
        <is>
          <t>HDFC Securities - Buy</t>
        </is>
      </c>
      <c r="G1273" s="18" t="n">
        <v>0.97</v>
      </c>
      <c r="H1273" s="42" t="inlineStr">
        <is>
          <t>HDFC Securities</t>
        </is>
      </c>
      <c r="I1273" s="42" t="inlineStr">
        <is>
          <t>HDFC 5413</t>
        </is>
      </c>
      <c r="J1273" s="42" t="inlineStr"/>
      <c r="K1273" s="42" t="inlineStr">
        <is>
          <t>NET PI TO HSL SEC A/C 2554606-00602340029427</t>
        </is>
      </c>
      <c r="L1273" s="42" t="inlineStr">
        <is>
          <t>HDFC Bank</t>
        </is>
      </c>
      <c r="M1273" s="42" t="inlineStr"/>
    </row>
    <row r="1274">
      <c r="A1274" s="54" t="n">
        <v>45273</v>
      </c>
      <c r="B1274" s="54" t="n">
        <v>45273</v>
      </c>
      <c r="C1274" s="55" t="n">
        <v>0</v>
      </c>
      <c r="D1274" s="55" t="n">
        <v>29050</v>
      </c>
      <c r="E1274" s="55" t="inlineStr"/>
      <c r="F1274" s="55" t="inlineStr">
        <is>
          <t>HDFC Securities - Sell</t>
        </is>
      </c>
      <c r="G1274" s="18" t="n">
        <v>0.97</v>
      </c>
      <c r="H1274" s="55" t="inlineStr">
        <is>
          <t>HDFC Securities</t>
        </is>
      </c>
      <c r="I1274" s="55" t="inlineStr">
        <is>
          <t>HDFC 5413</t>
        </is>
      </c>
      <c r="J1274" s="55" t="inlineStr"/>
      <c r="K1274" s="55" t="inlineStr">
        <is>
          <t>NET PO FROM HSL A/C 2554606-50200085415108</t>
        </is>
      </c>
      <c r="L1274" s="55" t="inlineStr">
        <is>
          <t>HDFC Bank</t>
        </is>
      </c>
      <c r="M1274" s="55" t="inlineStr"/>
    </row>
    <row r="1275">
      <c r="A1275" s="41" t="n">
        <v>45273</v>
      </c>
      <c r="B1275" s="41" t="n">
        <v>45273</v>
      </c>
      <c r="C1275" s="42" t="n">
        <v>44091.23</v>
      </c>
      <c r="D1275" s="42" t="n">
        <v>0</v>
      </c>
      <c r="E1275" s="42" t="inlineStr"/>
      <c r="F1275" s="42" t="inlineStr">
        <is>
          <t>HDFC Securities - Buy</t>
        </is>
      </c>
      <c r="G1275" s="18" t="n">
        <v>0.97</v>
      </c>
      <c r="H1275" s="42" t="inlineStr">
        <is>
          <t>HDFC Securities</t>
        </is>
      </c>
      <c r="I1275" s="42" t="inlineStr">
        <is>
          <t>HDFC 5413</t>
        </is>
      </c>
      <c r="J1275" s="42" t="inlineStr"/>
      <c r="K1275" s="42" t="inlineStr">
        <is>
          <t>NET PI TO HSL SEC A/C 2554606-00602340029427</t>
        </is>
      </c>
      <c r="L1275" s="42" t="inlineStr">
        <is>
          <t>HDFC Bank</t>
        </is>
      </c>
      <c r="M1275" s="42" t="inlineStr"/>
    </row>
    <row r="1276">
      <c r="A1276" s="58" t="n">
        <v>45274</v>
      </c>
      <c r="B1276" s="58" t="n">
        <v>45274</v>
      </c>
      <c r="C1276" s="59" t="n">
        <v>100</v>
      </c>
      <c r="D1276" s="59" t="n">
        <v>0</v>
      </c>
      <c r="E1276" s="59" t="inlineStr"/>
      <c r="F1276" s="59" t="inlineStr">
        <is>
          <t>MF Investment</t>
        </is>
      </c>
      <c r="G1276" s="18" t="n">
        <v>0.88</v>
      </c>
      <c r="H1276" s="59" t="inlineStr">
        <is>
          <t>Investments</t>
        </is>
      </c>
      <c r="I1276" s="59" t="inlineStr">
        <is>
          <t>FEDERAL 0847</t>
        </is>
      </c>
      <c r="J1276" s="59" t="inlineStr"/>
      <c r="K1276" s="59" t="inlineStr">
        <is>
          <t>NFT/NEOSIEXEDDD2023121412301073433 NAVI
Mutual Fun</t>
        </is>
      </c>
      <c r="L1276" s="59" t="inlineStr">
        <is>
          <t>Federal Bank (Jupiter)</t>
        </is>
      </c>
      <c r="M1276" s="59" t="inlineStr"/>
    </row>
    <row r="1277">
      <c r="A1277" s="91" t="n">
        <v>45274</v>
      </c>
      <c r="B1277" s="91" t="n">
        <v>45274</v>
      </c>
      <c r="C1277" s="92" t="n">
        <v>166.66</v>
      </c>
      <c r="D1277" s="92" t="n">
        <v>0</v>
      </c>
      <c r="E1277" s="92" t="inlineStr"/>
      <c r="F1277" s="92" t="inlineStr">
        <is>
          <t>UPI - Uber</t>
        </is>
      </c>
      <c r="G1277" s="34" t="n">
        <v>0.68</v>
      </c>
      <c r="H1277" s="92" t="inlineStr">
        <is>
          <t>Transport</t>
        </is>
      </c>
      <c r="I1277" s="92" t="inlineStr">
        <is>
          <t>FEDERAL 0847</t>
        </is>
      </c>
      <c r="J1277" s="92" t="inlineStr"/>
      <c r="K1277" s="92" t="inlineStr">
        <is>
          <t>UPIOUT/334816473192/uber@axisbank/charge/4
121</t>
        </is>
      </c>
      <c r="L1277" s="92" t="inlineStr">
        <is>
          <t>Federal Bank (Jupiter)</t>
        </is>
      </c>
      <c r="M1277" s="92" t="inlineStr"/>
    </row>
    <row r="1278">
      <c r="A1278" s="26" t="n">
        <v>45274</v>
      </c>
      <c r="B1278" s="26" t="n">
        <v>45274</v>
      </c>
      <c r="C1278" s="27" t="n">
        <v>0</v>
      </c>
      <c r="D1278" s="27" t="n">
        <v>100000</v>
      </c>
      <c r="E1278" s="27" t="inlineStr"/>
      <c r="F1278" s="27" t="inlineStr">
        <is>
          <t>Received - Ajay Gupta</t>
        </is>
      </c>
      <c r="G1278" s="18" t="n">
        <v>0.88</v>
      </c>
      <c r="H1278" s="27" t="inlineStr">
        <is>
          <t>Ajay Gupta</t>
        </is>
      </c>
      <c r="I1278" s="27" t="inlineStr">
        <is>
          <t>HDFC 5413</t>
        </is>
      </c>
      <c r="J1278" s="27" t="inlineStr"/>
      <c r="K1278" s="27" t="inlineStr">
        <is>
          <t>01671000085930-TPT-TRANSFER FROM AJAY HDFC-AJAY KUMAR GUPTA</t>
        </is>
      </c>
      <c r="L1278" s="27" t="inlineStr">
        <is>
          <t>HDFC Bank</t>
        </is>
      </c>
      <c r="M1278" s="27" t="inlineStr"/>
    </row>
    <row r="1279">
      <c r="A1279" s="26" t="n">
        <v>45274</v>
      </c>
      <c r="B1279" s="26" t="n">
        <v>45274</v>
      </c>
      <c r="C1279" s="27" t="n">
        <v>0</v>
      </c>
      <c r="D1279" s="27" t="n">
        <v>30000</v>
      </c>
      <c r="E1279" s="27" t="inlineStr"/>
      <c r="F1279" s="27" t="inlineStr">
        <is>
          <t>Received - Ajay Gupta</t>
        </is>
      </c>
      <c r="G1279" s="18" t="n">
        <v>0.88</v>
      </c>
      <c r="H1279" s="27" t="inlineStr">
        <is>
          <t>Ajay Gupta</t>
        </is>
      </c>
      <c r="I1279" s="27" t="inlineStr">
        <is>
          <t>HDFC 5413</t>
        </is>
      </c>
      <c r="J1279" s="27" t="inlineStr"/>
      <c r="K1279" s="27" t="inlineStr">
        <is>
          <t>01671000085930-TPT-FROM HDFC AKG-AJAY KUMAR GUPTA</t>
        </is>
      </c>
      <c r="L1279" s="27" t="inlineStr">
        <is>
          <t>HDFC Bank</t>
        </is>
      </c>
      <c r="M1279" s="27" t="inlineStr"/>
    </row>
    <row r="1280">
      <c r="A1280" s="41" t="n">
        <v>45274</v>
      </c>
      <c r="B1280" s="41" t="n">
        <v>45274</v>
      </c>
      <c r="C1280" s="42" t="n">
        <v>106.49</v>
      </c>
      <c r="D1280" s="42" t="n">
        <v>0</v>
      </c>
      <c r="E1280" s="42" t="inlineStr"/>
      <c r="F1280" s="42" t="inlineStr">
        <is>
          <t>HDFC Securities - Buy</t>
        </is>
      </c>
      <c r="G1280" s="18" t="n">
        <v>0.97</v>
      </c>
      <c r="H1280" s="42" t="inlineStr">
        <is>
          <t>HDFC Securities</t>
        </is>
      </c>
      <c r="I1280" s="42" t="inlineStr">
        <is>
          <t>HDFC 5413</t>
        </is>
      </c>
      <c r="J1280" s="42" t="inlineStr"/>
      <c r="K1280" s="42" t="inlineStr">
        <is>
          <t>NET PI TO HSL SEC A/C 2554606-00602340029427</t>
        </is>
      </c>
      <c r="L1280" s="42" t="inlineStr">
        <is>
          <t>HDFC Bank</t>
        </is>
      </c>
      <c r="M1280" s="42" t="inlineStr"/>
    </row>
    <row r="1281">
      <c r="A1281" s="89" t="n">
        <v>45275</v>
      </c>
      <c r="B1281" s="89" t="n">
        <v>45275</v>
      </c>
      <c r="C1281" s="90" t="n">
        <v>100</v>
      </c>
      <c r="D1281" s="90" t="n">
        <v>0</v>
      </c>
      <c r="E1281" s="90" t="inlineStr"/>
      <c r="F1281" s="90" t="inlineStr">
        <is>
          <t>UPI - Ola</t>
        </is>
      </c>
      <c r="G1281" s="34" t="n">
        <v>0.68</v>
      </c>
      <c r="H1281" s="90" t="inlineStr">
        <is>
          <t>Transport</t>
        </is>
      </c>
      <c r="I1281" s="90" t="inlineStr">
        <is>
          <t>FEDERAL 0847</t>
        </is>
      </c>
      <c r="J1281" s="90" t="inlineStr"/>
      <c r="K1281" s="90" t="inlineStr">
        <is>
          <t>UPIOUT/334930178753/olacabs.rzp@axisbank/P
ay/4121</t>
        </is>
      </c>
      <c r="L1281" s="90" t="inlineStr">
        <is>
          <t>Federal Bank (Jupiter)</t>
        </is>
      </c>
      <c r="M1281" s="90" t="inlineStr">
        <is>
          <t>⚠ Possible Duplicate</t>
        </is>
      </c>
    </row>
    <row r="1282">
      <c r="A1282" s="41" t="n">
        <v>45275</v>
      </c>
      <c r="B1282" s="41" t="n">
        <v>45275</v>
      </c>
      <c r="C1282" s="42" t="n">
        <v>65.40000000000001</v>
      </c>
      <c r="D1282" s="42" t="n">
        <v>0</v>
      </c>
      <c r="E1282" s="42" t="inlineStr"/>
      <c r="F1282" s="42" t="inlineStr">
        <is>
          <t>HDFC Securities - Buy</t>
        </is>
      </c>
      <c r="G1282" s="18" t="n">
        <v>0.97</v>
      </c>
      <c r="H1282" s="42" t="inlineStr">
        <is>
          <t>HDFC Securities</t>
        </is>
      </c>
      <c r="I1282" s="42" t="inlineStr">
        <is>
          <t>HDFC 5413</t>
        </is>
      </c>
      <c r="J1282" s="42" t="inlineStr"/>
      <c r="K1282" s="42" t="inlineStr">
        <is>
          <t>NET PI TO HSL SEC A/C 2554606-00602340029427</t>
        </is>
      </c>
      <c r="L1282" s="42" t="inlineStr">
        <is>
          <t>HDFC Bank</t>
        </is>
      </c>
      <c r="M1282" s="42" t="inlineStr"/>
    </row>
    <row r="1283">
      <c r="A1283" s="54" t="n">
        <v>45275</v>
      </c>
      <c r="B1283" s="54" t="n">
        <v>45275</v>
      </c>
      <c r="C1283" s="55" t="n">
        <v>0</v>
      </c>
      <c r="D1283" s="55" t="n">
        <v>16614.38</v>
      </c>
      <c r="E1283" s="55" t="inlineStr"/>
      <c r="F1283" s="55" t="inlineStr">
        <is>
          <t>HDFC Securities - Sell</t>
        </is>
      </c>
      <c r="G1283" s="18" t="n">
        <v>0.97</v>
      </c>
      <c r="H1283" s="55" t="inlineStr">
        <is>
          <t>HDFC Securities</t>
        </is>
      </c>
      <c r="I1283" s="55" t="inlineStr">
        <is>
          <t>HDFC 5413</t>
        </is>
      </c>
      <c r="J1283" s="55" t="inlineStr"/>
      <c r="K1283" s="55" t="inlineStr">
        <is>
          <t>NET PO FROM HSL A/C 2554606-50200085415108</t>
        </is>
      </c>
      <c r="L1283" s="55" t="inlineStr">
        <is>
          <t>HDFC Bank</t>
        </is>
      </c>
      <c r="M1283" s="55" t="inlineStr"/>
    </row>
    <row r="1284">
      <c r="A1284" s="41" t="n">
        <v>45275</v>
      </c>
      <c r="B1284" s="41" t="n">
        <v>45275</v>
      </c>
      <c r="C1284" s="42" t="n">
        <v>115366.85</v>
      </c>
      <c r="D1284" s="42" t="n">
        <v>0</v>
      </c>
      <c r="E1284" s="42" t="inlineStr"/>
      <c r="F1284" s="42" t="inlineStr">
        <is>
          <t>HDFC Securities - Buy</t>
        </is>
      </c>
      <c r="G1284" s="18" t="n">
        <v>0.97</v>
      </c>
      <c r="H1284" s="42" t="inlineStr">
        <is>
          <t>HDFC Securities</t>
        </is>
      </c>
      <c r="I1284" s="42" t="inlineStr">
        <is>
          <t>HDFC 5413</t>
        </is>
      </c>
      <c r="J1284" s="42" t="inlineStr"/>
      <c r="K1284" s="42" t="inlineStr">
        <is>
          <t>NET PI TO HSL SEC A/C 2554606-00602340029427</t>
        </is>
      </c>
      <c r="L1284" s="42" t="inlineStr">
        <is>
          <t>HDFC Bank</t>
        </is>
      </c>
      <c r="M1284" s="42" t="inlineStr"/>
    </row>
    <row r="1285">
      <c r="A1285" s="58" t="n">
        <v>45275</v>
      </c>
      <c r="B1285" s="58" t="n">
        <v>45275</v>
      </c>
      <c r="C1285" s="59" t="n">
        <v>100</v>
      </c>
      <c r="D1285" s="59" t="n">
        <v>0</v>
      </c>
      <c r="E1285" s="59" t="inlineStr"/>
      <c r="F1285" s="59" t="inlineStr">
        <is>
          <t>MF Investment</t>
        </is>
      </c>
      <c r="G1285" s="18" t="n">
        <v>0.88</v>
      </c>
      <c r="H1285" s="59" t="inlineStr">
        <is>
          <t>Investments</t>
        </is>
      </c>
      <c r="I1285" s="59" t="inlineStr">
        <is>
          <t>FEDERAL 0847</t>
        </is>
      </c>
      <c r="J1285" s="59" t="inlineStr"/>
      <c r="K1285" s="59" t="inlineStr">
        <is>
          <t>NFT/NEOSIEXEDDD2023121512301975541 NAVI
Mutual Fun</t>
        </is>
      </c>
      <c r="L1285" s="59" t="inlineStr">
        <is>
          <t>Federal Bank (Jupiter)</t>
        </is>
      </c>
      <c r="M1285" s="59" t="inlineStr"/>
    </row>
    <row r="1286">
      <c r="A1286" s="89" t="n">
        <v>45275</v>
      </c>
      <c r="B1286" s="89" t="n">
        <v>45275</v>
      </c>
      <c r="C1286" s="90" t="n">
        <v>100</v>
      </c>
      <c r="D1286" s="90" t="n">
        <v>0</v>
      </c>
      <c r="E1286" s="90" t="inlineStr"/>
      <c r="F1286" s="90" t="inlineStr">
        <is>
          <t>UPI - Ola</t>
        </is>
      </c>
      <c r="G1286" s="34" t="n">
        <v>0.68</v>
      </c>
      <c r="H1286" s="90" t="inlineStr">
        <is>
          <t>Transport</t>
        </is>
      </c>
      <c r="I1286" s="90" t="inlineStr">
        <is>
          <t>FEDERAL 0847</t>
        </is>
      </c>
      <c r="J1286" s="90" t="inlineStr"/>
      <c r="K1286" s="90" t="inlineStr">
        <is>
          <t>UPIOUT/334925078097/olacabs.rzp@axisbank/P
ay/4121</t>
        </is>
      </c>
      <c r="L1286" s="90" t="inlineStr">
        <is>
          <t>Federal Bank (Jupiter)</t>
        </is>
      </c>
      <c r="M1286" s="90" t="inlineStr">
        <is>
          <t>⚠ Possible Duplicate</t>
        </is>
      </c>
    </row>
    <row r="1287">
      <c r="A1287" s="93" t="n">
        <v>45276</v>
      </c>
      <c r="B1287" s="93" t="n">
        <v>45277</v>
      </c>
      <c r="C1287" s="94" t="n">
        <v>199</v>
      </c>
      <c r="D1287" s="94" t="n">
        <v>0</v>
      </c>
      <c r="E1287" s="94" t="inlineStr"/>
      <c r="F1287" s="94" t="inlineStr">
        <is>
          <t>UPI - Google Pay</t>
        </is>
      </c>
      <c r="G1287" s="34" t="n">
        <v>0.65</v>
      </c>
      <c r="H1287" s="94" t="inlineStr">
        <is>
          <t>Personal</t>
        </is>
      </c>
      <c r="I1287" s="94" t="inlineStr">
        <is>
          <t>FEDERAL 0847</t>
        </is>
      </c>
      <c r="J1287" s="94" t="inlineStr"/>
      <c r="K1287" s="94" t="inlineStr">
        <is>
          <t>UPIOUT/335181762956/euronetgpay.playrc@ici
ci/6540</t>
        </is>
      </c>
      <c r="L1287" s="94" t="inlineStr">
        <is>
          <t>Federal Bank (Jupiter)</t>
        </is>
      </c>
      <c r="M1287" s="94" t="inlineStr"/>
    </row>
    <row r="1288">
      <c r="A1288" s="35" t="n">
        <v>45276</v>
      </c>
      <c r="B1288" s="35" t="n">
        <v>45276</v>
      </c>
      <c r="C1288" s="36" t="n">
        <v>983.6</v>
      </c>
      <c r="D1288" s="36" t="n">
        <v>0</v>
      </c>
      <c r="E1288" s="36" t="inlineStr"/>
      <c r="F1288" s="36" t="inlineStr">
        <is>
          <t>UPI - Paytm</t>
        </is>
      </c>
      <c r="G1288" s="34" t="n">
        <v>0.65</v>
      </c>
      <c r="H1288" s="36" t="inlineStr">
        <is>
          <t>Personal</t>
        </is>
      </c>
      <c r="I1288" s="36" t="inlineStr">
        <is>
          <t>FEDERAL 0847</t>
        </is>
      </c>
      <c r="J1288" s="36" t="inlineStr"/>
      <c r="K1288" s="36" t="inlineStr">
        <is>
          <t>UPIOUT/335038146592/paytm-651536@paytm/Sen
t /4011</t>
        </is>
      </c>
      <c r="L1288" s="36" t="inlineStr">
        <is>
          <t>Federal Bank (Jupiter)</t>
        </is>
      </c>
      <c r="M1288" s="36" t="inlineStr"/>
    </row>
    <row r="1289">
      <c r="A1289" s="35" t="n">
        <v>45276</v>
      </c>
      <c r="B1289" s="35" t="n">
        <v>45276</v>
      </c>
      <c r="C1289" s="36" t="n">
        <v>70</v>
      </c>
      <c r="D1289" s="36" t="n">
        <v>0</v>
      </c>
      <c r="E1289" s="36" t="inlineStr"/>
      <c r="F1289" s="36" t="inlineStr">
        <is>
          <t>UPI - Paytm</t>
        </is>
      </c>
      <c r="G1289" s="34" t="n">
        <v>0.65</v>
      </c>
      <c r="H1289" s="36" t="inlineStr">
        <is>
          <t>Personal</t>
        </is>
      </c>
      <c r="I1289" s="36" t="inlineStr">
        <is>
          <t>FEDERAL 0847</t>
        </is>
      </c>
      <c r="J1289" s="36" t="inlineStr"/>
      <c r="K1289" s="36" t="inlineStr">
        <is>
          <t>UPIOUT/335037356674/paytmqr2810050501011im
q4/5411</t>
        </is>
      </c>
      <c r="L1289" s="36" t="inlineStr">
        <is>
          <t>Federal Bank (Jupiter)</t>
        </is>
      </c>
      <c r="M1289" s="36" t="inlineStr">
        <is>
          <t>⚠ Possible Duplicate</t>
        </is>
      </c>
    </row>
    <row r="1290">
      <c r="A1290" s="35" t="n">
        <v>45276</v>
      </c>
      <c r="B1290" s="35" t="n">
        <v>45276</v>
      </c>
      <c r="C1290" s="36" t="n">
        <v>70</v>
      </c>
      <c r="D1290" s="36" t="n">
        <v>0</v>
      </c>
      <c r="E1290" s="36" t="inlineStr"/>
      <c r="F1290" s="36" t="inlineStr">
        <is>
          <t>UPI - Paytm</t>
        </is>
      </c>
      <c r="G1290" s="34" t="n">
        <v>0.65</v>
      </c>
      <c r="H1290" s="36" t="inlineStr">
        <is>
          <t>Personal</t>
        </is>
      </c>
      <c r="I1290" s="36" t="inlineStr">
        <is>
          <t>FEDERAL 0847</t>
        </is>
      </c>
      <c r="J1290" s="36" t="inlineStr"/>
      <c r="K1290" s="36" t="inlineStr">
        <is>
          <t>UPIOUT/335038538043/paytmqr2810050501011im
q4/5411</t>
        </is>
      </c>
      <c r="L1290" s="36" t="inlineStr">
        <is>
          <t>Federal Bank (Jupiter)</t>
        </is>
      </c>
      <c r="M1290" s="36" t="inlineStr">
        <is>
          <t>⚠ Possible Duplicate</t>
        </is>
      </c>
    </row>
    <row r="1291">
      <c r="A1291" s="58" t="n">
        <v>45276</v>
      </c>
      <c r="B1291" s="58" t="n">
        <v>45276</v>
      </c>
      <c r="C1291" s="59" t="n">
        <v>100</v>
      </c>
      <c r="D1291" s="59" t="n">
        <v>0</v>
      </c>
      <c r="E1291" s="59" t="inlineStr"/>
      <c r="F1291" s="59" t="inlineStr">
        <is>
          <t>MF Investment</t>
        </is>
      </c>
      <c r="G1291" s="18" t="n">
        <v>0.88</v>
      </c>
      <c r="H1291" s="59" t="inlineStr">
        <is>
          <t>Investments</t>
        </is>
      </c>
      <c r="I1291" s="59" t="inlineStr">
        <is>
          <t>FEDERAL 0847</t>
        </is>
      </c>
      <c r="J1291" s="59" t="inlineStr"/>
      <c r="K1291" s="59" t="inlineStr">
        <is>
          <t>NFT/NEOSIEXEDDD2023121612302581390 NAVI
Mutual Fun</t>
        </is>
      </c>
      <c r="L1291" s="59" t="inlineStr">
        <is>
          <t>Federal Bank (Jupiter)</t>
        </is>
      </c>
      <c r="M1291" s="59" t="inlineStr"/>
    </row>
    <row r="1292">
      <c r="A1292" s="37" t="n">
        <v>45276</v>
      </c>
      <c r="B1292" s="37" t="n">
        <v>45276</v>
      </c>
      <c r="C1292" s="38" t="n">
        <v>7500</v>
      </c>
      <c r="D1292" s="38" t="n">
        <v>0</v>
      </c>
      <c r="E1292" s="38" t="inlineStr"/>
      <c r="F1292" s="38" t="inlineStr">
        <is>
          <t>UPI Payment</t>
        </is>
      </c>
      <c r="G1292" s="25" t="n">
        <v>0.55</v>
      </c>
      <c r="H1292" s="38" t="inlineStr">
        <is>
          <t>Personal</t>
        </is>
      </c>
      <c r="I1292" s="38" t="inlineStr">
        <is>
          <t>FEDERAL 0847</t>
        </is>
      </c>
      <c r="J1292" s="38" t="inlineStr"/>
      <c r="K1292" s="38" t="inlineStr">
        <is>
          <t>UPIOUT/335037277710/narendrareddy923@ybl/S
en/0000</t>
        </is>
      </c>
      <c r="L1292" s="38" t="inlineStr">
        <is>
          <t>Federal Bank (Jupiter)</t>
        </is>
      </c>
      <c r="M1292" s="38" t="inlineStr"/>
    </row>
    <row r="1293">
      <c r="A1293" s="62" t="n">
        <v>45277</v>
      </c>
      <c r="B1293" s="62" t="n">
        <v>45277</v>
      </c>
      <c r="C1293" s="63" t="n">
        <v>10000</v>
      </c>
      <c r="D1293" s="63" t="n">
        <v>0</v>
      </c>
      <c r="E1293" s="63" t="inlineStr"/>
      <c r="F1293" s="63" t="inlineStr">
        <is>
          <t>Transfer - Sunita Gupta</t>
        </is>
      </c>
      <c r="G1293" s="18" t="n">
        <v>0.88</v>
      </c>
      <c r="H1293" s="63" t="inlineStr">
        <is>
          <t>Sunita Gupta</t>
        </is>
      </c>
      <c r="I1293" s="63" t="inlineStr">
        <is>
          <t>HDFC 5413</t>
        </is>
      </c>
      <c r="J1293" s="63" t="inlineStr"/>
      <c r="K1293" s="63" t="inlineStr">
        <is>
          <t>01671000060094-TPT-FROM AAYUSH-SUNITA GUPTA</t>
        </is>
      </c>
      <c r="L1293" s="63" t="inlineStr">
        <is>
          <t>HDFC Bank</t>
        </is>
      </c>
      <c r="M1293" s="63" t="inlineStr"/>
    </row>
    <row r="1294">
      <c r="A1294" s="58" t="n">
        <v>45277</v>
      </c>
      <c r="B1294" s="58" t="n">
        <v>45277</v>
      </c>
      <c r="C1294" s="59" t="n">
        <v>100</v>
      </c>
      <c r="D1294" s="59" t="n">
        <v>0</v>
      </c>
      <c r="E1294" s="59" t="inlineStr"/>
      <c r="F1294" s="59" t="inlineStr">
        <is>
          <t>MF Investment</t>
        </is>
      </c>
      <c r="G1294" s="18" t="n">
        <v>0.88</v>
      </c>
      <c r="H1294" s="59" t="inlineStr">
        <is>
          <t>Investments</t>
        </is>
      </c>
      <c r="I1294" s="59" t="inlineStr">
        <is>
          <t>FEDERAL 0847</t>
        </is>
      </c>
      <c r="J1294" s="59" t="inlineStr"/>
      <c r="K1294" s="59" t="inlineStr">
        <is>
          <t>NFT/NEOSIEXEDDD2023121712310738332 NAVI
Mutual Fun</t>
        </is>
      </c>
      <c r="L1294" s="59" t="inlineStr">
        <is>
          <t>Federal Bank (Jupiter)</t>
        </is>
      </c>
      <c r="M1294" s="59" t="inlineStr"/>
    </row>
    <row r="1295">
      <c r="A1295" s="37" t="n">
        <v>45277</v>
      </c>
      <c r="B1295" s="37" t="n">
        <v>45277</v>
      </c>
      <c r="C1295" s="38" t="n">
        <v>30</v>
      </c>
      <c r="D1295" s="38" t="n">
        <v>0</v>
      </c>
      <c r="E1295" s="38" t="inlineStr"/>
      <c r="F1295" s="38" t="inlineStr">
        <is>
          <t>UPI Payment</t>
        </is>
      </c>
      <c r="G1295" s="25" t="n">
        <v>0.55</v>
      </c>
      <c r="H1295" s="38" t="inlineStr">
        <is>
          <t>Personal</t>
        </is>
      </c>
      <c r="I1295" s="38" t="inlineStr">
        <is>
          <t>FEDERAL 0847</t>
        </is>
      </c>
      <c r="J1295" s="38" t="inlineStr"/>
      <c r="K1295" s="38" t="inlineStr">
        <is>
          <t>UPIOUT/335140291831/Q780689862@ybl/Sent
via /5814</t>
        </is>
      </c>
      <c r="L1295" s="38" t="inlineStr">
        <is>
          <t>Federal Bank (Jupiter)</t>
        </is>
      </c>
      <c r="M1295" s="38" t="inlineStr"/>
    </row>
    <row r="1296">
      <c r="A1296" s="35" t="n">
        <v>45277</v>
      </c>
      <c r="B1296" s="35" t="n">
        <v>45277</v>
      </c>
      <c r="C1296" s="36" t="n">
        <v>164</v>
      </c>
      <c r="D1296" s="36" t="n">
        <v>0</v>
      </c>
      <c r="E1296" s="36" t="inlineStr"/>
      <c r="F1296" s="36" t="inlineStr">
        <is>
          <t>UPI - Paytm</t>
        </is>
      </c>
      <c r="G1296" s="34" t="n">
        <v>0.65</v>
      </c>
      <c r="H1296" s="36" t="inlineStr">
        <is>
          <t>Personal</t>
        </is>
      </c>
      <c r="I1296" s="36" t="inlineStr">
        <is>
          <t>FEDERAL 0847</t>
        </is>
      </c>
      <c r="J1296" s="36" t="inlineStr"/>
      <c r="K1296" s="36" t="inlineStr">
        <is>
          <t>UPIOUT/335140403964/paytm-66819319@paytm/S
en/5411</t>
        </is>
      </c>
      <c r="L1296" s="36" t="inlineStr">
        <is>
          <t>Federal Bank (Jupiter)</t>
        </is>
      </c>
      <c r="M1296" s="36" t="inlineStr"/>
    </row>
    <row r="1297">
      <c r="A1297" s="35" t="n">
        <v>45277</v>
      </c>
      <c r="B1297" s="35" t="n">
        <v>45277</v>
      </c>
      <c r="C1297" s="36" t="n">
        <v>250</v>
      </c>
      <c r="D1297" s="36" t="n">
        <v>0</v>
      </c>
      <c r="E1297" s="36" t="inlineStr"/>
      <c r="F1297" s="36" t="inlineStr">
        <is>
          <t>UPI - Paytm</t>
        </is>
      </c>
      <c r="G1297" s="34" t="n">
        <v>0.65</v>
      </c>
      <c r="H1297" s="36" t="inlineStr">
        <is>
          <t>Personal</t>
        </is>
      </c>
      <c r="I1297" s="36" t="inlineStr">
        <is>
          <t>FEDERAL 0847</t>
        </is>
      </c>
      <c r="J1297" s="36" t="inlineStr"/>
      <c r="K1297" s="36" t="inlineStr">
        <is>
          <t>UPIOUT/335140869306/paytmqr281005050101121
ip/7230</t>
        </is>
      </c>
      <c r="L1297" s="36" t="inlineStr">
        <is>
          <t>Federal Bank (Jupiter)</t>
        </is>
      </c>
      <c r="M1297" s="36" t="inlineStr"/>
    </row>
    <row r="1298">
      <c r="A1298" s="35" t="n">
        <v>45277</v>
      </c>
      <c r="B1298" s="35" t="n">
        <v>45277</v>
      </c>
      <c r="C1298" s="36" t="n">
        <v>75</v>
      </c>
      <c r="D1298" s="36" t="n">
        <v>0</v>
      </c>
      <c r="E1298" s="36" t="inlineStr"/>
      <c r="F1298" s="36" t="inlineStr">
        <is>
          <t>UPI - Paytm</t>
        </is>
      </c>
      <c r="G1298" s="34" t="n">
        <v>0.65</v>
      </c>
      <c r="H1298" s="36" t="inlineStr">
        <is>
          <t>Personal</t>
        </is>
      </c>
      <c r="I1298" s="36" t="inlineStr">
        <is>
          <t>FEDERAL 0847</t>
        </is>
      </c>
      <c r="J1298" s="36" t="inlineStr"/>
      <c r="K1298" s="36" t="inlineStr">
        <is>
          <t>UPIOUT/335141950276/paytmqr1l47y8otva@payt
m//5411</t>
        </is>
      </c>
      <c r="L1298" s="36" t="inlineStr">
        <is>
          <t>Federal Bank (Jupiter)</t>
        </is>
      </c>
      <c r="M1298" s="36" t="inlineStr"/>
    </row>
    <row r="1299">
      <c r="A1299" s="35" t="n">
        <v>45277</v>
      </c>
      <c r="B1299" s="35" t="n">
        <v>45277</v>
      </c>
      <c r="C1299" s="36" t="n">
        <v>20</v>
      </c>
      <c r="D1299" s="36" t="n">
        <v>0</v>
      </c>
      <c r="E1299" s="36" t="inlineStr"/>
      <c r="F1299" s="36" t="inlineStr">
        <is>
          <t>UPI - Paytm</t>
        </is>
      </c>
      <c r="G1299" s="34" t="n">
        <v>0.65</v>
      </c>
      <c r="H1299" s="36" t="inlineStr">
        <is>
          <t>Personal</t>
        </is>
      </c>
      <c r="I1299" s="36" t="inlineStr">
        <is>
          <t>FEDERAL 0847</t>
        </is>
      </c>
      <c r="J1299" s="36" t="inlineStr"/>
      <c r="K1299" s="36" t="inlineStr">
        <is>
          <t>UPIOUT/335142878505/paytmqr1l47y8otva@payt
m//5411</t>
        </is>
      </c>
      <c r="L1299" s="36" t="inlineStr">
        <is>
          <t>Federal Bank (Jupiter)</t>
        </is>
      </c>
      <c r="M1299" s="36" t="inlineStr"/>
    </row>
    <row r="1300">
      <c r="A1300" s="35" t="n">
        <v>45277</v>
      </c>
      <c r="B1300" s="35" t="n">
        <v>45277</v>
      </c>
      <c r="C1300" s="36" t="n">
        <v>65</v>
      </c>
      <c r="D1300" s="36" t="n">
        <v>0</v>
      </c>
      <c r="E1300" s="36" t="inlineStr"/>
      <c r="F1300" s="36" t="inlineStr">
        <is>
          <t>UPI - Paytm</t>
        </is>
      </c>
      <c r="G1300" s="34" t="n">
        <v>0.65</v>
      </c>
      <c r="H1300" s="36" t="inlineStr">
        <is>
          <t>Personal</t>
        </is>
      </c>
      <c r="I1300" s="36" t="inlineStr">
        <is>
          <t>FEDERAL 0847</t>
        </is>
      </c>
      <c r="J1300" s="36" t="inlineStr"/>
      <c r="K1300" s="36" t="inlineStr">
        <is>
          <t>UPIOUT/335143471798/paytmqr281005050101ac5
gq/5812</t>
        </is>
      </c>
      <c r="L1300" s="36" t="inlineStr">
        <is>
          <t>Federal Bank (Jupiter)</t>
        </is>
      </c>
      <c r="M1300" s="36" t="inlineStr"/>
    </row>
    <row r="1301">
      <c r="A1301" s="54" t="n">
        <v>45278</v>
      </c>
      <c r="B1301" s="54" t="n">
        <v>45278</v>
      </c>
      <c r="C1301" s="55" t="n">
        <v>0</v>
      </c>
      <c r="D1301" s="55" t="n">
        <v>547.2</v>
      </c>
      <c r="E1301" s="55" t="inlineStr"/>
      <c r="F1301" s="55" t="inlineStr">
        <is>
          <t>HDFC Securities - Sell</t>
        </is>
      </c>
      <c r="G1301" s="18" t="n">
        <v>0.97</v>
      </c>
      <c r="H1301" s="55" t="inlineStr">
        <is>
          <t>HDFC Securities</t>
        </is>
      </c>
      <c r="I1301" s="55" t="inlineStr">
        <is>
          <t>HDFC 5413</t>
        </is>
      </c>
      <c r="J1301" s="55" t="inlineStr"/>
      <c r="K1301" s="55" t="inlineStr">
        <is>
          <t>NET PO FROM HSL A/C 2554606-50200085415108</t>
        </is>
      </c>
      <c r="L1301" s="55" t="inlineStr">
        <is>
          <t>HDFC Bank</t>
        </is>
      </c>
      <c r="M1301" s="55" t="inlineStr"/>
    </row>
    <row r="1302">
      <c r="A1302" s="35" t="n">
        <v>45278</v>
      </c>
      <c r="B1302" s="35" t="n">
        <v>45278</v>
      </c>
      <c r="C1302" s="36" t="n">
        <v>85</v>
      </c>
      <c r="D1302" s="36" t="n">
        <v>0</v>
      </c>
      <c r="E1302" s="36" t="inlineStr"/>
      <c r="F1302" s="36" t="inlineStr">
        <is>
          <t>UPI - Paytm</t>
        </is>
      </c>
      <c r="G1302" s="34" t="n">
        <v>0.65</v>
      </c>
      <c r="H1302" s="36" t="inlineStr">
        <is>
          <t>Personal</t>
        </is>
      </c>
      <c r="I1302" s="36" t="inlineStr">
        <is>
          <t>FEDERAL 0847</t>
        </is>
      </c>
      <c r="J1302" s="36" t="inlineStr"/>
      <c r="K1302" s="36" t="inlineStr">
        <is>
          <t>UPIOUT/335253394296/paytmqr281005050101qwu
ha/5411</t>
        </is>
      </c>
      <c r="L1302" s="36" t="inlineStr">
        <is>
          <t>Federal Bank (Jupiter)</t>
        </is>
      </c>
      <c r="M1302" s="36" t="inlineStr"/>
    </row>
    <row r="1303">
      <c r="A1303" s="21" t="n">
        <v>45278</v>
      </c>
      <c r="B1303" s="21" t="n">
        <v>45278</v>
      </c>
      <c r="C1303" s="22" t="n">
        <v>29</v>
      </c>
      <c r="D1303" s="22" t="n">
        <v>0</v>
      </c>
      <c r="E1303" s="22" t="inlineStr"/>
      <c r="F1303" s="22" t="inlineStr">
        <is>
          <t>UPI - Rapido</t>
        </is>
      </c>
      <c r="G1303" s="34" t="n">
        <v>0.68</v>
      </c>
      <c r="H1303" s="22" t="inlineStr">
        <is>
          <t>Transport</t>
        </is>
      </c>
      <c r="I1303" s="22" t="inlineStr">
        <is>
          <t>FEDERAL 0847</t>
        </is>
      </c>
      <c r="J1303" s="22" t="inlineStr"/>
      <c r="K1303" s="22" t="inlineStr">
        <is>
          <t>UPIOUT/335253248157/rapido.rzp@icici/Payme
nt/4121</t>
        </is>
      </c>
      <c r="L1303" s="22" t="inlineStr">
        <is>
          <t>Federal Bank (Jupiter)</t>
        </is>
      </c>
      <c r="M1303" s="22" t="inlineStr"/>
    </row>
    <row r="1304">
      <c r="A1304" s="93" t="n">
        <v>45278</v>
      </c>
      <c r="B1304" s="93" t="n">
        <v>45278</v>
      </c>
      <c r="C1304" s="94" t="n">
        <v>100</v>
      </c>
      <c r="D1304" s="94" t="n">
        <v>0</v>
      </c>
      <c r="E1304" s="94" t="inlineStr"/>
      <c r="F1304" s="94" t="inlineStr">
        <is>
          <t>UPI - Google Pay</t>
        </is>
      </c>
      <c r="G1304" s="34" t="n">
        <v>0.65</v>
      </c>
      <c r="H1304" s="94" t="inlineStr">
        <is>
          <t>Personal</t>
        </is>
      </c>
      <c r="I1304" s="94" t="inlineStr">
        <is>
          <t>FEDERAL 0847</t>
        </is>
      </c>
      <c r="J1304" s="94" t="inlineStr"/>
      <c r="K1304" s="94" t="inlineStr">
        <is>
          <t>UPIOUT/335253819076/gpay-11239378766@okbiz
ax/5411</t>
        </is>
      </c>
      <c r="L1304" s="94" t="inlineStr">
        <is>
          <t>Federal Bank (Jupiter)</t>
        </is>
      </c>
      <c r="M1304" s="94" t="inlineStr"/>
    </row>
    <row r="1305">
      <c r="A1305" s="35" t="n">
        <v>45278</v>
      </c>
      <c r="B1305" s="35" t="n">
        <v>45278</v>
      </c>
      <c r="C1305" s="36" t="n">
        <v>15</v>
      </c>
      <c r="D1305" s="36" t="n">
        <v>0</v>
      </c>
      <c r="E1305" s="36" t="inlineStr"/>
      <c r="F1305" s="36" t="inlineStr">
        <is>
          <t>UPI - Paytm</t>
        </is>
      </c>
      <c r="G1305" s="34" t="n">
        <v>0.65</v>
      </c>
      <c r="H1305" s="36" t="inlineStr">
        <is>
          <t>Personal</t>
        </is>
      </c>
      <c r="I1305" s="36" t="inlineStr">
        <is>
          <t>FEDERAL 0847</t>
        </is>
      </c>
      <c r="J1305" s="36" t="inlineStr"/>
      <c r="K1305" s="36" t="inlineStr">
        <is>
          <t>UPIOUT/335246763117/paytmqr1dm5qwb31d@payt
m//5411</t>
        </is>
      </c>
      <c r="L1305" s="36" t="inlineStr">
        <is>
          <t>Federal Bank (Jupiter)</t>
        </is>
      </c>
      <c r="M1305" s="36" t="inlineStr"/>
    </row>
    <row r="1306">
      <c r="A1306" s="58" t="n">
        <v>45278</v>
      </c>
      <c r="B1306" s="58" t="n">
        <v>45278</v>
      </c>
      <c r="C1306" s="59" t="n">
        <v>100</v>
      </c>
      <c r="D1306" s="59" t="n">
        <v>0</v>
      </c>
      <c r="E1306" s="59" t="inlineStr"/>
      <c r="F1306" s="59" t="inlineStr">
        <is>
          <t>MF Investment</t>
        </is>
      </c>
      <c r="G1306" s="18" t="n">
        <v>0.88</v>
      </c>
      <c r="H1306" s="59" t="inlineStr">
        <is>
          <t>Investments</t>
        </is>
      </c>
      <c r="I1306" s="59" t="inlineStr">
        <is>
          <t>FEDERAL 0847</t>
        </is>
      </c>
      <c r="J1306" s="59" t="inlineStr"/>
      <c r="K1306" s="59" t="inlineStr">
        <is>
          <t>NFT/NEOSIEXEDDD2023121812311862422 NAVI
Mutual Fun</t>
        </is>
      </c>
      <c r="L1306" s="59" t="inlineStr">
        <is>
          <t>Federal Bank (Jupiter)</t>
        </is>
      </c>
      <c r="M1306" s="59" t="inlineStr"/>
    </row>
    <row r="1307">
      <c r="A1307" s="21" t="n">
        <v>45278</v>
      </c>
      <c r="B1307" s="21" t="n">
        <v>45278</v>
      </c>
      <c r="C1307" s="22" t="n">
        <v>24</v>
      </c>
      <c r="D1307" s="22" t="n">
        <v>0</v>
      </c>
      <c r="E1307" s="22" t="inlineStr"/>
      <c r="F1307" s="22" t="inlineStr">
        <is>
          <t>UPI - Rapido</t>
        </is>
      </c>
      <c r="G1307" s="34" t="n">
        <v>0.68</v>
      </c>
      <c r="H1307" s="22" t="inlineStr">
        <is>
          <t>Transport</t>
        </is>
      </c>
      <c r="I1307" s="22" t="inlineStr">
        <is>
          <t>FEDERAL 0847</t>
        </is>
      </c>
      <c r="J1307" s="22" t="inlineStr"/>
      <c r="K1307" s="22" t="inlineStr">
        <is>
          <t>UPIOUT/335247591638/rapido.rzp@icici/Payme
nt/4121</t>
        </is>
      </c>
      <c r="L1307" s="22" t="inlineStr">
        <is>
          <t>Federal Bank (Jupiter)</t>
        </is>
      </c>
      <c r="M1307" s="22" t="inlineStr"/>
    </row>
    <row r="1308">
      <c r="A1308" s="41" t="n">
        <v>45278</v>
      </c>
      <c r="B1308" s="41" t="n">
        <v>45278</v>
      </c>
      <c r="C1308" s="42" t="n">
        <v>564.99</v>
      </c>
      <c r="D1308" s="42" t="n">
        <v>0</v>
      </c>
      <c r="E1308" s="42" t="inlineStr"/>
      <c r="F1308" s="42" t="inlineStr">
        <is>
          <t>HDFC Securities - Buy</t>
        </is>
      </c>
      <c r="G1308" s="18" t="n">
        <v>0.97</v>
      </c>
      <c r="H1308" s="42" t="inlineStr">
        <is>
          <t>HDFC Securities</t>
        </is>
      </c>
      <c r="I1308" s="42" t="inlineStr">
        <is>
          <t>HDFC 5413</t>
        </is>
      </c>
      <c r="J1308" s="42" t="inlineStr"/>
      <c r="K1308" s="42" t="inlineStr">
        <is>
          <t>NET PI TO HSL SEC A/C 2554606-00602340029427</t>
        </is>
      </c>
      <c r="L1308" s="42" t="inlineStr">
        <is>
          <t>HDFC Bank</t>
        </is>
      </c>
      <c r="M1308" s="42" t="inlineStr"/>
    </row>
    <row r="1309">
      <c r="A1309" s="54" t="n">
        <v>45279</v>
      </c>
      <c r="B1309" s="54" t="n">
        <v>45279</v>
      </c>
      <c r="C1309" s="55" t="n">
        <v>0</v>
      </c>
      <c r="D1309" s="55" t="n">
        <v>22577.66</v>
      </c>
      <c r="E1309" s="55" t="inlineStr"/>
      <c r="F1309" s="55" t="inlineStr">
        <is>
          <t>HDFC Securities - Sell</t>
        </is>
      </c>
      <c r="G1309" s="18" t="n">
        <v>0.97</v>
      </c>
      <c r="H1309" s="55" t="inlineStr">
        <is>
          <t>HDFC Securities</t>
        </is>
      </c>
      <c r="I1309" s="55" t="inlineStr">
        <is>
          <t>HDFC 5413</t>
        </is>
      </c>
      <c r="J1309" s="55" t="inlineStr"/>
      <c r="K1309" s="55" t="inlineStr">
        <is>
          <t>NET PO FROM HSL A/C 2554606-50200085415108</t>
        </is>
      </c>
      <c r="L1309" s="55" t="inlineStr">
        <is>
          <t>HDFC Bank</t>
        </is>
      </c>
      <c r="M1309" s="55" t="inlineStr"/>
    </row>
    <row r="1310">
      <c r="A1310" s="58" t="n">
        <v>45279</v>
      </c>
      <c r="B1310" s="58" t="n">
        <v>45279</v>
      </c>
      <c r="C1310" s="59" t="n">
        <v>100</v>
      </c>
      <c r="D1310" s="59" t="n">
        <v>0</v>
      </c>
      <c r="E1310" s="59" t="inlineStr"/>
      <c r="F1310" s="59" t="inlineStr">
        <is>
          <t>MF Investment</t>
        </is>
      </c>
      <c r="G1310" s="18" t="n">
        <v>0.88</v>
      </c>
      <c r="H1310" s="59" t="inlineStr">
        <is>
          <t>Investments</t>
        </is>
      </c>
      <c r="I1310" s="59" t="inlineStr">
        <is>
          <t>FEDERAL 0847</t>
        </is>
      </c>
      <c r="J1310" s="59" t="inlineStr"/>
      <c r="K1310" s="59" t="inlineStr">
        <is>
          <t>NFT/NEOSIEXEDDD2023121912303376552 NAVI
Mutual Fun</t>
        </is>
      </c>
      <c r="L1310" s="59" t="inlineStr">
        <is>
          <t>Federal Bank (Jupiter)</t>
        </is>
      </c>
      <c r="M1310" s="59" t="inlineStr"/>
    </row>
    <row r="1311">
      <c r="A1311" s="37" t="n">
        <v>45279</v>
      </c>
      <c r="B1311" s="37" t="n">
        <v>45279</v>
      </c>
      <c r="C1311" s="38" t="n">
        <v>75</v>
      </c>
      <c r="D1311" s="38" t="n">
        <v>0</v>
      </c>
      <c r="E1311" s="38" t="inlineStr"/>
      <c r="F1311" s="38" t="inlineStr">
        <is>
          <t>UPI Payment</t>
        </is>
      </c>
      <c r="G1311" s="25" t="n">
        <v>0.55</v>
      </c>
      <c r="H1311" s="38" t="inlineStr">
        <is>
          <t>Personal</t>
        </is>
      </c>
      <c r="I1311" s="38" t="inlineStr">
        <is>
          <t>FEDERAL 0847</t>
        </is>
      </c>
      <c r="J1311" s="38" t="inlineStr"/>
      <c r="K1311" s="38" t="inlineStr">
        <is>
          <t>UPIOUT/335358420836/tiwarigopal32@ybl/Sent
v/0000</t>
        </is>
      </c>
      <c r="L1311" s="38" t="inlineStr">
        <is>
          <t>Federal Bank (Jupiter)</t>
        </is>
      </c>
      <c r="M1311" s="38" t="inlineStr"/>
    </row>
    <row r="1312">
      <c r="A1312" s="91" t="n">
        <v>45279</v>
      </c>
      <c r="B1312" s="91" t="n">
        <v>45279</v>
      </c>
      <c r="C1312" s="92" t="n">
        <v>28.67</v>
      </c>
      <c r="D1312" s="92" t="n">
        <v>0</v>
      </c>
      <c r="E1312" s="92" t="inlineStr"/>
      <c r="F1312" s="92" t="inlineStr">
        <is>
          <t>UPI - Uber</t>
        </is>
      </c>
      <c r="G1312" s="34" t="n">
        <v>0.68</v>
      </c>
      <c r="H1312" s="92" t="inlineStr">
        <is>
          <t>Transport</t>
        </is>
      </c>
      <c r="I1312" s="92" t="inlineStr">
        <is>
          <t>FEDERAL 0847</t>
        </is>
      </c>
      <c r="J1312" s="92" t="inlineStr"/>
      <c r="K1312" s="92" t="inlineStr">
        <is>
          <t>UPIOUT/335358775310/uber@axisbank/charge/4
121</t>
        </is>
      </c>
      <c r="L1312" s="92" t="inlineStr">
        <is>
          <t>Federal Bank (Jupiter)</t>
        </is>
      </c>
      <c r="M1312" s="92" t="inlineStr"/>
    </row>
    <row r="1313">
      <c r="A1313" s="35" t="n">
        <v>45279</v>
      </c>
      <c r="B1313" s="35" t="n">
        <v>45279</v>
      </c>
      <c r="C1313" s="36" t="n">
        <v>100</v>
      </c>
      <c r="D1313" s="36" t="n">
        <v>0</v>
      </c>
      <c r="E1313" s="36" t="inlineStr"/>
      <c r="F1313" s="36" t="inlineStr">
        <is>
          <t>UPI - Paytm</t>
        </is>
      </c>
      <c r="G1313" s="34" t="n">
        <v>0.65</v>
      </c>
      <c r="H1313" s="36" t="inlineStr">
        <is>
          <t>Personal</t>
        </is>
      </c>
      <c r="I1313" s="36" t="inlineStr">
        <is>
          <t>FEDERAL 0847</t>
        </is>
      </c>
      <c r="J1313" s="36" t="inlineStr"/>
      <c r="K1313" s="36" t="inlineStr">
        <is>
          <t>UPIOUT/335365941986/9010488465@paytm/Sent
vi/0000</t>
        </is>
      </c>
      <c r="L1313" s="36" t="inlineStr">
        <is>
          <t>Federal Bank (Jupiter)</t>
        </is>
      </c>
      <c r="M1313" s="36" t="inlineStr"/>
    </row>
    <row r="1314">
      <c r="A1314" s="41" t="n">
        <v>45279</v>
      </c>
      <c r="B1314" s="41" t="n">
        <v>45279</v>
      </c>
      <c r="C1314" s="42" t="n">
        <v>188.52</v>
      </c>
      <c r="D1314" s="42" t="n">
        <v>0</v>
      </c>
      <c r="E1314" s="42" t="inlineStr"/>
      <c r="F1314" s="42" t="inlineStr">
        <is>
          <t>HDFC Securities - Buy</t>
        </is>
      </c>
      <c r="G1314" s="18" t="n">
        <v>0.97</v>
      </c>
      <c r="H1314" s="42" t="inlineStr">
        <is>
          <t>HDFC Securities</t>
        </is>
      </c>
      <c r="I1314" s="42" t="inlineStr">
        <is>
          <t>HDFC 5413</t>
        </is>
      </c>
      <c r="J1314" s="42" t="inlineStr"/>
      <c r="K1314" s="42" t="inlineStr">
        <is>
          <t>NET PI TO HSL SEC A/C 2554606-00602340029427</t>
        </is>
      </c>
      <c r="L1314" s="42" t="inlineStr">
        <is>
          <t>HDFC Bank</t>
        </is>
      </c>
      <c r="M1314" s="42" t="inlineStr"/>
    </row>
    <row r="1315">
      <c r="A1315" s="54" t="n">
        <v>45280</v>
      </c>
      <c r="B1315" s="54" t="n">
        <v>45280</v>
      </c>
      <c r="C1315" s="55" t="n">
        <v>0</v>
      </c>
      <c r="D1315" s="55" t="n">
        <v>12168.37</v>
      </c>
      <c r="E1315" s="55" t="inlineStr"/>
      <c r="F1315" s="55" t="inlineStr">
        <is>
          <t>HDFC Securities - Sell</t>
        </is>
      </c>
      <c r="G1315" s="18" t="n">
        <v>0.97</v>
      </c>
      <c r="H1315" s="55" t="inlineStr">
        <is>
          <t>HDFC Securities</t>
        </is>
      </c>
      <c r="I1315" s="55" t="inlineStr">
        <is>
          <t>HDFC 5413</t>
        </is>
      </c>
      <c r="J1315" s="55" t="inlineStr"/>
      <c r="K1315" s="55" t="inlineStr">
        <is>
          <t>NET PO FROM HSL A/C 2554606-50200085415108</t>
        </is>
      </c>
      <c r="L1315" s="55" t="inlineStr">
        <is>
          <t>HDFC Bank</t>
        </is>
      </c>
      <c r="M1315" s="55" t="inlineStr"/>
    </row>
    <row r="1316">
      <c r="A1316" s="54" t="n">
        <v>45280</v>
      </c>
      <c r="B1316" s="54" t="n">
        <v>45280</v>
      </c>
      <c r="C1316" s="55" t="n">
        <v>0</v>
      </c>
      <c r="D1316" s="55" t="n">
        <v>52195.67</v>
      </c>
      <c r="E1316" s="55" t="inlineStr"/>
      <c r="F1316" s="55" t="inlineStr">
        <is>
          <t>HDFC Securities - Sell</t>
        </is>
      </c>
      <c r="G1316" s="18" t="n">
        <v>0.97</v>
      </c>
      <c r="H1316" s="55" t="inlineStr">
        <is>
          <t>HDFC Securities</t>
        </is>
      </c>
      <c r="I1316" s="55" t="inlineStr">
        <is>
          <t>HDFC 5413</t>
        </is>
      </c>
      <c r="J1316" s="55" t="inlineStr"/>
      <c r="K1316" s="55" t="inlineStr">
        <is>
          <t>NET PO FROM HSL A/C 2554606-50200085415108</t>
        </is>
      </c>
      <c r="L1316" s="55" t="inlineStr">
        <is>
          <t>HDFC Bank</t>
        </is>
      </c>
      <c r="M1316" s="55" t="inlineStr"/>
    </row>
    <row r="1317">
      <c r="A1317" s="41" t="n">
        <v>45280</v>
      </c>
      <c r="B1317" s="41" t="n">
        <v>45280</v>
      </c>
      <c r="C1317" s="42" t="n">
        <v>174.49</v>
      </c>
      <c r="D1317" s="42" t="n">
        <v>0</v>
      </c>
      <c r="E1317" s="42" t="inlineStr"/>
      <c r="F1317" s="42" t="inlineStr">
        <is>
          <t>HDFC Securities - Buy</t>
        </is>
      </c>
      <c r="G1317" s="18" t="n">
        <v>0.97</v>
      </c>
      <c r="H1317" s="42" t="inlineStr">
        <is>
          <t>HDFC Securities</t>
        </is>
      </c>
      <c r="I1317" s="42" t="inlineStr">
        <is>
          <t>HDFC 5413</t>
        </is>
      </c>
      <c r="J1317" s="42" t="inlineStr"/>
      <c r="K1317" s="42" t="inlineStr">
        <is>
          <t>NET PI TO HSL SEC A/C 2554606-00602340029427</t>
        </is>
      </c>
      <c r="L1317" s="42" t="inlineStr">
        <is>
          <t>HDFC Bank</t>
        </is>
      </c>
      <c r="M1317" s="42" t="inlineStr"/>
    </row>
    <row r="1318">
      <c r="A1318" s="91" t="n">
        <v>45280</v>
      </c>
      <c r="B1318" s="91" t="n">
        <v>45280</v>
      </c>
      <c r="C1318" s="92" t="n">
        <v>40.42</v>
      </c>
      <c r="D1318" s="92" t="n">
        <v>0</v>
      </c>
      <c r="E1318" s="92" t="inlineStr"/>
      <c r="F1318" s="92" t="inlineStr">
        <is>
          <t>UPI - Uber</t>
        </is>
      </c>
      <c r="G1318" s="34" t="n">
        <v>0.68</v>
      </c>
      <c r="H1318" s="92" t="inlineStr">
        <is>
          <t>Transport</t>
        </is>
      </c>
      <c r="I1318" s="92" t="inlineStr">
        <is>
          <t>FEDERAL 0847</t>
        </is>
      </c>
      <c r="J1318" s="92" t="inlineStr"/>
      <c r="K1318" s="92" t="inlineStr">
        <is>
          <t>UPIOUT/335421652239/uberrides@hdfcbank/cha
rg/5960</t>
        </is>
      </c>
      <c r="L1318" s="92" t="inlineStr">
        <is>
          <t>Federal Bank (Jupiter)</t>
        </is>
      </c>
      <c r="M1318" s="92" t="inlineStr"/>
    </row>
    <row r="1319">
      <c r="A1319" s="35" t="n">
        <v>45280</v>
      </c>
      <c r="B1319" s="35" t="n">
        <v>45280</v>
      </c>
      <c r="C1319" s="36" t="n">
        <v>100</v>
      </c>
      <c r="D1319" s="36" t="n">
        <v>0</v>
      </c>
      <c r="E1319" s="36" t="inlineStr"/>
      <c r="F1319" s="36" t="inlineStr">
        <is>
          <t>UPI - Paytm</t>
        </is>
      </c>
      <c r="G1319" s="34" t="n">
        <v>0.65</v>
      </c>
      <c r="H1319" s="36" t="inlineStr">
        <is>
          <t>Personal</t>
        </is>
      </c>
      <c r="I1319" s="36" t="inlineStr">
        <is>
          <t>FEDERAL 0847</t>
        </is>
      </c>
      <c r="J1319" s="36" t="inlineStr"/>
      <c r="K1319" s="36" t="inlineStr">
        <is>
          <t>UPIOUT/335468843331/paytmqr2810050501011ht
rr/5812</t>
        </is>
      </c>
      <c r="L1319" s="36" t="inlineStr">
        <is>
          <t>Federal Bank (Jupiter)</t>
        </is>
      </c>
      <c r="M1319" s="36" t="inlineStr"/>
    </row>
    <row r="1320">
      <c r="A1320" s="37" t="n">
        <v>45280</v>
      </c>
      <c r="B1320" s="37" t="n">
        <v>45280</v>
      </c>
      <c r="C1320" s="38" t="n">
        <v>100</v>
      </c>
      <c r="D1320" s="38" t="n">
        <v>0</v>
      </c>
      <c r="E1320" s="38" t="inlineStr"/>
      <c r="F1320" s="38" t="inlineStr">
        <is>
          <t>UPI Payment</t>
        </is>
      </c>
      <c r="G1320" s="25" t="n">
        <v>0.55</v>
      </c>
      <c r="H1320" s="38" t="inlineStr">
        <is>
          <t>Personal</t>
        </is>
      </c>
      <c r="I1320" s="38" t="inlineStr">
        <is>
          <t>FEDERAL 0847</t>
        </is>
      </c>
      <c r="J1320" s="38" t="inlineStr"/>
      <c r="K1320" s="38" t="inlineStr">
        <is>
          <t>UPIOUT/335476926122/9391599419@ybl/Sent
via /0000</t>
        </is>
      </c>
      <c r="L1320" s="38" t="inlineStr">
        <is>
          <t>Federal Bank (Jupiter)</t>
        </is>
      </c>
      <c r="M1320" s="38" t="inlineStr"/>
    </row>
    <row r="1321">
      <c r="A1321" s="37" t="n">
        <v>45280</v>
      </c>
      <c r="B1321" s="37" t="n">
        <v>45280</v>
      </c>
      <c r="C1321" s="38" t="n">
        <v>50</v>
      </c>
      <c r="D1321" s="38" t="n">
        <v>0</v>
      </c>
      <c r="E1321" s="38" t="inlineStr"/>
      <c r="F1321" s="38" t="inlineStr">
        <is>
          <t>UPI Payment</t>
        </is>
      </c>
      <c r="G1321" s="25" t="n">
        <v>0.55</v>
      </c>
      <c r="H1321" s="38" t="inlineStr">
        <is>
          <t>Personal</t>
        </is>
      </c>
      <c r="I1321" s="38" t="inlineStr">
        <is>
          <t>FEDERAL 0847</t>
        </is>
      </c>
      <c r="J1321" s="38" t="inlineStr"/>
      <c r="K1321" s="38" t="inlineStr">
        <is>
          <t>UPIOUT/335477929609/md7179219@okaxis/Sent
vi/0000</t>
        </is>
      </c>
      <c r="L1321" s="38" t="inlineStr">
        <is>
          <t>Federal Bank (Jupiter)</t>
        </is>
      </c>
      <c r="M1321" s="38" t="inlineStr"/>
    </row>
    <row r="1322">
      <c r="A1322" s="97" t="n">
        <v>45280</v>
      </c>
      <c r="B1322" s="97" t="n">
        <v>45280</v>
      </c>
      <c r="C1322" s="98" t="n">
        <v>833</v>
      </c>
      <c r="D1322" s="98" t="n">
        <v>0</v>
      </c>
      <c r="E1322" s="98" t="inlineStr"/>
      <c r="F1322" s="98" t="inlineStr">
        <is>
          <t>UPI - Swiggy</t>
        </is>
      </c>
      <c r="G1322" s="34" t="n">
        <v>0.68</v>
      </c>
      <c r="H1322" s="98" t="inlineStr">
        <is>
          <t>Food &amp; Dining</t>
        </is>
      </c>
      <c r="I1322" s="98" t="inlineStr">
        <is>
          <t>FEDERAL 0847</t>
        </is>
      </c>
      <c r="J1322" s="98" t="inlineStr"/>
      <c r="K1322" s="98" t="inlineStr">
        <is>
          <t>UPIOUT/335418918572/swiggy5@kotak/PayViaRa
zo/5814</t>
        </is>
      </c>
      <c r="L1322" s="98" t="inlineStr">
        <is>
          <t>Federal Bank (Jupiter)</t>
        </is>
      </c>
      <c r="M1322" s="98" t="inlineStr"/>
    </row>
    <row r="1323">
      <c r="A1323" s="35" t="n">
        <v>45280</v>
      </c>
      <c r="B1323" s="35" t="n">
        <v>45280</v>
      </c>
      <c r="C1323" s="36" t="n">
        <v>0</v>
      </c>
      <c r="D1323" s="36" t="n">
        <v>895</v>
      </c>
      <c r="E1323" s="36" t="inlineStr"/>
      <c r="F1323" s="36" t="inlineStr">
        <is>
          <t>UPI - Paytm</t>
        </is>
      </c>
      <c r="G1323" s="34" t="n">
        <v>0.65</v>
      </c>
      <c r="H1323" s="36" t="inlineStr">
        <is>
          <t>Personal</t>
        </is>
      </c>
      <c r="I1323" s="36" t="inlineStr">
        <is>
          <t>FEDERAL 0847</t>
        </is>
      </c>
      <c r="J1323" s="36" t="inlineStr"/>
      <c r="K1323" s="36" t="inlineStr">
        <is>
          <t>UPI IN/335443572042/paytm-651536@paytm/exp
re/0000</t>
        </is>
      </c>
      <c r="L1323" s="36" t="inlineStr">
        <is>
          <t>Federal Bank (Jupiter)</t>
        </is>
      </c>
      <c r="M1323" s="36" t="inlineStr"/>
    </row>
    <row r="1324">
      <c r="A1324" s="58" t="n">
        <v>45280</v>
      </c>
      <c r="B1324" s="58" t="n">
        <v>45280</v>
      </c>
      <c r="C1324" s="59" t="n">
        <v>100</v>
      </c>
      <c r="D1324" s="59" t="n">
        <v>0</v>
      </c>
      <c r="E1324" s="59" t="inlineStr"/>
      <c r="F1324" s="59" t="inlineStr">
        <is>
          <t>MF Investment</t>
        </is>
      </c>
      <c r="G1324" s="18" t="n">
        <v>0.88</v>
      </c>
      <c r="H1324" s="59" t="inlineStr">
        <is>
          <t>Investments</t>
        </is>
      </c>
      <c r="I1324" s="59" t="inlineStr">
        <is>
          <t>FEDERAL 0847</t>
        </is>
      </c>
      <c r="J1324" s="59" t="inlineStr"/>
      <c r="K1324" s="59" t="inlineStr">
        <is>
          <t>NFT/NEOSIEXEDDD2023122012312254146 NAVI
Mutual Fun</t>
        </is>
      </c>
      <c r="L1324" s="59" t="inlineStr">
        <is>
          <t>Federal Bank (Jupiter)</t>
        </is>
      </c>
      <c r="M1324" s="59" t="inlineStr"/>
    </row>
    <row r="1325">
      <c r="A1325" s="54" t="n">
        <v>45281</v>
      </c>
      <c r="B1325" s="54" t="n">
        <v>45281</v>
      </c>
      <c r="C1325" s="55" t="n">
        <v>0</v>
      </c>
      <c r="D1325" s="55" t="n">
        <v>47174.26</v>
      </c>
      <c r="E1325" s="55" t="inlineStr"/>
      <c r="F1325" s="55" t="inlineStr">
        <is>
          <t>HDFC Securities - Sell</t>
        </is>
      </c>
      <c r="G1325" s="18" t="n">
        <v>0.97</v>
      </c>
      <c r="H1325" s="55" t="inlineStr">
        <is>
          <t>HDFC Securities</t>
        </is>
      </c>
      <c r="I1325" s="55" t="inlineStr">
        <is>
          <t>HDFC 5413</t>
        </is>
      </c>
      <c r="J1325" s="55" t="inlineStr"/>
      <c r="K1325" s="55" t="inlineStr">
        <is>
          <t>NET PO FROM HSL A/C 2554606-50200085415108</t>
        </is>
      </c>
      <c r="L1325" s="55" t="inlineStr">
        <is>
          <t>HDFC Bank</t>
        </is>
      </c>
      <c r="M1325" s="55" t="inlineStr"/>
    </row>
    <row r="1326">
      <c r="A1326" s="54" t="n">
        <v>45281</v>
      </c>
      <c r="B1326" s="54" t="n">
        <v>45281</v>
      </c>
      <c r="C1326" s="55" t="n">
        <v>0</v>
      </c>
      <c r="D1326" s="55" t="n">
        <v>38358.06</v>
      </c>
      <c r="E1326" s="55" t="inlineStr"/>
      <c r="F1326" s="55" t="inlineStr">
        <is>
          <t>HDFC Securities - Sell</t>
        </is>
      </c>
      <c r="G1326" s="18" t="n">
        <v>0.97</v>
      </c>
      <c r="H1326" s="55" t="inlineStr">
        <is>
          <t>HDFC Securities</t>
        </is>
      </c>
      <c r="I1326" s="55" t="inlineStr">
        <is>
          <t>HDFC 5413</t>
        </is>
      </c>
      <c r="J1326" s="55" t="inlineStr"/>
      <c r="K1326" s="55" t="inlineStr">
        <is>
          <t>NET PO FROM HSL A/C 2554606-50200085415108</t>
        </is>
      </c>
      <c r="L1326" s="55" t="inlineStr">
        <is>
          <t>HDFC Bank</t>
        </is>
      </c>
      <c r="M1326" s="55" t="inlineStr"/>
    </row>
    <row r="1327">
      <c r="A1327" s="41" t="n">
        <v>45281</v>
      </c>
      <c r="B1327" s="41" t="n">
        <v>45281</v>
      </c>
      <c r="C1327" s="42" t="n">
        <v>167.69</v>
      </c>
      <c r="D1327" s="42" t="n">
        <v>0</v>
      </c>
      <c r="E1327" s="42" t="inlineStr"/>
      <c r="F1327" s="42" t="inlineStr">
        <is>
          <t>HDFC Securities - Buy</t>
        </is>
      </c>
      <c r="G1327" s="18" t="n">
        <v>0.97</v>
      </c>
      <c r="H1327" s="42" t="inlineStr">
        <is>
          <t>HDFC Securities</t>
        </is>
      </c>
      <c r="I1327" s="42" t="inlineStr">
        <is>
          <t>HDFC 5413</t>
        </is>
      </c>
      <c r="J1327" s="42" t="inlineStr"/>
      <c r="K1327" s="42" t="inlineStr">
        <is>
          <t>NET PI TO HSL SEC A/C 2554606-00602340029427</t>
        </is>
      </c>
      <c r="L1327" s="42" t="inlineStr">
        <is>
          <t>HDFC Bank</t>
        </is>
      </c>
      <c r="M1327" s="42" t="inlineStr"/>
    </row>
    <row r="1328">
      <c r="A1328" s="41" t="n">
        <v>45281</v>
      </c>
      <c r="B1328" s="41" t="n">
        <v>45281</v>
      </c>
      <c r="C1328" s="42" t="n">
        <v>1624.73</v>
      </c>
      <c r="D1328" s="42" t="n">
        <v>0</v>
      </c>
      <c r="E1328" s="42" t="inlineStr"/>
      <c r="F1328" s="42" t="inlineStr">
        <is>
          <t>HDFC Securities - Buy</t>
        </is>
      </c>
      <c r="G1328" s="18" t="n">
        <v>0.97</v>
      </c>
      <c r="H1328" s="42" t="inlineStr">
        <is>
          <t>HDFC Securities</t>
        </is>
      </c>
      <c r="I1328" s="42" t="inlineStr">
        <is>
          <t>HDFC 5413</t>
        </is>
      </c>
      <c r="J1328" s="42" t="inlineStr"/>
      <c r="K1328" s="42" t="inlineStr">
        <is>
          <t>NET PI TO HSL SEC A/C 2554606-00602340029427</t>
        </is>
      </c>
      <c r="L1328" s="42" t="inlineStr">
        <is>
          <t>HDFC Bank</t>
        </is>
      </c>
      <c r="M1328" s="42" t="inlineStr"/>
    </row>
    <row r="1329">
      <c r="A1329" s="37" t="n">
        <v>45281</v>
      </c>
      <c r="B1329" s="37" t="n">
        <v>45281</v>
      </c>
      <c r="C1329" s="38" t="n">
        <v>40</v>
      </c>
      <c r="D1329" s="38" t="n">
        <v>0</v>
      </c>
      <c r="E1329" s="38" t="inlineStr"/>
      <c r="F1329" s="38" t="inlineStr">
        <is>
          <t>UPI Payment</t>
        </is>
      </c>
      <c r="G1329" s="25" t="n">
        <v>0.55</v>
      </c>
      <c r="H1329" s="38" t="inlineStr">
        <is>
          <t>Personal</t>
        </is>
      </c>
      <c r="I1329" s="38" t="inlineStr">
        <is>
          <t>FEDERAL 0847</t>
        </is>
      </c>
      <c r="J1329" s="38" t="inlineStr"/>
      <c r="K1329" s="38" t="inlineStr">
        <is>
          <t>UPIOUT/335586825201/Q780515718@ybl/Sent
via /5814</t>
        </is>
      </c>
      <c r="L1329" s="38" t="inlineStr">
        <is>
          <t>Federal Bank (Jupiter)</t>
        </is>
      </c>
      <c r="M1329" s="38" t="inlineStr"/>
    </row>
    <row r="1330">
      <c r="A1330" s="58" t="n">
        <v>45281</v>
      </c>
      <c r="B1330" s="58" t="n">
        <v>45281</v>
      </c>
      <c r="C1330" s="59" t="n">
        <v>100</v>
      </c>
      <c r="D1330" s="59" t="n">
        <v>0</v>
      </c>
      <c r="E1330" s="59" t="inlineStr"/>
      <c r="F1330" s="59" t="inlineStr">
        <is>
          <t>MF Investment</t>
        </is>
      </c>
      <c r="G1330" s="18" t="n">
        <v>0.88</v>
      </c>
      <c r="H1330" s="59" t="inlineStr">
        <is>
          <t>Investments</t>
        </is>
      </c>
      <c r="I1330" s="59" t="inlineStr">
        <is>
          <t>FEDERAL 0847</t>
        </is>
      </c>
      <c r="J1330" s="59" t="inlineStr"/>
      <c r="K1330" s="59" t="inlineStr">
        <is>
          <t>NFT/NEOSIEXEDDD2023122112312568136 NAVI
Mutual Fun</t>
        </is>
      </c>
      <c r="L1330" s="59" t="inlineStr">
        <is>
          <t>Federal Bank (Jupiter)</t>
        </is>
      </c>
      <c r="M1330" s="59" t="inlineStr"/>
    </row>
    <row r="1331">
      <c r="A1331" s="58" t="n">
        <v>45281</v>
      </c>
      <c r="B1331" s="58" t="n">
        <v>45281</v>
      </c>
      <c r="C1331" s="59" t="n">
        <v>1000</v>
      </c>
      <c r="D1331" s="59" t="n">
        <v>0</v>
      </c>
      <c r="E1331" s="59" t="inlineStr"/>
      <c r="F1331" s="59" t="inlineStr">
        <is>
          <t>MF Investment</t>
        </is>
      </c>
      <c r="G1331" s="18" t="n">
        <v>0.88</v>
      </c>
      <c r="H1331" s="59" t="inlineStr">
        <is>
          <t>Investments</t>
        </is>
      </c>
      <c r="I1331" s="59" t="inlineStr">
        <is>
          <t>FEDERAL 0847</t>
        </is>
      </c>
      <c r="J1331" s="59" t="inlineStr"/>
      <c r="K1331" s="59" t="inlineStr">
        <is>
          <t>NFT/NEOSIEXEDDD2023122102304265647 Mirae
Asset Mut</t>
        </is>
      </c>
      <c r="L1331" s="59" t="inlineStr">
        <is>
          <t>Federal Bank (Jupiter)</t>
        </is>
      </c>
      <c r="M1331" s="59" t="inlineStr">
        <is>
          <t>⚠ Possible Duplicate</t>
        </is>
      </c>
    </row>
    <row r="1332">
      <c r="A1332" s="58" t="n">
        <v>45281</v>
      </c>
      <c r="B1332" s="58" t="n">
        <v>45281</v>
      </c>
      <c r="C1332" s="59" t="n">
        <v>1000</v>
      </c>
      <c r="D1332" s="59" t="n">
        <v>0</v>
      </c>
      <c r="E1332" s="59" t="inlineStr"/>
      <c r="F1332" s="59" t="inlineStr">
        <is>
          <t>MF Investment</t>
        </is>
      </c>
      <c r="G1332" s="18" t="n">
        <v>0.88</v>
      </c>
      <c r="H1332" s="59" t="inlineStr">
        <is>
          <t>Investments</t>
        </is>
      </c>
      <c r="I1332" s="59" t="inlineStr">
        <is>
          <t>FEDERAL 0847</t>
        </is>
      </c>
      <c r="J1332" s="59" t="inlineStr"/>
      <c r="K1332" s="59" t="inlineStr">
        <is>
          <t>NFT/NEOSIEXEDDD2023122103002683353 Quant
Mutual Fu</t>
        </is>
      </c>
      <c r="L1332" s="59" t="inlineStr">
        <is>
          <t>Federal Bank (Jupiter)</t>
        </is>
      </c>
      <c r="M1332" s="59" t="inlineStr">
        <is>
          <t>⚠ Possible Duplicate</t>
        </is>
      </c>
    </row>
    <row r="1333">
      <c r="A1333" s="37" t="n">
        <v>45281</v>
      </c>
      <c r="B1333" s="37" t="n">
        <v>45281</v>
      </c>
      <c r="C1333" s="38" t="n">
        <v>100</v>
      </c>
      <c r="D1333" s="38" t="n">
        <v>0</v>
      </c>
      <c r="E1333" s="38" t="inlineStr"/>
      <c r="F1333" s="38" t="inlineStr">
        <is>
          <t>UPI Payment</t>
        </is>
      </c>
      <c r="G1333" s="25" t="n">
        <v>0.55</v>
      </c>
      <c r="H1333" s="38" t="inlineStr">
        <is>
          <t>Personal</t>
        </is>
      </c>
      <c r="I1333" s="38" t="inlineStr">
        <is>
          <t>FEDERAL 0847</t>
        </is>
      </c>
      <c r="J1333" s="38" t="inlineStr"/>
      <c r="K1333" s="38" t="inlineStr">
        <is>
          <t>UPIOUT/335580614536/8179554361@ibl/Sent
via /0000</t>
        </is>
      </c>
      <c r="L1333" s="38" t="inlineStr">
        <is>
          <t>Federal Bank (Jupiter)</t>
        </is>
      </c>
      <c r="M1333" s="38" t="inlineStr"/>
    </row>
    <row r="1334">
      <c r="A1334" s="35" t="n">
        <v>45281</v>
      </c>
      <c r="B1334" s="35" t="n">
        <v>45281</v>
      </c>
      <c r="C1334" s="36" t="n">
        <v>33</v>
      </c>
      <c r="D1334" s="36" t="n">
        <v>0</v>
      </c>
      <c r="E1334" s="36" t="inlineStr"/>
      <c r="F1334" s="36" t="inlineStr">
        <is>
          <t>UPI - Paytm</t>
        </is>
      </c>
      <c r="G1334" s="34" t="n">
        <v>0.65</v>
      </c>
      <c r="H1334" s="36" t="inlineStr">
        <is>
          <t>Personal</t>
        </is>
      </c>
      <c r="I1334" s="36" t="inlineStr">
        <is>
          <t>FEDERAL 0847</t>
        </is>
      </c>
      <c r="J1334" s="36" t="inlineStr"/>
      <c r="K1334" s="36" t="inlineStr">
        <is>
          <t>UPIOUT/335586445145/paytm-76881028@paytm/S
en/4121</t>
        </is>
      </c>
      <c r="L1334" s="36" t="inlineStr">
        <is>
          <t>Federal Bank (Jupiter)</t>
        </is>
      </c>
      <c r="M1334" s="36" t="inlineStr"/>
    </row>
    <row r="1335">
      <c r="A1335" s="93" t="n">
        <v>45281</v>
      </c>
      <c r="B1335" s="93" t="n">
        <v>45281</v>
      </c>
      <c r="C1335" s="94" t="n">
        <v>75</v>
      </c>
      <c r="D1335" s="94" t="n">
        <v>0</v>
      </c>
      <c r="E1335" s="94" t="inlineStr"/>
      <c r="F1335" s="94" t="inlineStr">
        <is>
          <t>UPI - Google Pay</t>
        </is>
      </c>
      <c r="G1335" s="34" t="n">
        <v>0.65</v>
      </c>
      <c r="H1335" s="94" t="inlineStr">
        <is>
          <t>Personal</t>
        </is>
      </c>
      <c r="I1335" s="94" t="inlineStr">
        <is>
          <t>FEDERAL 0847</t>
        </is>
      </c>
      <c r="J1335" s="94" t="inlineStr"/>
      <c r="K1335" s="94" t="inlineStr">
        <is>
          <t>UPIOUT/335587052689/gpay-11232719093@okbiz
ax/4215</t>
        </is>
      </c>
      <c r="L1335" s="94" t="inlineStr">
        <is>
          <t>Federal Bank (Jupiter)</t>
        </is>
      </c>
      <c r="M1335" s="94" t="inlineStr"/>
    </row>
    <row r="1336">
      <c r="A1336" s="35" t="n">
        <v>45282</v>
      </c>
      <c r="B1336" s="35" t="n">
        <v>45282</v>
      </c>
      <c r="C1336" s="36" t="n">
        <v>60</v>
      </c>
      <c r="D1336" s="36" t="n">
        <v>0</v>
      </c>
      <c r="E1336" s="36" t="inlineStr"/>
      <c r="F1336" s="36" t="inlineStr">
        <is>
          <t>UPI - Paytm</t>
        </is>
      </c>
      <c r="G1336" s="34" t="n">
        <v>0.65</v>
      </c>
      <c r="H1336" s="36" t="inlineStr">
        <is>
          <t>Personal</t>
        </is>
      </c>
      <c r="I1336" s="36" t="inlineStr">
        <is>
          <t>FEDERAL 0847</t>
        </is>
      </c>
      <c r="J1336" s="36" t="inlineStr"/>
      <c r="K1336" s="36" t="inlineStr">
        <is>
          <t>UPIOUT/335696622010/paytmqri5ciai3vuc@payt
m//5812</t>
        </is>
      </c>
      <c r="L1336" s="36" t="inlineStr">
        <is>
          <t>Federal Bank (Jupiter)</t>
        </is>
      </c>
      <c r="M1336" s="36" t="inlineStr"/>
    </row>
    <row r="1337">
      <c r="A1337" s="35" t="n">
        <v>45282</v>
      </c>
      <c r="B1337" s="35" t="n">
        <v>45282</v>
      </c>
      <c r="C1337" s="36" t="n">
        <v>120</v>
      </c>
      <c r="D1337" s="36" t="n">
        <v>0</v>
      </c>
      <c r="E1337" s="36" t="inlineStr"/>
      <c r="F1337" s="36" t="inlineStr">
        <is>
          <t>UPI - Paytm</t>
        </is>
      </c>
      <c r="G1337" s="34" t="n">
        <v>0.65</v>
      </c>
      <c r="H1337" s="36" t="inlineStr">
        <is>
          <t>Personal</t>
        </is>
      </c>
      <c r="I1337" s="36" t="inlineStr">
        <is>
          <t>FEDERAL 0847</t>
        </is>
      </c>
      <c r="J1337" s="36" t="inlineStr"/>
      <c r="K1337" s="36" t="inlineStr">
        <is>
          <t>UPIOUT/335697308444/paytmqr281005050101w32
ji/5912</t>
        </is>
      </c>
      <c r="L1337" s="36" t="inlineStr">
        <is>
          <t>Federal Bank (Jupiter)</t>
        </is>
      </c>
      <c r="M1337" s="36" t="inlineStr"/>
    </row>
    <row r="1338">
      <c r="A1338" s="35" t="n">
        <v>45282</v>
      </c>
      <c r="B1338" s="35" t="n">
        <v>45282</v>
      </c>
      <c r="C1338" s="36" t="n">
        <v>70</v>
      </c>
      <c r="D1338" s="36" t="n">
        <v>0</v>
      </c>
      <c r="E1338" s="36" t="inlineStr"/>
      <c r="F1338" s="36" t="inlineStr">
        <is>
          <t>UPI - Paytm</t>
        </is>
      </c>
      <c r="G1338" s="34" t="n">
        <v>0.65</v>
      </c>
      <c r="H1338" s="36" t="inlineStr">
        <is>
          <t>Personal</t>
        </is>
      </c>
      <c r="I1338" s="36" t="inlineStr">
        <is>
          <t>FEDERAL 0847</t>
        </is>
      </c>
      <c r="J1338" s="36" t="inlineStr"/>
      <c r="K1338" s="36" t="inlineStr">
        <is>
          <t>UPIOUT/335696527659/paytmqr281005050101ac5
gq/5812</t>
        </is>
      </c>
      <c r="L1338" s="36" t="inlineStr">
        <is>
          <t>Federal Bank (Jupiter)</t>
        </is>
      </c>
      <c r="M1338" s="36" t="inlineStr"/>
    </row>
    <row r="1339">
      <c r="A1339" s="35" t="n">
        <v>45282</v>
      </c>
      <c r="B1339" s="35" t="n">
        <v>45282</v>
      </c>
      <c r="C1339" s="36" t="n">
        <v>100</v>
      </c>
      <c r="D1339" s="36" t="n">
        <v>0</v>
      </c>
      <c r="E1339" s="36" t="inlineStr"/>
      <c r="F1339" s="36" t="inlineStr">
        <is>
          <t>UPI - Paytm</t>
        </is>
      </c>
      <c r="G1339" s="34" t="n">
        <v>0.65</v>
      </c>
      <c r="H1339" s="36" t="inlineStr">
        <is>
          <t>Personal</t>
        </is>
      </c>
      <c r="I1339" s="36" t="inlineStr">
        <is>
          <t>FEDERAL 0847</t>
        </is>
      </c>
      <c r="J1339" s="36" t="inlineStr"/>
      <c r="K1339" s="36" t="inlineStr">
        <is>
          <t>UPIOUT/335696239664/paytmqr281005050101ec4
sp/5912</t>
        </is>
      </c>
      <c r="L1339" s="36" t="inlineStr">
        <is>
          <t>Federal Bank (Jupiter)</t>
        </is>
      </c>
      <c r="M1339" s="36" t="inlineStr">
        <is>
          <t>⚠ Possible Duplicate</t>
        </is>
      </c>
    </row>
    <row r="1340">
      <c r="A1340" s="21" t="n">
        <v>45282</v>
      </c>
      <c r="B1340" s="21" t="n">
        <v>45282</v>
      </c>
      <c r="C1340" s="22" t="n">
        <v>29</v>
      </c>
      <c r="D1340" s="22" t="n">
        <v>0</v>
      </c>
      <c r="E1340" s="22" t="inlineStr"/>
      <c r="F1340" s="22" t="inlineStr">
        <is>
          <t>UPI - Rapido</t>
        </is>
      </c>
      <c r="G1340" s="34" t="n">
        <v>0.68</v>
      </c>
      <c r="H1340" s="22" t="inlineStr">
        <is>
          <t>Transport</t>
        </is>
      </c>
      <c r="I1340" s="22" t="inlineStr">
        <is>
          <t>FEDERAL 0847</t>
        </is>
      </c>
      <c r="J1340" s="22" t="inlineStr"/>
      <c r="K1340" s="22" t="inlineStr">
        <is>
          <t>UPIOUT/335695757687/rapido.rzp@icici/Payme
nt/4121</t>
        </is>
      </c>
      <c r="L1340" s="22" t="inlineStr">
        <is>
          <t>Federal Bank (Jupiter)</t>
        </is>
      </c>
      <c r="M1340" s="22" t="inlineStr"/>
    </row>
    <row r="1341">
      <c r="A1341" s="35" t="n">
        <v>45282</v>
      </c>
      <c r="B1341" s="35" t="n">
        <v>45282</v>
      </c>
      <c r="C1341" s="36" t="n">
        <v>100</v>
      </c>
      <c r="D1341" s="36" t="n">
        <v>0</v>
      </c>
      <c r="E1341" s="36" t="inlineStr"/>
      <c r="F1341" s="36" t="inlineStr">
        <is>
          <t>UPI - Paytm</t>
        </is>
      </c>
      <c r="G1341" s="34" t="n">
        <v>0.65</v>
      </c>
      <c r="H1341" s="36" t="inlineStr">
        <is>
          <t>Personal</t>
        </is>
      </c>
      <c r="I1341" s="36" t="inlineStr">
        <is>
          <t>FEDERAL 0847</t>
        </is>
      </c>
      <c r="J1341" s="36" t="inlineStr"/>
      <c r="K1341" s="36" t="inlineStr">
        <is>
          <t>UPIOUT/335690294618/paytmqr1kmef7abcr@payt
m//7407</t>
        </is>
      </c>
      <c r="L1341" s="36" t="inlineStr">
        <is>
          <t>Federal Bank (Jupiter)</t>
        </is>
      </c>
      <c r="M1341" s="36" t="inlineStr">
        <is>
          <t>⚠ Possible Duplicate</t>
        </is>
      </c>
    </row>
    <row r="1342">
      <c r="A1342" s="58" t="n">
        <v>45282</v>
      </c>
      <c r="B1342" s="58" t="n">
        <v>45282</v>
      </c>
      <c r="C1342" s="59" t="n">
        <v>100</v>
      </c>
      <c r="D1342" s="59" t="n">
        <v>0</v>
      </c>
      <c r="E1342" s="59" t="inlineStr"/>
      <c r="F1342" s="59" t="inlineStr">
        <is>
          <t>MF Investment</t>
        </is>
      </c>
      <c r="G1342" s="18" t="n">
        <v>0.88</v>
      </c>
      <c r="H1342" s="59" t="inlineStr">
        <is>
          <t>Investments</t>
        </is>
      </c>
      <c r="I1342" s="59" t="inlineStr">
        <is>
          <t>FEDERAL 0847</t>
        </is>
      </c>
      <c r="J1342" s="59" t="inlineStr"/>
      <c r="K1342" s="59" t="inlineStr">
        <is>
          <t>NFT/NEOSIEXEDDD2023122212303073095 NAVI
Mutual Fun</t>
        </is>
      </c>
      <c r="L1342" s="59" t="inlineStr">
        <is>
          <t>Federal Bank (Jupiter)</t>
        </is>
      </c>
      <c r="M1342" s="59" t="inlineStr"/>
    </row>
    <row r="1343">
      <c r="A1343" s="41" t="n">
        <v>45282</v>
      </c>
      <c r="B1343" s="41" t="n">
        <v>45282</v>
      </c>
      <c r="C1343" s="42" t="n">
        <v>137.1</v>
      </c>
      <c r="D1343" s="42" t="n">
        <v>0</v>
      </c>
      <c r="E1343" s="42" t="inlineStr"/>
      <c r="F1343" s="42" t="inlineStr">
        <is>
          <t>HDFC Securities - Buy</t>
        </is>
      </c>
      <c r="G1343" s="18" t="n">
        <v>0.97</v>
      </c>
      <c r="H1343" s="42" t="inlineStr">
        <is>
          <t>HDFC Securities</t>
        </is>
      </c>
      <c r="I1343" s="42" t="inlineStr">
        <is>
          <t>HDFC 5413</t>
        </is>
      </c>
      <c r="J1343" s="42" t="inlineStr"/>
      <c r="K1343" s="42" t="inlineStr">
        <is>
          <t>NET PI TO HSL SEC A/C 2554606-00602340029427</t>
        </is>
      </c>
      <c r="L1343" s="42" t="inlineStr">
        <is>
          <t>HDFC Bank</t>
        </is>
      </c>
      <c r="M1343" s="42" t="inlineStr"/>
    </row>
    <row r="1344">
      <c r="A1344" s="41" t="n">
        <v>45282</v>
      </c>
      <c r="B1344" s="41" t="n">
        <v>45282</v>
      </c>
      <c r="C1344" s="42" t="n">
        <v>43088.45</v>
      </c>
      <c r="D1344" s="42" t="n">
        <v>0</v>
      </c>
      <c r="E1344" s="42" t="inlineStr"/>
      <c r="F1344" s="42" t="inlineStr">
        <is>
          <t>HDFC Securities - Buy</t>
        </is>
      </c>
      <c r="G1344" s="18" t="n">
        <v>0.97</v>
      </c>
      <c r="H1344" s="42" t="inlineStr">
        <is>
          <t>HDFC Securities</t>
        </is>
      </c>
      <c r="I1344" s="42" t="inlineStr">
        <is>
          <t>HDFC 5413</t>
        </is>
      </c>
      <c r="J1344" s="42" t="inlineStr"/>
      <c r="K1344" s="42" t="inlineStr">
        <is>
          <t>NET PI TO HSL SEC A/C 2554606-00602340029427</t>
        </is>
      </c>
      <c r="L1344" s="42" t="inlineStr">
        <is>
          <t>HDFC Bank</t>
        </is>
      </c>
      <c r="M1344" s="42" t="inlineStr"/>
    </row>
    <row r="1345">
      <c r="A1345" s="30" t="n">
        <v>45283</v>
      </c>
      <c r="B1345" s="30" t="n">
        <v>45282</v>
      </c>
      <c r="C1345" s="31" t="n">
        <v>0</v>
      </c>
      <c r="D1345" s="31" t="n">
        <v>219</v>
      </c>
      <c r="E1345" s="31" t="inlineStr"/>
      <c r="F1345" s="31" t="inlineStr">
        <is>
          <t>Bank Interest</t>
        </is>
      </c>
      <c r="G1345" s="18" t="n">
        <v>0.96</v>
      </c>
      <c r="H1345" s="31" t="inlineStr">
        <is>
          <t>Bank Interest</t>
        </is>
      </c>
      <c r="I1345" s="31" t="inlineStr">
        <is>
          <t>FEDERAL 0847</t>
        </is>
      </c>
      <c r="J1345" s="31" t="inlineStr"/>
      <c r="K1345" s="31" t="inlineStr">
        <is>
          <t>SBINT:23-09-2023 to
22-12-2023[77770101840847]</t>
        </is>
      </c>
      <c r="L1345" s="31" t="inlineStr">
        <is>
          <t>Federal Bank (Jupiter)</t>
        </is>
      </c>
      <c r="M1345" s="31" t="inlineStr"/>
    </row>
    <row r="1346">
      <c r="A1346" s="35" t="n">
        <v>45283</v>
      </c>
      <c r="B1346" s="35" t="n">
        <v>45283</v>
      </c>
      <c r="C1346" s="36" t="n">
        <v>60</v>
      </c>
      <c r="D1346" s="36" t="n">
        <v>0</v>
      </c>
      <c r="E1346" s="36" t="inlineStr"/>
      <c r="F1346" s="36" t="inlineStr">
        <is>
          <t>UPI - Paytm</t>
        </is>
      </c>
      <c r="G1346" s="34" t="n">
        <v>0.65</v>
      </c>
      <c r="H1346" s="36" t="inlineStr">
        <is>
          <t>Personal</t>
        </is>
      </c>
      <c r="I1346" s="36" t="inlineStr">
        <is>
          <t>FEDERAL 0847</t>
        </is>
      </c>
      <c r="J1346" s="36" t="inlineStr"/>
      <c r="K1346" s="36" t="inlineStr">
        <is>
          <t>UPIOUT/335710145424/paytmqr1l47y8otva@payt
m//5411</t>
        </is>
      </c>
      <c r="L1346" s="36" t="inlineStr">
        <is>
          <t>Federal Bank (Jupiter)</t>
        </is>
      </c>
      <c r="M1346" s="36" t="inlineStr"/>
    </row>
    <row r="1347">
      <c r="A1347" s="37" t="n">
        <v>45283</v>
      </c>
      <c r="B1347" s="37" t="n">
        <v>45283</v>
      </c>
      <c r="C1347" s="38" t="n">
        <v>15</v>
      </c>
      <c r="D1347" s="38" t="n">
        <v>0</v>
      </c>
      <c r="E1347" s="38" t="inlineStr"/>
      <c r="F1347" s="38" t="inlineStr">
        <is>
          <t>UPI Payment</t>
        </is>
      </c>
      <c r="G1347" s="25" t="n">
        <v>0.55</v>
      </c>
      <c r="H1347" s="38" t="inlineStr">
        <is>
          <t>Personal</t>
        </is>
      </c>
      <c r="I1347" s="38" t="inlineStr">
        <is>
          <t>FEDERAL 0847</t>
        </is>
      </c>
      <c r="J1347" s="38" t="inlineStr"/>
      <c r="K1347" s="38" t="inlineStr">
        <is>
          <t>UPIOUT/335710332853/Q884724626@ybl/Sent
via /5812</t>
        </is>
      </c>
      <c r="L1347" s="38" t="inlineStr">
        <is>
          <t>Federal Bank (Jupiter)</t>
        </is>
      </c>
      <c r="M1347" s="38" t="inlineStr"/>
    </row>
    <row r="1348">
      <c r="A1348" s="35" t="n">
        <v>45283</v>
      </c>
      <c r="B1348" s="35" t="n">
        <v>45283</v>
      </c>
      <c r="C1348" s="36" t="n">
        <v>264</v>
      </c>
      <c r="D1348" s="36" t="n">
        <v>0</v>
      </c>
      <c r="E1348" s="36" t="inlineStr"/>
      <c r="F1348" s="36" t="inlineStr">
        <is>
          <t>UPI - Paytm</t>
        </is>
      </c>
      <c r="G1348" s="34" t="n">
        <v>0.65</v>
      </c>
      <c r="H1348" s="36" t="inlineStr">
        <is>
          <t>Personal</t>
        </is>
      </c>
      <c r="I1348" s="36" t="inlineStr">
        <is>
          <t>FEDERAL 0847</t>
        </is>
      </c>
      <c r="J1348" s="36" t="inlineStr"/>
      <c r="K1348" s="36" t="inlineStr">
        <is>
          <t>UPIOUT/335712479969/paytmqr1rwdf0o4v1@payt
m//5812</t>
        </is>
      </c>
      <c r="L1348" s="36" t="inlineStr">
        <is>
          <t>Federal Bank (Jupiter)</t>
        </is>
      </c>
      <c r="M1348" s="36" t="inlineStr"/>
    </row>
    <row r="1349">
      <c r="A1349" s="37" t="n">
        <v>45284</v>
      </c>
      <c r="B1349" s="37" t="n">
        <v>45284</v>
      </c>
      <c r="C1349" s="38" t="n">
        <v>40</v>
      </c>
      <c r="D1349" s="38" t="n">
        <v>0</v>
      </c>
      <c r="E1349" s="38" t="inlineStr"/>
      <c r="F1349" s="38" t="inlineStr">
        <is>
          <t>UPI Payment</t>
        </is>
      </c>
      <c r="G1349" s="25" t="n">
        <v>0.55</v>
      </c>
      <c r="H1349" s="38" t="inlineStr">
        <is>
          <t>Personal</t>
        </is>
      </c>
      <c r="I1349" s="38" t="inlineStr">
        <is>
          <t>FEDERAL 0847</t>
        </is>
      </c>
      <c r="J1349" s="38" t="inlineStr"/>
      <c r="K1349" s="38" t="inlineStr">
        <is>
          <t>UPIOUT/335816954430/Q402731021@ybl/Sent
via /5812</t>
        </is>
      </c>
      <c r="L1349" s="38" t="inlineStr">
        <is>
          <t>Federal Bank (Jupiter)</t>
        </is>
      </c>
      <c r="M1349" s="38" t="inlineStr"/>
    </row>
    <row r="1350">
      <c r="A1350" s="21" t="n">
        <v>45284</v>
      </c>
      <c r="B1350" s="21" t="n">
        <v>45284</v>
      </c>
      <c r="C1350" s="22" t="n">
        <v>983.6</v>
      </c>
      <c r="D1350" s="22" t="n">
        <v>0</v>
      </c>
      <c r="E1350" s="22" t="inlineStr"/>
      <c r="F1350" s="22" t="inlineStr">
        <is>
          <t>UPI - IRCTC</t>
        </is>
      </c>
      <c r="G1350" s="18" t="n">
        <v>0.88</v>
      </c>
      <c r="H1350" s="22" t="inlineStr">
        <is>
          <t>Travel</t>
        </is>
      </c>
      <c r="I1350" s="22" t="inlineStr">
        <is>
          <t>FEDERAL 0847</t>
        </is>
      </c>
      <c r="J1350" s="22" t="inlineStr"/>
      <c r="K1350" s="22" t="inlineStr">
        <is>
          <t>UPIOUT/335832822889/irctc.cf@hdfcbank/IRCT
C /4722</t>
        </is>
      </c>
      <c r="L1350" s="22" t="inlineStr">
        <is>
          <t>Federal Bank (Jupiter)</t>
        </is>
      </c>
      <c r="M1350" s="22" t="inlineStr">
        <is>
          <t>⚠ Possible Duplicate</t>
        </is>
      </c>
    </row>
    <row r="1351">
      <c r="A1351" s="35" t="n">
        <v>45284</v>
      </c>
      <c r="B1351" s="35" t="n">
        <v>45284</v>
      </c>
      <c r="C1351" s="36" t="n">
        <v>25</v>
      </c>
      <c r="D1351" s="36" t="n">
        <v>0</v>
      </c>
      <c r="E1351" s="36" t="inlineStr"/>
      <c r="F1351" s="36" t="inlineStr">
        <is>
          <t>UPI - Paytm</t>
        </is>
      </c>
      <c r="G1351" s="34" t="n">
        <v>0.65</v>
      </c>
      <c r="H1351" s="36" t="inlineStr">
        <is>
          <t>Personal</t>
        </is>
      </c>
      <c r="I1351" s="36" t="inlineStr">
        <is>
          <t>FEDERAL 0847</t>
        </is>
      </c>
      <c r="J1351" s="36" t="inlineStr"/>
      <c r="K1351" s="36" t="inlineStr">
        <is>
          <t>UPIOUT/335817011245/paytmqr1vkus7yoxi@payt
m//5812</t>
        </is>
      </c>
      <c r="L1351" s="36" t="inlineStr">
        <is>
          <t>Federal Bank (Jupiter)</t>
        </is>
      </c>
      <c r="M1351" s="36" t="inlineStr"/>
    </row>
    <row r="1352">
      <c r="A1352" s="21" t="n">
        <v>45284</v>
      </c>
      <c r="B1352" s="21" t="n">
        <v>45284</v>
      </c>
      <c r="C1352" s="22" t="n">
        <v>983.6</v>
      </c>
      <c r="D1352" s="22" t="n">
        <v>0</v>
      </c>
      <c r="E1352" s="22" t="inlineStr"/>
      <c r="F1352" s="22" t="inlineStr">
        <is>
          <t>UPI - IRCTC</t>
        </is>
      </c>
      <c r="G1352" s="18" t="n">
        <v>0.88</v>
      </c>
      <c r="H1352" s="22" t="inlineStr">
        <is>
          <t>Travel</t>
        </is>
      </c>
      <c r="I1352" s="22" t="inlineStr">
        <is>
          <t>FEDERAL 0847</t>
        </is>
      </c>
      <c r="J1352" s="22" t="inlineStr"/>
      <c r="K1352" s="22" t="inlineStr">
        <is>
          <t>UPIOUT/335832830420/irctc.cf@hdfcbank/IRCT
C /4722</t>
        </is>
      </c>
      <c r="L1352" s="22" t="inlineStr">
        <is>
          <t>Federal Bank (Jupiter)</t>
        </is>
      </c>
      <c r="M1352" s="22" t="inlineStr">
        <is>
          <t>⚠ Possible Duplicate</t>
        </is>
      </c>
    </row>
    <row r="1353">
      <c r="A1353" s="58" t="n">
        <v>45285</v>
      </c>
      <c r="B1353" s="58" t="n">
        <v>45285</v>
      </c>
      <c r="C1353" s="59" t="n">
        <v>2000</v>
      </c>
      <c r="D1353" s="59" t="n">
        <v>0</v>
      </c>
      <c r="E1353" s="59" t="inlineStr"/>
      <c r="F1353" s="59" t="inlineStr">
        <is>
          <t>MF Investment</t>
        </is>
      </c>
      <c r="G1353" s="18" t="n">
        <v>0.88</v>
      </c>
      <c r="H1353" s="59" t="inlineStr">
        <is>
          <t>Investments</t>
        </is>
      </c>
      <c r="I1353" s="59" t="inlineStr">
        <is>
          <t>FEDERAL 0847</t>
        </is>
      </c>
      <c r="J1353" s="59" t="inlineStr"/>
      <c r="K1353" s="59" t="inlineStr">
        <is>
          <t>NFT/NEOSIEXEDDD2023122502153954593 Nippon
India Mu</t>
        </is>
      </c>
      <c r="L1353" s="59" t="inlineStr">
        <is>
          <t>Federal Bank (Jupiter)</t>
        </is>
      </c>
      <c r="M1353" s="59" t="inlineStr"/>
    </row>
    <row r="1354">
      <c r="A1354" s="41" t="n">
        <v>45286</v>
      </c>
      <c r="B1354" s="41" t="n">
        <v>45286</v>
      </c>
      <c r="C1354" s="42" t="n">
        <v>508.32</v>
      </c>
      <c r="D1354" s="42" t="n">
        <v>0</v>
      </c>
      <c r="E1354" s="42" t="inlineStr"/>
      <c r="F1354" s="42" t="inlineStr">
        <is>
          <t>HDFC Securities - Buy</t>
        </is>
      </c>
      <c r="G1354" s="18" t="n">
        <v>0.97</v>
      </c>
      <c r="H1354" s="42" t="inlineStr">
        <is>
          <t>HDFC Securities</t>
        </is>
      </c>
      <c r="I1354" s="42" t="inlineStr">
        <is>
          <t>HDFC 5413</t>
        </is>
      </c>
      <c r="J1354" s="42" t="inlineStr"/>
      <c r="K1354" s="42" t="inlineStr">
        <is>
          <t>NET PI TO HSL SEC A/C 2554606-00602340029427</t>
        </is>
      </c>
      <c r="L1354" s="42" t="inlineStr">
        <is>
          <t>HDFC Bank</t>
        </is>
      </c>
      <c r="M1354" s="42" t="inlineStr"/>
    </row>
    <row r="1355">
      <c r="A1355" s="41" t="n">
        <v>45286</v>
      </c>
      <c r="B1355" s="41" t="n">
        <v>45286</v>
      </c>
      <c r="C1355" s="42" t="n">
        <v>60341.51</v>
      </c>
      <c r="D1355" s="42" t="n">
        <v>0</v>
      </c>
      <c r="E1355" s="42" t="inlineStr"/>
      <c r="F1355" s="42" t="inlineStr">
        <is>
          <t>HDFC Securities - Buy</t>
        </is>
      </c>
      <c r="G1355" s="18" t="n">
        <v>0.97</v>
      </c>
      <c r="H1355" s="42" t="inlineStr">
        <is>
          <t>HDFC Securities</t>
        </is>
      </c>
      <c r="I1355" s="42" t="inlineStr">
        <is>
          <t>HDFC 5413</t>
        </is>
      </c>
      <c r="J1355" s="42" t="inlineStr"/>
      <c r="K1355" s="42" t="inlineStr">
        <is>
          <t>NET PI TO HSL SEC A/C 2554606-00602340029427</t>
        </is>
      </c>
      <c r="L1355" s="42" t="inlineStr">
        <is>
          <t>HDFC Bank</t>
        </is>
      </c>
      <c r="M1355" s="42" t="inlineStr"/>
    </row>
    <row r="1356">
      <c r="A1356" s="37" t="n">
        <v>45286</v>
      </c>
      <c r="B1356" s="37" t="n">
        <v>45286</v>
      </c>
      <c r="C1356" s="38" t="n">
        <v>40</v>
      </c>
      <c r="D1356" s="38" t="n">
        <v>0</v>
      </c>
      <c r="E1356" s="38" t="inlineStr"/>
      <c r="F1356" s="38" t="inlineStr">
        <is>
          <t>UPI Payment</t>
        </is>
      </c>
      <c r="G1356" s="25" t="n">
        <v>0.55</v>
      </c>
      <c r="H1356" s="38" t="inlineStr">
        <is>
          <t>Personal</t>
        </is>
      </c>
      <c r="I1356" s="38" t="inlineStr">
        <is>
          <t>FEDERAL 0847</t>
        </is>
      </c>
      <c r="J1356" s="38" t="inlineStr"/>
      <c r="K1356" s="38" t="inlineStr">
        <is>
          <t>UPIOUT/336033721494/Q780515718@ybl/Sent
via /5814</t>
        </is>
      </c>
      <c r="L1356" s="38" t="inlineStr">
        <is>
          <t>Federal Bank (Jupiter)</t>
        </is>
      </c>
      <c r="M1356" s="38" t="inlineStr"/>
    </row>
    <row r="1357">
      <c r="A1357" s="37" t="n">
        <v>45286</v>
      </c>
      <c r="B1357" s="37" t="n">
        <v>45286</v>
      </c>
      <c r="C1357" s="38" t="n">
        <v>200</v>
      </c>
      <c r="D1357" s="38" t="n">
        <v>0</v>
      </c>
      <c r="E1357" s="38" t="inlineStr"/>
      <c r="F1357" s="38" t="inlineStr">
        <is>
          <t>UPI Payment</t>
        </is>
      </c>
      <c r="G1357" s="25" t="n">
        <v>0.55</v>
      </c>
      <c r="H1357" s="38" t="inlineStr">
        <is>
          <t>Personal</t>
        </is>
      </c>
      <c r="I1357" s="38" t="inlineStr">
        <is>
          <t>FEDERAL 0847</t>
        </is>
      </c>
      <c r="J1357" s="38" t="inlineStr"/>
      <c r="K1357" s="38" t="inlineStr">
        <is>
          <t>UPIOUT/336031981458/nitinfas3@okicici/Sent
v/0000</t>
        </is>
      </c>
      <c r="L1357" s="38" t="inlineStr">
        <is>
          <t>Federal Bank (Jupiter)</t>
        </is>
      </c>
      <c r="M1357" s="38" t="inlineStr"/>
    </row>
    <row r="1358">
      <c r="A1358" s="37" t="n">
        <v>45286</v>
      </c>
      <c r="B1358" s="37" t="n">
        <v>45286</v>
      </c>
      <c r="C1358" s="38" t="n">
        <v>30</v>
      </c>
      <c r="D1358" s="38" t="n">
        <v>0</v>
      </c>
      <c r="E1358" s="38" t="inlineStr"/>
      <c r="F1358" s="38" t="inlineStr">
        <is>
          <t>UPI Payment</t>
        </is>
      </c>
      <c r="G1358" s="25" t="n">
        <v>0.55</v>
      </c>
      <c r="H1358" s="38" t="inlineStr">
        <is>
          <t>Personal</t>
        </is>
      </c>
      <c r="I1358" s="38" t="inlineStr">
        <is>
          <t>FEDERAL 0847</t>
        </is>
      </c>
      <c r="J1358" s="38" t="inlineStr"/>
      <c r="K1358" s="38" t="inlineStr">
        <is>
          <t>UPIOUT/336031103669/RIOTAAGROOFFLINE@ybl/P
ay/5046</t>
        </is>
      </c>
      <c r="L1358" s="38" t="inlineStr">
        <is>
          <t>Federal Bank (Jupiter)</t>
        </is>
      </c>
      <c r="M1358" s="38" t="inlineStr"/>
    </row>
    <row r="1359">
      <c r="A1359" s="37" t="n">
        <v>45286</v>
      </c>
      <c r="B1359" s="37" t="n">
        <v>45286</v>
      </c>
      <c r="C1359" s="38" t="n">
        <v>120</v>
      </c>
      <c r="D1359" s="38" t="n">
        <v>0</v>
      </c>
      <c r="E1359" s="38" t="inlineStr"/>
      <c r="F1359" s="38" t="inlineStr">
        <is>
          <t>UPI Payment</t>
        </is>
      </c>
      <c r="G1359" s="25" t="n">
        <v>0.55</v>
      </c>
      <c r="H1359" s="38" t="inlineStr">
        <is>
          <t>Personal</t>
        </is>
      </c>
      <c r="I1359" s="38" t="inlineStr">
        <is>
          <t>FEDERAL 0847</t>
        </is>
      </c>
      <c r="J1359" s="38" t="inlineStr"/>
      <c r="K1359" s="38" t="inlineStr">
        <is>
          <t>UPIOUT/336030644529/raasoori@ybl/Sent via
Ju/0000</t>
        </is>
      </c>
      <c r="L1359" s="38" t="inlineStr">
        <is>
          <t>Federal Bank (Jupiter)</t>
        </is>
      </c>
      <c r="M1359" s="38" t="inlineStr"/>
    </row>
    <row r="1360">
      <c r="A1360" s="41" t="n">
        <v>45287</v>
      </c>
      <c r="B1360" s="41" t="n">
        <v>45287</v>
      </c>
      <c r="C1360" s="42" t="n">
        <v>153.84</v>
      </c>
      <c r="D1360" s="42" t="n">
        <v>0</v>
      </c>
      <c r="E1360" s="42" t="inlineStr"/>
      <c r="F1360" s="42" t="inlineStr">
        <is>
          <t>HDFC Securities - Buy</t>
        </is>
      </c>
      <c r="G1360" s="18" t="n">
        <v>0.97</v>
      </c>
      <c r="H1360" s="42" t="inlineStr">
        <is>
          <t>HDFC Securities</t>
        </is>
      </c>
      <c r="I1360" s="42" t="inlineStr">
        <is>
          <t>HDFC 5413</t>
        </is>
      </c>
      <c r="J1360" s="42" t="inlineStr"/>
      <c r="K1360" s="42" t="inlineStr">
        <is>
          <t>NET PI TO HSL SEC A/C 2554606-00602340029427</t>
        </is>
      </c>
      <c r="L1360" s="42" t="inlineStr">
        <is>
          <t>HDFC Bank</t>
        </is>
      </c>
      <c r="M1360" s="42" t="inlineStr"/>
    </row>
    <row r="1361">
      <c r="A1361" s="21" t="n">
        <v>45287</v>
      </c>
      <c r="B1361" s="21" t="n">
        <v>45287</v>
      </c>
      <c r="C1361" s="22" t="n">
        <v>72.15000000000001</v>
      </c>
      <c r="D1361" s="22" t="n">
        <v>0</v>
      </c>
      <c r="E1361" s="22" t="inlineStr"/>
      <c r="F1361" s="22" t="inlineStr">
        <is>
          <t>UPI - IRCTC</t>
        </is>
      </c>
      <c r="G1361" s="18" t="n">
        <v>0.88</v>
      </c>
      <c r="H1361" s="22" t="inlineStr">
        <is>
          <t>Travel</t>
        </is>
      </c>
      <c r="I1361" s="22" t="inlineStr">
        <is>
          <t>FEDERAL 0847</t>
        </is>
      </c>
      <c r="J1361" s="22" t="inlineStr"/>
      <c r="K1361" s="22" t="inlineStr">
        <is>
          <t>UPIOUT/336141024437/irctc.cf@hdfcbank/IRCT
C /4722</t>
        </is>
      </c>
      <c r="L1361" s="22" t="inlineStr">
        <is>
          <t>Federal Bank (Jupiter)</t>
        </is>
      </c>
      <c r="M1361" s="22" t="inlineStr"/>
    </row>
    <row r="1362">
      <c r="A1362" s="91" t="n">
        <v>45287</v>
      </c>
      <c r="B1362" s="91" t="n">
        <v>45287</v>
      </c>
      <c r="C1362" s="92" t="n">
        <v>212.85</v>
      </c>
      <c r="D1362" s="92" t="n">
        <v>0</v>
      </c>
      <c r="E1362" s="92" t="inlineStr"/>
      <c r="F1362" s="92" t="inlineStr">
        <is>
          <t>UPI - Uber</t>
        </is>
      </c>
      <c r="G1362" s="34" t="n">
        <v>0.68</v>
      </c>
      <c r="H1362" s="92" t="inlineStr">
        <is>
          <t>Transport</t>
        </is>
      </c>
      <c r="I1362" s="92" t="inlineStr">
        <is>
          <t>FEDERAL 0847</t>
        </is>
      </c>
      <c r="J1362" s="92" t="inlineStr"/>
      <c r="K1362" s="92" t="inlineStr">
        <is>
          <t>UPIOUT/336139286950/uber@axisbank/charge/4
121</t>
        </is>
      </c>
      <c r="L1362" s="92" t="inlineStr">
        <is>
          <t>Federal Bank (Jupiter)</t>
        </is>
      </c>
      <c r="M1362" s="92" t="inlineStr"/>
    </row>
    <row r="1363">
      <c r="A1363" s="91" t="n">
        <v>45287</v>
      </c>
      <c r="B1363" s="91" t="n">
        <v>45287</v>
      </c>
      <c r="C1363" s="92" t="n">
        <v>58.54</v>
      </c>
      <c r="D1363" s="92" t="n">
        <v>0</v>
      </c>
      <c r="E1363" s="92" t="inlineStr"/>
      <c r="F1363" s="92" t="inlineStr">
        <is>
          <t>UPI - Uber</t>
        </is>
      </c>
      <c r="G1363" s="34" t="n">
        <v>0.68</v>
      </c>
      <c r="H1363" s="92" t="inlineStr">
        <is>
          <t>Transport</t>
        </is>
      </c>
      <c r="I1363" s="92" t="inlineStr">
        <is>
          <t>FEDERAL 0847</t>
        </is>
      </c>
      <c r="J1363" s="92" t="inlineStr"/>
      <c r="K1363" s="92" t="inlineStr">
        <is>
          <t>UPIOUT/336139363222/uber@axisbank/charge/4
121</t>
        </is>
      </c>
      <c r="L1363" s="92" t="inlineStr">
        <is>
          <t>Federal Bank (Jupiter)</t>
        </is>
      </c>
      <c r="M1363" s="92" t="inlineStr"/>
    </row>
    <row r="1364">
      <c r="A1364" s="41" t="n">
        <v>45288</v>
      </c>
      <c r="B1364" s="41" t="n">
        <v>45288</v>
      </c>
      <c r="C1364" s="42" t="n">
        <v>147.26</v>
      </c>
      <c r="D1364" s="42" t="n">
        <v>0</v>
      </c>
      <c r="E1364" s="42" t="inlineStr"/>
      <c r="F1364" s="42" t="inlineStr">
        <is>
          <t>HDFC Securities - Buy</t>
        </is>
      </c>
      <c r="G1364" s="18" t="n">
        <v>0.97</v>
      </c>
      <c r="H1364" s="42" t="inlineStr">
        <is>
          <t>HDFC Securities</t>
        </is>
      </c>
      <c r="I1364" s="42" t="inlineStr">
        <is>
          <t>HDFC 5413</t>
        </is>
      </c>
      <c r="J1364" s="42" t="inlineStr"/>
      <c r="K1364" s="42" t="inlineStr">
        <is>
          <t>NET PI TO HSL SEC A/C 2554606-00602340029427</t>
        </is>
      </c>
      <c r="L1364" s="42" t="inlineStr">
        <is>
          <t>HDFC Bank</t>
        </is>
      </c>
      <c r="M1364" s="42" t="inlineStr"/>
    </row>
    <row r="1365">
      <c r="A1365" s="93" t="n">
        <v>45288</v>
      </c>
      <c r="B1365" s="93" t="n">
        <v>45288</v>
      </c>
      <c r="C1365" s="94" t="n">
        <v>199</v>
      </c>
      <c r="D1365" s="94" t="n">
        <v>0</v>
      </c>
      <c r="E1365" s="94" t="inlineStr"/>
      <c r="F1365" s="94" t="inlineStr">
        <is>
          <t>UPI - Google Pay</t>
        </is>
      </c>
      <c r="G1365" s="34" t="n">
        <v>0.65</v>
      </c>
      <c r="H1365" s="94" t="inlineStr">
        <is>
          <t>Personal</t>
        </is>
      </c>
      <c r="I1365" s="94" t="inlineStr">
        <is>
          <t>FEDERAL 0847</t>
        </is>
      </c>
      <c r="J1365" s="94" t="inlineStr"/>
      <c r="K1365" s="94" t="inlineStr">
        <is>
          <t>UPIOUT/372813743689/euronetgpay.playrc@ici
ci/6540</t>
        </is>
      </c>
      <c r="L1365" s="94" t="inlineStr">
        <is>
          <t>Federal Bank (Jupiter)</t>
        </is>
      </c>
      <c r="M1365" s="94" t="inlineStr"/>
    </row>
    <row r="1366">
      <c r="A1366" s="37" t="n">
        <v>45288</v>
      </c>
      <c r="B1366" s="37" t="n">
        <v>45288</v>
      </c>
      <c r="C1366" s="38" t="n">
        <v>25</v>
      </c>
      <c r="D1366" s="38" t="n">
        <v>0</v>
      </c>
      <c r="E1366" s="38" t="inlineStr"/>
      <c r="F1366" s="38" t="inlineStr">
        <is>
          <t>UPI Payment</t>
        </is>
      </c>
      <c r="G1366" s="25" t="n">
        <v>0.55</v>
      </c>
      <c r="H1366" s="38" t="inlineStr">
        <is>
          <t>Personal</t>
        </is>
      </c>
      <c r="I1366" s="38" t="inlineStr">
        <is>
          <t>FEDERAL 0847</t>
        </is>
      </c>
      <c r="J1366" s="38" t="inlineStr"/>
      <c r="K1366" s="38" t="inlineStr">
        <is>
          <t>UPIOUT/336245640758/Q423659019@ybl/Sent
via /5311</t>
        </is>
      </c>
      <c r="L1366" s="38" t="inlineStr">
        <is>
          <t>Federal Bank (Jupiter)</t>
        </is>
      </c>
      <c r="M1366" s="38" t="inlineStr"/>
    </row>
    <row r="1367">
      <c r="A1367" s="41" t="n">
        <v>45288</v>
      </c>
      <c r="B1367" s="41" t="n">
        <v>45288</v>
      </c>
      <c r="C1367" s="42" t="n">
        <v>18479.92</v>
      </c>
      <c r="D1367" s="42" t="n">
        <v>0</v>
      </c>
      <c r="E1367" s="42" t="inlineStr"/>
      <c r="F1367" s="42" t="inlineStr">
        <is>
          <t>HDFC Securities - Buy</t>
        </is>
      </c>
      <c r="G1367" s="18" t="n">
        <v>0.97</v>
      </c>
      <c r="H1367" s="42" t="inlineStr">
        <is>
          <t>HDFC Securities</t>
        </is>
      </c>
      <c r="I1367" s="42" t="inlineStr">
        <is>
          <t>HDFC 5413</t>
        </is>
      </c>
      <c r="J1367" s="42" t="inlineStr"/>
      <c r="K1367" s="42" t="inlineStr">
        <is>
          <t>NET PI TO HSL SEC A/C 2554606-00602340029427</t>
        </is>
      </c>
      <c r="L1367" s="42" t="inlineStr">
        <is>
          <t>HDFC Bank</t>
        </is>
      </c>
      <c r="M1367" s="42" t="inlineStr"/>
    </row>
    <row r="1368">
      <c r="A1368" s="58" t="n">
        <v>45288</v>
      </c>
      <c r="B1368" s="58" t="n">
        <v>45288</v>
      </c>
      <c r="C1368" s="59" t="n">
        <v>5000</v>
      </c>
      <c r="D1368" s="59" t="n">
        <v>0</v>
      </c>
      <c r="E1368" s="59" t="inlineStr"/>
      <c r="F1368" s="59" t="inlineStr">
        <is>
          <t>SIP</t>
        </is>
      </c>
      <c r="G1368" s="18" t="n">
        <v>0.95</v>
      </c>
      <c r="H1368" s="59" t="inlineStr">
        <is>
          <t>SIP</t>
        </is>
      </c>
      <c r="I1368" s="59" t="inlineStr">
        <is>
          <t>HDFC 5413</t>
        </is>
      </c>
      <c r="J1368" s="59" t="inlineStr"/>
      <c r="K1368" s="59" t="inlineStr">
        <is>
          <t>ACH D- TP ACH INDIANESIGN-1322787437</t>
        </is>
      </c>
      <c r="L1368" s="59" t="inlineStr">
        <is>
          <t>HDFC Bank</t>
        </is>
      </c>
      <c r="M1368" s="59" t="inlineStr"/>
    </row>
    <row r="1369">
      <c r="A1369" s="35" t="n">
        <v>45289</v>
      </c>
      <c r="B1369" s="35" t="n">
        <v>45289</v>
      </c>
      <c r="C1369" s="36" t="n">
        <v>90</v>
      </c>
      <c r="D1369" s="36" t="n">
        <v>0</v>
      </c>
      <c r="E1369" s="36" t="inlineStr"/>
      <c r="F1369" s="36" t="inlineStr">
        <is>
          <t>UPI - Paytm</t>
        </is>
      </c>
      <c r="G1369" s="34" t="n">
        <v>0.65</v>
      </c>
      <c r="H1369" s="36" t="inlineStr">
        <is>
          <t>Personal</t>
        </is>
      </c>
      <c r="I1369" s="36" t="inlineStr">
        <is>
          <t>FEDERAL 0847</t>
        </is>
      </c>
      <c r="J1369" s="36" t="inlineStr"/>
      <c r="K1369" s="36" t="inlineStr">
        <is>
          <t>UPIOUT/336351664327/paytmqr2810050501016jc
mc/5411</t>
        </is>
      </c>
      <c r="L1369" s="36" t="inlineStr">
        <is>
          <t>Federal Bank (Jupiter)</t>
        </is>
      </c>
      <c r="M1369" s="36" t="inlineStr"/>
    </row>
    <row r="1370">
      <c r="A1370" s="37" t="n">
        <v>45289</v>
      </c>
      <c r="B1370" s="37" t="n">
        <v>45289</v>
      </c>
      <c r="C1370" s="38" t="n">
        <v>70</v>
      </c>
      <c r="D1370" s="38" t="n">
        <v>0</v>
      </c>
      <c r="E1370" s="38" t="inlineStr"/>
      <c r="F1370" s="38" t="inlineStr">
        <is>
          <t>UPI Payment</t>
        </is>
      </c>
      <c r="G1370" s="25" t="n">
        <v>0.55</v>
      </c>
      <c r="H1370" s="38" t="inlineStr">
        <is>
          <t>Personal</t>
        </is>
      </c>
      <c r="I1370" s="38" t="inlineStr">
        <is>
          <t>FEDERAL 0847</t>
        </is>
      </c>
      <c r="J1370" s="38" t="inlineStr"/>
      <c r="K1370" s="38" t="inlineStr">
        <is>
          <t>UPIOUT/336351698550/Q267751124@ybl/Sent
via /5441</t>
        </is>
      </c>
      <c r="L1370" s="38" t="inlineStr">
        <is>
          <t>Federal Bank (Jupiter)</t>
        </is>
      </c>
      <c r="M1370" s="38" t="inlineStr"/>
    </row>
    <row r="1371">
      <c r="A1371" s="54" t="n">
        <v>45289</v>
      </c>
      <c r="B1371" s="54" t="n">
        <v>45289</v>
      </c>
      <c r="C1371" s="55" t="n">
        <v>0</v>
      </c>
      <c r="D1371" s="55" t="n">
        <v>321.45</v>
      </c>
      <c r="E1371" s="55" t="inlineStr"/>
      <c r="F1371" s="55" t="inlineStr">
        <is>
          <t>HDFC Securities - Sell</t>
        </is>
      </c>
      <c r="G1371" s="18" t="n">
        <v>0.97</v>
      </c>
      <c r="H1371" s="55" t="inlineStr">
        <is>
          <t>HDFC Securities</t>
        </is>
      </c>
      <c r="I1371" s="55" t="inlineStr">
        <is>
          <t>HDFC 5413</t>
        </is>
      </c>
      <c r="J1371" s="55" t="inlineStr"/>
      <c r="K1371" s="55" t="inlineStr">
        <is>
          <t>NET PO FROM HSL A/C 2554606-50200085415108</t>
        </is>
      </c>
      <c r="L1371" s="55" t="inlineStr">
        <is>
          <t>HDFC Bank</t>
        </is>
      </c>
      <c r="M1371" s="55" t="inlineStr"/>
    </row>
    <row r="1372">
      <c r="A1372" s="41" t="n">
        <v>45289</v>
      </c>
      <c r="B1372" s="41" t="n">
        <v>45289</v>
      </c>
      <c r="C1372" s="42" t="n">
        <v>170.11</v>
      </c>
      <c r="D1372" s="42" t="n">
        <v>0</v>
      </c>
      <c r="E1372" s="42" t="inlineStr"/>
      <c r="F1372" s="42" t="inlineStr">
        <is>
          <t>HDFC Securities - Buy</t>
        </is>
      </c>
      <c r="G1372" s="18" t="n">
        <v>0.97</v>
      </c>
      <c r="H1372" s="42" t="inlineStr">
        <is>
          <t>HDFC Securities</t>
        </is>
      </c>
      <c r="I1372" s="42" t="inlineStr">
        <is>
          <t>HDFC 5413</t>
        </is>
      </c>
      <c r="J1372" s="42" t="inlineStr"/>
      <c r="K1372" s="42" t="inlineStr">
        <is>
          <t>NET PI TO HSL SEC A/C 2554606-00602340029427</t>
        </is>
      </c>
      <c r="L1372" s="42" t="inlineStr">
        <is>
          <t>HDFC Bank</t>
        </is>
      </c>
      <c r="M1372" s="42" t="inlineStr"/>
    </row>
    <row r="1373">
      <c r="A1373" s="41" t="n">
        <v>45289</v>
      </c>
      <c r="B1373" s="41" t="n">
        <v>45289</v>
      </c>
      <c r="C1373" s="42" t="n">
        <v>65206.15</v>
      </c>
      <c r="D1373" s="42" t="n">
        <v>0</v>
      </c>
      <c r="E1373" s="42" t="inlineStr"/>
      <c r="F1373" s="42" t="inlineStr">
        <is>
          <t>HDFC Securities - Buy</t>
        </is>
      </c>
      <c r="G1373" s="18" t="n">
        <v>0.97</v>
      </c>
      <c r="H1373" s="42" t="inlineStr">
        <is>
          <t>HDFC Securities</t>
        </is>
      </c>
      <c r="I1373" s="42" t="inlineStr">
        <is>
          <t>HDFC 5413</t>
        </is>
      </c>
      <c r="J1373" s="42" t="inlineStr"/>
      <c r="K1373" s="42" t="inlineStr">
        <is>
          <t>NET PI TO HSL SEC A/C 2554606-00602340029427</t>
        </is>
      </c>
      <c r="L1373" s="42" t="inlineStr">
        <is>
          <t>HDFC Bank</t>
        </is>
      </c>
      <c r="M1373" s="42" t="inlineStr"/>
    </row>
    <row r="1374">
      <c r="A1374" s="23" t="n">
        <v>45290</v>
      </c>
      <c r="B1374" s="23" t="n">
        <v>45290</v>
      </c>
      <c r="C1374" s="24" t="n">
        <v>0</v>
      </c>
      <c r="D1374" s="24" t="n">
        <v>22500</v>
      </c>
      <c r="E1374" s="24" t="inlineStr"/>
      <c r="F1374" s="24" t="inlineStr">
        <is>
          <t>What is this?</t>
        </is>
      </c>
      <c r="G1374" s="25" t="n">
        <v>0</v>
      </c>
      <c r="H1374" s="24" t="inlineStr">
        <is>
          <t>Suspense</t>
        </is>
      </c>
      <c r="I1374" s="24" t="inlineStr">
        <is>
          <t>FEDERAL 0847</t>
        </is>
      </c>
      <c r="J1374" s="24" t="inlineStr"/>
      <c r="K1374" s="24" t="inlineStr">
        <is>
          <t>NFT/DR REDDYS LABOR/CITIN23476712141/CITI</t>
        </is>
      </c>
      <c r="L1374" s="24" t="inlineStr">
        <is>
          <t>Federal Bank (Jupiter)</t>
        </is>
      </c>
      <c r="M1374" s="24" t="inlineStr"/>
    </row>
    <row r="1375">
      <c r="A1375" s="91" t="n">
        <v>45291</v>
      </c>
      <c r="B1375" s="91" t="n">
        <v>45291</v>
      </c>
      <c r="C1375" s="92" t="n">
        <v>79.02</v>
      </c>
      <c r="D1375" s="92" t="n">
        <v>0</v>
      </c>
      <c r="E1375" s="92" t="inlineStr"/>
      <c r="F1375" s="92" t="inlineStr">
        <is>
          <t>UPI - Uber</t>
        </is>
      </c>
      <c r="G1375" s="34" t="n">
        <v>0.68</v>
      </c>
      <c r="H1375" s="92" t="inlineStr">
        <is>
          <t>Transport</t>
        </is>
      </c>
      <c r="I1375" s="92" t="inlineStr">
        <is>
          <t>FEDERAL 0847</t>
        </is>
      </c>
      <c r="J1375" s="92" t="inlineStr"/>
      <c r="K1375" s="92" t="inlineStr">
        <is>
          <t>UPIOUT/336560333920/uber@axisbank/charge/4
121</t>
        </is>
      </c>
      <c r="L1375" s="92" t="inlineStr">
        <is>
          <t>Federal Bank (Jupiter)</t>
        </is>
      </c>
      <c r="M1375" s="92" t="inlineStr"/>
    </row>
    <row r="1376">
      <c r="A1376" s="37" t="n">
        <v>45291</v>
      </c>
      <c r="B1376" s="37" t="n">
        <v>45291</v>
      </c>
      <c r="C1376" s="38" t="n">
        <v>529</v>
      </c>
      <c r="D1376" s="38" t="n">
        <v>0</v>
      </c>
      <c r="E1376" s="38" t="inlineStr"/>
      <c r="F1376" s="38" t="inlineStr">
        <is>
          <t>UPI Payment</t>
        </is>
      </c>
      <c r="G1376" s="25" t="n">
        <v>0.55</v>
      </c>
      <c r="H1376" s="38" t="inlineStr">
        <is>
          <t>Personal</t>
        </is>
      </c>
      <c r="I1376" s="38" t="inlineStr">
        <is>
          <t>FEDERAL 0847</t>
        </is>
      </c>
      <c r="J1376" s="38" t="inlineStr"/>
      <c r="K1376" s="38" t="inlineStr">
        <is>
          <t>UPIOUT/336562980452/udemyindiallp.bdpg@ici
ci/8299</t>
        </is>
      </c>
      <c r="L1376" s="38" t="inlineStr">
        <is>
          <t>Federal Bank (Jupiter)</t>
        </is>
      </c>
      <c r="M1376" s="38" t="inlineStr"/>
    </row>
    <row r="1377">
      <c r="A1377" s="62" t="n">
        <v>45291</v>
      </c>
      <c r="B1377" s="62" t="n">
        <v>45291</v>
      </c>
      <c r="C1377" s="63" t="n">
        <v>0</v>
      </c>
      <c r="D1377" s="63" t="n">
        <v>10000</v>
      </c>
      <c r="E1377" s="63" t="inlineStr"/>
      <c r="F1377" s="63" t="inlineStr">
        <is>
          <t>Received - Sunita Gupta</t>
        </is>
      </c>
      <c r="G1377" s="18" t="n">
        <v>0.88</v>
      </c>
      <c r="H1377" s="63" t="inlineStr">
        <is>
          <t>Sunita Gupta</t>
        </is>
      </c>
      <c r="I1377" s="63" t="inlineStr">
        <is>
          <t>HDFC 5413</t>
        </is>
      </c>
      <c r="J1377" s="63" t="inlineStr"/>
      <c r="K1377" s="63" t="inlineStr">
        <is>
          <t>01671000060094-TPT-MONEY RETURNED FROM AAYUSH TO SUNITA-SUNITA GUPTA</t>
        </is>
      </c>
      <c r="L1377" s="63" t="inlineStr">
        <is>
          <t>HDFC Bank</t>
        </is>
      </c>
      <c r="M1377" s="63" t="inlineStr"/>
    </row>
    <row r="1378">
      <c r="A1378" s="37" t="n">
        <v>45292</v>
      </c>
      <c r="B1378" s="37" t="n">
        <v>45292</v>
      </c>
      <c r="C1378" s="38" t="n">
        <v>50</v>
      </c>
      <c r="D1378" s="38" t="n">
        <v>0</v>
      </c>
      <c r="E1378" s="38" t="inlineStr"/>
      <c r="F1378" s="38" t="inlineStr">
        <is>
          <t>UPI Payment</t>
        </is>
      </c>
      <c r="G1378" s="25" t="n">
        <v>0.55</v>
      </c>
      <c r="H1378" s="38" t="inlineStr">
        <is>
          <t>Personal</t>
        </is>
      </c>
      <c r="I1378" s="38" t="inlineStr">
        <is>
          <t>FEDERAL 0847</t>
        </is>
      </c>
      <c r="J1378" s="38" t="inlineStr"/>
      <c r="K1378" s="38" t="inlineStr">
        <is>
          <t>UPIOUT/400168935458/Q644952300@ybl/Sent
via /5451</t>
        </is>
      </c>
      <c r="L1378" s="38" t="inlineStr">
        <is>
          <t>Federal Bank (Jupiter)</t>
        </is>
      </c>
      <c r="M1378" s="38" t="inlineStr"/>
    </row>
    <row r="1379">
      <c r="A1379" s="37" t="n">
        <v>45292</v>
      </c>
      <c r="B1379" s="37" t="n">
        <v>45292</v>
      </c>
      <c r="C1379" s="38" t="n">
        <v>359</v>
      </c>
      <c r="D1379" s="38" t="n">
        <v>0</v>
      </c>
      <c r="E1379" s="38" t="inlineStr"/>
      <c r="F1379" s="38" t="inlineStr">
        <is>
          <t>UPI Payment</t>
        </is>
      </c>
      <c r="G1379" s="25" t="n">
        <v>0.55</v>
      </c>
      <c r="H1379" s="38" t="inlineStr">
        <is>
          <t>Personal</t>
        </is>
      </c>
      <c r="I1379" s="38" t="inlineStr">
        <is>
          <t>FEDERAL 0847</t>
        </is>
      </c>
      <c r="J1379" s="38" t="inlineStr"/>
      <c r="K1379" s="38" t="inlineStr">
        <is>
          <t>UPIOUT/400166701661/rzpmebigolabspvtltd@ye
sb/2741</t>
        </is>
      </c>
      <c r="L1379" s="38" t="inlineStr">
        <is>
          <t>Federal Bank (Jupiter)</t>
        </is>
      </c>
      <c r="M1379" s="38" t="inlineStr"/>
    </row>
    <row r="1380">
      <c r="A1380" s="35" t="n">
        <v>45292</v>
      </c>
      <c r="B1380" s="35" t="n">
        <v>45292</v>
      </c>
      <c r="C1380" s="36" t="n">
        <v>292</v>
      </c>
      <c r="D1380" s="36" t="n">
        <v>0</v>
      </c>
      <c r="E1380" s="36" t="inlineStr"/>
      <c r="F1380" s="36" t="inlineStr">
        <is>
          <t>UPI - Paytm</t>
        </is>
      </c>
      <c r="G1380" s="34" t="n">
        <v>0.65</v>
      </c>
      <c r="H1380" s="36" t="inlineStr">
        <is>
          <t>Personal</t>
        </is>
      </c>
      <c r="I1380" s="36" t="inlineStr">
        <is>
          <t>FEDERAL 0847</t>
        </is>
      </c>
      <c r="J1380" s="36" t="inlineStr"/>
      <c r="K1380" s="36" t="inlineStr">
        <is>
          <t>UPIOUT/436708916299/paytm-56505013@paytm/O
id/5722</t>
        </is>
      </c>
      <c r="L1380" s="36" t="inlineStr">
        <is>
          <t>Federal Bank (Jupiter)</t>
        </is>
      </c>
      <c r="M1380" s="36" t="inlineStr"/>
    </row>
    <row r="1381">
      <c r="A1381" s="30" t="n">
        <v>45292</v>
      </c>
      <c r="B1381" s="30" t="n">
        <v>45291</v>
      </c>
      <c r="C1381" s="31" t="n">
        <v>0</v>
      </c>
      <c r="D1381" s="31" t="n">
        <v>524</v>
      </c>
      <c r="E1381" s="31" t="inlineStr"/>
      <c r="F1381" s="31" t="inlineStr">
        <is>
          <t>Bank Interest</t>
        </is>
      </c>
      <c r="G1381" s="18" t="n">
        <v>0.95</v>
      </c>
      <c r="H1381" s="31" t="inlineStr">
        <is>
          <t>Bank Interest</t>
        </is>
      </c>
      <c r="I1381" s="31" t="inlineStr">
        <is>
          <t>HDFC 5413</t>
        </is>
      </c>
      <c r="J1381" s="31" t="inlineStr"/>
      <c r="K1381" s="31" t="inlineStr">
        <is>
          <t>CREDIT INTEREST CAPITALISED</t>
        </is>
      </c>
      <c r="L1381" s="31" t="inlineStr">
        <is>
          <t>HDFC Bank</t>
        </is>
      </c>
      <c r="M1381" s="31" t="inlineStr"/>
    </row>
    <row r="1382">
      <c r="A1382" s="41" t="n">
        <v>45292</v>
      </c>
      <c r="B1382" s="41" t="n">
        <v>45292</v>
      </c>
      <c r="C1382" s="42" t="n">
        <v>441</v>
      </c>
      <c r="D1382" s="42" t="n">
        <v>0</v>
      </c>
      <c r="E1382" s="42" t="inlineStr"/>
      <c r="F1382" s="42" t="inlineStr">
        <is>
          <t>HDFC Securities - Buy</t>
        </is>
      </c>
      <c r="G1382" s="18" t="n">
        <v>0.97</v>
      </c>
      <c r="H1382" s="42" t="inlineStr">
        <is>
          <t>HDFC Securities</t>
        </is>
      </c>
      <c r="I1382" s="42" t="inlineStr">
        <is>
          <t>HDFC 5413</t>
        </is>
      </c>
      <c r="J1382" s="42" t="inlineStr"/>
      <c r="K1382" s="42" t="inlineStr">
        <is>
          <t>NET PI TO HSL SEC A/C 2554606-00602340029427</t>
        </is>
      </c>
      <c r="L1382" s="42" t="inlineStr">
        <is>
          <t>HDFC Bank</t>
        </is>
      </c>
      <c r="M1382" s="42" t="inlineStr"/>
    </row>
    <row r="1383">
      <c r="A1383" s="58" t="n">
        <v>45292</v>
      </c>
      <c r="B1383" s="58" t="n">
        <v>45292</v>
      </c>
      <c r="C1383" s="59" t="n">
        <v>5000</v>
      </c>
      <c r="D1383" s="59" t="n">
        <v>0</v>
      </c>
      <c r="E1383" s="59" t="inlineStr"/>
      <c r="F1383" s="59" t="inlineStr">
        <is>
          <t>SIP</t>
        </is>
      </c>
      <c r="G1383" s="18" t="n">
        <v>0.95</v>
      </c>
      <c r="H1383" s="59" t="inlineStr">
        <is>
          <t>SIP</t>
        </is>
      </c>
      <c r="I1383" s="59" t="inlineStr">
        <is>
          <t>HDFC 5413</t>
        </is>
      </c>
      <c r="J1383" s="59" t="inlineStr"/>
      <c r="K1383" s="59" t="inlineStr">
        <is>
          <t>ACH D- TP ACH INDIANESIGN-1325427826</t>
        </is>
      </c>
      <c r="L1383" s="59" t="inlineStr">
        <is>
          <t>HDFC Bank</t>
        </is>
      </c>
      <c r="M1383" s="59" t="inlineStr"/>
    </row>
    <row r="1384">
      <c r="A1384" s="30" t="n">
        <v>45292</v>
      </c>
      <c r="B1384" s="30" t="n">
        <v>45292</v>
      </c>
      <c r="C1384" s="31" t="n">
        <v>0</v>
      </c>
      <c r="D1384" s="31" t="n">
        <v>211</v>
      </c>
      <c r="E1384" s="31" t="inlineStr"/>
      <c r="F1384" s="31" t="inlineStr">
        <is>
          <t>Bank Interest</t>
        </is>
      </c>
      <c r="G1384" s="18" t="n">
        <v>0.93</v>
      </c>
      <c r="H1384" s="31" t="inlineStr">
        <is>
          <t>Bank Interest</t>
        </is>
      </c>
      <c r="I1384" s="31" t="inlineStr">
        <is>
          <t>AXIS</t>
        </is>
      </c>
      <c r="J1384" s="31" t="inlineStr"/>
      <c r="K1384" s="31" t="inlineStr">
        <is>
          <t>915010020334307:Int.Pd:01-10-2023 to 31-12-2023</t>
        </is>
      </c>
      <c r="L1384" s="31" t="inlineStr">
        <is>
          <t>Axis Bank</t>
        </is>
      </c>
      <c r="M1384" s="31" t="inlineStr"/>
    </row>
    <row r="1385">
      <c r="A1385" s="41" t="n">
        <v>45292</v>
      </c>
      <c r="B1385" s="41" t="n">
        <v>45292</v>
      </c>
      <c r="C1385" s="42" t="n">
        <v>41407.31</v>
      </c>
      <c r="D1385" s="42" t="n">
        <v>0</v>
      </c>
      <c r="E1385" s="42" t="inlineStr"/>
      <c r="F1385" s="42" t="inlineStr">
        <is>
          <t>HDFC Securities - Buy</t>
        </is>
      </c>
      <c r="G1385" s="18" t="n">
        <v>0.97</v>
      </c>
      <c r="H1385" s="42" t="inlineStr">
        <is>
          <t>HDFC Securities</t>
        </is>
      </c>
      <c r="I1385" s="42" t="inlineStr">
        <is>
          <t>HDFC 5413</t>
        </is>
      </c>
      <c r="J1385" s="42" t="inlineStr"/>
      <c r="K1385" s="42" t="inlineStr">
        <is>
          <t>NET PI TO HSL SEC A/C 2554606-00602340029427</t>
        </is>
      </c>
      <c r="L1385" s="42" t="inlineStr">
        <is>
          <t>HDFC Bank</t>
        </is>
      </c>
      <c r="M1385" s="42" t="inlineStr"/>
    </row>
    <row r="1386">
      <c r="A1386" s="41" t="n">
        <v>45293</v>
      </c>
      <c r="B1386" s="41" t="n">
        <v>45293</v>
      </c>
      <c r="C1386" s="42" t="n">
        <v>132.25</v>
      </c>
      <c r="D1386" s="42" t="n">
        <v>0</v>
      </c>
      <c r="E1386" s="42" t="inlineStr"/>
      <c r="F1386" s="42" t="inlineStr">
        <is>
          <t>HDFC Securities - Buy</t>
        </is>
      </c>
      <c r="G1386" s="18" t="n">
        <v>0.97</v>
      </c>
      <c r="H1386" s="42" t="inlineStr">
        <is>
          <t>HDFC Securities</t>
        </is>
      </c>
      <c r="I1386" s="42" t="inlineStr">
        <is>
          <t>HDFC 5413</t>
        </is>
      </c>
      <c r="J1386" s="42" t="inlineStr"/>
      <c r="K1386" s="42" t="inlineStr">
        <is>
          <t>NET PI TO HSL SEC A/C 2554606-00602340029427</t>
        </is>
      </c>
      <c r="L1386" s="42" t="inlineStr">
        <is>
          <t>HDFC Bank</t>
        </is>
      </c>
      <c r="M1386" s="42" t="inlineStr"/>
    </row>
    <row r="1387">
      <c r="A1387" s="35" t="n">
        <v>45293</v>
      </c>
      <c r="B1387" s="35" t="n">
        <v>45293</v>
      </c>
      <c r="C1387" s="36" t="n">
        <v>20</v>
      </c>
      <c r="D1387" s="36" t="n">
        <v>0</v>
      </c>
      <c r="E1387" s="36" t="inlineStr"/>
      <c r="F1387" s="36" t="inlineStr">
        <is>
          <t>UPI - Paytm</t>
        </is>
      </c>
      <c r="G1387" s="34" t="n">
        <v>0.65</v>
      </c>
      <c r="H1387" s="36" t="inlineStr">
        <is>
          <t>Personal</t>
        </is>
      </c>
      <c r="I1387" s="36" t="inlineStr">
        <is>
          <t>FEDERAL 0847</t>
        </is>
      </c>
      <c r="J1387" s="36" t="inlineStr"/>
      <c r="K1387" s="36" t="inlineStr">
        <is>
          <t>UPIOUT/400271061452/paytmqr131obboa1j@payt
m//5411</t>
        </is>
      </c>
      <c r="L1387" s="36" t="inlineStr">
        <is>
          <t>Federal Bank (Jupiter)</t>
        </is>
      </c>
      <c r="M1387" s="36" t="inlineStr"/>
    </row>
    <row r="1388">
      <c r="A1388" s="37" t="n">
        <v>45293</v>
      </c>
      <c r="B1388" s="37" t="n">
        <v>45293</v>
      </c>
      <c r="C1388" s="38" t="n">
        <v>300</v>
      </c>
      <c r="D1388" s="38" t="n">
        <v>0</v>
      </c>
      <c r="E1388" s="38" t="inlineStr"/>
      <c r="F1388" s="38" t="inlineStr">
        <is>
          <t>UPI Payment</t>
        </is>
      </c>
      <c r="G1388" s="25" t="n">
        <v>0.55</v>
      </c>
      <c r="H1388" s="38" t="inlineStr">
        <is>
          <t>Personal</t>
        </is>
      </c>
      <c r="I1388" s="38" t="inlineStr">
        <is>
          <t>FEDERAL 0847</t>
        </is>
      </c>
      <c r="J1388" s="38" t="inlineStr"/>
      <c r="K1388" s="38" t="inlineStr">
        <is>
          <t>UPIOUT/400272432304/Q868176613@ybl/Sent
via /5311</t>
        </is>
      </c>
      <c r="L1388" s="38" t="inlineStr">
        <is>
          <t>Federal Bank (Jupiter)</t>
        </is>
      </c>
      <c r="M1388" s="38" t="inlineStr"/>
    </row>
    <row r="1389">
      <c r="A1389" s="37" t="n">
        <v>45293</v>
      </c>
      <c r="B1389" s="37" t="n">
        <v>45293</v>
      </c>
      <c r="C1389" s="38" t="n">
        <v>20</v>
      </c>
      <c r="D1389" s="38" t="n">
        <v>0</v>
      </c>
      <c r="E1389" s="38" t="inlineStr"/>
      <c r="F1389" s="38" t="inlineStr">
        <is>
          <t>UPI Payment</t>
        </is>
      </c>
      <c r="G1389" s="25" t="n">
        <v>0.55</v>
      </c>
      <c r="H1389" s="38" t="inlineStr">
        <is>
          <t>Personal</t>
        </is>
      </c>
      <c r="I1389" s="38" t="inlineStr">
        <is>
          <t>FEDERAL 0847</t>
        </is>
      </c>
      <c r="J1389" s="38" t="inlineStr"/>
      <c r="K1389" s="38" t="inlineStr">
        <is>
          <t>UPIOUT/400273812144/Q352615776@ybl/Sent
via /0000</t>
        </is>
      </c>
      <c r="L1389" s="38" t="inlineStr">
        <is>
          <t>Federal Bank (Jupiter)</t>
        </is>
      </c>
      <c r="M1389" s="38" t="inlineStr"/>
    </row>
    <row r="1390">
      <c r="A1390" s="37" t="n">
        <v>45293</v>
      </c>
      <c r="B1390" s="37" t="n">
        <v>45293</v>
      </c>
      <c r="C1390" s="38" t="n">
        <v>15</v>
      </c>
      <c r="D1390" s="38" t="n">
        <v>0</v>
      </c>
      <c r="E1390" s="38" t="inlineStr"/>
      <c r="F1390" s="38" t="inlineStr">
        <is>
          <t>UPI Payment</t>
        </is>
      </c>
      <c r="G1390" s="25" t="n">
        <v>0.55</v>
      </c>
      <c r="H1390" s="38" t="inlineStr">
        <is>
          <t>Personal</t>
        </is>
      </c>
      <c r="I1390" s="38" t="inlineStr">
        <is>
          <t>FEDERAL 0847</t>
        </is>
      </c>
      <c r="J1390" s="38" t="inlineStr"/>
      <c r="K1390" s="38" t="inlineStr">
        <is>
          <t>UPIOUT/400273830449/Q704640317@ybl/Sent
via /5812</t>
        </is>
      </c>
      <c r="L1390" s="38" t="inlineStr">
        <is>
          <t>Federal Bank (Jupiter)</t>
        </is>
      </c>
      <c r="M1390" s="38" t="inlineStr"/>
    </row>
    <row r="1391">
      <c r="A1391" s="41" t="n">
        <v>45293</v>
      </c>
      <c r="B1391" s="41" t="n">
        <v>45293</v>
      </c>
      <c r="C1391" s="42" t="n">
        <v>16611.3</v>
      </c>
      <c r="D1391" s="42" t="n">
        <v>0</v>
      </c>
      <c r="E1391" s="42" t="inlineStr"/>
      <c r="F1391" s="42" t="inlineStr">
        <is>
          <t>HDFC Securities - Buy</t>
        </is>
      </c>
      <c r="G1391" s="18" t="n">
        <v>0.97</v>
      </c>
      <c r="H1391" s="42" t="inlineStr">
        <is>
          <t>HDFC Securities</t>
        </is>
      </c>
      <c r="I1391" s="42" t="inlineStr">
        <is>
          <t>HDFC 5413</t>
        </is>
      </c>
      <c r="J1391" s="42" t="inlineStr"/>
      <c r="K1391" s="42" t="inlineStr">
        <is>
          <t>NET PI TO HSL SEC A/C 2554606-00602340029427</t>
        </is>
      </c>
      <c r="L1391" s="42" t="inlineStr">
        <is>
          <t>HDFC Bank</t>
        </is>
      </c>
      <c r="M1391" s="42" t="inlineStr"/>
    </row>
    <row r="1392">
      <c r="A1392" s="62" t="n">
        <v>45293</v>
      </c>
      <c r="B1392" s="62" t="n">
        <v>45293</v>
      </c>
      <c r="C1392" s="63" t="n">
        <v>0</v>
      </c>
      <c r="D1392" s="63" t="n">
        <v>30000</v>
      </c>
      <c r="E1392" s="63" t="inlineStr"/>
      <c r="F1392" s="63" t="inlineStr">
        <is>
          <t>Received - Sunita Gupta</t>
        </is>
      </c>
      <c r="G1392" s="18" t="n">
        <v>0.88</v>
      </c>
      <c r="H1392" s="63" t="inlineStr">
        <is>
          <t>Sunita Gupta</t>
        </is>
      </c>
      <c r="I1392" s="63" t="inlineStr">
        <is>
          <t>HDFC 5413</t>
        </is>
      </c>
      <c r="J1392" s="63" t="inlineStr"/>
      <c r="K1392" s="63" t="inlineStr">
        <is>
          <t>01671000060094-TPT-BORROW FROM SUNITA TO AAYUSH-SUNITA GUPTA</t>
        </is>
      </c>
      <c r="L1392" s="63" t="inlineStr">
        <is>
          <t>HDFC Bank</t>
        </is>
      </c>
      <c r="M1392" s="63" t="inlineStr"/>
    </row>
    <row r="1393">
      <c r="A1393" s="41" t="n">
        <v>45294</v>
      </c>
      <c r="B1393" s="41" t="n">
        <v>45294</v>
      </c>
      <c r="C1393" s="42" t="n">
        <v>12535.13</v>
      </c>
      <c r="D1393" s="42" t="n">
        <v>0</v>
      </c>
      <c r="E1393" s="42" t="inlineStr"/>
      <c r="F1393" s="42" t="inlineStr">
        <is>
          <t>HDFC Securities - Buy</t>
        </is>
      </c>
      <c r="G1393" s="18" t="n">
        <v>0.97</v>
      </c>
      <c r="H1393" s="42" t="inlineStr">
        <is>
          <t>HDFC Securities</t>
        </is>
      </c>
      <c r="I1393" s="42" t="inlineStr">
        <is>
          <t>HDFC 5413</t>
        </is>
      </c>
      <c r="J1393" s="42" t="inlineStr"/>
      <c r="K1393" s="42" t="inlineStr">
        <is>
          <t>NET PI TO HSL SEC A/C 2554606-00602340029427</t>
        </is>
      </c>
      <c r="L1393" s="42" t="inlineStr">
        <is>
          <t>HDFC Bank</t>
        </is>
      </c>
      <c r="M1393" s="42" t="inlineStr"/>
    </row>
    <row r="1394">
      <c r="A1394" s="58" t="n">
        <v>45294</v>
      </c>
      <c r="B1394" s="58" t="n">
        <v>45294</v>
      </c>
      <c r="C1394" s="59" t="n">
        <v>1000</v>
      </c>
      <c r="D1394" s="59" t="n">
        <v>0</v>
      </c>
      <c r="E1394" s="59" t="inlineStr"/>
      <c r="F1394" s="59" t="inlineStr">
        <is>
          <t>MF Investment</t>
        </is>
      </c>
      <c r="G1394" s="18" t="n">
        <v>0.88</v>
      </c>
      <c r="H1394" s="59" t="inlineStr">
        <is>
          <t>Investments</t>
        </is>
      </c>
      <c r="I1394" s="59" t="inlineStr">
        <is>
          <t>FEDERAL 0847</t>
        </is>
      </c>
      <c r="J1394" s="59" t="inlineStr"/>
      <c r="K1394" s="59" t="inlineStr">
        <is>
          <t>NFT/NEOSIEXEDDD2024010304151238759 NAVI
Mutual Fun</t>
        </is>
      </c>
      <c r="L1394" s="59" t="inlineStr">
        <is>
          <t>Federal Bank (Jupiter)</t>
        </is>
      </c>
      <c r="M1394" s="59" t="inlineStr"/>
    </row>
    <row r="1395">
      <c r="A1395" s="91" t="n">
        <v>45294</v>
      </c>
      <c r="B1395" s="91" t="n">
        <v>45294</v>
      </c>
      <c r="C1395" s="92" t="n">
        <v>66.37</v>
      </c>
      <c r="D1395" s="92" t="n">
        <v>0</v>
      </c>
      <c r="E1395" s="92" t="inlineStr"/>
      <c r="F1395" s="92" t="inlineStr">
        <is>
          <t>UPI - Uber</t>
        </is>
      </c>
      <c r="G1395" s="34" t="n">
        <v>0.68</v>
      </c>
      <c r="H1395" s="92" t="inlineStr">
        <is>
          <t>Transport</t>
        </is>
      </c>
      <c r="I1395" s="92" t="inlineStr">
        <is>
          <t>FEDERAL 0847</t>
        </is>
      </c>
      <c r="J1395" s="92" t="inlineStr"/>
      <c r="K1395" s="92" t="inlineStr">
        <is>
          <t>UPIOUT/400359873139/uberrides@hdfcbank/cha
rg/5960</t>
        </is>
      </c>
      <c r="L1395" s="92" t="inlineStr">
        <is>
          <t>Federal Bank (Jupiter)</t>
        </is>
      </c>
      <c r="M1395" s="92" t="inlineStr"/>
    </row>
    <row r="1396">
      <c r="A1396" s="41" t="n">
        <v>45294</v>
      </c>
      <c r="B1396" s="41" t="n">
        <v>45294</v>
      </c>
      <c r="C1396" s="42" t="n">
        <v>175.25</v>
      </c>
      <c r="D1396" s="42" t="n">
        <v>0</v>
      </c>
      <c r="E1396" s="42" t="inlineStr"/>
      <c r="F1396" s="42" t="inlineStr">
        <is>
          <t>HDFC Securities - Buy</t>
        </is>
      </c>
      <c r="G1396" s="18" t="n">
        <v>0.97</v>
      </c>
      <c r="H1396" s="42" t="inlineStr">
        <is>
          <t>HDFC Securities</t>
        </is>
      </c>
      <c r="I1396" s="42" t="inlineStr">
        <is>
          <t>HDFC 5413</t>
        </is>
      </c>
      <c r="J1396" s="42" t="inlineStr"/>
      <c r="K1396" s="42" t="inlineStr">
        <is>
          <t>NET PI TO HSL SEC A/C 2554606-00602340029427</t>
        </is>
      </c>
      <c r="L1396" s="42" t="inlineStr">
        <is>
          <t>HDFC Bank</t>
        </is>
      </c>
      <c r="M1396" s="42" t="inlineStr"/>
    </row>
    <row r="1397">
      <c r="A1397" s="41" t="n">
        <v>45295</v>
      </c>
      <c r="B1397" s="41" t="n">
        <v>45295</v>
      </c>
      <c r="C1397" s="42" t="n">
        <v>195.72</v>
      </c>
      <c r="D1397" s="42" t="n">
        <v>0</v>
      </c>
      <c r="E1397" s="42" t="inlineStr"/>
      <c r="F1397" s="42" t="inlineStr">
        <is>
          <t>HDFC Securities - Buy</t>
        </is>
      </c>
      <c r="G1397" s="18" t="n">
        <v>0.97</v>
      </c>
      <c r="H1397" s="42" t="inlineStr">
        <is>
          <t>HDFC Securities</t>
        </is>
      </c>
      <c r="I1397" s="42" t="inlineStr">
        <is>
          <t>HDFC 5413</t>
        </is>
      </c>
      <c r="J1397" s="42" t="inlineStr"/>
      <c r="K1397" s="42" t="inlineStr">
        <is>
          <t>NET PI TO HSL SEC A/C 2554606-00602340029427</t>
        </is>
      </c>
      <c r="L1397" s="42" t="inlineStr">
        <is>
          <t>HDFC Bank</t>
        </is>
      </c>
      <c r="M1397" s="42" t="inlineStr"/>
    </row>
    <row r="1398">
      <c r="A1398" s="37" t="n">
        <v>45295</v>
      </c>
      <c r="B1398" s="37" t="n">
        <v>45295</v>
      </c>
      <c r="C1398" s="38" t="n">
        <v>95</v>
      </c>
      <c r="D1398" s="38" t="n">
        <v>0</v>
      </c>
      <c r="E1398" s="38" t="inlineStr"/>
      <c r="F1398" s="38" t="inlineStr">
        <is>
          <t>UPI Payment</t>
        </is>
      </c>
      <c r="G1398" s="25" t="n">
        <v>0.55</v>
      </c>
      <c r="H1398" s="38" t="inlineStr">
        <is>
          <t>Personal</t>
        </is>
      </c>
      <c r="I1398" s="38" t="inlineStr">
        <is>
          <t>FEDERAL 0847</t>
        </is>
      </c>
      <c r="J1398" s="38" t="inlineStr"/>
      <c r="K1398" s="38" t="inlineStr">
        <is>
          <t>UPIOUT/400481108034/jyadav250692@ybl/Sent
vi/0000</t>
        </is>
      </c>
      <c r="L1398" s="38" t="inlineStr">
        <is>
          <t>Federal Bank (Jupiter)</t>
        </is>
      </c>
      <c r="M1398" s="38" t="inlineStr"/>
    </row>
    <row r="1399">
      <c r="A1399" s="21" t="n">
        <v>45295</v>
      </c>
      <c r="B1399" s="21" t="n">
        <v>45295</v>
      </c>
      <c r="C1399" s="22" t="n">
        <v>40</v>
      </c>
      <c r="D1399" s="22" t="n">
        <v>0</v>
      </c>
      <c r="E1399" s="22" t="inlineStr"/>
      <c r="F1399" s="22" t="inlineStr">
        <is>
          <t>UPI - Rapido</t>
        </is>
      </c>
      <c r="G1399" s="34" t="n">
        <v>0.68</v>
      </c>
      <c r="H1399" s="22" t="inlineStr">
        <is>
          <t>Transport</t>
        </is>
      </c>
      <c r="I1399" s="22" t="inlineStr">
        <is>
          <t>FEDERAL 0847</t>
        </is>
      </c>
      <c r="J1399" s="22" t="inlineStr"/>
      <c r="K1399" s="22" t="inlineStr">
        <is>
          <t>UPIOUT/400481218325/rapido.rzp@icici/Payme
nt/4121</t>
        </is>
      </c>
      <c r="L1399" s="22" t="inlineStr">
        <is>
          <t>Federal Bank (Jupiter)</t>
        </is>
      </c>
      <c r="M1399" s="22" t="inlineStr"/>
    </row>
    <row r="1400">
      <c r="A1400" s="37" t="n">
        <v>45295</v>
      </c>
      <c r="B1400" s="37" t="n">
        <v>45295</v>
      </c>
      <c r="C1400" s="38" t="n">
        <v>130</v>
      </c>
      <c r="D1400" s="38" t="n">
        <v>0</v>
      </c>
      <c r="E1400" s="38" t="inlineStr"/>
      <c r="F1400" s="38" t="inlineStr">
        <is>
          <t>UPI Payment</t>
        </is>
      </c>
      <c r="G1400" s="25" t="n">
        <v>0.55</v>
      </c>
      <c r="H1400" s="38" t="inlineStr">
        <is>
          <t>Personal</t>
        </is>
      </c>
      <c r="I1400" s="38" t="inlineStr">
        <is>
          <t>FEDERAL 0847</t>
        </is>
      </c>
      <c r="J1400" s="38" t="inlineStr"/>
      <c r="K1400" s="38" t="inlineStr">
        <is>
          <t>UPIOUT/400484118098/9059531663@axl/Sent
via /0000</t>
        </is>
      </c>
      <c r="L1400" s="38" t="inlineStr">
        <is>
          <t>Federal Bank (Jupiter)</t>
        </is>
      </c>
      <c r="M1400" s="38" t="inlineStr"/>
    </row>
    <row r="1401">
      <c r="A1401" s="37" t="n">
        <v>45295</v>
      </c>
      <c r="B1401" s="37" t="n">
        <v>45295</v>
      </c>
      <c r="C1401" s="38" t="n">
        <v>244</v>
      </c>
      <c r="D1401" s="38" t="n">
        <v>0</v>
      </c>
      <c r="E1401" s="38" t="inlineStr"/>
      <c r="F1401" s="38" t="inlineStr">
        <is>
          <t>UPI Payment</t>
        </is>
      </c>
      <c r="G1401" s="25" t="n">
        <v>0.55</v>
      </c>
      <c r="H1401" s="38" t="inlineStr">
        <is>
          <t>Personal</t>
        </is>
      </c>
      <c r="I1401" s="38" t="inlineStr">
        <is>
          <t>FEDERAL 0847</t>
        </is>
      </c>
      <c r="J1401" s="38" t="inlineStr"/>
      <c r="K1401" s="38" t="inlineStr">
        <is>
          <t>UPIOUT/400484784253/9603897717@ybl/Sent
via /0000</t>
        </is>
      </c>
      <c r="L1401" s="38" t="inlineStr">
        <is>
          <t>Federal Bank (Jupiter)</t>
        </is>
      </c>
      <c r="M1401" s="38" t="inlineStr"/>
    </row>
    <row r="1402">
      <c r="A1402" s="54" t="n">
        <v>45296</v>
      </c>
      <c r="B1402" s="54" t="n">
        <v>45296</v>
      </c>
      <c r="C1402" s="55" t="n">
        <v>0</v>
      </c>
      <c r="D1402" s="55" t="n">
        <v>10025.81</v>
      </c>
      <c r="E1402" s="55" t="inlineStr"/>
      <c r="F1402" s="55" t="inlineStr">
        <is>
          <t>HDFC Securities - Sell</t>
        </is>
      </c>
      <c r="G1402" s="18" t="n">
        <v>0.97</v>
      </c>
      <c r="H1402" s="55" t="inlineStr">
        <is>
          <t>HDFC Securities</t>
        </is>
      </c>
      <c r="I1402" s="55" t="inlineStr">
        <is>
          <t>HDFC 5413</t>
        </is>
      </c>
      <c r="J1402" s="55" t="inlineStr"/>
      <c r="K1402" s="55" t="inlineStr">
        <is>
          <t>NET PO FROM HSL A/C 2554606-50200085415108</t>
        </is>
      </c>
      <c r="L1402" s="55" t="inlineStr">
        <is>
          <t>HDFC Bank</t>
        </is>
      </c>
      <c r="M1402" s="55" t="inlineStr"/>
    </row>
    <row r="1403">
      <c r="A1403" s="41" t="n">
        <v>45296</v>
      </c>
      <c r="B1403" s="41" t="n">
        <v>45296</v>
      </c>
      <c r="C1403" s="42" t="n">
        <v>824.52</v>
      </c>
      <c r="D1403" s="42" t="n">
        <v>0</v>
      </c>
      <c r="E1403" s="42" t="inlineStr"/>
      <c r="F1403" s="42" t="inlineStr">
        <is>
          <t>HDFC Securities - Buy</t>
        </is>
      </c>
      <c r="G1403" s="18" t="n">
        <v>0.97</v>
      </c>
      <c r="H1403" s="42" t="inlineStr">
        <is>
          <t>HDFC Securities</t>
        </is>
      </c>
      <c r="I1403" s="42" t="inlineStr">
        <is>
          <t>HDFC 5413</t>
        </is>
      </c>
      <c r="J1403" s="42" t="inlineStr"/>
      <c r="K1403" s="42" t="inlineStr">
        <is>
          <t>NET PI TO HSL SEC A/C 2554606-00602340029427</t>
        </is>
      </c>
      <c r="L1403" s="42" t="inlineStr">
        <is>
          <t>HDFC Bank</t>
        </is>
      </c>
      <c r="M1403" s="42" t="inlineStr"/>
    </row>
    <row r="1404">
      <c r="A1404" s="35" t="n">
        <v>45296</v>
      </c>
      <c r="B1404" s="35" t="n">
        <v>45296</v>
      </c>
      <c r="C1404" s="36" t="n">
        <v>65</v>
      </c>
      <c r="D1404" s="36" t="n">
        <v>0</v>
      </c>
      <c r="E1404" s="36" t="inlineStr"/>
      <c r="F1404" s="36" t="inlineStr">
        <is>
          <t>UPI - Paytm</t>
        </is>
      </c>
      <c r="G1404" s="34" t="n">
        <v>0.65</v>
      </c>
      <c r="H1404" s="36" t="inlineStr">
        <is>
          <t>Personal</t>
        </is>
      </c>
      <c r="I1404" s="36" t="inlineStr">
        <is>
          <t>FEDERAL 0847</t>
        </is>
      </c>
      <c r="J1404" s="36" t="inlineStr"/>
      <c r="K1404" s="36" t="inlineStr">
        <is>
          <t>UPIOUT/400589500453/paytmqr281005050101183
o5/5812</t>
        </is>
      </c>
      <c r="L1404" s="36" t="inlineStr">
        <is>
          <t>Federal Bank (Jupiter)</t>
        </is>
      </c>
      <c r="M1404" s="36" t="inlineStr"/>
    </row>
    <row r="1405">
      <c r="A1405" s="35" t="n">
        <v>45296</v>
      </c>
      <c r="B1405" s="35" t="n">
        <v>45296</v>
      </c>
      <c r="C1405" s="36" t="n">
        <v>30</v>
      </c>
      <c r="D1405" s="36" t="n">
        <v>0</v>
      </c>
      <c r="E1405" s="36" t="inlineStr"/>
      <c r="F1405" s="36" t="inlineStr">
        <is>
          <t>UPI - Paytm</t>
        </is>
      </c>
      <c r="G1405" s="34" t="n">
        <v>0.65</v>
      </c>
      <c r="H1405" s="36" t="inlineStr">
        <is>
          <t>Personal</t>
        </is>
      </c>
      <c r="I1405" s="36" t="inlineStr">
        <is>
          <t>FEDERAL 0847</t>
        </is>
      </c>
      <c r="J1405" s="36" t="inlineStr"/>
      <c r="K1405" s="36" t="inlineStr">
        <is>
          <t>UPIOUT/400586851771/paytmqr2810050501018y8
x4/5451</t>
        </is>
      </c>
      <c r="L1405" s="36" t="inlineStr">
        <is>
          <t>Federal Bank (Jupiter)</t>
        </is>
      </c>
      <c r="M1405" s="36" t="inlineStr"/>
    </row>
    <row r="1406">
      <c r="A1406" s="37" t="n">
        <v>45296</v>
      </c>
      <c r="B1406" s="37" t="n">
        <v>45296</v>
      </c>
      <c r="C1406" s="38" t="n">
        <v>15</v>
      </c>
      <c r="D1406" s="38" t="n">
        <v>0</v>
      </c>
      <c r="E1406" s="38" t="inlineStr"/>
      <c r="F1406" s="38" t="inlineStr">
        <is>
          <t>UPI Payment</t>
        </is>
      </c>
      <c r="G1406" s="25" t="n">
        <v>0.55</v>
      </c>
      <c r="H1406" s="38" t="inlineStr">
        <is>
          <t>Personal</t>
        </is>
      </c>
      <c r="I1406" s="38" t="inlineStr">
        <is>
          <t>FEDERAL 0847</t>
        </is>
      </c>
      <c r="J1406" s="38" t="inlineStr"/>
      <c r="K1406" s="38" t="inlineStr">
        <is>
          <t>UPIOUT/400589668505/Q061226296@ybl/Sent
via /5411</t>
        </is>
      </c>
      <c r="L1406" s="38" t="inlineStr">
        <is>
          <t>Federal Bank (Jupiter)</t>
        </is>
      </c>
      <c r="M1406" s="38" t="inlineStr"/>
    </row>
    <row r="1407">
      <c r="A1407" s="37" t="n">
        <v>45297</v>
      </c>
      <c r="B1407" s="37" t="n">
        <v>45297</v>
      </c>
      <c r="C1407" s="38" t="n">
        <v>15</v>
      </c>
      <c r="D1407" s="38" t="n">
        <v>0</v>
      </c>
      <c r="E1407" s="38" t="inlineStr"/>
      <c r="F1407" s="38" t="inlineStr">
        <is>
          <t>UPI Payment</t>
        </is>
      </c>
      <c r="G1407" s="25" t="n">
        <v>0.55</v>
      </c>
      <c r="H1407" s="38" t="inlineStr">
        <is>
          <t>Personal</t>
        </is>
      </c>
      <c r="I1407" s="38" t="inlineStr">
        <is>
          <t>FEDERAL 0847</t>
        </is>
      </c>
      <c r="J1407" s="38" t="inlineStr"/>
      <c r="K1407" s="38" t="inlineStr">
        <is>
          <t>UPIOUT/400695237318/Q832428843@ybl/Sent
via /5814</t>
        </is>
      </c>
      <c r="L1407" s="38" t="inlineStr">
        <is>
          <t>Federal Bank (Jupiter)</t>
        </is>
      </c>
      <c r="M1407" s="38" t="inlineStr">
        <is>
          <t>⚠ Possible Duplicate</t>
        </is>
      </c>
    </row>
    <row r="1408">
      <c r="A1408" s="37" t="n">
        <v>45297</v>
      </c>
      <c r="B1408" s="37" t="n">
        <v>45297</v>
      </c>
      <c r="C1408" s="38" t="n">
        <v>15</v>
      </c>
      <c r="D1408" s="38" t="n">
        <v>0</v>
      </c>
      <c r="E1408" s="38" t="inlineStr"/>
      <c r="F1408" s="38" t="inlineStr">
        <is>
          <t>UPI Payment</t>
        </is>
      </c>
      <c r="G1408" s="25" t="n">
        <v>0.55</v>
      </c>
      <c r="H1408" s="38" t="inlineStr">
        <is>
          <t>Personal</t>
        </is>
      </c>
      <c r="I1408" s="38" t="inlineStr">
        <is>
          <t>FEDERAL 0847</t>
        </is>
      </c>
      <c r="J1408" s="38" t="inlineStr"/>
      <c r="K1408" s="38" t="inlineStr">
        <is>
          <t>UPIOUT/400692907367/Q513775428@ybl/Sent
via /5311</t>
        </is>
      </c>
      <c r="L1408" s="38" t="inlineStr">
        <is>
          <t>Federal Bank (Jupiter)</t>
        </is>
      </c>
      <c r="M1408" s="38" t="inlineStr">
        <is>
          <t>⚠ Possible Duplicate</t>
        </is>
      </c>
    </row>
    <row r="1409">
      <c r="A1409" s="37" t="n">
        <v>45297</v>
      </c>
      <c r="B1409" s="37" t="n">
        <v>45297</v>
      </c>
      <c r="C1409" s="38" t="n">
        <v>40</v>
      </c>
      <c r="D1409" s="38" t="n">
        <v>0</v>
      </c>
      <c r="E1409" s="38" t="inlineStr"/>
      <c r="F1409" s="38" t="inlineStr">
        <is>
          <t>UPI Payment</t>
        </is>
      </c>
      <c r="G1409" s="25" t="n">
        <v>0.55</v>
      </c>
      <c r="H1409" s="38" t="inlineStr">
        <is>
          <t>Personal</t>
        </is>
      </c>
      <c r="I1409" s="38" t="inlineStr">
        <is>
          <t>FEDERAL 0847</t>
        </is>
      </c>
      <c r="J1409" s="38" t="inlineStr"/>
      <c r="K1409" s="38" t="inlineStr">
        <is>
          <t>UPIOUT/400695177461/Q963866768@ybl/Sent
via /5814</t>
        </is>
      </c>
      <c r="L1409" s="38" t="inlineStr">
        <is>
          <t>Federal Bank (Jupiter)</t>
        </is>
      </c>
      <c r="M1409" s="38" t="inlineStr"/>
    </row>
    <row r="1410">
      <c r="A1410" s="37" t="n">
        <v>45297</v>
      </c>
      <c r="B1410" s="37" t="n">
        <v>45297</v>
      </c>
      <c r="C1410" s="38" t="n">
        <v>20</v>
      </c>
      <c r="D1410" s="38" t="n">
        <v>0</v>
      </c>
      <c r="E1410" s="38" t="inlineStr"/>
      <c r="F1410" s="38" t="inlineStr">
        <is>
          <t>UPI Payment</t>
        </is>
      </c>
      <c r="G1410" s="25" t="n">
        <v>0.55</v>
      </c>
      <c r="H1410" s="38" t="inlineStr">
        <is>
          <t>Personal</t>
        </is>
      </c>
      <c r="I1410" s="38" t="inlineStr">
        <is>
          <t>FEDERAL 0847</t>
        </is>
      </c>
      <c r="J1410" s="38" t="inlineStr"/>
      <c r="K1410" s="38" t="inlineStr">
        <is>
          <t>UPIOUT/400695194432/shileshmail19@okaxis/S
en/0000</t>
        </is>
      </c>
      <c r="L1410" s="38" t="inlineStr">
        <is>
          <t>Federal Bank (Jupiter)</t>
        </is>
      </c>
      <c r="M1410" s="38" t="inlineStr"/>
    </row>
    <row r="1411">
      <c r="A1411" s="35" t="n">
        <v>45297</v>
      </c>
      <c r="B1411" s="35" t="n">
        <v>45297</v>
      </c>
      <c r="C1411" s="36" t="n">
        <v>117</v>
      </c>
      <c r="D1411" s="36" t="n">
        <v>0</v>
      </c>
      <c r="E1411" s="36" t="inlineStr"/>
      <c r="F1411" s="36" t="inlineStr">
        <is>
          <t>UPI - Paytm</t>
        </is>
      </c>
      <c r="G1411" s="34" t="n">
        <v>0.65</v>
      </c>
      <c r="H1411" s="36" t="inlineStr">
        <is>
          <t>Personal</t>
        </is>
      </c>
      <c r="I1411" s="36" t="inlineStr">
        <is>
          <t>FEDERAL 0847</t>
        </is>
      </c>
      <c r="J1411" s="36" t="inlineStr"/>
      <c r="K1411" s="36" t="inlineStr">
        <is>
          <t>UPIOUT/400695957601/paytmqr5xtfo6rqay@payt
m//5451</t>
        </is>
      </c>
      <c r="L1411" s="36" t="inlineStr">
        <is>
          <t>Federal Bank (Jupiter)</t>
        </is>
      </c>
      <c r="M1411" s="36" t="inlineStr"/>
    </row>
    <row r="1412">
      <c r="A1412" s="35" t="n">
        <v>45297</v>
      </c>
      <c r="B1412" s="35" t="n">
        <v>45297</v>
      </c>
      <c r="C1412" s="36" t="n">
        <v>65</v>
      </c>
      <c r="D1412" s="36" t="n">
        <v>0</v>
      </c>
      <c r="E1412" s="36" t="inlineStr"/>
      <c r="F1412" s="36" t="inlineStr">
        <is>
          <t>UPI - Paytm</t>
        </is>
      </c>
      <c r="G1412" s="34" t="n">
        <v>0.65</v>
      </c>
      <c r="H1412" s="36" t="inlineStr">
        <is>
          <t>Personal</t>
        </is>
      </c>
      <c r="I1412" s="36" t="inlineStr">
        <is>
          <t>FEDERAL 0847</t>
        </is>
      </c>
      <c r="J1412" s="36" t="inlineStr"/>
      <c r="K1412" s="36" t="inlineStr">
        <is>
          <t>UPIOUT/400692533763/paytmqrq7x35rdmzv@payt
m//5411</t>
        </is>
      </c>
      <c r="L1412" s="36" t="inlineStr">
        <is>
          <t>Federal Bank (Jupiter)</t>
        </is>
      </c>
      <c r="M1412" s="36" t="inlineStr"/>
    </row>
    <row r="1413">
      <c r="A1413" s="37" t="n">
        <v>45298</v>
      </c>
      <c r="B1413" s="37" t="n">
        <v>45298</v>
      </c>
      <c r="C1413" s="38" t="n">
        <v>15</v>
      </c>
      <c r="D1413" s="38" t="n">
        <v>0</v>
      </c>
      <c r="E1413" s="38" t="inlineStr"/>
      <c r="F1413" s="38" t="inlineStr">
        <is>
          <t>UPI Payment</t>
        </is>
      </c>
      <c r="G1413" s="25" t="n">
        <v>0.55</v>
      </c>
      <c r="H1413" s="38" t="inlineStr">
        <is>
          <t>Personal</t>
        </is>
      </c>
      <c r="I1413" s="38" t="inlineStr">
        <is>
          <t>FEDERAL 0847</t>
        </is>
      </c>
      <c r="J1413" s="38" t="inlineStr"/>
      <c r="K1413" s="38" t="inlineStr">
        <is>
          <t>UPIOUT/400797891818/Q172816524@ybl/Sent
via /5814</t>
        </is>
      </c>
      <c r="L1413" s="38" t="inlineStr">
        <is>
          <t>Federal Bank (Jupiter)</t>
        </is>
      </c>
      <c r="M1413" s="38" t="inlineStr"/>
    </row>
    <row r="1414">
      <c r="A1414" s="35" t="n">
        <v>45298</v>
      </c>
      <c r="B1414" s="35" t="n">
        <v>45298</v>
      </c>
      <c r="C1414" s="36" t="n">
        <v>329</v>
      </c>
      <c r="D1414" s="36" t="n">
        <v>0</v>
      </c>
      <c r="E1414" s="36" t="inlineStr"/>
      <c r="F1414" s="36" t="inlineStr">
        <is>
          <t>UPI - Paytm</t>
        </is>
      </c>
      <c r="G1414" s="34" t="n">
        <v>0.65</v>
      </c>
      <c r="H1414" s="36" t="inlineStr">
        <is>
          <t>Personal</t>
        </is>
      </c>
      <c r="I1414" s="36" t="inlineStr">
        <is>
          <t>FEDERAL 0847</t>
        </is>
      </c>
      <c r="J1414" s="36" t="inlineStr"/>
      <c r="K1414" s="36" t="inlineStr">
        <is>
          <t>UPIOUT/400799107956/paytmqrfuea1l7gm2@payt
m//5812</t>
        </is>
      </c>
      <c r="L1414" s="36" t="inlineStr">
        <is>
          <t>Federal Bank (Jupiter)</t>
        </is>
      </c>
      <c r="M1414" s="36" t="inlineStr"/>
    </row>
    <row r="1415">
      <c r="A1415" s="37" t="n">
        <v>45298</v>
      </c>
      <c r="B1415" s="37" t="n">
        <v>45298</v>
      </c>
      <c r="C1415" s="38" t="n">
        <v>20</v>
      </c>
      <c r="D1415" s="38" t="n">
        <v>0</v>
      </c>
      <c r="E1415" s="38" t="inlineStr"/>
      <c r="F1415" s="38" t="inlineStr">
        <is>
          <t>UPI Payment</t>
        </is>
      </c>
      <c r="G1415" s="25" t="n">
        <v>0.55</v>
      </c>
      <c r="H1415" s="38" t="inlineStr">
        <is>
          <t>Personal</t>
        </is>
      </c>
      <c r="I1415" s="38" t="inlineStr">
        <is>
          <t>FEDERAL 0847</t>
        </is>
      </c>
      <c r="J1415" s="38" t="inlineStr"/>
      <c r="K1415" s="38" t="inlineStr">
        <is>
          <t>UPIOUT/400799131327/Q080504479@ybl/Sent
via /5812</t>
        </is>
      </c>
      <c r="L1415" s="38" t="inlineStr">
        <is>
          <t>Federal Bank (Jupiter)</t>
        </is>
      </c>
      <c r="M1415" s="38" t="inlineStr"/>
    </row>
    <row r="1416">
      <c r="A1416" s="37" t="n">
        <v>45298</v>
      </c>
      <c r="B1416" s="37" t="n">
        <v>45298</v>
      </c>
      <c r="C1416" s="38" t="n">
        <v>10</v>
      </c>
      <c r="D1416" s="38" t="n">
        <v>0</v>
      </c>
      <c r="E1416" s="38" t="inlineStr"/>
      <c r="F1416" s="38" t="inlineStr">
        <is>
          <t>UPI Payment</t>
        </is>
      </c>
      <c r="G1416" s="25" t="n">
        <v>0.55</v>
      </c>
      <c r="H1416" s="38" t="inlineStr">
        <is>
          <t>Personal</t>
        </is>
      </c>
      <c r="I1416" s="38" t="inlineStr">
        <is>
          <t>FEDERAL 0847</t>
        </is>
      </c>
      <c r="J1416" s="38" t="inlineStr"/>
      <c r="K1416" s="38" t="inlineStr">
        <is>
          <t>UPIOUT/400711080613/Q832428843@ybl/Sent
via /5814</t>
        </is>
      </c>
      <c r="L1416" s="38" t="inlineStr">
        <is>
          <t>Federal Bank (Jupiter)</t>
        </is>
      </c>
      <c r="M1416" s="38" t="inlineStr"/>
    </row>
    <row r="1417">
      <c r="A1417" s="21" t="n">
        <v>45299</v>
      </c>
      <c r="B1417" s="21" t="n">
        <v>45299</v>
      </c>
      <c r="C1417" s="22" t="n">
        <v>30</v>
      </c>
      <c r="D1417" s="22" t="n">
        <v>0</v>
      </c>
      <c r="E1417" s="22" t="inlineStr"/>
      <c r="F1417" s="22" t="inlineStr">
        <is>
          <t>UPI - Rapido</t>
        </is>
      </c>
      <c r="G1417" s="34" t="n">
        <v>0.68</v>
      </c>
      <c r="H1417" s="22" t="inlineStr">
        <is>
          <t>Transport</t>
        </is>
      </c>
      <c r="I1417" s="22" t="inlineStr">
        <is>
          <t>FEDERAL 0847</t>
        </is>
      </c>
      <c r="J1417" s="22" t="inlineStr"/>
      <c r="K1417" s="22" t="inlineStr">
        <is>
          <t>UPIOUT/400813100240/rapido.rzp@icici/Payme
nt/4121</t>
        </is>
      </c>
      <c r="L1417" s="22" t="inlineStr">
        <is>
          <t>Federal Bank (Jupiter)</t>
        </is>
      </c>
      <c r="M1417" s="22" t="inlineStr"/>
    </row>
    <row r="1418">
      <c r="A1418" s="37" t="n">
        <v>45299</v>
      </c>
      <c r="B1418" s="37" t="n">
        <v>45299</v>
      </c>
      <c r="C1418" s="38" t="n">
        <v>10</v>
      </c>
      <c r="D1418" s="38" t="n">
        <v>0</v>
      </c>
      <c r="E1418" s="38" t="inlineStr"/>
      <c r="F1418" s="38" t="inlineStr">
        <is>
          <t>UPI Payment</t>
        </is>
      </c>
      <c r="G1418" s="25" t="n">
        <v>0.55</v>
      </c>
      <c r="H1418" s="38" t="inlineStr">
        <is>
          <t>Personal</t>
        </is>
      </c>
      <c r="I1418" s="38" t="inlineStr">
        <is>
          <t>FEDERAL 0847</t>
        </is>
      </c>
      <c r="J1418" s="38" t="inlineStr"/>
      <c r="K1418" s="38" t="inlineStr">
        <is>
          <t>UPIOUT/400815845153/8125820265@ibl/Sent
via /0000</t>
        </is>
      </c>
      <c r="L1418" s="38" t="inlineStr">
        <is>
          <t>Federal Bank (Jupiter)</t>
        </is>
      </c>
      <c r="M1418" s="38" t="inlineStr">
        <is>
          <t>⚠ Possible Duplicate</t>
        </is>
      </c>
    </row>
    <row r="1419">
      <c r="A1419" s="37" t="n">
        <v>45299</v>
      </c>
      <c r="B1419" s="37" t="n">
        <v>45299</v>
      </c>
      <c r="C1419" s="38" t="n">
        <v>40</v>
      </c>
      <c r="D1419" s="38" t="n">
        <v>0</v>
      </c>
      <c r="E1419" s="38" t="inlineStr"/>
      <c r="F1419" s="38" t="inlineStr">
        <is>
          <t>UPI Payment</t>
        </is>
      </c>
      <c r="G1419" s="25" t="n">
        <v>0.55</v>
      </c>
      <c r="H1419" s="38" t="inlineStr">
        <is>
          <t>Personal</t>
        </is>
      </c>
      <c r="I1419" s="38" t="inlineStr">
        <is>
          <t>FEDERAL 0847</t>
        </is>
      </c>
      <c r="J1419" s="38" t="inlineStr"/>
      <c r="K1419" s="38" t="inlineStr">
        <is>
          <t>UPIOUT/400815901669/Q009697312@ybl/Sent
via /5814</t>
        </is>
      </c>
      <c r="L1419" s="38" t="inlineStr">
        <is>
          <t>Federal Bank (Jupiter)</t>
        </is>
      </c>
      <c r="M1419" s="38" t="inlineStr"/>
    </row>
    <row r="1420">
      <c r="A1420" s="37" t="n">
        <v>45299</v>
      </c>
      <c r="B1420" s="37" t="n">
        <v>45299</v>
      </c>
      <c r="C1420" s="38" t="n">
        <v>10</v>
      </c>
      <c r="D1420" s="38" t="n">
        <v>0</v>
      </c>
      <c r="E1420" s="38" t="inlineStr"/>
      <c r="F1420" s="38" t="inlineStr">
        <is>
          <t>UPI Payment</t>
        </is>
      </c>
      <c r="G1420" s="25" t="n">
        <v>0.55</v>
      </c>
      <c r="H1420" s="38" t="inlineStr">
        <is>
          <t>Personal</t>
        </is>
      </c>
      <c r="I1420" s="38" t="inlineStr">
        <is>
          <t>FEDERAL 0847</t>
        </is>
      </c>
      <c r="J1420" s="38" t="inlineStr"/>
      <c r="K1420" s="38" t="inlineStr">
        <is>
          <t>UPIOUT/400815951173/Q832428843@ybl/Sent
via /5814</t>
        </is>
      </c>
      <c r="L1420" s="38" t="inlineStr">
        <is>
          <t>Federal Bank (Jupiter)</t>
        </is>
      </c>
      <c r="M1420" s="38" t="inlineStr">
        <is>
          <t>⚠ Possible Duplicate</t>
        </is>
      </c>
    </row>
    <row r="1421">
      <c r="A1421" s="37" t="n">
        <v>45299</v>
      </c>
      <c r="B1421" s="37" t="n">
        <v>45299</v>
      </c>
      <c r="C1421" s="38" t="n">
        <v>15000</v>
      </c>
      <c r="D1421" s="38" t="n">
        <v>0</v>
      </c>
      <c r="E1421" s="38" t="inlineStr"/>
      <c r="F1421" s="38" t="inlineStr">
        <is>
          <t>UPI Payment</t>
        </is>
      </c>
      <c r="G1421" s="25" t="n">
        <v>0.55</v>
      </c>
      <c r="H1421" s="38" t="inlineStr">
        <is>
          <t>Personal</t>
        </is>
      </c>
      <c r="I1421" s="38" t="inlineStr">
        <is>
          <t>FEDERAL 0847</t>
        </is>
      </c>
      <c r="J1421" s="38" t="inlineStr"/>
      <c r="K1421" s="38" t="inlineStr">
        <is>
          <t>UPIOUT/400816648585/Vyapar.168625347624@hd
fc/7011</t>
        </is>
      </c>
      <c r="L1421" s="38" t="inlineStr">
        <is>
          <t>Federal Bank (Jupiter)</t>
        </is>
      </c>
      <c r="M1421" s="38" t="inlineStr"/>
    </row>
    <row r="1422">
      <c r="A1422" s="23" t="n">
        <v>45299</v>
      </c>
      <c r="B1422" s="23" t="n">
        <v>45299</v>
      </c>
      <c r="C1422" s="24" t="n">
        <v>0</v>
      </c>
      <c r="D1422" s="24" t="n">
        <v>1880</v>
      </c>
      <c r="E1422" s="24" t="inlineStr"/>
      <c r="F1422" s="24" t="inlineStr">
        <is>
          <t>What is this?</t>
        </is>
      </c>
      <c r="G1422" s="25" t="n">
        <v>0</v>
      </c>
      <c r="H1422" s="24" t="inlineStr">
        <is>
          <t>Suspense</t>
        </is>
      </c>
      <c r="I1422" s="24" t="inlineStr">
        <is>
          <t>HDFC 5413</t>
        </is>
      </c>
      <c r="J1422" s="24" t="inlineStr"/>
      <c r="K1422" s="24" t="inlineStr">
        <is>
          <t>00602300000434-025399570</t>
        </is>
      </c>
      <c r="L1422" s="24" t="inlineStr">
        <is>
          <t>HDFC Bank</t>
        </is>
      </c>
      <c r="M1422" s="24" t="inlineStr"/>
    </row>
    <row r="1423">
      <c r="A1423" s="41" t="n">
        <v>45299</v>
      </c>
      <c r="B1423" s="41" t="n">
        <v>45299</v>
      </c>
      <c r="C1423" s="42" t="n">
        <v>2764.57</v>
      </c>
      <c r="D1423" s="42" t="n">
        <v>0</v>
      </c>
      <c r="E1423" s="42" t="inlineStr"/>
      <c r="F1423" s="42" t="inlineStr">
        <is>
          <t>HDFC Securities - Buy</t>
        </is>
      </c>
      <c r="G1423" s="18" t="n">
        <v>0.97</v>
      </c>
      <c r="H1423" s="42" t="inlineStr">
        <is>
          <t>HDFC Securities</t>
        </is>
      </c>
      <c r="I1423" s="42" t="inlineStr">
        <is>
          <t>HDFC 5413</t>
        </is>
      </c>
      <c r="J1423" s="42" t="inlineStr"/>
      <c r="K1423" s="42" t="inlineStr">
        <is>
          <t>NET PI TO HSL SEC A/C 2554606-00602340029427</t>
        </is>
      </c>
      <c r="L1423" s="42" t="inlineStr">
        <is>
          <t>HDFC Bank</t>
        </is>
      </c>
      <c r="M1423" s="42" t="inlineStr"/>
    </row>
    <row r="1424">
      <c r="A1424" s="41" t="n">
        <v>45300</v>
      </c>
      <c r="B1424" s="41" t="n">
        <v>45300</v>
      </c>
      <c r="C1424" s="42" t="n">
        <v>204.72</v>
      </c>
      <c r="D1424" s="42" t="n">
        <v>0</v>
      </c>
      <c r="E1424" s="42" t="inlineStr"/>
      <c r="F1424" s="42" t="inlineStr">
        <is>
          <t>HDFC Securities - Buy</t>
        </is>
      </c>
      <c r="G1424" s="18" t="n">
        <v>0.97</v>
      </c>
      <c r="H1424" s="42" t="inlineStr">
        <is>
          <t>HDFC Securities</t>
        </is>
      </c>
      <c r="I1424" s="42" t="inlineStr">
        <is>
          <t>HDFC 5413</t>
        </is>
      </c>
      <c r="J1424" s="42" t="inlineStr"/>
      <c r="K1424" s="42" t="inlineStr">
        <is>
          <t>NET PI TO HSL SEC A/C 2554606-00602340029427</t>
        </is>
      </c>
      <c r="L1424" s="42" t="inlineStr">
        <is>
          <t>HDFC Bank</t>
        </is>
      </c>
      <c r="M1424" s="42" t="inlineStr"/>
    </row>
    <row r="1425">
      <c r="A1425" s="54" t="n">
        <v>45300</v>
      </c>
      <c r="B1425" s="54" t="n">
        <v>45300</v>
      </c>
      <c r="C1425" s="55" t="n">
        <v>0</v>
      </c>
      <c r="D1425" s="55" t="n">
        <v>40963.52</v>
      </c>
      <c r="E1425" s="55" t="inlineStr"/>
      <c r="F1425" s="55" t="inlineStr">
        <is>
          <t>HDFC Securities - Sell</t>
        </is>
      </c>
      <c r="G1425" s="18" t="n">
        <v>0.97</v>
      </c>
      <c r="H1425" s="55" t="inlineStr">
        <is>
          <t>HDFC Securities</t>
        </is>
      </c>
      <c r="I1425" s="55" t="inlineStr">
        <is>
          <t>HDFC 5413</t>
        </is>
      </c>
      <c r="J1425" s="55" t="inlineStr"/>
      <c r="K1425" s="55" t="inlineStr">
        <is>
          <t>NET PO FROM HSL A/C 2554606-50200085415108</t>
        </is>
      </c>
      <c r="L1425" s="55" t="inlineStr">
        <is>
          <t>HDFC Bank</t>
        </is>
      </c>
      <c r="M1425" s="55" t="inlineStr"/>
    </row>
    <row r="1426">
      <c r="A1426" s="37" t="n">
        <v>45300</v>
      </c>
      <c r="B1426" s="37" t="n">
        <v>45300</v>
      </c>
      <c r="C1426" s="38" t="n">
        <v>2000</v>
      </c>
      <c r="D1426" s="38" t="n">
        <v>0</v>
      </c>
      <c r="E1426" s="38" t="inlineStr"/>
      <c r="F1426" s="38" t="inlineStr">
        <is>
          <t>UPI Payment</t>
        </is>
      </c>
      <c r="G1426" s="25" t="n">
        <v>0.55</v>
      </c>
      <c r="H1426" s="38" t="inlineStr">
        <is>
          <t>Personal</t>
        </is>
      </c>
      <c r="I1426" s="38" t="inlineStr">
        <is>
          <t>FEDERAL 0847</t>
        </is>
      </c>
      <c r="J1426" s="38" t="inlineStr"/>
      <c r="K1426" s="38" t="inlineStr">
        <is>
          <t>UPIOUT/400918896471/7842871935@ibl/Sent
via /0000</t>
        </is>
      </c>
      <c r="L1426" s="38" t="inlineStr">
        <is>
          <t>Federal Bank (Jupiter)</t>
        </is>
      </c>
      <c r="M1426" s="38" t="inlineStr"/>
    </row>
    <row r="1427">
      <c r="A1427" s="37" t="n">
        <v>45300</v>
      </c>
      <c r="B1427" s="37" t="n">
        <v>45300</v>
      </c>
      <c r="C1427" s="38" t="n">
        <v>10</v>
      </c>
      <c r="D1427" s="38" t="n">
        <v>0</v>
      </c>
      <c r="E1427" s="38" t="inlineStr"/>
      <c r="F1427" s="38" t="inlineStr">
        <is>
          <t>UPI Payment</t>
        </is>
      </c>
      <c r="G1427" s="25" t="n">
        <v>0.55</v>
      </c>
      <c r="H1427" s="38" t="inlineStr">
        <is>
          <t>Personal</t>
        </is>
      </c>
      <c r="I1427" s="38" t="inlineStr">
        <is>
          <t>FEDERAL 0847</t>
        </is>
      </c>
      <c r="J1427" s="38" t="inlineStr"/>
      <c r="K1427" s="38" t="inlineStr">
        <is>
          <t>UPIOUT/437533773514/revellythirupathi111@o
kh/0000</t>
        </is>
      </c>
      <c r="L1427" s="38" t="inlineStr">
        <is>
          <t>Federal Bank (Jupiter)</t>
        </is>
      </c>
      <c r="M1427" s="38" t="inlineStr">
        <is>
          <t>⚠ Possible Duplicate</t>
        </is>
      </c>
    </row>
    <row r="1428">
      <c r="A1428" s="35" t="n">
        <v>45300</v>
      </c>
      <c r="B1428" s="35" t="n">
        <v>45300</v>
      </c>
      <c r="C1428" s="36" t="n">
        <v>40</v>
      </c>
      <c r="D1428" s="36" t="n">
        <v>0</v>
      </c>
      <c r="E1428" s="36" t="inlineStr"/>
      <c r="F1428" s="36" t="inlineStr">
        <is>
          <t>UPI - Paytm</t>
        </is>
      </c>
      <c r="G1428" s="34" t="n">
        <v>0.65</v>
      </c>
      <c r="H1428" s="36" t="inlineStr">
        <is>
          <t>Personal</t>
        </is>
      </c>
      <c r="I1428" s="36" t="inlineStr">
        <is>
          <t>FEDERAL 0847</t>
        </is>
      </c>
      <c r="J1428" s="36" t="inlineStr"/>
      <c r="K1428" s="36" t="inlineStr">
        <is>
          <t>UPIOUT/400922049972/paytmqr2810050501015xg
zt/5411</t>
        </is>
      </c>
      <c r="L1428" s="36" t="inlineStr">
        <is>
          <t>Federal Bank (Jupiter)</t>
        </is>
      </c>
      <c r="M1428" s="36" t="inlineStr"/>
    </row>
    <row r="1429">
      <c r="A1429" s="35" t="n">
        <v>45300</v>
      </c>
      <c r="B1429" s="35" t="n">
        <v>45300</v>
      </c>
      <c r="C1429" s="36" t="n">
        <v>30</v>
      </c>
      <c r="D1429" s="36" t="n">
        <v>0</v>
      </c>
      <c r="E1429" s="36" t="inlineStr"/>
      <c r="F1429" s="36" t="inlineStr">
        <is>
          <t>UPI - Paytm</t>
        </is>
      </c>
      <c r="G1429" s="34" t="n">
        <v>0.65</v>
      </c>
      <c r="H1429" s="36" t="inlineStr">
        <is>
          <t>Personal</t>
        </is>
      </c>
      <c r="I1429" s="36" t="inlineStr">
        <is>
          <t>FEDERAL 0847</t>
        </is>
      </c>
      <c r="J1429" s="36" t="inlineStr"/>
      <c r="K1429" s="36" t="inlineStr">
        <is>
          <t>UPIOUT/400918603553/paytm-76881028@paytm/S
en/4121</t>
        </is>
      </c>
      <c r="L1429" s="36" t="inlineStr">
        <is>
          <t>Federal Bank (Jupiter)</t>
        </is>
      </c>
      <c r="M1429" s="36" t="inlineStr"/>
    </row>
    <row r="1430">
      <c r="A1430" s="37" t="n">
        <v>45300</v>
      </c>
      <c r="B1430" s="37" t="n">
        <v>45300</v>
      </c>
      <c r="C1430" s="38" t="n">
        <v>10</v>
      </c>
      <c r="D1430" s="38" t="n">
        <v>0</v>
      </c>
      <c r="E1430" s="38" t="inlineStr"/>
      <c r="F1430" s="38" t="inlineStr">
        <is>
          <t>UPI Payment</t>
        </is>
      </c>
      <c r="G1430" s="25" t="n">
        <v>0.55</v>
      </c>
      <c r="H1430" s="38" t="inlineStr">
        <is>
          <t>Personal</t>
        </is>
      </c>
      <c r="I1430" s="38" t="inlineStr">
        <is>
          <t>FEDERAL 0847</t>
        </is>
      </c>
      <c r="J1430" s="38" t="inlineStr"/>
      <c r="K1430" s="38" t="inlineStr">
        <is>
          <t>UPIOUT/400922138682/Q832428843@ybl/Sent
via /5814</t>
        </is>
      </c>
      <c r="L1430" s="38" t="inlineStr">
        <is>
          <t>Federal Bank (Jupiter)</t>
        </is>
      </c>
      <c r="M1430" s="38" t="inlineStr">
        <is>
          <t>⚠ Possible Duplicate</t>
        </is>
      </c>
    </row>
    <row r="1431">
      <c r="A1431" s="37" t="n">
        <v>45301</v>
      </c>
      <c r="B1431" s="37" t="n">
        <v>45301</v>
      </c>
      <c r="C1431" s="38" t="n">
        <v>10</v>
      </c>
      <c r="D1431" s="38" t="n">
        <v>0</v>
      </c>
      <c r="E1431" s="38" t="inlineStr"/>
      <c r="F1431" s="38" t="inlineStr">
        <is>
          <t>UPI Payment</t>
        </is>
      </c>
      <c r="G1431" s="25" t="n">
        <v>0.55</v>
      </c>
      <c r="H1431" s="38" t="inlineStr">
        <is>
          <t>Personal</t>
        </is>
      </c>
      <c r="I1431" s="38" t="inlineStr">
        <is>
          <t>FEDERAL 0847</t>
        </is>
      </c>
      <c r="J1431" s="38" t="inlineStr"/>
      <c r="K1431" s="38" t="inlineStr">
        <is>
          <t>UPIOUT/401024493632/Q832428843@ybl/Sent
via /5814</t>
        </is>
      </c>
      <c r="L1431" s="38" t="inlineStr">
        <is>
          <t>Federal Bank (Jupiter)</t>
        </is>
      </c>
      <c r="M1431" s="38" t="inlineStr"/>
    </row>
    <row r="1432">
      <c r="A1432" s="37" t="n">
        <v>45301</v>
      </c>
      <c r="B1432" s="37" t="n">
        <v>45301</v>
      </c>
      <c r="C1432" s="38" t="n">
        <v>1030</v>
      </c>
      <c r="D1432" s="38" t="n">
        <v>0</v>
      </c>
      <c r="E1432" s="38" t="inlineStr"/>
      <c r="F1432" s="38" t="inlineStr">
        <is>
          <t>UPI Payment</t>
        </is>
      </c>
      <c r="G1432" s="25" t="n">
        <v>0.55</v>
      </c>
      <c r="H1432" s="38" t="inlineStr">
        <is>
          <t>Personal</t>
        </is>
      </c>
      <c r="I1432" s="38" t="inlineStr">
        <is>
          <t>FEDERAL 0847</t>
        </is>
      </c>
      <c r="J1432" s="38" t="inlineStr"/>
      <c r="K1432" s="38" t="inlineStr">
        <is>
          <t>UPIOUT/401024552860/espetashivakumar19@okh
df/0000</t>
        </is>
      </c>
      <c r="L1432" s="38" t="inlineStr">
        <is>
          <t>Federal Bank (Jupiter)</t>
        </is>
      </c>
      <c r="M1432" s="38" t="inlineStr"/>
    </row>
    <row r="1433">
      <c r="A1433" s="41" t="n">
        <v>45301</v>
      </c>
      <c r="B1433" s="41" t="n">
        <v>45301</v>
      </c>
      <c r="C1433" s="42" t="n">
        <v>204.72</v>
      </c>
      <c r="D1433" s="42" t="n">
        <v>0</v>
      </c>
      <c r="E1433" s="42" t="inlineStr"/>
      <c r="F1433" s="42" t="inlineStr">
        <is>
          <t>HDFC Securities - Buy</t>
        </is>
      </c>
      <c r="G1433" s="18" t="n">
        <v>0.97</v>
      </c>
      <c r="H1433" s="42" t="inlineStr">
        <is>
          <t>HDFC Securities</t>
        </is>
      </c>
      <c r="I1433" s="42" t="inlineStr">
        <is>
          <t>HDFC 5413</t>
        </is>
      </c>
      <c r="J1433" s="42" t="inlineStr"/>
      <c r="K1433" s="42" t="inlineStr">
        <is>
          <t>NET PI TO HSL SEC A/C 2554606-00602340029427</t>
        </is>
      </c>
      <c r="L1433" s="42" t="inlineStr">
        <is>
          <t>HDFC Bank</t>
        </is>
      </c>
      <c r="M1433" s="42" t="inlineStr"/>
    </row>
    <row r="1434">
      <c r="A1434" s="37" t="n">
        <v>45301</v>
      </c>
      <c r="B1434" s="37" t="n">
        <v>45301</v>
      </c>
      <c r="C1434" s="38" t="n">
        <v>34</v>
      </c>
      <c r="D1434" s="38" t="n">
        <v>0</v>
      </c>
      <c r="E1434" s="38" t="inlineStr"/>
      <c r="F1434" s="38" t="inlineStr">
        <is>
          <t>UPI Payment</t>
        </is>
      </c>
      <c r="G1434" s="25" t="n">
        <v>0.55</v>
      </c>
      <c r="H1434" s="38" t="inlineStr">
        <is>
          <t>Personal</t>
        </is>
      </c>
      <c r="I1434" s="38" t="inlineStr">
        <is>
          <t>FEDERAL 0847</t>
        </is>
      </c>
      <c r="J1434" s="38" t="inlineStr"/>
      <c r="K1434" s="38" t="inlineStr">
        <is>
          <t>UPIOUT/401027273243/sankar.challa.ss1@axl/
Se/0000</t>
        </is>
      </c>
      <c r="L1434" s="38" t="inlineStr">
        <is>
          <t>Federal Bank (Jupiter)</t>
        </is>
      </c>
      <c r="M1434" s="38" t="inlineStr"/>
    </row>
    <row r="1435">
      <c r="A1435" s="35" t="n">
        <v>45301</v>
      </c>
      <c r="B1435" s="35" t="n">
        <v>45301</v>
      </c>
      <c r="C1435" s="36" t="n">
        <v>65</v>
      </c>
      <c r="D1435" s="36" t="n">
        <v>0</v>
      </c>
      <c r="E1435" s="36" t="inlineStr"/>
      <c r="F1435" s="36" t="inlineStr">
        <is>
          <t>UPI - Paytm</t>
        </is>
      </c>
      <c r="G1435" s="34" t="n">
        <v>0.65</v>
      </c>
      <c r="H1435" s="36" t="inlineStr">
        <is>
          <t>Personal</t>
        </is>
      </c>
      <c r="I1435" s="36" t="inlineStr">
        <is>
          <t>FEDERAL 0847</t>
        </is>
      </c>
      <c r="J1435" s="36" t="inlineStr"/>
      <c r="K1435" s="36" t="inlineStr">
        <is>
          <t>UPIOUT/401028044382/paytmqr281005050101183
o5/5812</t>
        </is>
      </c>
      <c r="L1435" s="36" t="inlineStr">
        <is>
          <t>Federal Bank (Jupiter)</t>
        </is>
      </c>
      <c r="M1435" s="36" t="inlineStr"/>
    </row>
    <row r="1436">
      <c r="A1436" s="54" t="n">
        <v>45301</v>
      </c>
      <c r="B1436" s="54" t="n">
        <v>45301</v>
      </c>
      <c r="C1436" s="55" t="n">
        <v>0</v>
      </c>
      <c r="D1436" s="55" t="n">
        <v>40931.08</v>
      </c>
      <c r="E1436" s="55" t="inlineStr"/>
      <c r="F1436" s="55" t="inlineStr">
        <is>
          <t>HDFC Securities - Sell</t>
        </is>
      </c>
      <c r="G1436" s="18" t="n">
        <v>0.97</v>
      </c>
      <c r="H1436" s="55" t="inlineStr">
        <is>
          <t>HDFC Securities</t>
        </is>
      </c>
      <c r="I1436" s="55" t="inlineStr">
        <is>
          <t>HDFC 5413</t>
        </is>
      </c>
      <c r="J1436" s="55" t="inlineStr"/>
      <c r="K1436" s="55" t="inlineStr">
        <is>
          <t>NET PO FROM HSL A/C 2554606-50200085415108</t>
        </is>
      </c>
      <c r="L1436" s="55" t="inlineStr">
        <is>
          <t>HDFC Bank</t>
        </is>
      </c>
      <c r="M1436" s="55" t="inlineStr"/>
    </row>
    <row r="1437">
      <c r="A1437" s="54" t="n">
        <v>45301</v>
      </c>
      <c r="B1437" s="54" t="n">
        <v>45301</v>
      </c>
      <c r="C1437" s="55" t="n">
        <v>0</v>
      </c>
      <c r="D1437" s="55" t="n">
        <v>18461.61</v>
      </c>
      <c r="E1437" s="55" t="inlineStr"/>
      <c r="F1437" s="55" t="inlineStr">
        <is>
          <t>HDFC Securities - Sell</t>
        </is>
      </c>
      <c r="G1437" s="18" t="n">
        <v>0.97</v>
      </c>
      <c r="H1437" s="55" t="inlineStr">
        <is>
          <t>HDFC Securities</t>
        </is>
      </c>
      <c r="I1437" s="55" t="inlineStr">
        <is>
          <t>HDFC 5413</t>
        </is>
      </c>
      <c r="J1437" s="55" t="inlineStr"/>
      <c r="K1437" s="55" t="inlineStr">
        <is>
          <t>NET PO FROM HSL A/C 2554606-50200085415108</t>
        </is>
      </c>
      <c r="L1437" s="55" t="inlineStr">
        <is>
          <t>HDFC Bank</t>
        </is>
      </c>
      <c r="M1437" s="55" t="inlineStr"/>
    </row>
    <row r="1438">
      <c r="A1438" s="41" t="n">
        <v>45301</v>
      </c>
      <c r="B1438" s="41" t="n">
        <v>45301</v>
      </c>
      <c r="C1438" s="42" t="n">
        <v>72572.81</v>
      </c>
      <c r="D1438" s="42" t="n">
        <v>0</v>
      </c>
      <c r="E1438" s="42" t="inlineStr"/>
      <c r="F1438" s="42" t="inlineStr">
        <is>
          <t>HDFC Securities - Buy</t>
        </is>
      </c>
      <c r="G1438" s="18" t="n">
        <v>0.97</v>
      </c>
      <c r="H1438" s="42" t="inlineStr">
        <is>
          <t>HDFC Securities</t>
        </is>
      </c>
      <c r="I1438" s="42" t="inlineStr">
        <is>
          <t>HDFC 5413</t>
        </is>
      </c>
      <c r="J1438" s="42" t="inlineStr"/>
      <c r="K1438" s="42" t="inlineStr">
        <is>
          <t>NET PI TO HSL SEC A/C 2554606-00602340029427</t>
        </is>
      </c>
      <c r="L1438" s="42" t="inlineStr">
        <is>
          <t>HDFC Bank</t>
        </is>
      </c>
      <c r="M1438" s="42" t="inlineStr"/>
    </row>
    <row r="1439">
      <c r="A1439" s="56" t="n">
        <v>45302</v>
      </c>
      <c r="B1439" s="56" t="n">
        <v>45302</v>
      </c>
      <c r="C1439" s="57" t="n">
        <v>1617.67</v>
      </c>
      <c r="D1439" s="57" t="n">
        <v>0</v>
      </c>
      <c r="E1439" s="57" t="inlineStr"/>
      <c r="F1439" s="57" t="inlineStr">
        <is>
          <t>Depository Charges</t>
        </is>
      </c>
      <c r="G1439" s="18" t="n">
        <v>0.93</v>
      </c>
      <c r="H1439" s="57" t="inlineStr">
        <is>
          <t>Depository Charges</t>
        </is>
      </c>
      <c r="I1439" s="57" t="inlineStr">
        <is>
          <t>HDFC 5413</t>
        </is>
      </c>
      <c r="J1439" s="57" t="inlineStr"/>
      <c r="K1439" s="57" t="inlineStr">
        <is>
          <t>DEPOSITORY CHARGES DEC23 - 52812428</t>
        </is>
      </c>
      <c r="L1439" s="57" t="inlineStr">
        <is>
          <t>HDFC Bank</t>
        </is>
      </c>
      <c r="M1439" s="57" t="inlineStr"/>
    </row>
    <row r="1440">
      <c r="A1440" s="41" t="n">
        <v>45302</v>
      </c>
      <c r="B1440" s="41" t="n">
        <v>45302</v>
      </c>
      <c r="C1440" s="42" t="n">
        <v>173.41</v>
      </c>
      <c r="D1440" s="42" t="n">
        <v>0</v>
      </c>
      <c r="E1440" s="42" t="inlineStr"/>
      <c r="F1440" s="42" t="inlineStr">
        <is>
          <t>HDFC Securities - Buy</t>
        </is>
      </c>
      <c r="G1440" s="18" t="n">
        <v>0.97</v>
      </c>
      <c r="H1440" s="42" t="inlineStr">
        <is>
          <t>HDFC Securities</t>
        </is>
      </c>
      <c r="I1440" s="42" t="inlineStr">
        <is>
          <t>HDFC 5413</t>
        </is>
      </c>
      <c r="J1440" s="42" t="inlineStr"/>
      <c r="K1440" s="42" t="inlineStr">
        <is>
          <t>NET PI TO HSL SEC A/C 2554606-00602340029427</t>
        </is>
      </c>
      <c r="L1440" s="42" t="inlineStr">
        <is>
          <t>HDFC Bank</t>
        </is>
      </c>
      <c r="M1440" s="42" t="inlineStr"/>
    </row>
    <row r="1441">
      <c r="A1441" s="54" t="n">
        <v>45302</v>
      </c>
      <c r="B1441" s="54" t="n">
        <v>45302</v>
      </c>
      <c r="C1441" s="55" t="n">
        <v>0</v>
      </c>
      <c r="D1441" s="55" t="n">
        <v>36828.8</v>
      </c>
      <c r="E1441" s="55" t="inlineStr"/>
      <c r="F1441" s="55" t="inlineStr">
        <is>
          <t>HDFC Securities - Sell</t>
        </is>
      </c>
      <c r="G1441" s="18" t="n">
        <v>0.97</v>
      </c>
      <c r="H1441" s="55" t="inlineStr">
        <is>
          <t>HDFC Securities</t>
        </is>
      </c>
      <c r="I1441" s="55" t="inlineStr">
        <is>
          <t>HDFC 5413</t>
        </is>
      </c>
      <c r="J1441" s="55" t="inlineStr"/>
      <c r="K1441" s="55" t="inlineStr">
        <is>
          <t>NET PO FROM HSL A/C 2554606-50200085415108</t>
        </is>
      </c>
      <c r="L1441" s="55" t="inlineStr">
        <is>
          <t>HDFC Bank</t>
        </is>
      </c>
      <c r="M1441" s="55" t="inlineStr"/>
    </row>
    <row r="1442">
      <c r="A1442" s="41" t="n">
        <v>45302</v>
      </c>
      <c r="B1442" s="41" t="n">
        <v>45302</v>
      </c>
      <c r="C1442" s="42" t="n">
        <v>6897</v>
      </c>
      <c r="D1442" s="42" t="n">
        <v>0</v>
      </c>
      <c r="E1442" s="42" t="inlineStr"/>
      <c r="F1442" s="42" t="inlineStr">
        <is>
          <t>HDFC Securities - Buy</t>
        </is>
      </c>
      <c r="G1442" s="18" t="n">
        <v>0.97</v>
      </c>
      <c r="H1442" s="42" t="inlineStr">
        <is>
          <t>HDFC Securities</t>
        </is>
      </c>
      <c r="I1442" s="42" t="inlineStr">
        <is>
          <t>HDFC 5413</t>
        </is>
      </c>
      <c r="J1442" s="42" t="inlineStr"/>
      <c r="K1442" s="42" t="inlineStr">
        <is>
          <t>NET PI TO HSL SEC A/C 2554606-00602340029427</t>
        </is>
      </c>
      <c r="L1442" s="42" t="inlineStr">
        <is>
          <t>HDFC Bank</t>
        </is>
      </c>
      <c r="M1442" s="42" t="inlineStr"/>
    </row>
    <row r="1443">
      <c r="A1443" s="37" t="n">
        <v>45302</v>
      </c>
      <c r="B1443" s="37" t="n">
        <v>45302</v>
      </c>
      <c r="C1443" s="38" t="n">
        <v>230</v>
      </c>
      <c r="D1443" s="38" t="n">
        <v>0</v>
      </c>
      <c r="E1443" s="38" t="inlineStr"/>
      <c r="F1443" s="38" t="inlineStr">
        <is>
          <t>UPI Payment</t>
        </is>
      </c>
      <c r="G1443" s="25" t="n">
        <v>0.55</v>
      </c>
      <c r="H1443" s="38" t="inlineStr">
        <is>
          <t>Personal</t>
        </is>
      </c>
      <c r="I1443" s="38" t="inlineStr">
        <is>
          <t>FEDERAL 0847</t>
        </is>
      </c>
      <c r="J1443" s="38" t="inlineStr"/>
      <c r="K1443" s="38" t="inlineStr">
        <is>
          <t>UPIOUT/401135358103/Q521384260@ybl/Sent
via /5814</t>
        </is>
      </c>
      <c r="L1443" s="38" t="inlineStr">
        <is>
          <t>Federal Bank (Jupiter)</t>
        </is>
      </c>
      <c r="M1443" s="38" t="inlineStr"/>
    </row>
    <row r="1444">
      <c r="A1444" s="35" t="n">
        <v>45302</v>
      </c>
      <c r="B1444" s="35" t="n">
        <v>45302</v>
      </c>
      <c r="C1444" s="36" t="n">
        <v>30</v>
      </c>
      <c r="D1444" s="36" t="n">
        <v>0</v>
      </c>
      <c r="E1444" s="36" t="inlineStr"/>
      <c r="F1444" s="36" t="inlineStr">
        <is>
          <t>UPI - Paytm</t>
        </is>
      </c>
      <c r="G1444" s="34" t="n">
        <v>0.65</v>
      </c>
      <c r="H1444" s="36" t="inlineStr">
        <is>
          <t>Personal</t>
        </is>
      </c>
      <c r="I1444" s="36" t="inlineStr">
        <is>
          <t>FEDERAL 0847</t>
        </is>
      </c>
      <c r="J1444" s="36" t="inlineStr"/>
      <c r="K1444" s="36" t="inlineStr">
        <is>
          <t>UPIOUT/401130789136/paytm-76881028@paytm/S
en/4121</t>
        </is>
      </c>
      <c r="L1444" s="36" t="inlineStr">
        <is>
          <t>Federal Bank (Jupiter)</t>
        </is>
      </c>
      <c r="M1444" s="36" t="inlineStr"/>
    </row>
    <row r="1445">
      <c r="A1445" s="37" t="n">
        <v>45303</v>
      </c>
      <c r="B1445" s="37" t="n">
        <v>45303</v>
      </c>
      <c r="C1445" s="38" t="n">
        <v>10</v>
      </c>
      <c r="D1445" s="38" t="n">
        <v>0</v>
      </c>
      <c r="E1445" s="38" t="inlineStr"/>
      <c r="F1445" s="38" t="inlineStr">
        <is>
          <t>UPI Payment</t>
        </is>
      </c>
      <c r="G1445" s="25" t="n">
        <v>0.55</v>
      </c>
      <c r="H1445" s="38" t="inlineStr">
        <is>
          <t>Personal</t>
        </is>
      </c>
      <c r="I1445" s="38" t="inlineStr">
        <is>
          <t>FEDERAL 0847</t>
        </is>
      </c>
      <c r="J1445" s="38" t="inlineStr"/>
      <c r="K1445" s="38" t="inlineStr">
        <is>
          <t>UPIOUT/401249302545/ks8808006-3@oksbi/UPI/
0000</t>
        </is>
      </c>
      <c r="L1445" s="38" t="inlineStr">
        <is>
          <t>Federal Bank (Jupiter)</t>
        </is>
      </c>
      <c r="M1445" s="38" t="inlineStr"/>
    </row>
    <row r="1446">
      <c r="A1446" s="35" t="n">
        <v>45303</v>
      </c>
      <c r="B1446" s="35" t="n">
        <v>45303</v>
      </c>
      <c r="C1446" s="36" t="n">
        <v>30</v>
      </c>
      <c r="D1446" s="36" t="n">
        <v>0</v>
      </c>
      <c r="E1446" s="36" t="inlineStr"/>
      <c r="F1446" s="36" t="inlineStr">
        <is>
          <t>UPI - Paytm</t>
        </is>
      </c>
      <c r="G1446" s="34" t="n">
        <v>0.65</v>
      </c>
      <c r="H1446" s="36" t="inlineStr">
        <is>
          <t>Personal</t>
        </is>
      </c>
      <c r="I1446" s="36" t="inlineStr">
        <is>
          <t>FEDERAL 0847</t>
        </is>
      </c>
      <c r="J1446" s="36" t="inlineStr"/>
      <c r="K1446" s="36" t="inlineStr">
        <is>
          <t>UPIOUT/401237597854/paytm-76881028@paytm/S
en/4121</t>
        </is>
      </c>
      <c r="L1446" s="36" t="inlineStr">
        <is>
          <t>Federal Bank (Jupiter)</t>
        </is>
      </c>
      <c r="M1446" s="36" t="inlineStr"/>
    </row>
    <row r="1447">
      <c r="A1447" s="54" t="n">
        <v>45303</v>
      </c>
      <c r="B1447" s="54" t="n">
        <v>45303</v>
      </c>
      <c r="C1447" s="55" t="n">
        <v>0</v>
      </c>
      <c r="D1447" s="55" t="n">
        <v>1681</v>
      </c>
      <c r="E1447" s="55" t="inlineStr"/>
      <c r="F1447" s="55" t="inlineStr">
        <is>
          <t>HDFC Securities - Sell</t>
        </is>
      </c>
      <c r="G1447" s="18" t="n">
        <v>0.97</v>
      </c>
      <c r="H1447" s="55" t="inlineStr">
        <is>
          <t>HDFC Securities</t>
        </is>
      </c>
      <c r="I1447" s="55" t="inlineStr">
        <is>
          <t>HDFC 5413</t>
        </is>
      </c>
      <c r="J1447" s="55" t="inlineStr"/>
      <c r="K1447" s="55" t="inlineStr">
        <is>
          <t>NET PO FROM HSL A/C 2554606-50200085415108</t>
        </is>
      </c>
      <c r="L1447" s="55" t="inlineStr">
        <is>
          <t>HDFC Bank</t>
        </is>
      </c>
      <c r="M1447" s="55" t="inlineStr"/>
    </row>
    <row r="1448">
      <c r="A1448" s="54" t="n">
        <v>45303</v>
      </c>
      <c r="B1448" s="54" t="n">
        <v>45303</v>
      </c>
      <c r="C1448" s="55" t="n">
        <v>0</v>
      </c>
      <c r="D1448" s="55" t="n">
        <v>28606.73</v>
      </c>
      <c r="E1448" s="55" t="inlineStr"/>
      <c r="F1448" s="55" t="inlineStr">
        <is>
          <t>HDFC Securities - Sell</t>
        </is>
      </c>
      <c r="G1448" s="18" t="n">
        <v>0.97</v>
      </c>
      <c r="H1448" s="55" t="inlineStr">
        <is>
          <t>HDFC Securities</t>
        </is>
      </c>
      <c r="I1448" s="55" t="inlineStr">
        <is>
          <t>HDFC 5413</t>
        </is>
      </c>
      <c r="J1448" s="55" t="inlineStr"/>
      <c r="K1448" s="55" t="inlineStr">
        <is>
          <t>NET PO FROM HSL A/C 2554606-50200085415108</t>
        </is>
      </c>
      <c r="L1448" s="55" t="inlineStr">
        <is>
          <t>HDFC Bank</t>
        </is>
      </c>
      <c r="M1448" s="55" t="inlineStr"/>
    </row>
    <row r="1449">
      <c r="A1449" s="32" t="n">
        <v>45303</v>
      </c>
      <c r="B1449" s="32" t="n">
        <v>45303</v>
      </c>
      <c r="C1449" s="33" t="n">
        <v>10</v>
      </c>
      <c r="D1449" s="33" t="n">
        <v>0</v>
      </c>
      <c r="E1449" s="33" t="inlineStr"/>
      <c r="F1449" s="33" t="inlineStr">
        <is>
          <t>UPI - BharatPe</t>
        </is>
      </c>
      <c r="G1449" s="34" t="n">
        <v>0.65</v>
      </c>
      <c r="H1449" s="33" t="inlineStr">
        <is>
          <t>Personal</t>
        </is>
      </c>
      <c r="I1449" s="33" t="inlineStr">
        <is>
          <t>FEDERAL 0847</t>
        </is>
      </c>
      <c r="J1449" s="33" t="inlineStr"/>
      <c r="K1449" s="33" t="inlineStr">
        <is>
          <t>UPIOUT/401237185950/BHARATPE.90061609177@f
bp/5499</t>
        </is>
      </c>
      <c r="L1449" s="33" t="inlineStr">
        <is>
          <t>Federal Bank (Jupiter)</t>
        </is>
      </c>
      <c r="M1449" s="33" t="inlineStr"/>
    </row>
    <row r="1450">
      <c r="A1450" s="41" t="n">
        <v>45303</v>
      </c>
      <c r="B1450" s="41" t="n">
        <v>45303</v>
      </c>
      <c r="C1450" s="42" t="n">
        <v>30998.58</v>
      </c>
      <c r="D1450" s="42" t="n">
        <v>0</v>
      </c>
      <c r="E1450" s="42" t="inlineStr"/>
      <c r="F1450" s="42" t="inlineStr">
        <is>
          <t>HDFC Securities - Buy</t>
        </is>
      </c>
      <c r="G1450" s="18" t="n">
        <v>0.97</v>
      </c>
      <c r="H1450" s="42" t="inlineStr">
        <is>
          <t>HDFC Securities</t>
        </is>
      </c>
      <c r="I1450" s="42" t="inlineStr">
        <is>
          <t>HDFC 5413</t>
        </is>
      </c>
      <c r="J1450" s="42" t="inlineStr"/>
      <c r="K1450" s="42" t="inlineStr">
        <is>
          <t>NET PI TO HSL SEC A/C 2554606-00602340029427</t>
        </is>
      </c>
      <c r="L1450" s="42" t="inlineStr">
        <is>
          <t>HDFC Bank</t>
        </is>
      </c>
      <c r="M1450" s="42" t="inlineStr"/>
    </row>
    <row r="1451">
      <c r="A1451" s="41" t="n">
        <v>45303</v>
      </c>
      <c r="B1451" s="41" t="n">
        <v>45303</v>
      </c>
      <c r="C1451" s="42" t="n">
        <v>191.9</v>
      </c>
      <c r="D1451" s="42" t="n">
        <v>0</v>
      </c>
      <c r="E1451" s="42" t="inlineStr"/>
      <c r="F1451" s="42" t="inlineStr">
        <is>
          <t>HDFC Securities - Buy</t>
        </is>
      </c>
      <c r="G1451" s="18" t="n">
        <v>0.97</v>
      </c>
      <c r="H1451" s="42" t="inlineStr">
        <is>
          <t>HDFC Securities</t>
        </is>
      </c>
      <c r="I1451" s="42" t="inlineStr">
        <is>
          <t>HDFC 5413</t>
        </is>
      </c>
      <c r="J1451" s="42" t="inlineStr"/>
      <c r="K1451" s="42" t="inlineStr">
        <is>
          <t>NET PI TO HSL SEC A/C 2554606-00602340029427</t>
        </is>
      </c>
      <c r="L1451" s="42" t="inlineStr">
        <is>
          <t>HDFC Bank</t>
        </is>
      </c>
      <c r="M1451" s="42" t="inlineStr"/>
    </row>
    <row r="1452">
      <c r="A1452" s="35" t="n">
        <v>45303</v>
      </c>
      <c r="B1452" s="35" t="n">
        <v>45303</v>
      </c>
      <c r="C1452" s="36" t="n">
        <v>45</v>
      </c>
      <c r="D1452" s="36" t="n">
        <v>0</v>
      </c>
      <c r="E1452" s="36" t="inlineStr"/>
      <c r="F1452" s="36" t="inlineStr">
        <is>
          <t>UPI - Paytm</t>
        </is>
      </c>
      <c r="G1452" s="34" t="n">
        <v>0.65</v>
      </c>
      <c r="H1452" s="36" t="inlineStr">
        <is>
          <t>Personal</t>
        </is>
      </c>
      <c r="I1452" s="36" t="inlineStr">
        <is>
          <t>FEDERAL 0847</t>
        </is>
      </c>
      <c r="J1452" s="36" t="inlineStr"/>
      <c r="K1452" s="36" t="inlineStr">
        <is>
          <t>UPIOUT/401240092486/paytmqr281005050101ac5
gq/5812</t>
        </is>
      </c>
      <c r="L1452" s="36" t="inlineStr">
        <is>
          <t>Federal Bank (Jupiter)</t>
        </is>
      </c>
      <c r="M1452" s="36" t="inlineStr"/>
    </row>
    <row r="1453">
      <c r="A1453" s="101" t="n">
        <v>45304</v>
      </c>
      <c r="B1453" s="101" t="n">
        <v>45304</v>
      </c>
      <c r="C1453" s="102" t="n">
        <v>0</v>
      </c>
      <c r="D1453" s="102" t="n">
        <v>500</v>
      </c>
      <c r="E1453" s="102" t="inlineStr"/>
      <c r="F1453" s="102" t="inlineStr">
        <is>
          <t>UPI Receipt</t>
        </is>
      </c>
      <c r="G1453" s="25" t="n">
        <v>0.55</v>
      </c>
      <c r="H1453" s="102" t="inlineStr">
        <is>
          <t>Personal</t>
        </is>
      </c>
      <c r="I1453" s="102" t="inlineStr">
        <is>
          <t>FEDERAL 0847</t>
        </is>
      </c>
      <c r="J1453" s="102" t="inlineStr"/>
      <c r="K1453" s="102" t="inlineStr">
        <is>
          <t>UPI IN/401370251051/8333022213@ybl/Payment
f/0000</t>
        </is>
      </c>
      <c r="L1453" s="102" t="inlineStr">
        <is>
          <t>Federal Bank (Jupiter)</t>
        </is>
      </c>
      <c r="M1453" s="102" t="inlineStr"/>
    </row>
    <row r="1454">
      <c r="A1454" s="35" t="n">
        <v>45304</v>
      </c>
      <c r="B1454" s="35" t="n">
        <v>45304</v>
      </c>
      <c r="C1454" s="36" t="n">
        <v>1583.6</v>
      </c>
      <c r="D1454" s="36" t="n">
        <v>0</v>
      </c>
      <c r="E1454" s="36" t="inlineStr"/>
      <c r="F1454" s="36" t="inlineStr">
        <is>
          <t>UPI - Paytm</t>
        </is>
      </c>
      <c r="G1454" s="34" t="n">
        <v>0.65</v>
      </c>
      <c r="H1454" s="36" t="inlineStr">
        <is>
          <t>Personal</t>
        </is>
      </c>
      <c r="I1454" s="36" t="inlineStr">
        <is>
          <t>FEDERAL 0847</t>
        </is>
      </c>
      <c r="J1454" s="36" t="inlineStr"/>
      <c r="K1454" s="36" t="inlineStr">
        <is>
          <t>UPIOUT/401343024733/paytm-651536@paytm/Sen
t /4112</t>
        </is>
      </c>
      <c r="L1454" s="36" t="inlineStr">
        <is>
          <t>Federal Bank (Jupiter)</t>
        </is>
      </c>
      <c r="M1454" s="36" t="inlineStr">
        <is>
          <t>⚠ Possible Duplicate</t>
        </is>
      </c>
    </row>
    <row r="1455">
      <c r="A1455" s="35" t="n">
        <v>45304</v>
      </c>
      <c r="B1455" s="35" t="n">
        <v>45304</v>
      </c>
      <c r="C1455" s="36" t="n">
        <v>1583.6</v>
      </c>
      <c r="D1455" s="36" t="n">
        <v>0</v>
      </c>
      <c r="E1455" s="36" t="inlineStr"/>
      <c r="F1455" s="36" t="inlineStr">
        <is>
          <t>UPI - Paytm</t>
        </is>
      </c>
      <c r="G1455" s="34" t="n">
        <v>0.65</v>
      </c>
      <c r="H1455" s="36" t="inlineStr">
        <is>
          <t>Personal</t>
        </is>
      </c>
      <c r="I1455" s="36" t="inlineStr">
        <is>
          <t>FEDERAL 0847</t>
        </is>
      </c>
      <c r="J1455" s="36" t="inlineStr"/>
      <c r="K1455" s="36" t="inlineStr">
        <is>
          <t>UPIOUT/401343001326/paytm-651536@paytm/Sen
t /4112</t>
        </is>
      </c>
      <c r="L1455" s="36" t="inlineStr">
        <is>
          <t>Federal Bank (Jupiter)</t>
        </is>
      </c>
      <c r="M1455" s="36" t="inlineStr">
        <is>
          <t>⚠ Possible Duplicate</t>
        </is>
      </c>
    </row>
    <row r="1456">
      <c r="A1456" s="35" t="n">
        <v>45304</v>
      </c>
      <c r="B1456" s="35" t="n">
        <v>45304</v>
      </c>
      <c r="C1456" s="36" t="n">
        <v>40</v>
      </c>
      <c r="D1456" s="36" t="n">
        <v>0</v>
      </c>
      <c r="E1456" s="36" t="inlineStr"/>
      <c r="F1456" s="36" t="inlineStr">
        <is>
          <t>UPI - Paytm</t>
        </is>
      </c>
      <c r="G1456" s="34" t="n">
        <v>0.65</v>
      </c>
      <c r="H1456" s="36" t="inlineStr">
        <is>
          <t>Personal</t>
        </is>
      </c>
      <c r="I1456" s="36" t="inlineStr">
        <is>
          <t>FEDERAL 0847</t>
        </is>
      </c>
      <c r="J1456" s="36" t="inlineStr"/>
      <c r="K1456" s="36" t="inlineStr">
        <is>
          <t>UPIOUT/401342720248/paytmqr1fgibktb57@payt
m//5812</t>
        </is>
      </c>
      <c r="L1456" s="36" t="inlineStr">
        <is>
          <t>Federal Bank (Jupiter)</t>
        </is>
      </c>
      <c r="M1456" s="36" t="inlineStr"/>
    </row>
    <row r="1457">
      <c r="A1457" s="37" t="n">
        <v>45304</v>
      </c>
      <c r="B1457" s="37" t="n">
        <v>45304</v>
      </c>
      <c r="C1457" s="38" t="n">
        <v>20</v>
      </c>
      <c r="D1457" s="38" t="n">
        <v>0</v>
      </c>
      <c r="E1457" s="38" t="inlineStr"/>
      <c r="F1457" s="38" t="inlineStr">
        <is>
          <t>UPI Payment</t>
        </is>
      </c>
      <c r="G1457" s="25" t="n">
        <v>0.55</v>
      </c>
      <c r="H1457" s="38" t="inlineStr">
        <is>
          <t>Personal</t>
        </is>
      </c>
      <c r="I1457" s="38" t="inlineStr">
        <is>
          <t>FEDERAL 0847</t>
        </is>
      </c>
      <c r="J1457" s="38" t="inlineStr"/>
      <c r="K1457" s="38" t="inlineStr">
        <is>
          <t>UPIOUT/401344512286/Q080504479@ybl/Sent
via /5812</t>
        </is>
      </c>
      <c r="L1457" s="38" t="inlineStr">
        <is>
          <t>Federal Bank (Jupiter)</t>
        </is>
      </c>
      <c r="M1457" s="38" t="inlineStr"/>
    </row>
    <row r="1458">
      <c r="A1458" s="37" t="n">
        <v>45304</v>
      </c>
      <c r="B1458" s="37" t="n">
        <v>45304</v>
      </c>
      <c r="C1458" s="38" t="n">
        <v>15</v>
      </c>
      <c r="D1458" s="38" t="n">
        <v>0</v>
      </c>
      <c r="E1458" s="38" t="inlineStr"/>
      <c r="F1458" s="38" t="inlineStr">
        <is>
          <t>UPI Payment</t>
        </is>
      </c>
      <c r="G1458" s="25" t="n">
        <v>0.55</v>
      </c>
      <c r="H1458" s="38" t="inlineStr">
        <is>
          <t>Personal</t>
        </is>
      </c>
      <c r="I1458" s="38" t="inlineStr">
        <is>
          <t>FEDERAL 0847</t>
        </is>
      </c>
      <c r="J1458" s="38" t="inlineStr"/>
      <c r="K1458" s="38" t="inlineStr">
        <is>
          <t>UPIOUT/401342753385/Q832428843@ybl/Sent
via /5814</t>
        </is>
      </c>
      <c r="L1458" s="38" t="inlineStr">
        <is>
          <t>Federal Bank (Jupiter)</t>
        </is>
      </c>
      <c r="M1458" s="38" t="inlineStr"/>
    </row>
    <row r="1459">
      <c r="A1459" s="37" t="n">
        <v>45305</v>
      </c>
      <c r="B1459" s="37" t="n">
        <v>45305</v>
      </c>
      <c r="C1459" s="38" t="n">
        <v>130</v>
      </c>
      <c r="D1459" s="38" t="n">
        <v>0</v>
      </c>
      <c r="E1459" s="38" t="inlineStr"/>
      <c r="F1459" s="38" t="inlineStr">
        <is>
          <t>UPI Payment</t>
        </is>
      </c>
      <c r="G1459" s="25" t="n">
        <v>0.55</v>
      </c>
      <c r="H1459" s="38" t="inlineStr">
        <is>
          <t>Personal</t>
        </is>
      </c>
      <c r="I1459" s="38" t="inlineStr">
        <is>
          <t>FEDERAL 0847</t>
        </is>
      </c>
      <c r="J1459" s="38" t="inlineStr"/>
      <c r="K1459" s="38" t="inlineStr">
        <is>
          <t>UPIOUT/401451019112/Q463323667@ybl/Sent
via /5812</t>
        </is>
      </c>
      <c r="L1459" s="38" t="inlineStr">
        <is>
          <t>Federal Bank (Jupiter)</t>
        </is>
      </c>
      <c r="M1459" s="38" t="inlineStr"/>
    </row>
    <row r="1460">
      <c r="A1460" s="35" t="n">
        <v>45305</v>
      </c>
      <c r="B1460" s="35" t="n">
        <v>45305</v>
      </c>
      <c r="C1460" s="36" t="n">
        <v>20</v>
      </c>
      <c r="D1460" s="36" t="n">
        <v>0</v>
      </c>
      <c r="E1460" s="36" t="inlineStr"/>
      <c r="F1460" s="36" t="inlineStr">
        <is>
          <t>UPI - Paytm</t>
        </is>
      </c>
      <c r="G1460" s="34" t="n">
        <v>0.65</v>
      </c>
      <c r="H1460" s="36" t="inlineStr">
        <is>
          <t>Personal</t>
        </is>
      </c>
      <c r="I1460" s="36" t="inlineStr">
        <is>
          <t>FEDERAL 0847</t>
        </is>
      </c>
      <c r="J1460" s="36" t="inlineStr"/>
      <c r="K1460" s="36" t="inlineStr">
        <is>
          <t>UPIOUT/401449857168/paytmqr2810050501011vq
tq/5697</t>
        </is>
      </c>
      <c r="L1460" s="36" t="inlineStr">
        <is>
          <t>Federal Bank (Jupiter)</t>
        </is>
      </c>
      <c r="M1460" s="36" t="inlineStr"/>
    </row>
    <row r="1461">
      <c r="A1461" s="37" t="n">
        <v>45306</v>
      </c>
      <c r="B1461" s="37" t="n">
        <v>45306</v>
      </c>
      <c r="C1461" s="38" t="n">
        <v>230</v>
      </c>
      <c r="D1461" s="38" t="n">
        <v>0</v>
      </c>
      <c r="E1461" s="38" t="inlineStr"/>
      <c r="F1461" s="38" t="inlineStr">
        <is>
          <t>UPI Payment</t>
        </is>
      </c>
      <c r="G1461" s="25" t="n">
        <v>0.55</v>
      </c>
      <c r="H1461" s="38" t="inlineStr">
        <is>
          <t>Personal</t>
        </is>
      </c>
      <c r="I1461" s="38" t="inlineStr">
        <is>
          <t>FEDERAL 0847</t>
        </is>
      </c>
      <c r="J1461" s="38" t="inlineStr"/>
      <c r="K1461" s="38" t="inlineStr">
        <is>
          <t>UPIOUT/401573119507/swapnil.kandale@okicic
i//0000</t>
        </is>
      </c>
      <c r="L1461" s="38" t="inlineStr">
        <is>
          <t>Federal Bank (Jupiter)</t>
        </is>
      </c>
      <c r="M1461" s="38" t="inlineStr"/>
    </row>
    <row r="1462">
      <c r="A1462" s="37" t="n">
        <v>45306</v>
      </c>
      <c r="B1462" s="37" t="n">
        <v>45306</v>
      </c>
      <c r="C1462" s="38" t="n">
        <v>180</v>
      </c>
      <c r="D1462" s="38" t="n">
        <v>0</v>
      </c>
      <c r="E1462" s="38" t="inlineStr"/>
      <c r="F1462" s="38" t="inlineStr">
        <is>
          <t>UPI Payment</t>
        </is>
      </c>
      <c r="G1462" s="25" t="n">
        <v>0.55</v>
      </c>
      <c r="H1462" s="38" t="inlineStr">
        <is>
          <t>Personal</t>
        </is>
      </c>
      <c r="I1462" s="38" t="inlineStr">
        <is>
          <t>FEDERAL 0847</t>
        </is>
      </c>
      <c r="J1462" s="38" t="inlineStr"/>
      <c r="K1462" s="38" t="inlineStr">
        <is>
          <t>UPIOUT/401558721655/Q122299144@ybl/Sent
via /5814</t>
        </is>
      </c>
      <c r="L1462" s="38" t="inlineStr">
        <is>
          <t>Federal Bank (Jupiter)</t>
        </is>
      </c>
      <c r="M1462" s="38" t="inlineStr"/>
    </row>
    <row r="1463">
      <c r="A1463" s="35" t="n">
        <v>45306</v>
      </c>
      <c r="B1463" s="35" t="n">
        <v>45306</v>
      </c>
      <c r="C1463" s="36" t="n">
        <v>40</v>
      </c>
      <c r="D1463" s="36" t="n">
        <v>0</v>
      </c>
      <c r="E1463" s="36" t="inlineStr"/>
      <c r="F1463" s="36" t="inlineStr">
        <is>
          <t>UPI - Paytm</t>
        </is>
      </c>
      <c r="G1463" s="34" t="n">
        <v>0.65</v>
      </c>
      <c r="H1463" s="36" t="inlineStr">
        <is>
          <t>Personal</t>
        </is>
      </c>
      <c r="I1463" s="36" t="inlineStr">
        <is>
          <t>FEDERAL 0847</t>
        </is>
      </c>
      <c r="J1463" s="36" t="inlineStr"/>
      <c r="K1463" s="36" t="inlineStr">
        <is>
          <t>UPIOUT/401557550024/paytmqr281005050101yr4
8i/5411</t>
        </is>
      </c>
      <c r="L1463" s="36" t="inlineStr">
        <is>
          <t>Federal Bank (Jupiter)</t>
        </is>
      </c>
      <c r="M1463" s="36" t="inlineStr"/>
    </row>
    <row r="1464">
      <c r="A1464" s="37" t="n">
        <v>45306</v>
      </c>
      <c r="B1464" s="37" t="n">
        <v>45306</v>
      </c>
      <c r="C1464" s="38" t="n">
        <v>60</v>
      </c>
      <c r="D1464" s="38" t="n">
        <v>0</v>
      </c>
      <c r="E1464" s="38" t="inlineStr"/>
      <c r="F1464" s="38" t="inlineStr">
        <is>
          <t>UPI Payment</t>
        </is>
      </c>
      <c r="G1464" s="25" t="n">
        <v>0.55</v>
      </c>
      <c r="H1464" s="38" t="inlineStr">
        <is>
          <t>Personal</t>
        </is>
      </c>
      <c r="I1464" s="38" t="inlineStr">
        <is>
          <t>FEDERAL 0847</t>
        </is>
      </c>
      <c r="J1464" s="38" t="inlineStr"/>
      <c r="K1464" s="38" t="inlineStr">
        <is>
          <t>UPIOUT/401555369700/Q798355992@ybl/Sent
via /7407</t>
        </is>
      </c>
      <c r="L1464" s="38" t="inlineStr">
        <is>
          <t>Federal Bank (Jupiter)</t>
        </is>
      </c>
      <c r="M1464" s="38" t="inlineStr"/>
    </row>
    <row r="1465">
      <c r="A1465" s="41" t="n">
        <v>45306</v>
      </c>
      <c r="B1465" s="41" t="n">
        <v>45306</v>
      </c>
      <c r="C1465" s="42" t="n">
        <v>568.41</v>
      </c>
      <c r="D1465" s="42" t="n">
        <v>0</v>
      </c>
      <c r="E1465" s="42" t="inlineStr"/>
      <c r="F1465" s="42" t="inlineStr">
        <is>
          <t>HDFC Securities - Buy</t>
        </is>
      </c>
      <c r="G1465" s="18" t="n">
        <v>0.97</v>
      </c>
      <c r="H1465" s="42" t="inlineStr">
        <is>
          <t>HDFC Securities</t>
        </is>
      </c>
      <c r="I1465" s="42" t="inlineStr">
        <is>
          <t>HDFC 5413</t>
        </is>
      </c>
      <c r="J1465" s="42" t="inlineStr"/>
      <c r="K1465" s="42" t="inlineStr">
        <is>
          <t>NET PI TO HSL SEC A/C 2554606-00602340029427</t>
        </is>
      </c>
      <c r="L1465" s="42" t="inlineStr">
        <is>
          <t>HDFC Bank</t>
        </is>
      </c>
      <c r="M1465" s="42" t="inlineStr"/>
    </row>
    <row r="1466">
      <c r="A1466" s="41" t="n">
        <v>45306</v>
      </c>
      <c r="B1466" s="41" t="n">
        <v>45306</v>
      </c>
      <c r="C1466" s="42" t="n">
        <v>8950.17</v>
      </c>
      <c r="D1466" s="42" t="n">
        <v>0</v>
      </c>
      <c r="E1466" s="42" t="inlineStr"/>
      <c r="F1466" s="42" t="inlineStr">
        <is>
          <t>HDFC Securities - Buy</t>
        </is>
      </c>
      <c r="G1466" s="18" t="n">
        <v>0.97</v>
      </c>
      <c r="H1466" s="42" t="inlineStr">
        <is>
          <t>HDFC Securities</t>
        </is>
      </c>
      <c r="I1466" s="42" t="inlineStr">
        <is>
          <t>HDFC 5413</t>
        </is>
      </c>
      <c r="J1466" s="42" t="inlineStr"/>
      <c r="K1466" s="42" t="inlineStr">
        <is>
          <t>NET PI TO HSL SEC A/C 2554606-00602340029427</t>
        </is>
      </c>
      <c r="L1466" s="42" t="inlineStr">
        <is>
          <t>HDFC Bank</t>
        </is>
      </c>
      <c r="M1466" s="42" t="inlineStr"/>
    </row>
    <row r="1467">
      <c r="A1467" s="54" t="n">
        <v>45306</v>
      </c>
      <c r="B1467" s="54" t="n">
        <v>45306</v>
      </c>
      <c r="C1467" s="55" t="n">
        <v>0</v>
      </c>
      <c r="D1467" s="55" t="n">
        <v>1431.43</v>
      </c>
      <c r="E1467" s="55" t="inlineStr"/>
      <c r="F1467" s="55" t="inlineStr">
        <is>
          <t>HDFC Securities - Sell</t>
        </is>
      </c>
      <c r="G1467" s="18" t="n">
        <v>0.97</v>
      </c>
      <c r="H1467" s="55" t="inlineStr">
        <is>
          <t>HDFC Securities</t>
        </is>
      </c>
      <c r="I1467" s="55" t="inlineStr">
        <is>
          <t>HDFC 5413</t>
        </is>
      </c>
      <c r="J1467" s="55" t="inlineStr"/>
      <c r="K1467" s="55" t="inlineStr">
        <is>
          <t>NET PO FROM HSL A/C 2554606-50200085415108</t>
        </is>
      </c>
      <c r="L1467" s="55" t="inlineStr">
        <is>
          <t>HDFC Bank</t>
        </is>
      </c>
      <c r="M1467" s="55" t="inlineStr"/>
    </row>
    <row r="1468">
      <c r="A1468" s="54" t="n">
        <v>45307</v>
      </c>
      <c r="B1468" s="54" t="n">
        <v>45307</v>
      </c>
      <c r="C1468" s="55" t="n">
        <v>0</v>
      </c>
      <c r="D1468" s="55" t="n">
        <v>301.03</v>
      </c>
      <c r="E1468" s="55" t="inlineStr"/>
      <c r="F1468" s="55" t="inlineStr">
        <is>
          <t>HDFC Securities - Sell</t>
        </is>
      </c>
      <c r="G1468" s="18" t="n">
        <v>0.97</v>
      </c>
      <c r="H1468" s="55" t="inlineStr">
        <is>
          <t>HDFC Securities</t>
        </is>
      </c>
      <c r="I1468" s="55" t="inlineStr">
        <is>
          <t>HDFC 5413</t>
        </is>
      </c>
      <c r="J1468" s="55" t="inlineStr"/>
      <c r="K1468" s="55" t="inlineStr">
        <is>
          <t>NET PO FROM HSL A/C 2554606-50200085415108</t>
        </is>
      </c>
      <c r="L1468" s="55" t="inlineStr">
        <is>
          <t>HDFC Bank</t>
        </is>
      </c>
      <c r="M1468" s="55" t="inlineStr"/>
    </row>
    <row r="1469">
      <c r="A1469" s="41" t="n">
        <v>45307</v>
      </c>
      <c r="B1469" s="41" t="n">
        <v>45307</v>
      </c>
      <c r="C1469" s="42" t="n">
        <v>216.37</v>
      </c>
      <c r="D1469" s="42" t="n">
        <v>0</v>
      </c>
      <c r="E1469" s="42" t="inlineStr"/>
      <c r="F1469" s="42" t="inlineStr">
        <is>
          <t>HDFC Securities - Buy</t>
        </is>
      </c>
      <c r="G1469" s="18" t="n">
        <v>0.97</v>
      </c>
      <c r="H1469" s="42" t="inlineStr">
        <is>
          <t>HDFC Securities</t>
        </is>
      </c>
      <c r="I1469" s="42" t="inlineStr">
        <is>
          <t>HDFC 5413</t>
        </is>
      </c>
      <c r="J1469" s="42" t="inlineStr"/>
      <c r="K1469" s="42" t="inlineStr">
        <is>
          <t>NET PI TO HSL SEC A/C 2554606-00602340029427</t>
        </is>
      </c>
      <c r="L1469" s="42" t="inlineStr">
        <is>
          <t>HDFC Bank</t>
        </is>
      </c>
      <c r="M1469" s="42" t="inlineStr"/>
    </row>
    <row r="1470">
      <c r="A1470" s="37" t="n">
        <v>45307</v>
      </c>
      <c r="B1470" s="37" t="n">
        <v>45307</v>
      </c>
      <c r="C1470" s="38" t="n">
        <v>40</v>
      </c>
      <c r="D1470" s="38" t="n">
        <v>0</v>
      </c>
      <c r="E1470" s="38" t="inlineStr"/>
      <c r="F1470" s="38" t="inlineStr">
        <is>
          <t>UPI Payment</t>
        </is>
      </c>
      <c r="G1470" s="25" t="n">
        <v>0.55</v>
      </c>
      <c r="H1470" s="38" t="inlineStr">
        <is>
          <t>Personal</t>
        </is>
      </c>
      <c r="I1470" s="38" t="inlineStr">
        <is>
          <t>FEDERAL 0847</t>
        </is>
      </c>
      <c r="J1470" s="38" t="inlineStr"/>
      <c r="K1470" s="38" t="inlineStr">
        <is>
          <t>UPIOUT/401662805161/Q753196172@ybl/Sent
via /5441</t>
        </is>
      </c>
      <c r="L1470" s="38" t="inlineStr">
        <is>
          <t>Federal Bank (Jupiter)</t>
        </is>
      </c>
      <c r="M1470" s="38" t="inlineStr"/>
    </row>
    <row r="1471">
      <c r="A1471" s="41" t="n">
        <v>45307</v>
      </c>
      <c r="B1471" s="41" t="n">
        <v>45307</v>
      </c>
      <c r="C1471" s="42" t="n">
        <v>35367.75</v>
      </c>
      <c r="D1471" s="42" t="n">
        <v>0</v>
      </c>
      <c r="E1471" s="42" t="inlineStr"/>
      <c r="F1471" s="42" t="inlineStr">
        <is>
          <t>HDFC Securities - Buy</t>
        </is>
      </c>
      <c r="G1471" s="18" t="n">
        <v>0.97</v>
      </c>
      <c r="H1471" s="42" t="inlineStr">
        <is>
          <t>HDFC Securities</t>
        </is>
      </c>
      <c r="I1471" s="42" t="inlineStr">
        <is>
          <t>HDFC 5413</t>
        </is>
      </c>
      <c r="J1471" s="42" t="inlineStr"/>
      <c r="K1471" s="42" t="inlineStr">
        <is>
          <t>NET PI TO HSL SEC A/C 2554606-00602340029427</t>
        </is>
      </c>
      <c r="L1471" s="42" t="inlineStr">
        <is>
          <t>HDFC Bank</t>
        </is>
      </c>
      <c r="M1471" s="42" t="inlineStr"/>
    </row>
    <row r="1472">
      <c r="A1472" s="41" t="n">
        <v>45308</v>
      </c>
      <c r="B1472" s="41" t="n">
        <v>45308</v>
      </c>
      <c r="C1472" s="42" t="n">
        <v>197.24</v>
      </c>
      <c r="D1472" s="42" t="n">
        <v>0</v>
      </c>
      <c r="E1472" s="42" t="inlineStr"/>
      <c r="F1472" s="42" t="inlineStr">
        <is>
          <t>HDFC Securities - Buy</t>
        </is>
      </c>
      <c r="G1472" s="18" t="n">
        <v>0.97</v>
      </c>
      <c r="H1472" s="42" t="inlineStr">
        <is>
          <t>HDFC Securities</t>
        </is>
      </c>
      <c r="I1472" s="42" t="inlineStr">
        <is>
          <t>HDFC 5413</t>
        </is>
      </c>
      <c r="J1472" s="42" t="inlineStr"/>
      <c r="K1472" s="42" t="inlineStr">
        <is>
          <t>NET PI TO HSL SEC A/C 2554606-00602340029427</t>
        </is>
      </c>
      <c r="L1472" s="42" t="inlineStr">
        <is>
          <t>HDFC Bank</t>
        </is>
      </c>
      <c r="M1472" s="42" t="inlineStr"/>
    </row>
    <row r="1473">
      <c r="A1473" s="37" t="n">
        <v>45308</v>
      </c>
      <c r="B1473" s="37" t="n">
        <v>45308</v>
      </c>
      <c r="C1473" s="38" t="n">
        <v>30</v>
      </c>
      <c r="D1473" s="38" t="n">
        <v>0</v>
      </c>
      <c r="E1473" s="38" t="inlineStr"/>
      <c r="F1473" s="38" t="inlineStr">
        <is>
          <t>UPI Payment</t>
        </is>
      </c>
      <c r="G1473" s="25" t="n">
        <v>0.55</v>
      </c>
      <c r="H1473" s="38" t="inlineStr">
        <is>
          <t>Personal</t>
        </is>
      </c>
      <c r="I1473" s="38" t="inlineStr">
        <is>
          <t>FEDERAL 0847</t>
        </is>
      </c>
      <c r="J1473" s="38" t="inlineStr"/>
      <c r="K1473" s="38" t="inlineStr">
        <is>
          <t>UPIOUT/401767500777/RIOTAAGROOFFLINE@ybl/P
ay/5046</t>
        </is>
      </c>
      <c r="L1473" s="38" t="inlineStr">
        <is>
          <t>Federal Bank (Jupiter)</t>
        </is>
      </c>
      <c r="M1473" s="38" t="inlineStr"/>
    </row>
    <row r="1474">
      <c r="A1474" s="41" t="n">
        <v>45309</v>
      </c>
      <c r="B1474" s="41" t="n">
        <v>45309</v>
      </c>
      <c r="C1474" s="42" t="n">
        <v>192.98</v>
      </c>
      <c r="D1474" s="42" t="n">
        <v>0</v>
      </c>
      <c r="E1474" s="42" t="inlineStr"/>
      <c r="F1474" s="42" t="inlineStr">
        <is>
          <t>HDFC Securities - Buy</t>
        </is>
      </c>
      <c r="G1474" s="18" t="n">
        <v>0.97</v>
      </c>
      <c r="H1474" s="42" t="inlineStr">
        <is>
          <t>HDFC Securities</t>
        </is>
      </c>
      <c r="I1474" s="42" t="inlineStr">
        <is>
          <t>HDFC 5413</t>
        </is>
      </c>
      <c r="J1474" s="42" t="inlineStr"/>
      <c r="K1474" s="42" t="inlineStr">
        <is>
          <t>NET PI TO HSL SEC A/C 2554606-00602340029427</t>
        </is>
      </c>
      <c r="L1474" s="42" t="inlineStr">
        <is>
          <t>HDFC Bank</t>
        </is>
      </c>
      <c r="M1474" s="42" t="inlineStr"/>
    </row>
    <row r="1475">
      <c r="A1475" s="35" t="n">
        <v>45309</v>
      </c>
      <c r="B1475" s="35" t="n">
        <v>45309</v>
      </c>
      <c r="C1475" s="36" t="n">
        <v>30</v>
      </c>
      <c r="D1475" s="36" t="n">
        <v>0</v>
      </c>
      <c r="E1475" s="36" t="inlineStr"/>
      <c r="F1475" s="36" t="inlineStr">
        <is>
          <t>UPI - Paytm</t>
        </is>
      </c>
      <c r="G1475" s="34" t="n">
        <v>0.65</v>
      </c>
      <c r="H1475" s="36" t="inlineStr">
        <is>
          <t>Personal</t>
        </is>
      </c>
      <c r="I1475" s="36" t="inlineStr">
        <is>
          <t>FEDERAL 0847</t>
        </is>
      </c>
      <c r="J1475" s="36" t="inlineStr"/>
      <c r="K1475" s="36" t="inlineStr">
        <is>
          <t>UPIOUT/401872440662/paytm-76881028@paytm/S
en/4121</t>
        </is>
      </c>
      <c r="L1475" s="36" t="inlineStr">
        <is>
          <t>Federal Bank (Jupiter)</t>
        </is>
      </c>
      <c r="M1475" s="36" t="inlineStr"/>
    </row>
    <row r="1476">
      <c r="A1476" s="37" t="n">
        <v>45309</v>
      </c>
      <c r="B1476" s="37" t="n">
        <v>45309</v>
      </c>
      <c r="C1476" s="38" t="n">
        <v>70</v>
      </c>
      <c r="D1476" s="38" t="n">
        <v>0</v>
      </c>
      <c r="E1476" s="38" t="inlineStr"/>
      <c r="F1476" s="38" t="inlineStr">
        <is>
          <t>UPI Payment</t>
        </is>
      </c>
      <c r="G1476" s="25" t="n">
        <v>0.55</v>
      </c>
      <c r="H1476" s="38" t="inlineStr">
        <is>
          <t>Personal</t>
        </is>
      </c>
      <c r="I1476" s="38" t="inlineStr">
        <is>
          <t>FEDERAL 0847</t>
        </is>
      </c>
      <c r="J1476" s="38" t="inlineStr"/>
      <c r="K1476" s="38" t="inlineStr">
        <is>
          <t>UPIOUT/401876380307/Q403256487@ybl/Sent
via /5812</t>
        </is>
      </c>
      <c r="L1476" s="38" t="inlineStr">
        <is>
          <t>Federal Bank (Jupiter)</t>
        </is>
      </c>
      <c r="M1476" s="38" t="inlineStr"/>
    </row>
    <row r="1477">
      <c r="A1477" s="41" t="n">
        <v>45309</v>
      </c>
      <c r="B1477" s="41" t="n">
        <v>45309</v>
      </c>
      <c r="C1477" s="42" t="n">
        <v>2791.46</v>
      </c>
      <c r="D1477" s="42" t="n">
        <v>0</v>
      </c>
      <c r="E1477" s="42" t="inlineStr"/>
      <c r="F1477" s="42" t="inlineStr">
        <is>
          <t>HDFC Securities - Buy</t>
        </is>
      </c>
      <c r="G1477" s="18" t="n">
        <v>0.97</v>
      </c>
      <c r="H1477" s="42" t="inlineStr">
        <is>
          <t>HDFC Securities</t>
        </is>
      </c>
      <c r="I1477" s="42" t="inlineStr">
        <is>
          <t>HDFC 5413</t>
        </is>
      </c>
      <c r="J1477" s="42" t="inlineStr"/>
      <c r="K1477" s="42" t="inlineStr">
        <is>
          <t>NET PI TO HSL SEC A/C 2554606-00602340029427</t>
        </is>
      </c>
      <c r="L1477" s="42" t="inlineStr">
        <is>
          <t>HDFC Bank</t>
        </is>
      </c>
      <c r="M1477" s="42" t="inlineStr"/>
    </row>
    <row r="1478">
      <c r="A1478" s="41" t="n">
        <v>45309</v>
      </c>
      <c r="B1478" s="41" t="n">
        <v>45309</v>
      </c>
      <c r="C1478" s="42" t="n">
        <v>11949.82</v>
      </c>
      <c r="D1478" s="42" t="n">
        <v>0</v>
      </c>
      <c r="E1478" s="42" t="inlineStr"/>
      <c r="F1478" s="42" t="inlineStr">
        <is>
          <t>HDFC Securities - Buy</t>
        </is>
      </c>
      <c r="G1478" s="18" t="n">
        <v>0.97</v>
      </c>
      <c r="H1478" s="42" t="inlineStr">
        <is>
          <t>HDFC Securities</t>
        </is>
      </c>
      <c r="I1478" s="42" t="inlineStr">
        <is>
          <t>HDFC 5413</t>
        </is>
      </c>
      <c r="J1478" s="42" t="inlineStr"/>
      <c r="K1478" s="42" t="inlineStr">
        <is>
          <t>NET PI TO HSL SEC A/C 2554606-00602340029427</t>
        </is>
      </c>
      <c r="L1478" s="42" t="inlineStr">
        <is>
          <t>HDFC Bank</t>
        </is>
      </c>
      <c r="M1478" s="42" t="inlineStr"/>
    </row>
    <row r="1479">
      <c r="A1479" s="54" t="n">
        <v>45309</v>
      </c>
      <c r="B1479" s="54" t="n">
        <v>45309</v>
      </c>
      <c r="C1479" s="55" t="n">
        <v>0</v>
      </c>
      <c r="D1479" s="55" t="n">
        <v>36868.81</v>
      </c>
      <c r="E1479" s="55" t="inlineStr"/>
      <c r="F1479" s="55" t="inlineStr">
        <is>
          <t>HDFC Securities - Sell</t>
        </is>
      </c>
      <c r="G1479" s="18" t="n">
        <v>0.97</v>
      </c>
      <c r="H1479" s="55" t="inlineStr">
        <is>
          <t>HDFC Securities</t>
        </is>
      </c>
      <c r="I1479" s="55" t="inlineStr">
        <is>
          <t>HDFC 5413</t>
        </is>
      </c>
      <c r="J1479" s="55" t="inlineStr"/>
      <c r="K1479" s="55" t="inlineStr">
        <is>
          <t>NET PO FROM HSL A/C 2554606-50200085415108</t>
        </is>
      </c>
      <c r="L1479" s="55" t="inlineStr">
        <is>
          <t>HDFC Bank</t>
        </is>
      </c>
      <c r="M1479" s="55" t="inlineStr"/>
    </row>
    <row r="1480">
      <c r="A1480" s="37" t="n">
        <v>45310</v>
      </c>
      <c r="B1480" s="37" t="n">
        <v>45310</v>
      </c>
      <c r="C1480" s="38" t="n">
        <v>50</v>
      </c>
      <c r="D1480" s="38" t="n">
        <v>0</v>
      </c>
      <c r="E1480" s="38" t="inlineStr"/>
      <c r="F1480" s="38" t="inlineStr">
        <is>
          <t>UPI Payment</t>
        </is>
      </c>
      <c r="G1480" s="25" t="n">
        <v>0.55</v>
      </c>
      <c r="H1480" s="38" t="inlineStr">
        <is>
          <t>Personal</t>
        </is>
      </c>
      <c r="I1480" s="38" t="inlineStr">
        <is>
          <t>FEDERAL 0847</t>
        </is>
      </c>
      <c r="J1480" s="38" t="inlineStr"/>
      <c r="K1480" s="38" t="inlineStr">
        <is>
          <t>UPIOUT/401980625234/Q463323667@ybl/Sent
via /5812</t>
        </is>
      </c>
      <c r="L1480" s="38" t="inlineStr">
        <is>
          <t>Federal Bank (Jupiter)</t>
        </is>
      </c>
      <c r="M1480" s="38" t="inlineStr"/>
    </row>
    <row r="1481">
      <c r="A1481" s="37" t="n">
        <v>45310</v>
      </c>
      <c r="B1481" s="37" t="n">
        <v>45310</v>
      </c>
      <c r="C1481" s="38" t="n">
        <v>80</v>
      </c>
      <c r="D1481" s="38" t="n">
        <v>0</v>
      </c>
      <c r="E1481" s="38" t="inlineStr"/>
      <c r="F1481" s="38" t="inlineStr">
        <is>
          <t>UPI Payment</t>
        </is>
      </c>
      <c r="G1481" s="25" t="n">
        <v>0.55</v>
      </c>
      <c r="H1481" s="38" t="inlineStr">
        <is>
          <t>Personal</t>
        </is>
      </c>
      <c r="I1481" s="38" t="inlineStr">
        <is>
          <t>FEDERAL 0847</t>
        </is>
      </c>
      <c r="J1481" s="38" t="inlineStr"/>
      <c r="K1481" s="38" t="inlineStr">
        <is>
          <t>UPIOUT/401980484344/Q079360809@ybl/Sent
via /5814</t>
        </is>
      </c>
      <c r="L1481" s="38" t="inlineStr">
        <is>
          <t>Federal Bank (Jupiter)</t>
        </is>
      </c>
      <c r="M1481" s="38" t="inlineStr"/>
    </row>
    <row r="1482">
      <c r="A1482" s="37" t="n">
        <v>45310</v>
      </c>
      <c r="B1482" s="37" t="n">
        <v>45310</v>
      </c>
      <c r="C1482" s="38" t="n">
        <v>2500</v>
      </c>
      <c r="D1482" s="38" t="n">
        <v>0</v>
      </c>
      <c r="E1482" s="38" t="inlineStr"/>
      <c r="F1482" s="38" t="inlineStr">
        <is>
          <t>UPI Payment</t>
        </is>
      </c>
      <c r="G1482" s="25" t="n">
        <v>0.55</v>
      </c>
      <c r="H1482" s="38" t="inlineStr">
        <is>
          <t>Personal</t>
        </is>
      </c>
      <c r="I1482" s="38" t="inlineStr">
        <is>
          <t>FEDERAL 0847</t>
        </is>
      </c>
      <c r="J1482" s="38" t="inlineStr"/>
      <c r="K1482" s="38" t="inlineStr">
        <is>
          <t>UPIOUT/401998980420/vijaykumarbhukya99@oks
bi/0000</t>
        </is>
      </c>
      <c r="L1482" s="38" t="inlineStr">
        <is>
          <t>Federal Bank (Jupiter)</t>
        </is>
      </c>
      <c r="M1482" s="38" t="inlineStr"/>
    </row>
    <row r="1483">
      <c r="A1483" s="37" t="n">
        <v>45310</v>
      </c>
      <c r="B1483" s="37" t="n">
        <v>45310</v>
      </c>
      <c r="C1483" s="38" t="n">
        <v>18</v>
      </c>
      <c r="D1483" s="38" t="n">
        <v>0</v>
      </c>
      <c r="E1483" s="38" t="inlineStr"/>
      <c r="F1483" s="38" t="inlineStr">
        <is>
          <t>UPI Payment</t>
        </is>
      </c>
      <c r="G1483" s="25" t="n">
        <v>0.55</v>
      </c>
      <c r="H1483" s="38" t="inlineStr">
        <is>
          <t>Personal</t>
        </is>
      </c>
      <c r="I1483" s="38" t="inlineStr">
        <is>
          <t>FEDERAL 0847</t>
        </is>
      </c>
      <c r="J1483" s="38" t="inlineStr"/>
      <c r="K1483" s="38" t="inlineStr">
        <is>
          <t>UPIOUT/401978948221/Q832428843@ybl/Sent
via /5814</t>
        </is>
      </c>
      <c r="L1483" s="38" t="inlineStr">
        <is>
          <t>Federal Bank (Jupiter)</t>
        </is>
      </c>
      <c r="M1483" s="38" t="inlineStr"/>
    </row>
    <row r="1484">
      <c r="A1484" s="35" t="n">
        <v>45310</v>
      </c>
      <c r="B1484" s="35" t="n">
        <v>45310</v>
      </c>
      <c r="C1484" s="36" t="n">
        <v>35</v>
      </c>
      <c r="D1484" s="36" t="n">
        <v>0</v>
      </c>
      <c r="E1484" s="36" t="inlineStr"/>
      <c r="F1484" s="36" t="inlineStr">
        <is>
          <t>UPI - Paytm</t>
        </is>
      </c>
      <c r="G1484" s="34" t="n">
        <v>0.65</v>
      </c>
      <c r="H1484" s="36" t="inlineStr">
        <is>
          <t>Personal</t>
        </is>
      </c>
      <c r="I1484" s="36" t="inlineStr">
        <is>
          <t>FEDERAL 0847</t>
        </is>
      </c>
      <c r="J1484" s="36" t="inlineStr"/>
      <c r="K1484" s="36" t="inlineStr">
        <is>
          <t>UPIOUT/401978922833/paytmqr9cdfhlia2w@payt
m//5812</t>
        </is>
      </c>
      <c r="L1484" s="36" t="inlineStr">
        <is>
          <t>Federal Bank (Jupiter)</t>
        </is>
      </c>
      <c r="M1484" s="36" t="inlineStr"/>
    </row>
    <row r="1485">
      <c r="A1485" s="35" t="n">
        <v>45310</v>
      </c>
      <c r="B1485" s="35" t="n">
        <v>45310</v>
      </c>
      <c r="C1485" s="36" t="n">
        <v>15</v>
      </c>
      <c r="D1485" s="36" t="n">
        <v>0</v>
      </c>
      <c r="E1485" s="36" t="inlineStr"/>
      <c r="F1485" s="36" t="inlineStr">
        <is>
          <t>UPI - Paytm</t>
        </is>
      </c>
      <c r="G1485" s="34" t="n">
        <v>0.65</v>
      </c>
      <c r="H1485" s="36" t="inlineStr">
        <is>
          <t>Personal</t>
        </is>
      </c>
      <c r="I1485" s="36" t="inlineStr">
        <is>
          <t>FEDERAL 0847</t>
        </is>
      </c>
      <c r="J1485" s="36" t="inlineStr"/>
      <c r="K1485" s="36" t="inlineStr">
        <is>
          <t>UPIOUT/401977651933/paytmqri5ciai3vuc@payt
m//5812</t>
        </is>
      </c>
      <c r="L1485" s="36" t="inlineStr">
        <is>
          <t>Federal Bank (Jupiter)</t>
        </is>
      </c>
      <c r="M1485" s="36" t="inlineStr"/>
    </row>
    <row r="1486">
      <c r="A1486" s="41" t="n">
        <v>45310</v>
      </c>
      <c r="B1486" s="41" t="n">
        <v>45310</v>
      </c>
      <c r="C1486" s="42" t="n">
        <v>200.49</v>
      </c>
      <c r="D1486" s="42" t="n">
        <v>0</v>
      </c>
      <c r="E1486" s="42" t="inlineStr"/>
      <c r="F1486" s="42" t="inlineStr">
        <is>
          <t>HDFC Securities - Buy</t>
        </is>
      </c>
      <c r="G1486" s="18" t="n">
        <v>0.97</v>
      </c>
      <c r="H1486" s="42" t="inlineStr">
        <is>
          <t>HDFC Securities</t>
        </is>
      </c>
      <c r="I1486" s="42" t="inlineStr">
        <is>
          <t>HDFC 5413</t>
        </is>
      </c>
      <c r="J1486" s="42" t="inlineStr"/>
      <c r="K1486" s="42" t="inlineStr">
        <is>
          <t>NET PI TO HSL SEC A/C 2554606-00602340029427</t>
        </is>
      </c>
      <c r="L1486" s="42" t="inlineStr">
        <is>
          <t>HDFC Bank</t>
        </is>
      </c>
      <c r="M1486" s="42" t="inlineStr"/>
    </row>
    <row r="1487">
      <c r="A1487" s="41" t="n">
        <v>45310</v>
      </c>
      <c r="B1487" s="41" t="n">
        <v>45310</v>
      </c>
      <c r="C1487" s="42" t="n">
        <v>34795.31</v>
      </c>
      <c r="D1487" s="42" t="n">
        <v>0</v>
      </c>
      <c r="E1487" s="42" t="inlineStr"/>
      <c r="F1487" s="42" t="inlineStr">
        <is>
          <t>HDFC Securities - Buy</t>
        </is>
      </c>
      <c r="G1487" s="18" t="n">
        <v>0.97</v>
      </c>
      <c r="H1487" s="42" t="inlineStr">
        <is>
          <t>HDFC Securities</t>
        </is>
      </c>
      <c r="I1487" s="42" t="inlineStr">
        <is>
          <t>HDFC 5413</t>
        </is>
      </c>
      <c r="J1487" s="42" t="inlineStr"/>
      <c r="K1487" s="42" t="inlineStr">
        <is>
          <t>NET PI TO HSL SEC A/C 2554606-00602340029427</t>
        </is>
      </c>
      <c r="L1487" s="42" t="inlineStr">
        <is>
          <t>HDFC Bank</t>
        </is>
      </c>
      <c r="M1487" s="42" t="inlineStr"/>
    </row>
    <row r="1488">
      <c r="A1488" s="19" t="n">
        <v>45311</v>
      </c>
      <c r="B1488" s="19" t="n">
        <v>45311</v>
      </c>
      <c r="C1488" s="20" t="n">
        <v>6.38</v>
      </c>
      <c r="D1488" s="20" t="n">
        <v>0</v>
      </c>
      <c r="E1488" s="20" t="inlineStr"/>
      <c r="F1488" s="20" t="inlineStr">
        <is>
          <t>Bank Charges</t>
        </is>
      </c>
      <c r="G1488" s="18" t="n">
        <v>0.9</v>
      </c>
      <c r="H1488" s="20" t="inlineStr">
        <is>
          <t>Bank Charges</t>
        </is>
      </c>
      <c r="I1488" s="20" t="inlineStr">
        <is>
          <t>HDFC 5413</t>
        </is>
      </c>
      <c r="J1488" s="20" t="inlineStr"/>
      <c r="K1488" s="20" t="inlineStr">
        <is>
          <t>OCTDEC23 INSTAALERTCHG 27 SMS 050124-MIR2401935428412</t>
        </is>
      </c>
      <c r="L1488" s="20" t="inlineStr">
        <is>
          <t>HDFC Bank</t>
        </is>
      </c>
      <c r="M1488" s="20" t="inlineStr"/>
    </row>
    <row r="1489">
      <c r="A1489" s="54" t="n">
        <v>45311</v>
      </c>
      <c r="B1489" s="54" t="n">
        <v>45311</v>
      </c>
      <c r="C1489" s="55" t="n">
        <v>0</v>
      </c>
      <c r="D1489" s="55" t="n">
        <v>24264.54</v>
      </c>
      <c r="E1489" s="55" t="inlineStr"/>
      <c r="F1489" s="55" t="inlineStr">
        <is>
          <t>HDFC Securities - Sell</t>
        </is>
      </c>
      <c r="G1489" s="18" t="n">
        <v>0.97</v>
      </c>
      <c r="H1489" s="55" t="inlineStr">
        <is>
          <t>HDFC Securities</t>
        </is>
      </c>
      <c r="I1489" s="55" t="inlineStr">
        <is>
          <t>HDFC 5413</t>
        </is>
      </c>
      <c r="J1489" s="55" t="inlineStr"/>
      <c r="K1489" s="55" t="inlineStr">
        <is>
          <t>NET PO FROM HSL A/C 2554606-50200085415108</t>
        </is>
      </c>
      <c r="L1489" s="55" t="inlineStr">
        <is>
          <t>HDFC Bank</t>
        </is>
      </c>
      <c r="M1489" s="55" t="inlineStr"/>
    </row>
    <row r="1490">
      <c r="A1490" s="54" t="n">
        <v>45311</v>
      </c>
      <c r="B1490" s="54" t="n">
        <v>45311</v>
      </c>
      <c r="C1490" s="55" t="n">
        <v>0</v>
      </c>
      <c r="D1490" s="55" t="n">
        <v>34795.31</v>
      </c>
      <c r="E1490" s="55" t="inlineStr"/>
      <c r="F1490" s="55" t="inlineStr">
        <is>
          <t>HDFC Securities - Sell</t>
        </is>
      </c>
      <c r="G1490" s="18" t="n">
        <v>0.97</v>
      </c>
      <c r="H1490" s="55" t="inlineStr">
        <is>
          <t>HDFC Securities</t>
        </is>
      </c>
      <c r="I1490" s="55" t="inlineStr">
        <is>
          <t>HDFC 5413</t>
        </is>
      </c>
      <c r="J1490" s="55" t="inlineStr"/>
      <c r="K1490" s="55" t="inlineStr">
        <is>
          <t>NET PO FROM HSL A/C 2554606-50200085415108</t>
        </is>
      </c>
      <c r="L1490" s="55" t="inlineStr">
        <is>
          <t>HDFC Bank</t>
        </is>
      </c>
      <c r="M1490" s="55" t="inlineStr"/>
    </row>
    <row r="1491">
      <c r="A1491" s="37" t="n">
        <v>45311</v>
      </c>
      <c r="B1491" s="37" t="n">
        <v>45311</v>
      </c>
      <c r="C1491" s="38" t="n">
        <v>70</v>
      </c>
      <c r="D1491" s="38" t="n">
        <v>0</v>
      </c>
      <c r="E1491" s="38" t="inlineStr"/>
      <c r="F1491" s="38" t="inlineStr">
        <is>
          <t>UPI Payment</t>
        </is>
      </c>
      <c r="G1491" s="25" t="n">
        <v>0.55</v>
      </c>
      <c r="H1491" s="38" t="inlineStr">
        <is>
          <t>Personal</t>
        </is>
      </c>
      <c r="I1491" s="38" t="inlineStr">
        <is>
          <t>FEDERAL 0847</t>
        </is>
      </c>
      <c r="J1491" s="38" t="inlineStr"/>
      <c r="K1491" s="38" t="inlineStr">
        <is>
          <t>UPIOUT/402085175073/Q407907754@ybl/Sent
via /5812</t>
        </is>
      </c>
      <c r="L1491" s="38" t="inlineStr">
        <is>
          <t>Federal Bank (Jupiter)</t>
        </is>
      </c>
      <c r="M1491" s="38" t="inlineStr">
        <is>
          <t>⚠ Possible Duplicate</t>
        </is>
      </c>
    </row>
    <row r="1492">
      <c r="A1492" s="37" t="n">
        <v>45311</v>
      </c>
      <c r="B1492" s="37" t="n">
        <v>45311</v>
      </c>
      <c r="C1492" s="38" t="n">
        <v>30</v>
      </c>
      <c r="D1492" s="38" t="n">
        <v>0</v>
      </c>
      <c r="E1492" s="38" t="inlineStr"/>
      <c r="F1492" s="38" t="inlineStr">
        <is>
          <t>UPI Payment</t>
        </is>
      </c>
      <c r="G1492" s="25" t="n">
        <v>0.55</v>
      </c>
      <c r="H1492" s="38" t="inlineStr">
        <is>
          <t>Personal</t>
        </is>
      </c>
      <c r="I1492" s="38" t="inlineStr">
        <is>
          <t>FEDERAL 0847</t>
        </is>
      </c>
      <c r="J1492" s="38" t="inlineStr"/>
      <c r="K1492" s="38" t="inlineStr">
        <is>
          <t>UPIOUT/402083280790/Q832428843@ybl/Sent
via /5814</t>
        </is>
      </c>
      <c r="L1492" s="38" t="inlineStr">
        <is>
          <t>Federal Bank (Jupiter)</t>
        </is>
      </c>
      <c r="M1492" s="38" t="inlineStr"/>
    </row>
    <row r="1493">
      <c r="A1493" s="41" t="n">
        <v>45311</v>
      </c>
      <c r="B1493" s="41" t="n">
        <v>45311</v>
      </c>
      <c r="C1493" s="42" t="n">
        <v>25340.33</v>
      </c>
      <c r="D1493" s="42" t="n">
        <v>0</v>
      </c>
      <c r="E1493" s="42" t="inlineStr"/>
      <c r="F1493" s="42" t="inlineStr">
        <is>
          <t>HDFC Securities - Buy</t>
        </is>
      </c>
      <c r="G1493" s="18" t="n">
        <v>0.97</v>
      </c>
      <c r="H1493" s="42" t="inlineStr">
        <is>
          <t>HDFC Securities</t>
        </is>
      </c>
      <c r="I1493" s="42" t="inlineStr">
        <is>
          <t>HDFC 5413</t>
        </is>
      </c>
      <c r="J1493" s="42" t="inlineStr"/>
      <c r="K1493" s="42" t="inlineStr">
        <is>
          <t>NET PI TO HSL SEC A/C 2554606-00602340029427</t>
        </is>
      </c>
      <c r="L1493" s="42" t="inlineStr">
        <is>
          <t>HDFC Bank</t>
        </is>
      </c>
      <c r="M1493" s="42" t="inlineStr"/>
    </row>
    <row r="1494">
      <c r="A1494" s="37" t="n">
        <v>45311</v>
      </c>
      <c r="B1494" s="37" t="n">
        <v>45311</v>
      </c>
      <c r="C1494" s="38" t="n">
        <v>25</v>
      </c>
      <c r="D1494" s="38" t="n">
        <v>0</v>
      </c>
      <c r="E1494" s="38" t="inlineStr"/>
      <c r="F1494" s="38" t="inlineStr">
        <is>
          <t>UPI Payment</t>
        </is>
      </c>
      <c r="G1494" s="25" t="n">
        <v>0.55</v>
      </c>
      <c r="H1494" s="38" t="inlineStr">
        <is>
          <t>Personal</t>
        </is>
      </c>
      <c r="I1494" s="38" t="inlineStr">
        <is>
          <t>FEDERAL 0847</t>
        </is>
      </c>
      <c r="J1494" s="38" t="inlineStr"/>
      <c r="K1494" s="38" t="inlineStr">
        <is>
          <t>UPIOUT/402085961127/Q832428843@ybl/Sent
via /5814</t>
        </is>
      </c>
      <c r="L1494" s="38" t="inlineStr">
        <is>
          <t>Federal Bank (Jupiter)</t>
        </is>
      </c>
      <c r="M1494" s="38" t="inlineStr"/>
    </row>
    <row r="1495">
      <c r="A1495" s="37" t="n">
        <v>45311</v>
      </c>
      <c r="B1495" s="37" t="n">
        <v>45311</v>
      </c>
      <c r="C1495" s="38" t="n">
        <v>70</v>
      </c>
      <c r="D1495" s="38" t="n">
        <v>0</v>
      </c>
      <c r="E1495" s="38" t="inlineStr"/>
      <c r="F1495" s="38" t="inlineStr">
        <is>
          <t>UPI Payment</t>
        </is>
      </c>
      <c r="G1495" s="25" t="n">
        <v>0.55</v>
      </c>
      <c r="H1495" s="38" t="inlineStr">
        <is>
          <t>Personal</t>
        </is>
      </c>
      <c r="I1495" s="38" t="inlineStr">
        <is>
          <t>FEDERAL 0847</t>
        </is>
      </c>
      <c r="J1495" s="38" t="inlineStr"/>
      <c r="K1495" s="38" t="inlineStr">
        <is>
          <t>UPIOUT/402087456215/Q132942392@ybl/Sent
via /5451</t>
        </is>
      </c>
      <c r="L1495" s="38" t="inlineStr">
        <is>
          <t>Federal Bank (Jupiter)</t>
        </is>
      </c>
      <c r="M1495" s="38" t="inlineStr">
        <is>
          <t>⚠ Possible Duplicate</t>
        </is>
      </c>
    </row>
    <row r="1496">
      <c r="A1496" s="41" t="n">
        <v>45311</v>
      </c>
      <c r="B1496" s="41" t="n">
        <v>45311</v>
      </c>
      <c r="C1496" s="42" t="n">
        <v>209.13</v>
      </c>
      <c r="D1496" s="42" t="n">
        <v>0</v>
      </c>
      <c r="E1496" s="42" t="inlineStr"/>
      <c r="F1496" s="42" t="inlineStr">
        <is>
          <t>HDFC Securities - Buy</t>
        </is>
      </c>
      <c r="G1496" s="18" t="n">
        <v>0.97</v>
      </c>
      <c r="H1496" s="42" t="inlineStr">
        <is>
          <t>HDFC Securities</t>
        </is>
      </c>
      <c r="I1496" s="42" t="inlineStr">
        <is>
          <t>HDFC 5413</t>
        </is>
      </c>
      <c r="J1496" s="42" t="inlineStr"/>
      <c r="K1496" s="42" t="inlineStr">
        <is>
          <t>NET PI TO HSL SEC A/C 2554606-00602340029427</t>
        </is>
      </c>
      <c r="L1496" s="42" t="inlineStr">
        <is>
          <t>HDFC Bank</t>
        </is>
      </c>
      <c r="M1496" s="42" t="inlineStr"/>
    </row>
    <row r="1497">
      <c r="A1497" s="58" t="n">
        <v>45312</v>
      </c>
      <c r="B1497" s="58" t="n">
        <v>45312</v>
      </c>
      <c r="C1497" s="59" t="n">
        <v>1000</v>
      </c>
      <c r="D1497" s="59" t="n">
        <v>0</v>
      </c>
      <c r="E1497" s="59" t="inlineStr"/>
      <c r="F1497" s="59" t="inlineStr">
        <is>
          <t>MF Investment</t>
        </is>
      </c>
      <c r="G1497" s="18" t="n">
        <v>0.88</v>
      </c>
      <c r="H1497" s="59" t="inlineStr">
        <is>
          <t>Investments</t>
        </is>
      </c>
      <c r="I1497" s="59" t="inlineStr">
        <is>
          <t>FEDERAL 0847</t>
        </is>
      </c>
      <c r="J1497" s="59" t="inlineStr"/>
      <c r="K1497" s="59" t="inlineStr">
        <is>
          <t>NFT/NEOSIEXEDDD2024012102303226443 Mirae
Asset Mut</t>
        </is>
      </c>
      <c r="L1497" s="59" t="inlineStr">
        <is>
          <t>Federal Bank (Jupiter)</t>
        </is>
      </c>
      <c r="M1497" s="59" t="inlineStr">
        <is>
          <t>⚠ Possible Duplicate</t>
        </is>
      </c>
    </row>
    <row r="1498">
      <c r="A1498" s="58" t="n">
        <v>45312</v>
      </c>
      <c r="B1498" s="58" t="n">
        <v>45312</v>
      </c>
      <c r="C1498" s="59" t="n">
        <v>1000</v>
      </c>
      <c r="D1498" s="59" t="n">
        <v>0</v>
      </c>
      <c r="E1498" s="59" t="inlineStr"/>
      <c r="F1498" s="59" t="inlineStr">
        <is>
          <t>MF Investment</t>
        </is>
      </c>
      <c r="G1498" s="18" t="n">
        <v>0.88</v>
      </c>
      <c r="H1498" s="59" t="inlineStr">
        <is>
          <t>Investments</t>
        </is>
      </c>
      <c r="I1498" s="59" t="inlineStr">
        <is>
          <t>FEDERAL 0847</t>
        </is>
      </c>
      <c r="J1498" s="59" t="inlineStr"/>
      <c r="K1498" s="59" t="inlineStr">
        <is>
          <t>NFT/NEOSIEXEDDD2024012103010575057 Quant
Mutual Fu</t>
        </is>
      </c>
      <c r="L1498" s="59" t="inlineStr">
        <is>
          <t>Federal Bank (Jupiter)</t>
        </is>
      </c>
      <c r="M1498" s="59" t="inlineStr">
        <is>
          <t>⚠ Possible Duplicate</t>
        </is>
      </c>
    </row>
    <row r="1499">
      <c r="A1499" s="37" t="n">
        <v>45312</v>
      </c>
      <c r="B1499" s="37" t="n">
        <v>45312</v>
      </c>
      <c r="C1499" s="38" t="n">
        <v>18</v>
      </c>
      <c r="D1499" s="38" t="n">
        <v>0</v>
      </c>
      <c r="E1499" s="38" t="inlineStr"/>
      <c r="F1499" s="38" t="inlineStr">
        <is>
          <t>UPI Payment</t>
        </is>
      </c>
      <c r="G1499" s="25" t="n">
        <v>0.55</v>
      </c>
      <c r="H1499" s="38" t="inlineStr">
        <is>
          <t>Personal</t>
        </is>
      </c>
      <c r="I1499" s="38" t="inlineStr">
        <is>
          <t>FEDERAL 0847</t>
        </is>
      </c>
      <c r="J1499" s="38" t="inlineStr"/>
      <c r="K1499" s="38" t="inlineStr">
        <is>
          <t>UPIOUT/402189137235/Q832428843@ybl/Sent
via /5814</t>
        </is>
      </c>
      <c r="L1499" s="38" t="inlineStr">
        <is>
          <t>Federal Bank (Jupiter)</t>
        </is>
      </c>
      <c r="M1499" s="38" t="inlineStr"/>
    </row>
    <row r="1500">
      <c r="A1500" s="37" t="n">
        <v>45312</v>
      </c>
      <c r="B1500" s="37" t="n">
        <v>45312</v>
      </c>
      <c r="C1500" s="38" t="n">
        <v>160</v>
      </c>
      <c r="D1500" s="38" t="n">
        <v>0</v>
      </c>
      <c r="E1500" s="38" t="inlineStr"/>
      <c r="F1500" s="38" t="inlineStr">
        <is>
          <t>UPI Payment</t>
        </is>
      </c>
      <c r="G1500" s="25" t="n">
        <v>0.55</v>
      </c>
      <c r="H1500" s="38" t="inlineStr">
        <is>
          <t>Personal</t>
        </is>
      </c>
      <c r="I1500" s="38" t="inlineStr">
        <is>
          <t>FEDERAL 0847</t>
        </is>
      </c>
      <c r="J1500" s="38" t="inlineStr"/>
      <c r="K1500" s="38" t="inlineStr">
        <is>
          <t>UPIOUT/402190244416/Q252365001@ybl/Sent
via /5814</t>
        </is>
      </c>
      <c r="L1500" s="38" t="inlineStr">
        <is>
          <t>Federal Bank (Jupiter)</t>
        </is>
      </c>
      <c r="M1500" s="38" t="inlineStr"/>
    </row>
    <row r="1501">
      <c r="A1501" s="37" t="n">
        <v>45312</v>
      </c>
      <c r="B1501" s="37" t="n">
        <v>45312</v>
      </c>
      <c r="C1501" s="38" t="n">
        <v>90</v>
      </c>
      <c r="D1501" s="38" t="n">
        <v>0</v>
      </c>
      <c r="E1501" s="38" t="inlineStr"/>
      <c r="F1501" s="38" t="inlineStr">
        <is>
          <t>UPI Payment</t>
        </is>
      </c>
      <c r="G1501" s="25" t="n">
        <v>0.55</v>
      </c>
      <c r="H1501" s="38" t="inlineStr">
        <is>
          <t>Personal</t>
        </is>
      </c>
      <c r="I1501" s="38" t="inlineStr">
        <is>
          <t>FEDERAL 0847</t>
        </is>
      </c>
      <c r="J1501" s="38" t="inlineStr"/>
      <c r="K1501" s="38" t="inlineStr">
        <is>
          <t>UPIOUT/402191272774/Q079360809@ybl/Sent
via /5814</t>
        </is>
      </c>
      <c r="L1501" s="38" t="inlineStr">
        <is>
          <t>Federal Bank (Jupiter)</t>
        </is>
      </c>
      <c r="M1501" s="38" t="inlineStr"/>
    </row>
    <row r="1502">
      <c r="A1502" s="37" t="n">
        <v>45312</v>
      </c>
      <c r="B1502" s="37" t="n">
        <v>45312</v>
      </c>
      <c r="C1502" s="38" t="n">
        <v>100</v>
      </c>
      <c r="D1502" s="38" t="n">
        <v>0</v>
      </c>
      <c r="E1502" s="38" t="inlineStr"/>
      <c r="F1502" s="38" t="inlineStr">
        <is>
          <t>UPI Payment</t>
        </is>
      </c>
      <c r="G1502" s="25" t="n">
        <v>0.55</v>
      </c>
      <c r="H1502" s="38" t="inlineStr">
        <is>
          <t>Personal</t>
        </is>
      </c>
      <c r="I1502" s="38" t="inlineStr">
        <is>
          <t>FEDERAL 0847</t>
        </is>
      </c>
      <c r="J1502" s="38" t="inlineStr"/>
      <c r="K1502" s="38" t="inlineStr">
        <is>
          <t>UPIOUT/402191418505/Q463323667@ybl/Sent
via /5812</t>
        </is>
      </c>
      <c r="L1502" s="38" t="inlineStr">
        <is>
          <t>Federal Bank (Jupiter)</t>
        </is>
      </c>
      <c r="M1502" s="38" t="inlineStr"/>
    </row>
    <row r="1503">
      <c r="A1503" s="19" t="n">
        <v>45312</v>
      </c>
      <c r="B1503" s="19" t="n">
        <v>45312</v>
      </c>
      <c r="C1503" s="20" t="n">
        <v>1.18</v>
      </c>
      <c r="D1503" s="20" t="n">
        <v>0</v>
      </c>
      <c r="E1503" s="20" t="inlineStr"/>
      <c r="F1503" s="20" t="inlineStr">
        <is>
          <t>Bank Charges</t>
        </is>
      </c>
      <c r="G1503" s="18" t="n">
        <v>0.88</v>
      </c>
      <c r="H1503" s="20" t="inlineStr">
        <is>
          <t>Bank Charges</t>
        </is>
      </c>
      <c r="I1503" s="20" t="inlineStr">
        <is>
          <t>AXIS</t>
        </is>
      </c>
      <c r="J1503" s="20" t="inlineStr"/>
      <c r="K1503" s="20" t="inlineStr">
        <is>
          <t>SMS Alerts Chrgs Incl GST</t>
        </is>
      </c>
      <c r="L1503" s="20" t="inlineStr">
        <is>
          <t>Axis Bank</t>
        </is>
      </c>
      <c r="M1503" s="20" t="inlineStr"/>
    </row>
    <row r="1504">
      <c r="A1504" s="35" t="n">
        <v>45312</v>
      </c>
      <c r="B1504" s="35" t="n">
        <v>45312</v>
      </c>
      <c r="C1504" s="36" t="n">
        <v>280</v>
      </c>
      <c r="D1504" s="36" t="n">
        <v>0</v>
      </c>
      <c r="E1504" s="36" t="inlineStr"/>
      <c r="F1504" s="36" t="inlineStr">
        <is>
          <t>UPI - Paytm</t>
        </is>
      </c>
      <c r="G1504" s="34" t="n">
        <v>0.65</v>
      </c>
      <c r="H1504" s="36" t="inlineStr">
        <is>
          <t>Personal</t>
        </is>
      </c>
      <c r="I1504" s="36" t="inlineStr">
        <is>
          <t>FEDERAL 0847</t>
        </is>
      </c>
      <c r="J1504" s="36" t="inlineStr"/>
      <c r="K1504" s="36" t="inlineStr">
        <is>
          <t>UPIOUT/402189348005/paytmqr281005050101121
ip/7230</t>
        </is>
      </c>
      <c r="L1504" s="36" t="inlineStr">
        <is>
          <t>Federal Bank (Jupiter)</t>
        </is>
      </c>
      <c r="M1504" s="36" t="inlineStr"/>
    </row>
    <row r="1505">
      <c r="A1505" s="35" t="n">
        <v>45313</v>
      </c>
      <c r="B1505" s="35" t="n">
        <v>45313</v>
      </c>
      <c r="C1505" s="36" t="n">
        <v>30</v>
      </c>
      <c r="D1505" s="36" t="n">
        <v>0</v>
      </c>
      <c r="E1505" s="36" t="inlineStr"/>
      <c r="F1505" s="36" t="inlineStr">
        <is>
          <t>UPI - Paytm</t>
        </is>
      </c>
      <c r="G1505" s="34" t="n">
        <v>0.65</v>
      </c>
      <c r="H1505" s="36" t="inlineStr">
        <is>
          <t>Personal</t>
        </is>
      </c>
      <c r="I1505" s="36" t="inlineStr">
        <is>
          <t>FEDERAL 0847</t>
        </is>
      </c>
      <c r="J1505" s="36" t="inlineStr"/>
      <c r="K1505" s="36" t="inlineStr">
        <is>
          <t>UPIOUT/402294217399/8885885198@paytm/Sent
vi/0000</t>
        </is>
      </c>
      <c r="L1505" s="36" t="inlineStr">
        <is>
          <t>Federal Bank (Jupiter)</t>
        </is>
      </c>
      <c r="M1505" s="36" t="inlineStr"/>
    </row>
    <row r="1506">
      <c r="A1506" s="37" t="n">
        <v>45313</v>
      </c>
      <c r="B1506" s="37" t="n">
        <v>45313</v>
      </c>
      <c r="C1506" s="38" t="n">
        <v>20</v>
      </c>
      <c r="D1506" s="38" t="n">
        <v>0</v>
      </c>
      <c r="E1506" s="38" t="inlineStr"/>
      <c r="F1506" s="38" t="inlineStr">
        <is>
          <t>UPI Payment</t>
        </is>
      </c>
      <c r="G1506" s="25" t="n">
        <v>0.55</v>
      </c>
      <c r="H1506" s="38" t="inlineStr">
        <is>
          <t>Personal</t>
        </is>
      </c>
      <c r="I1506" s="38" t="inlineStr">
        <is>
          <t>FEDERAL 0847</t>
        </is>
      </c>
      <c r="J1506" s="38" t="inlineStr"/>
      <c r="K1506" s="38" t="inlineStr">
        <is>
          <t>UPIOUT/402296058764/Q798355992@ybl/Sent
via /7407</t>
        </is>
      </c>
      <c r="L1506" s="38" t="inlineStr">
        <is>
          <t>Federal Bank (Jupiter)</t>
        </is>
      </c>
      <c r="M1506" s="38" t="inlineStr"/>
    </row>
    <row r="1507">
      <c r="A1507" s="37" t="n">
        <v>45313</v>
      </c>
      <c r="B1507" s="37" t="n">
        <v>45313</v>
      </c>
      <c r="C1507" s="38" t="n">
        <v>40</v>
      </c>
      <c r="D1507" s="38" t="n">
        <v>0</v>
      </c>
      <c r="E1507" s="38" t="inlineStr"/>
      <c r="F1507" s="38" t="inlineStr">
        <is>
          <t>UPI Payment</t>
        </is>
      </c>
      <c r="G1507" s="25" t="n">
        <v>0.55</v>
      </c>
      <c r="H1507" s="38" t="inlineStr">
        <is>
          <t>Personal</t>
        </is>
      </c>
      <c r="I1507" s="38" t="inlineStr">
        <is>
          <t>FEDERAL 0847</t>
        </is>
      </c>
      <c r="J1507" s="38" t="inlineStr"/>
      <c r="K1507" s="38" t="inlineStr">
        <is>
          <t>UPIOUT/402296553613/Q463323667@ybl/Sent
via /5812</t>
        </is>
      </c>
      <c r="L1507" s="38" t="inlineStr">
        <is>
          <t>Federal Bank (Jupiter)</t>
        </is>
      </c>
      <c r="M1507" s="38" t="inlineStr"/>
    </row>
    <row r="1508">
      <c r="A1508" s="35" t="n">
        <v>45313</v>
      </c>
      <c r="B1508" s="35" t="n">
        <v>45313</v>
      </c>
      <c r="C1508" s="36" t="n">
        <v>70</v>
      </c>
      <c r="D1508" s="36" t="n">
        <v>0</v>
      </c>
      <c r="E1508" s="36" t="inlineStr"/>
      <c r="F1508" s="36" t="inlineStr">
        <is>
          <t>UPI - Paytm</t>
        </is>
      </c>
      <c r="G1508" s="34" t="n">
        <v>0.65</v>
      </c>
      <c r="H1508" s="36" t="inlineStr">
        <is>
          <t>Personal</t>
        </is>
      </c>
      <c r="I1508" s="36" t="inlineStr">
        <is>
          <t>FEDERAL 0847</t>
        </is>
      </c>
      <c r="J1508" s="36" t="inlineStr"/>
      <c r="K1508" s="36" t="inlineStr">
        <is>
          <t>UPIOUT/402296939009/paytmqr281005050101ac5
gq/5812</t>
        </is>
      </c>
      <c r="L1508" s="36" t="inlineStr">
        <is>
          <t>Federal Bank (Jupiter)</t>
        </is>
      </c>
      <c r="M1508" s="36" t="inlineStr"/>
    </row>
    <row r="1509">
      <c r="A1509" s="35" t="n">
        <v>45313</v>
      </c>
      <c r="B1509" s="35" t="n">
        <v>45313</v>
      </c>
      <c r="C1509" s="36" t="n">
        <v>20</v>
      </c>
      <c r="D1509" s="36" t="n">
        <v>0</v>
      </c>
      <c r="E1509" s="36" t="inlineStr"/>
      <c r="F1509" s="36" t="inlineStr">
        <is>
          <t>UPI - Paytm</t>
        </is>
      </c>
      <c r="G1509" s="34" t="n">
        <v>0.65</v>
      </c>
      <c r="H1509" s="36" t="inlineStr">
        <is>
          <t>Personal</t>
        </is>
      </c>
      <c r="I1509" s="36" t="inlineStr">
        <is>
          <t>FEDERAL 0847</t>
        </is>
      </c>
      <c r="J1509" s="36" t="inlineStr"/>
      <c r="K1509" s="36" t="inlineStr">
        <is>
          <t>UPIOUT/402297023884/paytmqricl8fehbdn@payt
m//5411</t>
        </is>
      </c>
      <c r="L1509" s="36" t="inlineStr">
        <is>
          <t>Federal Bank (Jupiter)</t>
        </is>
      </c>
      <c r="M1509" s="36" t="inlineStr"/>
    </row>
    <row r="1510">
      <c r="A1510" s="97" t="n">
        <v>45313</v>
      </c>
      <c r="B1510" s="97" t="n">
        <v>45314</v>
      </c>
      <c r="C1510" s="98" t="n">
        <v>160</v>
      </c>
      <c r="D1510" s="98" t="n">
        <v>0</v>
      </c>
      <c r="E1510" s="98" t="inlineStr"/>
      <c r="F1510" s="98" t="inlineStr">
        <is>
          <t>UPI - Swiggy</t>
        </is>
      </c>
      <c r="G1510" s="34" t="n">
        <v>0.68</v>
      </c>
      <c r="H1510" s="98" t="inlineStr">
        <is>
          <t>Food &amp; Dining</t>
        </is>
      </c>
      <c r="I1510" s="98" t="inlineStr">
        <is>
          <t>FEDERAL 0847</t>
        </is>
      </c>
      <c r="J1510" s="98" t="inlineStr"/>
      <c r="K1510" s="98" t="inlineStr">
        <is>
          <t>UPIOUT/402319494242/swiggy@yespay/Pay for
me/5812</t>
        </is>
      </c>
      <c r="L1510" s="98" t="inlineStr">
        <is>
          <t>Federal Bank (Jupiter)</t>
        </is>
      </c>
      <c r="M1510" s="98" t="inlineStr"/>
    </row>
    <row r="1511">
      <c r="A1511" s="41" t="n">
        <v>45314</v>
      </c>
      <c r="B1511" s="41" t="n">
        <v>45314</v>
      </c>
      <c r="C1511" s="42" t="n">
        <v>600.33</v>
      </c>
      <c r="D1511" s="42" t="n">
        <v>0</v>
      </c>
      <c r="E1511" s="42" t="inlineStr"/>
      <c r="F1511" s="42" t="inlineStr">
        <is>
          <t>HDFC Securities - Buy</t>
        </is>
      </c>
      <c r="G1511" s="18" t="n">
        <v>0.97</v>
      </c>
      <c r="H1511" s="42" t="inlineStr">
        <is>
          <t>HDFC Securities</t>
        </is>
      </c>
      <c r="I1511" s="42" t="inlineStr">
        <is>
          <t>HDFC 5413</t>
        </is>
      </c>
      <c r="J1511" s="42" t="inlineStr"/>
      <c r="K1511" s="42" t="inlineStr">
        <is>
          <t>NET PI TO HSL SEC A/C 2554606-00602340029427</t>
        </is>
      </c>
      <c r="L1511" s="42" t="inlineStr">
        <is>
          <t>HDFC Bank</t>
        </is>
      </c>
      <c r="M1511" s="42" t="inlineStr"/>
    </row>
    <row r="1512">
      <c r="A1512" s="54" t="n">
        <v>45314</v>
      </c>
      <c r="B1512" s="54" t="n">
        <v>45314</v>
      </c>
      <c r="C1512" s="55" t="n">
        <v>0</v>
      </c>
      <c r="D1512" s="55" t="n">
        <v>4184.24</v>
      </c>
      <c r="E1512" s="55" t="inlineStr"/>
      <c r="F1512" s="55" t="inlineStr">
        <is>
          <t>HDFC Securities - Sell</t>
        </is>
      </c>
      <c r="G1512" s="18" t="n">
        <v>0.97</v>
      </c>
      <c r="H1512" s="55" t="inlineStr">
        <is>
          <t>HDFC Securities</t>
        </is>
      </c>
      <c r="I1512" s="55" t="inlineStr">
        <is>
          <t>HDFC 5413</t>
        </is>
      </c>
      <c r="J1512" s="55" t="inlineStr"/>
      <c r="K1512" s="55" t="inlineStr">
        <is>
          <t>NET PO FROM HSL A/C 2554606-50200085415108</t>
        </is>
      </c>
      <c r="L1512" s="55" t="inlineStr">
        <is>
          <t>HDFC Bank</t>
        </is>
      </c>
      <c r="M1512" s="55" t="inlineStr"/>
    </row>
    <row r="1513">
      <c r="A1513" s="37" t="n">
        <v>45314</v>
      </c>
      <c r="B1513" s="37" t="n">
        <v>45314</v>
      </c>
      <c r="C1513" s="38" t="n">
        <v>18</v>
      </c>
      <c r="D1513" s="38" t="n">
        <v>0</v>
      </c>
      <c r="E1513" s="38" t="inlineStr"/>
      <c r="F1513" s="38" t="inlineStr">
        <is>
          <t>UPI Payment</t>
        </is>
      </c>
      <c r="G1513" s="25" t="n">
        <v>0.55</v>
      </c>
      <c r="H1513" s="38" t="inlineStr">
        <is>
          <t>Personal</t>
        </is>
      </c>
      <c r="I1513" s="38" t="inlineStr">
        <is>
          <t>FEDERAL 0847</t>
        </is>
      </c>
      <c r="J1513" s="38" t="inlineStr"/>
      <c r="K1513" s="38" t="inlineStr">
        <is>
          <t>UPIOUT/402312785722/Q832428843@ybl/Sent
via /5814</t>
        </is>
      </c>
      <c r="L1513" s="38" t="inlineStr">
        <is>
          <t>Federal Bank (Jupiter)</t>
        </is>
      </c>
      <c r="M1513" s="38" t="inlineStr"/>
    </row>
    <row r="1514">
      <c r="A1514" s="37" t="n">
        <v>45314</v>
      </c>
      <c r="B1514" s="37" t="n">
        <v>45314</v>
      </c>
      <c r="C1514" s="38" t="n">
        <v>30</v>
      </c>
      <c r="D1514" s="38" t="n">
        <v>0</v>
      </c>
      <c r="E1514" s="38" t="inlineStr"/>
      <c r="F1514" s="38" t="inlineStr">
        <is>
          <t>UPI Payment</t>
        </is>
      </c>
      <c r="G1514" s="25" t="n">
        <v>0.55</v>
      </c>
      <c r="H1514" s="38" t="inlineStr">
        <is>
          <t>Personal</t>
        </is>
      </c>
      <c r="I1514" s="38" t="inlineStr">
        <is>
          <t>FEDERAL 0847</t>
        </is>
      </c>
      <c r="J1514" s="38" t="inlineStr"/>
      <c r="K1514" s="38" t="inlineStr">
        <is>
          <t>UPIOUT/402398858011/9704030744@ybl/Sent
via /0000</t>
        </is>
      </c>
      <c r="L1514" s="38" t="inlineStr">
        <is>
          <t>Federal Bank (Jupiter)</t>
        </is>
      </c>
      <c r="M1514" s="38" t="inlineStr"/>
    </row>
    <row r="1515">
      <c r="A1515" s="37" t="n">
        <v>45314</v>
      </c>
      <c r="B1515" s="37" t="n">
        <v>45314</v>
      </c>
      <c r="C1515" s="38" t="n">
        <v>40</v>
      </c>
      <c r="D1515" s="38" t="n">
        <v>0</v>
      </c>
      <c r="E1515" s="38" t="inlineStr"/>
      <c r="F1515" s="38" t="inlineStr">
        <is>
          <t>UPI Payment</t>
        </is>
      </c>
      <c r="G1515" s="25" t="n">
        <v>0.55</v>
      </c>
      <c r="H1515" s="38" t="inlineStr">
        <is>
          <t>Personal</t>
        </is>
      </c>
      <c r="I1515" s="38" t="inlineStr">
        <is>
          <t>FEDERAL 0847</t>
        </is>
      </c>
      <c r="J1515" s="38" t="inlineStr"/>
      <c r="K1515" s="38" t="inlineStr">
        <is>
          <t>UPIOUT/402312770524/Q963866768@ybl/Sent
via /5814</t>
        </is>
      </c>
      <c r="L1515" s="38" t="inlineStr">
        <is>
          <t>Federal Bank (Jupiter)</t>
        </is>
      </c>
      <c r="M1515" s="38" t="inlineStr"/>
    </row>
    <row r="1516">
      <c r="A1516" s="37" t="n">
        <v>45315</v>
      </c>
      <c r="B1516" s="37" t="n">
        <v>45315</v>
      </c>
      <c r="C1516" s="38" t="n">
        <v>30</v>
      </c>
      <c r="D1516" s="38" t="n">
        <v>0</v>
      </c>
      <c r="E1516" s="38" t="inlineStr"/>
      <c r="F1516" s="38" t="inlineStr">
        <is>
          <t>UPI Payment</t>
        </is>
      </c>
      <c r="G1516" s="25" t="n">
        <v>0.55</v>
      </c>
      <c r="H1516" s="38" t="inlineStr">
        <is>
          <t>Personal</t>
        </is>
      </c>
      <c r="I1516" s="38" t="inlineStr">
        <is>
          <t>FEDERAL 0847</t>
        </is>
      </c>
      <c r="J1516" s="38" t="inlineStr"/>
      <c r="K1516" s="38" t="inlineStr">
        <is>
          <t>UPIOUT/402420105085/Q505505464@ybl/Sent
via /5814</t>
        </is>
      </c>
      <c r="L1516" s="38" t="inlineStr">
        <is>
          <t>Federal Bank (Jupiter)</t>
        </is>
      </c>
      <c r="M1516" s="38" t="inlineStr">
        <is>
          <t>⚠ Possible Duplicate</t>
        </is>
      </c>
    </row>
    <row r="1517">
      <c r="A1517" s="35" t="n">
        <v>45315</v>
      </c>
      <c r="B1517" s="35" t="n">
        <v>45315</v>
      </c>
      <c r="C1517" s="36" t="n">
        <v>273</v>
      </c>
      <c r="D1517" s="36" t="n">
        <v>0</v>
      </c>
      <c r="E1517" s="36" t="inlineStr"/>
      <c r="F1517" s="36" t="inlineStr">
        <is>
          <t>UPI - Paytm</t>
        </is>
      </c>
      <c r="G1517" s="34" t="n">
        <v>0.65</v>
      </c>
      <c r="H1517" s="36" t="inlineStr">
        <is>
          <t>Personal</t>
        </is>
      </c>
      <c r="I1517" s="36" t="inlineStr">
        <is>
          <t>FEDERAL 0847</t>
        </is>
      </c>
      <c r="J1517" s="36" t="inlineStr"/>
      <c r="K1517" s="36" t="inlineStr">
        <is>
          <t>UPIOUT/402420090538/paytmqr1c4oe5e6z8@payt
m//5812</t>
        </is>
      </c>
      <c r="L1517" s="36" t="inlineStr">
        <is>
          <t>Federal Bank (Jupiter)</t>
        </is>
      </c>
      <c r="M1517" s="36" t="inlineStr"/>
    </row>
    <row r="1518">
      <c r="A1518" s="37" t="n">
        <v>45315</v>
      </c>
      <c r="B1518" s="37" t="n">
        <v>45315</v>
      </c>
      <c r="C1518" s="38" t="n">
        <v>30</v>
      </c>
      <c r="D1518" s="38" t="n">
        <v>0</v>
      </c>
      <c r="E1518" s="38" t="inlineStr"/>
      <c r="F1518" s="38" t="inlineStr">
        <is>
          <t>UPI Payment</t>
        </is>
      </c>
      <c r="G1518" s="25" t="n">
        <v>0.55</v>
      </c>
      <c r="H1518" s="38" t="inlineStr">
        <is>
          <t>Personal</t>
        </is>
      </c>
      <c r="I1518" s="38" t="inlineStr">
        <is>
          <t>FEDERAL 0847</t>
        </is>
      </c>
      <c r="J1518" s="38" t="inlineStr"/>
      <c r="K1518" s="38" t="inlineStr">
        <is>
          <t>UPIOUT/402419186591/Q435774742@ybl/Sent
via /5441</t>
        </is>
      </c>
      <c r="L1518" s="38" t="inlineStr">
        <is>
          <t>Federal Bank (Jupiter)</t>
        </is>
      </c>
      <c r="M1518" s="38" t="inlineStr">
        <is>
          <t>⚠ Possible Duplicate</t>
        </is>
      </c>
    </row>
    <row r="1519">
      <c r="A1519" s="35" t="n">
        <v>45315</v>
      </c>
      <c r="B1519" s="35" t="n">
        <v>45315</v>
      </c>
      <c r="C1519" s="36" t="n">
        <v>45</v>
      </c>
      <c r="D1519" s="36" t="n">
        <v>0</v>
      </c>
      <c r="E1519" s="36" t="inlineStr"/>
      <c r="F1519" s="36" t="inlineStr">
        <is>
          <t>UPI - Paytm</t>
        </is>
      </c>
      <c r="G1519" s="34" t="n">
        <v>0.65</v>
      </c>
      <c r="H1519" s="36" t="inlineStr">
        <is>
          <t>Personal</t>
        </is>
      </c>
      <c r="I1519" s="36" t="inlineStr">
        <is>
          <t>FEDERAL 0847</t>
        </is>
      </c>
      <c r="J1519" s="36" t="inlineStr"/>
      <c r="K1519" s="36" t="inlineStr">
        <is>
          <t>UPIOUT/402419132634/paytmqr281005050101ac5
gq/5812</t>
        </is>
      </c>
      <c r="L1519" s="36" t="inlineStr">
        <is>
          <t>Federal Bank (Jupiter)</t>
        </is>
      </c>
      <c r="M1519" s="36" t="inlineStr"/>
    </row>
    <row r="1520">
      <c r="A1520" s="35" t="n">
        <v>45315</v>
      </c>
      <c r="B1520" s="35" t="n">
        <v>45315</v>
      </c>
      <c r="C1520" s="36" t="n">
        <v>30</v>
      </c>
      <c r="D1520" s="36" t="n">
        <v>0</v>
      </c>
      <c r="E1520" s="36" t="inlineStr"/>
      <c r="F1520" s="36" t="inlineStr">
        <is>
          <t>UPI - Paytm</t>
        </is>
      </c>
      <c r="G1520" s="34" t="n">
        <v>0.65</v>
      </c>
      <c r="H1520" s="36" t="inlineStr">
        <is>
          <t>Personal</t>
        </is>
      </c>
      <c r="I1520" s="36" t="inlineStr">
        <is>
          <t>FEDERAL 0847</t>
        </is>
      </c>
      <c r="J1520" s="36" t="inlineStr"/>
      <c r="K1520" s="36" t="inlineStr">
        <is>
          <t>UPIOUT/402415473092/paytm-76881028@paytm/S
en/4121</t>
        </is>
      </c>
      <c r="L1520" s="36" t="inlineStr">
        <is>
          <t>Federal Bank (Jupiter)</t>
        </is>
      </c>
      <c r="M1520" s="36" t="inlineStr"/>
    </row>
    <row r="1521">
      <c r="A1521" s="37" t="n">
        <v>45315</v>
      </c>
      <c r="B1521" s="37" t="n">
        <v>45315</v>
      </c>
      <c r="C1521" s="38" t="n">
        <v>30</v>
      </c>
      <c r="D1521" s="38" t="n">
        <v>0</v>
      </c>
      <c r="E1521" s="38" t="inlineStr"/>
      <c r="F1521" s="38" t="inlineStr">
        <is>
          <t>UPI Payment</t>
        </is>
      </c>
      <c r="G1521" s="25" t="n">
        <v>0.55</v>
      </c>
      <c r="H1521" s="38" t="inlineStr">
        <is>
          <t>Personal</t>
        </is>
      </c>
      <c r="I1521" s="38" t="inlineStr">
        <is>
          <t>FEDERAL 0847</t>
        </is>
      </c>
      <c r="J1521" s="38" t="inlineStr"/>
      <c r="K1521" s="38" t="inlineStr">
        <is>
          <t>UPIOUT/402415586199/RIOTAAGROOFFLINE@ybl/P
ay/5046</t>
        </is>
      </c>
      <c r="L1521" s="38" t="inlineStr">
        <is>
          <t>Federal Bank (Jupiter)</t>
        </is>
      </c>
      <c r="M1521" s="38" t="inlineStr">
        <is>
          <t>⚠ Possible Duplicate</t>
        </is>
      </c>
    </row>
    <row r="1522">
      <c r="A1522" s="41" t="n">
        <v>45315</v>
      </c>
      <c r="B1522" s="41" t="n">
        <v>45315</v>
      </c>
      <c r="C1522" s="42" t="n">
        <v>197.93</v>
      </c>
      <c r="D1522" s="42" t="n">
        <v>0</v>
      </c>
      <c r="E1522" s="42" t="inlineStr"/>
      <c r="F1522" s="42" t="inlineStr">
        <is>
          <t>HDFC Securities - Buy</t>
        </is>
      </c>
      <c r="G1522" s="18" t="n">
        <v>0.97</v>
      </c>
      <c r="H1522" s="42" t="inlineStr">
        <is>
          <t>HDFC Securities</t>
        </is>
      </c>
      <c r="I1522" s="42" t="inlineStr">
        <is>
          <t>HDFC 5413</t>
        </is>
      </c>
      <c r="J1522" s="42" t="inlineStr"/>
      <c r="K1522" s="42" t="inlineStr">
        <is>
          <t>NET PI TO HSL SEC A/C 2554606-00602340029427</t>
        </is>
      </c>
      <c r="L1522" s="42" t="inlineStr">
        <is>
          <t>HDFC Bank</t>
        </is>
      </c>
      <c r="M1522" s="42" t="inlineStr"/>
    </row>
    <row r="1523">
      <c r="A1523" s="41" t="n">
        <v>45315</v>
      </c>
      <c r="B1523" s="41" t="n">
        <v>45315</v>
      </c>
      <c r="C1523" s="42" t="n">
        <v>8592.98</v>
      </c>
      <c r="D1523" s="42" t="n">
        <v>0</v>
      </c>
      <c r="E1523" s="42" t="inlineStr"/>
      <c r="F1523" s="42" t="inlineStr">
        <is>
          <t>HDFC Securities - Buy</t>
        </is>
      </c>
      <c r="G1523" s="18" t="n">
        <v>0.97</v>
      </c>
      <c r="H1523" s="42" t="inlineStr">
        <is>
          <t>HDFC Securities</t>
        </is>
      </c>
      <c r="I1523" s="42" t="inlineStr">
        <is>
          <t>HDFC 5413</t>
        </is>
      </c>
      <c r="J1523" s="42" t="inlineStr"/>
      <c r="K1523" s="42" t="inlineStr">
        <is>
          <t>NET PI TO HSL SEC A/C 2554606-00602340029427</t>
        </is>
      </c>
      <c r="L1523" s="42" t="inlineStr">
        <is>
          <t>HDFC Bank</t>
        </is>
      </c>
      <c r="M1523" s="42" t="inlineStr"/>
    </row>
    <row r="1524">
      <c r="A1524" s="37" t="n">
        <v>45316</v>
      </c>
      <c r="B1524" s="37" t="n">
        <v>45316</v>
      </c>
      <c r="C1524" s="38" t="n">
        <v>21</v>
      </c>
      <c r="D1524" s="38" t="n">
        <v>0</v>
      </c>
      <c r="E1524" s="38" t="inlineStr"/>
      <c r="F1524" s="38" t="inlineStr">
        <is>
          <t>UPI Payment</t>
        </is>
      </c>
      <c r="G1524" s="25" t="n">
        <v>0.55</v>
      </c>
      <c r="H1524" s="38" t="inlineStr">
        <is>
          <t>Personal</t>
        </is>
      </c>
      <c r="I1524" s="38" t="inlineStr">
        <is>
          <t>FEDERAL 0847</t>
        </is>
      </c>
      <c r="J1524" s="38" t="inlineStr"/>
      <c r="K1524" s="38" t="inlineStr">
        <is>
          <t>UPIOUT/402526562228/Q832428843@ybl/Sent
via /5814</t>
        </is>
      </c>
      <c r="L1524" s="38" t="inlineStr">
        <is>
          <t>Federal Bank (Jupiter)</t>
        </is>
      </c>
      <c r="M1524" s="38" t="inlineStr"/>
    </row>
    <row r="1525">
      <c r="A1525" s="41" t="n">
        <v>45316</v>
      </c>
      <c r="B1525" s="41" t="n">
        <v>45316</v>
      </c>
      <c r="C1525" s="42" t="n">
        <v>197.93</v>
      </c>
      <c r="D1525" s="42" t="n">
        <v>0</v>
      </c>
      <c r="E1525" s="42" t="inlineStr"/>
      <c r="F1525" s="42" t="inlineStr">
        <is>
          <t>HDFC Securities - Buy</t>
        </is>
      </c>
      <c r="G1525" s="18" t="n">
        <v>0.97</v>
      </c>
      <c r="H1525" s="42" t="inlineStr">
        <is>
          <t>HDFC Securities</t>
        </is>
      </c>
      <c r="I1525" s="42" t="inlineStr">
        <is>
          <t>HDFC 5413</t>
        </is>
      </c>
      <c r="J1525" s="42" t="inlineStr"/>
      <c r="K1525" s="42" t="inlineStr">
        <is>
          <t>NET PI TO HSL SEC A/C 2554606-00602340029427</t>
        </is>
      </c>
      <c r="L1525" s="42" t="inlineStr">
        <is>
          <t>HDFC Bank</t>
        </is>
      </c>
      <c r="M1525" s="42" t="inlineStr"/>
    </row>
    <row r="1526">
      <c r="A1526" s="54" t="n">
        <v>45316</v>
      </c>
      <c r="B1526" s="54" t="n">
        <v>45316</v>
      </c>
      <c r="C1526" s="55" t="n">
        <v>0</v>
      </c>
      <c r="D1526" s="55" t="n">
        <v>61708.6</v>
      </c>
      <c r="E1526" s="55" t="inlineStr"/>
      <c r="F1526" s="55" t="inlineStr">
        <is>
          <t>HDFC Securities - Sell</t>
        </is>
      </c>
      <c r="G1526" s="18" t="n">
        <v>0.97</v>
      </c>
      <c r="H1526" s="55" t="inlineStr">
        <is>
          <t>HDFC Securities</t>
        </is>
      </c>
      <c r="I1526" s="55" t="inlineStr">
        <is>
          <t>HDFC 5413</t>
        </is>
      </c>
      <c r="J1526" s="55" t="inlineStr"/>
      <c r="K1526" s="55" t="inlineStr">
        <is>
          <t>NET PO FROM HSL A/C 2554606-50200085415108</t>
        </is>
      </c>
      <c r="L1526" s="55" t="inlineStr">
        <is>
          <t>HDFC Bank</t>
        </is>
      </c>
      <c r="M1526" s="55" t="inlineStr"/>
    </row>
    <row r="1527">
      <c r="A1527" s="58" t="n">
        <v>45316</v>
      </c>
      <c r="B1527" s="58" t="n">
        <v>45316</v>
      </c>
      <c r="C1527" s="59" t="n">
        <v>2000</v>
      </c>
      <c r="D1527" s="59" t="n">
        <v>0</v>
      </c>
      <c r="E1527" s="59" t="inlineStr"/>
      <c r="F1527" s="59" t="inlineStr">
        <is>
          <t>MF Investment</t>
        </is>
      </c>
      <c r="G1527" s="18" t="n">
        <v>0.88</v>
      </c>
      <c r="H1527" s="59" t="inlineStr">
        <is>
          <t>Investments</t>
        </is>
      </c>
      <c r="I1527" s="59" t="inlineStr">
        <is>
          <t>FEDERAL 0847</t>
        </is>
      </c>
      <c r="J1527" s="59" t="inlineStr"/>
      <c r="K1527" s="59" t="inlineStr">
        <is>
          <t>NFT/NEOSIEXEDDD2024012502152924125 Nippon
India Mu</t>
        </is>
      </c>
      <c r="L1527" s="59" t="inlineStr">
        <is>
          <t>Federal Bank (Jupiter)</t>
        </is>
      </c>
      <c r="M1527" s="59" t="inlineStr"/>
    </row>
    <row r="1528">
      <c r="A1528" s="35" t="n">
        <v>45316</v>
      </c>
      <c r="B1528" s="35" t="n">
        <v>45316</v>
      </c>
      <c r="C1528" s="36" t="n">
        <v>30</v>
      </c>
      <c r="D1528" s="36" t="n">
        <v>0</v>
      </c>
      <c r="E1528" s="36" t="inlineStr"/>
      <c r="F1528" s="36" t="inlineStr">
        <is>
          <t>UPI - Paytm</t>
        </is>
      </c>
      <c r="G1528" s="34" t="n">
        <v>0.65</v>
      </c>
      <c r="H1528" s="36" t="inlineStr">
        <is>
          <t>Personal</t>
        </is>
      </c>
      <c r="I1528" s="36" t="inlineStr">
        <is>
          <t>FEDERAL 0847</t>
        </is>
      </c>
      <c r="J1528" s="36" t="inlineStr"/>
      <c r="K1528" s="36" t="inlineStr">
        <is>
          <t>UPIOUT/402522042812/paytm-76881028@paytm/S
en/4121</t>
        </is>
      </c>
      <c r="L1528" s="36" t="inlineStr">
        <is>
          <t>Federal Bank (Jupiter)</t>
        </is>
      </c>
      <c r="M1528" s="36" t="inlineStr"/>
    </row>
    <row r="1529">
      <c r="A1529" s="37" t="n">
        <v>45316</v>
      </c>
      <c r="B1529" s="37" t="n">
        <v>45316</v>
      </c>
      <c r="C1529" s="38" t="n">
        <v>30</v>
      </c>
      <c r="D1529" s="38" t="n">
        <v>0</v>
      </c>
      <c r="E1529" s="38" t="inlineStr"/>
      <c r="F1529" s="38" t="inlineStr">
        <is>
          <t>UPI Payment</t>
        </is>
      </c>
      <c r="G1529" s="25" t="n">
        <v>0.55</v>
      </c>
      <c r="H1529" s="38" t="inlineStr">
        <is>
          <t>Personal</t>
        </is>
      </c>
      <c r="I1529" s="38" t="inlineStr">
        <is>
          <t>FEDERAL 0847</t>
        </is>
      </c>
      <c r="J1529" s="38" t="inlineStr"/>
      <c r="K1529" s="38" t="inlineStr">
        <is>
          <t>UPIOUT/402526377473/Q435774742@ybl/Sent
via /5441</t>
        </is>
      </c>
      <c r="L1529" s="38" t="inlineStr">
        <is>
          <t>Federal Bank (Jupiter)</t>
        </is>
      </c>
      <c r="M1529" s="38" t="inlineStr"/>
    </row>
    <row r="1530">
      <c r="A1530" s="37" t="n">
        <v>45316</v>
      </c>
      <c r="B1530" s="37" t="n">
        <v>45316</v>
      </c>
      <c r="C1530" s="38" t="n">
        <v>40</v>
      </c>
      <c r="D1530" s="38" t="n">
        <v>0</v>
      </c>
      <c r="E1530" s="38" t="inlineStr"/>
      <c r="F1530" s="38" t="inlineStr">
        <is>
          <t>UPI Payment</t>
        </is>
      </c>
      <c r="G1530" s="25" t="n">
        <v>0.55</v>
      </c>
      <c r="H1530" s="38" t="inlineStr">
        <is>
          <t>Personal</t>
        </is>
      </c>
      <c r="I1530" s="38" t="inlineStr">
        <is>
          <t>FEDERAL 0847</t>
        </is>
      </c>
      <c r="J1530" s="38" t="inlineStr"/>
      <c r="K1530" s="38" t="inlineStr">
        <is>
          <t>UPIOUT/402527518709/Q277191441@ybl/Sent
via /5812</t>
        </is>
      </c>
      <c r="L1530" s="38" t="inlineStr">
        <is>
          <t>Federal Bank (Jupiter)</t>
        </is>
      </c>
      <c r="M1530" s="38" t="inlineStr"/>
    </row>
    <row r="1531">
      <c r="A1531" s="37" t="n">
        <v>45317</v>
      </c>
      <c r="B1531" s="37" t="n">
        <v>45317</v>
      </c>
      <c r="C1531" s="38" t="n">
        <v>250</v>
      </c>
      <c r="D1531" s="38" t="n">
        <v>0</v>
      </c>
      <c r="E1531" s="38" t="inlineStr"/>
      <c r="F1531" s="38" t="inlineStr">
        <is>
          <t>UPI Payment</t>
        </is>
      </c>
      <c r="G1531" s="25" t="n">
        <v>0.55</v>
      </c>
      <c r="H1531" s="38" t="inlineStr">
        <is>
          <t>Personal</t>
        </is>
      </c>
      <c r="I1531" s="38" t="inlineStr">
        <is>
          <t>FEDERAL 0847</t>
        </is>
      </c>
      <c r="J1531" s="38" t="inlineStr"/>
      <c r="K1531" s="38" t="inlineStr">
        <is>
          <t>UPIOUT/402632654676/Q407907754@ybl/Sent
via /5812</t>
        </is>
      </c>
      <c r="L1531" s="38" t="inlineStr">
        <is>
          <t>Federal Bank (Jupiter)</t>
        </is>
      </c>
      <c r="M1531" s="38" t="inlineStr"/>
    </row>
    <row r="1532">
      <c r="A1532" s="37" t="n">
        <v>45317</v>
      </c>
      <c r="B1532" s="37" t="n">
        <v>45317</v>
      </c>
      <c r="C1532" s="38" t="n">
        <v>22</v>
      </c>
      <c r="D1532" s="38" t="n">
        <v>0</v>
      </c>
      <c r="E1532" s="38" t="inlineStr"/>
      <c r="F1532" s="38" t="inlineStr">
        <is>
          <t>UPI Payment</t>
        </is>
      </c>
      <c r="G1532" s="25" t="n">
        <v>0.55</v>
      </c>
      <c r="H1532" s="38" t="inlineStr">
        <is>
          <t>Personal</t>
        </is>
      </c>
      <c r="I1532" s="38" t="inlineStr">
        <is>
          <t>FEDERAL 0847</t>
        </is>
      </c>
      <c r="J1532" s="38" t="inlineStr"/>
      <c r="K1532" s="38" t="inlineStr">
        <is>
          <t>UPIOUT/402632066482/Q832428843@ybl/Sent
via /5814</t>
        </is>
      </c>
      <c r="L1532" s="38" t="inlineStr">
        <is>
          <t>Federal Bank (Jupiter)</t>
        </is>
      </c>
      <c r="M1532" s="38" t="inlineStr"/>
    </row>
    <row r="1533">
      <c r="A1533" s="37" t="n">
        <v>45317</v>
      </c>
      <c r="B1533" s="37" t="n">
        <v>45317</v>
      </c>
      <c r="C1533" s="38" t="n">
        <v>30</v>
      </c>
      <c r="D1533" s="38" t="n">
        <v>0</v>
      </c>
      <c r="E1533" s="38" t="inlineStr"/>
      <c r="F1533" s="38" t="inlineStr">
        <is>
          <t>UPI Payment</t>
        </is>
      </c>
      <c r="G1533" s="25" t="n">
        <v>0.55</v>
      </c>
      <c r="H1533" s="38" t="inlineStr">
        <is>
          <t>Personal</t>
        </is>
      </c>
      <c r="I1533" s="38" t="inlineStr">
        <is>
          <t>FEDERAL 0847</t>
        </is>
      </c>
      <c r="J1533" s="38" t="inlineStr"/>
      <c r="K1533" s="38" t="inlineStr">
        <is>
          <t>UPIOUT/402632057970/Q435774742@ybl/Sent
via /5441</t>
        </is>
      </c>
      <c r="L1533" s="38" t="inlineStr">
        <is>
          <t>Federal Bank (Jupiter)</t>
        </is>
      </c>
      <c r="M1533" s="38" t="inlineStr"/>
    </row>
    <row r="1534">
      <c r="A1534" s="35" t="n">
        <v>45317</v>
      </c>
      <c r="B1534" s="35" t="n">
        <v>45317</v>
      </c>
      <c r="C1534" s="36" t="n">
        <v>40</v>
      </c>
      <c r="D1534" s="36" t="n">
        <v>0</v>
      </c>
      <c r="E1534" s="36" t="inlineStr"/>
      <c r="F1534" s="36" t="inlineStr">
        <is>
          <t>UPI - Paytm</t>
        </is>
      </c>
      <c r="G1534" s="34" t="n">
        <v>0.65</v>
      </c>
      <c r="H1534" s="36" t="inlineStr">
        <is>
          <t>Personal</t>
        </is>
      </c>
      <c r="I1534" s="36" t="inlineStr">
        <is>
          <t>FEDERAL 0847</t>
        </is>
      </c>
      <c r="J1534" s="36" t="inlineStr"/>
      <c r="K1534" s="36" t="inlineStr">
        <is>
          <t>UPIOUT/402630884042/paytmqricl8fehbdn@payt
m//5411</t>
        </is>
      </c>
      <c r="L1534" s="36" t="inlineStr">
        <is>
          <t>Federal Bank (Jupiter)</t>
        </is>
      </c>
      <c r="M1534" s="36" t="inlineStr"/>
    </row>
    <row r="1535">
      <c r="A1535" s="41" t="n">
        <v>45317</v>
      </c>
      <c r="B1535" s="41" t="n">
        <v>45317</v>
      </c>
      <c r="C1535" s="42" t="n">
        <v>73510.92999999999</v>
      </c>
      <c r="D1535" s="42" t="n">
        <v>0</v>
      </c>
      <c r="E1535" s="42" t="inlineStr"/>
      <c r="F1535" s="42" t="inlineStr">
        <is>
          <t>HDFC Securities - Buy</t>
        </is>
      </c>
      <c r="G1535" s="18" t="n">
        <v>0.97</v>
      </c>
      <c r="H1535" s="42" t="inlineStr">
        <is>
          <t>HDFC Securities</t>
        </is>
      </c>
      <c r="I1535" s="42" t="inlineStr">
        <is>
          <t>HDFC 5413</t>
        </is>
      </c>
      <c r="J1535" s="42" t="inlineStr"/>
      <c r="K1535" s="42" t="inlineStr">
        <is>
          <t>NET PI TO HSL SEC A/C 2554606-00602340029427</t>
        </is>
      </c>
      <c r="L1535" s="42" t="inlineStr">
        <is>
          <t>HDFC Bank</t>
        </is>
      </c>
      <c r="M1535" s="42" t="inlineStr"/>
    </row>
    <row r="1536">
      <c r="A1536" s="35" t="n">
        <v>45317</v>
      </c>
      <c r="B1536" s="35" t="n">
        <v>45317</v>
      </c>
      <c r="C1536" s="36" t="n">
        <v>70</v>
      </c>
      <c r="D1536" s="36" t="n">
        <v>0</v>
      </c>
      <c r="E1536" s="36" t="inlineStr"/>
      <c r="F1536" s="36" t="inlineStr">
        <is>
          <t>UPI - Paytm</t>
        </is>
      </c>
      <c r="G1536" s="34" t="n">
        <v>0.65</v>
      </c>
      <c r="H1536" s="36" t="inlineStr">
        <is>
          <t>Personal</t>
        </is>
      </c>
      <c r="I1536" s="36" t="inlineStr">
        <is>
          <t>FEDERAL 0847</t>
        </is>
      </c>
      <c r="J1536" s="36" t="inlineStr"/>
      <c r="K1536" s="36" t="inlineStr">
        <is>
          <t>UPIOUT/402629668578/paytmqr7dy7acqk9s@payt
m//5812</t>
        </is>
      </c>
      <c r="L1536" s="36" t="inlineStr">
        <is>
          <t>Federal Bank (Jupiter)</t>
        </is>
      </c>
      <c r="M1536" s="36" t="inlineStr"/>
    </row>
    <row r="1537">
      <c r="A1537" s="62" t="n">
        <v>45317</v>
      </c>
      <c r="B1537" s="62" t="n">
        <v>45317</v>
      </c>
      <c r="C1537" s="63" t="n">
        <v>20000</v>
      </c>
      <c r="D1537" s="63" t="n">
        <v>0</v>
      </c>
      <c r="E1537" s="63" t="inlineStr"/>
      <c r="F1537" s="63" t="inlineStr">
        <is>
          <t>Transfer - Sunita Gupta</t>
        </is>
      </c>
      <c r="G1537" s="18" t="n">
        <v>0.88</v>
      </c>
      <c r="H1537" s="63" t="inlineStr">
        <is>
          <t>Sunita Gupta</t>
        </is>
      </c>
      <c r="I1537" s="63" t="inlineStr">
        <is>
          <t>HDFC 5413</t>
        </is>
      </c>
      <c r="J1537" s="63" t="inlineStr"/>
      <c r="K1537" s="63" t="inlineStr">
        <is>
          <t>01671000060094-TPT-MONEY RETURNED BY AAYUSH TO SUNITA-SUNITA GUPTA</t>
        </is>
      </c>
      <c r="L1537" s="63" t="inlineStr">
        <is>
          <t>HDFC Bank</t>
        </is>
      </c>
      <c r="M1537" s="63" t="inlineStr"/>
    </row>
    <row r="1538">
      <c r="A1538" s="37" t="n">
        <v>45317</v>
      </c>
      <c r="B1538" s="37" t="n">
        <v>45317</v>
      </c>
      <c r="C1538" s="38" t="n">
        <v>25</v>
      </c>
      <c r="D1538" s="38" t="n">
        <v>0</v>
      </c>
      <c r="E1538" s="38" t="inlineStr"/>
      <c r="F1538" s="38" t="inlineStr">
        <is>
          <t>UPI Payment</t>
        </is>
      </c>
      <c r="G1538" s="25" t="n">
        <v>0.55</v>
      </c>
      <c r="H1538" s="38" t="inlineStr">
        <is>
          <t>Personal</t>
        </is>
      </c>
      <c r="I1538" s="38" t="inlineStr">
        <is>
          <t>FEDERAL 0847</t>
        </is>
      </c>
      <c r="J1538" s="38" t="inlineStr"/>
      <c r="K1538" s="38" t="inlineStr">
        <is>
          <t>UPIOUT/402629733436/Q832428843@ybl/Sent
via /5814</t>
        </is>
      </c>
      <c r="L1538" s="38" t="inlineStr">
        <is>
          <t>Federal Bank (Jupiter)</t>
        </is>
      </c>
      <c r="M1538" s="38" t="inlineStr"/>
    </row>
    <row r="1539">
      <c r="A1539" s="35" t="n">
        <v>45318</v>
      </c>
      <c r="B1539" s="35" t="n">
        <v>45318</v>
      </c>
      <c r="C1539" s="36" t="n">
        <v>45</v>
      </c>
      <c r="D1539" s="36" t="n">
        <v>0</v>
      </c>
      <c r="E1539" s="36" t="inlineStr"/>
      <c r="F1539" s="36" t="inlineStr">
        <is>
          <t>UPI - Paytm</t>
        </is>
      </c>
      <c r="G1539" s="34" t="n">
        <v>0.65</v>
      </c>
      <c r="H1539" s="36" t="inlineStr">
        <is>
          <t>Personal</t>
        </is>
      </c>
      <c r="I1539" s="36" t="inlineStr">
        <is>
          <t>FEDERAL 0847</t>
        </is>
      </c>
      <c r="J1539" s="36" t="inlineStr"/>
      <c r="K1539" s="36" t="inlineStr">
        <is>
          <t>UPIOUT/402735496693/paytmqr281005050101135
op/5411</t>
        </is>
      </c>
      <c r="L1539" s="36" t="inlineStr">
        <is>
          <t>Federal Bank (Jupiter)</t>
        </is>
      </c>
      <c r="M1539" s="36" t="inlineStr"/>
    </row>
    <row r="1540">
      <c r="A1540" s="37" t="n">
        <v>45318</v>
      </c>
      <c r="B1540" s="37" t="n">
        <v>45318</v>
      </c>
      <c r="C1540" s="38" t="n">
        <v>15</v>
      </c>
      <c r="D1540" s="38" t="n">
        <v>0</v>
      </c>
      <c r="E1540" s="38" t="inlineStr"/>
      <c r="F1540" s="38" t="inlineStr">
        <is>
          <t>UPI Payment</t>
        </is>
      </c>
      <c r="G1540" s="25" t="n">
        <v>0.55</v>
      </c>
      <c r="H1540" s="38" t="inlineStr">
        <is>
          <t>Personal</t>
        </is>
      </c>
      <c r="I1540" s="38" t="inlineStr">
        <is>
          <t>FEDERAL 0847</t>
        </is>
      </c>
      <c r="J1540" s="38" t="inlineStr"/>
      <c r="K1540" s="38" t="inlineStr">
        <is>
          <t>UPIOUT/402734417853/Q832428843@ybl/Sent
via /5814</t>
        </is>
      </c>
      <c r="L1540" s="38" t="inlineStr">
        <is>
          <t>Federal Bank (Jupiter)</t>
        </is>
      </c>
      <c r="M1540" s="38" t="inlineStr"/>
    </row>
    <row r="1541">
      <c r="A1541" s="37" t="n">
        <v>45318</v>
      </c>
      <c r="B1541" s="37" t="n">
        <v>45318</v>
      </c>
      <c r="C1541" s="38" t="n">
        <v>18</v>
      </c>
      <c r="D1541" s="38" t="n">
        <v>0</v>
      </c>
      <c r="E1541" s="38" t="inlineStr"/>
      <c r="F1541" s="38" t="inlineStr">
        <is>
          <t>UPI Payment</t>
        </is>
      </c>
      <c r="G1541" s="25" t="n">
        <v>0.55</v>
      </c>
      <c r="H1541" s="38" t="inlineStr">
        <is>
          <t>Personal</t>
        </is>
      </c>
      <c r="I1541" s="38" t="inlineStr">
        <is>
          <t>FEDERAL 0847</t>
        </is>
      </c>
      <c r="J1541" s="38" t="inlineStr"/>
      <c r="K1541" s="38" t="inlineStr">
        <is>
          <t>UPIOUT/402735554762/Q832428843@ybl/Sent
via /5814</t>
        </is>
      </c>
      <c r="L1541" s="38" t="inlineStr">
        <is>
          <t>Federal Bank (Jupiter)</t>
        </is>
      </c>
      <c r="M1541" s="38" t="inlineStr"/>
    </row>
    <row r="1542">
      <c r="A1542" s="37" t="n">
        <v>45318</v>
      </c>
      <c r="B1542" s="37" t="n">
        <v>45318</v>
      </c>
      <c r="C1542" s="38" t="n">
        <v>30</v>
      </c>
      <c r="D1542" s="38" t="n">
        <v>0</v>
      </c>
      <c r="E1542" s="38" t="inlineStr"/>
      <c r="F1542" s="38" t="inlineStr">
        <is>
          <t>UPI Payment</t>
        </is>
      </c>
      <c r="G1542" s="25" t="n">
        <v>0.55</v>
      </c>
      <c r="H1542" s="38" t="inlineStr">
        <is>
          <t>Personal</t>
        </is>
      </c>
      <c r="I1542" s="38" t="inlineStr">
        <is>
          <t>FEDERAL 0847</t>
        </is>
      </c>
      <c r="J1542" s="38" t="inlineStr"/>
      <c r="K1542" s="38" t="inlineStr">
        <is>
          <t>UPIOUT/402735485919/Q663960260@ybl/Sent
via /5814</t>
        </is>
      </c>
      <c r="L1542" s="38" t="inlineStr">
        <is>
          <t>Federal Bank (Jupiter)</t>
        </is>
      </c>
      <c r="M1542" s="38" t="inlineStr"/>
    </row>
    <row r="1543">
      <c r="A1543" s="37" t="n">
        <v>45320</v>
      </c>
      <c r="B1543" s="37" t="n">
        <v>45320</v>
      </c>
      <c r="C1543" s="38" t="n">
        <v>20</v>
      </c>
      <c r="D1543" s="38" t="n">
        <v>0</v>
      </c>
      <c r="E1543" s="38" t="inlineStr"/>
      <c r="F1543" s="38" t="inlineStr">
        <is>
          <t>UPI Payment</t>
        </is>
      </c>
      <c r="G1543" s="25" t="n">
        <v>0.55</v>
      </c>
      <c r="H1543" s="38" t="inlineStr">
        <is>
          <t>Personal</t>
        </is>
      </c>
      <c r="I1543" s="38" t="inlineStr">
        <is>
          <t>FEDERAL 0847</t>
        </is>
      </c>
      <c r="J1543" s="38" t="inlineStr"/>
      <c r="K1543" s="38" t="inlineStr">
        <is>
          <t>UPIOUT/402962261017/q832428843@ybl/UPI/581
4</t>
        </is>
      </c>
      <c r="L1543" s="38" t="inlineStr">
        <is>
          <t>Federal Bank (Jupiter)</t>
        </is>
      </c>
      <c r="M1543" s="38" t="inlineStr"/>
    </row>
    <row r="1544">
      <c r="A1544" s="37" t="n">
        <v>45320</v>
      </c>
      <c r="B1544" s="37" t="n">
        <v>45320</v>
      </c>
      <c r="C1544" s="38" t="n">
        <v>40</v>
      </c>
      <c r="D1544" s="38" t="n">
        <v>0</v>
      </c>
      <c r="E1544" s="38" t="inlineStr"/>
      <c r="F1544" s="38" t="inlineStr">
        <is>
          <t>UPI Payment</t>
        </is>
      </c>
      <c r="G1544" s="25" t="n">
        <v>0.55</v>
      </c>
      <c r="H1544" s="38" t="inlineStr">
        <is>
          <t>Personal</t>
        </is>
      </c>
      <c r="I1544" s="38" t="inlineStr">
        <is>
          <t>FEDERAL 0847</t>
        </is>
      </c>
      <c r="J1544" s="38" t="inlineStr"/>
      <c r="K1544" s="38" t="inlineStr">
        <is>
          <t>UPIOUT/402947659656/Q963866768@ybl/Sent
via /5814</t>
        </is>
      </c>
      <c r="L1544" s="38" t="inlineStr">
        <is>
          <t>Federal Bank (Jupiter)</t>
        </is>
      </c>
      <c r="M1544" s="38" t="inlineStr"/>
    </row>
    <row r="1545">
      <c r="A1545" s="32" t="n">
        <v>45320</v>
      </c>
      <c r="B1545" s="32" t="n">
        <v>45320</v>
      </c>
      <c r="C1545" s="33" t="n">
        <v>65</v>
      </c>
      <c r="D1545" s="33" t="n">
        <v>0</v>
      </c>
      <c r="E1545" s="33" t="inlineStr"/>
      <c r="F1545" s="33" t="inlineStr">
        <is>
          <t>UPI - BharatPe</t>
        </is>
      </c>
      <c r="G1545" s="34" t="n">
        <v>0.65</v>
      </c>
      <c r="H1545" s="33" t="inlineStr">
        <is>
          <t>Personal</t>
        </is>
      </c>
      <c r="I1545" s="33" t="inlineStr">
        <is>
          <t>FEDERAL 0847</t>
        </is>
      </c>
      <c r="J1545" s="33" t="inlineStr"/>
      <c r="K1545" s="33" t="inlineStr">
        <is>
          <t>UPIOUT/402947571271/BHARATPE.90069165751@f
bp/5814</t>
        </is>
      </c>
      <c r="L1545" s="33" t="inlineStr">
        <is>
          <t>Federal Bank (Jupiter)</t>
        </is>
      </c>
      <c r="M1545" s="33" t="inlineStr"/>
    </row>
    <row r="1546">
      <c r="A1546" s="37" t="n">
        <v>45320</v>
      </c>
      <c r="B1546" s="37" t="n">
        <v>45320</v>
      </c>
      <c r="C1546" s="38" t="n">
        <v>25</v>
      </c>
      <c r="D1546" s="38" t="n">
        <v>0</v>
      </c>
      <c r="E1546" s="38" t="inlineStr"/>
      <c r="F1546" s="38" t="inlineStr">
        <is>
          <t>UPI Payment</t>
        </is>
      </c>
      <c r="G1546" s="25" t="n">
        <v>0.55</v>
      </c>
      <c r="H1546" s="38" t="inlineStr">
        <is>
          <t>Personal</t>
        </is>
      </c>
      <c r="I1546" s="38" t="inlineStr">
        <is>
          <t>FEDERAL 0847</t>
        </is>
      </c>
      <c r="J1546" s="38" t="inlineStr"/>
      <c r="K1546" s="38" t="inlineStr">
        <is>
          <t>UPIOUT/402946035595/RIOTAAGROOFFLINE@ybl/P
ay/5046</t>
        </is>
      </c>
      <c r="L1546" s="38" t="inlineStr">
        <is>
          <t>Federal Bank (Jupiter)</t>
        </is>
      </c>
      <c r="M1546" s="38" t="inlineStr"/>
    </row>
    <row r="1547">
      <c r="A1547" s="37" t="n">
        <v>45320</v>
      </c>
      <c r="B1547" s="37" t="n">
        <v>45320</v>
      </c>
      <c r="C1547" s="38" t="n">
        <v>18</v>
      </c>
      <c r="D1547" s="38" t="n">
        <v>0</v>
      </c>
      <c r="E1547" s="38" t="inlineStr"/>
      <c r="F1547" s="38" t="inlineStr">
        <is>
          <t>UPI Payment</t>
        </is>
      </c>
      <c r="G1547" s="25" t="n">
        <v>0.55</v>
      </c>
      <c r="H1547" s="38" t="inlineStr">
        <is>
          <t>Personal</t>
        </is>
      </c>
      <c r="I1547" s="38" t="inlineStr">
        <is>
          <t>FEDERAL 0847</t>
        </is>
      </c>
      <c r="J1547" s="38" t="inlineStr"/>
      <c r="K1547" s="38" t="inlineStr">
        <is>
          <t>UPIOUT/402944155385/Q832428843@ybl/Sent
via /5814</t>
        </is>
      </c>
      <c r="L1547" s="38" t="inlineStr">
        <is>
          <t>Federal Bank (Jupiter)</t>
        </is>
      </c>
      <c r="M1547" s="38" t="inlineStr"/>
    </row>
    <row r="1548">
      <c r="A1548" s="32" t="n">
        <v>45320</v>
      </c>
      <c r="B1548" s="32" t="n">
        <v>45320</v>
      </c>
      <c r="C1548" s="33" t="n">
        <v>40</v>
      </c>
      <c r="D1548" s="33" t="n">
        <v>0</v>
      </c>
      <c r="E1548" s="33" t="inlineStr"/>
      <c r="F1548" s="33" t="inlineStr">
        <is>
          <t>UPI - BharatPe</t>
        </is>
      </c>
      <c r="G1548" s="34" t="n">
        <v>0.65</v>
      </c>
      <c r="H1548" s="33" t="inlineStr">
        <is>
          <t>Personal</t>
        </is>
      </c>
      <c r="I1548" s="33" t="inlineStr">
        <is>
          <t>FEDERAL 0847</t>
        </is>
      </c>
      <c r="J1548" s="33" t="inlineStr"/>
      <c r="K1548" s="33" t="inlineStr">
        <is>
          <t>UPIOUT/402948440605/BHARATPE09893450319@ye
sb/5814</t>
        </is>
      </c>
      <c r="L1548" s="33" t="inlineStr">
        <is>
          <t>Federal Bank (Jupiter)</t>
        </is>
      </c>
      <c r="M1548" s="33" t="inlineStr"/>
    </row>
    <row r="1549">
      <c r="A1549" s="41" t="n">
        <v>45320</v>
      </c>
      <c r="B1549" s="41" t="n">
        <v>45320</v>
      </c>
      <c r="C1549" s="42" t="n">
        <v>577.36</v>
      </c>
      <c r="D1549" s="42" t="n">
        <v>0</v>
      </c>
      <c r="E1549" s="42" t="inlineStr"/>
      <c r="F1549" s="42" t="inlineStr">
        <is>
          <t>HDFC Securities - Buy</t>
        </is>
      </c>
      <c r="G1549" s="18" t="n">
        <v>0.97</v>
      </c>
      <c r="H1549" s="42" t="inlineStr">
        <is>
          <t>HDFC Securities</t>
        </is>
      </c>
      <c r="I1549" s="42" t="inlineStr">
        <is>
          <t>HDFC 5413</t>
        </is>
      </c>
      <c r="J1549" s="42" t="inlineStr"/>
      <c r="K1549" s="42" t="inlineStr">
        <is>
          <t>NET PI TO HSL SEC A/C 2554606-00602340029427</t>
        </is>
      </c>
      <c r="L1549" s="42" t="inlineStr">
        <is>
          <t>HDFC Bank</t>
        </is>
      </c>
      <c r="M1549" s="42" t="inlineStr"/>
    </row>
    <row r="1550">
      <c r="A1550" s="58" t="n">
        <v>45320</v>
      </c>
      <c r="B1550" s="58" t="n">
        <v>45320</v>
      </c>
      <c r="C1550" s="59" t="n">
        <v>5000</v>
      </c>
      <c r="D1550" s="59" t="n">
        <v>0</v>
      </c>
      <c r="E1550" s="59" t="inlineStr"/>
      <c r="F1550" s="59" t="inlineStr">
        <is>
          <t>SIP</t>
        </is>
      </c>
      <c r="G1550" s="18" t="n">
        <v>0.95</v>
      </c>
      <c r="H1550" s="59" t="inlineStr">
        <is>
          <t>SIP</t>
        </is>
      </c>
      <c r="I1550" s="59" t="inlineStr">
        <is>
          <t>HDFC 5413</t>
        </is>
      </c>
      <c r="J1550" s="59" t="inlineStr"/>
      <c r="K1550" s="59" t="inlineStr">
        <is>
          <t>ACH D- TP ACH INDIANESIGN-1346368480</t>
        </is>
      </c>
      <c r="L1550" s="59" t="inlineStr">
        <is>
          <t>HDFC Bank</t>
        </is>
      </c>
      <c r="M1550" s="59" t="inlineStr"/>
    </row>
    <row r="1551">
      <c r="A1551" s="35" t="n">
        <v>45321</v>
      </c>
      <c r="B1551" s="35" t="n">
        <v>45321</v>
      </c>
      <c r="C1551" s="36" t="n">
        <v>20</v>
      </c>
      <c r="D1551" s="36" t="n">
        <v>0</v>
      </c>
      <c r="E1551" s="36" t="inlineStr"/>
      <c r="F1551" s="36" t="inlineStr">
        <is>
          <t>UPI - Paytm</t>
        </is>
      </c>
      <c r="G1551" s="34" t="n">
        <v>0.65</v>
      </c>
      <c r="H1551" s="36" t="inlineStr">
        <is>
          <t>Personal</t>
        </is>
      </c>
      <c r="I1551" s="36" t="inlineStr">
        <is>
          <t>FEDERAL 0847</t>
        </is>
      </c>
      <c r="J1551" s="36" t="inlineStr"/>
      <c r="K1551" s="36" t="inlineStr">
        <is>
          <t>UPIOUT/403054645483/paytmqr3pwjgh0ago@payt
m//5411</t>
        </is>
      </c>
      <c r="L1551" s="36" t="inlineStr">
        <is>
          <t>Federal Bank (Jupiter)</t>
        </is>
      </c>
      <c r="M1551" s="36" t="inlineStr"/>
    </row>
    <row r="1552">
      <c r="A1552" s="37" t="n">
        <v>45321</v>
      </c>
      <c r="B1552" s="37" t="n">
        <v>45321</v>
      </c>
      <c r="C1552" s="38" t="n">
        <v>40</v>
      </c>
      <c r="D1552" s="38" t="n">
        <v>0</v>
      </c>
      <c r="E1552" s="38" t="inlineStr"/>
      <c r="F1552" s="38" t="inlineStr">
        <is>
          <t>UPI Payment</t>
        </is>
      </c>
      <c r="G1552" s="25" t="n">
        <v>0.55</v>
      </c>
      <c r="H1552" s="38" t="inlineStr">
        <is>
          <t>Personal</t>
        </is>
      </c>
      <c r="I1552" s="38" t="inlineStr">
        <is>
          <t>FEDERAL 0847</t>
        </is>
      </c>
      <c r="J1552" s="38" t="inlineStr"/>
      <c r="K1552" s="38" t="inlineStr">
        <is>
          <t>UPIOUT/403054639044/Q963866768@ybl/Sent
via /5814</t>
        </is>
      </c>
      <c r="L1552" s="38" t="inlineStr">
        <is>
          <t>Federal Bank (Jupiter)</t>
        </is>
      </c>
      <c r="M1552" s="38" t="inlineStr"/>
    </row>
    <row r="1553">
      <c r="A1553" s="41" t="n">
        <v>45321</v>
      </c>
      <c r="B1553" s="41" t="n">
        <v>45321</v>
      </c>
      <c r="C1553" s="42" t="n">
        <v>180.33</v>
      </c>
      <c r="D1553" s="42" t="n">
        <v>0</v>
      </c>
      <c r="E1553" s="42" t="inlineStr"/>
      <c r="F1553" s="42" t="inlineStr">
        <is>
          <t>HDFC Securities - Buy</t>
        </is>
      </c>
      <c r="G1553" s="18" t="n">
        <v>0.97</v>
      </c>
      <c r="H1553" s="42" t="inlineStr">
        <is>
          <t>HDFC Securities</t>
        </is>
      </c>
      <c r="I1553" s="42" t="inlineStr">
        <is>
          <t>HDFC 5413</t>
        </is>
      </c>
      <c r="J1553" s="42" t="inlineStr"/>
      <c r="K1553" s="42" t="inlineStr">
        <is>
          <t>NET PI TO HSL SEC A/C 2554606-00602340029427</t>
        </is>
      </c>
      <c r="L1553" s="42" t="inlineStr">
        <is>
          <t>HDFC Bank</t>
        </is>
      </c>
      <c r="M1553" s="42" t="inlineStr"/>
    </row>
    <row r="1554">
      <c r="A1554" s="19" t="n">
        <v>45321</v>
      </c>
      <c r="B1554" s="19" t="n">
        <v>45321</v>
      </c>
      <c r="C1554" s="20" t="n">
        <v>236</v>
      </c>
      <c r="D1554" s="20" t="n">
        <v>0</v>
      </c>
      <c r="E1554" s="20" t="inlineStr"/>
      <c r="F1554" s="20" t="inlineStr">
        <is>
          <t>Bank Charges</t>
        </is>
      </c>
      <c r="G1554" s="18" t="n">
        <v>0.9</v>
      </c>
      <c r="H1554" s="20" t="inlineStr">
        <is>
          <t>Bank Charges</t>
        </is>
      </c>
      <c r="I1554" s="20" t="inlineStr">
        <is>
          <t>HDFC 5413</t>
        </is>
      </c>
      <c r="J1554" s="20" t="inlineStr"/>
      <c r="K1554" s="20" t="inlineStr">
        <is>
          <t>DEBIT CARD ANNUAL FEE-JAN-2024 190124-MIR2403064274725</t>
        </is>
      </c>
      <c r="L1554" s="20" t="inlineStr">
        <is>
          <t>HDFC Bank</t>
        </is>
      </c>
      <c r="M1554" s="20" t="inlineStr"/>
    </row>
    <row r="1555">
      <c r="A1555" s="19" t="n">
        <v>45321</v>
      </c>
      <c r="B1555" s="19" t="n">
        <v>45321</v>
      </c>
      <c r="C1555" s="20" t="n">
        <v>295</v>
      </c>
      <c r="D1555" s="20" t="n">
        <v>0</v>
      </c>
      <c r="E1555" s="20" t="inlineStr"/>
      <c r="F1555" s="20" t="inlineStr">
        <is>
          <t>Bank Charges</t>
        </is>
      </c>
      <c r="G1555" s="18" t="n">
        <v>0.9</v>
      </c>
      <c r="H1555" s="20" t="inlineStr">
        <is>
          <t>Bank Charges</t>
        </is>
      </c>
      <c r="I1555" s="20" t="inlineStr">
        <is>
          <t>HDFC 5413</t>
        </is>
      </c>
      <c r="J1555" s="20" t="inlineStr"/>
      <c r="K1555" s="20" t="inlineStr">
        <is>
          <t>ISAQMC-OCT-DEC23-417944 250124-MIR2403065287373</t>
        </is>
      </c>
      <c r="L1555" s="20" t="inlineStr">
        <is>
          <t>HDFC Bank</t>
        </is>
      </c>
      <c r="M1555" s="20" t="inlineStr"/>
    </row>
    <row r="1556">
      <c r="A1556" s="58" t="n">
        <v>45321</v>
      </c>
      <c r="B1556" s="58" t="n">
        <v>45321</v>
      </c>
      <c r="C1556" s="59" t="n">
        <v>5000</v>
      </c>
      <c r="D1556" s="59" t="n">
        <v>0</v>
      </c>
      <c r="E1556" s="59" t="inlineStr"/>
      <c r="F1556" s="59" t="inlineStr">
        <is>
          <t>SIP</t>
        </is>
      </c>
      <c r="G1556" s="18" t="n">
        <v>0.95</v>
      </c>
      <c r="H1556" s="59" t="inlineStr">
        <is>
          <t>SIP</t>
        </is>
      </c>
      <c r="I1556" s="59" t="inlineStr">
        <is>
          <t>HDFC 5413</t>
        </is>
      </c>
      <c r="J1556" s="59" t="inlineStr"/>
      <c r="K1556" s="59" t="inlineStr">
        <is>
          <t>ACH D- TP ACH INDIANESIGN-1349137374</t>
        </is>
      </c>
      <c r="L1556" s="59" t="inlineStr">
        <is>
          <t>HDFC Bank</t>
        </is>
      </c>
      <c r="M1556" s="59" t="inlineStr"/>
    </row>
    <row r="1557">
      <c r="A1557" s="54" t="n">
        <v>45321</v>
      </c>
      <c r="B1557" s="54" t="n">
        <v>45321</v>
      </c>
      <c r="C1557" s="55" t="n">
        <v>0</v>
      </c>
      <c r="D1557" s="55" t="n">
        <v>3426.38</v>
      </c>
      <c r="E1557" s="55" t="inlineStr"/>
      <c r="F1557" s="55" t="inlineStr">
        <is>
          <t>HDFC Securities - Sell</t>
        </is>
      </c>
      <c r="G1557" s="18" t="n">
        <v>0.97</v>
      </c>
      <c r="H1557" s="55" t="inlineStr">
        <is>
          <t>HDFC Securities</t>
        </is>
      </c>
      <c r="I1557" s="55" t="inlineStr">
        <is>
          <t>HDFC 5413</t>
        </is>
      </c>
      <c r="J1557" s="55" t="inlineStr"/>
      <c r="K1557" s="55" t="inlineStr">
        <is>
          <t>NET PO FROM HSL A/C 2554606-50200085415108</t>
        </is>
      </c>
      <c r="L1557" s="55" t="inlineStr">
        <is>
          <t>HDFC Bank</t>
        </is>
      </c>
      <c r="M1557" s="55" t="inlineStr"/>
    </row>
    <row r="1558">
      <c r="A1558" s="35" t="n">
        <v>45321</v>
      </c>
      <c r="B1558" s="35" t="n">
        <v>45321</v>
      </c>
      <c r="C1558" s="36" t="n">
        <v>30</v>
      </c>
      <c r="D1558" s="36" t="n">
        <v>0</v>
      </c>
      <c r="E1558" s="36" t="inlineStr"/>
      <c r="F1558" s="36" t="inlineStr">
        <is>
          <t>UPI - Paytm</t>
        </is>
      </c>
      <c r="G1558" s="34" t="n">
        <v>0.65</v>
      </c>
      <c r="H1558" s="36" t="inlineStr">
        <is>
          <t>Personal</t>
        </is>
      </c>
      <c r="I1558" s="36" t="inlineStr">
        <is>
          <t>FEDERAL 0847</t>
        </is>
      </c>
      <c r="J1558" s="36" t="inlineStr"/>
      <c r="K1558" s="36" t="inlineStr">
        <is>
          <t>UPIOUT/403050104307/paytm-76881028@paytm/S
en/4121</t>
        </is>
      </c>
      <c r="L1558" s="36" t="inlineStr">
        <is>
          <t>Federal Bank (Jupiter)</t>
        </is>
      </c>
      <c r="M1558" s="36" t="inlineStr"/>
    </row>
    <row r="1559">
      <c r="A1559" s="32" t="n">
        <v>45321</v>
      </c>
      <c r="B1559" s="32" t="n">
        <v>45321</v>
      </c>
      <c r="C1559" s="33" t="n">
        <v>200</v>
      </c>
      <c r="D1559" s="33" t="n">
        <v>0</v>
      </c>
      <c r="E1559" s="33" t="inlineStr"/>
      <c r="F1559" s="33" t="inlineStr">
        <is>
          <t>UPI - BharatPe</t>
        </is>
      </c>
      <c r="G1559" s="34" t="n">
        <v>0.65</v>
      </c>
      <c r="H1559" s="33" t="inlineStr">
        <is>
          <t>Personal</t>
        </is>
      </c>
      <c r="I1559" s="33" t="inlineStr">
        <is>
          <t>FEDERAL 0847</t>
        </is>
      </c>
      <c r="J1559" s="33" t="inlineStr"/>
      <c r="K1559" s="33" t="inlineStr">
        <is>
          <t>UPIOUT/403054706192/BHARATPE60000005202@ye
sb/5651</t>
        </is>
      </c>
      <c r="L1559" s="33" t="inlineStr">
        <is>
          <t>Federal Bank (Jupiter)</t>
        </is>
      </c>
      <c r="M1559" s="33" t="inlineStr"/>
    </row>
    <row r="1560">
      <c r="A1560" s="35" t="n">
        <v>45321</v>
      </c>
      <c r="B1560" s="35" t="n">
        <v>45321</v>
      </c>
      <c r="C1560" s="36" t="n">
        <v>40</v>
      </c>
      <c r="D1560" s="36" t="n">
        <v>0</v>
      </c>
      <c r="E1560" s="36" t="inlineStr"/>
      <c r="F1560" s="36" t="inlineStr">
        <is>
          <t>UPI - Paytm</t>
        </is>
      </c>
      <c r="G1560" s="34" t="n">
        <v>0.65</v>
      </c>
      <c r="H1560" s="36" t="inlineStr">
        <is>
          <t>Personal</t>
        </is>
      </c>
      <c r="I1560" s="36" t="inlineStr">
        <is>
          <t>FEDERAL 0847</t>
        </is>
      </c>
      <c r="J1560" s="36" t="inlineStr"/>
      <c r="K1560" s="36" t="inlineStr">
        <is>
          <t>UPIOUT/403055463282/paytmqricl8fehbdn@payt
m//5411</t>
        </is>
      </c>
      <c r="L1560" s="36" t="inlineStr">
        <is>
          <t>Federal Bank (Jupiter)</t>
        </is>
      </c>
      <c r="M1560" s="36" t="inlineStr"/>
    </row>
    <row r="1561">
      <c r="A1561" s="37" t="n">
        <v>45322</v>
      </c>
      <c r="B1561" s="37" t="n">
        <v>45322</v>
      </c>
      <c r="C1561" s="38" t="n">
        <v>18</v>
      </c>
      <c r="D1561" s="38" t="n">
        <v>0</v>
      </c>
      <c r="E1561" s="38" t="inlineStr"/>
      <c r="F1561" s="38" t="inlineStr">
        <is>
          <t>UPI Payment</t>
        </is>
      </c>
      <c r="G1561" s="25" t="n">
        <v>0.55</v>
      </c>
      <c r="H1561" s="38" t="inlineStr">
        <is>
          <t>Personal</t>
        </is>
      </c>
      <c r="I1561" s="38" t="inlineStr">
        <is>
          <t>FEDERAL 0847</t>
        </is>
      </c>
      <c r="J1561" s="38" t="inlineStr"/>
      <c r="K1561" s="38" t="inlineStr">
        <is>
          <t>UPIOUT/403157016307/Q832428843@ybl/Sent
via /5814</t>
        </is>
      </c>
      <c r="L1561" s="38" t="inlineStr">
        <is>
          <t>Federal Bank (Jupiter)</t>
        </is>
      </c>
      <c r="M1561" s="38" t="inlineStr"/>
    </row>
    <row r="1562">
      <c r="A1562" s="37" t="n">
        <v>45322</v>
      </c>
      <c r="B1562" s="37" t="n">
        <v>45322</v>
      </c>
      <c r="C1562" s="38" t="n">
        <v>225</v>
      </c>
      <c r="D1562" s="38" t="n">
        <v>0</v>
      </c>
      <c r="E1562" s="38" t="inlineStr"/>
      <c r="F1562" s="38" t="inlineStr">
        <is>
          <t>UPI Payment</t>
        </is>
      </c>
      <c r="G1562" s="25" t="n">
        <v>0.55</v>
      </c>
      <c r="H1562" s="38" t="inlineStr">
        <is>
          <t>Personal</t>
        </is>
      </c>
      <c r="I1562" s="38" t="inlineStr">
        <is>
          <t>FEDERAL 0847</t>
        </is>
      </c>
      <c r="J1562" s="38" t="inlineStr"/>
      <c r="K1562" s="38" t="inlineStr">
        <is>
          <t>UPIOUT/403158429476/Q407907754@ybl/Sent
via /5812</t>
        </is>
      </c>
      <c r="L1562" s="38" t="inlineStr">
        <is>
          <t>Federal Bank (Jupiter)</t>
        </is>
      </c>
      <c r="M1562" s="38" t="inlineStr"/>
    </row>
    <row r="1563">
      <c r="A1563" s="35" t="n">
        <v>45322</v>
      </c>
      <c r="B1563" s="35" t="n">
        <v>45322</v>
      </c>
      <c r="C1563" s="36" t="n">
        <v>30</v>
      </c>
      <c r="D1563" s="36" t="n">
        <v>0</v>
      </c>
      <c r="E1563" s="36" t="inlineStr"/>
      <c r="F1563" s="36" t="inlineStr">
        <is>
          <t>UPI - Paytm</t>
        </is>
      </c>
      <c r="G1563" s="34" t="n">
        <v>0.65</v>
      </c>
      <c r="H1563" s="36" t="inlineStr">
        <is>
          <t>Personal</t>
        </is>
      </c>
      <c r="I1563" s="36" t="inlineStr">
        <is>
          <t>FEDERAL 0847</t>
        </is>
      </c>
      <c r="J1563" s="36" t="inlineStr"/>
      <c r="K1563" s="36" t="inlineStr">
        <is>
          <t>UPIOUT/403158446410/paytmqrpw51via7kn@payt
m//5912</t>
        </is>
      </c>
      <c r="L1563" s="36" t="inlineStr">
        <is>
          <t>Federal Bank (Jupiter)</t>
        </is>
      </c>
      <c r="M1563" s="36" t="inlineStr"/>
    </row>
    <row r="1564">
      <c r="A1564" s="37" t="n">
        <v>45322</v>
      </c>
      <c r="B1564" s="37" t="n">
        <v>45322</v>
      </c>
      <c r="C1564" s="38" t="n">
        <v>10</v>
      </c>
      <c r="D1564" s="38" t="n">
        <v>0</v>
      </c>
      <c r="E1564" s="38" t="inlineStr"/>
      <c r="F1564" s="38" t="inlineStr">
        <is>
          <t>UPI Payment</t>
        </is>
      </c>
      <c r="G1564" s="25" t="n">
        <v>0.55</v>
      </c>
      <c r="H1564" s="38" t="inlineStr">
        <is>
          <t>Personal</t>
        </is>
      </c>
      <c r="I1564" s="38" t="inlineStr">
        <is>
          <t>FEDERAL 0847</t>
        </is>
      </c>
      <c r="J1564" s="38" t="inlineStr"/>
      <c r="K1564" s="38" t="inlineStr">
        <is>
          <t>UPIOUT/403158503122/Q185949983@ybl/Sent
via /5451</t>
        </is>
      </c>
      <c r="L1564" s="38" t="inlineStr">
        <is>
          <t>Federal Bank (Jupiter)</t>
        </is>
      </c>
      <c r="M1564" s="38" t="inlineStr"/>
    </row>
    <row r="1565">
      <c r="A1565" s="23" t="n">
        <v>45322</v>
      </c>
      <c r="B1565" s="23" t="n">
        <v>45322</v>
      </c>
      <c r="C1565" s="24" t="n">
        <v>0</v>
      </c>
      <c r="D1565" s="24" t="n">
        <v>22500</v>
      </c>
      <c r="E1565" s="24" t="inlineStr"/>
      <c r="F1565" s="24" t="inlineStr">
        <is>
          <t>What is this?</t>
        </is>
      </c>
      <c r="G1565" s="25" t="n">
        <v>0</v>
      </c>
      <c r="H1565" s="24" t="inlineStr">
        <is>
          <t>Suspense</t>
        </is>
      </c>
      <c r="I1565" s="24" t="inlineStr">
        <is>
          <t>FEDERAL 0847</t>
        </is>
      </c>
      <c r="J1565" s="24" t="inlineStr"/>
      <c r="K1565" s="24" t="inlineStr">
        <is>
          <t>NFT/DR REDDYS LABOR/CITIN24416493217/CITI</t>
        </is>
      </c>
      <c r="L1565" s="24" t="inlineStr">
        <is>
          <t>Federal Bank (Jupiter)</t>
        </is>
      </c>
      <c r="M1565" s="24" t="inlineStr"/>
    </row>
    <row r="1566">
      <c r="A1566" s="37" t="n">
        <v>45322</v>
      </c>
      <c r="B1566" s="37" t="n">
        <v>45322</v>
      </c>
      <c r="C1566" s="38" t="n">
        <v>17</v>
      </c>
      <c r="D1566" s="38" t="n">
        <v>0</v>
      </c>
      <c r="E1566" s="38" t="inlineStr"/>
      <c r="F1566" s="38" t="inlineStr">
        <is>
          <t>UPI Payment</t>
        </is>
      </c>
      <c r="G1566" s="25" t="n">
        <v>0.55</v>
      </c>
      <c r="H1566" s="38" t="inlineStr">
        <is>
          <t>Personal</t>
        </is>
      </c>
      <c r="I1566" s="38" t="inlineStr">
        <is>
          <t>FEDERAL 0847</t>
        </is>
      </c>
      <c r="J1566" s="38" t="inlineStr"/>
      <c r="K1566" s="38" t="inlineStr">
        <is>
          <t>UPIOUT/403160164019/Q082521920@ybl/Sent
via /5814</t>
        </is>
      </c>
      <c r="L1566" s="38" t="inlineStr">
        <is>
          <t>Federal Bank (Jupiter)</t>
        </is>
      </c>
      <c r="M1566" s="38" t="inlineStr"/>
    </row>
    <row r="1567">
      <c r="A1567" s="54" t="n">
        <v>45322</v>
      </c>
      <c r="B1567" s="54" t="n">
        <v>45322</v>
      </c>
      <c r="C1567" s="55" t="n">
        <v>0</v>
      </c>
      <c r="D1567" s="55" t="n">
        <v>11450.46</v>
      </c>
      <c r="E1567" s="55" t="inlineStr"/>
      <c r="F1567" s="55" t="inlineStr">
        <is>
          <t>HDFC Securities - Sell</t>
        </is>
      </c>
      <c r="G1567" s="18" t="n">
        <v>0.97</v>
      </c>
      <c r="H1567" s="55" t="inlineStr">
        <is>
          <t>HDFC Securities</t>
        </is>
      </c>
      <c r="I1567" s="55" t="inlineStr">
        <is>
          <t>HDFC 5413</t>
        </is>
      </c>
      <c r="J1567" s="55" t="inlineStr"/>
      <c r="K1567" s="55" t="inlineStr">
        <is>
          <t>NET PO FROM HSL A/C 2554606-50200085415108</t>
        </is>
      </c>
      <c r="L1567" s="55" t="inlineStr">
        <is>
          <t>HDFC Bank</t>
        </is>
      </c>
      <c r="M1567" s="55" t="inlineStr"/>
    </row>
    <row r="1568">
      <c r="A1568" s="41" t="n">
        <v>45322</v>
      </c>
      <c r="B1568" s="41" t="n">
        <v>45322</v>
      </c>
      <c r="C1568" s="42" t="n">
        <v>181.55</v>
      </c>
      <c r="D1568" s="42" t="n">
        <v>0</v>
      </c>
      <c r="E1568" s="42" t="inlineStr"/>
      <c r="F1568" s="42" t="inlineStr">
        <is>
          <t>HDFC Securities - Buy</t>
        </is>
      </c>
      <c r="G1568" s="18" t="n">
        <v>0.97</v>
      </c>
      <c r="H1568" s="42" t="inlineStr">
        <is>
          <t>HDFC Securities</t>
        </is>
      </c>
      <c r="I1568" s="42" t="inlineStr">
        <is>
          <t>HDFC 5413</t>
        </is>
      </c>
      <c r="J1568" s="42" t="inlineStr"/>
      <c r="K1568" s="42" t="inlineStr">
        <is>
          <t>NET PI TO HSL SEC A/C 2554606-00602340029427</t>
        </is>
      </c>
      <c r="L1568" s="42" t="inlineStr">
        <is>
          <t>HDFC Bank</t>
        </is>
      </c>
      <c r="M1568" s="42" t="inlineStr"/>
    </row>
    <row r="1569">
      <c r="A1569" s="37" t="n">
        <v>45322</v>
      </c>
      <c r="B1569" s="37" t="n">
        <v>45322</v>
      </c>
      <c r="C1569" s="38" t="n">
        <v>40</v>
      </c>
      <c r="D1569" s="38" t="n">
        <v>0</v>
      </c>
      <c r="E1569" s="38" t="inlineStr"/>
      <c r="F1569" s="38" t="inlineStr">
        <is>
          <t>UPI Payment</t>
        </is>
      </c>
      <c r="G1569" s="25" t="n">
        <v>0.55</v>
      </c>
      <c r="H1569" s="38" t="inlineStr">
        <is>
          <t>Personal</t>
        </is>
      </c>
      <c r="I1569" s="38" t="inlineStr">
        <is>
          <t>FEDERAL 0847</t>
        </is>
      </c>
      <c r="J1569" s="38" t="inlineStr"/>
      <c r="K1569" s="38" t="inlineStr">
        <is>
          <t>UPIOUT/403160070092/Q151311187@ybl/Sent
via /5814</t>
        </is>
      </c>
      <c r="L1569" s="38" t="inlineStr">
        <is>
          <t>Federal Bank (Jupiter)</t>
        </is>
      </c>
      <c r="M1569" s="38" t="inlineStr"/>
    </row>
    <row r="1570">
      <c r="A1570" s="54" t="n">
        <v>45323</v>
      </c>
      <c r="B1570" s="54" t="n">
        <v>45323</v>
      </c>
      <c r="C1570" s="55" t="n">
        <v>0</v>
      </c>
      <c r="D1570" s="55" t="n">
        <v>17235.04</v>
      </c>
      <c r="E1570" s="55" t="inlineStr"/>
      <c r="F1570" s="55" t="inlineStr">
        <is>
          <t>HDFC Securities - Sell</t>
        </is>
      </c>
      <c r="G1570" s="18" t="n">
        <v>0.97</v>
      </c>
      <c r="H1570" s="55" t="inlineStr">
        <is>
          <t>HDFC Securities</t>
        </is>
      </c>
      <c r="I1570" s="55" t="inlineStr">
        <is>
          <t>HDFC 5413</t>
        </is>
      </c>
      <c r="J1570" s="55" t="inlineStr"/>
      <c r="K1570" s="55" t="inlineStr">
        <is>
          <t>NET PO FROM HSL A/C 2554606-50200085415108</t>
        </is>
      </c>
      <c r="L1570" s="55" t="inlineStr">
        <is>
          <t>HDFC Bank</t>
        </is>
      </c>
      <c r="M1570" s="55" t="inlineStr"/>
    </row>
    <row r="1571">
      <c r="A1571" s="54" t="n">
        <v>45323</v>
      </c>
      <c r="B1571" s="54" t="n">
        <v>45323</v>
      </c>
      <c r="C1571" s="55" t="n">
        <v>0</v>
      </c>
      <c r="D1571" s="55" t="n">
        <v>43496.53</v>
      </c>
      <c r="E1571" s="55" t="inlineStr"/>
      <c r="F1571" s="55" t="inlineStr">
        <is>
          <t>HDFC Securities - Sell</t>
        </is>
      </c>
      <c r="G1571" s="18" t="n">
        <v>0.97</v>
      </c>
      <c r="H1571" s="55" t="inlineStr">
        <is>
          <t>HDFC Securities</t>
        </is>
      </c>
      <c r="I1571" s="55" t="inlineStr">
        <is>
          <t>HDFC 5413</t>
        </is>
      </c>
      <c r="J1571" s="55" t="inlineStr"/>
      <c r="K1571" s="55" t="inlineStr">
        <is>
          <t>NET PO FROM HSL A/C 2554606-50200085415108</t>
        </is>
      </c>
      <c r="L1571" s="55" t="inlineStr">
        <is>
          <t>HDFC Bank</t>
        </is>
      </c>
      <c r="M1571" s="55" t="inlineStr"/>
    </row>
    <row r="1572">
      <c r="A1572" s="41" t="n">
        <v>45323</v>
      </c>
      <c r="B1572" s="41" t="n">
        <v>45323</v>
      </c>
      <c r="C1572" s="42" t="n">
        <v>37574.6</v>
      </c>
      <c r="D1572" s="42" t="n">
        <v>0</v>
      </c>
      <c r="E1572" s="42" t="inlineStr"/>
      <c r="F1572" s="42" t="inlineStr">
        <is>
          <t>HDFC Securities - Buy</t>
        </is>
      </c>
      <c r="G1572" s="18" t="n">
        <v>0.97</v>
      </c>
      <c r="H1572" s="42" t="inlineStr">
        <is>
          <t>HDFC Securities</t>
        </is>
      </c>
      <c r="I1572" s="42" t="inlineStr">
        <is>
          <t>HDFC 5413</t>
        </is>
      </c>
      <c r="J1572" s="42" t="inlineStr"/>
      <c r="K1572" s="42" t="inlineStr">
        <is>
          <t>NET PI TO HSL SEC A/C 2554606-00602340029427</t>
        </is>
      </c>
      <c r="L1572" s="42" t="inlineStr">
        <is>
          <t>HDFC Bank</t>
        </is>
      </c>
      <c r="M1572" s="42" t="inlineStr"/>
    </row>
    <row r="1573">
      <c r="A1573" s="41" t="n">
        <v>45323</v>
      </c>
      <c r="B1573" s="41" t="n">
        <v>45323</v>
      </c>
      <c r="C1573" s="42" t="n">
        <v>15263.75</v>
      </c>
      <c r="D1573" s="42" t="n">
        <v>0</v>
      </c>
      <c r="E1573" s="42" t="inlineStr"/>
      <c r="F1573" s="42" t="inlineStr">
        <is>
          <t>HDFC Securities - Buy</t>
        </is>
      </c>
      <c r="G1573" s="18" t="n">
        <v>0.97</v>
      </c>
      <c r="H1573" s="42" t="inlineStr">
        <is>
          <t>HDFC Securities</t>
        </is>
      </c>
      <c r="I1573" s="42" t="inlineStr">
        <is>
          <t>HDFC 5413</t>
        </is>
      </c>
      <c r="J1573" s="42" t="inlineStr"/>
      <c r="K1573" s="42" t="inlineStr">
        <is>
          <t>NET PI TO HSL SEC A/C 2554606-00602340029427</t>
        </is>
      </c>
      <c r="L1573" s="42" t="inlineStr">
        <is>
          <t>HDFC Bank</t>
        </is>
      </c>
      <c r="M1573" s="42" t="inlineStr"/>
    </row>
    <row r="1574">
      <c r="A1574" s="41" t="n">
        <v>45323</v>
      </c>
      <c r="B1574" s="41" t="n">
        <v>45323</v>
      </c>
      <c r="C1574" s="42" t="n">
        <v>177.06</v>
      </c>
      <c r="D1574" s="42" t="n">
        <v>0</v>
      </c>
      <c r="E1574" s="42" t="inlineStr"/>
      <c r="F1574" s="42" t="inlineStr">
        <is>
          <t>HDFC Securities - Buy</t>
        </is>
      </c>
      <c r="G1574" s="18" t="n">
        <v>0.97</v>
      </c>
      <c r="H1574" s="42" t="inlineStr">
        <is>
          <t>HDFC Securities</t>
        </is>
      </c>
      <c r="I1574" s="42" t="inlineStr">
        <is>
          <t>HDFC 5413</t>
        </is>
      </c>
      <c r="J1574" s="42" t="inlineStr"/>
      <c r="K1574" s="42" t="inlineStr">
        <is>
          <t>NET PI TO HSL SEC A/C 2554606-00602340029427</t>
        </is>
      </c>
      <c r="L1574" s="42" t="inlineStr">
        <is>
          <t>HDFC Bank</t>
        </is>
      </c>
      <c r="M1574" s="42" t="inlineStr"/>
    </row>
    <row r="1575">
      <c r="A1575" s="41" t="n">
        <v>45324</v>
      </c>
      <c r="B1575" s="41" t="n">
        <v>45324</v>
      </c>
      <c r="C1575" s="42" t="n">
        <v>166.79</v>
      </c>
      <c r="D1575" s="42" t="n">
        <v>0</v>
      </c>
      <c r="E1575" s="42" t="inlineStr"/>
      <c r="F1575" s="42" t="inlineStr">
        <is>
          <t>HDFC Securities - Buy</t>
        </is>
      </c>
      <c r="G1575" s="18" t="n">
        <v>0.97</v>
      </c>
      <c r="H1575" s="42" t="inlineStr">
        <is>
          <t>HDFC Securities</t>
        </is>
      </c>
      <c r="I1575" s="42" t="inlineStr">
        <is>
          <t>HDFC 5413</t>
        </is>
      </c>
      <c r="J1575" s="42" t="inlineStr"/>
      <c r="K1575" s="42" t="inlineStr">
        <is>
          <t>NET PI TO HSL SEC A/C 2554606-00602340029427</t>
        </is>
      </c>
      <c r="L1575" s="42" t="inlineStr">
        <is>
          <t>HDFC Bank</t>
        </is>
      </c>
      <c r="M1575" s="42" t="inlineStr"/>
    </row>
    <row r="1576">
      <c r="A1576" s="54" t="n">
        <v>45324</v>
      </c>
      <c r="B1576" s="54" t="n">
        <v>45324</v>
      </c>
      <c r="C1576" s="55" t="n">
        <v>0</v>
      </c>
      <c r="D1576" s="55" t="n">
        <v>7492.75</v>
      </c>
      <c r="E1576" s="55" t="inlineStr"/>
      <c r="F1576" s="55" t="inlineStr">
        <is>
          <t>HDFC Securities - Sell</t>
        </is>
      </c>
      <c r="G1576" s="18" t="n">
        <v>0.97</v>
      </c>
      <c r="H1576" s="55" t="inlineStr">
        <is>
          <t>HDFC Securities</t>
        </is>
      </c>
      <c r="I1576" s="55" t="inlineStr">
        <is>
          <t>HDFC 5413</t>
        </is>
      </c>
      <c r="J1576" s="55" t="inlineStr"/>
      <c r="K1576" s="55" t="inlineStr">
        <is>
          <t>NET PO FROM HSL A/C 2554606-50200085415108</t>
        </is>
      </c>
      <c r="L1576" s="55" t="inlineStr">
        <is>
          <t>HDFC Bank</t>
        </is>
      </c>
      <c r="M1576" s="55" t="inlineStr"/>
    </row>
    <row r="1577">
      <c r="A1577" s="37" t="n">
        <v>45324</v>
      </c>
      <c r="B1577" s="37" t="n">
        <v>45324</v>
      </c>
      <c r="C1577" s="38" t="n">
        <v>40</v>
      </c>
      <c r="D1577" s="38" t="n">
        <v>0</v>
      </c>
      <c r="E1577" s="38" t="inlineStr"/>
      <c r="F1577" s="38" t="inlineStr">
        <is>
          <t>UPI Payment</t>
        </is>
      </c>
      <c r="G1577" s="25" t="n">
        <v>0.55</v>
      </c>
      <c r="H1577" s="38" t="inlineStr">
        <is>
          <t>Personal</t>
        </is>
      </c>
      <c r="I1577" s="38" t="inlineStr">
        <is>
          <t>FEDERAL 0847</t>
        </is>
      </c>
      <c r="J1577" s="38" t="inlineStr"/>
      <c r="K1577" s="38" t="inlineStr">
        <is>
          <t>UPIOUT/403372353754/Q463323667@ybl/Sent
via /5812</t>
        </is>
      </c>
      <c r="L1577" s="38" t="inlineStr">
        <is>
          <t>Federal Bank (Jupiter)</t>
        </is>
      </c>
      <c r="M1577" s="38" t="inlineStr"/>
    </row>
    <row r="1578">
      <c r="A1578" s="87" t="n">
        <v>45324</v>
      </c>
      <c r="B1578" s="87" t="n">
        <v>45324</v>
      </c>
      <c r="C1578" s="88" t="n">
        <v>9297.559999999999</v>
      </c>
      <c r="D1578" s="88" t="n">
        <v>0</v>
      </c>
      <c r="E1578" s="88" t="inlineStr"/>
      <c r="F1578" s="88" t="inlineStr">
        <is>
          <t>Contra - Kotak</t>
        </is>
      </c>
      <c r="G1578" s="18" t="n">
        <v>0.9</v>
      </c>
      <c r="H1578" s="88" t="inlineStr">
        <is>
          <t>KOTAK 0333</t>
        </is>
      </c>
      <c r="I1578" s="88" t="inlineStr">
        <is>
          <t>FEDERAL 0847</t>
        </is>
      </c>
      <c r="J1578" s="88" t="inlineStr"/>
      <c r="K1578" s="88" t="inlineStr">
        <is>
          <t>UPIOUT/403372362550/aayush20gupta@oksbi/Se
nt/0000</t>
        </is>
      </c>
      <c r="L1578" s="88" t="inlineStr">
        <is>
          <t>Federal Bank (Jupiter)</t>
        </is>
      </c>
      <c r="M1578" s="88" t="inlineStr"/>
    </row>
    <row r="1579">
      <c r="A1579" s="37" t="n">
        <v>45324</v>
      </c>
      <c r="B1579" s="37" t="n">
        <v>45324</v>
      </c>
      <c r="C1579" s="38" t="n">
        <v>90</v>
      </c>
      <c r="D1579" s="38" t="n">
        <v>0</v>
      </c>
      <c r="E1579" s="38" t="inlineStr"/>
      <c r="F1579" s="38" t="inlineStr">
        <is>
          <t>UPI Payment</t>
        </is>
      </c>
      <c r="G1579" s="25" t="n">
        <v>0.55</v>
      </c>
      <c r="H1579" s="38" t="inlineStr">
        <is>
          <t>Personal</t>
        </is>
      </c>
      <c r="I1579" s="38" t="inlineStr">
        <is>
          <t>FEDERAL 0847</t>
        </is>
      </c>
      <c r="J1579" s="38" t="inlineStr"/>
      <c r="K1579" s="38" t="inlineStr">
        <is>
          <t>UPIOUT/403373170568/Q079360809@ybl/Sent
via /5814</t>
        </is>
      </c>
      <c r="L1579" s="38" t="inlineStr">
        <is>
          <t>Federal Bank (Jupiter)</t>
        </is>
      </c>
      <c r="M1579" s="38" t="inlineStr"/>
    </row>
    <row r="1580">
      <c r="A1580" s="58" t="n">
        <v>45325</v>
      </c>
      <c r="B1580" s="58" t="n">
        <v>45325</v>
      </c>
      <c r="C1580" s="59" t="n">
        <v>1000</v>
      </c>
      <c r="D1580" s="59" t="n">
        <v>0</v>
      </c>
      <c r="E1580" s="59" t="inlineStr"/>
      <c r="F1580" s="59" t="inlineStr">
        <is>
          <t>MF Investment</t>
        </is>
      </c>
      <c r="G1580" s="18" t="n">
        <v>0.88</v>
      </c>
      <c r="H1580" s="59" t="inlineStr">
        <is>
          <t>Investments</t>
        </is>
      </c>
      <c r="I1580" s="59" t="inlineStr">
        <is>
          <t>FEDERAL 0847</t>
        </is>
      </c>
      <c r="J1580" s="59" t="inlineStr"/>
      <c r="K1580" s="59" t="inlineStr">
        <is>
          <t>NFT/NEOSIEXEDDD2024020304151808688 NAVI
Mutual Fun</t>
        </is>
      </c>
      <c r="L1580" s="59" t="inlineStr">
        <is>
          <t>Federal Bank (Jupiter)</t>
        </is>
      </c>
      <c r="M1580" s="59" t="inlineStr"/>
    </row>
    <row r="1581">
      <c r="A1581" s="35" t="n">
        <v>45325</v>
      </c>
      <c r="B1581" s="35" t="n">
        <v>45325</v>
      </c>
      <c r="C1581" s="36" t="n">
        <v>50</v>
      </c>
      <c r="D1581" s="36" t="n">
        <v>0</v>
      </c>
      <c r="E1581" s="36" t="inlineStr"/>
      <c r="F1581" s="36" t="inlineStr">
        <is>
          <t>UPI - Paytm</t>
        </is>
      </c>
      <c r="G1581" s="34" t="n">
        <v>0.65</v>
      </c>
      <c r="H1581" s="36" t="inlineStr">
        <is>
          <t>Personal</t>
        </is>
      </c>
      <c r="I1581" s="36" t="inlineStr">
        <is>
          <t>FEDERAL 0847</t>
        </is>
      </c>
      <c r="J1581" s="36" t="inlineStr"/>
      <c r="K1581" s="36" t="inlineStr">
        <is>
          <t>UPIOUT/403476780982/paytmqr46ql4xg6hq@payt
m//5411</t>
        </is>
      </c>
      <c r="L1581" s="36" t="inlineStr">
        <is>
          <t>Federal Bank (Jupiter)</t>
        </is>
      </c>
      <c r="M1581" s="36" t="inlineStr"/>
    </row>
    <row r="1582">
      <c r="A1582" s="35" t="n">
        <v>45325</v>
      </c>
      <c r="B1582" s="35" t="n">
        <v>45325</v>
      </c>
      <c r="C1582" s="36" t="n">
        <v>78</v>
      </c>
      <c r="D1582" s="36" t="n">
        <v>0</v>
      </c>
      <c r="E1582" s="36" t="inlineStr"/>
      <c r="F1582" s="36" t="inlineStr">
        <is>
          <t>UPI - Paytm</t>
        </is>
      </c>
      <c r="G1582" s="34" t="n">
        <v>0.65</v>
      </c>
      <c r="H1582" s="36" t="inlineStr">
        <is>
          <t>Personal</t>
        </is>
      </c>
      <c r="I1582" s="36" t="inlineStr">
        <is>
          <t>FEDERAL 0847</t>
        </is>
      </c>
      <c r="J1582" s="36" t="inlineStr"/>
      <c r="K1582" s="36" t="inlineStr">
        <is>
          <t>UPIOUT/403476548481/paytmqricl8fehbdn@payt
m//5411</t>
        </is>
      </c>
      <c r="L1582" s="36" t="inlineStr">
        <is>
          <t>Federal Bank (Jupiter)</t>
        </is>
      </c>
      <c r="M1582" s="36" t="inlineStr"/>
    </row>
    <row r="1583">
      <c r="A1583" s="32" t="n">
        <v>45325</v>
      </c>
      <c r="B1583" s="32" t="n">
        <v>45325</v>
      </c>
      <c r="C1583" s="33" t="n">
        <v>37</v>
      </c>
      <c r="D1583" s="33" t="n">
        <v>0</v>
      </c>
      <c r="E1583" s="33" t="inlineStr"/>
      <c r="F1583" s="33" t="inlineStr">
        <is>
          <t>UPI - BharatPe</t>
        </is>
      </c>
      <c r="G1583" s="34" t="n">
        <v>0.65</v>
      </c>
      <c r="H1583" s="33" t="inlineStr">
        <is>
          <t>Personal</t>
        </is>
      </c>
      <c r="I1583" s="33" t="inlineStr">
        <is>
          <t>FEDERAL 0847</t>
        </is>
      </c>
      <c r="J1583" s="33" t="inlineStr"/>
      <c r="K1583" s="33" t="inlineStr">
        <is>
          <t>UPIOUT/403478205168/BHARATPE.0105308277@in
du/5065</t>
        </is>
      </c>
      <c r="L1583" s="33" t="inlineStr">
        <is>
          <t>Federal Bank (Jupiter)</t>
        </is>
      </c>
      <c r="M1583" s="33" t="inlineStr"/>
    </row>
    <row r="1584">
      <c r="A1584" s="37" t="n">
        <v>45325</v>
      </c>
      <c r="B1584" s="37" t="n">
        <v>45325</v>
      </c>
      <c r="C1584" s="38" t="n">
        <v>30</v>
      </c>
      <c r="D1584" s="38" t="n">
        <v>0</v>
      </c>
      <c r="E1584" s="38" t="inlineStr"/>
      <c r="F1584" s="38" t="inlineStr">
        <is>
          <t>UPI Payment</t>
        </is>
      </c>
      <c r="G1584" s="25" t="n">
        <v>0.55</v>
      </c>
      <c r="H1584" s="38" t="inlineStr">
        <is>
          <t>Personal</t>
        </is>
      </c>
      <c r="I1584" s="38" t="inlineStr">
        <is>
          <t>FEDERAL 0847</t>
        </is>
      </c>
      <c r="J1584" s="38" t="inlineStr"/>
      <c r="K1584" s="38" t="inlineStr">
        <is>
          <t>UPIOUT/403478870895/Q435774742@ybl/Sent
via /5441</t>
        </is>
      </c>
      <c r="L1584" s="38" t="inlineStr">
        <is>
          <t>Federal Bank (Jupiter)</t>
        </is>
      </c>
      <c r="M1584" s="38" t="inlineStr"/>
    </row>
    <row r="1585">
      <c r="A1585" s="37" t="n">
        <v>45325</v>
      </c>
      <c r="B1585" s="37" t="n">
        <v>45325</v>
      </c>
      <c r="C1585" s="38" t="n">
        <v>40</v>
      </c>
      <c r="D1585" s="38" t="n">
        <v>0</v>
      </c>
      <c r="E1585" s="38" t="inlineStr"/>
      <c r="F1585" s="38" t="inlineStr">
        <is>
          <t>UPI Payment</t>
        </is>
      </c>
      <c r="G1585" s="25" t="n">
        <v>0.55</v>
      </c>
      <c r="H1585" s="38" t="inlineStr">
        <is>
          <t>Personal</t>
        </is>
      </c>
      <c r="I1585" s="38" t="inlineStr">
        <is>
          <t>FEDERAL 0847</t>
        </is>
      </c>
      <c r="J1585" s="38" t="inlineStr"/>
      <c r="K1585" s="38" t="inlineStr">
        <is>
          <t>UPIOUT/403479545954/Q510171333@ybl/Sent
via /5311</t>
        </is>
      </c>
      <c r="L1585" s="38" t="inlineStr">
        <is>
          <t>Federal Bank (Jupiter)</t>
        </is>
      </c>
      <c r="M1585" s="38" t="inlineStr"/>
    </row>
    <row r="1586">
      <c r="A1586" s="37" t="n">
        <v>45326</v>
      </c>
      <c r="B1586" s="37" t="n">
        <v>45326</v>
      </c>
      <c r="C1586" s="38" t="n">
        <v>18</v>
      </c>
      <c r="D1586" s="38" t="n">
        <v>0</v>
      </c>
      <c r="E1586" s="38" t="inlineStr"/>
      <c r="F1586" s="38" t="inlineStr">
        <is>
          <t>UPI Payment</t>
        </is>
      </c>
      <c r="G1586" s="25" t="n">
        <v>0.55</v>
      </c>
      <c r="H1586" s="38" t="inlineStr">
        <is>
          <t>Personal</t>
        </is>
      </c>
      <c r="I1586" s="38" t="inlineStr">
        <is>
          <t>FEDERAL 0847</t>
        </is>
      </c>
      <c r="J1586" s="38" t="inlineStr"/>
      <c r="K1586" s="38" t="inlineStr">
        <is>
          <t>UPIOUT/403581606581/Q832428843@ybl/Sent
via /5814</t>
        </is>
      </c>
      <c r="L1586" s="38" t="inlineStr">
        <is>
          <t>Federal Bank (Jupiter)</t>
        </is>
      </c>
      <c r="M1586" s="38" t="inlineStr"/>
    </row>
    <row r="1587">
      <c r="A1587" s="32" t="n">
        <v>45326</v>
      </c>
      <c r="B1587" s="32" t="n">
        <v>45326</v>
      </c>
      <c r="C1587" s="33" t="n">
        <v>17</v>
      </c>
      <c r="D1587" s="33" t="n">
        <v>0</v>
      </c>
      <c r="E1587" s="33" t="inlineStr"/>
      <c r="F1587" s="33" t="inlineStr">
        <is>
          <t>UPI - BharatPe</t>
        </is>
      </c>
      <c r="G1587" s="34" t="n">
        <v>0.65</v>
      </c>
      <c r="H1587" s="33" t="inlineStr">
        <is>
          <t>Personal</t>
        </is>
      </c>
      <c r="I1587" s="33" t="inlineStr">
        <is>
          <t>FEDERAL 0847</t>
        </is>
      </c>
      <c r="J1587" s="33" t="inlineStr"/>
      <c r="K1587" s="33" t="inlineStr">
        <is>
          <t>UPIOUT/403583490912/BHARATPE.0105308277@in
du/5065</t>
        </is>
      </c>
      <c r="L1587" s="33" t="inlineStr">
        <is>
          <t>Federal Bank (Jupiter)</t>
        </is>
      </c>
      <c r="M1587" s="33" t="inlineStr"/>
    </row>
    <row r="1588">
      <c r="A1588" s="37" t="n">
        <v>45326</v>
      </c>
      <c r="B1588" s="37" t="n">
        <v>45326</v>
      </c>
      <c r="C1588" s="38" t="n">
        <v>30</v>
      </c>
      <c r="D1588" s="38" t="n">
        <v>0</v>
      </c>
      <c r="E1588" s="38" t="inlineStr"/>
      <c r="F1588" s="38" t="inlineStr">
        <is>
          <t>UPI Payment</t>
        </is>
      </c>
      <c r="G1588" s="25" t="n">
        <v>0.55</v>
      </c>
      <c r="H1588" s="38" t="inlineStr">
        <is>
          <t>Personal</t>
        </is>
      </c>
      <c r="I1588" s="38" t="inlineStr">
        <is>
          <t>FEDERAL 0847</t>
        </is>
      </c>
      <c r="J1588" s="38" t="inlineStr"/>
      <c r="K1588" s="38" t="inlineStr">
        <is>
          <t>UPIOUT/403584051473/Q407907754@ybl/Sent
via /5812</t>
        </is>
      </c>
      <c r="L1588" s="38" t="inlineStr">
        <is>
          <t>Federal Bank (Jupiter)</t>
        </is>
      </c>
      <c r="M1588" s="38" t="inlineStr"/>
    </row>
    <row r="1589">
      <c r="A1589" s="37" t="n">
        <v>45326</v>
      </c>
      <c r="B1589" s="37" t="n">
        <v>45326</v>
      </c>
      <c r="C1589" s="38" t="n">
        <v>60</v>
      </c>
      <c r="D1589" s="38" t="n">
        <v>0</v>
      </c>
      <c r="E1589" s="38" t="inlineStr"/>
      <c r="F1589" s="38" t="inlineStr">
        <is>
          <t>UPI Payment</t>
        </is>
      </c>
      <c r="G1589" s="25" t="n">
        <v>0.55</v>
      </c>
      <c r="H1589" s="38" t="inlineStr">
        <is>
          <t>Personal</t>
        </is>
      </c>
      <c r="I1589" s="38" t="inlineStr">
        <is>
          <t>FEDERAL 0847</t>
        </is>
      </c>
      <c r="J1589" s="38" t="inlineStr"/>
      <c r="K1589" s="38" t="inlineStr">
        <is>
          <t>UPIOUT/403584334756/Q780515718@ybl/Sent
via /5814</t>
        </is>
      </c>
      <c r="L1589" s="38" t="inlineStr">
        <is>
          <t>Federal Bank (Jupiter)</t>
        </is>
      </c>
      <c r="M1589" s="38" t="inlineStr"/>
    </row>
    <row r="1590">
      <c r="A1590" s="37" t="n">
        <v>45326</v>
      </c>
      <c r="B1590" s="37" t="n">
        <v>45326</v>
      </c>
      <c r="C1590" s="38" t="n">
        <v>293</v>
      </c>
      <c r="D1590" s="38" t="n">
        <v>0</v>
      </c>
      <c r="E1590" s="38" t="inlineStr"/>
      <c r="F1590" s="38" t="inlineStr">
        <is>
          <t>UPI Payment</t>
        </is>
      </c>
      <c r="G1590" s="25" t="n">
        <v>0.55</v>
      </c>
      <c r="H1590" s="38" t="inlineStr">
        <is>
          <t>Personal</t>
        </is>
      </c>
      <c r="I1590" s="38" t="inlineStr">
        <is>
          <t>FEDERAL 0847</t>
        </is>
      </c>
      <c r="J1590" s="38" t="inlineStr"/>
      <c r="K1590" s="38" t="inlineStr">
        <is>
          <t>UPIOUT/403584916498/Q234107384@ybl/Sent
via /5441</t>
        </is>
      </c>
      <c r="L1590" s="38" t="inlineStr">
        <is>
          <t>Federal Bank (Jupiter)</t>
        </is>
      </c>
      <c r="M1590" s="38" t="inlineStr"/>
    </row>
    <row r="1591">
      <c r="A1591" s="64" t="n">
        <v>45327</v>
      </c>
      <c r="B1591" s="64" t="n">
        <v>45327</v>
      </c>
      <c r="C1591" s="65" t="n">
        <v>0</v>
      </c>
      <c r="D1591" s="65" t="n">
        <v>432</v>
      </c>
      <c r="E1591" s="65" t="inlineStr"/>
      <c r="F1591" s="65" t="inlineStr">
        <is>
          <t>Dividend Income</t>
        </is>
      </c>
      <c r="G1591" s="18" t="n">
        <v>0.88</v>
      </c>
      <c r="H1591" s="65" t="inlineStr">
        <is>
          <t>Dividend Income</t>
        </is>
      </c>
      <c r="I1591" s="65" t="inlineStr">
        <is>
          <t>HDFC 5413</t>
        </is>
      </c>
      <c r="J1591" s="65" t="inlineStr"/>
      <c r="K1591" s="65" t="inlineStr">
        <is>
          <t>ACH C- TCS3RDINTDIV050224-1765778</t>
        </is>
      </c>
      <c r="L1591" s="65" t="inlineStr">
        <is>
          <t>HDFC Bank</t>
        </is>
      </c>
      <c r="M1591" s="65" t="inlineStr"/>
    </row>
    <row r="1592">
      <c r="A1592" s="32" t="n">
        <v>45327</v>
      </c>
      <c r="B1592" s="32" t="n">
        <v>45327</v>
      </c>
      <c r="C1592" s="33" t="n">
        <v>10</v>
      </c>
      <c r="D1592" s="33" t="n">
        <v>0</v>
      </c>
      <c r="E1592" s="33" t="inlineStr"/>
      <c r="F1592" s="33" t="inlineStr">
        <is>
          <t>UPI - BharatPe</t>
        </is>
      </c>
      <c r="G1592" s="34" t="n">
        <v>0.65</v>
      </c>
      <c r="H1592" s="33" t="inlineStr">
        <is>
          <t>Personal</t>
        </is>
      </c>
      <c r="I1592" s="33" t="inlineStr">
        <is>
          <t>FEDERAL 0847</t>
        </is>
      </c>
      <c r="J1592" s="33" t="inlineStr"/>
      <c r="K1592" s="33" t="inlineStr">
        <is>
          <t>UPIOUT/403691092455/BHARATPE90726409079@ye
sb/5065</t>
        </is>
      </c>
      <c r="L1592" s="33" t="inlineStr">
        <is>
          <t>Federal Bank (Jupiter)</t>
        </is>
      </c>
      <c r="M1592" s="33" t="inlineStr"/>
    </row>
    <row r="1593">
      <c r="A1593" s="37" t="n">
        <v>45327</v>
      </c>
      <c r="B1593" s="37" t="n">
        <v>45327</v>
      </c>
      <c r="C1593" s="38" t="n">
        <v>30</v>
      </c>
      <c r="D1593" s="38" t="n">
        <v>0</v>
      </c>
      <c r="E1593" s="38" t="inlineStr"/>
      <c r="F1593" s="38" t="inlineStr">
        <is>
          <t>UPI Payment</t>
        </is>
      </c>
      <c r="G1593" s="25" t="n">
        <v>0.55</v>
      </c>
      <c r="H1593" s="38" t="inlineStr">
        <is>
          <t>Personal</t>
        </is>
      </c>
      <c r="I1593" s="38" t="inlineStr">
        <is>
          <t>FEDERAL 0847</t>
        </is>
      </c>
      <c r="J1593" s="38" t="inlineStr"/>
      <c r="K1593" s="38" t="inlineStr">
        <is>
          <t>UPIOUT/403690014574/Q435774742@ybl/Sent
via /5441</t>
        </is>
      </c>
      <c r="L1593" s="38" t="inlineStr">
        <is>
          <t>Federal Bank (Jupiter)</t>
        </is>
      </c>
      <c r="M1593" s="38" t="inlineStr"/>
    </row>
    <row r="1594">
      <c r="A1594" s="37" t="n">
        <v>45327</v>
      </c>
      <c r="B1594" s="37" t="n">
        <v>45327</v>
      </c>
      <c r="C1594" s="38" t="n">
        <v>20</v>
      </c>
      <c r="D1594" s="38" t="n">
        <v>0</v>
      </c>
      <c r="E1594" s="38" t="inlineStr"/>
      <c r="F1594" s="38" t="inlineStr">
        <is>
          <t>UPI Payment</t>
        </is>
      </c>
      <c r="G1594" s="25" t="n">
        <v>0.55</v>
      </c>
      <c r="H1594" s="38" t="inlineStr">
        <is>
          <t>Personal</t>
        </is>
      </c>
      <c r="I1594" s="38" t="inlineStr">
        <is>
          <t>FEDERAL 0847</t>
        </is>
      </c>
      <c r="J1594" s="38" t="inlineStr"/>
      <c r="K1594" s="38" t="inlineStr">
        <is>
          <t>UPIOUT/403690003533/Q798355992@ybl/Sent
via /7407</t>
        </is>
      </c>
      <c r="L1594" s="38" t="inlineStr">
        <is>
          <t>Federal Bank (Jupiter)</t>
        </is>
      </c>
      <c r="M1594" s="38" t="inlineStr"/>
    </row>
    <row r="1595">
      <c r="A1595" s="54" t="n">
        <v>45327</v>
      </c>
      <c r="B1595" s="54" t="n">
        <v>45327</v>
      </c>
      <c r="C1595" s="55" t="n">
        <v>0</v>
      </c>
      <c r="D1595" s="55" t="n">
        <v>300.77</v>
      </c>
      <c r="E1595" s="55" t="inlineStr"/>
      <c r="F1595" s="55" t="inlineStr">
        <is>
          <t>HDFC Securities - Sell</t>
        </is>
      </c>
      <c r="G1595" s="18" t="n">
        <v>0.97</v>
      </c>
      <c r="H1595" s="55" t="inlineStr">
        <is>
          <t>HDFC Securities</t>
        </is>
      </c>
      <c r="I1595" s="55" t="inlineStr">
        <is>
          <t>HDFC 5413</t>
        </is>
      </c>
      <c r="J1595" s="55" t="inlineStr"/>
      <c r="K1595" s="55" t="inlineStr">
        <is>
          <t>NET PO FROM HSL A/C 2554606-50200085415108</t>
        </is>
      </c>
      <c r="L1595" s="55" t="inlineStr">
        <is>
          <t>HDFC Bank</t>
        </is>
      </c>
      <c r="M1595" s="55" t="inlineStr"/>
    </row>
    <row r="1596">
      <c r="A1596" s="35" t="n">
        <v>45327</v>
      </c>
      <c r="B1596" s="35" t="n">
        <v>45327</v>
      </c>
      <c r="C1596" s="36" t="n">
        <v>30</v>
      </c>
      <c r="D1596" s="36" t="n">
        <v>0</v>
      </c>
      <c r="E1596" s="36" t="inlineStr"/>
      <c r="F1596" s="36" t="inlineStr">
        <is>
          <t>UPI - Paytm</t>
        </is>
      </c>
      <c r="G1596" s="34" t="n">
        <v>0.65</v>
      </c>
      <c r="H1596" s="36" t="inlineStr">
        <is>
          <t>Personal</t>
        </is>
      </c>
      <c r="I1596" s="36" t="inlineStr">
        <is>
          <t>FEDERAL 0847</t>
        </is>
      </c>
      <c r="J1596" s="36" t="inlineStr"/>
      <c r="K1596" s="36" t="inlineStr">
        <is>
          <t>UPIOUT/403687486460/paytmqrldb7adipi0@payt
m//4121</t>
        </is>
      </c>
      <c r="L1596" s="36" t="inlineStr">
        <is>
          <t>Federal Bank (Jupiter)</t>
        </is>
      </c>
      <c r="M1596" s="36" t="inlineStr"/>
    </row>
    <row r="1597">
      <c r="A1597" s="35" t="n">
        <v>45327</v>
      </c>
      <c r="B1597" s="35" t="n">
        <v>45327</v>
      </c>
      <c r="C1597" s="36" t="n">
        <v>10</v>
      </c>
      <c r="D1597" s="36" t="n">
        <v>0</v>
      </c>
      <c r="E1597" s="36" t="inlineStr"/>
      <c r="F1597" s="36" t="inlineStr">
        <is>
          <t>UPI - Paytm</t>
        </is>
      </c>
      <c r="G1597" s="34" t="n">
        <v>0.65</v>
      </c>
      <c r="H1597" s="36" t="inlineStr">
        <is>
          <t>Personal</t>
        </is>
      </c>
      <c r="I1597" s="36" t="inlineStr">
        <is>
          <t>FEDERAL 0847</t>
        </is>
      </c>
      <c r="J1597" s="36" t="inlineStr"/>
      <c r="K1597" s="36" t="inlineStr">
        <is>
          <t>UPIOUT/403689875646/paytmqr1w3dfry5ew@payt
m//4121</t>
        </is>
      </c>
      <c r="L1597" s="36" t="inlineStr">
        <is>
          <t>Federal Bank (Jupiter)</t>
        </is>
      </c>
      <c r="M1597" s="36" t="inlineStr"/>
    </row>
    <row r="1598">
      <c r="A1598" s="54" t="n">
        <v>45328</v>
      </c>
      <c r="B1598" s="54" t="n">
        <v>45328</v>
      </c>
      <c r="C1598" s="55" t="n">
        <v>0</v>
      </c>
      <c r="D1598" s="55" t="n">
        <v>9327.370000000001</v>
      </c>
      <c r="E1598" s="55" t="inlineStr"/>
      <c r="F1598" s="55" t="inlineStr">
        <is>
          <t>HDFC Securities - Sell</t>
        </is>
      </c>
      <c r="G1598" s="18" t="n">
        <v>0.97</v>
      </c>
      <c r="H1598" s="55" t="inlineStr">
        <is>
          <t>HDFC Securities</t>
        </is>
      </c>
      <c r="I1598" s="55" t="inlineStr">
        <is>
          <t>HDFC 5413</t>
        </is>
      </c>
      <c r="J1598" s="55" t="inlineStr"/>
      <c r="K1598" s="55" t="inlineStr">
        <is>
          <t>NET PO FROM HSL A/C 2554606-50200085415108</t>
        </is>
      </c>
      <c r="L1598" s="55" t="inlineStr">
        <is>
          <t>HDFC Bank</t>
        </is>
      </c>
      <c r="M1598" s="55" t="inlineStr"/>
    </row>
    <row r="1599">
      <c r="A1599" s="41" t="n">
        <v>45328</v>
      </c>
      <c r="B1599" s="41" t="n">
        <v>45328</v>
      </c>
      <c r="C1599" s="42" t="n">
        <v>178.43</v>
      </c>
      <c r="D1599" s="42" t="n">
        <v>0</v>
      </c>
      <c r="E1599" s="42" t="inlineStr"/>
      <c r="F1599" s="42" t="inlineStr">
        <is>
          <t>HDFC Securities - Buy</t>
        </is>
      </c>
      <c r="G1599" s="18" t="n">
        <v>0.97</v>
      </c>
      <c r="H1599" s="42" t="inlineStr">
        <is>
          <t>HDFC Securities</t>
        </is>
      </c>
      <c r="I1599" s="42" t="inlineStr">
        <is>
          <t>HDFC 5413</t>
        </is>
      </c>
      <c r="J1599" s="42" t="inlineStr"/>
      <c r="K1599" s="42" t="inlineStr">
        <is>
          <t>NET PI TO HSL SEC A/C 2554606-00602340029427</t>
        </is>
      </c>
      <c r="L1599" s="42" t="inlineStr">
        <is>
          <t>HDFC Bank</t>
        </is>
      </c>
      <c r="M1599" s="42" t="inlineStr"/>
    </row>
    <row r="1600">
      <c r="A1600" s="41" t="n">
        <v>45328</v>
      </c>
      <c r="B1600" s="41" t="n">
        <v>45328</v>
      </c>
      <c r="C1600" s="42" t="n">
        <v>12313.45</v>
      </c>
      <c r="D1600" s="42" t="n">
        <v>0</v>
      </c>
      <c r="E1600" s="42" t="inlineStr"/>
      <c r="F1600" s="42" t="inlineStr">
        <is>
          <t>HDFC Securities - Buy</t>
        </is>
      </c>
      <c r="G1600" s="18" t="n">
        <v>0.97</v>
      </c>
      <c r="H1600" s="42" t="inlineStr">
        <is>
          <t>HDFC Securities</t>
        </is>
      </c>
      <c r="I1600" s="42" t="inlineStr">
        <is>
          <t>HDFC 5413</t>
        </is>
      </c>
      <c r="J1600" s="42" t="inlineStr"/>
      <c r="K1600" s="42" t="inlineStr">
        <is>
          <t>NET PI TO HSL SEC A/C 2554606-00602340029427</t>
        </is>
      </c>
      <c r="L1600" s="42" t="inlineStr">
        <is>
          <t>HDFC Bank</t>
        </is>
      </c>
      <c r="M1600" s="42" t="inlineStr"/>
    </row>
    <row r="1601">
      <c r="A1601" s="32" t="n">
        <v>45328</v>
      </c>
      <c r="B1601" s="32" t="n">
        <v>45328</v>
      </c>
      <c r="C1601" s="33" t="n">
        <v>10</v>
      </c>
      <c r="D1601" s="33" t="n">
        <v>0</v>
      </c>
      <c r="E1601" s="33" t="inlineStr"/>
      <c r="F1601" s="33" t="inlineStr">
        <is>
          <t>UPI - BharatPe</t>
        </is>
      </c>
      <c r="G1601" s="34" t="n">
        <v>0.65</v>
      </c>
      <c r="H1601" s="33" t="inlineStr">
        <is>
          <t>Personal</t>
        </is>
      </c>
      <c r="I1601" s="33" t="inlineStr">
        <is>
          <t>FEDERAL 0847</t>
        </is>
      </c>
      <c r="J1601" s="33" t="inlineStr"/>
      <c r="K1601" s="33" t="inlineStr">
        <is>
          <t>UPIOUT/403792641625/BHARATPE90726409079@ye
sb/5065</t>
        </is>
      </c>
      <c r="L1601" s="33" t="inlineStr">
        <is>
          <t>Federal Bank (Jupiter)</t>
        </is>
      </c>
      <c r="M1601" s="33" t="inlineStr"/>
    </row>
    <row r="1602">
      <c r="A1602" s="37" t="n">
        <v>45328</v>
      </c>
      <c r="B1602" s="37" t="n">
        <v>45328</v>
      </c>
      <c r="C1602" s="38" t="n">
        <v>70</v>
      </c>
      <c r="D1602" s="38" t="n">
        <v>0</v>
      </c>
      <c r="E1602" s="38" t="inlineStr"/>
      <c r="F1602" s="38" t="inlineStr">
        <is>
          <t>UPI Payment</t>
        </is>
      </c>
      <c r="G1602" s="25" t="n">
        <v>0.55</v>
      </c>
      <c r="H1602" s="38" t="inlineStr">
        <is>
          <t>Personal</t>
        </is>
      </c>
      <c r="I1602" s="38" t="inlineStr">
        <is>
          <t>FEDERAL 0847</t>
        </is>
      </c>
      <c r="J1602" s="38" t="inlineStr"/>
      <c r="K1602" s="38" t="inlineStr">
        <is>
          <t>UPIOUT/403794054659/Q407907754@ybl/Sent
via /5812</t>
        </is>
      </c>
      <c r="L1602" s="38" t="inlineStr">
        <is>
          <t>Federal Bank (Jupiter)</t>
        </is>
      </c>
      <c r="M1602" s="38" t="inlineStr">
        <is>
          <t>⚠ Possible Duplicate</t>
        </is>
      </c>
    </row>
    <row r="1603">
      <c r="A1603" s="37" t="n">
        <v>45328</v>
      </c>
      <c r="B1603" s="37" t="n">
        <v>45328</v>
      </c>
      <c r="C1603" s="38" t="n">
        <v>40</v>
      </c>
      <c r="D1603" s="38" t="n">
        <v>0</v>
      </c>
      <c r="E1603" s="38" t="inlineStr"/>
      <c r="F1603" s="38" t="inlineStr">
        <is>
          <t>UPI Payment</t>
        </is>
      </c>
      <c r="G1603" s="25" t="n">
        <v>0.55</v>
      </c>
      <c r="H1603" s="38" t="inlineStr">
        <is>
          <t>Personal</t>
        </is>
      </c>
      <c r="I1603" s="38" t="inlineStr">
        <is>
          <t>FEDERAL 0847</t>
        </is>
      </c>
      <c r="J1603" s="38" t="inlineStr"/>
      <c r="K1603" s="38" t="inlineStr">
        <is>
          <t>UPIOUT/403795478267/Q463323667@ybl/Sent
via /5812</t>
        </is>
      </c>
      <c r="L1603" s="38" t="inlineStr">
        <is>
          <t>Federal Bank (Jupiter)</t>
        </is>
      </c>
      <c r="M1603" s="38" t="inlineStr"/>
    </row>
    <row r="1604">
      <c r="A1604" s="37" t="n">
        <v>45328</v>
      </c>
      <c r="B1604" s="37" t="n">
        <v>45328</v>
      </c>
      <c r="C1604" s="38" t="n">
        <v>10</v>
      </c>
      <c r="D1604" s="38" t="n">
        <v>0</v>
      </c>
      <c r="E1604" s="38" t="inlineStr"/>
      <c r="F1604" s="38" t="inlineStr">
        <is>
          <t>UPI Payment</t>
        </is>
      </c>
      <c r="G1604" s="25" t="n">
        <v>0.55</v>
      </c>
      <c r="H1604" s="38" t="inlineStr">
        <is>
          <t>Personal</t>
        </is>
      </c>
      <c r="I1604" s="38" t="inlineStr">
        <is>
          <t>FEDERAL 0847</t>
        </is>
      </c>
      <c r="J1604" s="38" t="inlineStr"/>
      <c r="K1604" s="38" t="inlineStr">
        <is>
          <t>UPIOUT/403795561949/Q651613968@ybl/Sent
via /5311</t>
        </is>
      </c>
      <c r="L1604" s="38" t="inlineStr">
        <is>
          <t>Federal Bank (Jupiter)</t>
        </is>
      </c>
      <c r="M1604" s="38" t="inlineStr"/>
    </row>
    <row r="1605">
      <c r="A1605" s="37" t="n">
        <v>45328</v>
      </c>
      <c r="B1605" s="37" t="n">
        <v>45328</v>
      </c>
      <c r="C1605" s="38" t="n">
        <v>25</v>
      </c>
      <c r="D1605" s="38" t="n">
        <v>0</v>
      </c>
      <c r="E1605" s="38" t="inlineStr"/>
      <c r="F1605" s="38" t="inlineStr">
        <is>
          <t>UPI Payment</t>
        </is>
      </c>
      <c r="G1605" s="25" t="n">
        <v>0.55</v>
      </c>
      <c r="H1605" s="38" t="inlineStr">
        <is>
          <t>Personal</t>
        </is>
      </c>
      <c r="I1605" s="38" t="inlineStr">
        <is>
          <t>FEDERAL 0847</t>
        </is>
      </c>
      <c r="J1605" s="38" t="inlineStr"/>
      <c r="K1605" s="38" t="inlineStr">
        <is>
          <t>UPIOUT/403796412657/Q832428843@ybl/Sent
via /5814</t>
        </is>
      </c>
      <c r="L1605" s="38" t="inlineStr">
        <is>
          <t>Federal Bank (Jupiter)</t>
        </is>
      </c>
      <c r="M1605" s="38" t="inlineStr"/>
    </row>
    <row r="1606">
      <c r="A1606" s="37" t="n">
        <v>45328</v>
      </c>
      <c r="B1606" s="37" t="n">
        <v>45328</v>
      </c>
      <c r="C1606" s="38" t="n">
        <v>70</v>
      </c>
      <c r="D1606" s="38" t="n">
        <v>0</v>
      </c>
      <c r="E1606" s="38" t="inlineStr"/>
      <c r="F1606" s="38" t="inlineStr">
        <is>
          <t>UPI Payment</t>
        </is>
      </c>
      <c r="G1606" s="25" t="n">
        <v>0.55</v>
      </c>
      <c r="H1606" s="38" t="inlineStr">
        <is>
          <t>Personal</t>
        </is>
      </c>
      <c r="I1606" s="38" t="inlineStr">
        <is>
          <t>FEDERAL 0847</t>
        </is>
      </c>
      <c r="J1606" s="38" t="inlineStr"/>
      <c r="K1606" s="38" t="inlineStr">
        <is>
          <t>UPIOUT/403797151179/Q651613968@ybl/Sent
via /5311</t>
        </is>
      </c>
      <c r="L1606" s="38" t="inlineStr">
        <is>
          <t>Federal Bank (Jupiter)</t>
        </is>
      </c>
      <c r="M1606" s="38" t="inlineStr">
        <is>
          <t>⚠ Possible Duplicate</t>
        </is>
      </c>
    </row>
    <row r="1607">
      <c r="A1607" s="37" t="n">
        <v>45328</v>
      </c>
      <c r="B1607" s="37" t="n">
        <v>45328</v>
      </c>
      <c r="C1607" s="38" t="n">
        <v>170</v>
      </c>
      <c r="D1607" s="38" t="n">
        <v>0</v>
      </c>
      <c r="E1607" s="38" t="inlineStr"/>
      <c r="F1607" s="38" t="inlineStr">
        <is>
          <t>UPI Payment</t>
        </is>
      </c>
      <c r="G1607" s="25" t="n">
        <v>0.55</v>
      </c>
      <c r="H1607" s="38" t="inlineStr">
        <is>
          <t>Personal</t>
        </is>
      </c>
      <c r="I1607" s="38" t="inlineStr">
        <is>
          <t>FEDERAL 0847</t>
        </is>
      </c>
      <c r="J1607" s="38" t="inlineStr"/>
      <c r="K1607" s="38" t="inlineStr">
        <is>
          <t>UPIOUT/403795456554/Q122299144@ybl/Sent
via /5814</t>
        </is>
      </c>
      <c r="L1607" s="38" t="inlineStr">
        <is>
          <t>Federal Bank (Jupiter)</t>
        </is>
      </c>
      <c r="M1607" s="38" t="inlineStr"/>
    </row>
    <row r="1608">
      <c r="A1608" s="23" t="n">
        <v>45329</v>
      </c>
      <c r="B1608" s="23" t="n">
        <v>45329</v>
      </c>
      <c r="C1608" s="24" t="n">
        <v>0</v>
      </c>
      <c r="D1608" s="24" t="n">
        <v>1880</v>
      </c>
      <c r="E1608" s="24" t="inlineStr"/>
      <c r="F1608" s="24" t="inlineStr">
        <is>
          <t>What is this?</t>
        </is>
      </c>
      <c r="G1608" s="25" t="n">
        <v>0</v>
      </c>
      <c r="H1608" s="24" t="inlineStr">
        <is>
          <t>Suspense</t>
        </is>
      </c>
      <c r="I1608" s="24" t="inlineStr">
        <is>
          <t>HDFC 5413</t>
        </is>
      </c>
      <c r="J1608" s="24" t="inlineStr"/>
      <c r="K1608" s="24" t="inlineStr">
        <is>
          <t>00602300000434-025891325</t>
        </is>
      </c>
      <c r="L1608" s="24" t="inlineStr">
        <is>
          <t>HDFC Bank</t>
        </is>
      </c>
      <c r="M1608" s="24" t="inlineStr"/>
    </row>
    <row r="1609">
      <c r="A1609" s="37" t="n">
        <v>45329</v>
      </c>
      <c r="B1609" s="37" t="n">
        <v>45329</v>
      </c>
      <c r="C1609" s="38" t="n">
        <v>45</v>
      </c>
      <c r="D1609" s="38" t="n">
        <v>0</v>
      </c>
      <c r="E1609" s="38" t="inlineStr"/>
      <c r="F1609" s="38" t="inlineStr">
        <is>
          <t>UPI Payment</t>
        </is>
      </c>
      <c r="G1609" s="25" t="n">
        <v>0.55</v>
      </c>
      <c r="H1609" s="38" t="inlineStr">
        <is>
          <t>Personal</t>
        </is>
      </c>
      <c r="I1609" s="38" t="inlineStr">
        <is>
          <t>FEDERAL 0847</t>
        </is>
      </c>
      <c r="J1609" s="38" t="inlineStr"/>
      <c r="K1609" s="38" t="inlineStr">
        <is>
          <t>UPIOUT/403889285514/q022439579@ybl/UPI/581
2</t>
        </is>
      </c>
      <c r="L1609" s="38" t="inlineStr">
        <is>
          <t>Federal Bank (Jupiter)</t>
        </is>
      </c>
      <c r="M1609" s="38" t="inlineStr"/>
    </row>
    <row r="1610">
      <c r="A1610" s="37" t="n">
        <v>45329</v>
      </c>
      <c r="B1610" s="37" t="n">
        <v>45329</v>
      </c>
      <c r="C1610" s="38" t="n">
        <v>80</v>
      </c>
      <c r="D1610" s="38" t="n">
        <v>0</v>
      </c>
      <c r="E1610" s="38" t="inlineStr"/>
      <c r="F1610" s="38" t="inlineStr">
        <is>
          <t>UPI Payment</t>
        </is>
      </c>
      <c r="G1610" s="25" t="n">
        <v>0.55</v>
      </c>
      <c r="H1610" s="38" t="inlineStr">
        <is>
          <t>Personal</t>
        </is>
      </c>
      <c r="I1610" s="38" t="inlineStr">
        <is>
          <t>FEDERAL 0847</t>
        </is>
      </c>
      <c r="J1610" s="38" t="inlineStr"/>
      <c r="K1610" s="38" t="inlineStr">
        <is>
          <t>UPIOUT/403810691726/Q407907754@ybl/Sent
via /5812</t>
        </is>
      </c>
      <c r="L1610" s="38" t="inlineStr">
        <is>
          <t>Federal Bank (Jupiter)</t>
        </is>
      </c>
      <c r="M1610" s="38" t="inlineStr">
        <is>
          <t>⚠ Possible Duplicate</t>
        </is>
      </c>
    </row>
    <row r="1611">
      <c r="A1611" s="37" t="n">
        <v>45329</v>
      </c>
      <c r="B1611" s="37" t="n">
        <v>45329</v>
      </c>
      <c r="C1611" s="38" t="n">
        <v>80</v>
      </c>
      <c r="D1611" s="38" t="n">
        <v>0</v>
      </c>
      <c r="E1611" s="38" t="inlineStr"/>
      <c r="F1611" s="38" t="inlineStr">
        <is>
          <t>UPI Payment</t>
        </is>
      </c>
      <c r="G1611" s="25" t="n">
        <v>0.55</v>
      </c>
      <c r="H1611" s="38" t="inlineStr">
        <is>
          <t>Personal</t>
        </is>
      </c>
      <c r="I1611" s="38" t="inlineStr">
        <is>
          <t>FEDERAL 0847</t>
        </is>
      </c>
      <c r="J1611" s="38" t="inlineStr"/>
      <c r="K1611" s="38" t="inlineStr">
        <is>
          <t>UPIOUT/403812623512/Q463323667@ybl/Sent
via /5812</t>
        </is>
      </c>
      <c r="L1611" s="38" t="inlineStr">
        <is>
          <t>Federal Bank (Jupiter)</t>
        </is>
      </c>
      <c r="M1611" s="38" t="inlineStr">
        <is>
          <t>⚠ Possible Duplicate</t>
        </is>
      </c>
    </row>
    <row r="1612">
      <c r="A1612" s="35" t="n">
        <v>45329</v>
      </c>
      <c r="B1612" s="35" t="n">
        <v>45329</v>
      </c>
      <c r="C1612" s="36" t="n">
        <v>75</v>
      </c>
      <c r="D1612" s="36" t="n">
        <v>0</v>
      </c>
      <c r="E1612" s="36" t="inlineStr"/>
      <c r="F1612" s="36" t="inlineStr">
        <is>
          <t>UPI - Paytm</t>
        </is>
      </c>
      <c r="G1612" s="34" t="n">
        <v>0.65</v>
      </c>
      <c r="H1612" s="36" t="inlineStr">
        <is>
          <t>Personal</t>
        </is>
      </c>
      <c r="I1612" s="36" t="inlineStr">
        <is>
          <t>FEDERAL 0847</t>
        </is>
      </c>
      <c r="J1612" s="36" t="inlineStr"/>
      <c r="K1612" s="36" t="inlineStr">
        <is>
          <t>UPIOUT/403813199530/paytmqr281005050101183
o5/5812</t>
        </is>
      </c>
      <c r="L1612" s="36" t="inlineStr">
        <is>
          <t>Federal Bank (Jupiter)</t>
        </is>
      </c>
      <c r="M1612" s="36" t="inlineStr"/>
    </row>
    <row r="1613">
      <c r="A1613" s="54" t="n">
        <v>45329</v>
      </c>
      <c r="B1613" s="54" t="n">
        <v>45329</v>
      </c>
      <c r="C1613" s="55" t="n">
        <v>0</v>
      </c>
      <c r="D1613" s="55" t="n">
        <v>2364.11</v>
      </c>
      <c r="E1613" s="55" t="inlineStr"/>
      <c r="F1613" s="55" t="inlineStr">
        <is>
          <t>HDFC Securities - Sell</t>
        </is>
      </c>
      <c r="G1613" s="18" t="n">
        <v>0.97</v>
      </c>
      <c r="H1613" s="55" t="inlineStr">
        <is>
          <t>HDFC Securities</t>
        </is>
      </c>
      <c r="I1613" s="55" t="inlineStr">
        <is>
          <t>HDFC 5413</t>
        </is>
      </c>
      <c r="J1613" s="55" t="inlineStr"/>
      <c r="K1613" s="55" t="inlineStr">
        <is>
          <t>NET PO FROM HSL A/C 2554606-50200085415108</t>
        </is>
      </c>
      <c r="L1613" s="55" t="inlineStr">
        <is>
          <t>HDFC Bank</t>
        </is>
      </c>
      <c r="M1613" s="55" t="inlineStr"/>
    </row>
    <row r="1614">
      <c r="A1614" s="54" t="n">
        <v>45329</v>
      </c>
      <c r="B1614" s="54" t="n">
        <v>45329</v>
      </c>
      <c r="C1614" s="55" t="n">
        <v>0</v>
      </c>
      <c r="D1614" s="55" t="n">
        <v>68498.41</v>
      </c>
      <c r="E1614" s="55" t="inlineStr"/>
      <c r="F1614" s="55" t="inlineStr">
        <is>
          <t>HDFC Securities - Sell</t>
        </is>
      </c>
      <c r="G1614" s="18" t="n">
        <v>0.97</v>
      </c>
      <c r="H1614" s="55" t="inlineStr">
        <is>
          <t>HDFC Securities</t>
        </is>
      </c>
      <c r="I1614" s="55" t="inlineStr">
        <is>
          <t>HDFC 5413</t>
        </is>
      </c>
      <c r="J1614" s="55" t="inlineStr"/>
      <c r="K1614" s="55" t="inlineStr">
        <is>
          <t>NET PO FROM HSL A/C 2554606-50200085415108</t>
        </is>
      </c>
      <c r="L1614" s="55" t="inlineStr">
        <is>
          <t>HDFC Bank</t>
        </is>
      </c>
      <c r="M1614" s="55" t="inlineStr"/>
    </row>
    <row r="1615">
      <c r="A1615" s="41" t="n">
        <v>45329</v>
      </c>
      <c r="B1615" s="41" t="n">
        <v>45329</v>
      </c>
      <c r="C1615" s="42" t="n">
        <v>171.34</v>
      </c>
      <c r="D1615" s="42" t="n">
        <v>0</v>
      </c>
      <c r="E1615" s="42" t="inlineStr"/>
      <c r="F1615" s="42" t="inlineStr">
        <is>
          <t>HDFC Securities - Buy</t>
        </is>
      </c>
      <c r="G1615" s="18" t="n">
        <v>0.97</v>
      </c>
      <c r="H1615" s="42" t="inlineStr">
        <is>
          <t>HDFC Securities</t>
        </is>
      </c>
      <c r="I1615" s="42" t="inlineStr">
        <is>
          <t>HDFC 5413</t>
        </is>
      </c>
      <c r="J1615" s="42" t="inlineStr"/>
      <c r="K1615" s="42" t="inlineStr">
        <is>
          <t>NET PI TO HSL SEC A/C 2554606-00602340029427</t>
        </is>
      </c>
      <c r="L1615" s="42" t="inlineStr">
        <is>
          <t>HDFC Bank</t>
        </is>
      </c>
      <c r="M1615" s="42" t="inlineStr"/>
    </row>
    <row r="1616">
      <c r="A1616" s="41" t="n">
        <v>45329</v>
      </c>
      <c r="B1616" s="41" t="n">
        <v>45329</v>
      </c>
      <c r="C1616" s="42" t="n">
        <v>72149.03</v>
      </c>
      <c r="D1616" s="42" t="n">
        <v>0</v>
      </c>
      <c r="E1616" s="42" t="inlineStr"/>
      <c r="F1616" s="42" t="inlineStr">
        <is>
          <t>HDFC Securities - Buy</t>
        </is>
      </c>
      <c r="G1616" s="18" t="n">
        <v>0.97</v>
      </c>
      <c r="H1616" s="42" t="inlineStr">
        <is>
          <t>HDFC Securities</t>
        </is>
      </c>
      <c r="I1616" s="42" t="inlineStr">
        <is>
          <t>HDFC 5413</t>
        </is>
      </c>
      <c r="J1616" s="42" t="inlineStr"/>
      <c r="K1616" s="42" t="inlineStr">
        <is>
          <t>NET PI TO HSL SEC A/C 2554606-00602340029427</t>
        </is>
      </c>
      <c r="L1616" s="42" t="inlineStr">
        <is>
          <t>HDFC Bank</t>
        </is>
      </c>
      <c r="M1616" s="42" t="inlineStr"/>
    </row>
    <row r="1617">
      <c r="A1617" s="41" t="n">
        <v>45330</v>
      </c>
      <c r="B1617" s="41" t="n">
        <v>45330</v>
      </c>
      <c r="C1617" s="42" t="n">
        <v>159.99</v>
      </c>
      <c r="D1617" s="42" t="n">
        <v>0</v>
      </c>
      <c r="E1617" s="42" t="inlineStr"/>
      <c r="F1617" s="42" t="inlineStr">
        <is>
          <t>HDFC Securities - Buy</t>
        </is>
      </c>
      <c r="G1617" s="18" t="n">
        <v>0.97</v>
      </c>
      <c r="H1617" s="42" t="inlineStr">
        <is>
          <t>HDFC Securities</t>
        </is>
      </c>
      <c r="I1617" s="42" t="inlineStr">
        <is>
          <t>HDFC 5413</t>
        </is>
      </c>
      <c r="J1617" s="42" t="inlineStr"/>
      <c r="K1617" s="42" t="inlineStr">
        <is>
          <t>NET PI TO HSL SEC A/C 2554606-00602340029427</t>
        </is>
      </c>
      <c r="L1617" s="42" t="inlineStr">
        <is>
          <t>HDFC Bank</t>
        </is>
      </c>
      <c r="M1617" s="42" t="inlineStr"/>
    </row>
    <row r="1618">
      <c r="A1618" s="41" t="n">
        <v>45330</v>
      </c>
      <c r="B1618" s="41" t="n">
        <v>45330</v>
      </c>
      <c r="C1618" s="42" t="n">
        <v>5756.81</v>
      </c>
      <c r="D1618" s="42" t="n">
        <v>0</v>
      </c>
      <c r="E1618" s="42" t="inlineStr"/>
      <c r="F1618" s="42" t="inlineStr">
        <is>
          <t>HDFC Securities - Buy</t>
        </is>
      </c>
      <c r="G1618" s="18" t="n">
        <v>0.97</v>
      </c>
      <c r="H1618" s="42" t="inlineStr">
        <is>
          <t>HDFC Securities</t>
        </is>
      </c>
      <c r="I1618" s="42" t="inlineStr">
        <is>
          <t>HDFC 5413</t>
        </is>
      </c>
      <c r="J1618" s="42" t="inlineStr"/>
      <c r="K1618" s="42" t="inlineStr">
        <is>
          <t>NET PI TO HSL SEC A/C 2554606-00602340029427</t>
        </is>
      </c>
      <c r="L1618" s="42" t="inlineStr">
        <is>
          <t>HDFC Bank</t>
        </is>
      </c>
      <c r="M1618" s="42" t="inlineStr"/>
    </row>
    <row r="1619">
      <c r="A1619" s="21" t="n">
        <v>45330</v>
      </c>
      <c r="B1619" s="21" t="n">
        <v>45330</v>
      </c>
      <c r="C1619" s="22" t="n">
        <v>31</v>
      </c>
      <c r="D1619" s="22" t="n">
        <v>0</v>
      </c>
      <c r="E1619" s="22" t="inlineStr"/>
      <c r="F1619" s="22" t="inlineStr">
        <is>
          <t>UPI - Rapido</t>
        </is>
      </c>
      <c r="G1619" s="34" t="n">
        <v>0.68</v>
      </c>
      <c r="H1619" s="22" t="inlineStr">
        <is>
          <t>Transport</t>
        </is>
      </c>
      <c r="I1619" s="22" t="inlineStr">
        <is>
          <t>FEDERAL 0847</t>
        </is>
      </c>
      <c r="J1619" s="22" t="inlineStr"/>
      <c r="K1619" s="22" t="inlineStr">
        <is>
          <t>UPIOUT/403916559040/rapido.rzp@icici/Payme
nt/4121</t>
        </is>
      </c>
      <c r="L1619" s="22" t="inlineStr">
        <is>
          <t>Federal Bank (Jupiter)</t>
        </is>
      </c>
      <c r="M1619" s="22" t="inlineStr"/>
    </row>
    <row r="1620">
      <c r="A1620" s="37" t="n">
        <v>45330</v>
      </c>
      <c r="B1620" s="37" t="n">
        <v>45330</v>
      </c>
      <c r="C1620" s="38" t="n">
        <v>10</v>
      </c>
      <c r="D1620" s="38" t="n">
        <v>0</v>
      </c>
      <c r="E1620" s="38" t="inlineStr"/>
      <c r="F1620" s="38" t="inlineStr">
        <is>
          <t>UPI Payment</t>
        </is>
      </c>
      <c r="G1620" s="25" t="n">
        <v>0.55</v>
      </c>
      <c r="H1620" s="38" t="inlineStr">
        <is>
          <t>Personal</t>
        </is>
      </c>
      <c r="I1620" s="38" t="inlineStr">
        <is>
          <t>FEDERAL 0847</t>
        </is>
      </c>
      <c r="J1620" s="38" t="inlineStr"/>
      <c r="K1620" s="38" t="inlineStr">
        <is>
          <t>UPIOUT/403919213904/Q221048493@ybl/Sent
via /7407</t>
        </is>
      </c>
      <c r="L1620" s="38" t="inlineStr">
        <is>
          <t>Federal Bank (Jupiter)</t>
        </is>
      </c>
      <c r="M1620" s="38" t="inlineStr">
        <is>
          <t>⚠ Possible Duplicate</t>
        </is>
      </c>
    </row>
    <row r="1621">
      <c r="A1621" s="35" t="n">
        <v>45330</v>
      </c>
      <c r="B1621" s="35" t="n">
        <v>45330</v>
      </c>
      <c r="C1621" s="36" t="n">
        <v>70</v>
      </c>
      <c r="D1621" s="36" t="n">
        <v>0</v>
      </c>
      <c r="E1621" s="36" t="inlineStr"/>
      <c r="F1621" s="36" t="inlineStr">
        <is>
          <t>UPI - Paytm</t>
        </is>
      </c>
      <c r="G1621" s="34" t="n">
        <v>0.65</v>
      </c>
      <c r="H1621" s="36" t="inlineStr">
        <is>
          <t>Personal</t>
        </is>
      </c>
      <c r="I1621" s="36" t="inlineStr">
        <is>
          <t>FEDERAL 0847</t>
        </is>
      </c>
      <c r="J1621" s="36" t="inlineStr"/>
      <c r="K1621" s="36" t="inlineStr">
        <is>
          <t>UPIOUT/403919599895/paytmqr281005050101ac5
gq/5812</t>
        </is>
      </c>
      <c r="L1621" s="36" t="inlineStr">
        <is>
          <t>Federal Bank (Jupiter)</t>
        </is>
      </c>
      <c r="M1621" s="36" t="inlineStr"/>
    </row>
    <row r="1622">
      <c r="A1622" s="37" t="n">
        <v>45330</v>
      </c>
      <c r="B1622" s="37" t="n">
        <v>45330</v>
      </c>
      <c r="C1622" s="38" t="n">
        <v>10</v>
      </c>
      <c r="D1622" s="38" t="n">
        <v>0</v>
      </c>
      <c r="E1622" s="38" t="inlineStr"/>
      <c r="F1622" s="38" t="inlineStr">
        <is>
          <t>UPI Payment</t>
        </is>
      </c>
      <c r="G1622" s="25" t="n">
        <v>0.55</v>
      </c>
      <c r="H1622" s="38" t="inlineStr">
        <is>
          <t>Personal</t>
        </is>
      </c>
      <c r="I1622" s="38" t="inlineStr">
        <is>
          <t>FEDERAL 0847</t>
        </is>
      </c>
      <c r="J1622" s="38" t="inlineStr"/>
      <c r="K1622" s="38" t="inlineStr">
        <is>
          <t>UPIOUT/403919710558/Q510171333@ybl/Sent
via /5311</t>
        </is>
      </c>
      <c r="L1622" s="38" t="inlineStr">
        <is>
          <t>Federal Bank (Jupiter)</t>
        </is>
      </c>
      <c r="M1622" s="38" t="inlineStr">
        <is>
          <t>⚠ Possible Duplicate</t>
        </is>
      </c>
    </row>
    <row r="1623">
      <c r="A1623" s="37" t="n">
        <v>45330</v>
      </c>
      <c r="B1623" s="37" t="n">
        <v>45330</v>
      </c>
      <c r="C1623" s="38" t="n">
        <v>50</v>
      </c>
      <c r="D1623" s="38" t="n">
        <v>0</v>
      </c>
      <c r="E1623" s="38" t="inlineStr"/>
      <c r="F1623" s="38" t="inlineStr">
        <is>
          <t>UPI Payment</t>
        </is>
      </c>
      <c r="G1623" s="25" t="n">
        <v>0.55</v>
      </c>
      <c r="H1623" s="38" t="inlineStr">
        <is>
          <t>Personal</t>
        </is>
      </c>
      <c r="I1623" s="38" t="inlineStr">
        <is>
          <t>FEDERAL 0847</t>
        </is>
      </c>
      <c r="J1623" s="38" t="inlineStr"/>
      <c r="K1623" s="38" t="inlineStr">
        <is>
          <t>UPIOUT/403919918144/Q463323667@ybl/Sent
via /5812</t>
        </is>
      </c>
      <c r="L1623" s="38" t="inlineStr">
        <is>
          <t>Federal Bank (Jupiter)</t>
        </is>
      </c>
      <c r="M1623" s="38" t="inlineStr"/>
    </row>
    <row r="1624">
      <c r="A1624" s="37" t="n">
        <v>45331</v>
      </c>
      <c r="B1624" s="37" t="n">
        <v>45331</v>
      </c>
      <c r="C1624" s="38" t="n">
        <v>30</v>
      </c>
      <c r="D1624" s="38" t="n">
        <v>0</v>
      </c>
      <c r="E1624" s="38" t="inlineStr"/>
      <c r="F1624" s="38" t="inlineStr">
        <is>
          <t>UPI Payment</t>
        </is>
      </c>
      <c r="G1624" s="25" t="n">
        <v>0.55</v>
      </c>
      <c r="H1624" s="38" t="inlineStr">
        <is>
          <t>Personal</t>
        </is>
      </c>
      <c r="I1624" s="38" t="inlineStr">
        <is>
          <t>FEDERAL 0847</t>
        </is>
      </c>
      <c r="J1624" s="38" t="inlineStr"/>
      <c r="K1624" s="38" t="inlineStr">
        <is>
          <t>UPIOUT/404027184063/Q753196172@ybl/Sent
via /5441</t>
        </is>
      </c>
      <c r="L1624" s="38" t="inlineStr">
        <is>
          <t>Federal Bank (Jupiter)</t>
        </is>
      </c>
      <c r="M1624" s="38" t="inlineStr"/>
    </row>
    <row r="1625">
      <c r="A1625" s="41" t="n">
        <v>45331</v>
      </c>
      <c r="B1625" s="41" t="n">
        <v>45331</v>
      </c>
      <c r="C1625" s="42" t="n">
        <v>186.47</v>
      </c>
      <c r="D1625" s="42" t="n">
        <v>0</v>
      </c>
      <c r="E1625" s="42" t="inlineStr"/>
      <c r="F1625" s="42" t="inlineStr">
        <is>
          <t>HDFC Securities - Buy</t>
        </is>
      </c>
      <c r="G1625" s="18" t="n">
        <v>0.97</v>
      </c>
      <c r="H1625" s="42" t="inlineStr">
        <is>
          <t>HDFC Securities</t>
        </is>
      </c>
      <c r="I1625" s="42" t="inlineStr">
        <is>
          <t>HDFC 5413</t>
        </is>
      </c>
      <c r="J1625" s="42" t="inlineStr"/>
      <c r="K1625" s="42" t="inlineStr">
        <is>
          <t>NET PI TO HSL SEC A/C 2554606-00602340029427</t>
        </is>
      </c>
      <c r="L1625" s="42" t="inlineStr">
        <is>
          <t>HDFC Bank</t>
        </is>
      </c>
      <c r="M1625" s="42" t="inlineStr"/>
    </row>
    <row r="1626">
      <c r="A1626" s="54" t="n">
        <v>45331</v>
      </c>
      <c r="B1626" s="54" t="n">
        <v>45331</v>
      </c>
      <c r="C1626" s="55" t="n">
        <v>0</v>
      </c>
      <c r="D1626" s="55" t="n">
        <v>10311.6</v>
      </c>
      <c r="E1626" s="55" t="inlineStr"/>
      <c r="F1626" s="55" t="inlineStr">
        <is>
          <t>HDFC Securities - Sell</t>
        </is>
      </c>
      <c r="G1626" s="18" t="n">
        <v>0.97</v>
      </c>
      <c r="H1626" s="55" t="inlineStr">
        <is>
          <t>HDFC Securities</t>
        </is>
      </c>
      <c r="I1626" s="55" t="inlineStr">
        <is>
          <t>HDFC 5413</t>
        </is>
      </c>
      <c r="J1626" s="55" t="inlineStr"/>
      <c r="K1626" s="55" t="inlineStr">
        <is>
          <t>NET PO FROM HSL A/C 2554606-50200085415108</t>
        </is>
      </c>
      <c r="L1626" s="55" t="inlineStr">
        <is>
          <t>HDFC Bank</t>
        </is>
      </c>
      <c r="M1626" s="55" t="inlineStr"/>
    </row>
    <row r="1627">
      <c r="A1627" s="35" t="n">
        <v>45331</v>
      </c>
      <c r="B1627" s="35" t="n">
        <v>45331</v>
      </c>
      <c r="C1627" s="36" t="n">
        <v>10</v>
      </c>
      <c r="D1627" s="36" t="n">
        <v>0</v>
      </c>
      <c r="E1627" s="36" t="inlineStr"/>
      <c r="F1627" s="36" t="inlineStr">
        <is>
          <t>UPI - Paytm</t>
        </is>
      </c>
      <c r="G1627" s="34" t="n">
        <v>0.65</v>
      </c>
      <c r="H1627" s="36" t="inlineStr">
        <is>
          <t>Personal</t>
        </is>
      </c>
      <c r="I1627" s="36" t="inlineStr">
        <is>
          <t>FEDERAL 0847</t>
        </is>
      </c>
      <c r="J1627" s="36" t="inlineStr"/>
      <c r="K1627" s="36" t="inlineStr">
        <is>
          <t>UPIOUT/404027005819/9542070375692@paytm/Se
nt/0000</t>
        </is>
      </c>
      <c r="L1627" s="36" t="inlineStr">
        <is>
          <t>Federal Bank (Jupiter)</t>
        </is>
      </c>
      <c r="M1627" s="36" t="inlineStr"/>
    </row>
    <row r="1628">
      <c r="A1628" s="37" t="n">
        <v>45331</v>
      </c>
      <c r="B1628" s="37" t="n">
        <v>45331</v>
      </c>
      <c r="C1628" s="38" t="n">
        <v>18</v>
      </c>
      <c r="D1628" s="38" t="n">
        <v>0</v>
      </c>
      <c r="E1628" s="38" t="inlineStr"/>
      <c r="F1628" s="38" t="inlineStr">
        <is>
          <t>UPI Payment</t>
        </is>
      </c>
      <c r="G1628" s="25" t="n">
        <v>0.55</v>
      </c>
      <c r="H1628" s="38" t="inlineStr">
        <is>
          <t>Personal</t>
        </is>
      </c>
      <c r="I1628" s="38" t="inlineStr">
        <is>
          <t>FEDERAL 0847</t>
        </is>
      </c>
      <c r="J1628" s="38" t="inlineStr"/>
      <c r="K1628" s="38" t="inlineStr">
        <is>
          <t>UPIOUT/404021708967/Q082521920@ybl/Sent
via /5814</t>
        </is>
      </c>
      <c r="L1628" s="38" t="inlineStr">
        <is>
          <t>Federal Bank (Jupiter)</t>
        </is>
      </c>
      <c r="M1628" s="38" t="inlineStr"/>
    </row>
    <row r="1629">
      <c r="A1629" s="35" t="n">
        <v>45331</v>
      </c>
      <c r="B1629" s="35" t="n">
        <v>45331</v>
      </c>
      <c r="C1629" s="36" t="n">
        <v>30</v>
      </c>
      <c r="D1629" s="36" t="n">
        <v>0</v>
      </c>
      <c r="E1629" s="36" t="inlineStr"/>
      <c r="F1629" s="36" t="inlineStr">
        <is>
          <t>UPI - Paytm</t>
        </is>
      </c>
      <c r="G1629" s="34" t="n">
        <v>0.65</v>
      </c>
      <c r="H1629" s="36" t="inlineStr">
        <is>
          <t>Personal</t>
        </is>
      </c>
      <c r="I1629" s="36" t="inlineStr">
        <is>
          <t>FEDERAL 0847</t>
        </is>
      </c>
      <c r="J1629" s="36" t="inlineStr"/>
      <c r="K1629" s="36" t="inlineStr">
        <is>
          <t>UPIOUT/404022455683/paytm-76881028@paytm/S
en/4121</t>
        </is>
      </c>
      <c r="L1629" s="36" t="inlineStr">
        <is>
          <t>Federal Bank (Jupiter)</t>
        </is>
      </c>
      <c r="M1629" s="36" t="inlineStr"/>
    </row>
    <row r="1630">
      <c r="A1630" s="35" t="n">
        <v>45331</v>
      </c>
      <c r="B1630" s="35" t="n">
        <v>45331</v>
      </c>
      <c r="C1630" s="36" t="n">
        <v>21</v>
      </c>
      <c r="D1630" s="36" t="n">
        <v>0</v>
      </c>
      <c r="E1630" s="36" t="inlineStr"/>
      <c r="F1630" s="36" t="inlineStr">
        <is>
          <t>UPI - Paytm</t>
        </is>
      </c>
      <c r="G1630" s="34" t="n">
        <v>0.65</v>
      </c>
      <c r="H1630" s="36" t="inlineStr">
        <is>
          <t>Personal</t>
        </is>
      </c>
      <c r="I1630" s="36" t="inlineStr">
        <is>
          <t>FEDERAL 0847</t>
        </is>
      </c>
      <c r="J1630" s="36" t="inlineStr"/>
      <c r="K1630" s="36" t="inlineStr">
        <is>
          <t>UPIOUT/404026956609/paytmqr1u63j3b6yq@payt
m//5812</t>
        </is>
      </c>
      <c r="L1630" s="36" t="inlineStr">
        <is>
          <t>Federal Bank (Jupiter)</t>
        </is>
      </c>
      <c r="M1630" s="36" t="inlineStr"/>
    </row>
    <row r="1631">
      <c r="A1631" s="37" t="n">
        <v>45331</v>
      </c>
      <c r="B1631" s="37" t="n">
        <v>45331</v>
      </c>
      <c r="C1631" s="38" t="n">
        <v>690</v>
      </c>
      <c r="D1631" s="38" t="n">
        <v>0</v>
      </c>
      <c r="E1631" s="38" t="inlineStr"/>
      <c r="F1631" s="38" t="inlineStr">
        <is>
          <t>UPI Payment</t>
        </is>
      </c>
      <c r="G1631" s="25" t="n">
        <v>0.55</v>
      </c>
      <c r="H1631" s="38" t="inlineStr">
        <is>
          <t>Personal</t>
        </is>
      </c>
      <c r="I1631" s="38" t="inlineStr">
        <is>
          <t>FEDERAL 0847</t>
        </is>
      </c>
      <c r="J1631" s="38" t="inlineStr"/>
      <c r="K1631" s="38" t="inlineStr">
        <is>
          <t>UPIOUT/404029328016/Q407907754@ybl/Sent
via /5812</t>
        </is>
      </c>
      <c r="L1631" s="38" t="inlineStr">
        <is>
          <t>Federal Bank (Jupiter)</t>
        </is>
      </c>
      <c r="M1631" s="38" t="inlineStr"/>
    </row>
    <row r="1632">
      <c r="A1632" s="35" t="n">
        <v>45331</v>
      </c>
      <c r="B1632" s="35" t="n">
        <v>45331</v>
      </c>
      <c r="C1632" s="36" t="n">
        <v>60</v>
      </c>
      <c r="D1632" s="36" t="n">
        <v>0</v>
      </c>
      <c r="E1632" s="36" t="inlineStr"/>
      <c r="F1632" s="36" t="inlineStr">
        <is>
          <t>UPI - Paytm</t>
        </is>
      </c>
      <c r="G1632" s="34" t="n">
        <v>0.65</v>
      </c>
      <c r="H1632" s="36" t="inlineStr">
        <is>
          <t>Personal</t>
        </is>
      </c>
      <c r="I1632" s="36" t="inlineStr">
        <is>
          <t>FEDERAL 0847</t>
        </is>
      </c>
      <c r="J1632" s="36" t="inlineStr"/>
      <c r="K1632" s="36" t="inlineStr">
        <is>
          <t>UPIOUT/404027628486/paytmqr281005050101ac5
gq/5812</t>
        </is>
      </c>
      <c r="L1632" s="36" t="inlineStr">
        <is>
          <t>Federal Bank (Jupiter)</t>
        </is>
      </c>
      <c r="M1632" s="36" t="inlineStr"/>
    </row>
    <row r="1633">
      <c r="A1633" s="37" t="n">
        <v>45332</v>
      </c>
      <c r="B1633" s="37" t="n">
        <v>45332</v>
      </c>
      <c r="C1633" s="38" t="n">
        <v>10</v>
      </c>
      <c r="D1633" s="38" t="n">
        <v>0</v>
      </c>
      <c r="E1633" s="38" t="inlineStr"/>
      <c r="F1633" s="38" t="inlineStr">
        <is>
          <t>UPI Payment</t>
        </is>
      </c>
      <c r="G1633" s="25" t="n">
        <v>0.55</v>
      </c>
      <c r="H1633" s="38" t="inlineStr">
        <is>
          <t>Personal</t>
        </is>
      </c>
      <c r="I1633" s="38" t="inlineStr">
        <is>
          <t>FEDERAL 0847</t>
        </is>
      </c>
      <c r="J1633" s="38" t="inlineStr"/>
      <c r="K1633" s="38" t="inlineStr">
        <is>
          <t>UPIOUT/404134742882/Q302371189@ybl/Sent
via /5451</t>
        </is>
      </c>
      <c r="L1633" s="38" t="inlineStr">
        <is>
          <t>Federal Bank (Jupiter)</t>
        </is>
      </c>
      <c r="M1633" s="38" t="inlineStr"/>
    </row>
    <row r="1634">
      <c r="A1634" s="37" t="n">
        <v>45332</v>
      </c>
      <c r="B1634" s="37" t="n">
        <v>45332</v>
      </c>
      <c r="C1634" s="38" t="n">
        <v>12000</v>
      </c>
      <c r="D1634" s="38" t="n">
        <v>0</v>
      </c>
      <c r="E1634" s="38" t="inlineStr"/>
      <c r="F1634" s="38" t="inlineStr">
        <is>
          <t>UPI Payment</t>
        </is>
      </c>
      <c r="G1634" s="25" t="n">
        <v>0.55</v>
      </c>
      <c r="H1634" s="38" t="inlineStr">
        <is>
          <t>Personal</t>
        </is>
      </c>
      <c r="I1634" s="38" t="inlineStr">
        <is>
          <t>FEDERAL 0847</t>
        </is>
      </c>
      <c r="J1634" s="38" t="inlineStr"/>
      <c r="K1634" s="38" t="inlineStr">
        <is>
          <t>UPIOUT/404134355759/Vyapar.168625347624@hd
fc/7011</t>
        </is>
      </c>
      <c r="L1634" s="38" t="inlineStr">
        <is>
          <t>Federal Bank (Jupiter)</t>
        </is>
      </c>
      <c r="M1634" s="38" t="inlineStr"/>
    </row>
    <row r="1635">
      <c r="A1635" s="37" t="n">
        <v>45332</v>
      </c>
      <c r="B1635" s="37" t="n">
        <v>45332</v>
      </c>
      <c r="C1635" s="38" t="n">
        <v>20</v>
      </c>
      <c r="D1635" s="38" t="n">
        <v>0</v>
      </c>
      <c r="E1635" s="38" t="inlineStr"/>
      <c r="F1635" s="38" t="inlineStr">
        <is>
          <t>UPI Payment</t>
        </is>
      </c>
      <c r="G1635" s="25" t="n">
        <v>0.55</v>
      </c>
      <c r="H1635" s="38" t="inlineStr">
        <is>
          <t>Personal</t>
        </is>
      </c>
      <c r="I1635" s="38" t="inlineStr">
        <is>
          <t>FEDERAL 0847</t>
        </is>
      </c>
      <c r="J1635" s="38" t="inlineStr"/>
      <c r="K1635" s="38" t="inlineStr">
        <is>
          <t>UPIOUT/404131425859/Q082521920@ybl/Sent
via /5814</t>
        </is>
      </c>
      <c r="L1635" s="38" t="inlineStr">
        <is>
          <t>Federal Bank (Jupiter)</t>
        </is>
      </c>
      <c r="M1635" s="38" t="inlineStr"/>
    </row>
    <row r="1636">
      <c r="A1636" s="35" t="n">
        <v>45332</v>
      </c>
      <c r="B1636" s="35" t="n">
        <v>45332</v>
      </c>
      <c r="C1636" s="36" t="n">
        <v>187.15</v>
      </c>
      <c r="D1636" s="36" t="n">
        <v>0</v>
      </c>
      <c r="E1636" s="36" t="inlineStr"/>
      <c r="F1636" s="36" t="inlineStr">
        <is>
          <t>UPI - Paytm</t>
        </is>
      </c>
      <c r="G1636" s="34" t="n">
        <v>0.65</v>
      </c>
      <c r="H1636" s="36" t="inlineStr">
        <is>
          <t>Personal</t>
        </is>
      </c>
      <c r="I1636" s="36" t="inlineStr">
        <is>
          <t>FEDERAL 0847</t>
        </is>
      </c>
      <c r="J1636" s="36" t="inlineStr"/>
      <c r="K1636" s="36" t="inlineStr">
        <is>
          <t>UPIOUT/404127167813/paytm-76208552@paytm/U
PI/4112</t>
        </is>
      </c>
      <c r="L1636" s="36" t="inlineStr">
        <is>
          <t>Federal Bank (Jupiter)</t>
        </is>
      </c>
      <c r="M1636" s="36" t="inlineStr"/>
    </row>
    <row r="1637">
      <c r="A1637" s="37" t="n">
        <v>45332</v>
      </c>
      <c r="B1637" s="37" t="n">
        <v>45332</v>
      </c>
      <c r="C1637" s="38" t="n">
        <v>45</v>
      </c>
      <c r="D1637" s="38" t="n">
        <v>0</v>
      </c>
      <c r="E1637" s="38" t="inlineStr"/>
      <c r="F1637" s="38" t="inlineStr">
        <is>
          <t>UPI Payment</t>
        </is>
      </c>
      <c r="G1637" s="25" t="n">
        <v>0.55</v>
      </c>
      <c r="H1637" s="38" t="inlineStr">
        <is>
          <t>Personal</t>
        </is>
      </c>
      <c r="I1637" s="38" t="inlineStr">
        <is>
          <t>FEDERAL 0847</t>
        </is>
      </c>
      <c r="J1637" s="38" t="inlineStr"/>
      <c r="K1637" s="38" t="inlineStr">
        <is>
          <t>UPIOUT/404133402417/Q162409196@ybl/Sent
via /5814</t>
        </is>
      </c>
      <c r="L1637" s="38" t="inlineStr">
        <is>
          <t>Federal Bank (Jupiter)</t>
        </is>
      </c>
      <c r="M1637" s="38" t="inlineStr"/>
    </row>
    <row r="1638">
      <c r="A1638" s="35" t="n">
        <v>45333</v>
      </c>
      <c r="B1638" s="35" t="n">
        <v>45333</v>
      </c>
      <c r="C1638" s="36" t="n">
        <v>5</v>
      </c>
      <c r="D1638" s="36" t="n">
        <v>0</v>
      </c>
      <c r="E1638" s="36" t="inlineStr"/>
      <c r="F1638" s="36" t="inlineStr">
        <is>
          <t>UPI - Paytm</t>
        </is>
      </c>
      <c r="G1638" s="34" t="n">
        <v>0.65</v>
      </c>
      <c r="H1638" s="36" t="inlineStr">
        <is>
          <t>Personal</t>
        </is>
      </c>
      <c r="I1638" s="36" t="inlineStr">
        <is>
          <t>FEDERAL 0847</t>
        </is>
      </c>
      <c r="J1638" s="36" t="inlineStr"/>
      <c r="K1638" s="36" t="inlineStr">
        <is>
          <t>UPIOUT/404237835142/paytm-64422255@paytm/S
en/5411</t>
        </is>
      </c>
      <c r="L1638" s="36" t="inlineStr">
        <is>
          <t>Federal Bank (Jupiter)</t>
        </is>
      </c>
      <c r="M1638" s="36" t="inlineStr"/>
    </row>
    <row r="1639">
      <c r="A1639" s="32" t="n">
        <v>45333</v>
      </c>
      <c r="B1639" s="32" t="n">
        <v>45333</v>
      </c>
      <c r="C1639" s="33" t="n">
        <v>30</v>
      </c>
      <c r="D1639" s="33" t="n">
        <v>0</v>
      </c>
      <c r="E1639" s="33" t="inlineStr"/>
      <c r="F1639" s="33" t="inlineStr">
        <is>
          <t>UPI - BharatPe</t>
        </is>
      </c>
      <c r="G1639" s="34" t="n">
        <v>0.65</v>
      </c>
      <c r="H1639" s="33" t="inlineStr">
        <is>
          <t>Personal</t>
        </is>
      </c>
      <c r="I1639" s="33" t="inlineStr">
        <is>
          <t>FEDERAL 0847</t>
        </is>
      </c>
      <c r="J1639" s="33" t="inlineStr"/>
      <c r="K1639" s="33" t="inlineStr">
        <is>
          <t>UPIOUT/404239521873/BHARATPE90726368113@ye
sb/5912</t>
        </is>
      </c>
      <c r="L1639" s="33" t="inlineStr">
        <is>
          <t>Federal Bank (Jupiter)</t>
        </is>
      </c>
      <c r="M1639" s="33" t="inlineStr"/>
    </row>
    <row r="1640">
      <c r="A1640" s="37" t="n">
        <v>45333</v>
      </c>
      <c r="B1640" s="37" t="n">
        <v>45333</v>
      </c>
      <c r="C1640" s="38" t="n">
        <v>50</v>
      </c>
      <c r="D1640" s="38" t="n">
        <v>0</v>
      </c>
      <c r="E1640" s="38" t="inlineStr"/>
      <c r="F1640" s="38" t="inlineStr">
        <is>
          <t>UPI Payment</t>
        </is>
      </c>
      <c r="G1640" s="25" t="n">
        <v>0.55</v>
      </c>
      <c r="H1640" s="38" t="inlineStr">
        <is>
          <t>Personal</t>
        </is>
      </c>
      <c r="I1640" s="38" t="inlineStr">
        <is>
          <t>FEDERAL 0847</t>
        </is>
      </c>
      <c r="J1640" s="38" t="inlineStr"/>
      <c r="K1640" s="38" t="inlineStr">
        <is>
          <t>UPIOUT/404239954151/Q463323667@ybl/Sent
via /5812</t>
        </is>
      </c>
      <c r="L1640" s="38" t="inlineStr">
        <is>
          <t>Federal Bank (Jupiter)</t>
        </is>
      </c>
      <c r="M1640" s="38" t="inlineStr"/>
    </row>
    <row r="1641">
      <c r="A1641" s="37" t="n">
        <v>45334</v>
      </c>
      <c r="B1641" s="37" t="n">
        <v>45334</v>
      </c>
      <c r="C1641" s="38" t="n">
        <v>10</v>
      </c>
      <c r="D1641" s="38" t="n">
        <v>0</v>
      </c>
      <c r="E1641" s="38" t="inlineStr"/>
      <c r="F1641" s="38" t="inlineStr">
        <is>
          <t>UPI Payment</t>
        </is>
      </c>
      <c r="G1641" s="25" t="n">
        <v>0.55</v>
      </c>
      <c r="H1641" s="38" t="inlineStr">
        <is>
          <t>Personal</t>
        </is>
      </c>
      <c r="I1641" s="38" t="inlineStr">
        <is>
          <t>FEDERAL 0847</t>
        </is>
      </c>
      <c r="J1641" s="38" t="inlineStr"/>
      <c r="K1641" s="38" t="inlineStr">
        <is>
          <t>UPIOUT/404346527024/Q185949983@ybl/Sent
via /5451</t>
        </is>
      </c>
      <c r="L1641" s="38" t="inlineStr">
        <is>
          <t>Federal Bank (Jupiter)</t>
        </is>
      </c>
      <c r="M1641" s="38" t="inlineStr">
        <is>
          <t>⚠ Possible Duplicate</t>
        </is>
      </c>
    </row>
    <row r="1642">
      <c r="A1642" s="37" t="n">
        <v>45334</v>
      </c>
      <c r="B1642" s="37" t="n">
        <v>45334</v>
      </c>
      <c r="C1642" s="38" t="n">
        <v>245</v>
      </c>
      <c r="D1642" s="38" t="n">
        <v>0</v>
      </c>
      <c r="E1642" s="38" t="inlineStr"/>
      <c r="F1642" s="38" t="inlineStr">
        <is>
          <t>UPI Payment</t>
        </is>
      </c>
      <c r="G1642" s="25" t="n">
        <v>0.55</v>
      </c>
      <c r="H1642" s="38" t="inlineStr">
        <is>
          <t>Personal</t>
        </is>
      </c>
      <c r="I1642" s="38" t="inlineStr">
        <is>
          <t>FEDERAL 0847</t>
        </is>
      </c>
      <c r="J1642" s="38" t="inlineStr"/>
      <c r="K1642" s="38" t="inlineStr">
        <is>
          <t>UPIOUT/404346467019/Q407907754@ybl/Sent
via /5812</t>
        </is>
      </c>
      <c r="L1642" s="38" t="inlineStr">
        <is>
          <t>Federal Bank (Jupiter)</t>
        </is>
      </c>
      <c r="M1642" s="38" t="inlineStr"/>
    </row>
    <row r="1643">
      <c r="A1643" s="37" t="n">
        <v>45334</v>
      </c>
      <c r="B1643" s="37" t="n">
        <v>45334</v>
      </c>
      <c r="C1643" s="38" t="n">
        <v>40</v>
      </c>
      <c r="D1643" s="38" t="n">
        <v>0</v>
      </c>
      <c r="E1643" s="38" t="inlineStr"/>
      <c r="F1643" s="38" t="inlineStr">
        <is>
          <t>UPI Payment</t>
        </is>
      </c>
      <c r="G1643" s="25" t="n">
        <v>0.55</v>
      </c>
      <c r="H1643" s="38" t="inlineStr">
        <is>
          <t>Personal</t>
        </is>
      </c>
      <c r="I1643" s="38" t="inlineStr">
        <is>
          <t>FEDERAL 0847</t>
        </is>
      </c>
      <c r="J1643" s="38" t="inlineStr"/>
      <c r="K1643" s="38" t="inlineStr">
        <is>
          <t>UPIOUT/404303672367/q463323667@ybl/UPI/581
2</t>
        </is>
      </c>
      <c r="L1643" s="38" t="inlineStr">
        <is>
          <t>Federal Bank (Jupiter)</t>
        </is>
      </c>
      <c r="M1643" s="38" t="inlineStr">
        <is>
          <t>⚠ Possible Duplicate</t>
        </is>
      </c>
    </row>
    <row r="1644">
      <c r="A1644" s="37" t="n">
        <v>45334</v>
      </c>
      <c r="B1644" s="37" t="n">
        <v>45334</v>
      </c>
      <c r="C1644" s="38" t="n">
        <v>40</v>
      </c>
      <c r="D1644" s="38" t="n">
        <v>0</v>
      </c>
      <c r="E1644" s="38" t="inlineStr"/>
      <c r="F1644" s="38" t="inlineStr">
        <is>
          <t>UPI Payment</t>
        </is>
      </c>
      <c r="G1644" s="25" t="n">
        <v>0.55</v>
      </c>
      <c r="H1644" s="38" t="inlineStr">
        <is>
          <t>Personal</t>
        </is>
      </c>
      <c r="I1644" s="38" t="inlineStr">
        <is>
          <t>FEDERAL 0847</t>
        </is>
      </c>
      <c r="J1644" s="38" t="inlineStr"/>
      <c r="K1644" s="38" t="inlineStr">
        <is>
          <t>UPIOUT/404345448317/Q897116130@ybl/Sent
via /5814</t>
        </is>
      </c>
      <c r="L1644" s="38" t="inlineStr">
        <is>
          <t>Federal Bank (Jupiter)</t>
        </is>
      </c>
      <c r="M1644" s="38" t="inlineStr">
        <is>
          <t>⚠ Possible Duplicate</t>
        </is>
      </c>
    </row>
    <row r="1645">
      <c r="A1645" s="37" t="n">
        <v>45334</v>
      </c>
      <c r="B1645" s="37" t="n">
        <v>45334</v>
      </c>
      <c r="C1645" s="38" t="n">
        <v>10</v>
      </c>
      <c r="D1645" s="38" t="n">
        <v>0</v>
      </c>
      <c r="E1645" s="38" t="inlineStr"/>
      <c r="F1645" s="38" t="inlineStr">
        <is>
          <t>UPI Payment</t>
        </is>
      </c>
      <c r="G1645" s="25" t="n">
        <v>0.55</v>
      </c>
      <c r="H1645" s="38" t="inlineStr">
        <is>
          <t>Personal</t>
        </is>
      </c>
      <c r="I1645" s="38" t="inlineStr">
        <is>
          <t>FEDERAL 0847</t>
        </is>
      </c>
      <c r="J1645" s="38" t="inlineStr"/>
      <c r="K1645" s="38" t="inlineStr">
        <is>
          <t>UPIOUT/404345404452/Q722485674@ybl/Sent
via /5411</t>
        </is>
      </c>
      <c r="L1645" s="38" t="inlineStr">
        <is>
          <t>Federal Bank (Jupiter)</t>
        </is>
      </c>
      <c r="M1645" s="38" t="inlineStr">
        <is>
          <t>⚠ Possible Duplicate</t>
        </is>
      </c>
    </row>
    <row r="1646">
      <c r="A1646" s="41" t="n">
        <v>45334</v>
      </c>
      <c r="B1646" s="41" t="n">
        <v>45334</v>
      </c>
      <c r="C1646" s="42" t="n">
        <v>19464.98</v>
      </c>
      <c r="D1646" s="42" t="n">
        <v>0</v>
      </c>
      <c r="E1646" s="42" t="inlineStr"/>
      <c r="F1646" s="42" t="inlineStr">
        <is>
          <t>HDFC Securities - Buy</t>
        </is>
      </c>
      <c r="G1646" s="18" t="n">
        <v>0.97</v>
      </c>
      <c r="H1646" s="42" t="inlineStr">
        <is>
          <t>HDFC Securities</t>
        </is>
      </c>
      <c r="I1646" s="42" t="inlineStr">
        <is>
          <t>HDFC 5413</t>
        </is>
      </c>
      <c r="J1646" s="42" t="inlineStr"/>
      <c r="K1646" s="42" t="inlineStr">
        <is>
          <t>NET PI TO HSL SEC A/C 2554606-00602340029427</t>
        </is>
      </c>
      <c r="L1646" s="42" t="inlineStr">
        <is>
          <t>HDFC Bank</t>
        </is>
      </c>
      <c r="M1646" s="42" t="inlineStr"/>
    </row>
    <row r="1647">
      <c r="A1647" s="37" t="n">
        <v>45334</v>
      </c>
      <c r="B1647" s="37" t="n">
        <v>45334</v>
      </c>
      <c r="C1647" s="38" t="n">
        <v>20</v>
      </c>
      <c r="D1647" s="38" t="n">
        <v>0</v>
      </c>
      <c r="E1647" s="38" t="inlineStr"/>
      <c r="F1647" s="38" t="inlineStr">
        <is>
          <t>UPI Payment</t>
        </is>
      </c>
      <c r="G1647" s="25" t="n">
        <v>0.55</v>
      </c>
      <c r="H1647" s="38" t="inlineStr">
        <is>
          <t>Personal</t>
        </is>
      </c>
      <c r="I1647" s="38" t="inlineStr">
        <is>
          <t>FEDERAL 0847</t>
        </is>
      </c>
      <c r="J1647" s="38" t="inlineStr"/>
      <c r="K1647" s="38" t="inlineStr">
        <is>
          <t>UPIOUT/404345512973/Q897116130@ybl/Sent
via /5814</t>
        </is>
      </c>
      <c r="L1647" s="38" t="inlineStr">
        <is>
          <t>Federal Bank (Jupiter)</t>
        </is>
      </c>
      <c r="M1647" s="38" t="inlineStr"/>
    </row>
    <row r="1648">
      <c r="A1648" s="41" t="n">
        <v>45334</v>
      </c>
      <c r="B1648" s="41" t="n">
        <v>45334</v>
      </c>
      <c r="C1648" s="42" t="n">
        <v>589.26</v>
      </c>
      <c r="D1648" s="42" t="n">
        <v>0</v>
      </c>
      <c r="E1648" s="42" t="inlineStr"/>
      <c r="F1648" s="42" t="inlineStr">
        <is>
          <t>HDFC Securities - Buy</t>
        </is>
      </c>
      <c r="G1648" s="18" t="n">
        <v>0.97</v>
      </c>
      <c r="H1648" s="42" t="inlineStr">
        <is>
          <t>HDFC Securities</t>
        </is>
      </c>
      <c r="I1648" s="42" t="inlineStr">
        <is>
          <t>HDFC 5413</t>
        </is>
      </c>
      <c r="J1648" s="42" t="inlineStr"/>
      <c r="K1648" s="42" t="inlineStr">
        <is>
          <t>NET PI TO HSL SEC A/C 2554606-00602340029427</t>
        </is>
      </c>
      <c r="L1648" s="42" t="inlineStr">
        <is>
          <t>HDFC Bank</t>
        </is>
      </c>
      <c r="M1648" s="42" t="inlineStr"/>
    </row>
    <row r="1649">
      <c r="A1649" s="37" t="n">
        <v>45334</v>
      </c>
      <c r="B1649" s="37" t="n">
        <v>45334</v>
      </c>
      <c r="C1649" s="38" t="n">
        <v>10</v>
      </c>
      <c r="D1649" s="38" t="n">
        <v>0</v>
      </c>
      <c r="E1649" s="38" t="inlineStr"/>
      <c r="F1649" s="38" t="inlineStr">
        <is>
          <t>UPI Payment</t>
        </is>
      </c>
      <c r="G1649" s="25" t="n">
        <v>0.55</v>
      </c>
      <c r="H1649" s="38" t="inlineStr">
        <is>
          <t>Personal</t>
        </is>
      </c>
      <c r="I1649" s="38" t="inlineStr">
        <is>
          <t>FEDERAL 0847</t>
        </is>
      </c>
      <c r="J1649" s="38" t="inlineStr"/>
      <c r="K1649" s="38" t="inlineStr">
        <is>
          <t>UPIOUT/404345220956/mdkhaseem819-1@oksbi/S
en/0000</t>
        </is>
      </c>
      <c r="L1649" s="38" t="inlineStr">
        <is>
          <t>Federal Bank (Jupiter)</t>
        </is>
      </c>
      <c r="M1649" s="38" t="inlineStr">
        <is>
          <t>⚠ Possible Duplicate</t>
        </is>
      </c>
    </row>
    <row r="1650">
      <c r="A1650" s="37" t="n">
        <v>45335</v>
      </c>
      <c r="B1650" s="37" t="n">
        <v>45335</v>
      </c>
      <c r="C1650" s="38" t="n">
        <v>90</v>
      </c>
      <c r="D1650" s="38" t="n">
        <v>0</v>
      </c>
      <c r="E1650" s="38" t="inlineStr"/>
      <c r="F1650" s="38" t="inlineStr">
        <is>
          <t>UPI Payment</t>
        </is>
      </c>
      <c r="G1650" s="25" t="n">
        <v>0.55</v>
      </c>
      <c r="H1650" s="38" t="inlineStr">
        <is>
          <t>Personal</t>
        </is>
      </c>
      <c r="I1650" s="38" t="inlineStr">
        <is>
          <t>FEDERAL 0847</t>
        </is>
      </c>
      <c r="J1650" s="38" t="inlineStr"/>
      <c r="K1650" s="38" t="inlineStr">
        <is>
          <t>UPIOUT/404453583564/Q079360809@ybl/Sent
via /5814</t>
        </is>
      </c>
      <c r="L1650" s="38" t="inlineStr">
        <is>
          <t>Federal Bank (Jupiter)</t>
        </is>
      </c>
      <c r="M1650" s="38" t="inlineStr">
        <is>
          <t>⚠ Possible Duplicate</t>
        </is>
      </c>
    </row>
    <row r="1651">
      <c r="A1651" s="37" t="n">
        <v>45335</v>
      </c>
      <c r="B1651" s="37" t="n">
        <v>45335</v>
      </c>
      <c r="C1651" s="38" t="n">
        <v>130</v>
      </c>
      <c r="D1651" s="38" t="n">
        <v>0</v>
      </c>
      <c r="E1651" s="38" t="inlineStr"/>
      <c r="F1651" s="38" t="inlineStr">
        <is>
          <t>UPI Payment</t>
        </is>
      </c>
      <c r="G1651" s="25" t="n">
        <v>0.55</v>
      </c>
      <c r="H1651" s="38" t="inlineStr">
        <is>
          <t>Personal</t>
        </is>
      </c>
      <c r="I1651" s="38" t="inlineStr">
        <is>
          <t>FEDERAL 0847</t>
        </is>
      </c>
      <c r="J1651" s="38" t="inlineStr"/>
      <c r="K1651" s="38" t="inlineStr">
        <is>
          <t>UPIOUT/404453591116/Q463323667@ybl/Sent
via /5812</t>
        </is>
      </c>
      <c r="L1651" s="38" t="inlineStr">
        <is>
          <t>Federal Bank (Jupiter)</t>
        </is>
      </c>
      <c r="M1651" s="38" t="inlineStr"/>
    </row>
    <row r="1652">
      <c r="A1652" s="37" t="n">
        <v>45335</v>
      </c>
      <c r="B1652" s="37" t="n">
        <v>45335</v>
      </c>
      <c r="C1652" s="38" t="n">
        <v>10</v>
      </c>
      <c r="D1652" s="38" t="n">
        <v>0</v>
      </c>
      <c r="E1652" s="38" t="inlineStr"/>
      <c r="F1652" s="38" t="inlineStr">
        <is>
          <t>UPI Payment</t>
        </is>
      </c>
      <c r="G1652" s="25" t="n">
        <v>0.55</v>
      </c>
      <c r="H1652" s="38" t="inlineStr">
        <is>
          <t>Personal</t>
        </is>
      </c>
      <c r="I1652" s="38" t="inlineStr">
        <is>
          <t>FEDERAL 0847</t>
        </is>
      </c>
      <c r="J1652" s="38" t="inlineStr"/>
      <c r="K1652" s="38" t="inlineStr">
        <is>
          <t>UPIOUT/404418742586/rgindham-1@okicici/UPI
/0000</t>
        </is>
      </c>
      <c r="L1652" s="38" t="inlineStr">
        <is>
          <t>Federal Bank (Jupiter)</t>
        </is>
      </c>
      <c r="M1652" s="38" t="inlineStr"/>
    </row>
    <row r="1653">
      <c r="A1653" s="56" t="n">
        <v>45335</v>
      </c>
      <c r="B1653" s="56" t="n">
        <v>45335</v>
      </c>
      <c r="C1653" s="57" t="n">
        <v>1817.2</v>
      </c>
      <c r="D1653" s="57" t="n">
        <v>0</v>
      </c>
      <c r="E1653" s="57" t="inlineStr"/>
      <c r="F1653" s="57" t="inlineStr">
        <is>
          <t>Depository Charges</t>
        </is>
      </c>
      <c r="G1653" s="18" t="n">
        <v>0.93</v>
      </c>
      <c r="H1653" s="57" t="inlineStr">
        <is>
          <t>Depository Charges</t>
        </is>
      </c>
      <c r="I1653" s="57" t="inlineStr">
        <is>
          <t>HDFC 5413</t>
        </is>
      </c>
      <c r="J1653" s="57" t="inlineStr"/>
      <c r="K1653" s="57" t="inlineStr">
        <is>
          <t>DEPOSITORY CHARGES JAN24 - 52812428</t>
        </is>
      </c>
      <c r="L1653" s="57" t="inlineStr">
        <is>
          <t>HDFC Bank</t>
        </is>
      </c>
      <c r="M1653" s="57" t="inlineStr"/>
    </row>
    <row r="1654">
      <c r="A1654" s="37" t="n">
        <v>45335</v>
      </c>
      <c r="B1654" s="37" t="n">
        <v>45335</v>
      </c>
      <c r="C1654" s="38" t="n">
        <v>90</v>
      </c>
      <c r="D1654" s="38" t="n">
        <v>0</v>
      </c>
      <c r="E1654" s="38" t="inlineStr"/>
      <c r="F1654" s="38" t="inlineStr">
        <is>
          <t>UPI Payment</t>
        </is>
      </c>
      <c r="G1654" s="25" t="n">
        <v>0.55</v>
      </c>
      <c r="H1654" s="38" t="inlineStr">
        <is>
          <t>Personal</t>
        </is>
      </c>
      <c r="I1654" s="38" t="inlineStr">
        <is>
          <t>FEDERAL 0847</t>
        </is>
      </c>
      <c r="J1654" s="38" t="inlineStr"/>
      <c r="K1654" s="38" t="inlineStr">
        <is>
          <t>UPIOUT/404453432949/Q079360809@ybl/Sent
via /5814</t>
        </is>
      </c>
      <c r="L1654" s="38" t="inlineStr">
        <is>
          <t>Federal Bank (Jupiter)</t>
        </is>
      </c>
      <c r="M1654" s="38" t="inlineStr">
        <is>
          <t>⚠ Possible Duplicate</t>
        </is>
      </c>
    </row>
    <row r="1655">
      <c r="A1655" s="37" t="n">
        <v>45336</v>
      </c>
      <c r="B1655" s="37" t="n">
        <v>45336</v>
      </c>
      <c r="C1655" s="38" t="n">
        <v>20</v>
      </c>
      <c r="D1655" s="38" t="n">
        <v>0</v>
      </c>
      <c r="E1655" s="38" t="inlineStr"/>
      <c r="F1655" s="38" t="inlineStr">
        <is>
          <t>UPI Payment</t>
        </is>
      </c>
      <c r="G1655" s="25" t="n">
        <v>0.55</v>
      </c>
      <c r="H1655" s="38" t="inlineStr">
        <is>
          <t>Personal</t>
        </is>
      </c>
      <c r="I1655" s="38" t="inlineStr">
        <is>
          <t>FEDERAL 0847</t>
        </is>
      </c>
      <c r="J1655" s="38" t="inlineStr"/>
      <c r="K1655" s="38" t="inlineStr">
        <is>
          <t>UPIOUT/404555383297/Q082521920@ybl/Sent
via /5814</t>
        </is>
      </c>
      <c r="L1655" s="38" t="inlineStr">
        <is>
          <t>Federal Bank (Jupiter)</t>
        </is>
      </c>
      <c r="M1655" s="38" t="inlineStr"/>
    </row>
    <row r="1656">
      <c r="A1656" s="35" t="n">
        <v>45336</v>
      </c>
      <c r="B1656" s="35" t="n">
        <v>45336</v>
      </c>
      <c r="C1656" s="36" t="n">
        <v>60</v>
      </c>
      <c r="D1656" s="36" t="n">
        <v>0</v>
      </c>
      <c r="E1656" s="36" t="inlineStr"/>
      <c r="F1656" s="36" t="inlineStr">
        <is>
          <t>UPI - Paytm</t>
        </is>
      </c>
      <c r="G1656" s="34" t="n">
        <v>0.65</v>
      </c>
      <c r="H1656" s="36" t="inlineStr">
        <is>
          <t>Personal</t>
        </is>
      </c>
      <c r="I1656" s="36" t="inlineStr">
        <is>
          <t>FEDERAL 0847</t>
        </is>
      </c>
      <c r="J1656" s="36" t="inlineStr"/>
      <c r="K1656" s="36" t="inlineStr">
        <is>
          <t>UPIOUT/404555539426/paytmqr281005050101ac5
gq/5812</t>
        </is>
      </c>
      <c r="L1656" s="36" t="inlineStr">
        <is>
          <t>Federal Bank (Jupiter)</t>
        </is>
      </c>
      <c r="M1656" s="36" t="inlineStr"/>
    </row>
    <row r="1657">
      <c r="A1657" s="37" t="n">
        <v>45336</v>
      </c>
      <c r="B1657" s="37" t="n">
        <v>45336</v>
      </c>
      <c r="C1657" s="38" t="n">
        <v>15</v>
      </c>
      <c r="D1657" s="38" t="n">
        <v>0</v>
      </c>
      <c r="E1657" s="38" t="inlineStr"/>
      <c r="F1657" s="38" t="inlineStr">
        <is>
          <t>UPI Payment</t>
        </is>
      </c>
      <c r="G1657" s="25" t="n">
        <v>0.55</v>
      </c>
      <c r="H1657" s="38" t="inlineStr">
        <is>
          <t>Personal</t>
        </is>
      </c>
      <c r="I1657" s="38" t="inlineStr">
        <is>
          <t>FEDERAL 0847</t>
        </is>
      </c>
      <c r="J1657" s="38" t="inlineStr"/>
      <c r="K1657" s="38" t="inlineStr">
        <is>
          <t>UPIOUT/404555653458/8185061658@ibl/Sent
via /0000</t>
        </is>
      </c>
      <c r="L1657" s="38" t="inlineStr">
        <is>
          <t>Federal Bank (Jupiter)</t>
        </is>
      </c>
      <c r="M1657" s="38" t="inlineStr"/>
    </row>
    <row r="1658">
      <c r="A1658" s="37" t="n">
        <v>45336</v>
      </c>
      <c r="B1658" s="37" t="n">
        <v>45336</v>
      </c>
      <c r="C1658" s="38" t="n">
        <v>70</v>
      </c>
      <c r="D1658" s="38" t="n">
        <v>0</v>
      </c>
      <c r="E1658" s="38" t="inlineStr"/>
      <c r="F1658" s="38" t="inlineStr">
        <is>
          <t>UPI Payment</t>
        </is>
      </c>
      <c r="G1658" s="25" t="n">
        <v>0.55</v>
      </c>
      <c r="H1658" s="38" t="inlineStr">
        <is>
          <t>Personal</t>
        </is>
      </c>
      <c r="I1658" s="38" t="inlineStr">
        <is>
          <t>FEDERAL 0847</t>
        </is>
      </c>
      <c r="J1658" s="38" t="inlineStr"/>
      <c r="K1658" s="38" t="inlineStr">
        <is>
          <t>UPIOUT/404559766130/Q407907754@ybl/Sent
via /5812</t>
        </is>
      </c>
      <c r="L1658" s="38" t="inlineStr">
        <is>
          <t>Federal Bank (Jupiter)</t>
        </is>
      </c>
      <c r="M1658" s="38" t="inlineStr"/>
    </row>
    <row r="1659">
      <c r="A1659" s="37" t="n">
        <v>45336</v>
      </c>
      <c r="B1659" s="37" t="n">
        <v>45336</v>
      </c>
      <c r="C1659" s="38" t="n">
        <v>80</v>
      </c>
      <c r="D1659" s="38" t="n">
        <v>0</v>
      </c>
      <c r="E1659" s="38" t="inlineStr"/>
      <c r="F1659" s="38" t="inlineStr">
        <is>
          <t>UPI Payment</t>
        </is>
      </c>
      <c r="G1659" s="25" t="n">
        <v>0.55</v>
      </c>
      <c r="H1659" s="38" t="inlineStr">
        <is>
          <t>Personal</t>
        </is>
      </c>
      <c r="I1659" s="38" t="inlineStr">
        <is>
          <t>FEDERAL 0847</t>
        </is>
      </c>
      <c r="J1659" s="38" t="inlineStr"/>
      <c r="K1659" s="38" t="inlineStr">
        <is>
          <t>UPIOUT/404559853630/Q463323667@ybl/Sent
via /5812</t>
        </is>
      </c>
      <c r="L1659" s="38" t="inlineStr">
        <is>
          <t>Federal Bank (Jupiter)</t>
        </is>
      </c>
      <c r="M1659" s="38" t="inlineStr"/>
    </row>
    <row r="1660">
      <c r="A1660" s="41" t="n">
        <v>45336</v>
      </c>
      <c r="B1660" s="41" t="n">
        <v>45336</v>
      </c>
      <c r="C1660" s="42" t="n">
        <v>45350.64</v>
      </c>
      <c r="D1660" s="42" t="n">
        <v>0</v>
      </c>
      <c r="E1660" s="42" t="inlineStr"/>
      <c r="F1660" s="42" t="inlineStr">
        <is>
          <t>HDFC Securities - Buy</t>
        </is>
      </c>
      <c r="G1660" s="18" t="n">
        <v>0.97</v>
      </c>
      <c r="H1660" s="42" t="inlineStr">
        <is>
          <t>HDFC Securities</t>
        </is>
      </c>
      <c r="I1660" s="42" t="inlineStr">
        <is>
          <t>HDFC 5413</t>
        </is>
      </c>
      <c r="J1660" s="42" t="inlineStr"/>
      <c r="K1660" s="42" t="inlineStr">
        <is>
          <t>NET PI TO HSL SEC A/C 2554606-00602340029427</t>
        </is>
      </c>
      <c r="L1660" s="42" t="inlineStr">
        <is>
          <t>HDFC Bank</t>
        </is>
      </c>
      <c r="M1660" s="42" t="inlineStr"/>
    </row>
    <row r="1661">
      <c r="A1661" s="41" t="n">
        <v>45336</v>
      </c>
      <c r="B1661" s="41" t="n">
        <v>45336</v>
      </c>
      <c r="C1661" s="42" t="n">
        <v>166.17</v>
      </c>
      <c r="D1661" s="42" t="n">
        <v>0</v>
      </c>
      <c r="E1661" s="42" t="inlineStr"/>
      <c r="F1661" s="42" t="inlineStr">
        <is>
          <t>HDFC Securities - Buy</t>
        </is>
      </c>
      <c r="G1661" s="18" t="n">
        <v>0.97</v>
      </c>
      <c r="H1661" s="42" t="inlineStr">
        <is>
          <t>HDFC Securities</t>
        </is>
      </c>
      <c r="I1661" s="42" t="inlineStr">
        <is>
          <t>HDFC 5413</t>
        </is>
      </c>
      <c r="J1661" s="42" t="inlineStr"/>
      <c r="K1661" s="42" t="inlineStr">
        <is>
          <t>NET PI TO HSL SEC A/C 2554606-00602340029427</t>
        </is>
      </c>
      <c r="L1661" s="42" t="inlineStr">
        <is>
          <t>HDFC Bank</t>
        </is>
      </c>
      <c r="M1661" s="42" t="inlineStr"/>
    </row>
    <row r="1662">
      <c r="A1662" s="54" t="n">
        <v>45336</v>
      </c>
      <c r="B1662" s="54" t="n">
        <v>45336</v>
      </c>
      <c r="C1662" s="55" t="n">
        <v>0</v>
      </c>
      <c r="D1662" s="55" t="n">
        <v>53119.4</v>
      </c>
      <c r="E1662" s="55" t="inlineStr"/>
      <c r="F1662" s="55" t="inlineStr">
        <is>
          <t>HDFC Securities - Sell</t>
        </is>
      </c>
      <c r="G1662" s="18" t="n">
        <v>0.97</v>
      </c>
      <c r="H1662" s="55" t="inlineStr">
        <is>
          <t>HDFC Securities</t>
        </is>
      </c>
      <c r="I1662" s="55" t="inlineStr">
        <is>
          <t>HDFC 5413</t>
        </is>
      </c>
      <c r="J1662" s="55" t="inlineStr"/>
      <c r="K1662" s="55" t="inlineStr">
        <is>
          <t>NET PO FROM HSL A/C 2554606-50200085415108</t>
        </is>
      </c>
      <c r="L1662" s="55" t="inlineStr">
        <is>
          <t>HDFC Bank</t>
        </is>
      </c>
      <c r="M1662" s="55" t="inlineStr"/>
    </row>
    <row r="1663">
      <c r="A1663" s="54" t="n">
        <v>45336</v>
      </c>
      <c r="B1663" s="54" t="n">
        <v>45336</v>
      </c>
      <c r="C1663" s="55" t="n">
        <v>0</v>
      </c>
      <c r="D1663" s="55" t="n">
        <v>31633.27</v>
      </c>
      <c r="E1663" s="55" t="inlineStr"/>
      <c r="F1663" s="55" t="inlineStr">
        <is>
          <t>HDFC Securities - Sell</t>
        </is>
      </c>
      <c r="G1663" s="18" t="n">
        <v>0.97</v>
      </c>
      <c r="H1663" s="55" t="inlineStr">
        <is>
          <t>HDFC Securities</t>
        </is>
      </c>
      <c r="I1663" s="55" t="inlineStr">
        <is>
          <t>HDFC 5413</t>
        </is>
      </c>
      <c r="J1663" s="55" t="inlineStr"/>
      <c r="K1663" s="55" t="inlineStr">
        <is>
          <t>NET PO FROM HSL A/C 2554606-50200085415108</t>
        </is>
      </c>
      <c r="L1663" s="55" t="inlineStr">
        <is>
          <t>HDFC Bank</t>
        </is>
      </c>
      <c r="M1663" s="55" t="inlineStr"/>
    </row>
    <row r="1664">
      <c r="A1664" s="37" t="n">
        <v>45336</v>
      </c>
      <c r="B1664" s="37" t="n">
        <v>45336</v>
      </c>
      <c r="C1664" s="38" t="n">
        <v>10</v>
      </c>
      <c r="D1664" s="38" t="n">
        <v>0</v>
      </c>
      <c r="E1664" s="38" t="inlineStr"/>
      <c r="F1664" s="38" t="inlineStr">
        <is>
          <t>UPI Payment</t>
        </is>
      </c>
      <c r="G1664" s="25" t="n">
        <v>0.55</v>
      </c>
      <c r="H1664" s="38" t="inlineStr">
        <is>
          <t>Personal</t>
        </is>
      </c>
      <c r="I1664" s="38" t="inlineStr">
        <is>
          <t>FEDERAL 0847</t>
        </is>
      </c>
      <c r="J1664" s="38" t="inlineStr"/>
      <c r="K1664" s="38" t="inlineStr">
        <is>
          <t>UPIOUT/404555700036/srinivasedigi96@okhdfc
ba/0000</t>
        </is>
      </c>
      <c r="L1664" s="38" t="inlineStr">
        <is>
          <t>Federal Bank (Jupiter)</t>
        </is>
      </c>
      <c r="M1664" s="38" t="inlineStr"/>
    </row>
    <row r="1665">
      <c r="A1665" s="37" t="n">
        <v>45336</v>
      </c>
      <c r="B1665" s="37" t="n">
        <v>45336</v>
      </c>
      <c r="C1665" s="38" t="n">
        <v>32</v>
      </c>
      <c r="D1665" s="38" t="n">
        <v>0</v>
      </c>
      <c r="E1665" s="38" t="inlineStr"/>
      <c r="F1665" s="38" t="inlineStr">
        <is>
          <t>UPI Payment</t>
        </is>
      </c>
      <c r="G1665" s="25" t="n">
        <v>0.55</v>
      </c>
      <c r="H1665" s="38" t="inlineStr">
        <is>
          <t>Personal</t>
        </is>
      </c>
      <c r="I1665" s="38" t="inlineStr">
        <is>
          <t>FEDERAL 0847</t>
        </is>
      </c>
      <c r="J1665" s="38" t="inlineStr"/>
      <c r="K1665" s="38" t="inlineStr">
        <is>
          <t>UPIOUT/404558811907/8367309385@ibl/Sent
via /0000</t>
        </is>
      </c>
      <c r="L1665" s="38" t="inlineStr">
        <is>
          <t>Federal Bank (Jupiter)</t>
        </is>
      </c>
      <c r="M1665" s="38" t="inlineStr"/>
    </row>
    <row r="1666">
      <c r="A1666" s="35" t="n">
        <v>45337</v>
      </c>
      <c r="B1666" s="35" t="n">
        <v>45337</v>
      </c>
      <c r="C1666" s="36" t="n">
        <v>499</v>
      </c>
      <c r="D1666" s="36" t="n">
        <v>0</v>
      </c>
      <c r="E1666" s="36" t="inlineStr"/>
      <c r="F1666" s="36" t="inlineStr">
        <is>
          <t>UPI - Paytm</t>
        </is>
      </c>
      <c r="G1666" s="34" t="n">
        <v>0.65</v>
      </c>
      <c r="H1666" s="36" t="inlineStr">
        <is>
          <t>Personal</t>
        </is>
      </c>
      <c r="I1666" s="36" t="inlineStr">
        <is>
          <t>FEDERAL 0847</t>
        </is>
      </c>
      <c r="J1666" s="36" t="inlineStr"/>
      <c r="K1666" s="36" t="inlineStr">
        <is>
          <t>UPIOUT/404667241676/paytmqr28100505010119u
g9/5661</t>
        </is>
      </c>
      <c r="L1666" s="36" t="inlineStr">
        <is>
          <t>Federal Bank (Jupiter)</t>
        </is>
      </c>
      <c r="M1666" s="36" t="inlineStr"/>
    </row>
    <row r="1667">
      <c r="A1667" s="89" t="n">
        <v>45337</v>
      </c>
      <c r="B1667" s="89" t="n">
        <v>45337</v>
      </c>
      <c r="C1667" s="90" t="n">
        <v>373</v>
      </c>
      <c r="D1667" s="90" t="n">
        <v>0</v>
      </c>
      <c r="E1667" s="90" t="inlineStr"/>
      <c r="F1667" s="90" t="inlineStr">
        <is>
          <t>UPI - Ola</t>
        </is>
      </c>
      <c r="G1667" s="34" t="n">
        <v>0.68</v>
      </c>
      <c r="H1667" s="90" t="inlineStr">
        <is>
          <t>Transport</t>
        </is>
      </c>
      <c r="I1667" s="90" t="inlineStr">
        <is>
          <t>FEDERAL 0847</t>
        </is>
      </c>
      <c r="J1667" s="90" t="inlineStr"/>
      <c r="K1667" s="90" t="inlineStr">
        <is>
          <t>UPIOUT/404667912691/olacabs.rzp@axisbank/P
ay/4121</t>
        </is>
      </c>
      <c r="L1667" s="90" t="inlineStr">
        <is>
          <t>Federal Bank (Jupiter)</t>
        </is>
      </c>
      <c r="M1667" s="90" t="inlineStr"/>
    </row>
    <row r="1668">
      <c r="A1668" s="35" t="n">
        <v>45337</v>
      </c>
      <c r="B1668" s="35" t="n">
        <v>45337</v>
      </c>
      <c r="C1668" s="36" t="n">
        <v>899</v>
      </c>
      <c r="D1668" s="36" t="n">
        <v>0</v>
      </c>
      <c r="E1668" s="36" t="inlineStr"/>
      <c r="F1668" s="36" t="inlineStr">
        <is>
          <t>UPI - Paytm</t>
        </is>
      </c>
      <c r="G1668" s="34" t="n">
        <v>0.65</v>
      </c>
      <c r="H1668" s="36" t="inlineStr">
        <is>
          <t>Personal</t>
        </is>
      </c>
      <c r="I1668" s="36" t="inlineStr">
        <is>
          <t>FEDERAL 0847</t>
        </is>
      </c>
      <c r="J1668" s="36" t="inlineStr"/>
      <c r="K1668" s="36" t="inlineStr">
        <is>
          <t>UPIOUT/404667188650/paytm-78551797@paytm/S
en/5137</t>
        </is>
      </c>
      <c r="L1668" s="36" t="inlineStr">
        <is>
          <t>Federal Bank (Jupiter)</t>
        </is>
      </c>
      <c r="M1668" s="36" t="inlineStr"/>
    </row>
    <row r="1669">
      <c r="A1669" s="37" t="n">
        <v>45337</v>
      </c>
      <c r="B1669" s="37" t="n">
        <v>45337</v>
      </c>
      <c r="C1669" s="38" t="n">
        <v>148</v>
      </c>
      <c r="D1669" s="38" t="n">
        <v>0</v>
      </c>
      <c r="E1669" s="38" t="inlineStr"/>
      <c r="F1669" s="38" t="inlineStr">
        <is>
          <t>UPI Payment</t>
        </is>
      </c>
      <c r="G1669" s="25" t="n">
        <v>0.55</v>
      </c>
      <c r="H1669" s="38" t="inlineStr">
        <is>
          <t>Personal</t>
        </is>
      </c>
      <c r="I1669" s="38" t="inlineStr">
        <is>
          <t>FEDERAL 0847</t>
        </is>
      </c>
      <c r="J1669" s="38" t="inlineStr"/>
      <c r="K1669" s="38" t="inlineStr">
        <is>
          <t>UPIOUT/404615451511/airtelpaymentsbanklimi
te/4812</t>
        </is>
      </c>
      <c r="L1669" s="38" t="inlineStr">
        <is>
          <t>Federal Bank (Jupiter)</t>
        </is>
      </c>
      <c r="M1669" s="38" t="inlineStr"/>
    </row>
    <row r="1670">
      <c r="A1670" s="37" t="n">
        <v>45337</v>
      </c>
      <c r="B1670" s="37" t="n">
        <v>45337</v>
      </c>
      <c r="C1670" s="38" t="n">
        <v>387.45</v>
      </c>
      <c r="D1670" s="38" t="n">
        <v>0</v>
      </c>
      <c r="E1670" s="38" t="inlineStr"/>
      <c r="F1670" s="38" t="inlineStr">
        <is>
          <t>UPI Payment</t>
        </is>
      </c>
      <c r="G1670" s="25" t="n">
        <v>0.55</v>
      </c>
      <c r="H1670" s="38" t="inlineStr">
        <is>
          <t>Personal</t>
        </is>
      </c>
      <c r="I1670" s="38" t="inlineStr">
        <is>
          <t>FEDERAL 0847</t>
        </is>
      </c>
      <c r="J1670" s="38" t="inlineStr"/>
      <c r="K1670" s="38" t="inlineStr">
        <is>
          <t>UPIOUT/404666834176/P539PRAGATHINAGARHYD.2
72/5814</t>
        </is>
      </c>
      <c r="L1670" s="38" t="inlineStr">
        <is>
          <t>Federal Bank (Jupiter)</t>
        </is>
      </c>
      <c r="M1670" s="38" t="inlineStr"/>
    </row>
    <row r="1671">
      <c r="A1671" s="37" t="n">
        <v>45337</v>
      </c>
      <c r="B1671" s="37" t="n">
        <v>45337</v>
      </c>
      <c r="C1671" s="38" t="n">
        <v>30</v>
      </c>
      <c r="D1671" s="38" t="n">
        <v>0</v>
      </c>
      <c r="E1671" s="38" t="inlineStr"/>
      <c r="F1671" s="38" t="inlineStr">
        <is>
          <t>UPI Payment</t>
        </is>
      </c>
      <c r="G1671" s="25" t="n">
        <v>0.55</v>
      </c>
      <c r="H1671" s="38" t="inlineStr">
        <is>
          <t>Personal</t>
        </is>
      </c>
      <c r="I1671" s="38" t="inlineStr">
        <is>
          <t>FEDERAL 0847</t>
        </is>
      </c>
      <c r="J1671" s="38" t="inlineStr"/>
      <c r="K1671" s="38" t="inlineStr">
        <is>
          <t>UPIOUT/404666781168/Q311614304@ybl/Sent
via /5814</t>
        </is>
      </c>
      <c r="L1671" s="38" t="inlineStr">
        <is>
          <t>Federal Bank (Jupiter)</t>
        </is>
      </c>
      <c r="M1671" s="38" t="inlineStr"/>
    </row>
    <row r="1672">
      <c r="A1672" s="37" t="n">
        <v>45337</v>
      </c>
      <c r="B1672" s="37" t="n">
        <v>45337</v>
      </c>
      <c r="C1672" s="38" t="n">
        <v>945</v>
      </c>
      <c r="D1672" s="38" t="n">
        <v>0</v>
      </c>
      <c r="E1672" s="38" t="inlineStr"/>
      <c r="F1672" s="38" t="inlineStr">
        <is>
          <t>UPI Payment</t>
        </is>
      </c>
      <c r="G1672" s="25" t="n">
        <v>0.55</v>
      </c>
      <c r="H1672" s="38" t="inlineStr">
        <is>
          <t>Personal</t>
        </is>
      </c>
      <c r="I1672" s="38" t="inlineStr">
        <is>
          <t>FEDERAL 0847</t>
        </is>
      </c>
      <c r="J1672" s="38" t="inlineStr"/>
      <c r="K1672" s="38" t="inlineStr">
        <is>
          <t>UPIOUT/404666719569/Q099545511@ybl/Sent
via /5310</t>
        </is>
      </c>
      <c r="L1672" s="38" t="inlineStr">
        <is>
          <t>Federal Bank (Jupiter)</t>
        </is>
      </c>
      <c r="M1672" s="38" t="inlineStr"/>
    </row>
    <row r="1673">
      <c r="A1673" s="37" t="n">
        <v>45337</v>
      </c>
      <c r="B1673" s="37" t="n">
        <v>45337</v>
      </c>
      <c r="C1673" s="38" t="n">
        <v>10</v>
      </c>
      <c r="D1673" s="38" t="n">
        <v>0</v>
      </c>
      <c r="E1673" s="38" t="inlineStr"/>
      <c r="F1673" s="38" t="inlineStr">
        <is>
          <t>UPI Payment</t>
        </is>
      </c>
      <c r="G1673" s="25" t="n">
        <v>0.55</v>
      </c>
      <c r="H1673" s="38" t="inlineStr">
        <is>
          <t>Personal</t>
        </is>
      </c>
      <c r="I1673" s="38" t="inlineStr">
        <is>
          <t>FEDERAL 0847</t>
        </is>
      </c>
      <c r="J1673" s="38" t="inlineStr"/>
      <c r="K1673" s="38" t="inlineStr">
        <is>
          <t>UPIOUT/404662581805/Q783081478@ybl/Sent
via /4722</t>
        </is>
      </c>
      <c r="L1673" s="38" t="inlineStr">
        <is>
          <t>Federal Bank (Jupiter)</t>
        </is>
      </c>
      <c r="M1673" s="38" t="inlineStr">
        <is>
          <t>⚠ Possible Duplicate</t>
        </is>
      </c>
    </row>
    <row r="1674">
      <c r="A1674" s="37" t="n">
        <v>45337</v>
      </c>
      <c r="B1674" s="37" t="n">
        <v>45337</v>
      </c>
      <c r="C1674" s="38" t="n">
        <v>10</v>
      </c>
      <c r="D1674" s="38" t="n">
        <v>0</v>
      </c>
      <c r="E1674" s="38" t="inlineStr"/>
      <c r="F1674" s="38" t="inlineStr">
        <is>
          <t>UPI Payment</t>
        </is>
      </c>
      <c r="G1674" s="25" t="n">
        <v>0.55</v>
      </c>
      <c r="H1674" s="38" t="inlineStr">
        <is>
          <t>Personal</t>
        </is>
      </c>
      <c r="I1674" s="38" t="inlineStr">
        <is>
          <t>FEDERAL 0847</t>
        </is>
      </c>
      <c r="J1674" s="38" t="inlineStr"/>
      <c r="K1674" s="38" t="inlineStr">
        <is>
          <t>UPIOUT/404662558273/ekbalmd84999@okhdfcban
k//0000</t>
        </is>
      </c>
      <c r="L1674" s="38" t="inlineStr">
        <is>
          <t>Federal Bank (Jupiter)</t>
        </is>
      </c>
      <c r="M1674" s="38" t="inlineStr">
        <is>
          <t>⚠ Possible Duplicate</t>
        </is>
      </c>
    </row>
    <row r="1675">
      <c r="A1675" s="41" t="n">
        <v>45337</v>
      </c>
      <c r="B1675" s="41" t="n">
        <v>45337</v>
      </c>
      <c r="C1675" s="42" t="n">
        <v>137.31</v>
      </c>
      <c r="D1675" s="42" t="n">
        <v>0</v>
      </c>
      <c r="E1675" s="42" t="inlineStr"/>
      <c r="F1675" s="42" t="inlineStr">
        <is>
          <t>HDFC Securities - Buy</t>
        </is>
      </c>
      <c r="G1675" s="18" t="n">
        <v>0.97</v>
      </c>
      <c r="H1675" s="42" t="inlineStr">
        <is>
          <t>HDFC Securities</t>
        </is>
      </c>
      <c r="I1675" s="42" t="inlineStr">
        <is>
          <t>HDFC 5413</t>
        </is>
      </c>
      <c r="J1675" s="42" t="inlineStr"/>
      <c r="K1675" s="42" t="inlineStr">
        <is>
          <t>NET PI TO HSL SEC A/C 2554606-00602340029427</t>
        </is>
      </c>
      <c r="L1675" s="42" t="inlineStr">
        <is>
          <t>HDFC Bank</t>
        </is>
      </c>
      <c r="M1675" s="42" t="inlineStr"/>
    </row>
    <row r="1676">
      <c r="A1676" s="64" t="n">
        <v>45337</v>
      </c>
      <c r="B1676" s="64" t="n">
        <v>45337</v>
      </c>
      <c r="C1676" s="65" t="n">
        <v>0</v>
      </c>
      <c r="D1676" s="65" t="n">
        <v>107.1</v>
      </c>
      <c r="E1676" s="65" t="inlineStr"/>
      <c r="F1676" s="65" t="inlineStr">
        <is>
          <t>Dividend Income</t>
        </is>
      </c>
      <c r="G1676" s="18" t="n">
        <v>0.88</v>
      </c>
      <c r="H1676" s="65" t="inlineStr">
        <is>
          <t>Dividend Income</t>
        </is>
      </c>
      <c r="I1676" s="65" t="inlineStr">
        <is>
          <t>HDFC 5413</t>
        </is>
      </c>
      <c r="J1676" s="65" t="inlineStr"/>
      <c r="K1676" s="65" t="inlineStr">
        <is>
          <t>ACH C- SONABLWPRECISION-0000000000000236</t>
        </is>
      </c>
      <c r="L1676" s="65" t="inlineStr">
        <is>
          <t>HDFC Bank</t>
        </is>
      </c>
      <c r="M1676" s="65" t="inlineStr"/>
    </row>
    <row r="1677">
      <c r="A1677" s="37" t="n">
        <v>45337</v>
      </c>
      <c r="B1677" s="37" t="n">
        <v>45337</v>
      </c>
      <c r="C1677" s="38" t="n">
        <v>20</v>
      </c>
      <c r="D1677" s="38" t="n">
        <v>0</v>
      </c>
      <c r="E1677" s="38" t="inlineStr"/>
      <c r="F1677" s="38" t="inlineStr">
        <is>
          <t>UPI Payment</t>
        </is>
      </c>
      <c r="G1677" s="25" t="n">
        <v>0.55</v>
      </c>
      <c r="H1677" s="38" t="inlineStr">
        <is>
          <t>Personal</t>
        </is>
      </c>
      <c r="I1677" s="38" t="inlineStr">
        <is>
          <t>FEDERAL 0847</t>
        </is>
      </c>
      <c r="J1677" s="38" t="inlineStr"/>
      <c r="K1677" s="38" t="inlineStr">
        <is>
          <t>UPIOUT/404661675145/Q249817394@ybl/Sent
via /5814</t>
        </is>
      </c>
      <c r="L1677" s="38" t="inlineStr">
        <is>
          <t>Federal Bank (Jupiter)</t>
        </is>
      </c>
      <c r="M1677" s="38" t="inlineStr"/>
    </row>
    <row r="1678">
      <c r="A1678" s="54" t="n">
        <v>45338</v>
      </c>
      <c r="B1678" s="54" t="n">
        <v>45338</v>
      </c>
      <c r="C1678" s="55" t="n">
        <v>0</v>
      </c>
      <c r="D1678" s="55" t="n">
        <v>1447.36</v>
      </c>
      <c r="E1678" s="55" t="inlineStr"/>
      <c r="F1678" s="55" t="inlineStr">
        <is>
          <t>HDFC Securities - Sell</t>
        </is>
      </c>
      <c r="G1678" s="18" t="n">
        <v>0.97</v>
      </c>
      <c r="H1678" s="55" t="inlineStr">
        <is>
          <t>HDFC Securities</t>
        </is>
      </c>
      <c r="I1678" s="55" t="inlineStr">
        <is>
          <t>HDFC 5413</t>
        </is>
      </c>
      <c r="J1678" s="55" t="inlineStr"/>
      <c r="K1678" s="55" t="inlineStr">
        <is>
          <t>NET PO FROM HSL A/C 2554606-50200085415108</t>
        </is>
      </c>
      <c r="L1678" s="55" t="inlineStr">
        <is>
          <t>HDFC Bank</t>
        </is>
      </c>
      <c r="M1678" s="55" t="inlineStr"/>
    </row>
    <row r="1679">
      <c r="A1679" s="41" t="n">
        <v>45338</v>
      </c>
      <c r="B1679" s="41" t="n">
        <v>45338</v>
      </c>
      <c r="C1679" s="42" t="n">
        <v>159.31</v>
      </c>
      <c r="D1679" s="42" t="n">
        <v>0</v>
      </c>
      <c r="E1679" s="42" t="inlineStr"/>
      <c r="F1679" s="42" t="inlineStr">
        <is>
          <t>HDFC Securities - Buy</t>
        </is>
      </c>
      <c r="G1679" s="18" t="n">
        <v>0.97</v>
      </c>
      <c r="H1679" s="42" t="inlineStr">
        <is>
          <t>HDFC Securities</t>
        </is>
      </c>
      <c r="I1679" s="42" t="inlineStr">
        <is>
          <t>HDFC 5413</t>
        </is>
      </c>
      <c r="J1679" s="42" t="inlineStr"/>
      <c r="K1679" s="42" t="inlineStr">
        <is>
          <t>NET PI TO HSL SEC A/C 2554606-00602340029427</t>
        </is>
      </c>
      <c r="L1679" s="42" t="inlineStr">
        <is>
          <t>HDFC Bank</t>
        </is>
      </c>
      <c r="M1679" s="42" t="inlineStr"/>
    </row>
    <row r="1680">
      <c r="A1680" s="54" t="n">
        <v>45338</v>
      </c>
      <c r="B1680" s="54" t="n">
        <v>45338</v>
      </c>
      <c r="C1680" s="55" t="n">
        <v>0</v>
      </c>
      <c r="D1680" s="55" t="n">
        <v>32534.16</v>
      </c>
      <c r="E1680" s="55" t="inlineStr"/>
      <c r="F1680" s="55" t="inlineStr">
        <is>
          <t>HDFC Securities - Sell</t>
        </is>
      </c>
      <c r="G1680" s="18" t="n">
        <v>0.97</v>
      </c>
      <c r="H1680" s="55" t="inlineStr">
        <is>
          <t>HDFC Securities</t>
        </is>
      </c>
      <c r="I1680" s="55" t="inlineStr">
        <is>
          <t>HDFC 5413</t>
        </is>
      </c>
      <c r="J1680" s="55" t="inlineStr"/>
      <c r="K1680" s="55" t="inlineStr">
        <is>
          <t>NET PO FROM HSL A/C 2554606-50200085415108</t>
        </is>
      </c>
      <c r="L1680" s="55" t="inlineStr">
        <is>
          <t>HDFC Bank</t>
        </is>
      </c>
      <c r="M1680" s="55" t="inlineStr"/>
    </row>
    <row r="1681">
      <c r="A1681" s="37" t="n">
        <v>45338</v>
      </c>
      <c r="B1681" s="37" t="n">
        <v>45338</v>
      </c>
      <c r="C1681" s="38" t="n">
        <v>20</v>
      </c>
      <c r="D1681" s="38" t="n">
        <v>0</v>
      </c>
      <c r="E1681" s="38" t="inlineStr"/>
      <c r="F1681" s="38" t="inlineStr">
        <is>
          <t>UPI Payment</t>
        </is>
      </c>
      <c r="G1681" s="25" t="n">
        <v>0.55</v>
      </c>
      <c r="H1681" s="38" t="inlineStr">
        <is>
          <t>Personal</t>
        </is>
      </c>
      <c r="I1681" s="38" t="inlineStr">
        <is>
          <t>FEDERAL 0847</t>
        </is>
      </c>
      <c r="J1681" s="38" t="inlineStr"/>
      <c r="K1681" s="38" t="inlineStr">
        <is>
          <t>UPIOUT/404770002530/Q631030271@ybl/Sent
via /5411</t>
        </is>
      </c>
      <c r="L1681" s="38" t="inlineStr">
        <is>
          <t>Federal Bank (Jupiter)</t>
        </is>
      </c>
      <c r="M1681" s="38" t="inlineStr"/>
    </row>
    <row r="1682">
      <c r="A1682" s="35" t="n">
        <v>45339</v>
      </c>
      <c r="B1682" s="35" t="n">
        <v>45339</v>
      </c>
      <c r="C1682" s="36" t="n">
        <v>0</v>
      </c>
      <c r="D1682" s="36" t="n">
        <v>55.28</v>
      </c>
      <c r="E1682" s="36" t="inlineStr"/>
      <c r="F1682" s="36" t="inlineStr">
        <is>
          <t>UPI - Paytm</t>
        </is>
      </c>
      <c r="G1682" s="34" t="n">
        <v>0.65</v>
      </c>
      <c r="H1682" s="36" t="inlineStr">
        <is>
          <t>Personal</t>
        </is>
      </c>
      <c r="I1682" s="36" t="inlineStr">
        <is>
          <t>FEDERAL 0847</t>
        </is>
      </c>
      <c r="J1682" s="36" t="inlineStr"/>
      <c r="K1682" s="36" t="inlineStr">
        <is>
          <t>UPI IN/441419198927/paytm-76208552@paytm/e
xp/0000</t>
        </is>
      </c>
      <c r="L1682" s="36" t="inlineStr">
        <is>
          <t>Federal Bank (Jupiter)</t>
        </is>
      </c>
      <c r="M1682" s="36" t="inlineStr"/>
    </row>
    <row r="1683">
      <c r="A1683" s="35" t="n">
        <v>45340</v>
      </c>
      <c r="B1683" s="35" t="n">
        <v>45340</v>
      </c>
      <c r="C1683" s="36" t="n">
        <v>538.15</v>
      </c>
      <c r="D1683" s="36" t="n">
        <v>0</v>
      </c>
      <c r="E1683" s="36" t="inlineStr"/>
      <c r="F1683" s="36" t="inlineStr">
        <is>
          <t>UPI - Paytm</t>
        </is>
      </c>
      <c r="G1683" s="34" t="n">
        <v>0.65</v>
      </c>
      <c r="H1683" s="36" t="inlineStr">
        <is>
          <t>Personal</t>
        </is>
      </c>
      <c r="I1683" s="36" t="inlineStr">
        <is>
          <t>FEDERAL 0847</t>
        </is>
      </c>
      <c r="J1683" s="36" t="inlineStr"/>
      <c r="K1683" s="36" t="inlineStr">
        <is>
          <t>UPIOUT/404917807151/paytm-76208552@paytm/U
PI/4112</t>
        </is>
      </c>
      <c r="L1683" s="36" t="inlineStr">
        <is>
          <t>Federal Bank (Jupiter)</t>
        </is>
      </c>
      <c r="M1683" s="36" t="inlineStr"/>
    </row>
    <row r="1684">
      <c r="A1684" s="35" t="n">
        <v>45340</v>
      </c>
      <c r="B1684" s="35" t="n">
        <v>45340</v>
      </c>
      <c r="C1684" s="36" t="n">
        <v>0</v>
      </c>
      <c r="D1684" s="36" t="n">
        <v>538.15</v>
      </c>
      <c r="E1684" s="36" t="inlineStr"/>
      <c r="F1684" s="36" t="inlineStr">
        <is>
          <t>UPI - Paytm</t>
        </is>
      </c>
      <c r="G1684" s="34" t="n">
        <v>0.65</v>
      </c>
      <c r="H1684" s="36" t="inlineStr">
        <is>
          <t>Personal</t>
        </is>
      </c>
      <c r="I1684" s="36" t="inlineStr">
        <is>
          <t>FEDERAL 0847</t>
        </is>
      </c>
      <c r="J1684" s="36" t="inlineStr"/>
      <c r="K1684" s="36" t="inlineStr">
        <is>
          <t>UPI IN/404947484435/paytm-76208552@paytm/e
xp/0000</t>
        </is>
      </c>
      <c r="L1684" s="36" t="inlineStr">
        <is>
          <t>Federal Bank (Jupiter)</t>
        </is>
      </c>
      <c r="M1684" s="36" t="inlineStr"/>
    </row>
    <row r="1685">
      <c r="A1685" s="41" t="n">
        <v>45341</v>
      </c>
      <c r="B1685" s="41" t="n">
        <v>45341</v>
      </c>
      <c r="C1685" s="42" t="n">
        <v>435.18</v>
      </c>
      <c r="D1685" s="42" t="n">
        <v>0</v>
      </c>
      <c r="E1685" s="42" t="inlineStr"/>
      <c r="F1685" s="42" t="inlineStr">
        <is>
          <t>HDFC Securities - Buy</t>
        </is>
      </c>
      <c r="G1685" s="18" t="n">
        <v>0.97</v>
      </c>
      <c r="H1685" s="42" t="inlineStr">
        <is>
          <t>HDFC Securities</t>
        </is>
      </c>
      <c r="I1685" s="42" t="inlineStr">
        <is>
          <t>HDFC 5413</t>
        </is>
      </c>
      <c r="J1685" s="42" t="inlineStr"/>
      <c r="K1685" s="42" t="inlineStr">
        <is>
          <t>NET PI TO HSL SEC A/C 2554606-00602340029427</t>
        </is>
      </c>
      <c r="L1685" s="42" t="inlineStr">
        <is>
          <t>HDFC Bank</t>
        </is>
      </c>
      <c r="M1685" s="42" t="inlineStr"/>
    </row>
    <row r="1686">
      <c r="A1686" s="54" t="n">
        <v>45342</v>
      </c>
      <c r="B1686" s="54" t="n">
        <v>45342</v>
      </c>
      <c r="C1686" s="55" t="n">
        <v>0</v>
      </c>
      <c r="D1686" s="55" t="n">
        <v>7216.93</v>
      </c>
      <c r="E1686" s="55" t="inlineStr"/>
      <c r="F1686" s="55" t="inlineStr">
        <is>
          <t>HDFC Securities - Sell</t>
        </is>
      </c>
      <c r="G1686" s="18" t="n">
        <v>0.97</v>
      </c>
      <c r="H1686" s="55" t="inlineStr">
        <is>
          <t>HDFC Securities</t>
        </is>
      </c>
      <c r="I1686" s="55" t="inlineStr">
        <is>
          <t>HDFC 5413</t>
        </is>
      </c>
      <c r="J1686" s="55" t="inlineStr"/>
      <c r="K1686" s="55" t="inlineStr">
        <is>
          <t>NET PO FROM HSL A/C 2554606-50200085415108</t>
        </is>
      </c>
      <c r="L1686" s="55" t="inlineStr">
        <is>
          <t>HDFC Bank</t>
        </is>
      </c>
      <c r="M1686" s="55" t="inlineStr"/>
    </row>
    <row r="1687">
      <c r="A1687" s="54" t="n">
        <v>45342</v>
      </c>
      <c r="B1687" s="54" t="n">
        <v>45342</v>
      </c>
      <c r="C1687" s="55" t="n">
        <v>0</v>
      </c>
      <c r="D1687" s="55" t="n">
        <v>23823.55</v>
      </c>
      <c r="E1687" s="55" t="inlineStr"/>
      <c r="F1687" s="55" t="inlineStr">
        <is>
          <t>HDFC Securities - Sell</t>
        </is>
      </c>
      <c r="G1687" s="18" t="n">
        <v>0.97</v>
      </c>
      <c r="H1687" s="55" t="inlineStr">
        <is>
          <t>HDFC Securities</t>
        </is>
      </c>
      <c r="I1687" s="55" t="inlineStr">
        <is>
          <t>HDFC 5413</t>
        </is>
      </c>
      <c r="J1687" s="55" t="inlineStr"/>
      <c r="K1687" s="55" t="inlineStr">
        <is>
          <t>NET PO FROM HSL A/C 2554606-50200085415108</t>
        </is>
      </c>
      <c r="L1687" s="55" t="inlineStr">
        <is>
          <t>HDFC Bank</t>
        </is>
      </c>
      <c r="M1687" s="55" t="inlineStr"/>
    </row>
    <row r="1688">
      <c r="A1688" s="87" t="n">
        <v>45342</v>
      </c>
      <c r="B1688" s="87" t="n">
        <v>45342</v>
      </c>
      <c r="C1688" s="88" t="n">
        <v>0</v>
      </c>
      <c r="D1688" s="88" t="n">
        <v>5000</v>
      </c>
      <c r="E1688" s="88" t="inlineStr"/>
      <c r="F1688" s="88" t="inlineStr">
        <is>
          <t>Contra - Kotak</t>
        </is>
      </c>
      <c r="G1688" s="18" t="n">
        <v>0.9</v>
      </c>
      <c r="H1688" s="88" t="inlineStr">
        <is>
          <t>KOTAK 0333</t>
        </is>
      </c>
      <c r="I1688" s="88" t="inlineStr">
        <is>
          <t>FEDERAL 0847</t>
        </is>
      </c>
      <c r="J1688" s="88" t="inlineStr"/>
      <c r="K1688" s="88" t="inlineStr">
        <is>
          <t>UPI IN/405190815024/9594435259@jupiteraxis
/A/0000</t>
        </is>
      </c>
      <c r="L1688" s="88" t="inlineStr">
        <is>
          <t>Federal Bank (Jupiter)</t>
        </is>
      </c>
      <c r="M1688" s="88" t="inlineStr"/>
    </row>
    <row r="1689">
      <c r="A1689" s="41" t="n">
        <v>45342</v>
      </c>
      <c r="B1689" s="41" t="n">
        <v>45342</v>
      </c>
      <c r="C1689" s="42" t="n">
        <v>145.06</v>
      </c>
      <c r="D1689" s="42" t="n">
        <v>0</v>
      </c>
      <c r="E1689" s="42" t="inlineStr"/>
      <c r="F1689" s="42" t="inlineStr">
        <is>
          <t>HDFC Securities - Buy</t>
        </is>
      </c>
      <c r="G1689" s="18" t="n">
        <v>0.97</v>
      </c>
      <c r="H1689" s="42" t="inlineStr">
        <is>
          <t>HDFC Securities</t>
        </is>
      </c>
      <c r="I1689" s="42" t="inlineStr">
        <is>
          <t>HDFC 5413</t>
        </is>
      </c>
      <c r="J1689" s="42" t="inlineStr"/>
      <c r="K1689" s="42" t="inlineStr">
        <is>
          <t>NET PI TO HSL SEC A/C 2554606-00602340029427</t>
        </is>
      </c>
      <c r="L1689" s="42" t="inlineStr">
        <is>
          <t>HDFC Bank</t>
        </is>
      </c>
      <c r="M1689" s="42" t="inlineStr"/>
    </row>
    <row r="1690">
      <c r="A1690" s="37" t="n">
        <v>45343</v>
      </c>
      <c r="B1690" s="37" t="n">
        <v>45343</v>
      </c>
      <c r="C1690" s="38" t="n">
        <v>50</v>
      </c>
      <c r="D1690" s="38" t="n">
        <v>0</v>
      </c>
      <c r="E1690" s="38" t="inlineStr"/>
      <c r="F1690" s="38" t="inlineStr">
        <is>
          <t>UPI Payment</t>
        </is>
      </c>
      <c r="G1690" s="25" t="n">
        <v>0.55</v>
      </c>
      <c r="H1690" s="38" t="inlineStr">
        <is>
          <t>Personal</t>
        </is>
      </c>
      <c r="I1690" s="38" t="inlineStr">
        <is>
          <t>FEDERAL 0847</t>
        </is>
      </c>
      <c r="J1690" s="38" t="inlineStr"/>
      <c r="K1690" s="38" t="inlineStr">
        <is>
          <t>UPIOUT/405299065455/Q463323667@ybl/Sent
via /5812</t>
        </is>
      </c>
      <c r="L1690" s="38" t="inlineStr">
        <is>
          <t>Federal Bank (Jupiter)</t>
        </is>
      </c>
      <c r="M1690" s="38" t="inlineStr"/>
    </row>
    <row r="1691">
      <c r="A1691" s="41" t="n">
        <v>45343</v>
      </c>
      <c r="B1691" s="41" t="n">
        <v>45343</v>
      </c>
      <c r="C1691" s="42" t="n">
        <v>2183.3</v>
      </c>
      <c r="D1691" s="42" t="n">
        <v>0</v>
      </c>
      <c r="E1691" s="42" t="inlineStr"/>
      <c r="F1691" s="42" t="inlineStr">
        <is>
          <t>HDFC Securities - Buy</t>
        </is>
      </c>
      <c r="G1691" s="18" t="n">
        <v>0.97</v>
      </c>
      <c r="H1691" s="42" t="inlineStr">
        <is>
          <t>HDFC Securities</t>
        </is>
      </c>
      <c r="I1691" s="42" t="inlineStr">
        <is>
          <t>HDFC 5413</t>
        </is>
      </c>
      <c r="J1691" s="42" t="inlineStr"/>
      <c r="K1691" s="42" t="inlineStr">
        <is>
          <t>NET PI TO HSL SEC A/C 2554606-00602340029427</t>
        </is>
      </c>
      <c r="L1691" s="42" t="inlineStr">
        <is>
          <t>HDFC Bank</t>
        </is>
      </c>
      <c r="M1691" s="42" t="inlineStr"/>
    </row>
    <row r="1692">
      <c r="A1692" s="58" t="n">
        <v>45343</v>
      </c>
      <c r="B1692" s="58" t="n">
        <v>45343</v>
      </c>
      <c r="C1692" s="59" t="n">
        <v>1000</v>
      </c>
      <c r="D1692" s="59" t="n">
        <v>0</v>
      </c>
      <c r="E1692" s="59" t="inlineStr"/>
      <c r="F1692" s="59" t="inlineStr">
        <is>
          <t>MF Investment</t>
        </is>
      </c>
      <c r="G1692" s="18" t="n">
        <v>0.88</v>
      </c>
      <c r="H1692" s="59" t="inlineStr">
        <is>
          <t>Investments</t>
        </is>
      </c>
      <c r="I1692" s="59" t="inlineStr">
        <is>
          <t>FEDERAL 0847</t>
        </is>
      </c>
      <c r="J1692" s="59" t="inlineStr"/>
      <c r="K1692" s="59" t="inlineStr">
        <is>
          <t>NFT/NEOSIEXEDDD2024022103002420196 Quant
Mutual Fu</t>
        </is>
      </c>
      <c r="L1692" s="59" t="inlineStr">
        <is>
          <t>Federal Bank (Jupiter)</t>
        </is>
      </c>
      <c r="M1692" s="59" t="inlineStr">
        <is>
          <t>⚠ Possible Duplicate</t>
        </is>
      </c>
    </row>
    <row r="1693">
      <c r="A1693" s="58" t="n">
        <v>45343</v>
      </c>
      <c r="B1693" s="58" t="n">
        <v>45343</v>
      </c>
      <c r="C1693" s="59" t="n">
        <v>1000</v>
      </c>
      <c r="D1693" s="59" t="n">
        <v>0</v>
      </c>
      <c r="E1693" s="59" t="inlineStr"/>
      <c r="F1693" s="59" t="inlineStr">
        <is>
          <t>MF Investment</t>
        </is>
      </c>
      <c r="G1693" s="18" t="n">
        <v>0.88</v>
      </c>
      <c r="H1693" s="59" t="inlineStr">
        <is>
          <t>Investments</t>
        </is>
      </c>
      <c r="I1693" s="59" t="inlineStr">
        <is>
          <t>FEDERAL 0847</t>
        </is>
      </c>
      <c r="J1693" s="59" t="inlineStr"/>
      <c r="K1693" s="59" t="inlineStr">
        <is>
          <t>NFT/NEOSIEXEDDD2024022102305208166 Mirae
Asset Mut</t>
        </is>
      </c>
      <c r="L1693" s="59" t="inlineStr">
        <is>
          <t>Federal Bank (Jupiter)</t>
        </is>
      </c>
      <c r="M1693" s="59" t="inlineStr">
        <is>
          <t>⚠ Possible Duplicate</t>
        </is>
      </c>
    </row>
    <row r="1694">
      <c r="A1694" s="54" t="n">
        <v>45343</v>
      </c>
      <c r="B1694" s="54" t="n">
        <v>45343</v>
      </c>
      <c r="C1694" s="55" t="n">
        <v>0</v>
      </c>
      <c r="D1694" s="55" t="n">
        <v>1837.18</v>
      </c>
      <c r="E1694" s="55" t="inlineStr"/>
      <c r="F1694" s="55" t="inlineStr">
        <is>
          <t>HDFC Securities - Sell</t>
        </is>
      </c>
      <c r="G1694" s="18" t="n">
        <v>0.97</v>
      </c>
      <c r="H1694" s="55" t="inlineStr">
        <is>
          <t>HDFC Securities</t>
        </is>
      </c>
      <c r="I1694" s="55" t="inlineStr">
        <is>
          <t>HDFC 5413</t>
        </is>
      </c>
      <c r="J1694" s="55" t="inlineStr"/>
      <c r="K1694" s="55" t="inlineStr">
        <is>
          <t>NET PO FROM HSL A/C 2554606-50200085415108</t>
        </is>
      </c>
      <c r="L1694" s="55" t="inlineStr">
        <is>
          <t>HDFC Bank</t>
        </is>
      </c>
      <c r="M1694" s="55" t="inlineStr"/>
    </row>
    <row r="1695">
      <c r="A1695" s="37" t="n">
        <v>45343</v>
      </c>
      <c r="B1695" s="37" t="n">
        <v>45343</v>
      </c>
      <c r="C1695" s="38" t="n">
        <v>40</v>
      </c>
      <c r="D1695" s="38" t="n">
        <v>0</v>
      </c>
      <c r="E1695" s="38" t="inlineStr"/>
      <c r="F1695" s="38" t="inlineStr">
        <is>
          <t>UPI Payment</t>
        </is>
      </c>
      <c r="G1695" s="25" t="n">
        <v>0.55</v>
      </c>
      <c r="H1695" s="38" t="inlineStr">
        <is>
          <t>Personal</t>
        </is>
      </c>
      <c r="I1695" s="38" t="inlineStr">
        <is>
          <t>FEDERAL 0847</t>
        </is>
      </c>
      <c r="J1695" s="38" t="inlineStr"/>
      <c r="K1695" s="38" t="inlineStr">
        <is>
          <t>UPIOUT/405298398123/Q780515718@ybl/Sent
via /5814</t>
        </is>
      </c>
      <c r="L1695" s="38" t="inlineStr">
        <is>
          <t>Federal Bank (Jupiter)</t>
        </is>
      </c>
      <c r="M1695" s="38" t="inlineStr"/>
    </row>
    <row r="1696">
      <c r="A1696" s="41" t="n">
        <v>45343</v>
      </c>
      <c r="B1696" s="41" t="n">
        <v>45343</v>
      </c>
      <c r="C1696" s="42" t="n">
        <v>139.5</v>
      </c>
      <c r="D1696" s="42" t="n">
        <v>0</v>
      </c>
      <c r="E1696" s="42" t="inlineStr"/>
      <c r="F1696" s="42" t="inlineStr">
        <is>
          <t>HDFC Securities - Buy</t>
        </is>
      </c>
      <c r="G1696" s="18" t="n">
        <v>0.97</v>
      </c>
      <c r="H1696" s="42" t="inlineStr">
        <is>
          <t>HDFC Securities</t>
        </is>
      </c>
      <c r="I1696" s="42" t="inlineStr">
        <is>
          <t>HDFC 5413</t>
        </is>
      </c>
      <c r="J1696" s="42" t="inlineStr"/>
      <c r="K1696" s="42" t="inlineStr">
        <is>
          <t>NET PI TO HSL SEC A/C 2554606-00602340029427</t>
        </is>
      </c>
      <c r="L1696" s="42" t="inlineStr">
        <is>
          <t>HDFC Bank</t>
        </is>
      </c>
      <c r="M1696" s="42" t="inlineStr"/>
    </row>
    <row r="1697">
      <c r="A1697" s="41" t="n">
        <v>45344</v>
      </c>
      <c r="B1697" s="41" t="n">
        <v>45344</v>
      </c>
      <c r="C1697" s="42" t="n">
        <v>139.38</v>
      </c>
      <c r="D1697" s="42" t="n">
        <v>0</v>
      </c>
      <c r="E1697" s="42" t="inlineStr"/>
      <c r="F1697" s="42" t="inlineStr">
        <is>
          <t>HDFC Securities - Buy</t>
        </is>
      </c>
      <c r="G1697" s="18" t="n">
        <v>0.97</v>
      </c>
      <c r="H1697" s="42" t="inlineStr">
        <is>
          <t>HDFC Securities</t>
        </is>
      </c>
      <c r="I1697" s="42" t="inlineStr">
        <is>
          <t>HDFC 5413</t>
        </is>
      </c>
      <c r="J1697" s="42" t="inlineStr"/>
      <c r="K1697" s="42" t="inlineStr">
        <is>
          <t>NET PI TO HSL SEC A/C 2554606-00602340029427</t>
        </is>
      </c>
      <c r="L1697" s="42" t="inlineStr">
        <is>
          <t>HDFC Bank</t>
        </is>
      </c>
      <c r="M1697" s="42" t="inlineStr"/>
    </row>
    <row r="1698">
      <c r="A1698" s="64" t="n">
        <v>45344</v>
      </c>
      <c r="B1698" s="64" t="n">
        <v>45344</v>
      </c>
      <c r="C1698" s="65" t="n">
        <v>0</v>
      </c>
      <c r="D1698" s="65" t="n">
        <v>52.5</v>
      </c>
      <c r="E1698" s="65" t="inlineStr"/>
      <c r="F1698" s="65" t="inlineStr">
        <is>
          <t>Dividend Income</t>
        </is>
      </c>
      <c r="G1698" s="18" t="n">
        <v>0.88</v>
      </c>
      <c r="H1698" s="65" t="inlineStr">
        <is>
          <t>Dividend Income</t>
        </is>
      </c>
      <c r="I1698" s="65" t="inlineStr">
        <is>
          <t>HDFC 5413</t>
        </is>
      </c>
      <c r="J1698" s="65" t="inlineStr"/>
      <c r="K1698" s="65" t="inlineStr">
        <is>
          <t>ACH C- KPIT TECHNOLOGIES-3082623</t>
        </is>
      </c>
      <c r="L1698" s="65" t="inlineStr">
        <is>
          <t>HDFC Bank</t>
        </is>
      </c>
      <c r="M1698" s="65" t="inlineStr"/>
    </row>
    <row r="1699">
      <c r="A1699" s="41" t="n">
        <v>45344</v>
      </c>
      <c r="B1699" s="41" t="n">
        <v>45344</v>
      </c>
      <c r="C1699" s="42" t="n">
        <v>23164.73</v>
      </c>
      <c r="D1699" s="42" t="n">
        <v>0</v>
      </c>
      <c r="E1699" s="42" t="inlineStr"/>
      <c r="F1699" s="42" t="inlineStr">
        <is>
          <t>HDFC Securities - Buy</t>
        </is>
      </c>
      <c r="G1699" s="18" t="n">
        <v>0.97</v>
      </c>
      <c r="H1699" s="42" t="inlineStr">
        <is>
          <t>HDFC Securities</t>
        </is>
      </c>
      <c r="I1699" s="42" t="inlineStr">
        <is>
          <t>HDFC 5413</t>
        </is>
      </c>
      <c r="J1699" s="42" t="inlineStr"/>
      <c r="K1699" s="42" t="inlineStr">
        <is>
          <t>NET PI TO HSL SEC A/C 2554606-00602340029427</t>
        </is>
      </c>
      <c r="L1699" s="42" t="inlineStr">
        <is>
          <t>HDFC Bank</t>
        </is>
      </c>
      <c r="M1699" s="42" t="inlineStr"/>
    </row>
    <row r="1700">
      <c r="A1700" s="37" t="n">
        <v>45345</v>
      </c>
      <c r="B1700" s="37" t="n">
        <v>45345</v>
      </c>
      <c r="C1700" s="38" t="n">
        <v>40</v>
      </c>
      <c r="D1700" s="38" t="n">
        <v>0</v>
      </c>
      <c r="E1700" s="38" t="inlineStr"/>
      <c r="F1700" s="38" t="inlineStr">
        <is>
          <t>UPI Payment</t>
        </is>
      </c>
      <c r="G1700" s="25" t="n">
        <v>0.55</v>
      </c>
      <c r="H1700" s="38" t="inlineStr">
        <is>
          <t>Personal</t>
        </is>
      </c>
      <c r="I1700" s="38" t="inlineStr">
        <is>
          <t>FEDERAL 0847</t>
        </is>
      </c>
      <c r="J1700" s="38" t="inlineStr"/>
      <c r="K1700" s="38" t="inlineStr">
        <is>
          <t>UPIOUT/405415996623/Q818010939@ybl/Sent
via /5411</t>
        </is>
      </c>
      <c r="L1700" s="38" t="inlineStr">
        <is>
          <t>Federal Bank (Jupiter)</t>
        </is>
      </c>
      <c r="M1700" s="38" t="inlineStr">
        <is>
          <t>⚠ Possible Duplicate</t>
        </is>
      </c>
    </row>
    <row r="1701">
      <c r="A1701" s="37" t="n">
        <v>45345</v>
      </c>
      <c r="B1701" s="37" t="n">
        <v>45345</v>
      </c>
      <c r="C1701" s="38" t="n">
        <v>40</v>
      </c>
      <c r="D1701" s="38" t="n">
        <v>0</v>
      </c>
      <c r="E1701" s="38" t="inlineStr"/>
      <c r="F1701" s="38" t="inlineStr">
        <is>
          <t>UPI Payment</t>
        </is>
      </c>
      <c r="G1701" s="25" t="n">
        <v>0.55</v>
      </c>
      <c r="H1701" s="38" t="inlineStr">
        <is>
          <t>Personal</t>
        </is>
      </c>
      <c r="I1701" s="38" t="inlineStr">
        <is>
          <t>FEDERAL 0847</t>
        </is>
      </c>
      <c r="J1701" s="38" t="inlineStr"/>
      <c r="K1701" s="38" t="inlineStr">
        <is>
          <t>UPIOUT/405418593746/Q463323667@ybl/Sent
via /5812</t>
        </is>
      </c>
      <c r="L1701" s="38" t="inlineStr">
        <is>
          <t>Federal Bank (Jupiter)</t>
        </is>
      </c>
      <c r="M1701" s="38" t="inlineStr">
        <is>
          <t>⚠ Possible Duplicate</t>
        </is>
      </c>
    </row>
    <row r="1702">
      <c r="A1702" s="41" t="n">
        <v>45345</v>
      </c>
      <c r="B1702" s="41" t="n">
        <v>45345</v>
      </c>
      <c r="C1702" s="42" t="n">
        <v>131.13</v>
      </c>
      <c r="D1702" s="42" t="n">
        <v>0</v>
      </c>
      <c r="E1702" s="42" t="inlineStr"/>
      <c r="F1702" s="42" t="inlineStr">
        <is>
          <t>HDFC Securities - Buy</t>
        </is>
      </c>
      <c r="G1702" s="18" t="n">
        <v>0.97</v>
      </c>
      <c r="H1702" s="42" t="inlineStr">
        <is>
          <t>HDFC Securities</t>
        </is>
      </c>
      <c r="I1702" s="42" t="inlineStr">
        <is>
          <t>HDFC 5413</t>
        </is>
      </c>
      <c r="J1702" s="42" t="inlineStr"/>
      <c r="K1702" s="42" t="inlineStr">
        <is>
          <t>NET PI TO HSL SEC A/C 2554606-00602340029427</t>
        </is>
      </c>
      <c r="L1702" s="42" t="inlineStr">
        <is>
          <t>HDFC Bank</t>
        </is>
      </c>
      <c r="M1702" s="42" t="inlineStr"/>
    </row>
    <row r="1703">
      <c r="A1703" s="54" t="n">
        <v>45345</v>
      </c>
      <c r="B1703" s="54" t="n">
        <v>45345</v>
      </c>
      <c r="C1703" s="55" t="n">
        <v>0</v>
      </c>
      <c r="D1703" s="55" t="n">
        <v>14593.32</v>
      </c>
      <c r="E1703" s="55" t="inlineStr"/>
      <c r="F1703" s="55" t="inlineStr">
        <is>
          <t>HDFC Securities - Sell</t>
        </is>
      </c>
      <c r="G1703" s="18" t="n">
        <v>0.97</v>
      </c>
      <c r="H1703" s="55" t="inlineStr">
        <is>
          <t>HDFC Securities</t>
        </is>
      </c>
      <c r="I1703" s="55" t="inlineStr">
        <is>
          <t>HDFC 5413</t>
        </is>
      </c>
      <c r="J1703" s="55" t="inlineStr"/>
      <c r="K1703" s="55" t="inlineStr">
        <is>
          <t>NET PO FROM HSL A/C 2554606-50200085415108</t>
        </is>
      </c>
      <c r="L1703" s="55" t="inlineStr">
        <is>
          <t>HDFC Bank</t>
        </is>
      </c>
      <c r="M1703" s="55" t="inlineStr"/>
    </row>
    <row r="1704">
      <c r="A1704" s="58" t="n">
        <v>45347</v>
      </c>
      <c r="B1704" s="58" t="n">
        <v>45347</v>
      </c>
      <c r="C1704" s="59" t="n">
        <v>2000</v>
      </c>
      <c r="D1704" s="59" t="n">
        <v>0</v>
      </c>
      <c r="E1704" s="59" t="inlineStr"/>
      <c r="F1704" s="59" t="inlineStr">
        <is>
          <t>MF Investment</t>
        </is>
      </c>
      <c r="G1704" s="18" t="n">
        <v>0.88</v>
      </c>
      <c r="H1704" s="59" t="inlineStr">
        <is>
          <t>Investments</t>
        </is>
      </c>
      <c r="I1704" s="59" t="inlineStr">
        <is>
          <t>FEDERAL 0847</t>
        </is>
      </c>
      <c r="J1704" s="59" t="inlineStr"/>
      <c r="K1704" s="59" t="inlineStr">
        <is>
          <t>NFT/NEOSIEXEDDD2024022502153984272 Nippon
India Mu</t>
        </is>
      </c>
      <c r="L1704" s="59" t="inlineStr">
        <is>
          <t>Federal Bank (Jupiter)</t>
        </is>
      </c>
      <c r="M1704" s="59" t="inlineStr"/>
    </row>
    <row r="1705">
      <c r="A1705" s="54" t="n">
        <v>45348</v>
      </c>
      <c r="B1705" s="54" t="n">
        <v>45348</v>
      </c>
      <c r="C1705" s="55" t="n">
        <v>0</v>
      </c>
      <c r="D1705" s="55" t="n">
        <v>7777.98</v>
      </c>
      <c r="E1705" s="55" t="inlineStr"/>
      <c r="F1705" s="55" t="inlineStr">
        <is>
          <t>HDFC Securities - Sell</t>
        </is>
      </c>
      <c r="G1705" s="18" t="n">
        <v>0.97</v>
      </c>
      <c r="H1705" s="55" t="inlineStr">
        <is>
          <t>HDFC Securities</t>
        </is>
      </c>
      <c r="I1705" s="55" t="inlineStr">
        <is>
          <t>HDFC 5413</t>
        </is>
      </c>
      <c r="J1705" s="55" t="inlineStr"/>
      <c r="K1705" s="55" t="inlineStr">
        <is>
          <t>NET PO FROM HSL A/C 2554606-50200085415108</t>
        </is>
      </c>
      <c r="L1705" s="55" t="inlineStr">
        <is>
          <t>HDFC Bank</t>
        </is>
      </c>
      <c r="M1705" s="55" t="inlineStr"/>
    </row>
    <row r="1706">
      <c r="A1706" s="41" t="n">
        <v>45348</v>
      </c>
      <c r="B1706" s="41" t="n">
        <v>45348</v>
      </c>
      <c r="C1706" s="42" t="n">
        <v>8031.85</v>
      </c>
      <c r="D1706" s="42" t="n">
        <v>0</v>
      </c>
      <c r="E1706" s="42" t="inlineStr"/>
      <c r="F1706" s="42" t="inlineStr">
        <is>
          <t>HDFC Securities - Buy</t>
        </is>
      </c>
      <c r="G1706" s="18" t="n">
        <v>0.97</v>
      </c>
      <c r="H1706" s="42" t="inlineStr">
        <is>
          <t>HDFC Securities</t>
        </is>
      </c>
      <c r="I1706" s="42" t="inlineStr">
        <is>
          <t>HDFC 5413</t>
        </is>
      </c>
      <c r="J1706" s="42" t="inlineStr"/>
      <c r="K1706" s="42" t="inlineStr">
        <is>
          <t>NET PI TO HSL SEC A/C 2554606-00602340029427</t>
        </is>
      </c>
      <c r="L1706" s="42" t="inlineStr">
        <is>
          <t>HDFC Bank</t>
        </is>
      </c>
      <c r="M1706" s="42" t="inlineStr"/>
    </row>
    <row r="1707">
      <c r="A1707" s="37" t="n">
        <v>45349</v>
      </c>
      <c r="B1707" s="37" t="n">
        <v>45349</v>
      </c>
      <c r="C1707" s="38" t="n">
        <v>80</v>
      </c>
      <c r="D1707" s="38" t="n">
        <v>0</v>
      </c>
      <c r="E1707" s="38" t="inlineStr"/>
      <c r="F1707" s="38" t="inlineStr">
        <is>
          <t>UPI Payment</t>
        </is>
      </c>
      <c r="G1707" s="25" t="n">
        <v>0.55</v>
      </c>
      <c r="H1707" s="38" t="inlineStr">
        <is>
          <t>Personal</t>
        </is>
      </c>
      <c r="I1707" s="38" t="inlineStr">
        <is>
          <t>FEDERAL 0847</t>
        </is>
      </c>
      <c r="J1707" s="38" t="inlineStr"/>
      <c r="K1707" s="38" t="inlineStr">
        <is>
          <t>UPIOUT/405840117409/Q463323667@ybl/Sent
via /5812</t>
        </is>
      </c>
      <c r="L1707" s="38" t="inlineStr">
        <is>
          <t>Federal Bank (Jupiter)</t>
        </is>
      </c>
      <c r="M1707" s="38" t="inlineStr"/>
    </row>
    <row r="1708">
      <c r="A1708" s="41" t="n">
        <v>45349</v>
      </c>
      <c r="B1708" s="41" t="n">
        <v>45349</v>
      </c>
      <c r="C1708" s="42" t="n">
        <v>16855.75</v>
      </c>
      <c r="D1708" s="42" t="n">
        <v>0</v>
      </c>
      <c r="E1708" s="42" t="inlineStr"/>
      <c r="F1708" s="42" t="inlineStr">
        <is>
          <t>HDFC Securities - Buy</t>
        </is>
      </c>
      <c r="G1708" s="18" t="n">
        <v>0.97</v>
      </c>
      <c r="H1708" s="42" t="inlineStr">
        <is>
          <t>HDFC Securities</t>
        </is>
      </c>
      <c r="I1708" s="42" t="inlineStr">
        <is>
          <t>HDFC 5413</t>
        </is>
      </c>
      <c r="J1708" s="42" t="inlineStr"/>
      <c r="K1708" s="42" t="inlineStr">
        <is>
          <t>NET PI TO HSL SEC A/C 2554606-00602340029427</t>
        </is>
      </c>
      <c r="L1708" s="42" t="inlineStr">
        <is>
          <t>HDFC Bank</t>
        </is>
      </c>
      <c r="M1708" s="42" t="inlineStr"/>
    </row>
    <row r="1709">
      <c r="A1709" s="64" t="n">
        <v>45349</v>
      </c>
      <c r="B1709" s="64" t="n">
        <v>45349</v>
      </c>
      <c r="C1709" s="65" t="n">
        <v>0</v>
      </c>
      <c r="D1709" s="65" t="n">
        <v>230</v>
      </c>
      <c r="E1709" s="65" t="inlineStr"/>
      <c r="F1709" s="65" t="inlineStr">
        <is>
          <t>Dividend Income</t>
        </is>
      </c>
      <c r="G1709" s="18" t="n">
        <v>0.88</v>
      </c>
      <c r="H1709" s="65" t="inlineStr">
        <is>
          <t>Dividend Income</t>
        </is>
      </c>
      <c r="I1709" s="65" t="inlineStr">
        <is>
          <t>HDFC 5413</t>
        </is>
      </c>
      <c r="J1709" s="65" t="inlineStr"/>
      <c r="K1709" s="65" t="inlineStr">
        <is>
          <t>ACH C- TRIVENI TURBINE LTD-74163</t>
        </is>
      </c>
      <c r="L1709" s="65" t="inlineStr">
        <is>
          <t>HDFC Bank</t>
        </is>
      </c>
      <c r="M1709" s="65" t="inlineStr"/>
    </row>
    <row r="1710">
      <c r="A1710" s="41" t="n">
        <v>45349</v>
      </c>
      <c r="B1710" s="41" t="n">
        <v>45349</v>
      </c>
      <c r="C1710" s="42" t="n">
        <v>138.19</v>
      </c>
      <c r="D1710" s="42" t="n">
        <v>0</v>
      </c>
      <c r="E1710" s="42" t="inlineStr"/>
      <c r="F1710" s="42" t="inlineStr">
        <is>
          <t>HDFC Securities - Buy</t>
        </is>
      </c>
      <c r="G1710" s="18" t="n">
        <v>0.97</v>
      </c>
      <c r="H1710" s="42" t="inlineStr">
        <is>
          <t>HDFC Securities</t>
        </is>
      </c>
      <c r="I1710" s="42" t="inlineStr">
        <is>
          <t>HDFC 5413</t>
        </is>
      </c>
      <c r="J1710" s="42" t="inlineStr"/>
      <c r="K1710" s="42" t="inlineStr">
        <is>
          <t>NET PI TO HSL SEC A/C 2554606-00602340029427</t>
        </is>
      </c>
      <c r="L1710" s="42" t="inlineStr">
        <is>
          <t>HDFC Bank</t>
        </is>
      </c>
      <c r="M1710" s="42" t="inlineStr"/>
    </row>
    <row r="1711">
      <c r="A1711" s="54" t="n">
        <v>45349</v>
      </c>
      <c r="B1711" s="54" t="n">
        <v>45349</v>
      </c>
      <c r="C1711" s="55" t="n">
        <v>0</v>
      </c>
      <c r="D1711" s="55" t="n">
        <v>25818.62</v>
      </c>
      <c r="E1711" s="55" t="inlineStr"/>
      <c r="F1711" s="55" t="inlineStr">
        <is>
          <t>HDFC Securities - Sell</t>
        </is>
      </c>
      <c r="G1711" s="18" t="n">
        <v>0.97</v>
      </c>
      <c r="H1711" s="55" t="inlineStr">
        <is>
          <t>HDFC Securities</t>
        </is>
      </c>
      <c r="I1711" s="55" t="inlineStr">
        <is>
          <t>HDFC 5413</t>
        </is>
      </c>
      <c r="J1711" s="55" t="inlineStr"/>
      <c r="K1711" s="55" t="inlineStr">
        <is>
          <t>NET PO FROM HSL A/C 2554606-50200085415108</t>
        </is>
      </c>
      <c r="L1711" s="55" t="inlineStr">
        <is>
          <t>HDFC Bank</t>
        </is>
      </c>
      <c r="M1711" s="55" t="inlineStr"/>
    </row>
    <row r="1712">
      <c r="A1712" s="37" t="n">
        <v>45350</v>
      </c>
      <c r="B1712" s="37" t="n">
        <v>45350</v>
      </c>
      <c r="C1712" s="38" t="n">
        <v>40</v>
      </c>
      <c r="D1712" s="38" t="n">
        <v>0</v>
      </c>
      <c r="E1712" s="38" t="inlineStr"/>
      <c r="F1712" s="38" t="inlineStr">
        <is>
          <t>UPI Payment</t>
        </is>
      </c>
      <c r="G1712" s="25" t="n">
        <v>0.55</v>
      </c>
      <c r="H1712" s="38" t="inlineStr">
        <is>
          <t>Personal</t>
        </is>
      </c>
      <c r="I1712" s="38" t="inlineStr">
        <is>
          <t>FEDERAL 0847</t>
        </is>
      </c>
      <c r="J1712" s="38" t="inlineStr"/>
      <c r="K1712" s="38" t="inlineStr">
        <is>
          <t>UPIOUT/405946179434/Q520292571@ybl/Sent
via /5814</t>
        </is>
      </c>
      <c r="L1712" s="38" t="inlineStr">
        <is>
          <t>Federal Bank (Jupiter)</t>
        </is>
      </c>
      <c r="M1712" s="38" t="inlineStr"/>
    </row>
    <row r="1713">
      <c r="A1713" s="41" t="n">
        <v>45350</v>
      </c>
      <c r="B1713" s="41" t="n">
        <v>45350</v>
      </c>
      <c r="C1713" s="42" t="n">
        <v>49984.6</v>
      </c>
      <c r="D1713" s="42" t="n">
        <v>0</v>
      </c>
      <c r="E1713" s="42" t="inlineStr"/>
      <c r="F1713" s="42" t="inlineStr">
        <is>
          <t>HDFC Securities - Buy</t>
        </is>
      </c>
      <c r="G1713" s="18" t="n">
        <v>0.97</v>
      </c>
      <c r="H1713" s="42" t="inlineStr">
        <is>
          <t>HDFC Securities</t>
        </is>
      </c>
      <c r="I1713" s="42" t="inlineStr">
        <is>
          <t>HDFC 5413</t>
        </is>
      </c>
      <c r="J1713" s="42" t="inlineStr"/>
      <c r="K1713" s="42" t="inlineStr">
        <is>
          <t>NET PI TO HSL SEC A/C 2554606-00602340029427</t>
        </is>
      </c>
      <c r="L1713" s="42" t="inlineStr">
        <is>
          <t>HDFC Bank</t>
        </is>
      </c>
      <c r="M1713" s="42" t="inlineStr"/>
    </row>
    <row r="1714">
      <c r="A1714" s="41" t="n">
        <v>45350</v>
      </c>
      <c r="B1714" s="41" t="n">
        <v>45350</v>
      </c>
      <c r="C1714" s="42" t="n">
        <v>140.76</v>
      </c>
      <c r="D1714" s="42" t="n">
        <v>0</v>
      </c>
      <c r="E1714" s="42" t="inlineStr"/>
      <c r="F1714" s="42" t="inlineStr">
        <is>
          <t>HDFC Securities - Buy</t>
        </is>
      </c>
      <c r="G1714" s="18" t="n">
        <v>0.97</v>
      </c>
      <c r="H1714" s="42" t="inlineStr">
        <is>
          <t>HDFC Securities</t>
        </is>
      </c>
      <c r="I1714" s="42" t="inlineStr">
        <is>
          <t>HDFC 5413</t>
        </is>
      </c>
      <c r="J1714" s="42" t="inlineStr"/>
      <c r="K1714" s="42" t="inlineStr">
        <is>
          <t>NET PI TO HSL SEC A/C 2554606-00602340029427</t>
        </is>
      </c>
      <c r="L1714" s="42" t="inlineStr">
        <is>
          <t>HDFC Bank</t>
        </is>
      </c>
      <c r="M1714" s="42" t="inlineStr"/>
    </row>
    <row r="1715">
      <c r="A1715" s="58" t="n">
        <v>45350</v>
      </c>
      <c r="B1715" s="58" t="n">
        <v>45350</v>
      </c>
      <c r="C1715" s="59" t="n">
        <v>5000</v>
      </c>
      <c r="D1715" s="59" t="n">
        <v>0</v>
      </c>
      <c r="E1715" s="59" t="inlineStr"/>
      <c r="F1715" s="59" t="inlineStr">
        <is>
          <t>SIP</t>
        </is>
      </c>
      <c r="G1715" s="18" t="n">
        <v>0.95</v>
      </c>
      <c r="H1715" s="59" t="inlineStr">
        <is>
          <t>SIP</t>
        </is>
      </c>
      <c r="I1715" s="59" t="inlineStr">
        <is>
          <t>HDFC 5413</t>
        </is>
      </c>
      <c r="J1715" s="59" t="inlineStr"/>
      <c r="K1715" s="59" t="inlineStr">
        <is>
          <t>ACH D- TP ACH INDIANESIGN-1374175425</t>
        </is>
      </c>
      <c r="L1715" s="59" t="inlineStr">
        <is>
          <t>HDFC Bank</t>
        </is>
      </c>
      <c r="M1715" s="59" t="inlineStr"/>
    </row>
    <row r="1716">
      <c r="A1716" s="54" t="n">
        <v>45350</v>
      </c>
      <c r="B1716" s="54" t="n">
        <v>45350</v>
      </c>
      <c r="C1716" s="55" t="n">
        <v>0</v>
      </c>
      <c r="D1716" s="55" t="n">
        <v>45377.68</v>
      </c>
      <c r="E1716" s="55" t="inlineStr"/>
      <c r="F1716" s="55" t="inlineStr">
        <is>
          <t>HDFC Securities - Sell</t>
        </is>
      </c>
      <c r="G1716" s="18" t="n">
        <v>0.97</v>
      </c>
      <c r="H1716" s="55" t="inlineStr">
        <is>
          <t>HDFC Securities</t>
        </is>
      </c>
      <c r="I1716" s="55" t="inlineStr">
        <is>
          <t>HDFC 5413</t>
        </is>
      </c>
      <c r="J1716" s="55" t="inlineStr"/>
      <c r="K1716" s="55" t="inlineStr">
        <is>
          <t>NET PO FROM HSL A/C 2554606-50200085415108</t>
        </is>
      </c>
      <c r="L1716" s="55" t="inlineStr">
        <is>
          <t>HDFC Bank</t>
        </is>
      </c>
      <c r="M1716" s="55" t="inlineStr"/>
    </row>
    <row r="1717">
      <c r="A1717" s="37" t="n">
        <v>45350</v>
      </c>
      <c r="B1717" s="37" t="n">
        <v>45350</v>
      </c>
      <c r="C1717" s="38" t="n">
        <v>30</v>
      </c>
      <c r="D1717" s="38" t="n">
        <v>0</v>
      </c>
      <c r="E1717" s="38" t="inlineStr"/>
      <c r="F1717" s="38" t="inlineStr">
        <is>
          <t>UPI Payment</t>
        </is>
      </c>
      <c r="G1717" s="25" t="n">
        <v>0.55</v>
      </c>
      <c r="H1717" s="38" t="inlineStr">
        <is>
          <t>Personal</t>
        </is>
      </c>
      <c r="I1717" s="38" t="inlineStr">
        <is>
          <t>FEDERAL 0847</t>
        </is>
      </c>
      <c r="J1717" s="38" t="inlineStr"/>
      <c r="K1717" s="38" t="inlineStr">
        <is>
          <t>UPIOUT/405945947150/swapnil.kandale@okicic
i//0000</t>
        </is>
      </c>
      <c r="L1717" s="38" t="inlineStr">
        <is>
          <t>Federal Bank (Jupiter)</t>
        </is>
      </c>
      <c r="M1717" s="38" t="inlineStr"/>
    </row>
    <row r="1718">
      <c r="A1718" s="37" t="n">
        <v>45350</v>
      </c>
      <c r="B1718" s="37" t="n">
        <v>45350</v>
      </c>
      <c r="C1718" s="38" t="n">
        <v>50</v>
      </c>
      <c r="D1718" s="38" t="n">
        <v>0</v>
      </c>
      <c r="E1718" s="38" t="inlineStr"/>
      <c r="F1718" s="38" t="inlineStr">
        <is>
          <t>UPI Payment</t>
        </is>
      </c>
      <c r="G1718" s="25" t="n">
        <v>0.55</v>
      </c>
      <c r="H1718" s="38" t="inlineStr">
        <is>
          <t>Personal</t>
        </is>
      </c>
      <c r="I1718" s="38" t="inlineStr">
        <is>
          <t>FEDERAL 0847</t>
        </is>
      </c>
      <c r="J1718" s="38" t="inlineStr"/>
      <c r="K1718" s="38" t="inlineStr">
        <is>
          <t>UPIOUT/405946262554/Q463323667@ybl/Sent
via /5812</t>
        </is>
      </c>
      <c r="L1718" s="38" t="inlineStr">
        <is>
          <t>Federal Bank (Jupiter)</t>
        </is>
      </c>
      <c r="M1718" s="38" t="inlineStr"/>
    </row>
    <row r="1719">
      <c r="A1719" s="26" t="n">
        <v>45351</v>
      </c>
      <c r="B1719" s="26" t="n">
        <v>45351</v>
      </c>
      <c r="C1719" s="27" t="n">
        <v>0</v>
      </c>
      <c r="D1719" s="27" t="n">
        <v>50000</v>
      </c>
      <c r="E1719" s="27" t="inlineStr"/>
      <c r="F1719" s="27" t="inlineStr">
        <is>
          <t>Received - Ajay Gupta</t>
        </is>
      </c>
      <c r="G1719" s="18" t="n">
        <v>0.88</v>
      </c>
      <c r="H1719" s="27" t="inlineStr">
        <is>
          <t>Ajay Gupta</t>
        </is>
      </c>
      <c r="I1719" s="27" t="inlineStr">
        <is>
          <t>HDFC 5413</t>
        </is>
      </c>
      <c r="J1719" s="27" t="inlineStr"/>
      <c r="K1719" s="27" t="inlineStr">
        <is>
          <t>01671000085930-TPT-BORROW FROM AKG-AJAY KUMAR GUPTA</t>
        </is>
      </c>
      <c r="L1719" s="27" t="inlineStr">
        <is>
          <t>HDFC Bank</t>
        </is>
      </c>
      <c r="M1719" s="27" t="inlineStr"/>
    </row>
    <row r="1720">
      <c r="A1720" s="64" t="n">
        <v>45351</v>
      </c>
      <c r="B1720" s="64" t="n">
        <v>45351</v>
      </c>
      <c r="C1720" s="65" t="n">
        <v>0</v>
      </c>
      <c r="D1720" s="65" t="n">
        <v>63</v>
      </c>
      <c r="E1720" s="65" t="inlineStr"/>
      <c r="F1720" s="65" t="inlineStr">
        <is>
          <t>Dividend Income</t>
        </is>
      </c>
      <c r="G1720" s="18" t="n">
        <v>0.88</v>
      </c>
      <c r="H1720" s="65" t="inlineStr">
        <is>
          <t>Dividend Income</t>
        </is>
      </c>
      <c r="I1720" s="65" t="inlineStr">
        <is>
          <t>HDFC 5413</t>
        </is>
      </c>
      <c r="J1720" s="65" t="inlineStr"/>
      <c r="K1720" s="65" t="inlineStr">
        <is>
          <t>ACH C- POWER FINANCE CORPOR-12924441</t>
        </is>
      </c>
      <c r="L1720" s="65" t="inlineStr">
        <is>
          <t>HDFC Bank</t>
        </is>
      </c>
      <c r="M1720" s="65" t="inlineStr"/>
    </row>
    <row r="1721">
      <c r="A1721" s="41" t="n">
        <v>45351</v>
      </c>
      <c r="B1721" s="41" t="n">
        <v>45351</v>
      </c>
      <c r="C1721" s="42" t="n">
        <v>122.95</v>
      </c>
      <c r="D1721" s="42" t="n">
        <v>0</v>
      </c>
      <c r="E1721" s="42" t="inlineStr"/>
      <c r="F1721" s="42" t="inlineStr">
        <is>
          <t>HDFC Securities - Buy</t>
        </is>
      </c>
      <c r="G1721" s="18" t="n">
        <v>0.97</v>
      </c>
      <c r="H1721" s="42" t="inlineStr">
        <is>
          <t>HDFC Securities</t>
        </is>
      </c>
      <c r="I1721" s="42" t="inlineStr">
        <is>
          <t>HDFC 5413</t>
        </is>
      </c>
      <c r="J1721" s="42" t="inlineStr"/>
      <c r="K1721" s="42" t="inlineStr">
        <is>
          <t>NET PI TO HSL SEC A/C 2554606-00602340029427</t>
        </is>
      </c>
      <c r="L1721" s="42" t="inlineStr">
        <is>
          <t>HDFC Bank</t>
        </is>
      </c>
      <c r="M1721" s="42" t="inlineStr"/>
    </row>
    <row r="1722">
      <c r="A1722" s="58" t="n">
        <v>45351</v>
      </c>
      <c r="B1722" s="58" t="n">
        <v>45351</v>
      </c>
      <c r="C1722" s="59" t="n">
        <v>5000</v>
      </c>
      <c r="D1722" s="59" t="n">
        <v>0</v>
      </c>
      <c r="E1722" s="59" t="inlineStr"/>
      <c r="F1722" s="59" t="inlineStr">
        <is>
          <t>SIP</t>
        </is>
      </c>
      <c r="G1722" s="18" t="n">
        <v>0.95</v>
      </c>
      <c r="H1722" s="59" t="inlineStr">
        <is>
          <t>SIP</t>
        </is>
      </c>
      <c r="I1722" s="59" t="inlineStr">
        <is>
          <t>HDFC 5413</t>
        </is>
      </c>
      <c r="J1722" s="59" t="inlineStr"/>
      <c r="K1722" s="59" t="inlineStr">
        <is>
          <t>ACH D- TP ACH INDIANESIGN-1374583428</t>
        </is>
      </c>
      <c r="L1722" s="59" t="inlineStr">
        <is>
          <t>HDFC Bank</t>
        </is>
      </c>
      <c r="M1722" s="59" t="inlineStr"/>
    </row>
    <row r="1723">
      <c r="A1723" s="35" t="n">
        <v>45351</v>
      </c>
      <c r="B1723" s="35" t="n">
        <v>45351</v>
      </c>
      <c r="C1723" s="36" t="n">
        <v>140</v>
      </c>
      <c r="D1723" s="36" t="n">
        <v>0</v>
      </c>
      <c r="E1723" s="36" t="inlineStr"/>
      <c r="F1723" s="36" t="inlineStr">
        <is>
          <t>UPI - Paytm</t>
        </is>
      </c>
      <c r="G1723" s="34" t="n">
        <v>0.65</v>
      </c>
      <c r="H1723" s="36" t="inlineStr">
        <is>
          <t>Personal</t>
        </is>
      </c>
      <c r="I1723" s="36" t="inlineStr">
        <is>
          <t>FEDERAL 0847</t>
        </is>
      </c>
      <c r="J1723" s="36" t="inlineStr"/>
      <c r="K1723" s="36" t="inlineStr">
        <is>
          <t>UPIOUT/406055344328/9398132619@paytm/Sent
vi/0000</t>
        </is>
      </c>
      <c r="L1723" s="36" t="inlineStr">
        <is>
          <t>Federal Bank (Jupiter)</t>
        </is>
      </c>
      <c r="M1723" s="36" t="inlineStr"/>
    </row>
    <row r="1724">
      <c r="A1724" s="37" t="n">
        <v>45351</v>
      </c>
      <c r="B1724" s="37" t="n">
        <v>45351</v>
      </c>
      <c r="C1724" s="38" t="n">
        <v>150</v>
      </c>
      <c r="D1724" s="38" t="n">
        <v>0</v>
      </c>
      <c r="E1724" s="38" t="inlineStr"/>
      <c r="F1724" s="38" t="inlineStr">
        <is>
          <t>UPI Payment</t>
        </is>
      </c>
      <c r="G1724" s="25" t="n">
        <v>0.55</v>
      </c>
      <c r="H1724" s="38" t="inlineStr">
        <is>
          <t>Personal</t>
        </is>
      </c>
      <c r="I1724" s="38" t="inlineStr">
        <is>
          <t>FEDERAL 0847</t>
        </is>
      </c>
      <c r="J1724" s="38" t="inlineStr"/>
      <c r="K1724" s="38" t="inlineStr">
        <is>
          <t>UPIOUT/406082073212/raisunilkumar882@okici
ci/0000</t>
        </is>
      </c>
      <c r="L1724" s="38" t="inlineStr">
        <is>
          <t>Federal Bank (Jupiter)</t>
        </is>
      </c>
      <c r="M1724" s="38" t="inlineStr"/>
    </row>
    <row r="1725">
      <c r="A1725" s="37" t="n">
        <v>45351</v>
      </c>
      <c r="B1725" s="37" t="n">
        <v>45351</v>
      </c>
      <c r="C1725" s="38" t="n">
        <v>100</v>
      </c>
      <c r="D1725" s="38" t="n">
        <v>0</v>
      </c>
      <c r="E1725" s="38" t="inlineStr"/>
      <c r="F1725" s="38" t="inlineStr">
        <is>
          <t>UPI Payment</t>
        </is>
      </c>
      <c r="G1725" s="25" t="n">
        <v>0.55</v>
      </c>
      <c r="H1725" s="38" t="inlineStr">
        <is>
          <t>Personal</t>
        </is>
      </c>
      <c r="I1725" s="38" t="inlineStr">
        <is>
          <t>FEDERAL 0847</t>
        </is>
      </c>
      <c r="J1725" s="38" t="inlineStr"/>
      <c r="K1725" s="38" t="inlineStr">
        <is>
          <t>UPIOUT/406055960109/praveenkumar.goud1@ybl
/S/0000</t>
        </is>
      </c>
      <c r="L1725" s="38" t="inlineStr">
        <is>
          <t>Federal Bank (Jupiter)</t>
        </is>
      </c>
      <c r="M1725" s="38" t="inlineStr"/>
    </row>
    <row r="1726">
      <c r="A1726" s="37" t="n">
        <v>45351</v>
      </c>
      <c r="B1726" s="37" t="n">
        <v>45351</v>
      </c>
      <c r="C1726" s="38" t="n">
        <v>85</v>
      </c>
      <c r="D1726" s="38" t="n">
        <v>0</v>
      </c>
      <c r="E1726" s="38" t="inlineStr"/>
      <c r="F1726" s="38" t="inlineStr">
        <is>
          <t>UPI Payment</t>
        </is>
      </c>
      <c r="G1726" s="25" t="n">
        <v>0.55</v>
      </c>
      <c r="H1726" s="38" t="inlineStr">
        <is>
          <t>Personal</t>
        </is>
      </c>
      <c r="I1726" s="38" t="inlineStr">
        <is>
          <t>FEDERAL 0847</t>
        </is>
      </c>
      <c r="J1726" s="38" t="inlineStr"/>
      <c r="K1726" s="38" t="inlineStr">
        <is>
          <t>UPIOUT/406055979570/Q620964543@ybl/Sent
via /5814</t>
        </is>
      </c>
      <c r="L1726" s="38" t="inlineStr">
        <is>
          <t>Federal Bank (Jupiter)</t>
        </is>
      </c>
      <c r="M1726" s="38" t="inlineStr"/>
    </row>
    <row r="1727">
      <c r="A1727" s="37" t="n">
        <v>45351</v>
      </c>
      <c r="B1727" s="37" t="n">
        <v>45351</v>
      </c>
      <c r="C1727" s="38" t="n">
        <v>80</v>
      </c>
      <c r="D1727" s="38" t="n">
        <v>0</v>
      </c>
      <c r="E1727" s="38" t="inlineStr"/>
      <c r="F1727" s="38" t="inlineStr">
        <is>
          <t>UPI Payment</t>
        </is>
      </c>
      <c r="G1727" s="25" t="n">
        <v>0.55</v>
      </c>
      <c r="H1727" s="38" t="inlineStr">
        <is>
          <t>Personal</t>
        </is>
      </c>
      <c r="I1727" s="38" t="inlineStr">
        <is>
          <t>FEDERAL 0847</t>
        </is>
      </c>
      <c r="J1727" s="38" t="inlineStr"/>
      <c r="K1727" s="38" t="inlineStr">
        <is>
          <t>UPIOUT/406056320300/Q463323667@ybl/Sent
via /5812</t>
        </is>
      </c>
      <c r="L1727" s="38" t="inlineStr">
        <is>
          <t>Federal Bank (Jupiter)</t>
        </is>
      </c>
      <c r="M1727" s="38" t="inlineStr"/>
    </row>
    <row r="1728">
      <c r="A1728" s="93" t="n">
        <v>45351</v>
      </c>
      <c r="B1728" s="93" t="n">
        <v>45351</v>
      </c>
      <c r="C1728" s="94" t="n">
        <v>40</v>
      </c>
      <c r="D1728" s="94" t="n">
        <v>0</v>
      </c>
      <c r="E1728" s="94" t="inlineStr"/>
      <c r="F1728" s="94" t="inlineStr">
        <is>
          <t>UPI - Google Pay</t>
        </is>
      </c>
      <c r="G1728" s="34" t="n">
        <v>0.65</v>
      </c>
      <c r="H1728" s="94" t="inlineStr">
        <is>
          <t>Personal</t>
        </is>
      </c>
      <c r="I1728" s="94" t="inlineStr">
        <is>
          <t>FEDERAL 0847</t>
        </is>
      </c>
      <c r="J1728" s="94" t="inlineStr"/>
      <c r="K1728" s="94" t="inlineStr">
        <is>
          <t>UPIOUT/406055630229/gpay-11242430272@okbiz
ax/4121</t>
        </is>
      </c>
      <c r="L1728" s="94" t="inlineStr">
        <is>
          <t>Federal Bank (Jupiter)</t>
        </is>
      </c>
      <c r="M1728" s="94" t="inlineStr"/>
    </row>
    <row r="1729">
      <c r="A1729" s="41" t="n">
        <v>45352</v>
      </c>
      <c r="B1729" s="41" t="n">
        <v>45352</v>
      </c>
      <c r="C1729" s="42" t="n">
        <v>122.95</v>
      </c>
      <c r="D1729" s="42" t="n">
        <v>0</v>
      </c>
      <c r="E1729" s="42" t="inlineStr"/>
      <c r="F1729" s="42" t="inlineStr">
        <is>
          <t>HDFC Securities - Buy</t>
        </is>
      </c>
      <c r="G1729" s="18" t="n">
        <v>0.97</v>
      </c>
      <c r="H1729" s="42" t="inlineStr">
        <is>
          <t>HDFC Securities</t>
        </is>
      </c>
      <c r="I1729" s="42" t="inlineStr">
        <is>
          <t>HDFC 5413</t>
        </is>
      </c>
      <c r="J1729" s="42" t="inlineStr"/>
      <c r="K1729" s="42" t="inlineStr">
        <is>
          <t>NET PI TO HSL SEC A/C 2554606-00602340029427</t>
        </is>
      </c>
      <c r="L1729" s="42" t="inlineStr">
        <is>
          <t>HDFC Bank</t>
        </is>
      </c>
      <c r="M1729" s="42" t="inlineStr"/>
    </row>
    <row r="1730">
      <c r="A1730" s="54" t="n">
        <v>45352</v>
      </c>
      <c r="B1730" s="54" t="n">
        <v>45352</v>
      </c>
      <c r="C1730" s="55" t="n">
        <v>0</v>
      </c>
      <c r="D1730" s="55" t="n">
        <v>36237.34</v>
      </c>
      <c r="E1730" s="55" t="inlineStr"/>
      <c r="F1730" s="55" t="inlineStr">
        <is>
          <t>HDFC Securities - Sell</t>
        </is>
      </c>
      <c r="G1730" s="18" t="n">
        <v>0.97</v>
      </c>
      <c r="H1730" s="55" t="inlineStr">
        <is>
          <t>HDFC Securities</t>
        </is>
      </c>
      <c r="I1730" s="55" t="inlineStr">
        <is>
          <t>HDFC 5413</t>
        </is>
      </c>
      <c r="J1730" s="55" t="inlineStr"/>
      <c r="K1730" s="55" t="inlineStr">
        <is>
          <t>NET PO FROM HSL A/C 2554606-50200085415108</t>
        </is>
      </c>
      <c r="L1730" s="55" t="inlineStr">
        <is>
          <t>HDFC Bank</t>
        </is>
      </c>
      <c r="M1730" s="55" t="inlineStr"/>
    </row>
    <row r="1731">
      <c r="A1731" s="54" t="n">
        <v>45352</v>
      </c>
      <c r="B1731" s="54" t="n">
        <v>45352</v>
      </c>
      <c r="C1731" s="55" t="n">
        <v>0</v>
      </c>
      <c r="D1731" s="55" t="n">
        <v>13227.26</v>
      </c>
      <c r="E1731" s="55" t="inlineStr"/>
      <c r="F1731" s="55" t="inlineStr">
        <is>
          <t>HDFC Securities - Sell</t>
        </is>
      </c>
      <c r="G1731" s="18" t="n">
        <v>0.97</v>
      </c>
      <c r="H1731" s="55" t="inlineStr">
        <is>
          <t>HDFC Securities</t>
        </is>
      </c>
      <c r="I1731" s="55" t="inlineStr">
        <is>
          <t>HDFC 5413</t>
        </is>
      </c>
      <c r="J1731" s="55" t="inlineStr"/>
      <c r="K1731" s="55" t="inlineStr">
        <is>
          <t>NET PO FROM HSL A/C 2554606-50200085415108</t>
        </is>
      </c>
      <c r="L1731" s="55" t="inlineStr">
        <is>
          <t>HDFC Bank</t>
        </is>
      </c>
      <c r="M1731" s="55" t="inlineStr"/>
    </row>
    <row r="1732">
      <c r="A1732" s="35" t="n">
        <v>45352</v>
      </c>
      <c r="B1732" s="35" t="n">
        <v>45352</v>
      </c>
      <c r="C1732" s="36" t="n">
        <v>746</v>
      </c>
      <c r="D1732" s="36" t="n">
        <v>0</v>
      </c>
      <c r="E1732" s="36" t="inlineStr"/>
      <c r="F1732" s="36" t="inlineStr">
        <is>
          <t>UPI - Paytm</t>
        </is>
      </c>
      <c r="G1732" s="34" t="n">
        <v>0.65</v>
      </c>
      <c r="H1732" s="36" t="inlineStr">
        <is>
          <t>Personal</t>
        </is>
      </c>
      <c r="I1732" s="36" t="inlineStr">
        <is>
          <t>FEDERAL 0847</t>
        </is>
      </c>
      <c r="J1732" s="36" t="inlineStr"/>
      <c r="K1732" s="36" t="inlineStr">
        <is>
          <t>UPIOUT/406166020242/paytmqr19isap9s8r@payt
m//5812</t>
        </is>
      </c>
      <c r="L1732" s="36" t="inlineStr">
        <is>
          <t>Federal Bank (Jupiter)</t>
        </is>
      </c>
      <c r="M1732" s="36" t="inlineStr"/>
    </row>
    <row r="1733">
      <c r="A1733" s="37" t="n">
        <v>45352</v>
      </c>
      <c r="B1733" s="37" t="n">
        <v>45352</v>
      </c>
      <c r="C1733" s="38" t="n">
        <v>100</v>
      </c>
      <c r="D1733" s="38" t="n">
        <v>0</v>
      </c>
      <c r="E1733" s="38" t="inlineStr"/>
      <c r="F1733" s="38" t="inlineStr">
        <is>
          <t>UPI Payment</t>
        </is>
      </c>
      <c r="G1733" s="25" t="n">
        <v>0.55</v>
      </c>
      <c r="H1733" s="38" t="inlineStr">
        <is>
          <t>Personal</t>
        </is>
      </c>
      <c r="I1733" s="38" t="inlineStr">
        <is>
          <t>FEDERAL 0847</t>
        </is>
      </c>
      <c r="J1733" s="38" t="inlineStr"/>
      <c r="K1733" s="38" t="inlineStr">
        <is>
          <t>UPIOUT/406164839909/Q923022406@ybl/Sent
via /5814</t>
        </is>
      </c>
      <c r="L1733" s="38" t="inlineStr">
        <is>
          <t>Federal Bank (Jupiter)</t>
        </is>
      </c>
      <c r="M1733" s="38" t="inlineStr"/>
    </row>
    <row r="1734">
      <c r="A1734" s="37" t="n">
        <v>45352</v>
      </c>
      <c r="B1734" s="37" t="n">
        <v>45352</v>
      </c>
      <c r="C1734" s="38" t="n">
        <v>1240</v>
      </c>
      <c r="D1734" s="38" t="n">
        <v>0</v>
      </c>
      <c r="E1734" s="38" t="inlineStr"/>
      <c r="F1734" s="38" t="inlineStr">
        <is>
          <t>UPI Payment</t>
        </is>
      </c>
      <c r="G1734" s="25" t="n">
        <v>0.55</v>
      </c>
      <c r="H1734" s="38" t="inlineStr">
        <is>
          <t>Personal</t>
        </is>
      </c>
      <c r="I1734" s="38" t="inlineStr">
        <is>
          <t>FEDERAL 0847</t>
        </is>
      </c>
      <c r="J1734" s="38" t="inlineStr"/>
      <c r="K1734" s="38" t="inlineStr">
        <is>
          <t>UPIOUT/406164819034/Q241229658@ybl/Sent
via /5411</t>
        </is>
      </c>
      <c r="L1734" s="38" t="inlineStr">
        <is>
          <t>Federal Bank (Jupiter)</t>
        </is>
      </c>
      <c r="M1734" s="38" t="inlineStr"/>
    </row>
    <row r="1735">
      <c r="A1735" s="23" t="n">
        <v>45352</v>
      </c>
      <c r="B1735" s="23" t="n">
        <v>45352</v>
      </c>
      <c r="C1735" s="24" t="n">
        <v>0</v>
      </c>
      <c r="D1735" s="24" t="n">
        <v>22500</v>
      </c>
      <c r="E1735" s="24" t="inlineStr"/>
      <c r="F1735" s="24" t="inlineStr">
        <is>
          <t>What is this?</t>
        </is>
      </c>
      <c r="G1735" s="25" t="n">
        <v>0</v>
      </c>
      <c r="H1735" s="24" t="inlineStr">
        <is>
          <t>Suspense</t>
        </is>
      </c>
      <c r="I1735" s="24" t="inlineStr">
        <is>
          <t>FEDERAL 0847</t>
        </is>
      </c>
      <c r="J1735" s="24" t="inlineStr"/>
      <c r="K1735" s="24" t="inlineStr">
        <is>
          <t>NFT/DR REDDYS LABOR/CITIN24432370705/CITI</t>
        </is>
      </c>
      <c r="L1735" s="24" t="inlineStr">
        <is>
          <t>Federal Bank (Jupiter)</t>
        </is>
      </c>
      <c r="M1735" s="24" t="inlineStr"/>
    </row>
    <row r="1736">
      <c r="A1736" s="35" t="n">
        <v>45352</v>
      </c>
      <c r="B1736" s="35" t="n">
        <v>45352</v>
      </c>
      <c r="C1736" s="36" t="n">
        <v>126</v>
      </c>
      <c r="D1736" s="36" t="n">
        <v>0</v>
      </c>
      <c r="E1736" s="36" t="inlineStr"/>
      <c r="F1736" s="36" t="inlineStr">
        <is>
          <t>UPI - Paytm</t>
        </is>
      </c>
      <c r="G1736" s="34" t="n">
        <v>0.65</v>
      </c>
      <c r="H1736" s="36" t="inlineStr">
        <is>
          <t>Personal</t>
        </is>
      </c>
      <c r="I1736" s="36" t="inlineStr">
        <is>
          <t>FEDERAL 0847</t>
        </is>
      </c>
      <c r="J1736" s="36" t="inlineStr"/>
      <c r="K1736" s="36" t="inlineStr">
        <is>
          <t>UPIOUT/406162435231/paytmqr19isap9s8r@payt
m//5812</t>
        </is>
      </c>
      <c r="L1736" s="36" t="inlineStr">
        <is>
          <t>Federal Bank (Jupiter)</t>
        </is>
      </c>
      <c r="M1736" s="36" t="inlineStr"/>
    </row>
    <row r="1737">
      <c r="A1737" s="37" t="n">
        <v>45352</v>
      </c>
      <c r="B1737" s="37" t="n">
        <v>45352</v>
      </c>
      <c r="C1737" s="38" t="n">
        <v>20</v>
      </c>
      <c r="D1737" s="38" t="n">
        <v>0</v>
      </c>
      <c r="E1737" s="38" t="inlineStr"/>
      <c r="F1737" s="38" t="inlineStr">
        <is>
          <t>UPI Payment</t>
        </is>
      </c>
      <c r="G1737" s="25" t="n">
        <v>0.55</v>
      </c>
      <c r="H1737" s="38" t="inlineStr">
        <is>
          <t>Personal</t>
        </is>
      </c>
      <c r="I1737" s="38" t="inlineStr">
        <is>
          <t>FEDERAL 0847</t>
        </is>
      </c>
      <c r="J1737" s="38" t="inlineStr"/>
      <c r="K1737" s="38" t="inlineStr">
        <is>
          <t>UPIOUT/406162282439/Q407907754@ybl/Sent
via /5812</t>
        </is>
      </c>
      <c r="L1737" s="38" t="inlineStr">
        <is>
          <t>Federal Bank (Jupiter)</t>
        </is>
      </c>
      <c r="M1737" s="38" t="inlineStr"/>
    </row>
    <row r="1738">
      <c r="A1738" s="54" t="n">
        <v>45352</v>
      </c>
      <c r="B1738" s="54" t="n">
        <v>45352</v>
      </c>
      <c r="C1738" s="55" t="n">
        <v>0</v>
      </c>
      <c r="D1738" s="55" t="n">
        <v>1807.09</v>
      </c>
      <c r="E1738" s="55" t="inlineStr"/>
      <c r="F1738" s="55" t="inlineStr">
        <is>
          <t>HDFC Securities - Sell</t>
        </is>
      </c>
      <c r="G1738" s="18" t="n">
        <v>0.97</v>
      </c>
      <c r="H1738" s="55" t="inlineStr">
        <is>
          <t>HDFC Securities</t>
        </is>
      </c>
      <c r="I1738" s="55" t="inlineStr">
        <is>
          <t>HDFC 5413</t>
        </is>
      </c>
      <c r="J1738" s="55" t="inlineStr"/>
      <c r="K1738" s="55" t="inlineStr">
        <is>
          <t>NET PO FROM HSL A/C 2554606-50200085415108</t>
        </is>
      </c>
      <c r="L1738" s="55" t="inlineStr">
        <is>
          <t>HDFC Bank</t>
        </is>
      </c>
      <c r="M1738" s="55" t="inlineStr"/>
    </row>
    <row r="1739">
      <c r="A1739" s="37" t="n">
        <v>45352</v>
      </c>
      <c r="B1739" s="37" t="n">
        <v>45352</v>
      </c>
      <c r="C1739" s="38" t="n">
        <v>200</v>
      </c>
      <c r="D1739" s="38" t="n">
        <v>0</v>
      </c>
      <c r="E1739" s="38" t="inlineStr"/>
      <c r="F1739" s="38" t="inlineStr">
        <is>
          <t>UPI Payment</t>
        </is>
      </c>
      <c r="G1739" s="25" t="n">
        <v>0.55</v>
      </c>
      <c r="H1739" s="38" t="inlineStr">
        <is>
          <t>Personal</t>
        </is>
      </c>
      <c r="I1739" s="38" t="inlineStr">
        <is>
          <t>FEDERAL 0847</t>
        </is>
      </c>
      <c r="J1739" s="38" t="inlineStr"/>
      <c r="K1739" s="38" t="inlineStr">
        <is>
          <t>UPIOUT/406164001983/Q015480866@ybl/Sent
via /7230</t>
        </is>
      </c>
      <c r="L1739" s="38" t="inlineStr">
        <is>
          <t>Federal Bank (Jupiter)</t>
        </is>
      </c>
      <c r="M1739" s="38" t="inlineStr"/>
    </row>
    <row r="1740">
      <c r="A1740" s="64" t="n">
        <v>45352</v>
      </c>
      <c r="B1740" s="64" t="n">
        <v>45352</v>
      </c>
      <c r="C1740" s="65" t="n">
        <v>0</v>
      </c>
      <c r="D1740" s="65" t="n">
        <v>84</v>
      </c>
      <c r="E1740" s="65" t="inlineStr"/>
      <c r="F1740" s="65" t="inlineStr">
        <is>
          <t>Dividend Income</t>
        </is>
      </c>
      <c r="G1740" s="18" t="n">
        <v>0.88</v>
      </c>
      <c r="H1740" s="65" t="inlineStr">
        <is>
          <t>Dividend Income</t>
        </is>
      </c>
      <c r="I1740" s="65" t="inlineStr">
        <is>
          <t>HDFC 5413</t>
        </is>
      </c>
      <c r="J1740" s="65" t="inlineStr"/>
      <c r="K1740" s="65" t="inlineStr">
        <is>
          <t>ACH C- APOLLO HOSP.IDIV2024-AHLIN3015495</t>
        </is>
      </c>
      <c r="L1740" s="65" t="inlineStr">
        <is>
          <t>HDFC Bank</t>
        </is>
      </c>
      <c r="M1740" s="65" t="inlineStr"/>
    </row>
    <row r="1741">
      <c r="A1741" s="41" t="n">
        <v>45353</v>
      </c>
      <c r="B1741" s="41" t="n">
        <v>45353</v>
      </c>
      <c r="C1741" s="42" t="n">
        <v>7149.85</v>
      </c>
      <c r="D1741" s="42" t="n">
        <v>0</v>
      </c>
      <c r="E1741" s="42" t="inlineStr"/>
      <c r="F1741" s="42" t="inlineStr">
        <is>
          <t>HDFC Securities - Buy</t>
        </is>
      </c>
      <c r="G1741" s="18" t="n">
        <v>0.97</v>
      </c>
      <c r="H1741" s="42" t="inlineStr">
        <is>
          <t>HDFC Securities</t>
        </is>
      </c>
      <c r="I1741" s="42" t="inlineStr">
        <is>
          <t>HDFC 5413</t>
        </is>
      </c>
      <c r="J1741" s="42" t="inlineStr"/>
      <c r="K1741" s="42" t="inlineStr">
        <is>
          <t>NET PI TO HSL SEC A/C 2554606-00602340029427</t>
        </is>
      </c>
      <c r="L1741" s="42" t="inlineStr">
        <is>
          <t>HDFC Bank</t>
        </is>
      </c>
      <c r="M1741" s="42" t="inlineStr"/>
    </row>
    <row r="1742">
      <c r="A1742" s="26" t="n">
        <v>45353</v>
      </c>
      <c r="B1742" s="26" t="n">
        <v>45353</v>
      </c>
      <c r="C1742" s="27" t="n">
        <v>50000</v>
      </c>
      <c r="D1742" s="27" t="n">
        <v>0</v>
      </c>
      <c r="E1742" s="27" t="inlineStr"/>
      <c r="F1742" s="27" t="inlineStr">
        <is>
          <t>Transfer - Ajay Gupta</t>
        </is>
      </c>
      <c r="G1742" s="18" t="n">
        <v>0.88</v>
      </c>
      <c r="H1742" s="27" t="inlineStr">
        <is>
          <t>Ajay Gupta</t>
        </is>
      </c>
      <c r="I1742" s="27" t="inlineStr">
        <is>
          <t>HDFC 5413</t>
        </is>
      </c>
      <c r="J1742" s="27" t="inlineStr"/>
      <c r="K1742" s="27" t="inlineStr">
        <is>
          <t>01671000085930-TPT-MONEY RETURNED TO AKG-AJAY KUMAR GUPTA</t>
        </is>
      </c>
      <c r="L1742" s="27" t="inlineStr">
        <is>
          <t>HDFC Bank</t>
        </is>
      </c>
      <c r="M1742" s="27" t="inlineStr"/>
    </row>
    <row r="1743">
      <c r="A1743" s="35" t="n">
        <v>45353</v>
      </c>
      <c r="B1743" s="35" t="n">
        <v>45353</v>
      </c>
      <c r="C1743" s="36" t="n">
        <v>62</v>
      </c>
      <c r="D1743" s="36" t="n">
        <v>0</v>
      </c>
      <c r="E1743" s="36" t="inlineStr"/>
      <c r="F1743" s="36" t="inlineStr">
        <is>
          <t>UPI - Paytm</t>
        </is>
      </c>
      <c r="G1743" s="34" t="n">
        <v>0.65</v>
      </c>
      <c r="H1743" s="36" t="inlineStr">
        <is>
          <t>Personal</t>
        </is>
      </c>
      <c r="I1743" s="36" t="inlineStr">
        <is>
          <t>FEDERAL 0847</t>
        </is>
      </c>
      <c r="J1743" s="36" t="inlineStr"/>
      <c r="K1743" s="36" t="inlineStr">
        <is>
          <t>UPIOUT/406267647856/paytmqr1v2gimch4w@payt
m//5411</t>
        </is>
      </c>
      <c r="L1743" s="36" t="inlineStr">
        <is>
          <t>Federal Bank (Jupiter)</t>
        </is>
      </c>
      <c r="M1743" s="36" t="inlineStr"/>
    </row>
    <row r="1744">
      <c r="A1744" s="62" t="n">
        <v>45353</v>
      </c>
      <c r="B1744" s="62" t="n">
        <v>45353</v>
      </c>
      <c r="C1744" s="63" t="n">
        <v>10000</v>
      </c>
      <c r="D1744" s="63" t="n">
        <v>0</v>
      </c>
      <c r="E1744" s="63" t="inlineStr"/>
      <c r="F1744" s="63" t="inlineStr">
        <is>
          <t>Transfer - Sunita Gupta</t>
        </is>
      </c>
      <c r="G1744" s="18" t="n">
        <v>0.88</v>
      </c>
      <c r="H1744" s="63" t="inlineStr">
        <is>
          <t>Sunita Gupta</t>
        </is>
      </c>
      <c r="I1744" s="63" t="inlineStr">
        <is>
          <t>HDFC 5413</t>
        </is>
      </c>
      <c r="J1744" s="63" t="inlineStr"/>
      <c r="K1744" s="63" t="inlineStr">
        <is>
          <t>01671000060094-TPT-MONEY RETURNED TO SUNITA-SUNITA GUPTA</t>
        </is>
      </c>
      <c r="L1744" s="63" t="inlineStr">
        <is>
          <t>HDFC Bank</t>
        </is>
      </c>
      <c r="M1744" s="63" t="inlineStr"/>
    </row>
    <row r="1745">
      <c r="A1745" s="95" t="n">
        <v>45353</v>
      </c>
      <c r="B1745" s="95" t="n">
        <v>45353</v>
      </c>
      <c r="C1745" s="96" t="n">
        <v>699</v>
      </c>
      <c r="D1745" s="96" t="n">
        <v>0</v>
      </c>
      <c r="E1745" s="96" t="inlineStr"/>
      <c r="F1745" s="96" t="inlineStr">
        <is>
          <t>UPI - DMart</t>
        </is>
      </c>
      <c r="G1745" s="18" t="n">
        <v>0.88</v>
      </c>
      <c r="H1745" s="96" t="inlineStr">
        <is>
          <t>Groceries</t>
        </is>
      </c>
      <c r="I1745" s="96" t="inlineStr">
        <is>
          <t>FEDERAL 0847</t>
        </is>
      </c>
      <c r="J1745" s="96" t="inlineStr"/>
      <c r="K1745" s="96" t="inlineStr">
        <is>
          <t>UPIOUT/406253592441/dmartready.42536023@hd
fc/5411</t>
        </is>
      </c>
      <c r="L1745" s="96" t="inlineStr">
        <is>
          <t>Federal Bank (Jupiter)</t>
        </is>
      </c>
      <c r="M1745" s="96" t="inlineStr"/>
    </row>
    <row r="1746">
      <c r="A1746" s="37" t="n">
        <v>45353</v>
      </c>
      <c r="B1746" s="37" t="n">
        <v>45353</v>
      </c>
      <c r="C1746" s="38" t="n">
        <v>578</v>
      </c>
      <c r="D1746" s="38" t="n">
        <v>0</v>
      </c>
      <c r="E1746" s="38" t="inlineStr"/>
      <c r="F1746" s="38" t="inlineStr">
        <is>
          <t>UPI Payment</t>
        </is>
      </c>
      <c r="G1746" s="25" t="n">
        <v>0.55</v>
      </c>
      <c r="H1746" s="38" t="inlineStr">
        <is>
          <t>Personal</t>
        </is>
      </c>
      <c r="I1746" s="38" t="inlineStr">
        <is>
          <t>FEDERAL 0847</t>
        </is>
      </c>
      <c r="J1746" s="38" t="inlineStr"/>
      <c r="K1746" s="38" t="inlineStr">
        <is>
          <t>UPIOUT/406255701422/q588259285@ybl/UPI/544
1</t>
        </is>
      </c>
      <c r="L1746" s="38" t="inlineStr">
        <is>
          <t>Federal Bank (Jupiter)</t>
        </is>
      </c>
      <c r="M1746" s="38" t="inlineStr"/>
    </row>
    <row r="1747">
      <c r="A1747" s="37" t="n">
        <v>45353</v>
      </c>
      <c r="B1747" s="37" t="n">
        <v>45353</v>
      </c>
      <c r="C1747" s="38" t="n">
        <v>12</v>
      </c>
      <c r="D1747" s="38" t="n">
        <v>0</v>
      </c>
      <c r="E1747" s="38" t="inlineStr"/>
      <c r="F1747" s="38" t="inlineStr">
        <is>
          <t>UPI Payment</t>
        </is>
      </c>
      <c r="G1747" s="25" t="n">
        <v>0.55</v>
      </c>
      <c r="H1747" s="38" t="inlineStr">
        <is>
          <t>Personal</t>
        </is>
      </c>
      <c r="I1747" s="38" t="inlineStr">
        <is>
          <t>FEDERAL 0847</t>
        </is>
      </c>
      <c r="J1747" s="38" t="inlineStr"/>
      <c r="K1747" s="38" t="inlineStr">
        <is>
          <t>UPIOUT/406267376037/Q832428843@ybl/Sent
via /5814</t>
        </is>
      </c>
      <c r="L1747" s="38" t="inlineStr">
        <is>
          <t>Federal Bank (Jupiter)</t>
        </is>
      </c>
      <c r="M1747" s="38" t="inlineStr"/>
    </row>
    <row r="1748">
      <c r="A1748" s="91" t="n">
        <v>45353</v>
      </c>
      <c r="B1748" s="91" t="n">
        <v>45353</v>
      </c>
      <c r="C1748" s="92" t="n">
        <v>484.25</v>
      </c>
      <c r="D1748" s="92" t="n">
        <v>0</v>
      </c>
      <c r="E1748" s="92" t="inlineStr"/>
      <c r="F1748" s="92" t="inlineStr">
        <is>
          <t>UPI - Uber</t>
        </is>
      </c>
      <c r="G1748" s="34" t="n">
        <v>0.68</v>
      </c>
      <c r="H1748" s="92" t="inlineStr">
        <is>
          <t>Transport</t>
        </is>
      </c>
      <c r="I1748" s="92" t="inlineStr">
        <is>
          <t>FEDERAL 0847</t>
        </is>
      </c>
      <c r="J1748" s="92" t="inlineStr"/>
      <c r="K1748" s="92" t="inlineStr">
        <is>
          <t>UPIOUT/406245825171/uberrides@hdfcbank/cha
rg/5960</t>
        </is>
      </c>
      <c r="L1748" s="92" t="inlineStr">
        <is>
          <t>Federal Bank (Jupiter)</t>
        </is>
      </c>
      <c r="M1748" s="92" t="inlineStr"/>
    </row>
    <row r="1749">
      <c r="A1749" s="91" t="n">
        <v>45354</v>
      </c>
      <c r="B1749" s="91" t="n">
        <v>45355</v>
      </c>
      <c r="C1749" s="92" t="n">
        <v>43.05</v>
      </c>
      <c r="D1749" s="92" t="n">
        <v>0</v>
      </c>
      <c r="E1749" s="92" t="inlineStr"/>
      <c r="F1749" s="92" t="inlineStr">
        <is>
          <t>UPI - Uber</t>
        </is>
      </c>
      <c r="G1749" s="34" t="n">
        <v>0.68</v>
      </c>
      <c r="H1749" s="92" t="inlineStr">
        <is>
          <t>Transport</t>
        </is>
      </c>
      <c r="I1749" s="92" t="inlineStr">
        <is>
          <t>FEDERAL 0847</t>
        </is>
      </c>
      <c r="J1749" s="92" t="inlineStr"/>
      <c r="K1749" s="92" t="inlineStr">
        <is>
          <t>UPIOUT/406481154896/uber@axisbank/charge/4
121</t>
        </is>
      </c>
      <c r="L1749" s="92" t="inlineStr">
        <is>
          <t>Federal Bank (Jupiter)</t>
        </is>
      </c>
      <c r="M1749" s="92" t="inlineStr"/>
    </row>
    <row r="1750">
      <c r="A1750" s="37" t="n">
        <v>45354</v>
      </c>
      <c r="B1750" s="37" t="n">
        <v>45354</v>
      </c>
      <c r="C1750" s="38" t="n">
        <v>263</v>
      </c>
      <c r="D1750" s="38" t="n">
        <v>0</v>
      </c>
      <c r="E1750" s="38" t="inlineStr"/>
      <c r="F1750" s="38" t="inlineStr">
        <is>
          <t>UPI Payment</t>
        </is>
      </c>
      <c r="G1750" s="25" t="n">
        <v>0.55</v>
      </c>
      <c r="H1750" s="38" t="inlineStr">
        <is>
          <t>Personal</t>
        </is>
      </c>
      <c r="I1750" s="38" t="inlineStr">
        <is>
          <t>FEDERAL 0847</t>
        </is>
      </c>
      <c r="J1750" s="38" t="inlineStr"/>
      <c r="K1750" s="38" t="inlineStr">
        <is>
          <t>UPIOUT/406375538078/Q07483153@ybl/Sent via
J/5813</t>
        </is>
      </c>
      <c r="L1750" s="38" t="inlineStr">
        <is>
          <t>Federal Bank (Jupiter)</t>
        </is>
      </c>
      <c r="M1750" s="38" t="inlineStr"/>
    </row>
    <row r="1751">
      <c r="A1751" s="58" t="n">
        <v>45354</v>
      </c>
      <c r="B1751" s="58" t="n">
        <v>45354</v>
      </c>
      <c r="C1751" s="59" t="n">
        <v>1000</v>
      </c>
      <c r="D1751" s="59" t="n">
        <v>0</v>
      </c>
      <c r="E1751" s="59" t="inlineStr"/>
      <c r="F1751" s="59" t="inlineStr">
        <is>
          <t>MF Investment</t>
        </is>
      </c>
      <c r="G1751" s="18" t="n">
        <v>0.88</v>
      </c>
      <c r="H1751" s="59" t="inlineStr">
        <is>
          <t>Investments</t>
        </is>
      </c>
      <c r="I1751" s="59" t="inlineStr">
        <is>
          <t>FEDERAL 0847</t>
        </is>
      </c>
      <c r="J1751" s="59" t="inlineStr"/>
      <c r="K1751" s="59" t="inlineStr">
        <is>
          <t>NFT/NEOSIEXEDDD2024030304151178179 NAVI
Mutual Fun</t>
        </is>
      </c>
      <c r="L1751" s="59" t="inlineStr">
        <is>
          <t>Federal Bank (Jupiter)</t>
        </is>
      </c>
      <c r="M1751" s="59" t="inlineStr"/>
    </row>
    <row r="1752">
      <c r="A1752" s="37" t="n">
        <v>45354</v>
      </c>
      <c r="B1752" s="37" t="n">
        <v>45354</v>
      </c>
      <c r="C1752" s="38" t="n">
        <v>477</v>
      </c>
      <c r="D1752" s="38" t="n">
        <v>0</v>
      </c>
      <c r="E1752" s="38" t="inlineStr"/>
      <c r="F1752" s="38" t="inlineStr">
        <is>
          <t>UPI Payment</t>
        </is>
      </c>
      <c r="G1752" s="25" t="n">
        <v>0.55</v>
      </c>
      <c r="H1752" s="38" t="inlineStr">
        <is>
          <t>Personal</t>
        </is>
      </c>
      <c r="I1752" s="38" t="inlineStr">
        <is>
          <t>FEDERAL 0847</t>
        </is>
      </c>
      <c r="J1752" s="38" t="inlineStr"/>
      <c r="K1752" s="38" t="inlineStr">
        <is>
          <t>UPIOUT/406377760682/Q07483153@ybl/Sent via
J/5813</t>
        </is>
      </c>
      <c r="L1752" s="38" t="inlineStr">
        <is>
          <t>Federal Bank (Jupiter)</t>
        </is>
      </c>
      <c r="M1752" s="38" t="inlineStr"/>
    </row>
    <row r="1753">
      <c r="A1753" s="37" t="n">
        <v>45354</v>
      </c>
      <c r="B1753" s="37" t="n">
        <v>45354</v>
      </c>
      <c r="C1753" s="38" t="n">
        <v>103</v>
      </c>
      <c r="D1753" s="38" t="n">
        <v>0</v>
      </c>
      <c r="E1753" s="38" t="inlineStr"/>
      <c r="F1753" s="38" t="inlineStr">
        <is>
          <t>UPI Payment</t>
        </is>
      </c>
      <c r="G1753" s="25" t="n">
        <v>0.55</v>
      </c>
      <c r="H1753" s="38" t="inlineStr">
        <is>
          <t>Personal</t>
        </is>
      </c>
      <c r="I1753" s="38" t="inlineStr">
        <is>
          <t>FEDERAL 0847</t>
        </is>
      </c>
      <c r="J1753" s="38" t="inlineStr"/>
      <c r="K1753" s="38" t="inlineStr">
        <is>
          <t>UPIOUT/406379187069/Q50245732@ybl/Sent via
J/5813</t>
        </is>
      </c>
      <c r="L1753" s="38" t="inlineStr">
        <is>
          <t>Federal Bank (Jupiter)</t>
        </is>
      </c>
      <c r="M1753" s="38" t="inlineStr"/>
    </row>
    <row r="1754">
      <c r="A1754" s="37" t="n">
        <v>45354</v>
      </c>
      <c r="B1754" s="37" t="n">
        <v>45354</v>
      </c>
      <c r="C1754" s="38" t="n">
        <v>156</v>
      </c>
      <c r="D1754" s="38" t="n">
        <v>0</v>
      </c>
      <c r="E1754" s="38" t="inlineStr"/>
      <c r="F1754" s="38" t="inlineStr">
        <is>
          <t>UPI Payment</t>
        </is>
      </c>
      <c r="G1754" s="25" t="n">
        <v>0.55</v>
      </c>
      <c r="H1754" s="38" t="inlineStr">
        <is>
          <t>Personal</t>
        </is>
      </c>
      <c r="I1754" s="38" t="inlineStr">
        <is>
          <t>FEDERAL 0847</t>
        </is>
      </c>
      <c r="J1754" s="38" t="inlineStr"/>
      <c r="K1754" s="38" t="inlineStr">
        <is>
          <t>UPIOUT/406380181787/Q75895864@ybl/Sent via
J/5813</t>
        </is>
      </c>
      <c r="L1754" s="38" t="inlineStr">
        <is>
          <t>Federal Bank (Jupiter)</t>
        </is>
      </c>
      <c r="M1754" s="38" t="inlineStr"/>
    </row>
    <row r="1755">
      <c r="A1755" s="91" t="n">
        <v>45354</v>
      </c>
      <c r="B1755" s="91" t="n">
        <v>45354</v>
      </c>
      <c r="C1755" s="92" t="n">
        <v>32.58</v>
      </c>
      <c r="D1755" s="92" t="n">
        <v>0</v>
      </c>
      <c r="E1755" s="92" t="inlineStr"/>
      <c r="F1755" s="92" t="inlineStr">
        <is>
          <t>UPI - Uber</t>
        </is>
      </c>
      <c r="G1755" s="34" t="n">
        <v>0.68</v>
      </c>
      <c r="H1755" s="92" t="inlineStr">
        <is>
          <t>Transport</t>
        </is>
      </c>
      <c r="I1755" s="92" t="inlineStr">
        <is>
          <t>FEDERAL 0847</t>
        </is>
      </c>
      <c r="J1755" s="92" t="inlineStr"/>
      <c r="K1755" s="92" t="inlineStr">
        <is>
          <t>UPIOUT/406349558815/uberrides@hdfcbank/cha
rg/5960</t>
        </is>
      </c>
      <c r="L1755" s="92" t="inlineStr">
        <is>
          <t>Federal Bank (Jupiter)</t>
        </is>
      </c>
      <c r="M1755" s="92" t="inlineStr"/>
    </row>
    <row r="1756">
      <c r="A1756" s="93" t="n">
        <v>45354</v>
      </c>
      <c r="B1756" s="93" t="n">
        <v>45354</v>
      </c>
      <c r="C1756" s="94" t="n">
        <v>371</v>
      </c>
      <c r="D1756" s="94" t="n">
        <v>0</v>
      </c>
      <c r="E1756" s="94" t="inlineStr"/>
      <c r="F1756" s="94" t="inlineStr">
        <is>
          <t>UPI - Google Pay</t>
        </is>
      </c>
      <c r="G1756" s="34" t="n">
        <v>0.65</v>
      </c>
      <c r="H1756" s="94" t="inlineStr">
        <is>
          <t>Personal</t>
        </is>
      </c>
      <c r="I1756" s="94" t="inlineStr">
        <is>
          <t>FEDERAL 0847</t>
        </is>
      </c>
      <c r="J1756" s="94" t="inlineStr"/>
      <c r="K1756" s="94" t="inlineStr">
        <is>
          <t>UPIOUT/406375219315/gpay-11239420124@okbiz
ax/5814</t>
        </is>
      </c>
      <c r="L1756" s="94" t="inlineStr">
        <is>
          <t>Federal Bank (Jupiter)</t>
        </is>
      </c>
      <c r="M1756" s="94" t="inlineStr"/>
    </row>
    <row r="1757">
      <c r="A1757" s="37" t="n">
        <v>45355</v>
      </c>
      <c r="B1757" s="37" t="n">
        <v>45356</v>
      </c>
      <c r="C1757" s="38" t="n">
        <v>115</v>
      </c>
      <c r="D1757" s="38" t="n">
        <v>0</v>
      </c>
      <c r="E1757" s="38" t="inlineStr"/>
      <c r="F1757" s="38" t="inlineStr">
        <is>
          <t>UPI Payment</t>
        </is>
      </c>
      <c r="G1757" s="25" t="n">
        <v>0.55</v>
      </c>
      <c r="H1757" s="38" t="inlineStr">
        <is>
          <t>Personal</t>
        </is>
      </c>
      <c r="I1757" s="38" t="inlineStr">
        <is>
          <t>FEDERAL 0847</t>
        </is>
      </c>
      <c r="J1757" s="38" t="inlineStr"/>
      <c r="K1757" s="38" t="inlineStr">
        <is>
          <t>UPIOUT/406563666578/sudhirmalil415@okicici
/U/0000</t>
        </is>
      </c>
      <c r="L1757" s="38" t="inlineStr">
        <is>
          <t>Federal Bank (Jupiter)</t>
        </is>
      </c>
      <c r="M1757" s="38" t="inlineStr"/>
    </row>
    <row r="1758">
      <c r="A1758" s="41" t="n">
        <v>45355</v>
      </c>
      <c r="B1758" s="41" t="n">
        <v>45355</v>
      </c>
      <c r="C1758" s="42" t="n">
        <v>349.17</v>
      </c>
      <c r="D1758" s="42" t="n">
        <v>0</v>
      </c>
      <c r="E1758" s="42" t="inlineStr"/>
      <c r="F1758" s="42" t="inlineStr">
        <is>
          <t>HDFC Securities - Buy</t>
        </is>
      </c>
      <c r="G1758" s="18" t="n">
        <v>0.97</v>
      </c>
      <c r="H1758" s="42" t="inlineStr">
        <is>
          <t>HDFC Securities</t>
        </is>
      </c>
      <c r="I1758" s="42" t="inlineStr">
        <is>
          <t>HDFC 5413</t>
        </is>
      </c>
      <c r="J1758" s="42" t="inlineStr"/>
      <c r="K1758" s="42" t="inlineStr">
        <is>
          <t>NET PI TO HSL SEC A/C 2554606-00602340029427</t>
        </is>
      </c>
      <c r="L1758" s="42" t="inlineStr">
        <is>
          <t>HDFC Bank</t>
        </is>
      </c>
      <c r="M1758" s="42" t="inlineStr"/>
    </row>
    <row r="1759">
      <c r="A1759" s="37" t="n">
        <v>45355</v>
      </c>
      <c r="B1759" s="37" t="n">
        <v>45355</v>
      </c>
      <c r="C1759" s="38" t="n">
        <v>906</v>
      </c>
      <c r="D1759" s="38" t="n">
        <v>0</v>
      </c>
      <c r="E1759" s="38" t="inlineStr"/>
      <c r="F1759" s="38" t="inlineStr">
        <is>
          <t>UPI Payment</t>
        </is>
      </c>
      <c r="G1759" s="25" t="n">
        <v>0.55</v>
      </c>
      <c r="H1759" s="38" t="inlineStr">
        <is>
          <t>Personal</t>
        </is>
      </c>
      <c r="I1759" s="38" t="inlineStr">
        <is>
          <t>FEDERAL 0847</t>
        </is>
      </c>
      <c r="J1759" s="38" t="inlineStr"/>
      <c r="K1759" s="38" t="inlineStr">
        <is>
          <t>UPIOUT/406490565934/Q80015469@ybl/Sent via
J/5813</t>
        </is>
      </c>
      <c r="L1759" s="38" t="inlineStr">
        <is>
          <t>Federal Bank (Jupiter)</t>
        </is>
      </c>
      <c r="M1759" s="38" t="inlineStr"/>
    </row>
    <row r="1760">
      <c r="A1760" s="37" t="n">
        <v>45356</v>
      </c>
      <c r="B1760" s="37" t="n">
        <v>45356</v>
      </c>
      <c r="C1760" s="38" t="n">
        <v>156</v>
      </c>
      <c r="D1760" s="38" t="n">
        <v>0</v>
      </c>
      <c r="E1760" s="38" t="inlineStr"/>
      <c r="F1760" s="38" t="inlineStr">
        <is>
          <t>UPI Payment</t>
        </is>
      </c>
      <c r="G1760" s="25" t="n">
        <v>0.55</v>
      </c>
      <c r="H1760" s="38" t="inlineStr">
        <is>
          <t>Personal</t>
        </is>
      </c>
      <c r="I1760" s="38" t="inlineStr">
        <is>
          <t>FEDERAL 0847</t>
        </is>
      </c>
      <c r="J1760" s="38" t="inlineStr"/>
      <c r="K1760" s="38" t="inlineStr">
        <is>
          <t>UPIOUT/406592707984/Q07483153@ybl/Sent via
J/5813</t>
        </is>
      </c>
      <c r="L1760" s="38" t="inlineStr">
        <is>
          <t>Federal Bank (Jupiter)</t>
        </is>
      </c>
      <c r="M1760" s="38" t="inlineStr"/>
    </row>
    <row r="1761">
      <c r="A1761" s="35" t="n">
        <v>45356</v>
      </c>
      <c r="B1761" s="35" t="n">
        <v>45356</v>
      </c>
      <c r="C1761" s="36" t="n">
        <v>110</v>
      </c>
      <c r="D1761" s="36" t="n">
        <v>0</v>
      </c>
      <c r="E1761" s="36" t="inlineStr"/>
      <c r="F1761" s="36" t="inlineStr">
        <is>
          <t>UPI - Paytm</t>
        </is>
      </c>
      <c r="G1761" s="34" t="n">
        <v>0.65</v>
      </c>
      <c r="H1761" s="36" t="inlineStr">
        <is>
          <t>Personal</t>
        </is>
      </c>
      <c r="I1761" s="36" t="inlineStr">
        <is>
          <t>FEDERAL 0847</t>
        </is>
      </c>
      <c r="J1761" s="36" t="inlineStr"/>
      <c r="K1761" s="36" t="inlineStr">
        <is>
          <t>UPIOUT/406593865507/paytmqrhdex80dh4r@payt
m//5812</t>
        </is>
      </c>
      <c r="L1761" s="36" t="inlineStr">
        <is>
          <t>Federal Bank (Jupiter)</t>
        </is>
      </c>
      <c r="M1761" s="36" t="inlineStr"/>
    </row>
    <row r="1762">
      <c r="A1762" s="41" t="n">
        <v>45356</v>
      </c>
      <c r="B1762" s="41" t="n">
        <v>45356</v>
      </c>
      <c r="C1762" s="42" t="n">
        <v>228</v>
      </c>
      <c r="D1762" s="42" t="n">
        <v>0</v>
      </c>
      <c r="E1762" s="42" t="inlineStr"/>
      <c r="F1762" s="42" t="inlineStr">
        <is>
          <t>HDFC Securities - Buy</t>
        </is>
      </c>
      <c r="G1762" s="18" t="n">
        <v>0.97</v>
      </c>
      <c r="H1762" s="42" t="inlineStr">
        <is>
          <t>HDFC Securities</t>
        </is>
      </c>
      <c r="I1762" s="42" t="inlineStr">
        <is>
          <t>HDFC 5413</t>
        </is>
      </c>
      <c r="J1762" s="42" t="inlineStr"/>
      <c r="K1762" s="42" t="inlineStr">
        <is>
          <t>NET PI TO HSL SEC A/C 2554606-00602340029427</t>
        </is>
      </c>
      <c r="L1762" s="42" t="inlineStr">
        <is>
          <t>HDFC Bank</t>
        </is>
      </c>
      <c r="M1762" s="42" t="inlineStr"/>
    </row>
    <row r="1763">
      <c r="A1763" s="41" t="n">
        <v>45356</v>
      </c>
      <c r="B1763" s="41" t="n">
        <v>45356</v>
      </c>
      <c r="C1763" s="42" t="n">
        <v>122.56</v>
      </c>
      <c r="D1763" s="42" t="n">
        <v>0</v>
      </c>
      <c r="E1763" s="42" t="inlineStr"/>
      <c r="F1763" s="42" t="inlineStr">
        <is>
          <t>HDFC Securities - Buy</t>
        </is>
      </c>
      <c r="G1763" s="18" t="n">
        <v>0.97</v>
      </c>
      <c r="H1763" s="42" t="inlineStr">
        <is>
          <t>HDFC Securities</t>
        </is>
      </c>
      <c r="I1763" s="42" t="inlineStr">
        <is>
          <t>HDFC 5413</t>
        </is>
      </c>
      <c r="J1763" s="42" t="inlineStr"/>
      <c r="K1763" s="42" t="inlineStr">
        <is>
          <t>NET PI TO HSL SEC A/C 2554606-00602340029427</t>
        </is>
      </c>
      <c r="L1763" s="42" t="inlineStr">
        <is>
          <t>HDFC Bank</t>
        </is>
      </c>
      <c r="M1763" s="42" t="inlineStr"/>
    </row>
    <row r="1764">
      <c r="A1764" s="41" t="n">
        <v>45356</v>
      </c>
      <c r="B1764" s="41" t="n">
        <v>45356</v>
      </c>
      <c r="C1764" s="42" t="n">
        <v>412.95</v>
      </c>
      <c r="D1764" s="42" t="n">
        <v>0</v>
      </c>
      <c r="E1764" s="42" t="inlineStr"/>
      <c r="F1764" s="42" t="inlineStr">
        <is>
          <t>HDFC Securities - Buy</t>
        </is>
      </c>
      <c r="G1764" s="18" t="n">
        <v>0.97</v>
      </c>
      <c r="H1764" s="42" t="inlineStr">
        <is>
          <t>HDFC Securities</t>
        </is>
      </c>
      <c r="I1764" s="42" t="inlineStr">
        <is>
          <t>HDFC 5413</t>
        </is>
      </c>
      <c r="J1764" s="42" t="inlineStr"/>
      <c r="K1764" s="42" t="inlineStr">
        <is>
          <t>NET PI TO HSL SEC A/C 2554606-00602340029427</t>
        </is>
      </c>
      <c r="L1764" s="42" t="inlineStr">
        <is>
          <t>HDFC Bank</t>
        </is>
      </c>
      <c r="M1764" s="42" t="inlineStr"/>
    </row>
    <row r="1765">
      <c r="A1765" s="37" t="n">
        <v>45356</v>
      </c>
      <c r="B1765" s="37" t="n">
        <v>45356</v>
      </c>
      <c r="C1765" s="38" t="n">
        <v>437</v>
      </c>
      <c r="D1765" s="38" t="n">
        <v>0</v>
      </c>
      <c r="E1765" s="38" t="inlineStr"/>
      <c r="F1765" s="38" t="inlineStr">
        <is>
          <t>UPI Payment</t>
        </is>
      </c>
      <c r="G1765" s="25" t="n">
        <v>0.55</v>
      </c>
      <c r="H1765" s="38" t="inlineStr">
        <is>
          <t>Personal</t>
        </is>
      </c>
      <c r="I1765" s="38" t="inlineStr">
        <is>
          <t>FEDERAL 0847</t>
        </is>
      </c>
      <c r="J1765" s="38" t="inlineStr"/>
      <c r="K1765" s="38" t="inlineStr">
        <is>
          <t>UPIOUT/406595994183/Q75895864@ybl/Sent via
J/5813</t>
        </is>
      </c>
      <c r="L1765" s="38" t="inlineStr">
        <is>
          <t>Federal Bank (Jupiter)</t>
        </is>
      </c>
      <c r="M1765" s="38" t="inlineStr"/>
    </row>
    <row r="1766">
      <c r="A1766" s="41" t="n">
        <v>45357</v>
      </c>
      <c r="B1766" s="41" t="n">
        <v>45357</v>
      </c>
      <c r="C1766" s="42" t="n">
        <v>122.41</v>
      </c>
      <c r="D1766" s="42" t="n">
        <v>0</v>
      </c>
      <c r="E1766" s="42" t="inlineStr"/>
      <c r="F1766" s="42" t="inlineStr">
        <is>
          <t>HDFC Securities - Buy</t>
        </is>
      </c>
      <c r="G1766" s="18" t="n">
        <v>0.97</v>
      </c>
      <c r="H1766" s="42" t="inlineStr">
        <is>
          <t>HDFC Securities</t>
        </is>
      </c>
      <c r="I1766" s="42" t="inlineStr">
        <is>
          <t>HDFC 5413</t>
        </is>
      </c>
      <c r="J1766" s="42" t="inlineStr"/>
      <c r="K1766" s="42" t="inlineStr">
        <is>
          <t>NET PI TO HSL SEC A/C 2554606-00602340029427</t>
        </is>
      </c>
      <c r="L1766" s="42" t="inlineStr">
        <is>
          <t>HDFC Bank</t>
        </is>
      </c>
      <c r="M1766" s="42" t="inlineStr"/>
    </row>
    <row r="1767">
      <c r="A1767" s="41" t="n">
        <v>45357</v>
      </c>
      <c r="B1767" s="41" t="n">
        <v>45357</v>
      </c>
      <c r="C1767" s="42" t="n">
        <v>2509.54</v>
      </c>
      <c r="D1767" s="42" t="n">
        <v>0</v>
      </c>
      <c r="E1767" s="42" t="inlineStr"/>
      <c r="F1767" s="42" t="inlineStr">
        <is>
          <t>HDFC Securities - Buy</t>
        </is>
      </c>
      <c r="G1767" s="18" t="n">
        <v>0.97</v>
      </c>
      <c r="H1767" s="42" t="inlineStr">
        <is>
          <t>HDFC Securities</t>
        </is>
      </c>
      <c r="I1767" s="42" t="inlineStr">
        <is>
          <t>HDFC 5413</t>
        </is>
      </c>
      <c r="J1767" s="42" t="inlineStr"/>
      <c r="K1767" s="42" t="inlineStr">
        <is>
          <t>NET PI TO HSL SEC A/C 2554606-00602340029427</t>
        </is>
      </c>
      <c r="L1767" s="42" t="inlineStr">
        <is>
          <t>HDFC Bank</t>
        </is>
      </c>
      <c r="M1767" s="42" t="inlineStr"/>
    </row>
    <row r="1768">
      <c r="A1768" s="37" t="n">
        <v>45357</v>
      </c>
      <c r="B1768" s="37" t="n">
        <v>45357</v>
      </c>
      <c r="C1768" s="38" t="n">
        <v>156</v>
      </c>
      <c r="D1768" s="38" t="n">
        <v>0</v>
      </c>
      <c r="E1768" s="38" t="inlineStr"/>
      <c r="F1768" s="38" t="inlineStr">
        <is>
          <t>UPI Payment</t>
        </is>
      </c>
      <c r="G1768" s="25" t="n">
        <v>0.55</v>
      </c>
      <c r="H1768" s="38" t="inlineStr">
        <is>
          <t>Personal</t>
        </is>
      </c>
      <c r="I1768" s="38" t="inlineStr">
        <is>
          <t>FEDERAL 0847</t>
        </is>
      </c>
      <c r="J1768" s="38" t="inlineStr"/>
      <c r="K1768" s="38" t="inlineStr">
        <is>
          <t>UPIOUT/406611297335/Q07483153@ybl/Sent via
J/5813</t>
        </is>
      </c>
      <c r="L1768" s="38" t="inlineStr">
        <is>
          <t>Federal Bank (Jupiter)</t>
        </is>
      </c>
      <c r="M1768" s="38" t="inlineStr"/>
    </row>
    <row r="1769">
      <c r="A1769" s="99" t="n">
        <v>45357</v>
      </c>
      <c r="B1769" s="99" t="n">
        <v>45357</v>
      </c>
      <c r="C1769" s="100" t="n">
        <v>183.7</v>
      </c>
      <c r="D1769" s="100" t="n">
        <v>0</v>
      </c>
      <c r="E1769" s="100" t="inlineStr"/>
      <c r="F1769" s="100" t="inlineStr">
        <is>
          <t>UPI - Zomato</t>
        </is>
      </c>
      <c r="G1769" s="34" t="n">
        <v>0.68</v>
      </c>
      <c r="H1769" s="100" t="inlineStr">
        <is>
          <t>Food &amp; Dining</t>
        </is>
      </c>
      <c r="I1769" s="100" t="inlineStr">
        <is>
          <t>FEDERAL 0847</t>
        </is>
      </c>
      <c r="J1769" s="100" t="inlineStr"/>
      <c r="K1769" s="100" t="inlineStr">
        <is>
          <t>UPIOUT/406612766804/zomatoonlineorder.rzp@
ic/5811</t>
        </is>
      </c>
      <c r="L1769" s="100" t="inlineStr">
        <is>
          <t>Federal Bank (Jupiter)</t>
        </is>
      </c>
      <c r="M1769" s="100" t="inlineStr"/>
    </row>
    <row r="1770">
      <c r="A1770" s="37" t="n">
        <v>45357</v>
      </c>
      <c r="B1770" s="37" t="n">
        <v>45357</v>
      </c>
      <c r="C1770" s="38" t="n">
        <v>35</v>
      </c>
      <c r="D1770" s="38" t="n">
        <v>0</v>
      </c>
      <c r="E1770" s="38" t="inlineStr"/>
      <c r="F1770" s="38" t="inlineStr">
        <is>
          <t>UPI Payment</t>
        </is>
      </c>
      <c r="G1770" s="25" t="n">
        <v>0.55</v>
      </c>
      <c r="H1770" s="38" t="inlineStr">
        <is>
          <t>Personal</t>
        </is>
      </c>
      <c r="I1770" s="38" t="inlineStr">
        <is>
          <t>FEDERAL 0847</t>
        </is>
      </c>
      <c r="J1770" s="38" t="inlineStr"/>
      <c r="K1770" s="38" t="inlineStr">
        <is>
          <t>UPIOUT/406612066664/Q248421440@ybl/Sent
via /5812</t>
        </is>
      </c>
      <c r="L1770" s="38" t="inlineStr">
        <is>
          <t>Federal Bank (Jupiter)</t>
        </is>
      </c>
      <c r="M1770" s="38" t="inlineStr"/>
    </row>
    <row r="1771">
      <c r="A1771" s="35" t="n">
        <v>45357</v>
      </c>
      <c r="B1771" s="35" t="n">
        <v>45357</v>
      </c>
      <c r="C1771" s="36" t="n">
        <v>152.25</v>
      </c>
      <c r="D1771" s="36" t="n">
        <v>0</v>
      </c>
      <c r="E1771" s="36" t="inlineStr"/>
      <c r="F1771" s="36" t="inlineStr">
        <is>
          <t>UPI - Paytm</t>
        </is>
      </c>
      <c r="G1771" s="34" t="n">
        <v>0.65</v>
      </c>
      <c r="H1771" s="36" t="inlineStr">
        <is>
          <t>Personal</t>
        </is>
      </c>
      <c r="I1771" s="36" t="inlineStr">
        <is>
          <t>FEDERAL 0847</t>
        </is>
      </c>
      <c r="J1771" s="36" t="inlineStr"/>
      <c r="K1771" s="36" t="inlineStr">
        <is>
          <t>UPIOUT/406614399474/paytm-14464838@paytm/U
PI/5812</t>
        </is>
      </c>
      <c r="L1771" s="36" t="inlineStr">
        <is>
          <t>Federal Bank (Jupiter)</t>
        </is>
      </c>
      <c r="M1771" s="36" t="inlineStr"/>
    </row>
    <row r="1772">
      <c r="A1772" s="37" t="n">
        <v>45357</v>
      </c>
      <c r="B1772" s="37" t="n">
        <v>45357</v>
      </c>
      <c r="C1772" s="38" t="n">
        <v>290</v>
      </c>
      <c r="D1772" s="38" t="n">
        <v>0</v>
      </c>
      <c r="E1772" s="38" t="inlineStr"/>
      <c r="F1772" s="38" t="inlineStr">
        <is>
          <t>UPI Payment</t>
        </is>
      </c>
      <c r="G1772" s="25" t="n">
        <v>0.55</v>
      </c>
      <c r="H1772" s="38" t="inlineStr">
        <is>
          <t>Personal</t>
        </is>
      </c>
      <c r="I1772" s="38" t="inlineStr">
        <is>
          <t>FEDERAL 0847</t>
        </is>
      </c>
      <c r="J1772" s="38" t="inlineStr"/>
      <c r="K1772" s="38" t="inlineStr">
        <is>
          <t>UPIOUT/406611597260/Q07483153@ybl/Sent via
J/5813</t>
        </is>
      </c>
      <c r="L1772" s="38" t="inlineStr">
        <is>
          <t>Federal Bank (Jupiter)</t>
        </is>
      </c>
      <c r="M1772" s="38" t="inlineStr"/>
    </row>
    <row r="1773">
      <c r="A1773" s="41" t="n">
        <v>45358</v>
      </c>
      <c r="B1773" s="41" t="n">
        <v>45358</v>
      </c>
      <c r="C1773" s="42" t="n">
        <v>28006.35</v>
      </c>
      <c r="D1773" s="42" t="n">
        <v>0</v>
      </c>
      <c r="E1773" s="42" t="inlineStr"/>
      <c r="F1773" s="42" t="inlineStr">
        <is>
          <t>HDFC Securities - Buy</t>
        </is>
      </c>
      <c r="G1773" s="18" t="n">
        <v>0.97</v>
      </c>
      <c r="H1773" s="42" t="inlineStr">
        <is>
          <t>HDFC Securities</t>
        </is>
      </c>
      <c r="I1773" s="42" t="inlineStr">
        <is>
          <t>HDFC 5413</t>
        </is>
      </c>
      <c r="J1773" s="42" t="inlineStr"/>
      <c r="K1773" s="42" t="inlineStr">
        <is>
          <t>NET PI TO HSL SEC A/C 2554606-00602340029427</t>
        </is>
      </c>
      <c r="L1773" s="42" t="inlineStr">
        <is>
          <t>HDFC Bank</t>
        </is>
      </c>
      <c r="M1773" s="42" t="inlineStr"/>
    </row>
    <row r="1774">
      <c r="A1774" s="99" t="n">
        <v>45358</v>
      </c>
      <c r="B1774" s="99" t="n">
        <v>45358</v>
      </c>
      <c r="C1774" s="100" t="n">
        <v>354.42</v>
      </c>
      <c r="D1774" s="100" t="n">
        <v>0</v>
      </c>
      <c r="E1774" s="100" t="inlineStr"/>
      <c r="F1774" s="100" t="inlineStr">
        <is>
          <t>UPI - Zomato</t>
        </is>
      </c>
      <c r="G1774" s="34" t="n">
        <v>0.68</v>
      </c>
      <c r="H1774" s="100" t="inlineStr">
        <is>
          <t>Food &amp; Dining</t>
        </is>
      </c>
      <c r="I1774" s="100" t="inlineStr">
        <is>
          <t>FEDERAL 0847</t>
        </is>
      </c>
      <c r="J1774" s="100" t="inlineStr"/>
      <c r="K1774" s="100" t="inlineStr">
        <is>
          <t>UPIOUT/406720780563/zomato-
order@paytm/Zomat/5812</t>
        </is>
      </c>
      <c r="L1774" s="100" t="inlineStr">
        <is>
          <t>Federal Bank (Jupiter)</t>
        </is>
      </c>
      <c r="M1774" s="100" t="inlineStr"/>
    </row>
    <row r="1775">
      <c r="A1775" s="37" t="n">
        <v>45358</v>
      </c>
      <c r="B1775" s="37" t="n">
        <v>45358</v>
      </c>
      <c r="C1775" s="38" t="n">
        <v>301</v>
      </c>
      <c r="D1775" s="38" t="n">
        <v>0</v>
      </c>
      <c r="E1775" s="38" t="inlineStr"/>
      <c r="F1775" s="38" t="inlineStr">
        <is>
          <t>UPI Payment</t>
        </is>
      </c>
      <c r="G1775" s="25" t="n">
        <v>0.55</v>
      </c>
      <c r="H1775" s="38" t="inlineStr">
        <is>
          <t>Personal</t>
        </is>
      </c>
      <c r="I1775" s="38" t="inlineStr">
        <is>
          <t>FEDERAL 0847</t>
        </is>
      </c>
      <c r="J1775" s="38" t="inlineStr"/>
      <c r="K1775" s="38" t="inlineStr">
        <is>
          <t>UPIOUT/406773167734/airtel66.payu@icici/UP
II/4812</t>
        </is>
      </c>
      <c r="L1775" s="38" t="inlineStr">
        <is>
          <t>Federal Bank (Jupiter)</t>
        </is>
      </c>
      <c r="M1775" s="38" t="inlineStr"/>
    </row>
    <row r="1776">
      <c r="A1776" s="37" t="n">
        <v>45358</v>
      </c>
      <c r="B1776" s="37" t="n">
        <v>45358</v>
      </c>
      <c r="C1776" s="38" t="n">
        <v>40</v>
      </c>
      <c r="D1776" s="38" t="n">
        <v>0</v>
      </c>
      <c r="E1776" s="38" t="inlineStr"/>
      <c r="F1776" s="38" t="inlineStr">
        <is>
          <t>UPI Payment</t>
        </is>
      </c>
      <c r="G1776" s="25" t="n">
        <v>0.55</v>
      </c>
      <c r="H1776" s="38" t="inlineStr">
        <is>
          <t>Personal</t>
        </is>
      </c>
      <c r="I1776" s="38" t="inlineStr">
        <is>
          <t>FEDERAL 0847</t>
        </is>
      </c>
      <c r="J1776" s="38" t="inlineStr"/>
      <c r="K1776" s="38" t="inlineStr">
        <is>
          <t>UPIOUT/406720249162/Q248421440@ybl/Sent
via /5812</t>
        </is>
      </c>
      <c r="L1776" s="38" t="inlineStr">
        <is>
          <t>Federal Bank (Jupiter)</t>
        </is>
      </c>
      <c r="M1776" s="38" t="inlineStr"/>
    </row>
    <row r="1777">
      <c r="A1777" s="37" t="n">
        <v>45358</v>
      </c>
      <c r="B1777" s="37" t="n">
        <v>45358</v>
      </c>
      <c r="C1777" s="38" t="n">
        <v>353</v>
      </c>
      <c r="D1777" s="38" t="n">
        <v>0</v>
      </c>
      <c r="E1777" s="38" t="inlineStr"/>
      <c r="F1777" s="38" t="inlineStr">
        <is>
          <t>UPI Payment</t>
        </is>
      </c>
      <c r="G1777" s="25" t="n">
        <v>0.55</v>
      </c>
      <c r="H1777" s="38" t="inlineStr">
        <is>
          <t>Personal</t>
        </is>
      </c>
      <c r="I1777" s="38" t="inlineStr">
        <is>
          <t>FEDERAL 0847</t>
        </is>
      </c>
      <c r="J1777" s="38" t="inlineStr"/>
      <c r="K1777" s="38" t="inlineStr">
        <is>
          <t>UPIOUT/406719333882/Q80015469@ybl/Sent via
J/5813</t>
        </is>
      </c>
      <c r="L1777" s="38" t="inlineStr">
        <is>
          <t>Federal Bank (Jupiter)</t>
        </is>
      </c>
      <c r="M1777" s="38" t="inlineStr"/>
    </row>
    <row r="1778">
      <c r="A1778" s="35" t="n">
        <v>45358</v>
      </c>
      <c r="B1778" s="35" t="n">
        <v>45358</v>
      </c>
      <c r="C1778" s="36" t="n">
        <v>60</v>
      </c>
      <c r="D1778" s="36" t="n">
        <v>0</v>
      </c>
      <c r="E1778" s="36" t="inlineStr"/>
      <c r="F1778" s="36" t="inlineStr">
        <is>
          <t>UPI - Paytm</t>
        </is>
      </c>
      <c r="G1778" s="34" t="n">
        <v>0.65</v>
      </c>
      <c r="H1778" s="36" t="inlineStr">
        <is>
          <t>Personal</t>
        </is>
      </c>
      <c r="I1778" s="36" t="inlineStr">
        <is>
          <t>FEDERAL 0847</t>
        </is>
      </c>
      <c r="J1778" s="36" t="inlineStr"/>
      <c r="K1778" s="36" t="inlineStr">
        <is>
          <t>UPIOUT/406793215766/paytm-14464838@paytm/U
PI/5812</t>
        </is>
      </c>
      <c r="L1778" s="36" t="inlineStr">
        <is>
          <t>Federal Bank (Jupiter)</t>
        </is>
      </c>
      <c r="M1778" s="36" t="inlineStr"/>
    </row>
    <row r="1779">
      <c r="A1779" s="23" t="n">
        <v>45358</v>
      </c>
      <c r="B1779" s="23" t="n">
        <v>45358</v>
      </c>
      <c r="C1779" s="24" t="n">
        <v>0</v>
      </c>
      <c r="D1779" s="24" t="n">
        <v>1880</v>
      </c>
      <c r="E1779" s="24" t="inlineStr"/>
      <c r="F1779" s="24" t="inlineStr">
        <is>
          <t>What is this?</t>
        </is>
      </c>
      <c r="G1779" s="25" t="n">
        <v>0</v>
      </c>
      <c r="H1779" s="24" t="inlineStr">
        <is>
          <t>Suspense</t>
        </is>
      </c>
      <c r="I1779" s="24" t="inlineStr">
        <is>
          <t>HDFC 5413</t>
        </is>
      </c>
      <c r="J1779" s="24" t="inlineStr"/>
      <c r="K1779" s="24" t="inlineStr">
        <is>
          <t>00602300000434-026424492</t>
        </is>
      </c>
      <c r="L1779" s="24" t="inlineStr">
        <is>
          <t>HDFC Bank</t>
        </is>
      </c>
      <c r="M1779" s="24" t="inlineStr"/>
    </row>
    <row r="1780">
      <c r="A1780" s="66" t="n">
        <v>45358</v>
      </c>
      <c r="B1780" s="66" t="n">
        <v>45358</v>
      </c>
      <c r="C1780" s="67" t="n">
        <v>102250</v>
      </c>
      <c r="D1780" s="67" t="n">
        <v>0</v>
      </c>
      <c r="E1780" s="67" t="inlineStr"/>
      <c r="F1780" s="67" t="inlineStr">
        <is>
          <t>Life Insurance Premium</t>
        </is>
      </c>
      <c r="G1780" s="18" t="n">
        <v>0.9</v>
      </c>
      <c r="H1780" s="67" t="inlineStr">
        <is>
          <t>Life Insurance</t>
        </is>
      </c>
      <c r="I1780" s="67" t="inlineStr">
        <is>
          <t>HDFC 5413</t>
        </is>
      </c>
      <c r="J1780" s="67" t="inlineStr"/>
      <c r="K1780" s="67" t="inlineStr">
        <is>
          <t>50200000003402   23560474 HLIC INST</t>
        </is>
      </c>
      <c r="L1780" s="67" t="inlineStr">
        <is>
          <t>HDFC Bank</t>
        </is>
      </c>
      <c r="M1780" s="67" t="inlineStr"/>
    </row>
    <row r="1781">
      <c r="A1781" s="54" t="n">
        <v>45358</v>
      </c>
      <c r="B1781" s="54" t="n">
        <v>45358</v>
      </c>
      <c r="C1781" s="55" t="n">
        <v>0</v>
      </c>
      <c r="D1781" s="55" t="n">
        <v>21341.39</v>
      </c>
      <c r="E1781" s="55" t="inlineStr"/>
      <c r="F1781" s="55" t="inlineStr">
        <is>
          <t>HDFC Securities - Sell</t>
        </is>
      </c>
      <c r="G1781" s="18" t="n">
        <v>0.97</v>
      </c>
      <c r="H1781" s="55" t="inlineStr">
        <is>
          <t>HDFC Securities</t>
        </is>
      </c>
      <c r="I1781" s="55" t="inlineStr">
        <is>
          <t>HDFC 5413</t>
        </is>
      </c>
      <c r="J1781" s="55" t="inlineStr"/>
      <c r="K1781" s="55" t="inlineStr">
        <is>
          <t>NET PO FROM HSL A/C 2554606-50200085415108</t>
        </is>
      </c>
      <c r="L1781" s="55" t="inlineStr">
        <is>
          <t>HDFC Bank</t>
        </is>
      </c>
      <c r="M1781" s="55" t="inlineStr"/>
    </row>
    <row r="1782">
      <c r="A1782" s="41" t="n">
        <v>45358</v>
      </c>
      <c r="B1782" s="41" t="n">
        <v>45358</v>
      </c>
      <c r="C1782" s="42" t="n">
        <v>121.52</v>
      </c>
      <c r="D1782" s="42" t="n">
        <v>0</v>
      </c>
      <c r="E1782" s="42" t="inlineStr"/>
      <c r="F1782" s="42" t="inlineStr">
        <is>
          <t>HDFC Securities - Buy</t>
        </is>
      </c>
      <c r="G1782" s="18" t="n">
        <v>0.97</v>
      </c>
      <c r="H1782" s="42" t="inlineStr">
        <is>
          <t>HDFC Securities</t>
        </is>
      </c>
      <c r="I1782" s="42" t="inlineStr">
        <is>
          <t>HDFC 5413</t>
        </is>
      </c>
      <c r="J1782" s="42" t="inlineStr"/>
      <c r="K1782" s="42" t="inlineStr">
        <is>
          <t>NET PI TO HSL SEC A/C 2554606-00602340029427</t>
        </is>
      </c>
      <c r="L1782" s="42" t="inlineStr">
        <is>
          <t>HDFC Bank</t>
        </is>
      </c>
      <c r="M1782" s="42" t="inlineStr"/>
    </row>
    <row r="1783">
      <c r="A1783" s="99" t="n">
        <v>45359</v>
      </c>
      <c r="B1783" s="99" t="n">
        <v>45359</v>
      </c>
      <c r="C1783" s="100" t="n">
        <v>176.17</v>
      </c>
      <c r="D1783" s="100" t="n">
        <v>0</v>
      </c>
      <c r="E1783" s="100" t="inlineStr"/>
      <c r="F1783" s="100" t="inlineStr">
        <is>
          <t>UPI - Zomato</t>
        </is>
      </c>
      <c r="G1783" s="34" t="n">
        <v>0.68</v>
      </c>
      <c r="H1783" s="100" t="inlineStr">
        <is>
          <t>Food &amp; Dining</t>
        </is>
      </c>
      <c r="I1783" s="100" t="inlineStr">
        <is>
          <t>FEDERAL 0847</t>
        </is>
      </c>
      <c r="J1783" s="100" t="inlineStr"/>
      <c r="K1783" s="100" t="inlineStr">
        <is>
          <t>UPIOUT/406824997361/zomatoindia@icici/Payv
ia/5814</t>
        </is>
      </c>
      <c r="L1783" s="100" t="inlineStr">
        <is>
          <t>Federal Bank (Jupiter)</t>
        </is>
      </c>
      <c r="M1783" s="100" t="inlineStr"/>
    </row>
    <row r="1784">
      <c r="A1784" s="35" t="n">
        <v>45359</v>
      </c>
      <c r="B1784" s="35" t="n">
        <v>45359</v>
      </c>
      <c r="C1784" s="36" t="n">
        <v>80</v>
      </c>
      <c r="D1784" s="36" t="n">
        <v>0</v>
      </c>
      <c r="E1784" s="36" t="inlineStr"/>
      <c r="F1784" s="36" t="inlineStr">
        <is>
          <t>UPI - Paytm</t>
        </is>
      </c>
      <c r="G1784" s="34" t="n">
        <v>0.65</v>
      </c>
      <c r="H1784" s="36" t="inlineStr">
        <is>
          <t>Personal</t>
        </is>
      </c>
      <c r="I1784" s="36" t="inlineStr">
        <is>
          <t>FEDERAL 0847</t>
        </is>
      </c>
      <c r="J1784" s="36" t="inlineStr"/>
      <c r="K1784" s="36" t="inlineStr">
        <is>
          <t>UPIOUT/406891710108/paytm-14464838@paytm/U
PI/5812</t>
        </is>
      </c>
      <c r="L1784" s="36" t="inlineStr">
        <is>
          <t>Federal Bank (Jupiter)</t>
        </is>
      </c>
      <c r="M1784" s="36" t="inlineStr"/>
    </row>
    <row r="1785">
      <c r="A1785" s="99" t="n">
        <v>45359</v>
      </c>
      <c r="B1785" s="99" t="n">
        <v>45359</v>
      </c>
      <c r="C1785" s="100" t="n">
        <v>206.42</v>
      </c>
      <c r="D1785" s="100" t="n">
        <v>0</v>
      </c>
      <c r="E1785" s="100" t="inlineStr"/>
      <c r="F1785" s="100" t="inlineStr">
        <is>
          <t>UPI - Zomato</t>
        </is>
      </c>
      <c r="G1785" s="34" t="n">
        <v>0.68</v>
      </c>
      <c r="H1785" s="100" t="inlineStr">
        <is>
          <t>Food &amp; Dining</t>
        </is>
      </c>
      <c r="I1785" s="100" t="inlineStr">
        <is>
          <t>FEDERAL 0847</t>
        </is>
      </c>
      <c r="J1785" s="100" t="inlineStr"/>
      <c r="K1785" s="100" t="inlineStr">
        <is>
          <t>UPIOUT/406826024779/payzomato@hdfcbank/Sen
t /5814</t>
        </is>
      </c>
      <c r="L1785" s="100" t="inlineStr">
        <is>
          <t>Federal Bank (Jupiter)</t>
        </is>
      </c>
      <c r="M1785" s="100" t="inlineStr"/>
    </row>
    <row r="1786">
      <c r="A1786" s="35" t="n">
        <v>45359</v>
      </c>
      <c r="B1786" s="35" t="n">
        <v>45359</v>
      </c>
      <c r="C1786" s="36" t="n">
        <v>50</v>
      </c>
      <c r="D1786" s="36" t="n">
        <v>0</v>
      </c>
      <c r="E1786" s="36" t="inlineStr"/>
      <c r="F1786" s="36" t="inlineStr">
        <is>
          <t>UPI - Paytm</t>
        </is>
      </c>
      <c r="G1786" s="34" t="n">
        <v>0.65</v>
      </c>
      <c r="H1786" s="36" t="inlineStr">
        <is>
          <t>Personal</t>
        </is>
      </c>
      <c r="I1786" s="36" t="inlineStr">
        <is>
          <t>FEDERAL 0847</t>
        </is>
      </c>
      <c r="J1786" s="36" t="inlineStr"/>
      <c r="K1786" s="36" t="inlineStr">
        <is>
          <t>UPIOUT/406822431591/paytmqr1gs01dt6zx@payt
m//5812</t>
        </is>
      </c>
      <c r="L1786" s="36" t="inlineStr">
        <is>
          <t>Federal Bank (Jupiter)</t>
        </is>
      </c>
      <c r="M1786" s="36" t="inlineStr"/>
    </row>
    <row r="1787">
      <c r="A1787" s="35" t="n">
        <v>45360</v>
      </c>
      <c r="B1787" s="35" t="n">
        <v>45360</v>
      </c>
      <c r="C1787" s="36" t="n">
        <v>35</v>
      </c>
      <c r="D1787" s="36" t="n">
        <v>0</v>
      </c>
      <c r="E1787" s="36" t="inlineStr"/>
      <c r="F1787" s="36" t="inlineStr">
        <is>
          <t>UPI - Paytm</t>
        </is>
      </c>
      <c r="G1787" s="34" t="n">
        <v>0.65</v>
      </c>
      <c r="H1787" s="36" t="inlineStr">
        <is>
          <t>Personal</t>
        </is>
      </c>
      <c r="I1787" s="36" t="inlineStr">
        <is>
          <t>FEDERAL 0847</t>
        </is>
      </c>
      <c r="J1787" s="36" t="inlineStr"/>
      <c r="K1787" s="36" t="inlineStr">
        <is>
          <t>UPIOUT/406930540309/paytmqr158p3xx8vj@payt
m//5814</t>
        </is>
      </c>
      <c r="L1787" s="36" t="inlineStr">
        <is>
          <t>Federal Bank (Jupiter)</t>
        </is>
      </c>
      <c r="M1787" s="36" t="inlineStr"/>
    </row>
    <row r="1788">
      <c r="A1788" s="37" t="n">
        <v>45360</v>
      </c>
      <c r="B1788" s="37" t="n">
        <v>45360</v>
      </c>
      <c r="C1788" s="38" t="n">
        <v>53</v>
      </c>
      <c r="D1788" s="38" t="n">
        <v>0</v>
      </c>
      <c r="E1788" s="38" t="inlineStr"/>
      <c r="F1788" s="38" t="inlineStr">
        <is>
          <t>UPI Payment</t>
        </is>
      </c>
      <c r="G1788" s="25" t="n">
        <v>0.55</v>
      </c>
      <c r="H1788" s="38" t="inlineStr">
        <is>
          <t>Personal</t>
        </is>
      </c>
      <c r="I1788" s="38" t="inlineStr">
        <is>
          <t>FEDERAL 0847</t>
        </is>
      </c>
      <c r="J1788" s="38" t="inlineStr"/>
      <c r="K1788" s="38" t="inlineStr">
        <is>
          <t>UPIOUT/406929595818/qnendo126-1@oksbi/Sent
v/0000</t>
        </is>
      </c>
      <c r="L1788" s="38" t="inlineStr">
        <is>
          <t>Federal Bank (Jupiter)</t>
        </is>
      </c>
      <c r="M1788" s="38" t="inlineStr"/>
    </row>
    <row r="1789">
      <c r="A1789" s="35" t="n">
        <v>45360</v>
      </c>
      <c r="B1789" s="35" t="n">
        <v>45360</v>
      </c>
      <c r="C1789" s="36" t="n">
        <v>41</v>
      </c>
      <c r="D1789" s="36" t="n">
        <v>0</v>
      </c>
      <c r="E1789" s="36" t="inlineStr"/>
      <c r="F1789" s="36" t="inlineStr">
        <is>
          <t>UPI - Paytm</t>
        </is>
      </c>
      <c r="G1789" s="34" t="n">
        <v>0.65</v>
      </c>
      <c r="H1789" s="36" t="inlineStr">
        <is>
          <t>Personal</t>
        </is>
      </c>
      <c r="I1789" s="36" t="inlineStr">
        <is>
          <t>FEDERAL 0847</t>
        </is>
      </c>
      <c r="J1789" s="36" t="inlineStr"/>
      <c r="K1789" s="36" t="inlineStr">
        <is>
          <t>UPIOUT/406930130208/paytm-76881028@paytm/S
en/4121</t>
        </is>
      </c>
      <c r="L1789" s="36" t="inlineStr">
        <is>
          <t>Federal Bank (Jupiter)</t>
        </is>
      </c>
      <c r="M1789" s="36" t="inlineStr"/>
    </row>
    <row r="1790">
      <c r="A1790" s="37" t="n">
        <v>45360</v>
      </c>
      <c r="B1790" s="37" t="n">
        <v>45360</v>
      </c>
      <c r="C1790" s="38" t="n">
        <v>2904</v>
      </c>
      <c r="D1790" s="38" t="n">
        <v>0</v>
      </c>
      <c r="E1790" s="38" t="inlineStr"/>
      <c r="F1790" s="38" t="inlineStr">
        <is>
          <t>UPI Payment</t>
        </is>
      </c>
      <c r="G1790" s="25" t="n">
        <v>0.55</v>
      </c>
      <c r="H1790" s="38" t="inlineStr">
        <is>
          <t>Personal</t>
        </is>
      </c>
      <c r="I1790" s="38" t="inlineStr">
        <is>
          <t>FEDERAL 0847</t>
        </is>
      </c>
      <c r="J1790" s="38" t="inlineStr"/>
      <c r="K1790" s="38" t="inlineStr">
        <is>
          <t>UPIOUT/406930029598/westside.42529089@hdfc
ba/5699</t>
        </is>
      </c>
      <c r="L1790" s="38" t="inlineStr">
        <is>
          <t>Federal Bank (Jupiter)</t>
        </is>
      </c>
      <c r="M1790" s="38" t="inlineStr"/>
    </row>
    <row r="1791">
      <c r="A1791" s="99" t="n">
        <v>45360</v>
      </c>
      <c r="B1791" s="99" t="n">
        <v>45360</v>
      </c>
      <c r="C1791" s="100" t="n">
        <v>292.07</v>
      </c>
      <c r="D1791" s="100" t="n">
        <v>0</v>
      </c>
      <c r="E1791" s="100" t="inlineStr"/>
      <c r="F1791" s="100" t="inlineStr">
        <is>
          <t>UPI - Zomato</t>
        </is>
      </c>
      <c r="G1791" s="34" t="n">
        <v>0.68</v>
      </c>
      <c r="H1791" s="100" t="inlineStr">
        <is>
          <t>Food &amp; Dining</t>
        </is>
      </c>
      <c r="I1791" s="100" t="inlineStr">
        <is>
          <t>FEDERAL 0847</t>
        </is>
      </c>
      <c r="J1791" s="100" t="inlineStr"/>
      <c r="K1791" s="100" t="inlineStr">
        <is>
          <t>UPIOUT/406930580891/zomato1paytm@hdfcbank/
Zo/5814</t>
        </is>
      </c>
      <c r="L1791" s="100" t="inlineStr">
        <is>
          <t>Federal Bank (Jupiter)</t>
        </is>
      </c>
      <c r="M1791" s="100" t="inlineStr"/>
    </row>
    <row r="1792">
      <c r="A1792" s="37" t="n">
        <v>45360</v>
      </c>
      <c r="B1792" s="37" t="n">
        <v>45360</v>
      </c>
      <c r="C1792" s="38" t="n">
        <v>201</v>
      </c>
      <c r="D1792" s="38" t="n">
        <v>0</v>
      </c>
      <c r="E1792" s="38" t="inlineStr"/>
      <c r="F1792" s="38" t="inlineStr">
        <is>
          <t>UPI Payment</t>
        </is>
      </c>
      <c r="G1792" s="25" t="n">
        <v>0.55</v>
      </c>
      <c r="H1792" s="38" t="inlineStr">
        <is>
          <t>Personal</t>
        </is>
      </c>
      <c r="I1792" s="38" t="inlineStr">
        <is>
          <t>FEDERAL 0847</t>
        </is>
      </c>
      <c r="J1792" s="38" t="inlineStr"/>
      <c r="K1792" s="38" t="inlineStr">
        <is>
          <t>UPIOUT/406928612130/Q75895864@ybl/Sent via
J/5813</t>
        </is>
      </c>
      <c r="L1792" s="38" t="inlineStr">
        <is>
          <t>Federal Bank (Jupiter)</t>
        </is>
      </c>
      <c r="M1792" s="38" t="inlineStr"/>
    </row>
    <row r="1793">
      <c r="A1793" s="99" t="n">
        <v>45360</v>
      </c>
      <c r="B1793" s="99" t="n">
        <v>45360</v>
      </c>
      <c r="C1793" s="100" t="n">
        <v>406.75</v>
      </c>
      <c r="D1793" s="100" t="n">
        <v>0</v>
      </c>
      <c r="E1793" s="100" t="inlineStr"/>
      <c r="F1793" s="100" t="inlineStr">
        <is>
          <t>UPI - Zomato</t>
        </is>
      </c>
      <c r="G1793" s="34" t="n">
        <v>0.68</v>
      </c>
      <c r="H1793" s="100" t="inlineStr">
        <is>
          <t>Food &amp; Dining</t>
        </is>
      </c>
      <c r="I1793" s="100" t="inlineStr">
        <is>
          <t>FEDERAL 0847</t>
        </is>
      </c>
      <c r="J1793" s="100" t="inlineStr"/>
      <c r="K1793" s="100" t="inlineStr">
        <is>
          <t>UPIOUT/406928270847/zomato4.payu@icici/UPI
In/5411</t>
        </is>
      </c>
      <c r="L1793" s="100" t="inlineStr">
        <is>
          <t>Federal Bank (Jupiter)</t>
        </is>
      </c>
      <c r="M1793" s="100" t="inlineStr"/>
    </row>
    <row r="1794">
      <c r="A1794" s="35" t="n">
        <v>45360</v>
      </c>
      <c r="B1794" s="35" t="n">
        <v>45360</v>
      </c>
      <c r="C1794" s="36" t="n">
        <v>56</v>
      </c>
      <c r="D1794" s="36" t="n">
        <v>0</v>
      </c>
      <c r="E1794" s="36" t="inlineStr"/>
      <c r="F1794" s="36" t="inlineStr">
        <is>
          <t>UPI - Paytm</t>
        </is>
      </c>
      <c r="G1794" s="34" t="n">
        <v>0.65</v>
      </c>
      <c r="H1794" s="36" t="inlineStr">
        <is>
          <t>Personal</t>
        </is>
      </c>
      <c r="I1794" s="36" t="inlineStr">
        <is>
          <t>FEDERAL 0847</t>
        </is>
      </c>
      <c r="J1794" s="36" t="inlineStr"/>
      <c r="K1794" s="36" t="inlineStr">
        <is>
          <t>UPIOUT/406927171652/paytmqr13tn390hmf@payt
m//5812</t>
        </is>
      </c>
      <c r="L1794" s="36" t="inlineStr">
        <is>
          <t>Federal Bank (Jupiter)</t>
        </is>
      </c>
      <c r="M1794" s="36" t="inlineStr"/>
    </row>
    <row r="1795">
      <c r="A1795" s="35" t="n">
        <v>45360</v>
      </c>
      <c r="B1795" s="35" t="n">
        <v>45360</v>
      </c>
      <c r="C1795" s="36" t="n">
        <v>635</v>
      </c>
      <c r="D1795" s="36" t="n">
        <v>0</v>
      </c>
      <c r="E1795" s="36" t="inlineStr"/>
      <c r="F1795" s="36" t="inlineStr">
        <is>
          <t>UPI - Paytm</t>
        </is>
      </c>
      <c r="G1795" s="34" t="n">
        <v>0.65</v>
      </c>
      <c r="H1795" s="36" t="inlineStr">
        <is>
          <t>Personal</t>
        </is>
      </c>
      <c r="I1795" s="36" t="inlineStr">
        <is>
          <t>FEDERAL 0847</t>
        </is>
      </c>
      <c r="J1795" s="36" t="inlineStr"/>
      <c r="K1795" s="36" t="inlineStr">
        <is>
          <t>UPIOUT/406930454809/paytmqr2810050501011if
wv/5411</t>
        </is>
      </c>
      <c r="L1795" s="36" t="inlineStr">
        <is>
          <t>Federal Bank (Jupiter)</t>
        </is>
      </c>
      <c r="M1795" s="36" t="inlineStr"/>
    </row>
    <row r="1796">
      <c r="A1796" s="99" t="n">
        <v>45361</v>
      </c>
      <c r="B1796" s="99" t="n">
        <v>45361</v>
      </c>
      <c r="C1796" s="100" t="n">
        <v>506.17</v>
      </c>
      <c r="D1796" s="100" t="n">
        <v>0</v>
      </c>
      <c r="E1796" s="100" t="inlineStr"/>
      <c r="F1796" s="100" t="inlineStr">
        <is>
          <t>UPI - Zomato</t>
        </is>
      </c>
      <c r="G1796" s="34" t="n">
        <v>0.68</v>
      </c>
      <c r="H1796" s="100" t="inlineStr">
        <is>
          <t>Food &amp; Dining</t>
        </is>
      </c>
      <c r="I1796" s="100" t="inlineStr">
        <is>
          <t>FEDERAL 0847</t>
        </is>
      </c>
      <c r="J1796" s="100" t="inlineStr"/>
      <c r="K1796" s="100" t="inlineStr">
        <is>
          <t>UPIOUT/407036445165/payzomato@hdfcbank/Sen
t /5814</t>
        </is>
      </c>
      <c r="L1796" s="100" t="inlineStr">
        <is>
          <t>Federal Bank (Jupiter)</t>
        </is>
      </c>
      <c r="M1796" s="100" t="inlineStr"/>
    </row>
    <row r="1797">
      <c r="A1797" s="21" t="n">
        <v>45361</v>
      </c>
      <c r="B1797" s="21" t="n">
        <v>45361</v>
      </c>
      <c r="C1797" s="22" t="n">
        <v>41</v>
      </c>
      <c r="D1797" s="22" t="n">
        <v>0</v>
      </c>
      <c r="E1797" s="22" t="inlineStr"/>
      <c r="F1797" s="22" t="inlineStr">
        <is>
          <t>UPI - Rapido</t>
        </is>
      </c>
      <c r="G1797" s="34" t="n">
        <v>0.68</v>
      </c>
      <c r="H1797" s="22" t="inlineStr">
        <is>
          <t>Transport</t>
        </is>
      </c>
      <c r="I1797" s="22" t="inlineStr">
        <is>
          <t>FEDERAL 0847</t>
        </is>
      </c>
      <c r="J1797" s="22" t="inlineStr"/>
      <c r="K1797" s="22" t="inlineStr">
        <is>
          <t>UPIOUT/407035339327/rapido.rzp@icici/Payme
nt/4121</t>
        </is>
      </c>
      <c r="L1797" s="22" t="inlineStr">
        <is>
          <t>Federal Bank (Jupiter)</t>
        </is>
      </c>
      <c r="M1797" s="22" t="inlineStr"/>
    </row>
    <row r="1798">
      <c r="A1798" s="35" t="n">
        <v>45361</v>
      </c>
      <c r="B1798" s="35" t="n">
        <v>45361</v>
      </c>
      <c r="C1798" s="36" t="n">
        <v>10</v>
      </c>
      <c r="D1798" s="36" t="n">
        <v>0</v>
      </c>
      <c r="E1798" s="36" t="inlineStr"/>
      <c r="F1798" s="36" t="inlineStr">
        <is>
          <t>UPI - Paytm</t>
        </is>
      </c>
      <c r="G1798" s="34" t="n">
        <v>0.65</v>
      </c>
      <c r="H1798" s="36" t="inlineStr">
        <is>
          <t>Personal</t>
        </is>
      </c>
      <c r="I1798" s="36" t="inlineStr">
        <is>
          <t>FEDERAL 0847</t>
        </is>
      </c>
      <c r="J1798" s="36" t="inlineStr"/>
      <c r="K1798" s="36" t="inlineStr">
        <is>
          <t>UPIOUT/407035079807/paytmqr3zacjjhvyp@payt
m//5462</t>
        </is>
      </c>
      <c r="L1798" s="36" t="inlineStr">
        <is>
          <t>Federal Bank (Jupiter)</t>
        </is>
      </c>
      <c r="M1798" s="36" t="inlineStr">
        <is>
          <t>⚠ Possible Duplicate</t>
        </is>
      </c>
    </row>
    <row r="1799">
      <c r="A1799" s="37" t="n">
        <v>45361</v>
      </c>
      <c r="B1799" s="37" t="n">
        <v>45361</v>
      </c>
      <c r="C1799" s="38" t="n">
        <v>600</v>
      </c>
      <c r="D1799" s="38" t="n">
        <v>0</v>
      </c>
      <c r="E1799" s="38" t="inlineStr"/>
      <c r="F1799" s="38" t="inlineStr">
        <is>
          <t>UPI Payment</t>
        </is>
      </c>
      <c r="G1799" s="25" t="n">
        <v>0.55</v>
      </c>
      <c r="H1799" s="38" t="inlineStr">
        <is>
          <t>Personal</t>
        </is>
      </c>
      <c r="I1799" s="38" t="inlineStr">
        <is>
          <t>FEDERAL 0847</t>
        </is>
      </c>
      <c r="J1799" s="38" t="inlineStr"/>
      <c r="K1799" s="38" t="inlineStr">
        <is>
          <t>UPIOUT/407035573732/9880305563@okbizaxis/S
en/7221</t>
        </is>
      </c>
      <c r="L1799" s="38" t="inlineStr">
        <is>
          <t>Federal Bank (Jupiter)</t>
        </is>
      </c>
      <c r="M1799" s="38" t="inlineStr"/>
    </row>
    <row r="1800">
      <c r="A1800" s="37" t="n">
        <v>45361</v>
      </c>
      <c r="B1800" s="37" t="n">
        <v>45361</v>
      </c>
      <c r="C1800" s="38" t="n">
        <v>105</v>
      </c>
      <c r="D1800" s="38" t="n">
        <v>0</v>
      </c>
      <c r="E1800" s="38" t="inlineStr"/>
      <c r="F1800" s="38" t="inlineStr">
        <is>
          <t>UPI Payment</t>
        </is>
      </c>
      <c r="G1800" s="25" t="n">
        <v>0.55</v>
      </c>
      <c r="H1800" s="38" t="inlineStr">
        <is>
          <t>Personal</t>
        </is>
      </c>
      <c r="I1800" s="38" t="inlineStr">
        <is>
          <t>FEDERAL 0847</t>
        </is>
      </c>
      <c r="J1800" s="38" t="inlineStr"/>
      <c r="K1800" s="38" t="inlineStr">
        <is>
          <t>UPIOUT/407033267925/maheshadhi1992@okhdfcb
an/0000</t>
        </is>
      </c>
      <c r="L1800" s="38" t="inlineStr">
        <is>
          <t>Federal Bank (Jupiter)</t>
        </is>
      </c>
      <c r="M1800" s="38" t="inlineStr"/>
    </row>
    <row r="1801">
      <c r="A1801" s="35" t="n">
        <v>45361</v>
      </c>
      <c r="B1801" s="35" t="n">
        <v>45361</v>
      </c>
      <c r="C1801" s="36" t="n">
        <v>10</v>
      </c>
      <c r="D1801" s="36" t="n">
        <v>0</v>
      </c>
      <c r="E1801" s="36" t="inlineStr"/>
      <c r="F1801" s="36" t="inlineStr">
        <is>
          <t>UPI - Paytm</t>
        </is>
      </c>
      <c r="G1801" s="34" t="n">
        <v>0.65</v>
      </c>
      <c r="H1801" s="36" t="inlineStr">
        <is>
          <t>Personal</t>
        </is>
      </c>
      <c r="I1801" s="36" t="inlineStr">
        <is>
          <t>FEDERAL 0847</t>
        </is>
      </c>
      <c r="J1801" s="36" t="inlineStr"/>
      <c r="K1801" s="36" t="inlineStr">
        <is>
          <t>UPIOUT/407032697581/paytmqr1hw4xx85bm@payt
m//5812</t>
        </is>
      </c>
      <c r="L1801" s="36" t="inlineStr">
        <is>
          <t>Federal Bank (Jupiter)</t>
        </is>
      </c>
      <c r="M1801" s="36" t="inlineStr">
        <is>
          <t>⚠ Possible Duplicate</t>
        </is>
      </c>
    </row>
    <row r="1802">
      <c r="A1802" s="26" t="n">
        <v>45361</v>
      </c>
      <c r="B1802" s="26" t="n">
        <v>45361</v>
      </c>
      <c r="C1802" s="27" t="n">
        <v>0</v>
      </c>
      <c r="D1802" s="27" t="n">
        <v>10000</v>
      </c>
      <c r="E1802" s="27" t="inlineStr"/>
      <c r="F1802" s="27" t="inlineStr">
        <is>
          <t>Received - Ajay Gupta</t>
        </is>
      </c>
      <c r="G1802" s="18" t="n">
        <v>0.88</v>
      </c>
      <c r="H1802" s="27" t="inlineStr">
        <is>
          <t>Ajay Gupta</t>
        </is>
      </c>
      <c r="I1802" s="27" t="inlineStr">
        <is>
          <t>HDFC 5413</t>
        </is>
      </c>
      <c r="J1802" s="27" t="inlineStr"/>
      <c r="K1802" s="27" t="inlineStr">
        <is>
          <t>UPI-AJAY KUMAR GUPTA-AJAYGUPTANEL@AXL-HDFC0000167-443693565719-TRANSFER FROM AKG</t>
        </is>
      </c>
      <c r="L1802" s="27" t="inlineStr">
        <is>
          <t>HDFC Bank</t>
        </is>
      </c>
      <c r="M1802" s="27" t="inlineStr"/>
    </row>
    <row r="1803">
      <c r="A1803" s="35" t="n">
        <v>45361</v>
      </c>
      <c r="B1803" s="35" t="n">
        <v>45361</v>
      </c>
      <c r="C1803" s="36" t="n">
        <v>105</v>
      </c>
      <c r="D1803" s="36" t="n">
        <v>0</v>
      </c>
      <c r="E1803" s="36" t="inlineStr"/>
      <c r="F1803" s="36" t="inlineStr">
        <is>
          <t>UPI - Paytm</t>
        </is>
      </c>
      <c r="G1803" s="34" t="n">
        <v>0.65</v>
      </c>
      <c r="H1803" s="36" t="inlineStr">
        <is>
          <t>Personal</t>
        </is>
      </c>
      <c r="I1803" s="36" t="inlineStr">
        <is>
          <t>FEDERAL 0847</t>
        </is>
      </c>
      <c r="J1803" s="36" t="inlineStr"/>
      <c r="K1803" s="36" t="inlineStr">
        <is>
          <t>UPIOUT/407035805226/paytmqr158p3xx8vj@payt
m//5814</t>
        </is>
      </c>
      <c r="L1803" s="36" t="inlineStr">
        <is>
          <t>Federal Bank (Jupiter)</t>
        </is>
      </c>
      <c r="M1803" s="36" t="inlineStr"/>
    </row>
    <row r="1804">
      <c r="A1804" s="37" t="n">
        <v>45362</v>
      </c>
      <c r="B1804" s="37" t="n">
        <v>45362</v>
      </c>
      <c r="C1804" s="38" t="n">
        <v>90</v>
      </c>
      <c r="D1804" s="38" t="n">
        <v>0</v>
      </c>
      <c r="E1804" s="38" t="inlineStr"/>
      <c r="F1804" s="38" t="inlineStr">
        <is>
          <t>UPI Payment</t>
        </is>
      </c>
      <c r="G1804" s="25" t="n">
        <v>0.55</v>
      </c>
      <c r="H1804" s="38" t="inlineStr">
        <is>
          <t>Personal</t>
        </is>
      </c>
      <c r="I1804" s="38" t="inlineStr">
        <is>
          <t>FEDERAL 0847</t>
        </is>
      </c>
      <c r="J1804" s="38" t="inlineStr"/>
      <c r="K1804" s="38" t="inlineStr">
        <is>
          <t>UPIOUT/407142083986/Vyapar.168072300538@hd
fc/5812</t>
        </is>
      </c>
      <c r="L1804" s="38" t="inlineStr">
        <is>
          <t>Federal Bank (Jupiter)</t>
        </is>
      </c>
      <c r="M1804" s="38" t="inlineStr"/>
    </row>
    <row r="1805">
      <c r="A1805" s="41" t="n">
        <v>45362</v>
      </c>
      <c r="B1805" s="41" t="n">
        <v>45362</v>
      </c>
      <c r="C1805" s="42" t="n">
        <v>784.1799999999999</v>
      </c>
      <c r="D1805" s="42" t="n">
        <v>0</v>
      </c>
      <c r="E1805" s="42" t="inlineStr"/>
      <c r="F1805" s="42" t="inlineStr">
        <is>
          <t>UPI - Amazon</t>
        </is>
      </c>
      <c r="G1805" s="34" t="n">
        <v>0.68</v>
      </c>
      <c r="H1805" s="42" t="inlineStr">
        <is>
          <t>Shopping</t>
        </is>
      </c>
      <c r="I1805" s="42" t="inlineStr">
        <is>
          <t>FEDERAL 0847</t>
        </is>
      </c>
      <c r="J1805" s="42" t="inlineStr"/>
      <c r="K1805" s="42" t="inlineStr">
        <is>
          <t>UPIOUT/443744709527/amazonpaygrocery@yapl/
Yo/5411</t>
        </is>
      </c>
      <c r="L1805" s="42" t="inlineStr">
        <is>
          <t>Federal Bank (Jupiter)</t>
        </is>
      </c>
      <c r="M1805" s="42" t="inlineStr"/>
    </row>
    <row r="1806">
      <c r="A1806" s="35" t="n">
        <v>45362</v>
      </c>
      <c r="B1806" s="35" t="n">
        <v>45362</v>
      </c>
      <c r="C1806" s="36" t="n">
        <v>40</v>
      </c>
      <c r="D1806" s="36" t="n">
        <v>0</v>
      </c>
      <c r="E1806" s="36" t="inlineStr"/>
      <c r="F1806" s="36" t="inlineStr">
        <is>
          <t>UPI - Paytm</t>
        </is>
      </c>
      <c r="G1806" s="34" t="n">
        <v>0.65</v>
      </c>
      <c r="H1806" s="36" t="inlineStr">
        <is>
          <t>Personal</t>
        </is>
      </c>
      <c r="I1806" s="36" t="inlineStr">
        <is>
          <t>FEDERAL 0847</t>
        </is>
      </c>
      <c r="J1806" s="36" t="inlineStr"/>
      <c r="K1806" s="36" t="inlineStr">
        <is>
          <t>UPIOUT/407143589992/paytmqr3zacjjhvyp@payt
m//5462</t>
        </is>
      </c>
      <c r="L1806" s="36" t="inlineStr">
        <is>
          <t>Federal Bank (Jupiter)</t>
        </is>
      </c>
      <c r="M1806" s="36" t="inlineStr"/>
    </row>
    <row r="1807">
      <c r="A1807" s="35" t="n">
        <v>45362</v>
      </c>
      <c r="B1807" s="35" t="n">
        <v>45362</v>
      </c>
      <c r="C1807" s="36" t="n">
        <v>60</v>
      </c>
      <c r="D1807" s="36" t="n">
        <v>0</v>
      </c>
      <c r="E1807" s="36" t="inlineStr"/>
      <c r="F1807" s="36" t="inlineStr">
        <is>
          <t>UPI - Paytm</t>
        </is>
      </c>
      <c r="G1807" s="34" t="n">
        <v>0.65</v>
      </c>
      <c r="H1807" s="36" t="inlineStr">
        <is>
          <t>Personal</t>
        </is>
      </c>
      <c r="I1807" s="36" t="inlineStr">
        <is>
          <t>FEDERAL 0847</t>
        </is>
      </c>
      <c r="J1807" s="36" t="inlineStr"/>
      <c r="K1807" s="36" t="inlineStr">
        <is>
          <t>UPIOUT/407103347338/paytm-14464838@paytm/U
PI/5812</t>
        </is>
      </c>
      <c r="L1807" s="36" t="inlineStr">
        <is>
          <t>Federal Bank (Jupiter)</t>
        </is>
      </c>
      <c r="M1807" s="36" t="inlineStr"/>
    </row>
    <row r="1808">
      <c r="A1808" s="41" t="n">
        <v>45362</v>
      </c>
      <c r="B1808" s="41" t="n">
        <v>45362</v>
      </c>
      <c r="C1808" s="42" t="n">
        <v>446.16</v>
      </c>
      <c r="D1808" s="42" t="n">
        <v>0</v>
      </c>
      <c r="E1808" s="42" t="inlineStr"/>
      <c r="F1808" s="42" t="inlineStr">
        <is>
          <t>HDFC Securities - Buy</t>
        </is>
      </c>
      <c r="G1808" s="18" t="n">
        <v>0.97</v>
      </c>
      <c r="H1808" s="42" t="inlineStr">
        <is>
          <t>HDFC Securities</t>
        </is>
      </c>
      <c r="I1808" s="42" t="inlineStr">
        <is>
          <t>HDFC 5413</t>
        </is>
      </c>
      <c r="J1808" s="42" t="inlineStr"/>
      <c r="K1808" s="42" t="inlineStr">
        <is>
          <t>NET PI TO HSL SEC A/C 2554606-00602340029427</t>
        </is>
      </c>
      <c r="L1808" s="42" t="inlineStr">
        <is>
          <t>HDFC Bank</t>
        </is>
      </c>
      <c r="M1808" s="42" t="inlineStr"/>
    </row>
    <row r="1809">
      <c r="A1809" s="41" t="n">
        <v>45362</v>
      </c>
      <c r="B1809" s="41" t="n">
        <v>45362</v>
      </c>
      <c r="C1809" s="42" t="n">
        <v>22735.05</v>
      </c>
      <c r="D1809" s="42" t="n">
        <v>0</v>
      </c>
      <c r="E1809" s="42" t="inlineStr"/>
      <c r="F1809" s="42" t="inlineStr">
        <is>
          <t>HDFC Securities - Buy</t>
        </is>
      </c>
      <c r="G1809" s="18" t="n">
        <v>0.97</v>
      </c>
      <c r="H1809" s="42" t="inlineStr">
        <is>
          <t>HDFC Securities</t>
        </is>
      </c>
      <c r="I1809" s="42" t="inlineStr">
        <is>
          <t>HDFC 5413</t>
        </is>
      </c>
      <c r="J1809" s="42" t="inlineStr"/>
      <c r="K1809" s="42" t="inlineStr">
        <is>
          <t>NET PI TO HSL SEC A/C 2554606-00602340029427</t>
        </is>
      </c>
      <c r="L1809" s="42" t="inlineStr">
        <is>
          <t>HDFC Bank</t>
        </is>
      </c>
      <c r="M1809" s="42" t="inlineStr"/>
    </row>
    <row r="1810">
      <c r="A1810" s="41" t="n">
        <v>45362</v>
      </c>
      <c r="B1810" s="41" t="n">
        <v>45362</v>
      </c>
      <c r="C1810" s="42" t="n">
        <v>2667.69</v>
      </c>
      <c r="D1810" s="42" t="n">
        <v>0</v>
      </c>
      <c r="E1810" s="42" t="inlineStr"/>
      <c r="F1810" s="42" t="inlineStr">
        <is>
          <t>HDFC Securities - Buy</t>
        </is>
      </c>
      <c r="G1810" s="18" t="n">
        <v>0.97</v>
      </c>
      <c r="H1810" s="42" t="inlineStr">
        <is>
          <t>HDFC Securities</t>
        </is>
      </c>
      <c r="I1810" s="42" t="inlineStr">
        <is>
          <t>HDFC 5413</t>
        </is>
      </c>
      <c r="J1810" s="42" t="inlineStr"/>
      <c r="K1810" s="42" t="inlineStr">
        <is>
          <t>NET PI TO HSL SEC A/C 2554606-00602340029427</t>
        </is>
      </c>
      <c r="L1810" s="42" t="inlineStr">
        <is>
          <t>HDFC Bank</t>
        </is>
      </c>
      <c r="M1810" s="42" t="inlineStr"/>
    </row>
    <row r="1811">
      <c r="A1811" s="35" t="n">
        <v>45362</v>
      </c>
      <c r="B1811" s="35" t="n">
        <v>45362</v>
      </c>
      <c r="C1811" s="36" t="n">
        <v>27</v>
      </c>
      <c r="D1811" s="36" t="n">
        <v>0</v>
      </c>
      <c r="E1811" s="36" t="inlineStr"/>
      <c r="F1811" s="36" t="inlineStr">
        <is>
          <t>UPI - Paytm</t>
        </is>
      </c>
      <c r="G1811" s="34" t="n">
        <v>0.65</v>
      </c>
      <c r="H1811" s="36" t="inlineStr">
        <is>
          <t>Personal</t>
        </is>
      </c>
      <c r="I1811" s="36" t="inlineStr">
        <is>
          <t>FEDERAL 0847</t>
        </is>
      </c>
      <c r="J1811" s="36" t="inlineStr"/>
      <c r="K1811" s="36" t="inlineStr">
        <is>
          <t>UPIOUT/407142262140/paytmqr281005050101ql6
bn/5411</t>
        </is>
      </c>
      <c r="L1811" s="36" t="inlineStr">
        <is>
          <t>Federal Bank (Jupiter)</t>
        </is>
      </c>
      <c r="M1811" s="36" t="inlineStr"/>
    </row>
    <row r="1812">
      <c r="A1812" s="41" t="n">
        <v>45363</v>
      </c>
      <c r="B1812" s="41" t="n">
        <v>45363</v>
      </c>
      <c r="C1812" s="42" t="n">
        <v>1818.06</v>
      </c>
      <c r="D1812" s="42" t="n">
        <v>0</v>
      </c>
      <c r="E1812" s="42" t="inlineStr"/>
      <c r="F1812" s="42" t="inlineStr">
        <is>
          <t>HDFC Securities - Buy</t>
        </is>
      </c>
      <c r="G1812" s="18" t="n">
        <v>0.97</v>
      </c>
      <c r="H1812" s="42" t="inlineStr">
        <is>
          <t>HDFC Securities</t>
        </is>
      </c>
      <c r="I1812" s="42" t="inlineStr">
        <is>
          <t>HDFC 5413</t>
        </is>
      </c>
      <c r="J1812" s="42" t="inlineStr"/>
      <c r="K1812" s="42" t="inlineStr">
        <is>
          <t>NET PI TO HSL SEC A/C 2554606-00602340029427</t>
        </is>
      </c>
      <c r="L1812" s="42" t="inlineStr">
        <is>
          <t>HDFC Bank</t>
        </is>
      </c>
      <c r="M1812" s="42" t="inlineStr"/>
    </row>
    <row r="1813">
      <c r="A1813" s="64" t="n">
        <v>45363</v>
      </c>
      <c r="B1813" s="64" t="n">
        <v>45363</v>
      </c>
      <c r="C1813" s="65" t="n">
        <v>0</v>
      </c>
      <c r="D1813" s="65" t="n">
        <v>600</v>
      </c>
      <c r="E1813" s="65" t="inlineStr"/>
      <c r="F1813" s="65" t="inlineStr">
        <is>
          <t>Dividend Income</t>
        </is>
      </c>
      <c r="G1813" s="18" t="n">
        <v>0.88</v>
      </c>
      <c r="H1813" s="65" t="inlineStr">
        <is>
          <t>Dividend Income</t>
        </is>
      </c>
      <c r="I1813" s="65" t="inlineStr">
        <is>
          <t>HDFC 5413</t>
        </is>
      </c>
      <c r="J1813" s="65" t="inlineStr"/>
      <c r="K1813" s="65" t="inlineStr">
        <is>
          <t>ACH C- NATIONAL ALUMINIUM C-NAT0INT02024</t>
        </is>
      </c>
      <c r="L1813" s="65" t="inlineStr">
        <is>
          <t>HDFC Bank</t>
        </is>
      </c>
      <c r="M1813" s="65" t="inlineStr"/>
    </row>
    <row r="1814">
      <c r="A1814" s="35" t="n">
        <v>45363</v>
      </c>
      <c r="B1814" s="35" t="n">
        <v>45363</v>
      </c>
      <c r="C1814" s="36" t="n">
        <v>10</v>
      </c>
      <c r="D1814" s="36" t="n">
        <v>0</v>
      </c>
      <c r="E1814" s="36" t="inlineStr"/>
      <c r="F1814" s="36" t="inlineStr">
        <is>
          <t>UPI - Paytm</t>
        </is>
      </c>
      <c r="G1814" s="34" t="n">
        <v>0.65</v>
      </c>
      <c r="H1814" s="36" t="inlineStr">
        <is>
          <t>Personal</t>
        </is>
      </c>
      <c r="I1814" s="36" t="inlineStr">
        <is>
          <t>FEDERAL 0847</t>
        </is>
      </c>
      <c r="J1814" s="36" t="inlineStr"/>
      <c r="K1814" s="36" t="inlineStr">
        <is>
          <t>UPIOUT/407245055193/paytmqrnyyib5udfr@payt
m//7210</t>
        </is>
      </c>
      <c r="L1814" s="36" t="inlineStr">
        <is>
          <t>Federal Bank (Jupiter)</t>
        </is>
      </c>
      <c r="M1814" s="36" t="inlineStr"/>
    </row>
    <row r="1815">
      <c r="A1815" s="37" t="n">
        <v>45363</v>
      </c>
      <c r="B1815" s="37" t="n">
        <v>45363</v>
      </c>
      <c r="C1815" s="38" t="n">
        <v>160</v>
      </c>
      <c r="D1815" s="38" t="n">
        <v>0</v>
      </c>
      <c r="E1815" s="38" t="inlineStr"/>
      <c r="F1815" s="38" t="inlineStr">
        <is>
          <t>UPI Payment</t>
        </is>
      </c>
      <c r="G1815" s="25" t="n">
        <v>0.55</v>
      </c>
      <c r="H1815" s="38" t="inlineStr">
        <is>
          <t>Personal</t>
        </is>
      </c>
      <c r="I1815" s="38" t="inlineStr">
        <is>
          <t>FEDERAL 0847</t>
        </is>
      </c>
      <c r="J1815" s="38" t="inlineStr"/>
      <c r="K1815" s="38" t="inlineStr">
        <is>
          <t>UPIOUT/407239347227/toboxventuresprivatel.
pa/5812</t>
        </is>
      </c>
      <c r="L1815" s="38" t="inlineStr">
        <is>
          <t>Federal Bank (Jupiter)</t>
        </is>
      </c>
      <c r="M1815" s="38" t="inlineStr"/>
    </row>
    <row r="1816">
      <c r="A1816" s="37" t="n">
        <v>45363</v>
      </c>
      <c r="B1816" s="37" t="n">
        <v>45363</v>
      </c>
      <c r="C1816" s="38" t="n">
        <v>25</v>
      </c>
      <c r="D1816" s="38" t="n">
        <v>0</v>
      </c>
      <c r="E1816" s="38" t="inlineStr"/>
      <c r="F1816" s="38" t="inlineStr">
        <is>
          <t>UPI Payment</t>
        </is>
      </c>
      <c r="G1816" s="25" t="n">
        <v>0.55</v>
      </c>
      <c r="H1816" s="38" t="inlineStr">
        <is>
          <t>Personal</t>
        </is>
      </c>
      <c r="I1816" s="38" t="inlineStr">
        <is>
          <t>FEDERAL 0847</t>
        </is>
      </c>
      <c r="J1816" s="38" t="inlineStr"/>
      <c r="K1816" s="38" t="inlineStr">
        <is>
          <t>UPIOUT/407240772902/toboxventuresprivatel.
pa/5812</t>
        </is>
      </c>
      <c r="L1816" s="38" t="inlineStr">
        <is>
          <t>Federal Bank (Jupiter)</t>
        </is>
      </c>
      <c r="M1816" s="38" t="inlineStr"/>
    </row>
    <row r="1817">
      <c r="A1817" s="37" t="n">
        <v>45363</v>
      </c>
      <c r="B1817" s="37" t="n">
        <v>45363</v>
      </c>
      <c r="C1817" s="38" t="n">
        <v>300</v>
      </c>
      <c r="D1817" s="38" t="n">
        <v>0</v>
      </c>
      <c r="E1817" s="38" t="inlineStr"/>
      <c r="F1817" s="38" t="inlineStr">
        <is>
          <t>UPI Payment</t>
        </is>
      </c>
      <c r="G1817" s="25" t="n">
        <v>0.55</v>
      </c>
      <c r="H1817" s="38" t="inlineStr">
        <is>
          <t>Personal</t>
        </is>
      </c>
      <c r="I1817" s="38" t="inlineStr">
        <is>
          <t>FEDERAL 0847</t>
        </is>
      </c>
      <c r="J1817" s="38" t="inlineStr"/>
      <c r="K1817" s="38" t="inlineStr">
        <is>
          <t>UPIOUT/407248838909/TRENTWESTSIDE@ybl/Paym
en/5691</t>
        </is>
      </c>
      <c r="L1817" s="38" t="inlineStr">
        <is>
          <t>Federal Bank (Jupiter)</t>
        </is>
      </c>
      <c r="M1817" s="38" t="inlineStr"/>
    </row>
    <row r="1818">
      <c r="A1818" s="37" t="n">
        <v>45363</v>
      </c>
      <c r="B1818" s="37" t="n">
        <v>45363</v>
      </c>
      <c r="C1818" s="38" t="n">
        <v>43</v>
      </c>
      <c r="D1818" s="38" t="n">
        <v>0</v>
      </c>
      <c r="E1818" s="38" t="inlineStr"/>
      <c r="F1818" s="38" t="inlineStr">
        <is>
          <t>UPI Payment</t>
        </is>
      </c>
      <c r="G1818" s="25" t="n">
        <v>0.55</v>
      </c>
      <c r="H1818" s="38" t="inlineStr">
        <is>
          <t>Personal</t>
        </is>
      </c>
      <c r="I1818" s="38" t="inlineStr">
        <is>
          <t>FEDERAL 0847</t>
        </is>
      </c>
      <c r="J1818" s="38" t="inlineStr"/>
      <c r="K1818" s="38" t="inlineStr">
        <is>
          <t>UPIOUT/407248965230/8457962044@ybl/Sent
via /0000</t>
        </is>
      </c>
      <c r="L1818" s="38" t="inlineStr">
        <is>
          <t>Federal Bank (Jupiter)</t>
        </is>
      </c>
      <c r="M1818" s="38" t="inlineStr"/>
    </row>
    <row r="1819">
      <c r="A1819" s="37" t="n">
        <v>45363</v>
      </c>
      <c r="B1819" s="37" t="n">
        <v>45363</v>
      </c>
      <c r="C1819" s="38" t="n">
        <v>35</v>
      </c>
      <c r="D1819" s="38" t="n">
        <v>0</v>
      </c>
      <c r="E1819" s="38" t="inlineStr"/>
      <c r="F1819" s="38" t="inlineStr">
        <is>
          <t>UPI Payment</t>
        </is>
      </c>
      <c r="G1819" s="25" t="n">
        <v>0.55</v>
      </c>
      <c r="H1819" s="38" t="inlineStr">
        <is>
          <t>Personal</t>
        </is>
      </c>
      <c r="I1819" s="38" t="inlineStr">
        <is>
          <t>FEDERAL 0847</t>
        </is>
      </c>
      <c r="J1819" s="38" t="inlineStr"/>
      <c r="K1819" s="38" t="inlineStr">
        <is>
          <t>UPIOUT/407253791097/q248421440@ybl/UPI/581
2</t>
        </is>
      </c>
      <c r="L1819" s="38" t="inlineStr">
        <is>
          <t>Federal Bank (Jupiter)</t>
        </is>
      </c>
      <c r="M1819" s="38" t="inlineStr"/>
    </row>
    <row r="1820">
      <c r="A1820" s="35" t="n">
        <v>45363</v>
      </c>
      <c r="B1820" s="35" t="n">
        <v>45363</v>
      </c>
      <c r="C1820" s="36" t="n">
        <v>20</v>
      </c>
      <c r="D1820" s="36" t="n">
        <v>0</v>
      </c>
      <c r="E1820" s="36" t="inlineStr"/>
      <c r="F1820" s="36" t="inlineStr">
        <is>
          <t>UPI - Paytm</t>
        </is>
      </c>
      <c r="G1820" s="34" t="n">
        <v>0.65</v>
      </c>
      <c r="H1820" s="36" t="inlineStr">
        <is>
          <t>Personal</t>
        </is>
      </c>
      <c r="I1820" s="36" t="inlineStr">
        <is>
          <t>FEDERAL 0847</t>
        </is>
      </c>
      <c r="J1820" s="36" t="inlineStr"/>
      <c r="K1820" s="36" t="inlineStr">
        <is>
          <t>UPIOUT/407249646306/paytmqr110em392r1@payt
m//5462</t>
        </is>
      </c>
      <c r="L1820" s="36" t="inlineStr">
        <is>
          <t>Federal Bank (Jupiter)</t>
        </is>
      </c>
      <c r="M1820" s="36" t="inlineStr"/>
    </row>
    <row r="1821">
      <c r="A1821" s="35" t="n">
        <v>45364</v>
      </c>
      <c r="B1821" s="35" t="n">
        <v>45364</v>
      </c>
      <c r="C1821" s="36" t="n">
        <v>40</v>
      </c>
      <c r="D1821" s="36" t="n">
        <v>0</v>
      </c>
      <c r="E1821" s="36" t="inlineStr"/>
      <c r="F1821" s="36" t="inlineStr">
        <is>
          <t>UPI - Paytm</t>
        </is>
      </c>
      <c r="G1821" s="34" t="n">
        <v>0.65</v>
      </c>
      <c r="H1821" s="36" t="inlineStr">
        <is>
          <t>Personal</t>
        </is>
      </c>
      <c r="I1821" s="36" t="inlineStr">
        <is>
          <t>FEDERAL 0847</t>
        </is>
      </c>
      <c r="J1821" s="36" t="inlineStr"/>
      <c r="K1821" s="36" t="inlineStr">
        <is>
          <t>UPIOUT/407356960767/paytmqr281005050101ql6
bn/5411</t>
        </is>
      </c>
      <c r="L1821" s="36" t="inlineStr">
        <is>
          <t>Federal Bank (Jupiter)</t>
        </is>
      </c>
      <c r="M1821" s="36" t="inlineStr"/>
    </row>
    <row r="1822">
      <c r="A1822" s="37" t="n">
        <v>45364</v>
      </c>
      <c r="B1822" s="37" t="n">
        <v>45364</v>
      </c>
      <c r="C1822" s="38" t="n">
        <v>30</v>
      </c>
      <c r="D1822" s="38" t="n">
        <v>0</v>
      </c>
      <c r="E1822" s="38" t="inlineStr"/>
      <c r="F1822" s="38" t="inlineStr">
        <is>
          <t>UPI Payment</t>
        </is>
      </c>
      <c r="G1822" s="25" t="n">
        <v>0.55</v>
      </c>
      <c r="H1822" s="38" t="inlineStr">
        <is>
          <t>Personal</t>
        </is>
      </c>
      <c r="I1822" s="38" t="inlineStr">
        <is>
          <t>FEDERAL 0847</t>
        </is>
      </c>
      <c r="J1822" s="38" t="inlineStr"/>
      <c r="K1822" s="38" t="inlineStr">
        <is>
          <t>UPIOUT/407355964180/Q780242764@ybl/Sent
via /5814</t>
        </is>
      </c>
      <c r="L1822" s="38" t="inlineStr">
        <is>
          <t>Federal Bank (Jupiter)</t>
        </is>
      </c>
      <c r="M1822" s="38" t="inlineStr"/>
    </row>
    <row r="1823">
      <c r="A1823" s="41" t="n">
        <v>45364</v>
      </c>
      <c r="B1823" s="41" t="n">
        <v>45364</v>
      </c>
      <c r="C1823" s="42" t="n">
        <v>12617.13</v>
      </c>
      <c r="D1823" s="42" t="n">
        <v>0</v>
      </c>
      <c r="E1823" s="42" t="inlineStr"/>
      <c r="F1823" s="42" t="inlineStr">
        <is>
          <t>HDFC Securities - Buy</t>
        </is>
      </c>
      <c r="G1823" s="18" t="n">
        <v>0.97</v>
      </c>
      <c r="H1823" s="42" t="inlineStr">
        <is>
          <t>HDFC Securities</t>
        </is>
      </c>
      <c r="I1823" s="42" t="inlineStr">
        <is>
          <t>HDFC 5413</t>
        </is>
      </c>
      <c r="J1823" s="42" t="inlineStr"/>
      <c r="K1823" s="42" t="inlineStr">
        <is>
          <t>NET PI TO HSL SEC A/C 2554606-00602340029427</t>
        </is>
      </c>
      <c r="L1823" s="42" t="inlineStr">
        <is>
          <t>HDFC Bank</t>
        </is>
      </c>
      <c r="M1823" s="42" t="inlineStr"/>
    </row>
    <row r="1824">
      <c r="A1824" s="26" t="n">
        <v>45364</v>
      </c>
      <c r="B1824" s="26" t="n">
        <v>45364</v>
      </c>
      <c r="C1824" s="27" t="n">
        <v>0</v>
      </c>
      <c r="D1824" s="27" t="n">
        <v>10000</v>
      </c>
      <c r="E1824" s="27" t="inlineStr"/>
      <c r="F1824" s="27" t="inlineStr">
        <is>
          <t>Received - Ajay Gupta</t>
        </is>
      </c>
      <c r="G1824" s="18" t="n">
        <v>0.88</v>
      </c>
      <c r="H1824" s="27" t="inlineStr">
        <is>
          <t>Ajay Gupta</t>
        </is>
      </c>
      <c r="I1824" s="27" t="inlineStr">
        <is>
          <t>HDFC 5413</t>
        </is>
      </c>
      <c r="J1824" s="27" t="inlineStr"/>
      <c r="K1824" s="27" t="inlineStr">
        <is>
          <t>UPI-AJAY KUMAR GUPTA-AJAYGUPTANEL@AXL-HDFC0000167-443983561883-RETURN FROM AAYUSH</t>
        </is>
      </c>
      <c r="L1824" s="27" t="inlineStr">
        <is>
          <t>HDFC Bank</t>
        </is>
      </c>
      <c r="M1824" s="27" t="inlineStr"/>
    </row>
    <row r="1825">
      <c r="A1825" s="26" t="n">
        <v>45364</v>
      </c>
      <c r="B1825" s="26" t="n">
        <v>45364</v>
      </c>
      <c r="C1825" s="27" t="n">
        <v>20000</v>
      </c>
      <c r="D1825" s="27" t="n">
        <v>0</v>
      </c>
      <c r="E1825" s="27" t="inlineStr"/>
      <c r="F1825" s="27" t="inlineStr">
        <is>
          <t>Transfer - Ajay Gupta</t>
        </is>
      </c>
      <c r="G1825" s="18" t="n">
        <v>0.88</v>
      </c>
      <c r="H1825" s="27" t="inlineStr">
        <is>
          <t>Ajay Gupta</t>
        </is>
      </c>
      <c r="I1825" s="27" t="inlineStr">
        <is>
          <t>HDFC 5413</t>
        </is>
      </c>
      <c r="J1825" s="27" t="inlineStr"/>
      <c r="K1825" s="27" t="inlineStr">
        <is>
          <t>UPI-AJAY KUMAR GUPTA-AJAYGUPTANEL@AXL-HDFC0000167-443973513039-MONEY RETURNED FRO</t>
        </is>
      </c>
      <c r="L1825" s="27" t="inlineStr">
        <is>
          <t>HDFC Bank</t>
        </is>
      </c>
      <c r="M1825" s="27" t="inlineStr"/>
    </row>
    <row r="1826">
      <c r="A1826" s="41" t="n">
        <v>45364</v>
      </c>
      <c r="B1826" s="41" t="n">
        <v>45364</v>
      </c>
      <c r="C1826" s="42" t="n">
        <v>137.99</v>
      </c>
      <c r="D1826" s="42" t="n">
        <v>0</v>
      </c>
      <c r="E1826" s="42" t="inlineStr"/>
      <c r="F1826" s="42" t="inlineStr">
        <is>
          <t>HDFC Securities - Buy</t>
        </is>
      </c>
      <c r="G1826" s="18" t="n">
        <v>0.97</v>
      </c>
      <c r="H1826" s="42" t="inlineStr">
        <is>
          <t>HDFC Securities</t>
        </is>
      </c>
      <c r="I1826" s="42" t="inlineStr">
        <is>
          <t>HDFC 5413</t>
        </is>
      </c>
      <c r="J1826" s="42" t="inlineStr"/>
      <c r="K1826" s="42" t="inlineStr">
        <is>
          <t>NET PI TO HSL SEC A/C 2554606-00602340029427</t>
        </is>
      </c>
      <c r="L1826" s="42" t="inlineStr">
        <is>
          <t>HDFC Bank</t>
        </is>
      </c>
      <c r="M1826" s="42" t="inlineStr"/>
    </row>
    <row r="1827">
      <c r="A1827" s="56" t="n">
        <v>45364</v>
      </c>
      <c r="B1827" s="56" t="n">
        <v>45364</v>
      </c>
      <c r="C1827" s="57" t="n">
        <v>1706.62</v>
      </c>
      <c r="D1827" s="57" t="n">
        <v>0</v>
      </c>
      <c r="E1827" s="57" t="inlineStr"/>
      <c r="F1827" s="57" t="inlineStr">
        <is>
          <t>Depository Charges</t>
        </is>
      </c>
      <c r="G1827" s="18" t="n">
        <v>0.93</v>
      </c>
      <c r="H1827" s="57" t="inlineStr">
        <is>
          <t>Depository Charges</t>
        </is>
      </c>
      <c r="I1827" s="57" t="inlineStr">
        <is>
          <t>HDFC 5413</t>
        </is>
      </c>
      <c r="J1827" s="57" t="inlineStr"/>
      <c r="K1827" s="57" t="inlineStr">
        <is>
          <t>DEPOSITORY CHARGES FEB24 - 52812428</t>
        </is>
      </c>
      <c r="L1827" s="57" t="inlineStr">
        <is>
          <t>HDFC Bank</t>
        </is>
      </c>
      <c r="M1827" s="57" t="inlineStr"/>
    </row>
    <row r="1828">
      <c r="A1828" s="54" t="n">
        <v>45364</v>
      </c>
      <c r="B1828" s="54" t="n">
        <v>45364</v>
      </c>
      <c r="C1828" s="55" t="n">
        <v>0</v>
      </c>
      <c r="D1828" s="55" t="n">
        <v>41461.06</v>
      </c>
      <c r="E1828" s="55" t="inlineStr"/>
      <c r="F1828" s="55" t="inlineStr">
        <is>
          <t>HDFC Securities - Sell</t>
        </is>
      </c>
      <c r="G1828" s="18" t="n">
        <v>0.97</v>
      </c>
      <c r="H1828" s="55" t="inlineStr">
        <is>
          <t>HDFC Securities</t>
        </is>
      </c>
      <c r="I1828" s="55" t="inlineStr">
        <is>
          <t>HDFC 5413</t>
        </is>
      </c>
      <c r="J1828" s="55" t="inlineStr"/>
      <c r="K1828" s="55" t="inlineStr">
        <is>
          <t>NET PO FROM HSL A/C 2554606-50200085415108</t>
        </is>
      </c>
      <c r="L1828" s="55" t="inlineStr">
        <is>
          <t>HDFC Bank</t>
        </is>
      </c>
      <c r="M1828" s="55" t="inlineStr"/>
    </row>
    <row r="1829">
      <c r="A1829" s="41" t="n">
        <v>45365</v>
      </c>
      <c r="B1829" s="41" t="n">
        <v>45365</v>
      </c>
      <c r="C1829" s="42" t="n">
        <v>133.5</v>
      </c>
      <c r="D1829" s="42" t="n">
        <v>0</v>
      </c>
      <c r="E1829" s="42" t="inlineStr"/>
      <c r="F1829" s="42" t="inlineStr">
        <is>
          <t>HDFC Securities - Buy</t>
        </is>
      </c>
      <c r="G1829" s="18" t="n">
        <v>0.97</v>
      </c>
      <c r="H1829" s="42" t="inlineStr">
        <is>
          <t>HDFC Securities</t>
        </is>
      </c>
      <c r="I1829" s="42" t="inlineStr">
        <is>
          <t>HDFC 5413</t>
        </is>
      </c>
      <c r="J1829" s="42" t="inlineStr"/>
      <c r="K1829" s="42" t="inlineStr">
        <is>
          <t>NET PI TO HSL SEC A/C 2554606-00602340029427</t>
        </is>
      </c>
      <c r="L1829" s="42" t="inlineStr">
        <is>
          <t>HDFC Bank</t>
        </is>
      </c>
      <c r="M1829" s="42" t="inlineStr"/>
    </row>
    <row r="1830">
      <c r="A1830" s="37" t="n">
        <v>45365</v>
      </c>
      <c r="B1830" s="37" t="n">
        <v>45365</v>
      </c>
      <c r="C1830" s="38" t="n">
        <v>75</v>
      </c>
      <c r="D1830" s="38" t="n">
        <v>0</v>
      </c>
      <c r="E1830" s="38" t="inlineStr"/>
      <c r="F1830" s="38" t="inlineStr">
        <is>
          <t>UPI Payment</t>
        </is>
      </c>
      <c r="G1830" s="25" t="n">
        <v>0.55</v>
      </c>
      <c r="H1830" s="38" t="inlineStr">
        <is>
          <t>Personal</t>
        </is>
      </c>
      <c r="I1830" s="38" t="inlineStr">
        <is>
          <t>FEDERAL 0847</t>
        </is>
      </c>
      <c r="J1830" s="38" t="inlineStr"/>
      <c r="K1830" s="38" t="inlineStr">
        <is>
          <t>UPIOUT/407413363619/toboxventuresprivatel.
pa/5812</t>
        </is>
      </c>
      <c r="L1830" s="38" t="inlineStr">
        <is>
          <t>Federal Bank (Jupiter)</t>
        </is>
      </c>
      <c r="M1830" s="38" t="inlineStr"/>
    </row>
    <row r="1831">
      <c r="A1831" s="41" t="n">
        <v>45365</v>
      </c>
      <c r="B1831" s="41" t="n">
        <v>45365</v>
      </c>
      <c r="C1831" s="42" t="n">
        <v>2274</v>
      </c>
      <c r="D1831" s="42" t="n">
        <v>0</v>
      </c>
      <c r="E1831" s="42" t="inlineStr"/>
      <c r="F1831" s="42" t="inlineStr">
        <is>
          <t>UPI - Amazon</t>
        </is>
      </c>
      <c r="G1831" s="34" t="n">
        <v>0.68</v>
      </c>
      <c r="H1831" s="42" t="inlineStr">
        <is>
          <t>Shopping</t>
        </is>
      </c>
      <c r="I1831" s="42" t="inlineStr">
        <is>
          <t>FEDERAL 0847</t>
        </is>
      </c>
      <c r="J1831" s="42" t="inlineStr"/>
      <c r="K1831" s="42" t="inlineStr">
        <is>
          <t>UPIOUT/407405707015/amazonupi@apl/Request
fr/5262</t>
        </is>
      </c>
      <c r="L1831" s="42" t="inlineStr">
        <is>
          <t>Federal Bank (Jupiter)</t>
        </is>
      </c>
      <c r="M1831" s="42" t="inlineStr"/>
    </row>
    <row r="1832">
      <c r="A1832" s="35" t="n">
        <v>45365</v>
      </c>
      <c r="B1832" s="35" t="n">
        <v>45365</v>
      </c>
      <c r="C1832" s="36" t="n">
        <v>20</v>
      </c>
      <c r="D1832" s="36" t="n">
        <v>0</v>
      </c>
      <c r="E1832" s="36" t="inlineStr"/>
      <c r="F1832" s="36" t="inlineStr">
        <is>
          <t>UPI - Paytm</t>
        </is>
      </c>
      <c r="G1832" s="34" t="n">
        <v>0.65</v>
      </c>
      <c r="H1832" s="36" t="inlineStr">
        <is>
          <t>Personal</t>
        </is>
      </c>
      <c r="I1832" s="36" t="inlineStr">
        <is>
          <t>FEDERAL 0847</t>
        </is>
      </c>
      <c r="J1832" s="36" t="inlineStr"/>
      <c r="K1832" s="36" t="inlineStr">
        <is>
          <t>UPIOUT/407459133092/paytmqrnyyib5udfr@payt
m//7210</t>
        </is>
      </c>
      <c r="L1832" s="36" t="inlineStr">
        <is>
          <t>Federal Bank (Jupiter)</t>
        </is>
      </c>
      <c r="M1832" s="36" t="inlineStr"/>
    </row>
    <row r="1833">
      <c r="A1833" s="35" t="n">
        <v>45366</v>
      </c>
      <c r="B1833" s="35" t="n">
        <v>45366</v>
      </c>
      <c r="C1833" s="36" t="n">
        <v>2099</v>
      </c>
      <c r="D1833" s="36" t="n">
        <v>0</v>
      </c>
      <c r="E1833" s="36" t="inlineStr"/>
      <c r="F1833" s="36" t="inlineStr">
        <is>
          <t>UPI - Paytm</t>
        </is>
      </c>
      <c r="G1833" s="34" t="n">
        <v>0.65</v>
      </c>
      <c r="H1833" s="36" t="inlineStr">
        <is>
          <t>Personal</t>
        </is>
      </c>
      <c r="I1833" s="36" t="inlineStr">
        <is>
          <t>FEDERAL 0847</t>
        </is>
      </c>
      <c r="J1833" s="36" t="inlineStr"/>
      <c r="K1833" s="36" t="inlineStr">
        <is>
          <t>UPIOUT/444107705947/paytm-56505013@paytm/O
id/5399</t>
        </is>
      </c>
      <c r="L1833" s="36" t="inlineStr">
        <is>
          <t>Federal Bank (Jupiter)</t>
        </is>
      </c>
      <c r="M1833" s="36" t="inlineStr"/>
    </row>
    <row r="1834">
      <c r="A1834" s="87" t="n">
        <v>45366</v>
      </c>
      <c r="B1834" s="87" t="n">
        <v>45366</v>
      </c>
      <c r="C1834" s="88" t="n">
        <v>0</v>
      </c>
      <c r="D1834" s="88" t="n">
        <v>5000</v>
      </c>
      <c r="E1834" s="88" t="inlineStr"/>
      <c r="F1834" s="88" t="inlineStr">
        <is>
          <t>Contra - Kotak</t>
        </is>
      </c>
      <c r="G1834" s="18" t="n">
        <v>0.9</v>
      </c>
      <c r="H1834" s="88" t="inlineStr">
        <is>
          <t>KOTAK 0333</t>
        </is>
      </c>
      <c r="I1834" s="88" t="inlineStr">
        <is>
          <t>FEDERAL 0847</t>
        </is>
      </c>
      <c r="J1834" s="88" t="inlineStr"/>
      <c r="K1834" s="88" t="inlineStr">
        <is>
          <t>UPI IN/407565255440/9594435259@jupiteraxis
/A/0000</t>
        </is>
      </c>
      <c r="L1834" s="88" t="inlineStr">
        <is>
          <t>Federal Bank (Jupiter)</t>
        </is>
      </c>
      <c r="M1834" s="88" t="inlineStr"/>
    </row>
    <row r="1835">
      <c r="A1835" s="35" t="n">
        <v>45366</v>
      </c>
      <c r="B1835" s="35" t="n">
        <v>45366</v>
      </c>
      <c r="C1835" s="36" t="n">
        <v>90</v>
      </c>
      <c r="D1835" s="36" t="n">
        <v>0</v>
      </c>
      <c r="E1835" s="36" t="inlineStr"/>
      <c r="F1835" s="36" t="inlineStr">
        <is>
          <t>UPI - Paytm</t>
        </is>
      </c>
      <c r="G1835" s="34" t="n">
        <v>0.65</v>
      </c>
      <c r="H1835" s="36" t="inlineStr">
        <is>
          <t>Personal</t>
        </is>
      </c>
      <c r="I1835" s="36" t="inlineStr">
        <is>
          <t>FEDERAL 0847</t>
        </is>
      </c>
      <c r="J1835" s="36" t="inlineStr"/>
      <c r="K1835" s="36" t="inlineStr">
        <is>
          <t>UPIOUT/407567942187/paytmqrhdex80dh4r@payt
m//5812</t>
        </is>
      </c>
      <c r="L1835" s="36" t="inlineStr">
        <is>
          <t>Federal Bank (Jupiter)</t>
        </is>
      </c>
      <c r="M1835" s="36" t="inlineStr"/>
    </row>
    <row r="1836">
      <c r="A1836" s="35" t="n">
        <v>45366</v>
      </c>
      <c r="B1836" s="35" t="n">
        <v>45366</v>
      </c>
      <c r="C1836" s="36" t="n">
        <v>10</v>
      </c>
      <c r="D1836" s="36" t="n">
        <v>0</v>
      </c>
      <c r="E1836" s="36" t="inlineStr"/>
      <c r="F1836" s="36" t="inlineStr">
        <is>
          <t>UPI - Paytm</t>
        </is>
      </c>
      <c r="G1836" s="34" t="n">
        <v>0.65</v>
      </c>
      <c r="H1836" s="36" t="inlineStr">
        <is>
          <t>Personal</t>
        </is>
      </c>
      <c r="I1836" s="36" t="inlineStr">
        <is>
          <t>FEDERAL 0847</t>
        </is>
      </c>
      <c r="J1836" s="36" t="inlineStr"/>
      <c r="K1836" s="36" t="inlineStr">
        <is>
          <t>UPIOUT/407565433805/paytmqr3zacjjhvyp@payt
m//5462</t>
        </is>
      </c>
      <c r="L1836" s="36" t="inlineStr">
        <is>
          <t>Federal Bank (Jupiter)</t>
        </is>
      </c>
      <c r="M1836" s="36" t="inlineStr"/>
    </row>
    <row r="1837">
      <c r="A1837" s="72" t="n">
        <v>45366</v>
      </c>
      <c r="B1837" s="72" t="n">
        <v>45366</v>
      </c>
      <c r="C1837" s="73" t="n">
        <v>0</v>
      </c>
      <c r="D1837" s="73" t="n">
        <v>1999</v>
      </c>
      <c r="E1837" s="73" t="inlineStr"/>
      <c r="F1837" s="73" t="inlineStr">
        <is>
          <t>Misc Income</t>
        </is>
      </c>
      <c r="G1837" s="34" t="n">
        <v>0.7</v>
      </c>
      <c r="H1837" s="73" t="inlineStr">
        <is>
          <t>Misc Income</t>
        </is>
      </c>
      <c r="I1837" s="73" t="inlineStr">
        <is>
          <t>FEDERAL 0847</t>
        </is>
      </c>
      <c r="J1837" s="73" t="inlineStr"/>
      <c r="K1837" s="73" t="inlineStr">
        <is>
          <t>UPI IN/407566501968/amazon.refunds@axisban
k//0000</t>
        </is>
      </c>
      <c r="L1837" s="73" t="inlineStr">
        <is>
          <t>Federal Bank (Jupiter)</t>
        </is>
      </c>
      <c r="M1837" s="73" t="inlineStr"/>
    </row>
    <row r="1838">
      <c r="A1838" s="35" t="n">
        <v>45366</v>
      </c>
      <c r="B1838" s="35" t="n">
        <v>45366</v>
      </c>
      <c r="C1838" s="36" t="n">
        <v>110</v>
      </c>
      <c r="D1838" s="36" t="n">
        <v>0</v>
      </c>
      <c r="E1838" s="36" t="inlineStr"/>
      <c r="F1838" s="36" t="inlineStr">
        <is>
          <t>UPI - Paytm</t>
        </is>
      </c>
      <c r="G1838" s="34" t="n">
        <v>0.65</v>
      </c>
      <c r="H1838" s="36" t="inlineStr">
        <is>
          <t>Personal</t>
        </is>
      </c>
      <c r="I1838" s="36" t="inlineStr">
        <is>
          <t>FEDERAL 0847</t>
        </is>
      </c>
      <c r="J1838" s="36" t="inlineStr"/>
      <c r="K1838" s="36" t="inlineStr">
        <is>
          <t>UPIOUT/407569825797/paytmqr12a3hwe9xy@payt
m//5411</t>
        </is>
      </c>
      <c r="L1838" s="36" t="inlineStr">
        <is>
          <t>Federal Bank (Jupiter)</t>
        </is>
      </c>
      <c r="M1838" s="36" t="inlineStr"/>
    </row>
    <row r="1839">
      <c r="A1839" s="37" t="n">
        <v>45366</v>
      </c>
      <c r="B1839" s="37" t="n">
        <v>45366</v>
      </c>
      <c r="C1839" s="38" t="n">
        <v>40</v>
      </c>
      <c r="D1839" s="38" t="n">
        <v>0</v>
      </c>
      <c r="E1839" s="38" t="inlineStr"/>
      <c r="F1839" s="38" t="inlineStr">
        <is>
          <t>UPI Payment</t>
        </is>
      </c>
      <c r="G1839" s="25" t="n">
        <v>0.55</v>
      </c>
      <c r="H1839" s="38" t="inlineStr">
        <is>
          <t>Personal</t>
        </is>
      </c>
      <c r="I1839" s="38" t="inlineStr">
        <is>
          <t>FEDERAL 0847</t>
        </is>
      </c>
      <c r="J1839" s="38" t="inlineStr"/>
      <c r="K1839" s="38" t="inlineStr">
        <is>
          <t>UPIOUT/407570910552/Q403465439@ybl/Sent
via /5812</t>
        </is>
      </c>
      <c r="L1839" s="38" t="inlineStr">
        <is>
          <t>Federal Bank (Jupiter)</t>
        </is>
      </c>
      <c r="M1839" s="38" t="inlineStr"/>
    </row>
    <row r="1840">
      <c r="A1840" s="58" t="n">
        <v>45366</v>
      </c>
      <c r="B1840" s="58" t="n">
        <v>45366</v>
      </c>
      <c r="C1840" s="59" t="n">
        <v>2000</v>
      </c>
      <c r="D1840" s="59" t="n">
        <v>0</v>
      </c>
      <c r="E1840" s="59" t="inlineStr"/>
      <c r="F1840" s="59" t="inlineStr">
        <is>
          <t>MF Investment</t>
        </is>
      </c>
      <c r="G1840" s="18" t="n">
        <v>0.88</v>
      </c>
      <c r="H1840" s="59" t="inlineStr">
        <is>
          <t>Investments</t>
        </is>
      </c>
      <c r="I1840" s="59" t="inlineStr">
        <is>
          <t>FEDERAL 0847</t>
        </is>
      </c>
      <c r="J1840" s="59" t="inlineStr"/>
      <c r="K1840" s="59" t="inlineStr">
        <is>
          <t>NFT/NEOSIEXEDDD2024031502301538967 Mirae
Asset Mut</t>
        </is>
      </c>
      <c r="L1840" s="59" t="inlineStr">
        <is>
          <t>Federal Bank (Jupiter)</t>
        </is>
      </c>
      <c r="M1840" s="59" t="inlineStr"/>
    </row>
    <row r="1841">
      <c r="A1841" s="35" t="n">
        <v>45366</v>
      </c>
      <c r="B1841" s="35" t="n">
        <v>45366</v>
      </c>
      <c r="C1841" s="36" t="n">
        <v>0</v>
      </c>
      <c r="D1841" s="36" t="n">
        <v>9109</v>
      </c>
      <c r="E1841" s="36" t="inlineStr"/>
      <c r="F1841" s="36" t="inlineStr">
        <is>
          <t>Auto Sweep FD</t>
        </is>
      </c>
      <c r="G1841" s="34" t="n">
        <v>0.75</v>
      </c>
      <c r="H1841" s="36" t="inlineStr">
        <is>
          <t>Auto Sweep FD</t>
        </is>
      </c>
      <c r="I1841" s="36" t="inlineStr">
        <is>
          <t>KOTAK 0333</t>
        </is>
      </c>
      <c r="J1841" s="36" t="inlineStr"/>
      <c r="K1841" s="36" t="inlineStr">
        <is>
          <t>TRANS</t>
        </is>
      </c>
      <c r="L1841" s="36" t="inlineStr">
        <is>
          <t>Kotak Mahindra Bank</t>
        </is>
      </c>
      <c r="M1841" s="36" t="inlineStr"/>
    </row>
    <row r="1842">
      <c r="A1842" s="72" t="n">
        <v>45366</v>
      </c>
      <c r="B1842" s="72" t="n">
        <v>45366</v>
      </c>
      <c r="C1842" s="73" t="n">
        <v>0</v>
      </c>
      <c r="D1842" s="73" t="n">
        <v>275</v>
      </c>
      <c r="E1842" s="73" t="inlineStr"/>
      <c r="F1842" s="73" t="inlineStr">
        <is>
          <t>Misc Income</t>
        </is>
      </c>
      <c r="G1842" s="34" t="n">
        <v>0.7</v>
      </c>
      <c r="H1842" s="73" t="inlineStr">
        <is>
          <t>Misc Income</t>
        </is>
      </c>
      <c r="I1842" s="73" t="inlineStr">
        <is>
          <t>FEDERAL 0847</t>
        </is>
      </c>
      <c r="J1842" s="73" t="inlineStr"/>
      <c r="K1842" s="73" t="inlineStr">
        <is>
          <t>UPI IN/407565243537/amazon.refunds@axisban
k//0000</t>
        </is>
      </c>
      <c r="L1842" s="73" t="inlineStr">
        <is>
          <t>Federal Bank (Jupiter)</t>
        </is>
      </c>
      <c r="M1842" s="73" t="inlineStr"/>
    </row>
    <row r="1843">
      <c r="A1843" s="41" t="n">
        <v>45366</v>
      </c>
      <c r="B1843" s="41" t="n">
        <v>45366</v>
      </c>
      <c r="C1843" s="42" t="n">
        <v>138.61</v>
      </c>
      <c r="D1843" s="42" t="n">
        <v>0</v>
      </c>
      <c r="E1843" s="42" t="inlineStr"/>
      <c r="F1843" s="42" t="inlineStr">
        <is>
          <t>HDFC Securities - Buy</t>
        </is>
      </c>
      <c r="G1843" s="18" t="n">
        <v>0.97</v>
      </c>
      <c r="H1843" s="42" t="inlineStr">
        <is>
          <t>HDFC Securities</t>
        </is>
      </c>
      <c r="I1843" s="42" t="inlineStr">
        <is>
          <t>HDFC 5413</t>
        </is>
      </c>
      <c r="J1843" s="42" t="inlineStr"/>
      <c r="K1843" s="42" t="inlineStr">
        <is>
          <t>NET PI TO HSL SEC A/C 2554606-00602340029427</t>
        </is>
      </c>
      <c r="L1843" s="42" t="inlineStr">
        <is>
          <t>HDFC Bank</t>
        </is>
      </c>
      <c r="M1843" s="42" t="inlineStr"/>
    </row>
    <row r="1844">
      <c r="A1844" s="54" t="n">
        <v>45366</v>
      </c>
      <c r="B1844" s="54" t="n">
        <v>45366</v>
      </c>
      <c r="C1844" s="55" t="n">
        <v>0</v>
      </c>
      <c r="D1844" s="55" t="n">
        <v>751.22</v>
      </c>
      <c r="E1844" s="55" t="inlineStr"/>
      <c r="F1844" s="55" t="inlineStr">
        <is>
          <t>HDFC Securities - Sell</t>
        </is>
      </c>
      <c r="G1844" s="18" t="n">
        <v>0.97</v>
      </c>
      <c r="H1844" s="55" t="inlineStr">
        <is>
          <t>HDFC Securities</t>
        </is>
      </c>
      <c r="I1844" s="55" t="inlineStr">
        <is>
          <t>HDFC 5413</t>
        </is>
      </c>
      <c r="J1844" s="55" t="inlineStr"/>
      <c r="K1844" s="55" t="inlineStr">
        <is>
          <t>NET PO FROM HSL A/C 2554606-50200085415108</t>
        </is>
      </c>
      <c r="L1844" s="55" t="inlineStr">
        <is>
          <t>HDFC Bank</t>
        </is>
      </c>
      <c r="M1844" s="55" t="inlineStr"/>
    </row>
    <row r="1845">
      <c r="A1845" s="54" t="n">
        <v>45366</v>
      </c>
      <c r="B1845" s="54" t="n">
        <v>45366</v>
      </c>
      <c r="C1845" s="55" t="n">
        <v>0</v>
      </c>
      <c r="D1845" s="55" t="n">
        <v>5523.9</v>
      </c>
      <c r="E1845" s="55" t="inlineStr"/>
      <c r="F1845" s="55" t="inlineStr">
        <is>
          <t>HDFC Securities - Sell</t>
        </is>
      </c>
      <c r="G1845" s="18" t="n">
        <v>0.97</v>
      </c>
      <c r="H1845" s="55" t="inlineStr">
        <is>
          <t>HDFC Securities</t>
        </is>
      </c>
      <c r="I1845" s="55" t="inlineStr">
        <is>
          <t>HDFC 5413</t>
        </is>
      </c>
      <c r="J1845" s="55" t="inlineStr"/>
      <c r="K1845" s="55" t="inlineStr">
        <is>
          <t>NET PO FROM HSL A/C 2554606-50200085415108</t>
        </is>
      </c>
      <c r="L1845" s="55" t="inlineStr">
        <is>
          <t>HDFC Bank</t>
        </is>
      </c>
      <c r="M1845" s="55" t="inlineStr"/>
    </row>
    <row r="1846">
      <c r="A1846" s="91" t="n">
        <v>45368</v>
      </c>
      <c r="B1846" s="91" t="n">
        <v>45368</v>
      </c>
      <c r="C1846" s="92" t="n">
        <v>52.79</v>
      </c>
      <c r="D1846" s="92" t="n">
        <v>0</v>
      </c>
      <c r="E1846" s="92" t="inlineStr"/>
      <c r="F1846" s="92" t="inlineStr">
        <is>
          <t>UPI - Uber</t>
        </is>
      </c>
      <c r="G1846" s="34" t="n">
        <v>0.68</v>
      </c>
      <c r="H1846" s="92" t="inlineStr">
        <is>
          <t>Transport</t>
        </is>
      </c>
      <c r="I1846" s="92" t="inlineStr">
        <is>
          <t>FEDERAL 0847</t>
        </is>
      </c>
      <c r="J1846" s="92" t="inlineStr"/>
      <c r="K1846" s="92" t="inlineStr">
        <is>
          <t>UPIOUT/407795938504/uberrides@hdfcbank/cha
rg/5960</t>
        </is>
      </c>
      <c r="L1846" s="92" t="inlineStr">
        <is>
          <t>Federal Bank (Jupiter)</t>
        </is>
      </c>
      <c r="M1846" s="92" t="inlineStr"/>
    </row>
    <row r="1847">
      <c r="A1847" s="99" t="n">
        <v>45368</v>
      </c>
      <c r="B1847" s="99" t="n">
        <v>45368</v>
      </c>
      <c r="C1847" s="100" t="n">
        <v>561</v>
      </c>
      <c r="D1847" s="100" t="n">
        <v>0</v>
      </c>
      <c r="E1847" s="100" t="inlineStr"/>
      <c r="F1847" s="100" t="inlineStr">
        <is>
          <t>UPI - Zomato</t>
        </is>
      </c>
      <c r="G1847" s="34" t="n">
        <v>0.68</v>
      </c>
      <c r="H1847" s="100" t="inlineStr">
        <is>
          <t>Food &amp; Dining</t>
        </is>
      </c>
      <c r="I1847" s="100" t="inlineStr">
        <is>
          <t>FEDERAL 0847</t>
        </is>
      </c>
      <c r="J1847" s="100" t="inlineStr"/>
      <c r="K1847" s="100" t="inlineStr">
        <is>
          <t>UPIOUT/407783790426/zomato-
order@paytm/Zomat/5812</t>
        </is>
      </c>
      <c r="L1847" s="100" t="inlineStr">
        <is>
          <t>Federal Bank (Jupiter)</t>
        </is>
      </c>
      <c r="M1847" s="100" t="inlineStr"/>
    </row>
    <row r="1848">
      <c r="A1848" s="35" t="n">
        <v>45368</v>
      </c>
      <c r="B1848" s="35" t="n">
        <v>45368</v>
      </c>
      <c r="C1848" s="36" t="n">
        <v>0</v>
      </c>
      <c r="D1848" s="36" t="n">
        <v>300</v>
      </c>
      <c r="E1848" s="36" t="inlineStr"/>
      <c r="F1848" s="36" t="inlineStr">
        <is>
          <t>UPI - Paytm</t>
        </is>
      </c>
      <c r="G1848" s="34" t="n">
        <v>0.65</v>
      </c>
      <c r="H1848" s="36" t="inlineStr">
        <is>
          <t>Personal</t>
        </is>
      </c>
      <c r="I1848" s="36" t="inlineStr">
        <is>
          <t>FEDERAL 0847</t>
        </is>
      </c>
      <c r="J1848" s="36" t="inlineStr"/>
      <c r="K1848" s="36" t="inlineStr">
        <is>
          <t>UPI IN/407740002354/9205307900@paytm/Sent
fr/0000</t>
        </is>
      </c>
      <c r="L1848" s="36" t="inlineStr">
        <is>
          <t>Federal Bank (Jupiter)</t>
        </is>
      </c>
      <c r="M1848" s="36" t="inlineStr"/>
    </row>
    <row r="1849">
      <c r="A1849" s="91" t="n">
        <v>45368</v>
      </c>
      <c r="B1849" s="91" t="n">
        <v>45368</v>
      </c>
      <c r="C1849" s="92" t="n">
        <v>64.02</v>
      </c>
      <c r="D1849" s="92" t="n">
        <v>0</v>
      </c>
      <c r="E1849" s="92" t="inlineStr"/>
      <c r="F1849" s="92" t="inlineStr">
        <is>
          <t>UPI - Uber</t>
        </is>
      </c>
      <c r="G1849" s="34" t="n">
        <v>0.68</v>
      </c>
      <c r="H1849" s="92" t="inlineStr">
        <is>
          <t>Transport</t>
        </is>
      </c>
      <c r="I1849" s="92" t="inlineStr">
        <is>
          <t>FEDERAL 0847</t>
        </is>
      </c>
      <c r="J1849" s="92" t="inlineStr"/>
      <c r="K1849" s="92" t="inlineStr">
        <is>
          <t>UPIOUT/407784156226/uber@axisbank/charge/4
121</t>
        </is>
      </c>
      <c r="L1849" s="92" t="inlineStr">
        <is>
          <t>Federal Bank (Jupiter)</t>
        </is>
      </c>
      <c r="M1849" s="92" t="inlineStr"/>
    </row>
    <row r="1850">
      <c r="A1850" s="99" t="n">
        <v>45368</v>
      </c>
      <c r="B1850" s="99" t="n">
        <v>45368</v>
      </c>
      <c r="C1850" s="100" t="n">
        <v>50</v>
      </c>
      <c r="D1850" s="100" t="n">
        <v>0</v>
      </c>
      <c r="E1850" s="100" t="inlineStr"/>
      <c r="F1850" s="100" t="inlineStr">
        <is>
          <t>UPI - Zomato</t>
        </is>
      </c>
      <c r="G1850" s="34" t="n">
        <v>0.68</v>
      </c>
      <c r="H1850" s="100" t="inlineStr">
        <is>
          <t>Food &amp; Dining</t>
        </is>
      </c>
      <c r="I1850" s="100" t="inlineStr">
        <is>
          <t>FEDERAL 0847</t>
        </is>
      </c>
      <c r="J1850" s="100" t="inlineStr"/>
      <c r="K1850" s="100" t="inlineStr">
        <is>
          <t>UPIOUT/407780829526/zomatoltd9.rzp@mairtel
/P/5811</t>
        </is>
      </c>
      <c r="L1850" s="100" t="inlineStr">
        <is>
          <t>Federal Bank (Jupiter)</t>
        </is>
      </c>
      <c r="M1850" s="100" t="inlineStr"/>
    </row>
    <row r="1851">
      <c r="A1851" s="37" t="n">
        <v>45369</v>
      </c>
      <c r="B1851" s="37" t="n">
        <v>45369</v>
      </c>
      <c r="C1851" s="38" t="n">
        <v>40</v>
      </c>
      <c r="D1851" s="38" t="n">
        <v>0</v>
      </c>
      <c r="E1851" s="38" t="inlineStr"/>
      <c r="F1851" s="38" t="inlineStr">
        <is>
          <t>UPI Payment</t>
        </is>
      </c>
      <c r="G1851" s="25" t="n">
        <v>0.55</v>
      </c>
      <c r="H1851" s="38" t="inlineStr">
        <is>
          <t>Personal</t>
        </is>
      </c>
      <c r="I1851" s="38" t="inlineStr">
        <is>
          <t>FEDERAL 0847</t>
        </is>
      </c>
      <c r="J1851" s="38" t="inlineStr"/>
      <c r="K1851" s="38" t="inlineStr">
        <is>
          <t>UPIOUT/407890448729/Q248421440@ybl/Sent
via /5812</t>
        </is>
      </c>
      <c r="L1851" s="38" t="inlineStr">
        <is>
          <t>Federal Bank (Jupiter)</t>
        </is>
      </c>
      <c r="M1851" s="38" t="inlineStr"/>
    </row>
    <row r="1852">
      <c r="A1852" s="41" t="n">
        <v>45369</v>
      </c>
      <c r="B1852" s="41" t="n">
        <v>45369</v>
      </c>
      <c r="C1852" s="42" t="n">
        <v>422.52</v>
      </c>
      <c r="D1852" s="42" t="n">
        <v>0</v>
      </c>
      <c r="E1852" s="42" t="inlineStr"/>
      <c r="F1852" s="42" t="inlineStr">
        <is>
          <t>HDFC Securities - Buy</t>
        </is>
      </c>
      <c r="G1852" s="18" t="n">
        <v>0.97</v>
      </c>
      <c r="H1852" s="42" t="inlineStr">
        <is>
          <t>HDFC Securities</t>
        </is>
      </c>
      <c r="I1852" s="42" t="inlineStr">
        <is>
          <t>HDFC 5413</t>
        </is>
      </c>
      <c r="J1852" s="42" t="inlineStr"/>
      <c r="K1852" s="42" t="inlineStr">
        <is>
          <t>NET PI TO HSL SEC A/C 2554606-00602340029427</t>
        </is>
      </c>
      <c r="L1852" s="42" t="inlineStr">
        <is>
          <t>HDFC Bank</t>
        </is>
      </c>
      <c r="M1852" s="42" t="inlineStr"/>
    </row>
    <row r="1853">
      <c r="A1853" s="41" t="n">
        <v>45369</v>
      </c>
      <c r="B1853" s="41" t="n">
        <v>45369</v>
      </c>
      <c r="C1853" s="42" t="n">
        <v>2206.38</v>
      </c>
      <c r="D1853" s="42" t="n">
        <v>0</v>
      </c>
      <c r="E1853" s="42" t="inlineStr"/>
      <c r="F1853" s="42" t="inlineStr">
        <is>
          <t>HDFC Securities - Buy</t>
        </is>
      </c>
      <c r="G1853" s="18" t="n">
        <v>0.97</v>
      </c>
      <c r="H1853" s="42" t="inlineStr">
        <is>
          <t>HDFC Securities</t>
        </is>
      </c>
      <c r="I1853" s="42" t="inlineStr">
        <is>
          <t>HDFC 5413</t>
        </is>
      </c>
      <c r="J1853" s="42" t="inlineStr"/>
      <c r="K1853" s="42" t="inlineStr">
        <is>
          <t>NET PI TO HSL SEC A/C 2554606-00602340029427</t>
        </is>
      </c>
      <c r="L1853" s="42" t="inlineStr">
        <is>
          <t>HDFC Bank</t>
        </is>
      </c>
      <c r="M1853" s="42" t="inlineStr"/>
    </row>
    <row r="1854">
      <c r="A1854" s="35" t="n">
        <v>45369</v>
      </c>
      <c r="B1854" s="35" t="n">
        <v>45369</v>
      </c>
      <c r="C1854" s="36" t="n">
        <v>40</v>
      </c>
      <c r="D1854" s="36" t="n">
        <v>0</v>
      </c>
      <c r="E1854" s="36" t="inlineStr"/>
      <c r="F1854" s="36" t="inlineStr">
        <is>
          <t>UPI - Paytm</t>
        </is>
      </c>
      <c r="G1854" s="34" t="n">
        <v>0.65</v>
      </c>
      <c r="H1854" s="36" t="inlineStr">
        <is>
          <t>Personal</t>
        </is>
      </c>
      <c r="I1854" s="36" t="inlineStr">
        <is>
          <t>FEDERAL 0847</t>
        </is>
      </c>
      <c r="J1854" s="36" t="inlineStr"/>
      <c r="K1854" s="36" t="inlineStr">
        <is>
          <t>UPIOUT/407885565456/paytmqrnyyib5udfr@payt
m//7210</t>
        </is>
      </c>
      <c r="L1854" s="36" t="inlineStr">
        <is>
          <t>Federal Bank (Jupiter)</t>
        </is>
      </c>
      <c r="M1854" s="36" t="inlineStr"/>
    </row>
    <row r="1855">
      <c r="A1855" s="87" t="n">
        <v>45369</v>
      </c>
      <c r="B1855" s="87" t="n">
        <v>45369</v>
      </c>
      <c r="C1855" s="88" t="n">
        <v>0</v>
      </c>
      <c r="D1855" s="88" t="n">
        <v>1</v>
      </c>
      <c r="E1855" s="88" t="inlineStr"/>
      <c r="F1855" s="88" t="inlineStr">
        <is>
          <t>Contra - Kotak</t>
        </is>
      </c>
      <c r="G1855" s="18" t="n">
        <v>0.9</v>
      </c>
      <c r="H1855" s="88" t="inlineStr">
        <is>
          <t>KOTAK 0333</t>
        </is>
      </c>
      <c r="I1855" s="88" t="inlineStr">
        <is>
          <t>FEDERAL 0847</t>
        </is>
      </c>
      <c r="J1855" s="88" t="inlineStr"/>
      <c r="K1855" s="88" t="inlineStr">
        <is>
          <t>UPI IN/407811693463/9594435259@kotak/MB
UPI/0000</t>
        </is>
      </c>
      <c r="L1855" s="88" t="inlineStr">
        <is>
          <t>Federal Bank (Jupiter)</t>
        </is>
      </c>
      <c r="M1855" s="88" t="inlineStr"/>
    </row>
    <row r="1856">
      <c r="A1856" s="87" t="n">
        <v>45369</v>
      </c>
      <c r="B1856" s="87" t="n">
        <v>45369</v>
      </c>
      <c r="C1856" s="88" t="n">
        <v>1</v>
      </c>
      <c r="D1856" s="88" t="n">
        <v>0</v>
      </c>
      <c r="E1856" s="88" t="inlineStr"/>
      <c r="F1856" s="88" t="inlineStr">
        <is>
          <t>Contra - Jupiter</t>
        </is>
      </c>
      <c r="G1856" s="18" t="n">
        <v>0.95</v>
      </c>
      <c r="H1856" s="88" t="inlineStr">
        <is>
          <t>FEDERAL 0847</t>
        </is>
      </c>
      <c r="I1856" s="88" t="inlineStr">
        <is>
          <t>KOTAK 0333</t>
        </is>
      </c>
      <c r="J1856" s="88" t="inlineStr"/>
      <c r="K1856" s="88" t="inlineStr">
        <is>
          <t>UPI/AAYUSH KUMAR GU/407811693463/MB UPI</t>
        </is>
      </c>
      <c r="L1856" s="88" t="inlineStr">
        <is>
          <t>Kotak Mahindra Bank</t>
        </is>
      </c>
      <c r="M1856" s="88" t="inlineStr"/>
    </row>
    <row r="1857">
      <c r="A1857" s="41" t="n">
        <v>45369</v>
      </c>
      <c r="B1857" s="41" t="n">
        <v>45369</v>
      </c>
      <c r="C1857" s="42" t="n">
        <v>4999</v>
      </c>
      <c r="D1857" s="42" t="n">
        <v>0</v>
      </c>
      <c r="E1857" s="42" t="inlineStr"/>
      <c r="F1857" s="42" t="inlineStr">
        <is>
          <t>Contra - Self</t>
        </is>
      </c>
      <c r="G1857" s="34" t="n">
        <v>0.8</v>
      </c>
      <c r="H1857" s="42" t="inlineStr">
        <is>
          <t>Transfer</t>
        </is>
      </c>
      <c r="I1857" s="42" t="inlineStr">
        <is>
          <t>KOTAK 0333</t>
        </is>
      </c>
      <c r="J1857" s="42" t="inlineStr"/>
      <c r="K1857" s="42" t="inlineStr">
        <is>
          <t>UPI/AAYUSH KUMAR GU/407811695179/MB UPI</t>
        </is>
      </c>
      <c r="L1857" s="42" t="inlineStr">
        <is>
          <t>Kotak Mahindra Bank</t>
        </is>
      </c>
      <c r="M1857" s="42" t="inlineStr"/>
    </row>
    <row r="1858">
      <c r="A1858" s="37" t="n">
        <v>45369</v>
      </c>
      <c r="B1858" s="37" t="n">
        <v>45369</v>
      </c>
      <c r="C1858" s="38" t="n">
        <v>60</v>
      </c>
      <c r="D1858" s="38" t="n">
        <v>0</v>
      </c>
      <c r="E1858" s="38" t="inlineStr"/>
      <c r="F1858" s="38" t="inlineStr">
        <is>
          <t>UPI Payment</t>
        </is>
      </c>
      <c r="G1858" s="25" t="n">
        <v>0.55</v>
      </c>
      <c r="H1858" s="38" t="inlineStr">
        <is>
          <t>Personal</t>
        </is>
      </c>
      <c r="I1858" s="38" t="inlineStr">
        <is>
          <t>FEDERAL 0847</t>
        </is>
      </c>
      <c r="J1858" s="38" t="inlineStr"/>
      <c r="K1858" s="38" t="inlineStr">
        <is>
          <t>UPIOUT/407887304759/Q176042605@ybl/Sent
via /5814</t>
        </is>
      </c>
      <c r="L1858" s="38" t="inlineStr">
        <is>
          <t>Federal Bank (Jupiter)</t>
        </is>
      </c>
      <c r="M1858" s="38" t="inlineStr"/>
    </row>
    <row r="1859">
      <c r="A1859" s="91" t="n">
        <v>45369</v>
      </c>
      <c r="B1859" s="91" t="n">
        <v>45369</v>
      </c>
      <c r="C1859" s="92" t="n">
        <v>37.7</v>
      </c>
      <c r="D1859" s="92" t="n">
        <v>0</v>
      </c>
      <c r="E1859" s="92" t="inlineStr"/>
      <c r="F1859" s="92" t="inlineStr">
        <is>
          <t>UPI - Uber</t>
        </is>
      </c>
      <c r="G1859" s="34" t="n">
        <v>0.68</v>
      </c>
      <c r="H1859" s="92" t="inlineStr">
        <is>
          <t>Transport</t>
        </is>
      </c>
      <c r="I1859" s="92" t="inlineStr">
        <is>
          <t>FEDERAL 0847</t>
        </is>
      </c>
      <c r="J1859" s="92" t="inlineStr"/>
      <c r="K1859" s="92" t="inlineStr">
        <is>
          <t>UPIOUT/407899400299/uberrides@hdfcbank/cha
rg/5960</t>
        </is>
      </c>
      <c r="L1859" s="92" t="inlineStr">
        <is>
          <t>Federal Bank (Jupiter)</t>
        </is>
      </c>
      <c r="M1859" s="92" t="inlineStr"/>
    </row>
    <row r="1860">
      <c r="A1860" s="41" t="n">
        <v>45370</v>
      </c>
      <c r="B1860" s="41" t="n">
        <v>45370</v>
      </c>
      <c r="C1860" s="42" t="n">
        <v>4109</v>
      </c>
      <c r="D1860" s="42" t="n">
        <v>0</v>
      </c>
      <c r="E1860" s="42" t="inlineStr"/>
      <c r="F1860" s="42" t="inlineStr">
        <is>
          <t>Contra - Self</t>
        </is>
      </c>
      <c r="G1860" s="34" t="n">
        <v>0.8</v>
      </c>
      <c r="H1860" s="42" t="inlineStr">
        <is>
          <t>Transfer</t>
        </is>
      </c>
      <c r="I1860" s="42" t="inlineStr">
        <is>
          <t>KOTAK 0333</t>
        </is>
      </c>
      <c r="J1860" s="42" t="inlineStr"/>
      <c r="K1860" s="42" t="inlineStr">
        <is>
          <t>UPI/AAYUSH KUMAR GU/407908004025/MB UPI</t>
        </is>
      </c>
      <c r="L1860" s="42" t="inlineStr">
        <is>
          <t>Kotak Mahindra Bank</t>
        </is>
      </c>
      <c r="M1860" s="42" t="inlineStr"/>
    </row>
    <row r="1861">
      <c r="A1861" s="91" t="n">
        <v>45370</v>
      </c>
      <c r="B1861" s="91" t="n">
        <v>45370</v>
      </c>
      <c r="C1861" s="92" t="n">
        <v>59.93</v>
      </c>
      <c r="D1861" s="92" t="n">
        <v>0</v>
      </c>
      <c r="E1861" s="92" t="inlineStr"/>
      <c r="F1861" s="92" t="inlineStr">
        <is>
          <t>UPI - Uber</t>
        </is>
      </c>
      <c r="G1861" s="34" t="n">
        <v>0.68</v>
      </c>
      <c r="H1861" s="92" t="inlineStr">
        <is>
          <t>Transport</t>
        </is>
      </c>
      <c r="I1861" s="92" t="inlineStr">
        <is>
          <t>FEDERAL 0847</t>
        </is>
      </c>
      <c r="J1861" s="92" t="inlineStr"/>
      <c r="K1861" s="92" t="inlineStr">
        <is>
          <t>UPIOUT/407902528303/uberrides@hdfcbank/cha
rg/5960</t>
        </is>
      </c>
      <c r="L1861" s="92" t="inlineStr">
        <is>
          <t>Federal Bank (Jupiter)</t>
        </is>
      </c>
      <c r="M1861" s="92" t="inlineStr"/>
    </row>
    <row r="1862">
      <c r="A1862" s="37" t="n">
        <v>45370</v>
      </c>
      <c r="B1862" s="37" t="n">
        <v>45370</v>
      </c>
      <c r="C1862" s="38" t="n">
        <v>152.25</v>
      </c>
      <c r="D1862" s="38" t="n">
        <v>0</v>
      </c>
      <c r="E1862" s="38" t="inlineStr"/>
      <c r="F1862" s="38" t="inlineStr">
        <is>
          <t>UPI Payment</t>
        </is>
      </c>
      <c r="G1862" s="25" t="n">
        <v>0.55</v>
      </c>
      <c r="H1862" s="38" t="inlineStr">
        <is>
          <t>Personal</t>
        </is>
      </c>
      <c r="I1862" s="38" t="inlineStr">
        <is>
          <t>FEDERAL 0847</t>
        </is>
      </c>
      <c r="J1862" s="38" t="inlineStr"/>
      <c r="K1862" s="38" t="inlineStr">
        <is>
          <t>UPIOUT/407996788437/toboxventuresprivatel.
pa/5812</t>
        </is>
      </c>
      <c r="L1862" s="38" t="inlineStr">
        <is>
          <t>Federal Bank (Jupiter)</t>
        </is>
      </c>
      <c r="M1862" s="38" t="inlineStr"/>
    </row>
    <row r="1863">
      <c r="A1863" s="41" t="n">
        <v>45370</v>
      </c>
      <c r="B1863" s="41" t="n">
        <v>45370</v>
      </c>
      <c r="C1863" s="42" t="n">
        <v>213.09</v>
      </c>
      <c r="D1863" s="42" t="n">
        <v>0</v>
      </c>
      <c r="E1863" s="42" t="inlineStr"/>
      <c r="F1863" s="42" t="inlineStr">
        <is>
          <t>HDFC Securities - Buy</t>
        </is>
      </c>
      <c r="G1863" s="18" t="n">
        <v>0.97</v>
      </c>
      <c r="H1863" s="42" t="inlineStr">
        <is>
          <t>HDFC Securities</t>
        </is>
      </c>
      <c r="I1863" s="42" t="inlineStr">
        <is>
          <t>HDFC 5413</t>
        </is>
      </c>
      <c r="J1863" s="42" t="inlineStr"/>
      <c r="K1863" s="42" t="inlineStr">
        <is>
          <t>NET PI TO HSL SEC A/C 2554606-00602340029427</t>
        </is>
      </c>
      <c r="L1863" s="42" t="inlineStr">
        <is>
          <t>HDFC Bank</t>
        </is>
      </c>
      <c r="M1863" s="42" t="inlineStr"/>
    </row>
    <row r="1864">
      <c r="A1864" s="41" t="n">
        <v>45370</v>
      </c>
      <c r="B1864" s="41" t="n">
        <v>45370</v>
      </c>
      <c r="C1864" s="42" t="n">
        <v>594.47</v>
      </c>
      <c r="D1864" s="42" t="n">
        <v>0</v>
      </c>
      <c r="E1864" s="42" t="inlineStr"/>
      <c r="F1864" s="42" t="inlineStr">
        <is>
          <t>HDFC Securities - Buy</t>
        </is>
      </c>
      <c r="G1864" s="18" t="n">
        <v>0.97</v>
      </c>
      <c r="H1864" s="42" t="inlineStr">
        <is>
          <t>HDFC Securities</t>
        </is>
      </c>
      <c r="I1864" s="42" t="inlineStr">
        <is>
          <t>HDFC 5413</t>
        </is>
      </c>
      <c r="J1864" s="42" t="inlineStr"/>
      <c r="K1864" s="42" t="inlineStr">
        <is>
          <t>NET PI TO HSL SEC A/C 2554606-00602340029427</t>
        </is>
      </c>
      <c r="L1864" s="42" t="inlineStr">
        <is>
          <t>HDFC Bank</t>
        </is>
      </c>
      <c r="M1864" s="42" t="inlineStr"/>
    </row>
    <row r="1865">
      <c r="A1865" s="41" t="n">
        <v>45370</v>
      </c>
      <c r="B1865" s="41" t="n">
        <v>45370</v>
      </c>
      <c r="C1865" s="42" t="n">
        <v>140.06</v>
      </c>
      <c r="D1865" s="42" t="n">
        <v>0</v>
      </c>
      <c r="E1865" s="42" t="inlineStr"/>
      <c r="F1865" s="42" t="inlineStr">
        <is>
          <t>HDFC Securities - Buy</t>
        </is>
      </c>
      <c r="G1865" s="18" t="n">
        <v>0.97</v>
      </c>
      <c r="H1865" s="42" t="inlineStr">
        <is>
          <t>HDFC Securities</t>
        </is>
      </c>
      <c r="I1865" s="42" t="inlineStr">
        <is>
          <t>HDFC 5413</t>
        </is>
      </c>
      <c r="J1865" s="42" t="inlineStr"/>
      <c r="K1865" s="42" t="inlineStr">
        <is>
          <t>NET PI TO HSL SEC A/C 2554606-00602340029427</t>
        </is>
      </c>
      <c r="L1865" s="42" t="inlineStr">
        <is>
          <t>HDFC Bank</t>
        </is>
      </c>
      <c r="M1865" s="42" t="inlineStr"/>
    </row>
    <row r="1866">
      <c r="A1866" s="91" t="n">
        <v>45370</v>
      </c>
      <c r="B1866" s="91" t="n">
        <v>45370</v>
      </c>
      <c r="C1866" s="92" t="n">
        <v>54.3</v>
      </c>
      <c r="D1866" s="92" t="n">
        <v>0</v>
      </c>
      <c r="E1866" s="92" t="inlineStr"/>
      <c r="F1866" s="92" t="inlineStr">
        <is>
          <t>UPI - Uber</t>
        </is>
      </c>
      <c r="G1866" s="34" t="n">
        <v>0.68</v>
      </c>
      <c r="H1866" s="92" t="inlineStr">
        <is>
          <t>Transport</t>
        </is>
      </c>
      <c r="I1866" s="92" t="inlineStr">
        <is>
          <t>FEDERAL 0847</t>
        </is>
      </c>
      <c r="J1866" s="92" t="inlineStr"/>
      <c r="K1866" s="92" t="inlineStr">
        <is>
          <t>UPIOUT/407902419276/uberrides@hdfcbank/cha
rg/5960</t>
        </is>
      </c>
      <c r="L1866" s="92" t="inlineStr">
        <is>
          <t>Federal Bank (Jupiter)</t>
        </is>
      </c>
      <c r="M1866" s="92" t="inlineStr"/>
    </row>
    <row r="1867">
      <c r="A1867" s="35" t="n">
        <v>45371</v>
      </c>
      <c r="B1867" s="35" t="n">
        <v>45371</v>
      </c>
      <c r="C1867" s="36" t="n">
        <v>110</v>
      </c>
      <c r="D1867" s="36" t="n">
        <v>0</v>
      </c>
      <c r="E1867" s="36" t="inlineStr"/>
      <c r="F1867" s="36" t="inlineStr">
        <is>
          <t>UPI - Paytm</t>
        </is>
      </c>
      <c r="G1867" s="34" t="n">
        <v>0.65</v>
      </c>
      <c r="H1867" s="36" t="inlineStr">
        <is>
          <t>Personal</t>
        </is>
      </c>
      <c r="I1867" s="36" t="inlineStr">
        <is>
          <t>FEDERAL 0847</t>
        </is>
      </c>
      <c r="J1867" s="36" t="inlineStr"/>
      <c r="K1867" s="36" t="inlineStr">
        <is>
          <t>UPIOUT/408010458157/paytmqrhdex80dh4r@payt
m//5812</t>
        </is>
      </c>
      <c r="L1867" s="36" t="inlineStr">
        <is>
          <t>Federal Bank (Jupiter)</t>
        </is>
      </c>
      <c r="M1867" s="36" t="inlineStr"/>
    </row>
    <row r="1868">
      <c r="A1868" s="37" t="n">
        <v>45371</v>
      </c>
      <c r="B1868" s="37" t="n">
        <v>45371</v>
      </c>
      <c r="C1868" s="38" t="n">
        <v>100</v>
      </c>
      <c r="D1868" s="38" t="n">
        <v>0</v>
      </c>
      <c r="E1868" s="38" t="inlineStr"/>
      <c r="F1868" s="38" t="inlineStr">
        <is>
          <t>UPI Payment</t>
        </is>
      </c>
      <c r="G1868" s="25" t="n">
        <v>0.55</v>
      </c>
      <c r="H1868" s="38" t="inlineStr">
        <is>
          <t>Personal</t>
        </is>
      </c>
      <c r="I1868" s="38" t="inlineStr">
        <is>
          <t>FEDERAL 0847</t>
        </is>
      </c>
      <c r="J1868" s="38" t="inlineStr"/>
      <c r="K1868" s="38" t="inlineStr">
        <is>
          <t>UPIOUT/408011712465/Q466920960@ybl/Sent
via /5814</t>
        </is>
      </c>
      <c r="L1868" s="38" t="inlineStr">
        <is>
          <t>Federal Bank (Jupiter)</t>
        </is>
      </c>
      <c r="M1868" s="38" t="inlineStr"/>
    </row>
    <row r="1869">
      <c r="A1869" s="35" t="n">
        <v>45371</v>
      </c>
      <c r="B1869" s="35" t="n">
        <v>45371</v>
      </c>
      <c r="C1869" s="36" t="n">
        <v>40</v>
      </c>
      <c r="D1869" s="36" t="n">
        <v>0</v>
      </c>
      <c r="E1869" s="36" t="inlineStr"/>
      <c r="F1869" s="36" t="inlineStr">
        <is>
          <t>UPI - Paytm</t>
        </is>
      </c>
      <c r="G1869" s="34" t="n">
        <v>0.65</v>
      </c>
      <c r="H1869" s="36" t="inlineStr">
        <is>
          <t>Personal</t>
        </is>
      </c>
      <c r="I1869" s="36" t="inlineStr">
        <is>
          <t>FEDERAL 0847</t>
        </is>
      </c>
      <c r="J1869" s="36" t="inlineStr"/>
      <c r="K1869" s="36" t="inlineStr">
        <is>
          <t>UPIOUT/408013309417/paytmqr281005050101ql6
bn/5411</t>
        </is>
      </c>
      <c r="L1869" s="36" t="inlineStr">
        <is>
          <t>Federal Bank (Jupiter)</t>
        </is>
      </c>
      <c r="M1869" s="36" t="inlineStr"/>
    </row>
    <row r="1870">
      <c r="A1870" s="35" t="n">
        <v>45371</v>
      </c>
      <c r="B1870" s="35" t="n">
        <v>45371</v>
      </c>
      <c r="C1870" s="36" t="n">
        <v>10</v>
      </c>
      <c r="D1870" s="36" t="n">
        <v>0</v>
      </c>
      <c r="E1870" s="36" t="inlineStr"/>
      <c r="F1870" s="36" t="inlineStr">
        <is>
          <t>UPI - Paytm</t>
        </is>
      </c>
      <c r="G1870" s="34" t="n">
        <v>0.65</v>
      </c>
      <c r="H1870" s="36" t="inlineStr">
        <is>
          <t>Personal</t>
        </is>
      </c>
      <c r="I1870" s="36" t="inlineStr">
        <is>
          <t>FEDERAL 0847</t>
        </is>
      </c>
      <c r="J1870" s="36" t="inlineStr"/>
      <c r="K1870" s="36" t="inlineStr">
        <is>
          <t>UPIOUT/408098760423/paytmqrnyyib5udfr@payt
m//7210</t>
        </is>
      </c>
      <c r="L1870" s="36" t="inlineStr">
        <is>
          <t>Federal Bank (Jupiter)</t>
        </is>
      </c>
      <c r="M1870" s="36" t="inlineStr"/>
    </row>
    <row r="1871">
      <c r="A1871" s="39" t="n">
        <v>45371</v>
      </c>
      <c r="B1871" s="39" t="n">
        <v>45371</v>
      </c>
      <c r="C1871" s="40" t="n">
        <v>50000</v>
      </c>
      <c r="D1871" s="40" t="n">
        <v>0</v>
      </c>
      <c r="E1871" s="40" t="inlineStr"/>
      <c r="F1871" s="40" t="inlineStr">
        <is>
          <t>Transfer - Archit Gupta</t>
        </is>
      </c>
      <c r="G1871" s="18" t="n">
        <v>0.85</v>
      </c>
      <c r="H1871" s="40" t="inlineStr">
        <is>
          <t>Archit Gupta</t>
        </is>
      </c>
      <c r="I1871" s="40" t="inlineStr">
        <is>
          <t>HDFC 5413</t>
        </is>
      </c>
      <c r="J1871" s="40" t="inlineStr"/>
      <c r="K1871" s="40" t="inlineStr">
        <is>
          <t>50100542230922-TPT-FROM AAYUSH-ARCHIT GUPTA</t>
        </is>
      </c>
      <c r="L1871" s="40" t="inlineStr">
        <is>
          <t>HDFC Bank</t>
        </is>
      </c>
      <c r="M1871" s="40" t="inlineStr"/>
    </row>
    <row r="1872">
      <c r="A1872" s="62" t="n">
        <v>45371</v>
      </c>
      <c r="B1872" s="62" t="n">
        <v>45371</v>
      </c>
      <c r="C1872" s="63" t="n">
        <v>50000</v>
      </c>
      <c r="D1872" s="63" t="n">
        <v>0</v>
      </c>
      <c r="E1872" s="63" t="inlineStr"/>
      <c r="F1872" s="63" t="inlineStr">
        <is>
          <t>Transfer - Sunita Gupta</t>
        </is>
      </c>
      <c r="G1872" s="18" t="n">
        <v>0.88</v>
      </c>
      <c r="H1872" s="63" t="inlineStr">
        <is>
          <t>Sunita Gupta</t>
        </is>
      </c>
      <c r="I1872" s="63" t="inlineStr">
        <is>
          <t>HDFC 5413</t>
        </is>
      </c>
      <c r="J1872" s="63" t="inlineStr"/>
      <c r="K1872" s="63" t="inlineStr">
        <is>
          <t>01671000060094-TPT-FROM AAYUSH-SUNITA GUPTA</t>
        </is>
      </c>
      <c r="L1872" s="63" t="inlineStr">
        <is>
          <t>HDFC Bank</t>
        </is>
      </c>
      <c r="M1872" s="63" t="inlineStr"/>
    </row>
    <row r="1873">
      <c r="A1873" s="74" t="n">
        <v>45371</v>
      </c>
      <c r="B1873" s="74" t="n">
        <v>45371</v>
      </c>
      <c r="C1873" s="75" t="n">
        <v>0</v>
      </c>
      <c r="D1873" s="75" t="n">
        <v>74144.56</v>
      </c>
      <c r="E1873" s="75" t="inlineStr"/>
      <c r="F1873" s="75" t="inlineStr">
        <is>
          <t>MF Redemption</t>
        </is>
      </c>
      <c r="G1873" s="18" t="n">
        <v>0.87</v>
      </c>
      <c r="H1873" s="75" t="inlineStr">
        <is>
          <t>Mutual Funds</t>
        </is>
      </c>
      <c r="I1873" s="75" t="inlineStr">
        <is>
          <t>HDFC 5413</t>
        </is>
      </c>
      <c r="J1873" s="75" t="inlineStr"/>
      <c r="K1873" s="75" t="inlineStr">
        <is>
          <t>FT- INVESCO MF A/C - BS77 8299900 3102041601 39064245</t>
        </is>
      </c>
      <c r="L1873" s="75" t="inlineStr">
        <is>
          <t>HDFC Bank</t>
        </is>
      </c>
      <c r="M1873" s="75" t="inlineStr"/>
    </row>
    <row r="1874">
      <c r="A1874" s="23" t="n">
        <v>45371</v>
      </c>
      <c r="B1874" s="23" t="n">
        <v>45371</v>
      </c>
      <c r="C1874" s="24" t="n">
        <v>0</v>
      </c>
      <c r="D1874" s="24" t="n">
        <v>293411.76</v>
      </c>
      <c r="E1874" s="24" t="inlineStr"/>
      <c r="F1874" s="24" t="inlineStr">
        <is>
          <t>What is this?</t>
        </is>
      </c>
      <c r="G1874" s="25" t="n">
        <v>0</v>
      </c>
      <c r="H1874" s="24" t="inlineStr">
        <is>
          <t>Suspense</t>
        </is>
      </c>
      <c r="I1874" s="24" t="inlineStr">
        <is>
          <t>HDFC 5413</t>
        </is>
      </c>
      <c r="J1874" s="24" t="inlineStr"/>
      <c r="K1874" s="24" t="inlineStr">
        <is>
          <t>50200067172675-180324827807</t>
        </is>
      </c>
      <c r="L1874" s="24" t="inlineStr">
        <is>
          <t>HDFC Bank</t>
        </is>
      </c>
      <c r="M1874" s="24" t="inlineStr"/>
    </row>
    <row r="1875">
      <c r="A1875" s="23" t="n">
        <v>45371</v>
      </c>
      <c r="B1875" s="23" t="n">
        <v>45371</v>
      </c>
      <c r="C1875" s="24" t="n">
        <v>0</v>
      </c>
      <c r="D1875" s="24" t="n">
        <v>117705.12</v>
      </c>
      <c r="E1875" s="24" t="inlineStr"/>
      <c r="F1875" s="24" t="inlineStr">
        <is>
          <t>What is this?</t>
        </is>
      </c>
      <c r="G1875" s="25" t="n">
        <v>0</v>
      </c>
      <c r="H1875" s="24" t="inlineStr">
        <is>
          <t>Suspense</t>
        </is>
      </c>
      <c r="I1875" s="24" t="inlineStr">
        <is>
          <t>HDFC 5413</t>
        </is>
      </c>
      <c r="J1875" s="24" t="inlineStr"/>
      <c r="K1875" s="24" t="inlineStr">
        <is>
          <t>50200067172675-180324829044</t>
        </is>
      </c>
      <c r="L1875" s="24" t="inlineStr">
        <is>
          <t>HDFC Bank</t>
        </is>
      </c>
      <c r="M1875" s="24" t="inlineStr"/>
    </row>
    <row r="1876">
      <c r="A1876" s="41" t="n">
        <v>45371</v>
      </c>
      <c r="B1876" s="41" t="n">
        <v>45371</v>
      </c>
      <c r="C1876" s="42" t="n">
        <v>139.85</v>
      </c>
      <c r="D1876" s="42" t="n">
        <v>0</v>
      </c>
      <c r="E1876" s="42" t="inlineStr"/>
      <c r="F1876" s="42" t="inlineStr">
        <is>
          <t>HDFC Securities - Buy</t>
        </is>
      </c>
      <c r="G1876" s="18" t="n">
        <v>0.97</v>
      </c>
      <c r="H1876" s="42" t="inlineStr">
        <is>
          <t>HDFC Securities</t>
        </is>
      </c>
      <c r="I1876" s="42" t="inlineStr">
        <is>
          <t>HDFC 5413</t>
        </is>
      </c>
      <c r="J1876" s="42" t="inlineStr"/>
      <c r="K1876" s="42" t="inlineStr">
        <is>
          <t>NET PI TO HSL SEC A/C 2554606-00602340029427</t>
        </is>
      </c>
      <c r="L1876" s="42" t="inlineStr">
        <is>
          <t>HDFC Bank</t>
        </is>
      </c>
      <c r="M1876" s="42" t="inlineStr"/>
    </row>
    <row r="1877">
      <c r="A1877" s="41" t="n">
        <v>45371</v>
      </c>
      <c r="B1877" s="41" t="n">
        <v>45371</v>
      </c>
      <c r="C1877" s="42" t="n">
        <v>56641.91</v>
      </c>
      <c r="D1877" s="42" t="n">
        <v>0</v>
      </c>
      <c r="E1877" s="42" t="inlineStr"/>
      <c r="F1877" s="42" t="inlineStr">
        <is>
          <t>HDFC Securities - Buy</t>
        </is>
      </c>
      <c r="G1877" s="18" t="n">
        <v>0.97</v>
      </c>
      <c r="H1877" s="42" t="inlineStr">
        <is>
          <t>HDFC Securities</t>
        </is>
      </c>
      <c r="I1877" s="42" t="inlineStr">
        <is>
          <t>HDFC 5413</t>
        </is>
      </c>
      <c r="J1877" s="42" t="inlineStr"/>
      <c r="K1877" s="42" t="inlineStr">
        <is>
          <t>NET PI TO HSL SEC A/C 2554606-00602340029427</t>
        </is>
      </c>
      <c r="L1877" s="42" t="inlineStr">
        <is>
          <t>HDFC Bank</t>
        </is>
      </c>
      <c r="M1877" s="42" t="inlineStr"/>
    </row>
    <row r="1878">
      <c r="A1878" s="26" t="n">
        <v>45371</v>
      </c>
      <c r="B1878" s="26" t="n">
        <v>45371</v>
      </c>
      <c r="C1878" s="27" t="n">
        <v>100000</v>
      </c>
      <c r="D1878" s="27" t="n">
        <v>0</v>
      </c>
      <c r="E1878" s="27" t="inlineStr"/>
      <c r="F1878" s="27" t="inlineStr">
        <is>
          <t>Transfer - Ajay Gupta</t>
        </is>
      </c>
      <c r="G1878" s="18" t="n">
        <v>0.88</v>
      </c>
      <c r="H1878" s="27" t="inlineStr">
        <is>
          <t>Ajay Gupta</t>
        </is>
      </c>
      <c r="I1878" s="27" t="inlineStr">
        <is>
          <t>HDFC 5413</t>
        </is>
      </c>
      <c r="J1878" s="27" t="inlineStr"/>
      <c r="K1878" s="27" t="inlineStr">
        <is>
          <t>01671000085930-TPT-MONEY RETURNED TO AKG-AJAY KUMAR GUPTA</t>
        </is>
      </c>
      <c r="L1878" s="27" t="inlineStr">
        <is>
          <t>HDFC Bank</t>
        </is>
      </c>
      <c r="M1878" s="27" t="inlineStr"/>
    </row>
    <row r="1879">
      <c r="A1879" s="58" t="n">
        <v>45371</v>
      </c>
      <c r="B1879" s="58" t="n">
        <v>45371</v>
      </c>
      <c r="C1879" s="59" t="n">
        <v>100000</v>
      </c>
      <c r="D1879" s="59" t="n">
        <v>0</v>
      </c>
      <c r="E1879" s="59" t="inlineStr"/>
      <c r="F1879" s="59" t="inlineStr">
        <is>
          <t>SIP</t>
        </is>
      </c>
      <c r="G1879" s="18" t="n">
        <v>0.9</v>
      </c>
      <c r="H1879" s="59" t="inlineStr">
        <is>
          <t>SIP</t>
        </is>
      </c>
      <c r="I1879" s="59" t="inlineStr">
        <is>
          <t>HDFC 5413</t>
        </is>
      </c>
      <c r="J1879" s="59" t="inlineStr"/>
      <c r="K1879" s="59" t="inlineStr">
        <is>
          <t>YHDF2276237288/BILLDKINDIANCLEARING</t>
        </is>
      </c>
      <c r="L1879" s="59" t="inlineStr">
        <is>
          <t>HDFC Bank</t>
        </is>
      </c>
      <c r="M1879" s="59" t="inlineStr"/>
    </row>
    <row r="1880">
      <c r="A1880" s="35" t="n">
        <v>45372</v>
      </c>
      <c r="B1880" s="35" t="n">
        <v>45372</v>
      </c>
      <c r="C1880" s="36" t="n">
        <v>20</v>
      </c>
      <c r="D1880" s="36" t="n">
        <v>0</v>
      </c>
      <c r="E1880" s="36" t="inlineStr"/>
      <c r="F1880" s="36" t="inlineStr">
        <is>
          <t>UPI - Paytm</t>
        </is>
      </c>
      <c r="G1880" s="34" t="n">
        <v>0.65</v>
      </c>
      <c r="H1880" s="36" t="inlineStr">
        <is>
          <t>Personal</t>
        </is>
      </c>
      <c r="I1880" s="36" t="inlineStr">
        <is>
          <t>FEDERAL 0847</t>
        </is>
      </c>
      <c r="J1880" s="36" t="inlineStr"/>
      <c r="K1880" s="36" t="inlineStr">
        <is>
          <t>UPIOUT/408120192874/paytmqr4dnh9rhu78@payt
m//5814</t>
        </is>
      </c>
      <c r="L1880" s="36" t="inlineStr">
        <is>
          <t>Federal Bank (Jupiter)</t>
        </is>
      </c>
      <c r="M1880" s="36" t="inlineStr"/>
    </row>
    <row r="1881">
      <c r="A1881" s="35" t="n">
        <v>45372</v>
      </c>
      <c r="B1881" s="35" t="n">
        <v>45372</v>
      </c>
      <c r="C1881" s="36" t="n">
        <v>51</v>
      </c>
      <c r="D1881" s="36" t="n">
        <v>0</v>
      </c>
      <c r="E1881" s="36" t="inlineStr"/>
      <c r="F1881" s="36" t="inlineStr">
        <is>
          <t>UPI - Paytm</t>
        </is>
      </c>
      <c r="G1881" s="34" t="n">
        <v>0.65</v>
      </c>
      <c r="H1881" s="36" t="inlineStr">
        <is>
          <t>Personal</t>
        </is>
      </c>
      <c r="I1881" s="36" t="inlineStr">
        <is>
          <t>FEDERAL 0847</t>
        </is>
      </c>
      <c r="J1881" s="36" t="inlineStr"/>
      <c r="K1881" s="36" t="inlineStr">
        <is>
          <t>UPIOUT/408120182869/paytmqr1og9ixfyjn@payt
m//5814</t>
        </is>
      </c>
      <c r="L1881" s="36" t="inlineStr">
        <is>
          <t>Federal Bank (Jupiter)</t>
        </is>
      </c>
      <c r="M1881" s="36" t="inlineStr"/>
    </row>
    <row r="1882">
      <c r="A1882" s="37" t="n">
        <v>45372</v>
      </c>
      <c r="B1882" s="37" t="n">
        <v>45372</v>
      </c>
      <c r="C1882" s="38" t="n">
        <v>548</v>
      </c>
      <c r="D1882" s="38" t="n">
        <v>0</v>
      </c>
      <c r="E1882" s="38" t="inlineStr"/>
      <c r="F1882" s="38" t="inlineStr">
        <is>
          <t>UPI Payment</t>
        </is>
      </c>
      <c r="G1882" s="25" t="n">
        <v>0.55</v>
      </c>
      <c r="H1882" s="38" t="inlineStr">
        <is>
          <t>Personal</t>
        </is>
      </c>
      <c r="I1882" s="38" t="inlineStr">
        <is>
          <t>FEDERAL 0847</t>
        </is>
      </c>
      <c r="J1882" s="38" t="inlineStr"/>
      <c r="K1882" s="38" t="inlineStr">
        <is>
          <t>UPIOUT/408120059448/Q413722787@ybl/Sent
via /8062</t>
        </is>
      </c>
      <c r="L1882" s="38" t="inlineStr">
        <is>
          <t>Federal Bank (Jupiter)</t>
        </is>
      </c>
      <c r="M1882" s="38" t="inlineStr"/>
    </row>
    <row r="1883">
      <c r="A1883" s="37" t="n">
        <v>45372</v>
      </c>
      <c r="B1883" s="37" t="n">
        <v>45372</v>
      </c>
      <c r="C1883" s="38" t="n">
        <v>500</v>
      </c>
      <c r="D1883" s="38" t="n">
        <v>0</v>
      </c>
      <c r="E1883" s="38" t="inlineStr"/>
      <c r="F1883" s="38" t="inlineStr">
        <is>
          <t>UPI Payment</t>
        </is>
      </c>
      <c r="G1883" s="25" t="n">
        <v>0.55</v>
      </c>
      <c r="H1883" s="38" t="inlineStr">
        <is>
          <t>Personal</t>
        </is>
      </c>
      <c r="I1883" s="38" t="inlineStr">
        <is>
          <t>FEDERAL 0847</t>
        </is>
      </c>
      <c r="J1883" s="38" t="inlineStr"/>
      <c r="K1883" s="38" t="inlineStr">
        <is>
          <t>UPIOUT/408119950795/Q679054446@ybl/Sent
via /8062</t>
        </is>
      </c>
      <c r="L1883" s="38" t="inlineStr">
        <is>
          <t>Federal Bank (Jupiter)</t>
        </is>
      </c>
      <c r="M1883" s="38" t="inlineStr"/>
    </row>
    <row r="1884">
      <c r="A1884" s="37" t="n">
        <v>45372</v>
      </c>
      <c r="B1884" s="37" t="n">
        <v>45372</v>
      </c>
      <c r="C1884" s="38" t="n">
        <v>700</v>
      </c>
      <c r="D1884" s="38" t="n">
        <v>0</v>
      </c>
      <c r="E1884" s="38" t="inlineStr"/>
      <c r="F1884" s="38" t="inlineStr">
        <is>
          <t>UPI Payment</t>
        </is>
      </c>
      <c r="G1884" s="25" t="n">
        <v>0.55</v>
      </c>
      <c r="H1884" s="38" t="inlineStr">
        <is>
          <t>Personal</t>
        </is>
      </c>
      <c r="I1884" s="38" t="inlineStr">
        <is>
          <t>FEDERAL 0847</t>
        </is>
      </c>
      <c r="J1884" s="38" t="inlineStr"/>
      <c r="K1884" s="38" t="inlineStr">
        <is>
          <t>UPIOUT/408119798341/Q679054446@ybl/Sent
via /8062</t>
        </is>
      </c>
      <c r="L1884" s="38" t="inlineStr">
        <is>
          <t>Federal Bank (Jupiter)</t>
        </is>
      </c>
      <c r="M1884" s="38" t="inlineStr"/>
    </row>
    <row r="1885">
      <c r="A1885" s="37" t="n">
        <v>45372</v>
      </c>
      <c r="B1885" s="37" t="n">
        <v>45372</v>
      </c>
      <c r="C1885" s="38" t="n">
        <v>114</v>
      </c>
      <c r="D1885" s="38" t="n">
        <v>0</v>
      </c>
      <c r="E1885" s="38" t="inlineStr"/>
      <c r="F1885" s="38" t="inlineStr">
        <is>
          <t>UPI Payment</t>
        </is>
      </c>
      <c r="G1885" s="25" t="n">
        <v>0.55</v>
      </c>
      <c r="H1885" s="38" t="inlineStr">
        <is>
          <t>Personal</t>
        </is>
      </c>
      <c r="I1885" s="38" t="inlineStr">
        <is>
          <t>FEDERAL 0847</t>
        </is>
      </c>
      <c r="J1885" s="38" t="inlineStr"/>
      <c r="K1885" s="38" t="inlineStr">
        <is>
          <t>UPIOUT/408119773926/9663866505@axl/Sent
via /0000</t>
        </is>
      </c>
      <c r="L1885" s="38" t="inlineStr">
        <is>
          <t>Federal Bank (Jupiter)</t>
        </is>
      </c>
      <c r="M1885" s="38" t="inlineStr"/>
    </row>
    <row r="1886">
      <c r="A1886" s="37" t="n">
        <v>45372</v>
      </c>
      <c r="B1886" s="37" t="n">
        <v>45372</v>
      </c>
      <c r="C1886" s="38" t="n">
        <v>180</v>
      </c>
      <c r="D1886" s="38" t="n">
        <v>0</v>
      </c>
      <c r="E1886" s="38" t="inlineStr"/>
      <c r="F1886" s="38" t="inlineStr">
        <is>
          <t>UPI Payment</t>
        </is>
      </c>
      <c r="G1886" s="25" t="n">
        <v>0.55</v>
      </c>
      <c r="H1886" s="38" t="inlineStr">
        <is>
          <t>Personal</t>
        </is>
      </c>
      <c r="I1886" s="38" t="inlineStr">
        <is>
          <t>FEDERAL 0847</t>
        </is>
      </c>
      <c r="J1886" s="38" t="inlineStr"/>
      <c r="K1886" s="38" t="inlineStr">
        <is>
          <t>UPIOUT/408171113381/gokhana.payu@indus/UPI
In/7311</t>
        </is>
      </c>
      <c r="L1886" s="38" t="inlineStr">
        <is>
          <t>Federal Bank (Jupiter)</t>
        </is>
      </c>
      <c r="M1886" s="38" t="inlineStr"/>
    </row>
    <row r="1887">
      <c r="A1887" s="54" t="n">
        <v>45372</v>
      </c>
      <c r="B1887" s="54" t="n">
        <v>45372</v>
      </c>
      <c r="C1887" s="55" t="n">
        <v>0</v>
      </c>
      <c r="D1887" s="55" t="n">
        <v>30000</v>
      </c>
      <c r="E1887" s="55" t="inlineStr"/>
      <c r="F1887" s="55" t="inlineStr">
        <is>
          <t>HDFC Securities - Sell</t>
        </is>
      </c>
      <c r="G1887" s="18" t="n">
        <v>0.97</v>
      </c>
      <c r="H1887" s="55" t="inlineStr">
        <is>
          <t>HDFC Securities</t>
        </is>
      </c>
      <c r="I1887" s="55" t="inlineStr">
        <is>
          <t>HDFC 5413</t>
        </is>
      </c>
      <c r="J1887" s="55" t="inlineStr"/>
      <c r="K1887" s="55" t="inlineStr">
        <is>
          <t>NET PO FROM HSL A/C 2554606-50200085415108</t>
        </is>
      </c>
      <c r="L1887" s="55" t="inlineStr">
        <is>
          <t>HDFC Bank</t>
        </is>
      </c>
      <c r="M1887" s="55" t="inlineStr"/>
    </row>
    <row r="1888">
      <c r="A1888" s="58" t="n">
        <v>45372</v>
      </c>
      <c r="B1888" s="58" t="n">
        <v>45372</v>
      </c>
      <c r="C1888" s="59" t="n">
        <v>50000</v>
      </c>
      <c r="D1888" s="59" t="n">
        <v>0</v>
      </c>
      <c r="E1888" s="59" t="inlineStr"/>
      <c r="F1888" s="59" t="inlineStr">
        <is>
          <t>SIP</t>
        </is>
      </c>
      <c r="G1888" s="18" t="n">
        <v>0.9</v>
      </c>
      <c r="H1888" s="59" t="inlineStr">
        <is>
          <t>SIP</t>
        </is>
      </c>
      <c r="I1888" s="59" t="inlineStr">
        <is>
          <t>HDFC 5413</t>
        </is>
      </c>
      <c r="J1888" s="59" t="inlineStr"/>
      <c r="K1888" s="59" t="inlineStr">
        <is>
          <t>YHDF2277030583/BILLDKINDIANCLEARING</t>
        </is>
      </c>
      <c r="L1888" s="59" t="inlineStr">
        <is>
          <t>HDFC Bank</t>
        </is>
      </c>
      <c r="M1888" s="59" t="inlineStr"/>
    </row>
    <row r="1889">
      <c r="A1889" s="41" t="n">
        <v>45372</v>
      </c>
      <c r="B1889" s="41" t="n">
        <v>45372</v>
      </c>
      <c r="C1889" s="42" t="n">
        <v>119.67</v>
      </c>
      <c r="D1889" s="42" t="n">
        <v>0</v>
      </c>
      <c r="E1889" s="42" t="inlineStr"/>
      <c r="F1889" s="42" t="inlineStr">
        <is>
          <t>HDFC Securities - Buy</t>
        </is>
      </c>
      <c r="G1889" s="18" t="n">
        <v>0.97</v>
      </c>
      <c r="H1889" s="42" t="inlineStr">
        <is>
          <t>HDFC Securities</t>
        </is>
      </c>
      <c r="I1889" s="42" t="inlineStr">
        <is>
          <t>HDFC 5413</t>
        </is>
      </c>
      <c r="J1889" s="42" t="inlineStr"/>
      <c r="K1889" s="42" t="inlineStr">
        <is>
          <t>NET PI TO HSL SEC A/C 2554606-00602340029427</t>
        </is>
      </c>
      <c r="L1889" s="42" t="inlineStr">
        <is>
          <t>HDFC Bank</t>
        </is>
      </c>
      <c r="M1889" s="42" t="inlineStr"/>
    </row>
    <row r="1890">
      <c r="A1890" s="41" t="n">
        <v>45372</v>
      </c>
      <c r="B1890" s="41" t="n">
        <v>45372</v>
      </c>
      <c r="C1890" s="42" t="n">
        <v>20343.95</v>
      </c>
      <c r="D1890" s="42" t="n">
        <v>0</v>
      </c>
      <c r="E1890" s="42" t="inlineStr"/>
      <c r="F1890" s="42" t="inlineStr">
        <is>
          <t>HDFC Securities - Buy</t>
        </is>
      </c>
      <c r="G1890" s="18" t="n">
        <v>0.97</v>
      </c>
      <c r="H1890" s="42" t="inlineStr">
        <is>
          <t>HDFC Securities</t>
        </is>
      </c>
      <c r="I1890" s="42" t="inlineStr">
        <is>
          <t>HDFC 5413</t>
        </is>
      </c>
      <c r="J1890" s="42" t="inlineStr"/>
      <c r="K1890" s="42" t="inlineStr">
        <is>
          <t>NET PI TO HSL SEC A/C 2554606-00602340029427</t>
        </is>
      </c>
      <c r="L1890" s="42" t="inlineStr">
        <is>
          <t>HDFC Bank</t>
        </is>
      </c>
      <c r="M1890" s="42" t="inlineStr"/>
    </row>
    <row r="1891">
      <c r="A1891" s="41" t="n">
        <v>45372</v>
      </c>
      <c r="B1891" s="41" t="n">
        <v>45372</v>
      </c>
      <c r="C1891" s="42" t="n">
        <v>69314.38</v>
      </c>
      <c r="D1891" s="42" t="n">
        <v>0</v>
      </c>
      <c r="E1891" s="42" t="inlineStr"/>
      <c r="F1891" s="42" t="inlineStr">
        <is>
          <t>HDFC Securities - Buy</t>
        </is>
      </c>
      <c r="G1891" s="18" t="n">
        <v>0.97</v>
      </c>
      <c r="H1891" s="42" t="inlineStr">
        <is>
          <t>HDFC Securities</t>
        </is>
      </c>
      <c r="I1891" s="42" t="inlineStr">
        <is>
          <t>HDFC 5413</t>
        </is>
      </c>
      <c r="J1891" s="42" t="inlineStr"/>
      <c r="K1891" s="42" t="inlineStr">
        <is>
          <t>NET PI TO HSL SEC A/C 2554606-00602340029427</t>
        </is>
      </c>
      <c r="L1891" s="42" t="inlineStr">
        <is>
          <t>HDFC Bank</t>
        </is>
      </c>
      <c r="M1891" s="42" t="inlineStr"/>
    </row>
    <row r="1892">
      <c r="A1892" s="37" t="n">
        <v>45372</v>
      </c>
      <c r="B1892" s="37" t="n">
        <v>45372</v>
      </c>
      <c r="C1892" s="38" t="n">
        <v>86</v>
      </c>
      <c r="D1892" s="38" t="n">
        <v>0</v>
      </c>
      <c r="E1892" s="38" t="inlineStr"/>
      <c r="F1892" s="38" t="inlineStr">
        <is>
          <t>UPI Payment</t>
        </is>
      </c>
      <c r="G1892" s="25" t="n">
        <v>0.55</v>
      </c>
      <c r="H1892" s="38" t="inlineStr">
        <is>
          <t>Personal</t>
        </is>
      </c>
      <c r="I1892" s="38" t="inlineStr">
        <is>
          <t>FEDERAL 0847</t>
        </is>
      </c>
      <c r="J1892" s="38" t="inlineStr"/>
      <c r="K1892" s="38" t="inlineStr">
        <is>
          <t>UPIOUT/408120324634/9901063032@ibl/Sent
via /0000</t>
        </is>
      </c>
      <c r="L1892" s="38" t="inlineStr">
        <is>
          <t>Federal Bank (Jupiter)</t>
        </is>
      </c>
      <c r="M1892" s="38" t="inlineStr"/>
    </row>
    <row r="1893">
      <c r="A1893" s="35" t="n">
        <v>45373</v>
      </c>
      <c r="B1893" s="35" t="n">
        <v>45373</v>
      </c>
      <c r="C1893" s="36" t="n">
        <v>10</v>
      </c>
      <c r="D1893" s="36" t="n">
        <v>0</v>
      </c>
      <c r="E1893" s="36" t="inlineStr"/>
      <c r="F1893" s="36" t="inlineStr">
        <is>
          <t>UPI - Paytm</t>
        </is>
      </c>
      <c r="G1893" s="34" t="n">
        <v>0.65</v>
      </c>
      <c r="H1893" s="36" t="inlineStr">
        <is>
          <t>Personal</t>
        </is>
      </c>
      <c r="I1893" s="36" t="inlineStr">
        <is>
          <t>FEDERAL 0847</t>
        </is>
      </c>
      <c r="J1893" s="36" t="inlineStr"/>
      <c r="K1893" s="36" t="inlineStr">
        <is>
          <t>UPIOUT/408222473124/paytmqr1wog9tttz4@payt
m//7210</t>
        </is>
      </c>
      <c r="L1893" s="36" t="inlineStr">
        <is>
          <t>Federal Bank (Jupiter)</t>
        </is>
      </c>
      <c r="M1893" s="36" t="inlineStr">
        <is>
          <t>⚠ Possible Duplicate</t>
        </is>
      </c>
    </row>
    <row r="1894">
      <c r="A1894" s="35" t="n">
        <v>45373</v>
      </c>
      <c r="B1894" s="35" t="n">
        <v>45373</v>
      </c>
      <c r="C1894" s="36" t="n">
        <v>40</v>
      </c>
      <c r="D1894" s="36" t="n">
        <v>0</v>
      </c>
      <c r="E1894" s="36" t="inlineStr"/>
      <c r="F1894" s="36" t="inlineStr">
        <is>
          <t>UPI - Paytm</t>
        </is>
      </c>
      <c r="G1894" s="34" t="n">
        <v>0.65</v>
      </c>
      <c r="H1894" s="36" t="inlineStr">
        <is>
          <t>Personal</t>
        </is>
      </c>
      <c r="I1894" s="36" t="inlineStr">
        <is>
          <t>FEDERAL 0847</t>
        </is>
      </c>
      <c r="J1894" s="36" t="inlineStr"/>
      <c r="K1894" s="36" t="inlineStr">
        <is>
          <t>UPIOUT/408226745693/paytmqr1xrs04ylwr@payt
m//5912</t>
        </is>
      </c>
      <c r="L1894" s="36" t="inlineStr">
        <is>
          <t>Federal Bank (Jupiter)</t>
        </is>
      </c>
      <c r="M1894" s="36" t="inlineStr"/>
    </row>
    <row r="1895">
      <c r="A1895" s="35" t="n">
        <v>45373</v>
      </c>
      <c r="B1895" s="35" t="n">
        <v>45373</v>
      </c>
      <c r="C1895" s="36" t="n">
        <v>10</v>
      </c>
      <c r="D1895" s="36" t="n">
        <v>0</v>
      </c>
      <c r="E1895" s="36" t="inlineStr"/>
      <c r="F1895" s="36" t="inlineStr">
        <is>
          <t>UPI - Paytm</t>
        </is>
      </c>
      <c r="G1895" s="34" t="n">
        <v>0.65</v>
      </c>
      <c r="H1895" s="36" t="inlineStr">
        <is>
          <t>Personal</t>
        </is>
      </c>
      <c r="I1895" s="36" t="inlineStr">
        <is>
          <t>FEDERAL 0847</t>
        </is>
      </c>
      <c r="J1895" s="36" t="inlineStr"/>
      <c r="K1895" s="36" t="inlineStr">
        <is>
          <t>UPIOUT/408222454223/paytmqr3zacjjhvyp@payt
m//5462</t>
        </is>
      </c>
      <c r="L1895" s="36" t="inlineStr">
        <is>
          <t>Federal Bank (Jupiter)</t>
        </is>
      </c>
      <c r="M1895" s="36" t="inlineStr">
        <is>
          <t>⚠ Possible Duplicate</t>
        </is>
      </c>
    </row>
    <row r="1896">
      <c r="A1896" s="37" t="n">
        <v>45373</v>
      </c>
      <c r="B1896" s="37" t="n">
        <v>45373</v>
      </c>
      <c r="C1896" s="38" t="n">
        <v>35</v>
      </c>
      <c r="D1896" s="38" t="n">
        <v>0</v>
      </c>
      <c r="E1896" s="38" t="inlineStr"/>
      <c r="F1896" s="38" t="inlineStr">
        <is>
          <t>UPI Payment</t>
        </is>
      </c>
      <c r="G1896" s="25" t="n">
        <v>0.55</v>
      </c>
      <c r="H1896" s="38" t="inlineStr">
        <is>
          <t>Personal</t>
        </is>
      </c>
      <c r="I1896" s="38" t="inlineStr">
        <is>
          <t>FEDERAL 0847</t>
        </is>
      </c>
      <c r="J1896" s="38" t="inlineStr"/>
      <c r="K1896" s="38" t="inlineStr">
        <is>
          <t>UPIOUT/408226751533/Q403465439@ybl/Sent
via /5812</t>
        </is>
      </c>
      <c r="L1896" s="38" t="inlineStr">
        <is>
          <t>Federal Bank (Jupiter)</t>
        </is>
      </c>
      <c r="M1896" s="38" t="inlineStr"/>
    </row>
    <row r="1897">
      <c r="A1897" s="41" t="n">
        <v>45373</v>
      </c>
      <c r="B1897" s="41" t="n">
        <v>45373</v>
      </c>
      <c r="C1897" s="42" t="n">
        <v>94.98999999999999</v>
      </c>
      <c r="D1897" s="42" t="n">
        <v>0</v>
      </c>
      <c r="E1897" s="42" t="inlineStr"/>
      <c r="F1897" s="42" t="inlineStr">
        <is>
          <t>HDFC Securities - Buy</t>
        </is>
      </c>
      <c r="G1897" s="18" t="n">
        <v>0.97</v>
      </c>
      <c r="H1897" s="42" t="inlineStr">
        <is>
          <t>HDFC Securities</t>
        </is>
      </c>
      <c r="I1897" s="42" t="inlineStr">
        <is>
          <t>HDFC 5413</t>
        </is>
      </c>
      <c r="J1897" s="42" t="inlineStr"/>
      <c r="K1897" s="42" t="inlineStr">
        <is>
          <t>NET PI TO HSL SEC A/C 2554606-00602340029427</t>
        </is>
      </c>
      <c r="L1897" s="42" t="inlineStr">
        <is>
          <t>HDFC Bank</t>
        </is>
      </c>
      <c r="M1897" s="42" t="inlineStr"/>
    </row>
    <row r="1898">
      <c r="A1898" s="41" t="n">
        <v>45373</v>
      </c>
      <c r="B1898" s="41" t="n">
        <v>45373</v>
      </c>
      <c r="C1898" s="42" t="n">
        <v>175.21</v>
      </c>
      <c r="D1898" s="42" t="n">
        <v>0</v>
      </c>
      <c r="E1898" s="42" t="inlineStr"/>
      <c r="F1898" s="42" t="inlineStr">
        <is>
          <t>HDFC Securities - Buy</t>
        </is>
      </c>
      <c r="G1898" s="18" t="n">
        <v>0.97</v>
      </c>
      <c r="H1898" s="42" t="inlineStr">
        <is>
          <t>HDFC Securities</t>
        </is>
      </c>
      <c r="I1898" s="42" t="inlineStr">
        <is>
          <t>HDFC 5413</t>
        </is>
      </c>
      <c r="J1898" s="42" t="inlineStr"/>
      <c r="K1898" s="42" t="inlineStr">
        <is>
          <t>NET PI TO HSL SEC A/C 2554606-00602340029427</t>
        </is>
      </c>
      <c r="L1898" s="42" t="inlineStr">
        <is>
          <t>HDFC Bank</t>
        </is>
      </c>
      <c r="M1898" s="42" t="inlineStr"/>
    </row>
    <row r="1899">
      <c r="A1899" s="87" t="n">
        <v>45373</v>
      </c>
      <c r="B1899" s="87" t="n">
        <v>45373</v>
      </c>
      <c r="C1899" s="88" t="n">
        <v>0</v>
      </c>
      <c r="D1899" s="88" t="n">
        <v>2000</v>
      </c>
      <c r="E1899" s="88" t="inlineStr"/>
      <c r="F1899" s="88" t="inlineStr">
        <is>
          <t>Contra - Kotak</t>
        </is>
      </c>
      <c r="G1899" s="18" t="n">
        <v>0.9</v>
      </c>
      <c r="H1899" s="88" t="inlineStr">
        <is>
          <t>KOTAK 0333</t>
        </is>
      </c>
      <c r="I1899" s="88" t="inlineStr">
        <is>
          <t>FEDERAL 0847</t>
        </is>
      </c>
      <c r="J1899" s="88" t="inlineStr"/>
      <c r="K1899" s="88" t="inlineStr">
        <is>
          <t>UPI IN/408226946800/9594435259@jupiteraxis
/A/0000</t>
        </is>
      </c>
      <c r="L1899" s="88" t="inlineStr">
        <is>
          <t>Federal Bank (Jupiter)</t>
        </is>
      </c>
      <c r="M1899" s="88" t="inlineStr"/>
    </row>
    <row r="1900">
      <c r="A1900" s="101" t="n">
        <v>45374</v>
      </c>
      <c r="B1900" s="101" t="n">
        <v>45374</v>
      </c>
      <c r="C1900" s="102" t="n">
        <v>0</v>
      </c>
      <c r="D1900" s="102" t="n">
        <v>1.01</v>
      </c>
      <c r="E1900" s="102" t="inlineStr"/>
      <c r="F1900" s="102" t="inlineStr">
        <is>
          <t>IMPS Receipt</t>
        </is>
      </c>
      <c r="G1900" s="34" t="n">
        <v>0.72</v>
      </c>
      <c r="H1900" s="102" t="inlineStr">
        <is>
          <t>Personal</t>
        </is>
      </c>
      <c r="I1900" s="102" t="inlineStr">
        <is>
          <t>KOTAK 0333</t>
        </is>
      </c>
      <c r="J1900" s="102" t="inlineStr"/>
      <c r="K1900" s="102" t="inlineStr">
        <is>
          <t>Recd:IMPS/408307273704/CASHFREE P/KKBK/X0008/BAV</t>
        </is>
      </c>
      <c r="L1900" s="102" t="inlineStr">
        <is>
          <t>Kotak Mahindra Bank</t>
        </is>
      </c>
      <c r="M1900" s="102" t="inlineStr"/>
    </row>
    <row r="1901">
      <c r="A1901" s="37" t="n">
        <v>45374</v>
      </c>
      <c r="B1901" s="37" t="n">
        <v>45374</v>
      </c>
      <c r="C1901" s="38" t="n">
        <v>49</v>
      </c>
      <c r="D1901" s="38" t="n">
        <v>0</v>
      </c>
      <c r="E1901" s="38" t="inlineStr"/>
      <c r="F1901" s="38" t="inlineStr">
        <is>
          <t>UPI Payment</t>
        </is>
      </c>
      <c r="G1901" s="25" t="n">
        <v>0.55</v>
      </c>
      <c r="H1901" s="38" t="inlineStr">
        <is>
          <t>Personal</t>
        </is>
      </c>
      <c r="I1901" s="38" t="inlineStr">
        <is>
          <t>FEDERAL 0847</t>
        </is>
      </c>
      <c r="J1901" s="38" t="inlineStr"/>
      <c r="K1901" s="38" t="inlineStr">
        <is>
          <t>UPIOUT/408330469744/kabilhussen2@axl/Sent
vi/0000</t>
        </is>
      </c>
      <c r="L1901" s="38" t="inlineStr">
        <is>
          <t>Federal Bank (Jupiter)</t>
        </is>
      </c>
      <c r="M1901" s="38" t="inlineStr"/>
    </row>
    <row r="1902">
      <c r="A1902" s="30" t="n">
        <v>45374</v>
      </c>
      <c r="B1902" s="30" t="n">
        <v>45373</v>
      </c>
      <c r="C1902" s="31" t="n">
        <v>0</v>
      </c>
      <c r="D1902" s="31" t="n">
        <v>113</v>
      </c>
      <c r="E1902" s="31" t="inlineStr"/>
      <c r="F1902" s="31" t="inlineStr">
        <is>
          <t>Bank Interest</t>
        </is>
      </c>
      <c r="G1902" s="18" t="n">
        <v>0.96</v>
      </c>
      <c r="H1902" s="31" t="inlineStr">
        <is>
          <t>Bank Interest</t>
        </is>
      </c>
      <c r="I1902" s="31" t="inlineStr">
        <is>
          <t>FEDERAL 0847</t>
        </is>
      </c>
      <c r="J1902" s="31" t="inlineStr"/>
      <c r="K1902" s="31" t="inlineStr">
        <is>
          <t>SBINT:23-12-2023 to
22-03-2024[77770101840847]</t>
        </is>
      </c>
      <c r="L1902" s="31" t="inlineStr">
        <is>
          <t>Federal Bank (Jupiter)</t>
        </is>
      </c>
      <c r="M1902" s="31" t="inlineStr"/>
    </row>
    <row r="1903">
      <c r="A1903" s="58" t="n">
        <v>45374</v>
      </c>
      <c r="B1903" s="58" t="n">
        <v>45374</v>
      </c>
      <c r="C1903" s="59" t="n">
        <v>0</v>
      </c>
      <c r="D1903" s="59" t="n">
        <v>1.01</v>
      </c>
      <c r="E1903" s="59" t="inlineStr"/>
      <c r="F1903" s="59" t="inlineStr">
        <is>
          <t>NEFT Transfer</t>
        </is>
      </c>
      <c r="G1903" s="34" t="n">
        <v>0.7</v>
      </c>
      <c r="H1903" s="59" t="inlineStr">
        <is>
          <t>Transfer</t>
        </is>
      </c>
      <c r="I1903" s="59" t="inlineStr">
        <is>
          <t>FEDERAL 0847</t>
        </is>
      </c>
      <c r="J1903" s="59" t="inlineStr"/>
      <c r="K1903" s="59" t="inlineStr">
        <is>
          <t>FT IMPS/IFI/408307578295/CashfreePayments/
IMPS</t>
        </is>
      </c>
      <c r="L1903" s="59" t="inlineStr">
        <is>
          <t>Federal Bank (Jupiter)</t>
        </is>
      </c>
      <c r="M1903" s="59" t="inlineStr"/>
    </row>
    <row r="1904">
      <c r="A1904" s="58" t="n">
        <v>45374</v>
      </c>
      <c r="B1904" s="58" t="n">
        <v>45374</v>
      </c>
      <c r="C1904" s="59" t="n">
        <v>2000</v>
      </c>
      <c r="D1904" s="59" t="n">
        <v>0</v>
      </c>
      <c r="E1904" s="59" t="inlineStr"/>
      <c r="F1904" s="59" t="inlineStr">
        <is>
          <t>MF Investment</t>
        </is>
      </c>
      <c r="G1904" s="18" t="n">
        <v>0.88</v>
      </c>
      <c r="H1904" s="59" t="inlineStr">
        <is>
          <t>Investments</t>
        </is>
      </c>
      <c r="I1904" s="59" t="inlineStr">
        <is>
          <t>FEDERAL 0847</t>
        </is>
      </c>
      <c r="J1904" s="59" t="inlineStr"/>
      <c r="K1904" s="59" t="inlineStr">
        <is>
          <t>NFT/NEOSIEXEDDD2024032303005420498 Quant
Mutual Fu</t>
        </is>
      </c>
      <c r="L1904" s="59" t="inlineStr">
        <is>
          <t>Federal Bank (Jupiter)</t>
        </is>
      </c>
      <c r="M1904" s="59" t="inlineStr"/>
    </row>
    <row r="1905">
      <c r="A1905" s="37" t="n">
        <v>45374</v>
      </c>
      <c r="B1905" s="37" t="n">
        <v>45374</v>
      </c>
      <c r="C1905" s="38" t="n">
        <v>25</v>
      </c>
      <c r="D1905" s="38" t="n">
        <v>0</v>
      </c>
      <c r="E1905" s="38" t="inlineStr"/>
      <c r="F1905" s="38" t="inlineStr">
        <is>
          <t>UPI Payment</t>
        </is>
      </c>
      <c r="G1905" s="25" t="n">
        <v>0.55</v>
      </c>
      <c r="H1905" s="38" t="inlineStr">
        <is>
          <t>Personal</t>
        </is>
      </c>
      <c r="I1905" s="38" t="inlineStr">
        <is>
          <t>FEDERAL 0847</t>
        </is>
      </c>
      <c r="J1905" s="38" t="inlineStr"/>
      <c r="K1905" s="38" t="inlineStr">
        <is>
          <t>UPIOUT/408330336309/Q521065715@ybl/Sent
via /5812</t>
        </is>
      </c>
      <c r="L1905" s="38" t="inlineStr">
        <is>
          <t>Federal Bank (Jupiter)</t>
        </is>
      </c>
      <c r="M1905" s="38" t="inlineStr"/>
    </row>
    <row r="1906">
      <c r="A1906" s="21" t="n">
        <v>45374</v>
      </c>
      <c r="B1906" s="21" t="n">
        <v>45374</v>
      </c>
      <c r="C1906" s="22" t="n">
        <v>70</v>
      </c>
      <c r="D1906" s="22" t="n">
        <v>0</v>
      </c>
      <c r="E1906" s="22" t="inlineStr"/>
      <c r="F1906" s="22" t="inlineStr">
        <is>
          <t>UPI - Rapido</t>
        </is>
      </c>
      <c r="G1906" s="34" t="n">
        <v>0.68</v>
      </c>
      <c r="H1906" s="22" t="inlineStr">
        <is>
          <t>Transport</t>
        </is>
      </c>
      <c r="I1906" s="22" t="inlineStr">
        <is>
          <t>FEDERAL 0847</t>
        </is>
      </c>
      <c r="J1906" s="22" t="inlineStr"/>
      <c r="K1906" s="22" t="inlineStr">
        <is>
          <t>UPIOUT/408334537283/rapido.rzp@icici/Payme
nt/4121</t>
        </is>
      </c>
      <c r="L1906" s="22" t="inlineStr">
        <is>
          <t>Federal Bank (Jupiter)</t>
        </is>
      </c>
      <c r="M1906" s="22" t="inlineStr"/>
    </row>
    <row r="1907">
      <c r="A1907" s="35" t="n">
        <v>45374</v>
      </c>
      <c r="B1907" s="35" t="n">
        <v>45374</v>
      </c>
      <c r="C1907" s="36" t="n">
        <v>20</v>
      </c>
      <c r="D1907" s="36" t="n">
        <v>0</v>
      </c>
      <c r="E1907" s="36" t="inlineStr"/>
      <c r="F1907" s="36" t="inlineStr">
        <is>
          <t>UPI - Paytm</t>
        </is>
      </c>
      <c r="G1907" s="34" t="n">
        <v>0.65</v>
      </c>
      <c r="H1907" s="36" t="inlineStr">
        <is>
          <t>Personal</t>
        </is>
      </c>
      <c r="I1907" s="36" t="inlineStr">
        <is>
          <t>FEDERAL 0847</t>
        </is>
      </c>
      <c r="J1907" s="36" t="inlineStr"/>
      <c r="K1907" s="36" t="inlineStr">
        <is>
          <t>UPIOUT/408334544587/paytmqr3zacjjhvyp@payt
m//5462</t>
        </is>
      </c>
      <c r="L1907" s="36" t="inlineStr">
        <is>
          <t>Federal Bank (Jupiter)</t>
        </is>
      </c>
      <c r="M1907" s="36" t="inlineStr"/>
    </row>
    <row r="1908">
      <c r="A1908" s="37" t="n">
        <v>45374</v>
      </c>
      <c r="B1908" s="37" t="n">
        <v>45374</v>
      </c>
      <c r="C1908" s="38" t="n">
        <v>133.4</v>
      </c>
      <c r="D1908" s="38" t="n">
        <v>0</v>
      </c>
      <c r="E1908" s="38" t="inlineStr"/>
      <c r="F1908" s="38" t="inlineStr">
        <is>
          <t>UPI Payment</t>
        </is>
      </c>
      <c r="G1908" s="25" t="n">
        <v>0.55</v>
      </c>
      <c r="H1908" s="38" t="inlineStr">
        <is>
          <t>Personal</t>
        </is>
      </c>
      <c r="I1908" s="38" t="inlineStr">
        <is>
          <t>FEDERAL 0847</t>
        </is>
      </c>
      <c r="J1908" s="38" t="inlineStr"/>
      <c r="K1908" s="38" t="inlineStr">
        <is>
          <t>UPIOUT/408329044203/lazypaypvtltd.rzp@icic
i//6012</t>
        </is>
      </c>
      <c r="L1908" s="38" t="inlineStr">
        <is>
          <t>Federal Bank (Jupiter)</t>
        </is>
      </c>
      <c r="M1908" s="38" t="inlineStr"/>
    </row>
    <row r="1909">
      <c r="A1909" s="37" t="n">
        <v>45375</v>
      </c>
      <c r="B1909" s="37" t="n">
        <v>45375</v>
      </c>
      <c r="C1909" s="38" t="n">
        <v>40</v>
      </c>
      <c r="D1909" s="38" t="n">
        <v>0</v>
      </c>
      <c r="E1909" s="38" t="inlineStr"/>
      <c r="F1909" s="38" t="inlineStr">
        <is>
          <t>UPI Payment</t>
        </is>
      </c>
      <c r="G1909" s="25" t="n">
        <v>0.55</v>
      </c>
      <c r="H1909" s="38" t="inlineStr">
        <is>
          <t>Personal</t>
        </is>
      </c>
      <c r="I1909" s="38" t="inlineStr">
        <is>
          <t>FEDERAL 0847</t>
        </is>
      </c>
      <c r="J1909" s="38" t="inlineStr"/>
      <c r="K1909" s="38" t="inlineStr">
        <is>
          <t>UPIOUT/408436252683/Q847905206@ybl/Sent
via /5411</t>
        </is>
      </c>
      <c r="L1909" s="38" t="inlineStr">
        <is>
          <t>Federal Bank (Jupiter)</t>
        </is>
      </c>
      <c r="M1909" s="38" t="inlineStr"/>
    </row>
    <row r="1910">
      <c r="A1910" s="35" t="n">
        <v>45375</v>
      </c>
      <c r="B1910" s="35" t="n">
        <v>45375</v>
      </c>
      <c r="C1910" s="36" t="n">
        <v>42</v>
      </c>
      <c r="D1910" s="36" t="n">
        <v>0</v>
      </c>
      <c r="E1910" s="36" t="inlineStr"/>
      <c r="F1910" s="36" t="inlineStr">
        <is>
          <t>UPI - Paytm</t>
        </is>
      </c>
      <c r="G1910" s="34" t="n">
        <v>0.65</v>
      </c>
      <c r="H1910" s="36" t="inlineStr">
        <is>
          <t>Personal</t>
        </is>
      </c>
      <c r="I1910" s="36" t="inlineStr">
        <is>
          <t>FEDERAL 0847</t>
        </is>
      </c>
      <c r="J1910" s="36" t="inlineStr"/>
      <c r="K1910" s="36" t="inlineStr">
        <is>
          <t>UPIOUT/408436547000/paytmqr2810050501014ev
0m/5812</t>
        </is>
      </c>
      <c r="L1910" s="36" t="inlineStr">
        <is>
          <t>Federal Bank (Jupiter)</t>
        </is>
      </c>
      <c r="M1910" s="36" t="inlineStr"/>
    </row>
    <row r="1911">
      <c r="A1911" s="32" t="n">
        <v>45375</v>
      </c>
      <c r="B1911" s="32" t="n">
        <v>45375</v>
      </c>
      <c r="C1911" s="33" t="n">
        <v>40</v>
      </c>
      <c r="D1911" s="33" t="n">
        <v>0</v>
      </c>
      <c r="E1911" s="33" t="inlineStr"/>
      <c r="F1911" s="33" t="inlineStr">
        <is>
          <t>UPI - BharatPe</t>
        </is>
      </c>
      <c r="G1911" s="34" t="n">
        <v>0.65</v>
      </c>
      <c r="H1911" s="33" t="inlineStr">
        <is>
          <t>Personal</t>
        </is>
      </c>
      <c r="I1911" s="33" t="inlineStr">
        <is>
          <t>FEDERAL 0847</t>
        </is>
      </c>
      <c r="J1911" s="33" t="inlineStr"/>
      <c r="K1911" s="33" t="inlineStr">
        <is>
          <t>UPIOUT/408439896704/BHARATPE.90069128054@f
bp/5814</t>
        </is>
      </c>
      <c r="L1911" s="33" t="inlineStr">
        <is>
          <t>Federal Bank (Jupiter)</t>
        </is>
      </c>
      <c r="M1911" s="33" t="inlineStr"/>
    </row>
    <row r="1912">
      <c r="A1912" s="35" t="n">
        <v>45375</v>
      </c>
      <c r="B1912" s="35" t="n">
        <v>45375</v>
      </c>
      <c r="C1912" s="36" t="n">
        <v>120</v>
      </c>
      <c r="D1912" s="36" t="n">
        <v>0</v>
      </c>
      <c r="E1912" s="36" t="inlineStr"/>
      <c r="F1912" s="36" t="inlineStr">
        <is>
          <t>UPI - Paytm</t>
        </is>
      </c>
      <c r="G1912" s="34" t="n">
        <v>0.65</v>
      </c>
      <c r="H1912" s="36" t="inlineStr">
        <is>
          <t>Personal</t>
        </is>
      </c>
      <c r="I1912" s="36" t="inlineStr">
        <is>
          <t>FEDERAL 0847</t>
        </is>
      </c>
      <c r="J1912" s="36" t="inlineStr"/>
      <c r="K1912" s="36" t="inlineStr">
        <is>
          <t>UPIOUT/408440107383/paytmqrc35heq2fbz@payt
m//5411</t>
        </is>
      </c>
      <c r="L1912" s="36" t="inlineStr">
        <is>
          <t>Federal Bank (Jupiter)</t>
        </is>
      </c>
      <c r="M1912" s="36" t="inlineStr"/>
    </row>
    <row r="1913">
      <c r="A1913" s="35" t="n">
        <v>45375</v>
      </c>
      <c r="B1913" s="35" t="n">
        <v>45375</v>
      </c>
      <c r="C1913" s="36" t="n">
        <v>20</v>
      </c>
      <c r="D1913" s="36" t="n">
        <v>0</v>
      </c>
      <c r="E1913" s="36" t="inlineStr"/>
      <c r="F1913" s="36" t="inlineStr">
        <is>
          <t>UPI - Paytm</t>
        </is>
      </c>
      <c r="G1913" s="34" t="n">
        <v>0.65</v>
      </c>
      <c r="H1913" s="36" t="inlineStr">
        <is>
          <t>Personal</t>
        </is>
      </c>
      <c r="I1913" s="36" t="inlineStr">
        <is>
          <t>FEDERAL 0847</t>
        </is>
      </c>
      <c r="J1913" s="36" t="inlineStr"/>
      <c r="K1913" s="36" t="inlineStr">
        <is>
          <t>UPIOUT/408440780565/paytmqr3zacjjhvyp@payt
m//5462</t>
        </is>
      </c>
      <c r="L1913" s="36" t="inlineStr">
        <is>
          <t>Federal Bank (Jupiter)</t>
        </is>
      </c>
      <c r="M1913" s="36" t="inlineStr"/>
    </row>
    <row r="1914">
      <c r="A1914" s="37" t="n">
        <v>45375</v>
      </c>
      <c r="B1914" s="37" t="n">
        <v>45375</v>
      </c>
      <c r="C1914" s="38" t="n">
        <v>48</v>
      </c>
      <c r="D1914" s="38" t="n">
        <v>0</v>
      </c>
      <c r="E1914" s="38" t="inlineStr"/>
      <c r="F1914" s="38" t="inlineStr">
        <is>
          <t>UPI Payment</t>
        </is>
      </c>
      <c r="G1914" s="25" t="n">
        <v>0.55</v>
      </c>
      <c r="H1914" s="38" t="inlineStr">
        <is>
          <t>Personal</t>
        </is>
      </c>
      <c r="I1914" s="38" t="inlineStr">
        <is>
          <t>FEDERAL 0847</t>
        </is>
      </c>
      <c r="J1914" s="38" t="inlineStr"/>
      <c r="K1914" s="38" t="inlineStr">
        <is>
          <t>UPIOUT/408440889854/9945999658@ybl/Sent
via /0000</t>
        </is>
      </c>
      <c r="L1914" s="38" t="inlineStr">
        <is>
          <t>Federal Bank (Jupiter)</t>
        </is>
      </c>
      <c r="M1914" s="38" t="inlineStr"/>
    </row>
    <row r="1915">
      <c r="A1915" s="37" t="n">
        <v>45375</v>
      </c>
      <c r="B1915" s="37" t="n">
        <v>45375</v>
      </c>
      <c r="C1915" s="38" t="n">
        <v>75.2</v>
      </c>
      <c r="D1915" s="38" t="n">
        <v>0</v>
      </c>
      <c r="E1915" s="38" t="inlineStr"/>
      <c r="F1915" s="38" t="inlineStr">
        <is>
          <t>UPI Payment</t>
        </is>
      </c>
      <c r="G1915" s="25" t="n">
        <v>0.55</v>
      </c>
      <c r="H1915" s="38" t="inlineStr">
        <is>
          <t>Personal</t>
        </is>
      </c>
      <c r="I1915" s="38" t="inlineStr">
        <is>
          <t>FEDERAL 0847</t>
        </is>
      </c>
      <c r="J1915" s="38" t="inlineStr"/>
      <c r="K1915" s="38" t="inlineStr">
        <is>
          <t>UPIOUT/408440994057/SMARTBAZAAR.27235866@h
df/5722</t>
        </is>
      </c>
      <c r="L1915" s="38" t="inlineStr">
        <is>
          <t>Federal Bank (Jupiter)</t>
        </is>
      </c>
      <c r="M1915" s="38" t="inlineStr"/>
    </row>
    <row r="1916">
      <c r="A1916" s="35" t="n">
        <v>45375</v>
      </c>
      <c r="B1916" s="35" t="n">
        <v>45376</v>
      </c>
      <c r="C1916" s="36" t="n">
        <v>200</v>
      </c>
      <c r="D1916" s="36" t="n">
        <v>0</v>
      </c>
      <c r="E1916" s="36" t="inlineStr"/>
      <c r="F1916" s="36" t="inlineStr">
        <is>
          <t>UPI - Paytm</t>
        </is>
      </c>
      <c r="G1916" s="34" t="n">
        <v>0.65</v>
      </c>
      <c r="H1916" s="36" t="inlineStr">
        <is>
          <t>Personal</t>
        </is>
      </c>
      <c r="I1916" s="36" t="inlineStr">
        <is>
          <t>FEDERAL 0847</t>
        </is>
      </c>
      <c r="J1916" s="36" t="inlineStr"/>
      <c r="K1916" s="36" t="inlineStr">
        <is>
          <t>UPIOUT/408541863504/9351005740@paytm/Sent
vi/0000</t>
        </is>
      </c>
      <c r="L1916" s="36" t="inlineStr">
        <is>
          <t>Federal Bank (Jupiter)</t>
        </is>
      </c>
      <c r="M1916" s="36" t="inlineStr"/>
    </row>
    <row r="1917">
      <c r="A1917" s="37" t="n">
        <v>45376</v>
      </c>
      <c r="B1917" s="37" t="n">
        <v>45376</v>
      </c>
      <c r="C1917" s="38" t="n">
        <v>100</v>
      </c>
      <c r="D1917" s="38" t="n">
        <v>0</v>
      </c>
      <c r="E1917" s="38" t="inlineStr"/>
      <c r="F1917" s="38" t="inlineStr">
        <is>
          <t>UPI Payment</t>
        </is>
      </c>
      <c r="G1917" s="25" t="n">
        <v>0.55</v>
      </c>
      <c r="H1917" s="38" t="inlineStr">
        <is>
          <t>Personal</t>
        </is>
      </c>
      <c r="I1917" s="38" t="inlineStr">
        <is>
          <t>FEDERAL 0847</t>
        </is>
      </c>
      <c r="J1917" s="38" t="inlineStr"/>
      <c r="K1917" s="38" t="inlineStr">
        <is>
          <t>UPIOUT/408545633501/Q995912267@ybl/Sent
via /5462</t>
        </is>
      </c>
      <c r="L1917" s="38" t="inlineStr">
        <is>
          <t>Federal Bank (Jupiter)</t>
        </is>
      </c>
      <c r="M1917" s="38" t="inlineStr"/>
    </row>
    <row r="1918">
      <c r="A1918" s="37" t="n">
        <v>45376</v>
      </c>
      <c r="B1918" s="37" t="n">
        <v>45376</v>
      </c>
      <c r="C1918" s="38" t="n">
        <v>99</v>
      </c>
      <c r="D1918" s="38" t="n">
        <v>0</v>
      </c>
      <c r="E1918" s="38" t="inlineStr"/>
      <c r="F1918" s="38" t="inlineStr">
        <is>
          <t>UPI Payment</t>
        </is>
      </c>
      <c r="G1918" s="25" t="n">
        <v>0.55</v>
      </c>
      <c r="H1918" s="38" t="inlineStr">
        <is>
          <t>Personal</t>
        </is>
      </c>
      <c r="I1918" s="38" t="inlineStr">
        <is>
          <t>FEDERAL 0847</t>
        </is>
      </c>
      <c r="J1918" s="38" t="inlineStr"/>
      <c r="K1918" s="38" t="inlineStr">
        <is>
          <t>UPIOUT/408524709060/gokhana.payu@indus/UPI
In/7311</t>
        </is>
      </c>
      <c r="L1918" s="38" t="inlineStr">
        <is>
          <t>Federal Bank (Jupiter)</t>
        </is>
      </c>
      <c r="M1918" s="38" t="inlineStr"/>
    </row>
    <row r="1919">
      <c r="A1919" s="37" t="n">
        <v>45376</v>
      </c>
      <c r="B1919" s="37" t="n">
        <v>45376</v>
      </c>
      <c r="C1919" s="38" t="n">
        <v>25</v>
      </c>
      <c r="D1919" s="38" t="n">
        <v>0</v>
      </c>
      <c r="E1919" s="38" t="inlineStr"/>
      <c r="F1919" s="38" t="inlineStr">
        <is>
          <t>UPI Payment</t>
        </is>
      </c>
      <c r="G1919" s="25" t="n">
        <v>0.55</v>
      </c>
      <c r="H1919" s="38" t="inlineStr">
        <is>
          <t>Personal</t>
        </is>
      </c>
      <c r="I1919" s="38" t="inlineStr">
        <is>
          <t>FEDERAL 0847</t>
        </is>
      </c>
      <c r="J1919" s="38" t="inlineStr"/>
      <c r="K1919" s="38" t="inlineStr">
        <is>
          <t>UPIOUT/408525568116/gokhana.payu@indus/UPI
In/7311</t>
        </is>
      </c>
      <c r="L1919" s="38" t="inlineStr">
        <is>
          <t>Federal Bank (Jupiter)</t>
        </is>
      </c>
      <c r="M1919" s="38" t="inlineStr"/>
    </row>
    <row r="1920">
      <c r="A1920" s="37" t="n">
        <v>45377</v>
      </c>
      <c r="B1920" s="37" t="n">
        <v>45377</v>
      </c>
      <c r="C1920" s="38" t="n">
        <v>110</v>
      </c>
      <c r="D1920" s="38" t="n">
        <v>0</v>
      </c>
      <c r="E1920" s="38" t="inlineStr"/>
      <c r="F1920" s="38" t="inlineStr">
        <is>
          <t>UPI Payment</t>
        </is>
      </c>
      <c r="G1920" s="25" t="n">
        <v>0.55</v>
      </c>
      <c r="H1920" s="38" t="inlineStr">
        <is>
          <t>Personal</t>
        </is>
      </c>
      <c r="I1920" s="38" t="inlineStr">
        <is>
          <t>FEDERAL 0847</t>
        </is>
      </c>
      <c r="J1920" s="38" t="inlineStr"/>
      <c r="K1920" s="38" t="inlineStr">
        <is>
          <t>UPIOUT/408658293874/gokhana.payu@indus/UPI
In/7311</t>
        </is>
      </c>
      <c r="L1920" s="38" t="inlineStr">
        <is>
          <t>Federal Bank (Jupiter)</t>
        </is>
      </c>
      <c r="M1920" s="38" t="inlineStr"/>
    </row>
    <row r="1921">
      <c r="A1921" s="37" t="n">
        <v>45377</v>
      </c>
      <c r="B1921" s="37" t="n">
        <v>45377</v>
      </c>
      <c r="C1921" s="38" t="n">
        <v>39</v>
      </c>
      <c r="D1921" s="38" t="n">
        <v>0</v>
      </c>
      <c r="E1921" s="38" t="inlineStr"/>
      <c r="F1921" s="38" t="inlineStr">
        <is>
          <t>UPI Payment</t>
        </is>
      </c>
      <c r="G1921" s="25" t="n">
        <v>0.55</v>
      </c>
      <c r="H1921" s="38" t="inlineStr">
        <is>
          <t>Personal</t>
        </is>
      </c>
      <c r="I1921" s="38" t="inlineStr">
        <is>
          <t>FEDERAL 0847</t>
        </is>
      </c>
      <c r="J1921" s="38" t="inlineStr"/>
      <c r="K1921" s="38" t="inlineStr">
        <is>
          <t>UPIOUT/408653357897/prakashajn8828@okicici
/S/0000</t>
        </is>
      </c>
      <c r="L1921" s="38" t="inlineStr">
        <is>
          <t>Federal Bank (Jupiter)</t>
        </is>
      </c>
      <c r="M1921" s="38" t="inlineStr"/>
    </row>
    <row r="1922">
      <c r="A1922" s="37" t="n">
        <v>45377</v>
      </c>
      <c r="B1922" s="37" t="n">
        <v>45377</v>
      </c>
      <c r="C1922" s="38" t="n">
        <v>36</v>
      </c>
      <c r="D1922" s="38" t="n">
        <v>0</v>
      </c>
      <c r="E1922" s="38" t="inlineStr"/>
      <c r="F1922" s="38" t="inlineStr">
        <is>
          <t>UPI Payment</t>
        </is>
      </c>
      <c r="G1922" s="25" t="n">
        <v>0.55</v>
      </c>
      <c r="H1922" s="38" t="inlineStr">
        <is>
          <t>Personal</t>
        </is>
      </c>
      <c r="I1922" s="38" t="inlineStr">
        <is>
          <t>FEDERAL 0847</t>
        </is>
      </c>
      <c r="J1922" s="38" t="inlineStr"/>
      <c r="K1922" s="38" t="inlineStr">
        <is>
          <t>UPIOUT/408653905238/waseemshariff24291@axl
/S/0000</t>
        </is>
      </c>
      <c r="L1922" s="38" t="inlineStr">
        <is>
          <t>Federal Bank (Jupiter)</t>
        </is>
      </c>
      <c r="M1922" s="38" t="inlineStr"/>
    </row>
    <row r="1923">
      <c r="A1923" s="35" t="n">
        <v>45377</v>
      </c>
      <c r="B1923" s="35" t="n">
        <v>45377</v>
      </c>
      <c r="C1923" s="36" t="n">
        <v>25</v>
      </c>
      <c r="D1923" s="36" t="n">
        <v>0</v>
      </c>
      <c r="E1923" s="36" t="inlineStr"/>
      <c r="F1923" s="36" t="inlineStr">
        <is>
          <t>UPI - Paytm</t>
        </is>
      </c>
      <c r="G1923" s="34" t="n">
        <v>0.65</v>
      </c>
      <c r="H1923" s="36" t="inlineStr">
        <is>
          <t>Personal</t>
        </is>
      </c>
      <c r="I1923" s="36" t="inlineStr">
        <is>
          <t>FEDERAL 0847</t>
        </is>
      </c>
      <c r="J1923" s="36" t="inlineStr"/>
      <c r="K1923" s="36" t="inlineStr">
        <is>
          <t>UPIOUT/408654363694/paytmqr110em392r1@payt
m//5462</t>
        </is>
      </c>
      <c r="L1923" s="36" t="inlineStr">
        <is>
          <t>Federal Bank (Jupiter)</t>
        </is>
      </c>
      <c r="M1923" s="36" t="inlineStr"/>
    </row>
    <row r="1924">
      <c r="A1924" s="54" t="n">
        <v>45377</v>
      </c>
      <c r="B1924" s="54" t="n">
        <v>45377</v>
      </c>
      <c r="C1924" s="55" t="n">
        <v>0</v>
      </c>
      <c r="D1924" s="55" t="n">
        <v>21837.43</v>
      </c>
      <c r="E1924" s="55" t="inlineStr"/>
      <c r="F1924" s="55" t="inlineStr">
        <is>
          <t>HDFC Securities - Sell</t>
        </is>
      </c>
      <c r="G1924" s="18" t="n">
        <v>0.97</v>
      </c>
      <c r="H1924" s="55" t="inlineStr">
        <is>
          <t>HDFC Securities</t>
        </is>
      </c>
      <c r="I1924" s="55" t="inlineStr">
        <is>
          <t>HDFC 5413</t>
        </is>
      </c>
      <c r="J1924" s="55" t="inlineStr"/>
      <c r="K1924" s="55" t="inlineStr">
        <is>
          <t>NET PO FROM HSL A/C 2554606-50200085415108</t>
        </is>
      </c>
      <c r="L1924" s="55" t="inlineStr">
        <is>
          <t>HDFC Bank</t>
        </is>
      </c>
      <c r="M1924" s="55" t="inlineStr"/>
    </row>
    <row r="1925">
      <c r="A1925" s="41" t="n">
        <v>45377</v>
      </c>
      <c r="B1925" s="41" t="n">
        <v>45377</v>
      </c>
      <c r="C1925" s="42" t="n">
        <v>635.6</v>
      </c>
      <c r="D1925" s="42" t="n">
        <v>0</v>
      </c>
      <c r="E1925" s="42" t="inlineStr"/>
      <c r="F1925" s="42" t="inlineStr">
        <is>
          <t>HDFC Securities - Buy</t>
        </is>
      </c>
      <c r="G1925" s="18" t="n">
        <v>0.97</v>
      </c>
      <c r="H1925" s="42" t="inlineStr">
        <is>
          <t>HDFC Securities</t>
        </is>
      </c>
      <c r="I1925" s="42" t="inlineStr">
        <is>
          <t>HDFC 5413</t>
        </is>
      </c>
      <c r="J1925" s="42" t="inlineStr"/>
      <c r="K1925" s="42" t="inlineStr">
        <is>
          <t>NET PI TO HSL SEC A/C 2554606-00602340029427</t>
        </is>
      </c>
      <c r="L1925" s="42" t="inlineStr">
        <is>
          <t>HDFC Bank</t>
        </is>
      </c>
      <c r="M1925" s="42" t="inlineStr"/>
    </row>
    <row r="1926">
      <c r="A1926" s="41" t="n">
        <v>45377</v>
      </c>
      <c r="B1926" s="41" t="n">
        <v>45377</v>
      </c>
      <c r="C1926" s="42" t="n">
        <v>1671.29</v>
      </c>
      <c r="D1926" s="42" t="n">
        <v>0</v>
      </c>
      <c r="E1926" s="42" t="inlineStr"/>
      <c r="F1926" s="42" t="inlineStr">
        <is>
          <t>HDFC Securities - Buy</t>
        </is>
      </c>
      <c r="G1926" s="18" t="n">
        <v>0.97</v>
      </c>
      <c r="H1926" s="42" t="inlineStr">
        <is>
          <t>HDFC Securities</t>
        </is>
      </c>
      <c r="I1926" s="42" t="inlineStr">
        <is>
          <t>HDFC 5413</t>
        </is>
      </c>
      <c r="J1926" s="42" t="inlineStr"/>
      <c r="K1926" s="42" t="inlineStr">
        <is>
          <t>NET PI TO HSL SEC A/C 2554606-00602340029427</t>
        </is>
      </c>
      <c r="L1926" s="42" t="inlineStr">
        <is>
          <t>HDFC Bank</t>
        </is>
      </c>
      <c r="M1926" s="42" t="inlineStr"/>
    </row>
    <row r="1927">
      <c r="A1927" s="41" t="n">
        <v>45378</v>
      </c>
      <c r="B1927" s="41" t="n">
        <v>45378</v>
      </c>
      <c r="C1927" s="42" t="n">
        <v>158.31</v>
      </c>
      <c r="D1927" s="42" t="n">
        <v>0</v>
      </c>
      <c r="E1927" s="42" t="inlineStr"/>
      <c r="F1927" s="42" t="inlineStr">
        <is>
          <t>HDFC Securities - Buy</t>
        </is>
      </c>
      <c r="G1927" s="18" t="n">
        <v>0.97</v>
      </c>
      <c r="H1927" s="42" t="inlineStr">
        <is>
          <t>HDFC Securities</t>
        </is>
      </c>
      <c r="I1927" s="42" t="inlineStr">
        <is>
          <t>HDFC 5413</t>
        </is>
      </c>
      <c r="J1927" s="42" t="inlineStr"/>
      <c r="K1927" s="42" t="inlineStr">
        <is>
          <t>NET PI TO HSL SEC A/C 2554606-00602340029427</t>
        </is>
      </c>
      <c r="L1927" s="42" t="inlineStr">
        <is>
          <t>HDFC Bank</t>
        </is>
      </c>
      <c r="M1927" s="42" t="inlineStr"/>
    </row>
    <row r="1928">
      <c r="A1928" s="41" t="n">
        <v>45378</v>
      </c>
      <c r="B1928" s="41" t="n">
        <v>45378</v>
      </c>
      <c r="C1928" s="42" t="n">
        <v>10731.98</v>
      </c>
      <c r="D1928" s="42" t="n">
        <v>0</v>
      </c>
      <c r="E1928" s="42" t="inlineStr"/>
      <c r="F1928" s="42" t="inlineStr">
        <is>
          <t>HDFC Securities - Buy</t>
        </is>
      </c>
      <c r="G1928" s="18" t="n">
        <v>0.97</v>
      </c>
      <c r="H1928" s="42" t="inlineStr">
        <is>
          <t>HDFC Securities</t>
        </is>
      </c>
      <c r="I1928" s="42" t="inlineStr">
        <is>
          <t>HDFC 5413</t>
        </is>
      </c>
      <c r="J1928" s="42" t="inlineStr"/>
      <c r="K1928" s="42" t="inlineStr">
        <is>
          <t>NET PI TO HSL SEC A/C 2554606-00602340029427</t>
        </is>
      </c>
      <c r="L1928" s="42" t="inlineStr">
        <is>
          <t>HDFC Bank</t>
        </is>
      </c>
      <c r="M1928" s="42" t="inlineStr"/>
    </row>
    <row r="1929">
      <c r="A1929" s="37" t="n">
        <v>45378</v>
      </c>
      <c r="B1929" s="37" t="n">
        <v>45378</v>
      </c>
      <c r="C1929" s="38" t="n">
        <v>70</v>
      </c>
      <c r="D1929" s="38" t="n">
        <v>0</v>
      </c>
      <c r="E1929" s="38" t="inlineStr"/>
      <c r="F1929" s="38" t="inlineStr">
        <is>
          <t>UPI Payment</t>
        </is>
      </c>
      <c r="G1929" s="25" t="n">
        <v>0.55</v>
      </c>
      <c r="H1929" s="38" t="inlineStr">
        <is>
          <t>Personal</t>
        </is>
      </c>
      <c r="I1929" s="38" t="inlineStr">
        <is>
          <t>FEDERAL 0847</t>
        </is>
      </c>
      <c r="J1929" s="38" t="inlineStr"/>
      <c r="K1929" s="38" t="inlineStr">
        <is>
          <t>UPIOUT/408794601952/gokhana.payu@indus/UPI
In/7311</t>
        </is>
      </c>
      <c r="L1929" s="38" t="inlineStr">
        <is>
          <t>Federal Bank (Jupiter)</t>
        </is>
      </c>
      <c r="M1929" s="38" t="inlineStr"/>
    </row>
    <row r="1930">
      <c r="A1930" s="37" t="n">
        <v>45378</v>
      </c>
      <c r="B1930" s="37" t="n">
        <v>45378</v>
      </c>
      <c r="C1930" s="38" t="n">
        <v>200</v>
      </c>
      <c r="D1930" s="38" t="n">
        <v>0</v>
      </c>
      <c r="E1930" s="38" t="inlineStr"/>
      <c r="F1930" s="38" t="inlineStr">
        <is>
          <t>UPI Payment</t>
        </is>
      </c>
      <c r="G1930" s="25" t="n">
        <v>0.55</v>
      </c>
      <c r="H1930" s="38" t="inlineStr">
        <is>
          <t>Personal</t>
        </is>
      </c>
      <c r="I1930" s="38" t="inlineStr">
        <is>
          <t>FEDERAL 0847</t>
        </is>
      </c>
      <c r="J1930" s="38" t="inlineStr"/>
      <c r="K1930" s="38" t="inlineStr">
        <is>
          <t>UPIOUT/408795986875/gokhana.payu@indus/UPI
In/7311</t>
        </is>
      </c>
      <c r="L1930" s="38" t="inlineStr">
        <is>
          <t>Federal Bank (Jupiter)</t>
        </is>
      </c>
      <c r="M1930" s="38" t="inlineStr"/>
    </row>
    <row r="1931">
      <c r="A1931" s="37" t="n">
        <v>45378</v>
      </c>
      <c r="B1931" s="37" t="n">
        <v>45378</v>
      </c>
      <c r="C1931" s="38" t="n">
        <v>25</v>
      </c>
      <c r="D1931" s="38" t="n">
        <v>0</v>
      </c>
      <c r="E1931" s="38" t="inlineStr"/>
      <c r="F1931" s="38" t="inlineStr">
        <is>
          <t>UPI Payment</t>
        </is>
      </c>
      <c r="G1931" s="25" t="n">
        <v>0.55</v>
      </c>
      <c r="H1931" s="38" t="inlineStr">
        <is>
          <t>Personal</t>
        </is>
      </c>
      <c r="I1931" s="38" t="inlineStr">
        <is>
          <t>FEDERAL 0847</t>
        </is>
      </c>
      <c r="J1931" s="38" t="inlineStr"/>
      <c r="K1931" s="38" t="inlineStr">
        <is>
          <t>UPIOUT/408794716230/gokhana.payu@indus/UPI
In/7311</t>
        </is>
      </c>
      <c r="L1931" s="38" t="inlineStr">
        <is>
          <t>Federal Bank (Jupiter)</t>
        </is>
      </c>
      <c r="M1931" s="38" t="inlineStr"/>
    </row>
    <row r="1932">
      <c r="A1932" s="37" t="n">
        <v>45379</v>
      </c>
      <c r="B1932" s="37" t="n">
        <v>45379</v>
      </c>
      <c r="C1932" s="38" t="n">
        <v>99</v>
      </c>
      <c r="D1932" s="38" t="n">
        <v>0</v>
      </c>
      <c r="E1932" s="38" t="inlineStr"/>
      <c r="F1932" s="38" t="inlineStr">
        <is>
          <t>UPI Payment</t>
        </is>
      </c>
      <c r="G1932" s="25" t="n">
        <v>0.55</v>
      </c>
      <c r="H1932" s="38" t="inlineStr">
        <is>
          <t>Personal</t>
        </is>
      </c>
      <c r="I1932" s="38" t="inlineStr">
        <is>
          <t>FEDERAL 0847</t>
        </is>
      </c>
      <c r="J1932" s="38" t="inlineStr"/>
      <c r="K1932" s="38" t="inlineStr">
        <is>
          <t>UPIOUT/408831449979/toboxventuresprivatel.
pa/5812</t>
        </is>
      </c>
      <c r="L1932" s="38" t="inlineStr">
        <is>
          <t>Federal Bank (Jupiter)</t>
        </is>
      </c>
      <c r="M1932" s="38" t="inlineStr"/>
    </row>
    <row r="1933">
      <c r="A1933" s="35" t="n">
        <v>45379</v>
      </c>
      <c r="B1933" s="35" t="n">
        <v>45379</v>
      </c>
      <c r="C1933" s="36" t="n">
        <v>10</v>
      </c>
      <c r="D1933" s="36" t="n">
        <v>0</v>
      </c>
      <c r="E1933" s="36" t="inlineStr"/>
      <c r="F1933" s="36" t="inlineStr">
        <is>
          <t>UPI - Paytm</t>
        </is>
      </c>
      <c r="G1933" s="34" t="n">
        <v>0.65</v>
      </c>
      <c r="H1933" s="36" t="inlineStr">
        <is>
          <t>Personal</t>
        </is>
      </c>
      <c r="I1933" s="36" t="inlineStr">
        <is>
          <t>FEDERAL 0847</t>
        </is>
      </c>
      <c r="J1933" s="36" t="inlineStr"/>
      <c r="K1933" s="36" t="inlineStr">
        <is>
          <t>UPIOUT/408845702991/vilpremum@paytm/UPI/48
14</t>
        </is>
      </c>
      <c r="L1933" s="36" t="inlineStr">
        <is>
          <t>Federal Bank (Jupiter)</t>
        </is>
      </c>
      <c r="M1933" s="36" t="inlineStr"/>
    </row>
    <row r="1934">
      <c r="A1934" s="37" t="n">
        <v>45379</v>
      </c>
      <c r="B1934" s="37" t="n">
        <v>45379</v>
      </c>
      <c r="C1934" s="38" t="n">
        <v>35</v>
      </c>
      <c r="D1934" s="38" t="n">
        <v>0</v>
      </c>
      <c r="E1934" s="38" t="inlineStr"/>
      <c r="F1934" s="38" t="inlineStr">
        <is>
          <t>UPI Payment</t>
        </is>
      </c>
      <c r="G1934" s="25" t="n">
        <v>0.55</v>
      </c>
      <c r="H1934" s="38" t="inlineStr">
        <is>
          <t>Personal</t>
        </is>
      </c>
      <c r="I1934" s="38" t="inlineStr">
        <is>
          <t>FEDERAL 0847</t>
        </is>
      </c>
      <c r="J1934" s="38" t="inlineStr"/>
      <c r="K1934" s="38" t="inlineStr">
        <is>
          <t>UPIOUT/408866646073/Q995912267@ybl/Sent
via /5462</t>
        </is>
      </c>
      <c r="L1934" s="38" t="inlineStr">
        <is>
          <t>Federal Bank (Jupiter)</t>
        </is>
      </c>
      <c r="M1934" s="38" t="inlineStr">
        <is>
          <t>⚠ Possible Duplicate</t>
        </is>
      </c>
    </row>
    <row r="1935">
      <c r="A1935" s="35" t="n">
        <v>45379</v>
      </c>
      <c r="B1935" s="35" t="n">
        <v>45379</v>
      </c>
      <c r="C1935" s="36" t="n">
        <v>40</v>
      </c>
      <c r="D1935" s="36" t="n">
        <v>0</v>
      </c>
      <c r="E1935" s="36" t="inlineStr"/>
      <c r="F1935" s="36" t="inlineStr">
        <is>
          <t>UPI - Paytm</t>
        </is>
      </c>
      <c r="G1935" s="34" t="n">
        <v>0.65</v>
      </c>
      <c r="H1935" s="36" t="inlineStr">
        <is>
          <t>Personal</t>
        </is>
      </c>
      <c r="I1935" s="36" t="inlineStr">
        <is>
          <t>FEDERAL 0847</t>
        </is>
      </c>
      <c r="J1935" s="36" t="inlineStr"/>
      <c r="K1935" s="36" t="inlineStr">
        <is>
          <t>UPIOUT/408867487569/paytmqr3zacjjhvyp@payt
m//5462</t>
        </is>
      </c>
      <c r="L1935" s="36" t="inlineStr">
        <is>
          <t>Federal Bank (Jupiter)</t>
        </is>
      </c>
      <c r="M1935" s="36" t="inlineStr"/>
    </row>
    <row r="1936">
      <c r="A1936" s="37" t="n">
        <v>45379</v>
      </c>
      <c r="B1936" s="37" t="n">
        <v>45379</v>
      </c>
      <c r="C1936" s="38" t="n">
        <v>35</v>
      </c>
      <c r="D1936" s="38" t="n">
        <v>0</v>
      </c>
      <c r="E1936" s="38" t="inlineStr"/>
      <c r="F1936" s="38" t="inlineStr">
        <is>
          <t>UPI Payment</t>
        </is>
      </c>
      <c r="G1936" s="25" t="n">
        <v>0.55</v>
      </c>
      <c r="H1936" s="38" t="inlineStr">
        <is>
          <t>Personal</t>
        </is>
      </c>
      <c r="I1936" s="38" t="inlineStr">
        <is>
          <t>FEDERAL 0847</t>
        </is>
      </c>
      <c r="J1936" s="38" t="inlineStr"/>
      <c r="K1936" s="38" t="inlineStr">
        <is>
          <t>UPIOUT/408866496281/Q403465439@ybl/Sent
via /5812</t>
        </is>
      </c>
      <c r="L1936" s="38" t="inlineStr">
        <is>
          <t>Federal Bank (Jupiter)</t>
        </is>
      </c>
      <c r="M1936" s="38" t="inlineStr">
        <is>
          <t>⚠ Possible Duplicate</t>
        </is>
      </c>
    </row>
    <row r="1937">
      <c r="A1937" s="54" t="n">
        <v>45379</v>
      </c>
      <c r="B1937" s="54" t="n">
        <v>45379</v>
      </c>
      <c r="C1937" s="55" t="n">
        <v>0</v>
      </c>
      <c r="D1937" s="55" t="n">
        <v>11656.66</v>
      </c>
      <c r="E1937" s="55" t="inlineStr"/>
      <c r="F1937" s="55" t="inlineStr">
        <is>
          <t>HDFC Securities - Sell</t>
        </is>
      </c>
      <c r="G1937" s="18" t="n">
        <v>0.97</v>
      </c>
      <c r="H1937" s="55" t="inlineStr">
        <is>
          <t>HDFC Securities</t>
        </is>
      </c>
      <c r="I1937" s="55" t="inlineStr">
        <is>
          <t>HDFC 5413</t>
        </is>
      </c>
      <c r="J1937" s="55" t="inlineStr"/>
      <c r="K1937" s="55" t="inlineStr">
        <is>
          <t>NET PO FROM HSL A/C 2554606-50200085415108</t>
        </is>
      </c>
      <c r="L1937" s="55" t="inlineStr">
        <is>
          <t>HDFC Bank</t>
        </is>
      </c>
      <c r="M1937" s="55" t="inlineStr"/>
    </row>
    <row r="1938">
      <c r="A1938" s="41" t="n">
        <v>45379</v>
      </c>
      <c r="B1938" s="41" t="n">
        <v>45379</v>
      </c>
      <c r="C1938" s="42" t="n">
        <v>154.48</v>
      </c>
      <c r="D1938" s="42" t="n">
        <v>0</v>
      </c>
      <c r="E1938" s="42" t="inlineStr"/>
      <c r="F1938" s="42" t="inlineStr">
        <is>
          <t>HDFC Securities - Buy</t>
        </is>
      </c>
      <c r="G1938" s="18" t="n">
        <v>0.97</v>
      </c>
      <c r="H1938" s="42" t="inlineStr">
        <is>
          <t>HDFC Securities</t>
        </is>
      </c>
      <c r="I1938" s="42" t="inlineStr">
        <is>
          <t>HDFC 5413</t>
        </is>
      </c>
      <c r="J1938" s="42" t="inlineStr"/>
      <c r="K1938" s="42" t="inlineStr">
        <is>
          <t>NET PI TO HSL SEC A/C 2554606-00602340029427</t>
        </is>
      </c>
      <c r="L1938" s="42" t="inlineStr">
        <is>
          <t>HDFC Bank</t>
        </is>
      </c>
      <c r="M1938" s="42" t="inlineStr"/>
    </row>
    <row r="1939">
      <c r="A1939" s="58" t="n">
        <v>45379</v>
      </c>
      <c r="B1939" s="58" t="n">
        <v>45379</v>
      </c>
      <c r="C1939" s="59" t="n">
        <v>5000</v>
      </c>
      <c r="D1939" s="59" t="n">
        <v>0</v>
      </c>
      <c r="E1939" s="59" t="inlineStr"/>
      <c r="F1939" s="59" t="inlineStr">
        <is>
          <t>SIP</t>
        </is>
      </c>
      <c r="G1939" s="18" t="n">
        <v>0.95</v>
      </c>
      <c r="H1939" s="59" t="inlineStr">
        <is>
          <t>SIP</t>
        </is>
      </c>
      <c r="I1939" s="59" t="inlineStr">
        <is>
          <t>HDFC 5413</t>
        </is>
      </c>
      <c r="J1939" s="59" t="inlineStr"/>
      <c r="K1939" s="59" t="inlineStr">
        <is>
          <t>ACH D- TP ACH INDIANESIGN-1398119554</t>
        </is>
      </c>
      <c r="L1939" s="59" t="inlineStr">
        <is>
          <t>HDFC Bank</t>
        </is>
      </c>
      <c r="M1939" s="59" t="inlineStr"/>
    </row>
    <row r="1940">
      <c r="A1940" s="106" t="n">
        <v>45380</v>
      </c>
      <c r="B1940" s="106" t="n">
        <v>45380</v>
      </c>
      <c r="C1940" s="107" t="n">
        <v>0</v>
      </c>
      <c r="D1940" s="107" t="n">
        <v>63942</v>
      </c>
      <c r="E1940" s="107" t="inlineStr"/>
      <c r="F1940" s="107" t="inlineStr">
        <is>
          <t>Salary</t>
        </is>
      </c>
      <c r="G1940" s="18" t="n">
        <v>0.95</v>
      </c>
      <c r="H1940" s="107" t="inlineStr">
        <is>
          <t>Salary</t>
        </is>
      </c>
      <c r="I1940" s="107" t="inlineStr">
        <is>
          <t>KOTAK 0333</t>
        </is>
      </c>
      <c r="J1940" s="107" t="inlineStr"/>
      <c r="K1940" s="107" t="inlineStr">
        <is>
          <t>SALARYTRANS</t>
        </is>
      </c>
      <c r="L1940" s="107" t="inlineStr">
        <is>
          <t>Kotak Mahindra Bank</t>
        </is>
      </c>
      <c r="M1940" s="107" t="inlineStr"/>
    </row>
    <row r="1941">
      <c r="A1941" s="37" t="n">
        <v>45380</v>
      </c>
      <c r="B1941" s="37" t="n">
        <v>45380</v>
      </c>
      <c r="C1941" s="38" t="n">
        <v>50</v>
      </c>
      <c r="D1941" s="38" t="n">
        <v>0</v>
      </c>
      <c r="E1941" s="38" t="inlineStr"/>
      <c r="F1941" s="38" t="inlineStr">
        <is>
          <t>UPI Payment</t>
        </is>
      </c>
      <c r="G1941" s="25" t="n">
        <v>0.55</v>
      </c>
      <c r="H1941" s="38" t="inlineStr">
        <is>
          <t>Personal</t>
        </is>
      </c>
      <c r="I1941" s="38" t="inlineStr">
        <is>
          <t>FEDERAL 0847</t>
        </is>
      </c>
      <c r="J1941" s="38" t="inlineStr"/>
      <c r="K1941" s="38" t="inlineStr">
        <is>
          <t>UPIOUT/408971409242/toboxventuresprivatel.
pa/5812</t>
        </is>
      </c>
      <c r="L1941" s="38" t="inlineStr">
        <is>
          <t>Federal Bank (Jupiter)</t>
        </is>
      </c>
      <c r="M1941" s="38" t="inlineStr"/>
    </row>
    <row r="1942">
      <c r="A1942" s="37" t="n">
        <v>45380</v>
      </c>
      <c r="B1942" s="37" t="n">
        <v>45380</v>
      </c>
      <c r="C1942" s="38" t="n">
        <v>70</v>
      </c>
      <c r="D1942" s="38" t="n">
        <v>0</v>
      </c>
      <c r="E1942" s="38" t="inlineStr"/>
      <c r="F1942" s="38" t="inlineStr">
        <is>
          <t>UPI Payment</t>
        </is>
      </c>
      <c r="G1942" s="25" t="n">
        <v>0.55</v>
      </c>
      <c r="H1942" s="38" t="inlineStr">
        <is>
          <t>Personal</t>
        </is>
      </c>
      <c r="I1942" s="38" t="inlineStr">
        <is>
          <t>FEDERAL 0847</t>
        </is>
      </c>
      <c r="J1942" s="38" t="inlineStr"/>
      <c r="K1942" s="38" t="inlineStr">
        <is>
          <t>UPIOUT/408970975049/toboxventuresprivatel.
pa/5812</t>
        </is>
      </c>
      <c r="L1942" s="38" t="inlineStr">
        <is>
          <t>Federal Bank (Jupiter)</t>
        </is>
      </c>
      <c r="M1942" s="38" t="inlineStr"/>
    </row>
    <row r="1943">
      <c r="A1943" s="35" t="n">
        <v>45380</v>
      </c>
      <c r="B1943" s="35" t="n">
        <v>45380</v>
      </c>
      <c r="C1943" s="36" t="n">
        <v>10</v>
      </c>
      <c r="D1943" s="36" t="n">
        <v>0</v>
      </c>
      <c r="E1943" s="36" t="inlineStr"/>
      <c r="F1943" s="36" t="inlineStr">
        <is>
          <t>UPI - Paytm</t>
        </is>
      </c>
      <c r="G1943" s="34" t="n">
        <v>0.65</v>
      </c>
      <c r="H1943" s="36" t="inlineStr">
        <is>
          <t>Personal</t>
        </is>
      </c>
      <c r="I1943" s="36" t="inlineStr">
        <is>
          <t>FEDERAL 0847</t>
        </is>
      </c>
      <c r="J1943" s="36" t="inlineStr"/>
      <c r="K1943" s="36" t="inlineStr">
        <is>
          <t>UPIOUT/408969561525/paytmqr1munx5557c@payt
m//5462</t>
        </is>
      </c>
      <c r="L1943" s="36" t="inlineStr">
        <is>
          <t>Federal Bank (Jupiter)</t>
        </is>
      </c>
      <c r="M1943" s="36" t="inlineStr"/>
    </row>
    <row r="1944">
      <c r="A1944" s="64" t="n">
        <v>45381</v>
      </c>
      <c r="B1944" s="64" t="n">
        <v>45381</v>
      </c>
      <c r="C1944" s="65" t="n">
        <v>0</v>
      </c>
      <c r="D1944" s="65" t="n">
        <v>54</v>
      </c>
      <c r="E1944" s="65" t="inlineStr"/>
      <c r="F1944" s="65" t="inlineStr">
        <is>
          <t>Dividend Income</t>
        </is>
      </c>
      <c r="G1944" s="18" t="n">
        <v>0.88</v>
      </c>
      <c r="H1944" s="65" t="inlineStr">
        <is>
          <t>Dividend Income</t>
        </is>
      </c>
      <c r="I1944" s="65" t="inlineStr">
        <is>
          <t>HDFC 5413</t>
        </is>
      </c>
      <c r="J1944" s="65" t="inlineStr"/>
      <c r="K1944" s="65" t="inlineStr">
        <is>
          <t>ACH C- POWER FINANCE CORPOR-14038345</t>
        </is>
      </c>
      <c r="L1944" s="65" t="inlineStr">
        <is>
          <t>HDFC Bank</t>
        </is>
      </c>
      <c r="M1944" s="65" t="inlineStr"/>
    </row>
    <row r="1945">
      <c r="A1945" s="87" t="n">
        <v>45381</v>
      </c>
      <c r="B1945" s="87" t="n">
        <v>45381</v>
      </c>
      <c r="C1945" s="88" t="n">
        <v>0</v>
      </c>
      <c r="D1945" s="88" t="n">
        <v>1</v>
      </c>
      <c r="E1945" s="88" t="inlineStr"/>
      <c r="F1945" s="88" t="inlineStr">
        <is>
          <t>Contra - Kotak</t>
        </is>
      </c>
      <c r="G1945" s="18" t="n">
        <v>0.9</v>
      </c>
      <c r="H1945" s="88" t="inlineStr">
        <is>
          <t>KOTAK 0333</t>
        </is>
      </c>
      <c r="I1945" s="88" t="inlineStr">
        <is>
          <t>FEDERAL 0847</t>
        </is>
      </c>
      <c r="J1945" s="88" t="inlineStr"/>
      <c r="K1945" s="88" t="inlineStr">
        <is>
          <t>UPI IN/409021378087/9594435259@kotak/MB
UPI/0000</t>
        </is>
      </c>
      <c r="L1945" s="88" t="inlineStr">
        <is>
          <t>Federal Bank (Jupiter)</t>
        </is>
      </c>
      <c r="M1945" s="88" t="inlineStr"/>
    </row>
    <row r="1946">
      <c r="A1946" s="87" t="n">
        <v>45381</v>
      </c>
      <c r="B1946" s="87" t="n">
        <v>45381</v>
      </c>
      <c r="C1946" s="88" t="n">
        <v>0</v>
      </c>
      <c r="D1946" s="88" t="n">
        <v>1998</v>
      </c>
      <c r="E1946" s="88" t="inlineStr"/>
      <c r="F1946" s="88" t="inlineStr">
        <is>
          <t>Contra - Kotak</t>
        </is>
      </c>
      <c r="G1946" s="18" t="n">
        <v>0.9</v>
      </c>
      <c r="H1946" s="88" t="inlineStr">
        <is>
          <t>KOTAK 0333</t>
        </is>
      </c>
      <c r="I1946" s="88" t="inlineStr">
        <is>
          <t>FEDERAL 0847</t>
        </is>
      </c>
      <c r="J1946" s="88" t="inlineStr"/>
      <c r="K1946" s="88" t="inlineStr">
        <is>
          <t>UPI IN/409021381201/9594435259@kotak/MB
UPI/0000</t>
        </is>
      </c>
      <c r="L1946" s="88" t="inlineStr">
        <is>
          <t>Federal Bank (Jupiter)</t>
        </is>
      </c>
      <c r="M1946" s="88" t="inlineStr"/>
    </row>
    <row r="1947">
      <c r="A1947" s="87" t="n">
        <v>45381</v>
      </c>
      <c r="B1947" s="87" t="n">
        <v>45381</v>
      </c>
      <c r="C1947" s="88" t="n">
        <v>1998</v>
      </c>
      <c r="D1947" s="88" t="n">
        <v>0</v>
      </c>
      <c r="E1947" s="88" t="inlineStr"/>
      <c r="F1947" s="88" t="inlineStr">
        <is>
          <t>Contra - Jupiter</t>
        </is>
      </c>
      <c r="G1947" s="18" t="n">
        <v>0.95</v>
      </c>
      <c r="H1947" s="88" t="inlineStr">
        <is>
          <t>FEDERAL 0847</t>
        </is>
      </c>
      <c r="I1947" s="88" t="inlineStr">
        <is>
          <t>KOTAK 0333</t>
        </is>
      </c>
      <c r="J1947" s="88" t="inlineStr"/>
      <c r="K1947" s="88" t="inlineStr">
        <is>
          <t>UPI/AAYUSH KUMAR GU/409021379488/MB UPI</t>
        </is>
      </c>
      <c r="L1947" s="88" t="inlineStr">
        <is>
          <t>Kotak Mahindra Bank</t>
        </is>
      </c>
      <c r="M1947" s="88" t="inlineStr">
        <is>
          <t>⚠ Possible Duplicate</t>
        </is>
      </c>
    </row>
    <row r="1948">
      <c r="A1948" s="87" t="n">
        <v>45381</v>
      </c>
      <c r="B1948" s="87" t="n">
        <v>45381</v>
      </c>
      <c r="C1948" s="88" t="n">
        <v>1</v>
      </c>
      <c r="D1948" s="88" t="n">
        <v>0</v>
      </c>
      <c r="E1948" s="88" t="inlineStr"/>
      <c r="F1948" s="88" t="inlineStr">
        <is>
          <t>Contra - Jupiter</t>
        </is>
      </c>
      <c r="G1948" s="18" t="n">
        <v>0.95</v>
      </c>
      <c r="H1948" s="88" t="inlineStr">
        <is>
          <t>FEDERAL 0847</t>
        </is>
      </c>
      <c r="I1948" s="88" t="inlineStr">
        <is>
          <t>KOTAK 0333</t>
        </is>
      </c>
      <c r="J1948" s="88" t="inlineStr"/>
      <c r="K1948" s="88" t="inlineStr">
        <is>
          <t>UPI/AAYUSH KUMAR GU/409021378087/MB UPI</t>
        </is>
      </c>
      <c r="L1948" s="88" t="inlineStr">
        <is>
          <t>Kotak Mahindra Bank</t>
        </is>
      </c>
      <c r="M1948" s="88" t="inlineStr"/>
    </row>
    <row r="1949">
      <c r="A1949" s="87" t="n">
        <v>45381</v>
      </c>
      <c r="B1949" s="87" t="n">
        <v>45381</v>
      </c>
      <c r="C1949" s="88" t="n">
        <v>1998</v>
      </c>
      <c r="D1949" s="88" t="n">
        <v>0</v>
      </c>
      <c r="E1949" s="88" t="inlineStr"/>
      <c r="F1949" s="88" t="inlineStr">
        <is>
          <t>Contra - Jupiter</t>
        </is>
      </c>
      <c r="G1949" s="18" t="n">
        <v>0.95</v>
      </c>
      <c r="H1949" s="88" t="inlineStr">
        <is>
          <t>FEDERAL 0847</t>
        </is>
      </c>
      <c r="I1949" s="88" t="inlineStr">
        <is>
          <t>KOTAK 0333</t>
        </is>
      </c>
      <c r="J1949" s="88" t="inlineStr"/>
      <c r="K1949" s="88" t="inlineStr">
        <is>
          <t>UPI/AAYUSH KUMAR GU/409021381201/MB UPI</t>
        </is>
      </c>
      <c r="L1949" s="88" t="inlineStr">
        <is>
          <t>Kotak Mahindra Bank</t>
        </is>
      </c>
      <c r="M1949" s="88" t="inlineStr">
        <is>
          <t>⚠ Possible Duplicate</t>
        </is>
      </c>
    </row>
    <row r="1950">
      <c r="A1950" s="37" t="n">
        <v>45381</v>
      </c>
      <c r="B1950" s="37" t="n">
        <v>45381</v>
      </c>
      <c r="C1950" s="38" t="n">
        <v>35</v>
      </c>
      <c r="D1950" s="38" t="n">
        <v>0</v>
      </c>
      <c r="E1950" s="38" t="inlineStr"/>
      <c r="F1950" s="38" t="inlineStr">
        <is>
          <t>UPI Payment</t>
        </is>
      </c>
      <c r="G1950" s="25" t="n">
        <v>0.55</v>
      </c>
      <c r="H1950" s="38" t="inlineStr">
        <is>
          <t>Personal</t>
        </is>
      </c>
      <c r="I1950" s="38" t="inlineStr">
        <is>
          <t>FEDERAL 0847</t>
        </is>
      </c>
      <c r="J1950" s="38" t="inlineStr"/>
      <c r="K1950" s="38" t="inlineStr">
        <is>
          <t>UPIOUT/409078285351/Vyapar.168072300538@hd
fc/5812</t>
        </is>
      </c>
      <c r="L1950" s="38" t="inlineStr">
        <is>
          <t>Federal Bank (Jupiter)</t>
        </is>
      </c>
      <c r="M1950" s="38" t="inlineStr"/>
    </row>
    <row r="1951">
      <c r="A1951" s="35" t="n">
        <v>45381</v>
      </c>
      <c r="B1951" s="35" t="n">
        <v>45381</v>
      </c>
      <c r="C1951" s="36" t="n">
        <v>20</v>
      </c>
      <c r="D1951" s="36" t="n">
        <v>0</v>
      </c>
      <c r="E1951" s="36" t="inlineStr"/>
      <c r="F1951" s="36" t="inlineStr">
        <is>
          <t>UPI - Paytm</t>
        </is>
      </c>
      <c r="G1951" s="34" t="n">
        <v>0.65</v>
      </c>
      <c r="H1951" s="36" t="inlineStr">
        <is>
          <t>Personal</t>
        </is>
      </c>
      <c r="I1951" s="36" t="inlineStr">
        <is>
          <t>FEDERAL 0847</t>
        </is>
      </c>
      <c r="J1951" s="36" t="inlineStr"/>
      <c r="K1951" s="36" t="inlineStr">
        <is>
          <t>UPIOUT/409076767454/paytmqryue9ksrtp5@payt
m//5812</t>
        </is>
      </c>
      <c r="L1951" s="36" t="inlineStr">
        <is>
          <t>Federal Bank (Jupiter)</t>
        </is>
      </c>
      <c r="M1951" s="36" t="inlineStr"/>
    </row>
    <row r="1952">
      <c r="A1952" s="35" t="n">
        <v>45381</v>
      </c>
      <c r="B1952" s="35" t="n">
        <v>45381</v>
      </c>
      <c r="C1952" s="36" t="n">
        <v>60</v>
      </c>
      <c r="D1952" s="36" t="n">
        <v>0</v>
      </c>
      <c r="E1952" s="36" t="inlineStr"/>
      <c r="F1952" s="36" t="inlineStr">
        <is>
          <t>UPI - Paytm</t>
        </is>
      </c>
      <c r="G1952" s="34" t="n">
        <v>0.65</v>
      </c>
      <c r="H1952" s="36" t="inlineStr">
        <is>
          <t>Personal</t>
        </is>
      </c>
      <c r="I1952" s="36" t="inlineStr">
        <is>
          <t>FEDERAL 0847</t>
        </is>
      </c>
      <c r="J1952" s="36" t="inlineStr"/>
      <c r="K1952" s="36" t="inlineStr">
        <is>
          <t>UPIOUT/409080976317/paytmqr1un7bk4a3z@payt
m//5812</t>
        </is>
      </c>
      <c r="L1952" s="36" t="inlineStr">
        <is>
          <t>Federal Bank (Jupiter)</t>
        </is>
      </c>
      <c r="M1952" s="36" t="inlineStr"/>
    </row>
    <row r="1953">
      <c r="A1953" s="30" t="n">
        <v>45382</v>
      </c>
      <c r="B1953" s="30" t="n">
        <v>45382</v>
      </c>
      <c r="C1953" s="31" t="n">
        <v>0</v>
      </c>
      <c r="D1953" s="31" t="n">
        <v>1422</v>
      </c>
      <c r="E1953" s="31" t="inlineStr"/>
      <c r="F1953" s="31" t="inlineStr">
        <is>
          <t>Bank Interest</t>
        </is>
      </c>
      <c r="G1953" s="18" t="n">
        <v>0.9</v>
      </c>
      <c r="H1953" s="31" t="inlineStr">
        <is>
          <t>Bank Interest</t>
        </is>
      </c>
      <c r="I1953" s="31" t="inlineStr">
        <is>
          <t>SBI 1227</t>
        </is>
      </c>
      <c r="J1953" s="31" t="inlineStr"/>
      <c r="K1953" s="31" t="inlineStr">
        <is>
          <t xml:space="preserve">   CREDIT INTEREST---</t>
        </is>
      </c>
      <c r="L1953" s="31" t="inlineStr">
        <is>
          <t>State Bank of India</t>
        </is>
      </c>
      <c r="M1953" s="31" t="inlineStr"/>
    </row>
    <row r="1954">
      <c r="A1954" s="30" t="n">
        <v>45382</v>
      </c>
      <c r="B1954" s="30" t="n">
        <v>45382</v>
      </c>
      <c r="C1954" s="31" t="n">
        <v>0</v>
      </c>
      <c r="D1954" s="31" t="n">
        <v>125</v>
      </c>
      <c r="E1954" s="31" t="inlineStr"/>
      <c r="F1954" s="31" t="inlineStr">
        <is>
          <t>Bank Interest</t>
        </is>
      </c>
      <c r="G1954" s="18" t="n">
        <v>0.93</v>
      </c>
      <c r="H1954" s="31" t="inlineStr">
        <is>
          <t>Bank Interest</t>
        </is>
      </c>
      <c r="I1954" s="31" t="inlineStr">
        <is>
          <t>AXIS</t>
        </is>
      </c>
      <c r="J1954" s="31" t="inlineStr"/>
      <c r="K1954" s="31" t="inlineStr">
        <is>
          <t>SB:915010020334307:Int.Pd:01-01-2024 to 31-03-2024</t>
        </is>
      </c>
      <c r="L1954" s="31" t="inlineStr">
        <is>
          <t>Axis Bank</t>
        </is>
      </c>
      <c r="M1954" s="31" t="inlineStr"/>
    </row>
    <row r="1955">
      <c r="A1955" s="37" t="n">
        <v>45382</v>
      </c>
      <c r="B1955" s="37" t="n">
        <v>45382</v>
      </c>
      <c r="C1955" s="38" t="n">
        <v>245</v>
      </c>
      <c r="D1955" s="38" t="n">
        <v>0</v>
      </c>
      <c r="E1955" s="38" t="inlineStr"/>
      <c r="F1955" s="38" t="inlineStr">
        <is>
          <t>Card Purchase</t>
        </is>
      </c>
      <c r="G1955" s="18" t="n">
        <v>0.88</v>
      </c>
      <c r="H1955" s="38" t="inlineStr">
        <is>
          <t>Personal</t>
        </is>
      </c>
      <c r="I1955" s="38" t="inlineStr">
        <is>
          <t>KOTAK 0333</t>
        </is>
      </c>
      <c r="J1955" s="38" t="inlineStr"/>
      <c r="K1955" s="38" t="inlineStr">
        <is>
          <t>PCD/4395/GYFTR COM/7840089543310324/20:49</t>
        </is>
      </c>
      <c r="L1955" s="38" t="inlineStr">
        <is>
          <t>Kotak Mahindra Bank</t>
        </is>
      </c>
      <c r="M1955" s="38" t="inlineStr"/>
    </row>
    <row r="1956">
      <c r="A1956" s="41" t="n">
        <v>45382</v>
      </c>
      <c r="B1956" s="41" t="n">
        <v>45382</v>
      </c>
      <c r="C1956" s="42" t="n">
        <v>335</v>
      </c>
      <c r="D1956" s="42" t="n">
        <v>0</v>
      </c>
      <c r="E1956" s="42" t="inlineStr"/>
      <c r="F1956" s="42" t="inlineStr">
        <is>
          <t>UPI - Amazon</t>
        </is>
      </c>
      <c r="G1956" s="34" t="n">
        <v>0.68</v>
      </c>
      <c r="H1956" s="42" t="inlineStr">
        <is>
          <t>Shopping</t>
        </is>
      </c>
      <c r="I1956" s="42" t="inlineStr">
        <is>
          <t>FEDERAL 0847</t>
        </is>
      </c>
      <c r="J1956" s="42" t="inlineStr"/>
      <c r="K1956" s="42" t="inlineStr">
        <is>
          <t>UPIOUT/409166803480/amazonpaygrocery@yapl/
Yo/5411</t>
        </is>
      </c>
      <c r="L1956" s="42" t="inlineStr">
        <is>
          <t>Federal Bank (Jupiter)</t>
        </is>
      </c>
      <c r="M1956" s="42" t="inlineStr"/>
    </row>
    <row r="1957">
      <c r="A1957" s="35" t="n">
        <v>45382</v>
      </c>
      <c r="B1957" s="35" t="n">
        <v>45382</v>
      </c>
      <c r="C1957" s="36" t="n">
        <v>16</v>
      </c>
      <c r="D1957" s="36" t="n">
        <v>0</v>
      </c>
      <c r="E1957" s="36" t="inlineStr"/>
      <c r="F1957" s="36" t="inlineStr">
        <is>
          <t>UPI - Paytm</t>
        </is>
      </c>
      <c r="G1957" s="34" t="n">
        <v>0.65</v>
      </c>
      <c r="H1957" s="36" t="inlineStr">
        <is>
          <t>Personal</t>
        </is>
      </c>
      <c r="I1957" s="36" t="inlineStr">
        <is>
          <t>FEDERAL 0847</t>
        </is>
      </c>
      <c r="J1957" s="36" t="inlineStr"/>
      <c r="K1957" s="36" t="inlineStr">
        <is>
          <t>UPIOUT/409187823907/paytmqr1munx5557c@payt
m//5462</t>
        </is>
      </c>
      <c r="L1957" s="36" t="inlineStr">
        <is>
          <t>Federal Bank (Jupiter)</t>
        </is>
      </c>
      <c r="M1957" s="36" t="inlineStr"/>
    </row>
    <row r="1958">
      <c r="A1958" s="35" t="n">
        <v>45382</v>
      </c>
      <c r="B1958" s="35" t="n">
        <v>45382</v>
      </c>
      <c r="C1958" s="36" t="n">
        <v>35</v>
      </c>
      <c r="D1958" s="36" t="n">
        <v>0</v>
      </c>
      <c r="E1958" s="36" t="inlineStr"/>
      <c r="F1958" s="36" t="inlineStr">
        <is>
          <t>UPI - Paytm</t>
        </is>
      </c>
      <c r="G1958" s="34" t="n">
        <v>0.65</v>
      </c>
      <c r="H1958" s="36" t="inlineStr">
        <is>
          <t>Personal</t>
        </is>
      </c>
      <c r="I1958" s="36" t="inlineStr">
        <is>
          <t>FEDERAL 0847</t>
        </is>
      </c>
      <c r="J1958" s="36" t="inlineStr"/>
      <c r="K1958" s="36" t="inlineStr">
        <is>
          <t>UPIOUT/409187786854/paytmqr281005050101z94
56/5411</t>
        </is>
      </c>
      <c r="L1958" s="36" t="inlineStr">
        <is>
          <t>Federal Bank (Jupiter)</t>
        </is>
      </c>
      <c r="M1958" s="36" t="inlineStr"/>
    </row>
    <row r="1959">
      <c r="A1959" s="103" t="n">
        <v>45382</v>
      </c>
      <c r="B1959" s="103" t="n">
        <v>45382</v>
      </c>
      <c r="C1959" s="104" t="n">
        <v>593</v>
      </c>
      <c r="D1959" s="104" t="n">
        <v>0</v>
      </c>
      <c r="E1959" s="104" t="inlineStr"/>
      <c r="F1959" s="104" t="inlineStr">
        <is>
          <t>UPI - Blinkit</t>
        </is>
      </c>
      <c r="G1959" s="34" t="n">
        <v>0.68</v>
      </c>
      <c r="H1959" s="104" t="inlineStr">
        <is>
          <t>Groceries</t>
        </is>
      </c>
      <c r="I1959" s="104" t="inlineStr">
        <is>
          <t>FEDERAL 0847</t>
        </is>
      </c>
      <c r="J1959" s="104" t="inlineStr"/>
      <c r="K1959" s="104" t="inlineStr">
        <is>
          <t>UPIOUT/409145904712/grofersindiaprivatelim
it/5411</t>
        </is>
      </c>
      <c r="L1959" s="104" t="inlineStr">
        <is>
          <t>Federal Bank (Jupiter)</t>
        </is>
      </c>
      <c r="M1959" s="104" t="inlineStr"/>
    </row>
    <row r="1960">
      <c r="A1960" s="37" t="n">
        <v>45382</v>
      </c>
      <c r="B1960" s="37" t="n">
        <v>45382</v>
      </c>
      <c r="C1960" s="38" t="n">
        <v>30</v>
      </c>
      <c r="D1960" s="38" t="n">
        <v>0</v>
      </c>
      <c r="E1960" s="38" t="inlineStr"/>
      <c r="F1960" s="38" t="inlineStr">
        <is>
          <t>UPI Payment</t>
        </is>
      </c>
      <c r="G1960" s="25" t="n">
        <v>0.55</v>
      </c>
      <c r="H1960" s="38" t="inlineStr">
        <is>
          <t>Personal</t>
        </is>
      </c>
      <c r="I1960" s="38" t="inlineStr">
        <is>
          <t>FEDERAL 0847</t>
        </is>
      </c>
      <c r="J1960" s="38" t="inlineStr"/>
      <c r="K1960" s="38" t="inlineStr">
        <is>
          <t>UPIOUT/409184122243/Q328371456@ybl/Sent
via /5812</t>
        </is>
      </c>
      <c r="L1960" s="38" t="inlineStr">
        <is>
          <t>Federal Bank (Jupiter)</t>
        </is>
      </c>
      <c r="M1960" s="38" t="inlineStr"/>
    </row>
    <row r="1961">
      <c r="A1961" s="37" t="n">
        <v>45382</v>
      </c>
      <c r="B1961" s="37" t="n">
        <v>45382</v>
      </c>
      <c r="C1961" s="38" t="n">
        <v>80</v>
      </c>
      <c r="D1961" s="38" t="n">
        <v>0</v>
      </c>
      <c r="E1961" s="38" t="inlineStr"/>
      <c r="F1961" s="38" t="inlineStr">
        <is>
          <t>UPI Payment</t>
        </is>
      </c>
      <c r="G1961" s="25" t="n">
        <v>0.55</v>
      </c>
      <c r="H1961" s="38" t="inlineStr">
        <is>
          <t>Personal</t>
        </is>
      </c>
      <c r="I1961" s="38" t="inlineStr">
        <is>
          <t>FEDERAL 0847</t>
        </is>
      </c>
      <c r="J1961" s="38" t="inlineStr"/>
      <c r="K1961" s="38" t="inlineStr">
        <is>
          <t>UPIOUT/409184031557/Q502213842@ybl/Sent
via /5814</t>
        </is>
      </c>
      <c r="L1961" s="38" t="inlineStr">
        <is>
          <t>Federal Bank (Jupiter)</t>
        </is>
      </c>
      <c r="M1961" s="38" t="inlineStr"/>
    </row>
    <row r="1962">
      <c r="A1962" s="76" t="n">
        <v>45382</v>
      </c>
      <c r="B1962" s="76" t="n">
        <v>45382</v>
      </c>
      <c r="C1962" s="77" t="n">
        <v>15000</v>
      </c>
      <c r="D1962" s="77" t="n">
        <v>0</v>
      </c>
      <c r="E1962" s="77" t="inlineStr"/>
      <c r="F1962" s="77" t="inlineStr">
        <is>
          <t>Advance Tax</t>
        </is>
      </c>
      <c r="G1962" s="18" t="n">
        <v>0.92</v>
      </c>
      <c r="H1962" s="77" t="inlineStr">
        <is>
          <t>Advance Tax</t>
        </is>
      </c>
      <c r="I1962" s="77" t="inlineStr">
        <is>
          <t>HDFC 5413</t>
        </is>
      </c>
      <c r="J1962" s="77" t="inlineStr"/>
      <c r="K1962" s="77" t="inlineStr">
        <is>
          <t>CBDT/BANK REFERENCE NO:N2409116805977/CIN NO:24033100292539HDFC/ONLINE</t>
        </is>
      </c>
      <c r="L1962" s="77" t="inlineStr">
        <is>
          <t>HDFC Bank</t>
        </is>
      </c>
      <c r="M1962" s="77" t="inlineStr"/>
    </row>
    <row r="1963">
      <c r="A1963" s="30" t="n">
        <v>45383</v>
      </c>
      <c r="B1963" s="30" t="n">
        <v>45382</v>
      </c>
      <c r="C1963" s="31" t="n">
        <v>0</v>
      </c>
      <c r="D1963" s="31" t="n">
        <v>394</v>
      </c>
      <c r="E1963" s="31" t="inlineStr"/>
      <c r="F1963" s="31" t="inlineStr">
        <is>
          <t>Bank Interest</t>
        </is>
      </c>
      <c r="G1963" s="18" t="n">
        <v>0.95</v>
      </c>
      <c r="H1963" s="31" t="inlineStr">
        <is>
          <t>Bank Interest</t>
        </is>
      </c>
      <c r="I1963" s="31" t="inlineStr">
        <is>
          <t>HDFC 5413</t>
        </is>
      </c>
      <c r="J1963" s="31" t="inlineStr"/>
      <c r="K1963" s="31" t="inlineStr">
        <is>
          <t>CREDIT INTEREST CAPITALISED</t>
        </is>
      </c>
      <c r="L1963" s="31" t="inlineStr">
        <is>
          <t>HDFC Bank</t>
        </is>
      </c>
      <c r="M1963" s="31" t="inlineStr"/>
    </row>
    <row r="1964">
      <c r="A1964" s="30" t="n">
        <v>45383</v>
      </c>
      <c r="B1964" s="30" t="n">
        <v>45382</v>
      </c>
      <c r="C1964" s="31" t="n">
        <v>0</v>
      </c>
      <c r="D1964" s="31" t="n">
        <v>21</v>
      </c>
      <c r="E1964" s="31" t="inlineStr"/>
      <c r="F1964" s="31" t="inlineStr">
        <is>
          <t>Bank Interest</t>
        </is>
      </c>
      <c r="G1964" s="18" t="n">
        <v>0.95</v>
      </c>
      <c r="H1964" s="31" t="inlineStr">
        <is>
          <t>Bank Interest</t>
        </is>
      </c>
      <c r="I1964" s="31" t="inlineStr">
        <is>
          <t>KOTAK 0333</t>
        </is>
      </c>
      <c r="J1964" s="31" t="inlineStr"/>
      <c r="K1964" s="31" t="inlineStr">
        <is>
          <t>Int.Pd:3649610333:01-01-2024 to 31-03-2024</t>
        </is>
      </c>
      <c r="L1964" s="31" t="inlineStr">
        <is>
          <t>Kotak Mahindra Bank</t>
        </is>
      </c>
      <c r="M1964" s="31" t="inlineStr"/>
    </row>
  </sheetData>
  <autoFilter ref="A1:M196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96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hidden="1" width="16" customWidth="1" min="1" max="1"/>
    <col width="50" customWidth="1" min="2" max="2"/>
    <col hidden="1" width="20" customWidth="1" min="3" max="3"/>
    <col width="14" customWidth="1" min="4" max="4"/>
    <col width="14" customWidth="1" min="5" max="5"/>
    <col hidden="1" width="14" customWidth="1" min="6" max="6"/>
    <col width="22" customWidth="1" min="7" max="7"/>
    <col width="14" customWidth="1" min="8" max="8"/>
  </cols>
  <sheetData>
    <row r="1">
      <c r="A1" s="111" t="inlineStr">
        <is>
          <t>Aayush Kumar Gupta</t>
        </is>
      </c>
    </row>
    <row r="2">
      <c r="A2" s="112" t="inlineStr">
        <is>
          <t>Account of Statements from 01-Apr-2023 to 01-Apr-2024</t>
        </is>
      </c>
      <c r="D2">
        <f>SUM(D5:D1967)</f>
        <v/>
      </c>
      <c r="E2">
        <f>SUM(E5:E1967)</f>
        <v/>
      </c>
      <c r="F2">
        <f>E2-D2</f>
        <v/>
      </c>
    </row>
    <row r="4">
      <c r="A4" s="15" t="inlineStr">
        <is>
          <t>TX Date</t>
        </is>
      </c>
      <c r="B4" s="15" t="inlineStr">
        <is>
          <t>Particulars</t>
        </is>
      </c>
      <c r="C4" s="15" t="inlineStr">
        <is>
          <t>Ref</t>
        </is>
      </c>
      <c r="D4" s="15" t="inlineStr">
        <is>
          <t>DR</t>
        </is>
      </c>
      <c r="E4" s="15" t="inlineStr">
        <is>
          <t>CR</t>
        </is>
      </c>
      <c r="F4" s="15" t="inlineStr">
        <is>
          <t>Balance</t>
        </is>
      </c>
      <c r="G4" s="15" t="inlineStr">
        <is>
          <t>Account Head</t>
        </is>
      </c>
      <c r="H4" s="15" t="inlineStr">
        <is>
          <t>Account No</t>
        </is>
      </c>
    </row>
    <row r="5">
      <c r="A5" s="113" t="n">
        <v>45017</v>
      </c>
      <c r="B5" s="114" t="inlineStr">
        <is>
          <t xml:space="preserve">   BY TRANSFER-UPI/CR/309169418415/AYUSHI M/PUNB/nainamitta/UPI--</t>
        </is>
      </c>
      <c r="C5" s="114" t="inlineStr">
        <is>
          <t>TRANSFER FROM 4693130162091</t>
        </is>
      </c>
      <c r="D5" s="114" t="n">
        <v>0</v>
      </c>
      <c r="E5" s="114" t="n">
        <v>95</v>
      </c>
      <c r="F5" s="114" t="n">
        <v>124490.27</v>
      </c>
      <c r="G5" s="114" t="inlineStr">
        <is>
          <t>Personal</t>
        </is>
      </c>
      <c r="H5" s="114" t="inlineStr">
        <is>
          <t>SBI 1227</t>
        </is>
      </c>
    </row>
    <row r="6">
      <c r="A6" s="113" t="n">
        <v>45017</v>
      </c>
      <c r="B6" s="114" t="inlineStr">
        <is>
          <t xml:space="preserve">   TO TRANSFER-UPI/DR/309140926569/BANANA L/HDFC/bananaleaf/UPI--</t>
        </is>
      </c>
      <c r="C6" s="114" t="inlineStr">
        <is>
          <t>TRANSFER TO 4692478162093</t>
        </is>
      </c>
      <c r="D6" s="114" t="n">
        <v>70</v>
      </c>
      <c r="E6" s="114" t="n">
        <v>0</v>
      </c>
      <c r="F6" s="114" t="n">
        <v>124420.27</v>
      </c>
      <c r="G6" s="114" t="inlineStr">
        <is>
          <t>Personal</t>
        </is>
      </c>
      <c r="H6" s="114" t="inlineStr">
        <is>
          <t>SBI 1227</t>
        </is>
      </c>
    </row>
    <row r="7">
      <c r="A7" s="113" t="n">
        <v>45017</v>
      </c>
      <c r="B7" s="114" t="inlineStr">
        <is>
          <t>NEFT DR-UTIB0002656-AAYUSH KUMAR GUPTA-NETBANK, MUM-N091232397833081-TRANSFER FROM HDFC</t>
        </is>
      </c>
      <c r="C7" s="114" t="inlineStr">
        <is>
          <t>N091232397833081</t>
        </is>
      </c>
      <c r="D7" s="114" t="n">
        <v>50000</v>
      </c>
      <c r="E7" s="114" t="n">
        <v>0</v>
      </c>
      <c r="F7" s="114" t="n">
        <v>33618.17</v>
      </c>
      <c r="G7" s="114" t="inlineStr">
        <is>
          <t>AXIS</t>
        </is>
      </c>
      <c r="H7" s="114" t="inlineStr">
        <is>
          <t>HDFC 5413</t>
        </is>
      </c>
    </row>
    <row r="8">
      <c r="A8" s="113" t="n">
        <v>45018</v>
      </c>
      <c r="B8" s="114" t="inlineStr">
        <is>
          <t>NEFT/N091232397833081/AAYUSH KU/HDFC BANK/Transfe</t>
        </is>
      </c>
      <c r="C8" s="114" t="inlineStr">
        <is>
          <t>-</t>
        </is>
      </c>
      <c r="D8" s="114" t="n">
        <v>0</v>
      </c>
      <c r="E8" s="114" t="n">
        <v>50000</v>
      </c>
      <c r="F8" s="114" t="n">
        <v>75508.67999999999</v>
      </c>
      <c r="G8" s="114" t="inlineStr">
        <is>
          <t>HDFC 5413</t>
        </is>
      </c>
      <c r="H8" s="114" t="inlineStr">
        <is>
          <t>AXIS</t>
        </is>
      </c>
    </row>
    <row r="9">
      <c r="A9" s="113" t="n">
        <v>45018</v>
      </c>
      <c r="B9" s="114" t="inlineStr">
        <is>
          <t xml:space="preserve">   TO TRANSFER-UPI/DR/309276354517/LUCKY DH/YESB/q57871899@/UPI--</t>
        </is>
      </c>
      <c r="C9" s="114" t="inlineStr">
        <is>
          <t>TRANSFER TO 5098091162092</t>
        </is>
      </c>
      <c r="D9" s="114" t="n">
        <v>90</v>
      </c>
      <c r="E9" s="114" t="n">
        <v>0</v>
      </c>
      <c r="F9" s="114" t="n">
        <v>124330.27</v>
      </c>
      <c r="G9" s="114" t="inlineStr">
        <is>
          <t>Personal</t>
        </is>
      </c>
      <c r="H9" s="114" t="inlineStr">
        <is>
          <t>SBI 1227</t>
        </is>
      </c>
    </row>
    <row r="10">
      <c r="A10" s="113" t="n">
        <v>45018</v>
      </c>
      <c r="B10" s="114" t="inlineStr">
        <is>
          <t xml:space="preserve">   BY TRANSFER-UPI/CR/309286549772/PRASHANT/HDFC/pkaps1997@/UPI--</t>
        </is>
      </c>
      <c r="C10" s="114" t="inlineStr">
        <is>
          <t>TRANSFER FROM 4695271162095</t>
        </is>
      </c>
      <c r="D10" s="114" t="n">
        <v>0</v>
      </c>
      <c r="E10" s="114" t="n">
        <v>30</v>
      </c>
      <c r="F10" s="114" t="n">
        <v>124360.27</v>
      </c>
      <c r="G10" s="114" t="inlineStr">
        <is>
          <t>Personal</t>
        </is>
      </c>
      <c r="H10" s="114" t="inlineStr">
        <is>
          <t>SBI 1227</t>
        </is>
      </c>
    </row>
    <row r="11">
      <c r="A11" s="113" t="n">
        <v>45018</v>
      </c>
      <c r="B11" s="114" t="inlineStr">
        <is>
          <t xml:space="preserve">   TO TRANSFER-UPI/DR/309274214572/PRATYAY /SBIN/7073096110/NA--</t>
        </is>
      </c>
      <c r="C11" s="114" t="inlineStr">
        <is>
          <t>TRANSFER TO 5098127162096</t>
        </is>
      </c>
      <c r="D11" s="114" t="n">
        <v>210</v>
      </c>
      <c r="E11" s="114" t="n">
        <v>0</v>
      </c>
      <c r="F11" s="114" t="n">
        <v>124150.27</v>
      </c>
      <c r="G11" s="114" t="inlineStr">
        <is>
          <t>Personal</t>
        </is>
      </c>
      <c r="H11" s="114" t="inlineStr">
        <is>
          <t>SBI 1227</t>
        </is>
      </c>
    </row>
    <row r="12">
      <c r="A12" s="113" t="n">
        <v>45018</v>
      </c>
      <c r="B12" s="114" t="inlineStr">
        <is>
          <t xml:space="preserve">   TO TRANSFER-UPI/DR/345885628443/WWW VODA/HDFC/vodafone1./UPI--</t>
        </is>
      </c>
      <c r="C12" s="114" t="inlineStr">
        <is>
          <t>TRANSFER TO 5098093162090</t>
        </is>
      </c>
      <c r="D12" s="114" t="n">
        <v>459</v>
      </c>
      <c r="E12" s="114" t="n">
        <v>0</v>
      </c>
      <c r="F12" s="114" t="n">
        <v>123691.27</v>
      </c>
      <c r="G12" s="114" t="inlineStr">
        <is>
          <t>Personal</t>
        </is>
      </c>
      <c r="H12" s="114" t="inlineStr">
        <is>
          <t>SBI 1227</t>
        </is>
      </c>
    </row>
    <row r="13">
      <c r="A13" s="113" t="n">
        <v>45018</v>
      </c>
      <c r="B13" s="114" t="inlineStr">
        <is>
          <t xml:space="preserve">   TO TRANSFER-UPI/DR/309277368845/KUNAL BH/HDFC/kunalbhard/UPI--</t>
        </is>
      </c>
      <c r="C13" s="114" t="inlineStr">
        <is>
          <t>TRANSFER TO 5099812162090</t>
        </is>
      </c>
      <c r="D13" s="114" t="n">
        <v>71</v>
      </c>
      <c r="E13" s="114" t="n">
        <v>0</v>
      </c>
      <c r="F13" s="114" t="n">
        <v>123620.27</v>
      </c>
      <c r="G13" s="114" t="inlineStr">
        <is>
          <t>Personal</t>
        </is>
      </c>
      <c r="H13" s="114" t="inlineStr">
        <is>
          <t>SBI 1227</t>
        </is>
      </c>
    </row>
    <row r="14">
      <c r="A14" s="113" t="n">
        <v>45019</v>
      </c>
      <c r="B14" s="114" t="inlineStr">
        <is>
          <t>NET PO FROM HSL A/C 2554606-00602340029427</t>
        </is>
      </c>
      <c r="C14" s="114" t="inlineStr">
        <is>
          <t>0000000399979610</t>
        </is>
      </c>
      <c r="D14" s="114" t="n">
        <v>0</v>
      </c>
      <c r="E14" s="114" t="n">
        <v>4287.59</v>
      </c>
      <c r="F14" s="114" t="n">
        <v>95517.25</v>
      </c>
      <c r="G14" s="114" t="inlineStr">
        <is>
          <t>HDFC Securities</t>
        </is>
      </c>
      <c r="H14" s="114" t="inlineStr">
        <is>
          <t>HDFC 5413</t>
        </is>
      </c>
    </row>
    <row r="15">
      <c r="A15" s="113" t="n">
        <v>45019</v>
      </c>
      <c r="B15" s="114" t="inlineStr">
        <is>
          <t>NEFT CR-UTIB0000115-JINDAL SAW LIMITED-AAYUSH KUMAR GUPTA-AXISCN0231261220</t>
        </is>
      </c>
      <c r="C15" s="114" t="inlineStr">
        <is>
          <t>AXISCN0231261220</t>
        </is>
      </c>
      <c r="D15" s="114" t="n">
        <v>0</v>
      </c>
      <c r="E15" s="114" t="n">
        <v>57999</v>
      </c>
      <c r="F15" s="114" t="n">
        <v>91617.17</v>
      </c>
      <c r="G15" s="114" t="inlineStr">
        <is>
          <t>AXIS</t>
        </is>
      </c>
      <c r="H15" s="114" t="inlineStr">
        <is>
          <t>HDFC 5413</t>
        </is>
      </c>
    </row>
    <row r="16">
      <c r="A16" s="113" t="n">
        <v>45019</v>
      </c>
      <c r="B16" s="114" t="inlineStr">
        <is>
          <t>NET PI TO HSL SEC A/C 2554606-00602340029427</t>
        </is>
      </c>
      <c r="C16" s="114" t="inlineStr">
        <is>
          <t>0000000399867464</t>
        </is>
      </c>
      <c r="D16" s="114" t="n">
        <v>387.51</v>
      </c>
      <c r="E16" s="114" t="n">
        <v>0</v>
      </c>
      <c r="F16" s="114" t="n">
        <v>91229.66</v>
      </c>
      <c r="G16" s="114" t="inlineStr">
        <is>
          <t>HDFC Securities</t>
        </is>
      </c>
      <c r="H16" s="114" t="inlineStr">
        <is>
          <t>HDFC 5413</t>
        </is>
      </c>
    </row>
    <row r="17">
      <c r="A17" s="113" t="n">
        <v>45019</v>
      </c>
      <c r="B17" s="114" t="inlineStr">
        <is>
          <t xml:space="preserve">   TO TRANSFER-UPI/DR/345945568018/Zerodha /HDFC/zerodhabro/08956--</t>
        </is>
      </c>
      <c r="C17" s="114" t="inlineStr">
        <is>
          <t>TRANSFER TO 4695788162098</t>
        </is>
      </c>
      <c r="D17" s="114" t="n">
        <v>5000</v>
      </c>
      <c r="E17" s="114" t="n">
        <v>0</v>
      </c>
      <c r="F17" s="114" t="n">
        <v>118620.27</v>
      </c>
      <c r="G17" s="114" t="inlineStr">
        <is>
          <t>Zerodha Broking Limited</t>
        </is>
      </c>
      <c r="H17" s="114" t="inlineStr">
        <is>
          <t>SBI 1227</t>
        </is>
      </c>
    </row>
    <row r="18">
      <c r="A18" s="113" t="n">
        <v>45020</v>
      </c>
      <c r="B18" s="114" t="inlineStr">
        <is>
          <t xml:space="preserve">   TO TRANSFER-UPI/DR/346087812550/SEVEN SP/PYTM/paytmqr281/UPI--</t>
        </is>
      </c>
      <c r="C18" s="114" t="inlineStr">
        <is>
          <t>TRANSFER TO 5097617162098</t>
        </is>
      </c>
      <c r="D18" s="114" t="n">
        <v>30</v>
      </c>
      <c r="E18" s="114" t="n">
        <v>0</v>
      </c>
      <c r="F18" s="114" t="n">
        <v>118340.27</v>
      </c>
      <c r="G18" s="114" t="inlineStr">
        <is>
          <t>Personal</t>
        </is>
      </c>
      <c r="H18" s="114" t="inlineStr">
        <is>
          <t>SBI 1227</t>
        </is>
      </c>
    </row>
    <row r="19">
      <c r="A19" s="113" t="n">
        <v>45020</v>
      </c>
      <c r="B19" s="114" t="inlineStr">
        <is>
          <t xml:space="preserve">   TO TRANSFER-UPI/DR/309414339465/SEVEN SP/PYTM/paytmqr281/UPI--</t>
        </is>
      </c>
      <c r="C19" s="114" t="inlineStr">
        <is>
          <t>TRANSFER TO 5097637162094</t>
        </is>
      </c>
      <c r="D19" s="114" t="n">
        <v>250</v>
      </c>
      <c r="E19" s="114" t="n">
        <v>0</v>
      </c>
      <c r="F19" s="114" t="n">
        <v>118370.27</v>
      </c>
      <c r="G19" s="114" t="inlineStr">
        <is>
          <t>Personal</t>
        </is>
      </c>
      <c r="H19" s="114" t="inlineStr">
        <is>
          <t>SBI 1227</t>
        </is>
      </c>
    </row>
    <row r="20">
      <c r="A20" s="113" t="n">
        <v>45021</v>
      </c>
      <c r="B20" s="114" t="inlineStr">
        <is>
          <t>NET PI TO HSL SEC A/C 2554606-00602340029427</t>
        </is>
      </c>
      <c r="C20" s="114" t="inlineStr">
        <is>
          <t>0000000400386064</t>
        </is>
      </c>
      <c r="D20" s="114" t="n">
        <v>21810.69</v>
      </c>
      <c r="E20" s="114" t="n">
        <v>0</v>
      </c>
      <c r="F20" s="114" t="n">
        <v>73706.56</v>
      </c>
      <c r="G20" s="114" t="inlineStr">
        <is>
          <t>HDFC Securities</t>
        </is>
      </c>
      <c r="H20" s="114" t="inlineStr">
        <is>
          <t>HDFC 5413</t>
        </is>
      </c>
    </row>
    <row r="21">
      <c r="A21" s="113" t="n">
        <v>45021</v>
      </c>
      <c r="B21" s="114" t="inlineStr">
        <is>
          <t xml:space="preserve">   TO TRANSFER-UPI/DR/309564429050/BANANA L/HDFC/bananaleaf/UPI--</t>
        </is>
      </c>
      <c r="C21" s="114" t="inlineStr">
        <is>
          <t>TRANSFER TO 4692551162099</t>
        </is>
      </c>
      <c r="D21" s="114" t="n">
        <v>70</v>
      </c>
      <c r="E21" s="114" t="n">
        <v>0</v>
      </c>
      <c r="F21" s="114" t="n">
        <v>118270.27</v>
      </c>
      <c r="G21" s="114" t="inlineStr">
        <is>
          <t>Personal</t>
        </is>
      </c>
      <c r="H21" s="114" t="inlineStr">
        <is>
          <t>SBI 1227</t>
        </is>
      </c>
    </row>
    <row r="22">
      <c r="A22" s="113" t="n">
        <v>45022</v>
      </c>
      <c r="B22" s="114" t="inlineStr">
        <is>
          <t xml:space="preserve">   TO TRANSFER-UPI/DR/309682616023/Mr  AADA/YESB/q423863729/UPI--</t>
        </is>
      </c>
      <c r="C22" s="114" t="inlineStr">
        <is>
          <t>TRANSFER TO 5097803162095</t>
        </is>
      </c>
      <c r="D22" s="114" t="n">
        <v>104</v>
      </c>
      <c r="E22" s="114" t="n">
        <v>0</v>
      </c>
      <c r="F22" s="114" t="n">
        <v>118166.27</v>
      </c>
      <c r="G22" s="114" t="inlineStr">
        <is>
          <t>Personal</t>
        </is>
      </c>
      <c r="H22" s="114" t="inlineStr">
        <is>
          <t>SBI 1227</t>
        </is>
      </c>
    </row>
    <row r="23">
      <c r="A23" s="113" t="n">
        <v>45022</v>
      </c>
      <c r="B23" s="114" t="inlineStr">
        <is>
          <t xml:space="preserve">   TO TRANSFER-UPI/DR/309673159840/Swiggy/UTIB/swiggyupi@/Swiggy--</t>
        </is>
      </c>
      <c r="C23" s="114" t="inlineStr">
        <is>
          <t>TRANSFER TO 5097808162090</t>
        </is>
      </c>
      <c r="D23" s="114" t="n">
        <v>306</v>
      </c>
      <c r="E23" s="114" t="n">
        <v>0</v>
      </c>
      <c r="F23" s="114" t="n">
        <v>117860.27</v>
      </c>
      <c r="G23" s="114" t="inlineStr">
        <is>
          <t>Food &amp; Dining</t>
        </is>
      </c>
      <c r="H23" s="114" t="inlineStr">
        <is>
          <t>SBI 1227</t>
        </is>
      </c>
    </row>
    <row r="24">
      <c r="A24" s="113" t="n">
        <v>45022</v>
      </c>
      <c r="B24" s="114" t="inlineStr">
        <is>
          <t>NET PI TO HSL SEC A/C 2554606-00602340029427</t>
        </is>
      </c>
      <c r="C24" s="114" t="inlineStr">
        <is>
          <t>0000000400620092</t>
        </is>
      </c>
      <c r="D24" s="114" t="n">
        <v>115.7</v>
      </c>
      <c r="E24" s="114" t="n">
        <v>0</v>
      </c>
      <c r="F24" s="114" t="n">
        <v>73590.86</v>
      </c>
      <c r="G24" s="114" t="inlineStr">
        <is>
          <t>HDFC Securities</t>
        </is>
      </c>
      <c r="H24" s="114" t="inlineStr">
        <is>
          <t>HDFC 5413</t>
        </is>
      </c>
    </row>
    <row r="25">
      <c r="A25" s="113" t="n">
        <v>45022</v>
      </c>
      <c r="B25" s="114" t="inlineStr">
        <is>
          <t>NET PO FROM HSL A/C 2554606-00602340029427</t>
        </is>
      </c>
      <c r="C25" s="114" t="inlineStr">
        <is>
          <t>0000000400730659</t>
        </is>
      </c>
      <c r="D25" s="114" t="n">
        <v>0</v>
      </c>
      <c r="E25" s="114" t="n">
        <v>1699.23</v>
      </c>
      <c r="F25" s="114" t="n">
        <v>75290.09</v>
      </c>
      <c r="G25" s="114" t="inlineStr">
        <is>
          <t>HDFC Securities</t>
        </is>
      </c>
      <c r="H25" s="114" t="inlineStr">
        <is>
          <t>HDFC 5413</t>
        </is>
      </c>
    </row>
    <row r="26">
      <c r="A26" s="113" t="n">
        <v>45023</v>
      </c>
      <c r="B26" s="114" t="inlineStr">
        <is>
          <t>00602300000434-021333684</t>
        </is>
      </c>
      <c r="C26" s="114" t="inlineStr">
        <is>
          <t>0000304077582285</t>
        </is>
      </c>
      <c r="D26" s="114" t="n">
        <v>0</v>
      </c>
      <c r="E26" s="114" t="n">
        <v>1880</v>
      </c>
      <c r="F26" s="114" t="n">
        <v>77170.09</v>
      </c>
      <c r="G26" s="114" t="inlineStr">
        <is>
          <t>Suspense</t>
        </is>
      </c>
      <c r="H26" s="114" t="inlineStr">
        <is>
          <t>HDFC 5413</t>
        </is>
      </c>
    </row>
    <row r="27">
      <c r="A27" s="113" t="n">
        <v>45023</v>
      </c>
      <c r="B27" s="114" t="inlineStr">
        <is>
          <t xml:space="preserve">   TO TRANSFER-UPI/DR/309789705434/IRCTC CF/HDFC/irctc.cf@h/IRCTC--</t>
        </is>
      </c>
      <c r="C27" s="114" t="inlineStr">
        <is>
          <t>TRANSFER TO 4696934162097</t>
        </is>
      </c>
      <c r="D27" s="114" t="n">
        <v>902.15</v>
      </c>
      <c r="E27" s="114" t="n">
        <v>0</v>
      </c>
      <c r="F27" s="114" t="n">
        <v>115509.17</v>
      </c>
      <c r="G27" s="114" t="inlineStr">
        <is>
          <t>Travel</t>
        </is>
      </c>
      <c r="H27" s="114" t="inlineStr">
        <is>
          <t>SBI 1227</t>
        </is>
      </c>
    </row>
    <row r="28">
      <c r="A28" s="113" t="n">
        <v>45023</v>
      </c>
      <c r="B28" s="114" t="inlineStr">
        <is>
          <t xml:space="preserve">   TO TRANSFER-UPI/DR/309732235881/BANANA L/HDFC/bananaleaf/UPI--</t>
        </is>
      </c>
      <c r="C28" s="114" t="inlineStr">
        <is>
          <t>TRANSFER TO 4692597162096</t>
        </is>
      </c>
      <c r="D28" s="114" t="n">
        <v>110</v>
      </c>
      <c r="E28" s="114" t="n">
        <v>0</v>
      </c>
      <c r="F28" s="114" t="n">
        <v>114777.02</v>
      </c>
      <c r="G28" s="114" t="inlineStr">
        <is>
          <t>Personal</t>
        </is>
      </c>
      <c r="H28" s="114" t="inlineStr">
        <is>
          <t>SBI 1227</t>
        </is>
      </c>
    </row>
    <row r="29">
      <c r="A29" s="113" t="n">
        <v>45023</v>
      </c>
      <c r="B29" s="114" t="inlineStr">
        <is>
          <t xml:space="preserve">   TO TRANSFER-UPI/DR/309790935099/IRCTC CF/HDFC/irctc.cf@h/IRCTC--</t>
        </is>
      </c>
      <c r="C29" s="114" t="inlineStr">
        <is>
          <t>TRANSFER TO 4696185162096</t>
        </is>
      </c>
      <c r="D29" s="114" t="n">
        <v>602.15</v>
      </c>
      <c r="E29" s="114" t="n">
        <v>0</v>
      </c>
      <c r="F29" s="114" t="n">
        <v>114887.02</v>
      </c>
      <c r="G29" s="114" t="inlineStr">
        <is>
          <t>Travel</t>
        </is>
      </c>
      <c r="H29" s="114" t="inlineStr">
        <is>
          <t>SBI 1227</t>
        </is>
      </c>
    </row>
    <row r="30">
      <c r="A30" s="113" t="n">
        <v>45023</v>
      </c>
      <c r="B30" s="114" t="inlineStr">
        <is>
          <t xml:space="preserve">   TO TRANSFER-UPI/DR/309720030395/Mr  AADA/YESB/q143041833/UPI--</t>
        </is>
      </c>
      <c r="C30" s="114" t="inlineStr">
        <is>
          <t>TRANSFER TO 4696933162098</t>
        </is>
      </c>
      <c r="D30" s="114" t="n">
        <v>20</v>
      </c>
      <c r="E30" s="114" t="n">
        <v>0</v>
      </c>
      <c r="F30" s="114" t="n">
        <v>115489.17</v>
      </c>
      <c r="G30" s="114" t="inlineStr">
        <is>
          <t>Personal</t>
        </is>
      </c>
      <c r="H30" s="114" t="inlineStr">
        <is>
          <t>SBI 1227</t>
        </is>
      </c>
    </row>
    <row r="31">
      <c r="A31" s="113" t="n">
        <v>45023</v>
      </c>
      <c r="B31" s="114" t="inlineStr">
        <is>
          <t xml:space="preserve">   TO TRANSFER-UPI/DR/309789529764/IRCTC CF/HDFC/irctc.cf@h/IRCTC--</t>
        </is>
      </c>
      <c r="C31" s="114" t="inlineStr">
        <is>
          <t>TRANSFER TO 4692595162098</t>
        </is>
      </c>
      <c r="D31" s="114" t="n">
        <v>1448.95</v>
      </c>
      <c r="E31" s="114" t="n">
        <v>0</v>
      </c>
      <c r="F31" s="114" t="n">
        <v>116411.32</v>
      </c>
      <c r="G31" s="114" t="inlineStr">
        <is>
          <t>Travel</t>
        </is>
      </c>
      <c r="H31" s="114" t="inlineStr">
        <is>
          <t>SBI 1227</t>
        </is>
      </c>
    </row>
    <row r="32">
      <c r="A32" s="113" t="n">
        <v>45024</v>
      </c>
      <c r="B32" s="114" t="inlineStr">
        <is>
          <t xml:space="preserve">   TO TRANSFER-UPI/DR/309870836173/SEVEN SP/PYTM/paytmqr281/UPI--</t>
        </is>
      </c>
      <c r="C32" s="114" t="inlineStr">
        <is>
          <t>TRANSFER TO 5098011162097</t>
        </is>
      </c>
      <c r="D32" s="114" t="n">
        <v>60</v>
      </c>
      <c r="E32" s="114" t="n">
        <v>0</v>
      </c>
      <c r="F32" s="114" t="n">
        <v>114677.02</v>
      </c>
      <c r="G32" s="114" t="inlineStr">
        <is>
          <t>Personal</t>
        </is>
      </c>
      <c r="H32" s="114" t="inlineStr">
        <is>
          <t>SBI 1227</t>
        </is>
      </c>
    </row>
    <row r="33">
      <c r="A33" s="113" t="n">
        <v>45024</v>
      </c>
      <c r="B33" s="114" t="inlineStr">
        <is>
          <t xml:space="preserve">   TO TRANSFER-UPI/DR/309845925383/Mr  AADA/YESB/q143041833/UPI--</t>
        </is>
      </c>
      <c r="C33" s="114" t="inlineStr">
        <is>
          <t>TRANSFER TO 4696969162097</t>
        </is>
      </c>
      <c r="D33" s="114" t="n">
        <v>40</v>
      </c>
      <c r="E33" s="114" t="n">
        <v>0</v>
      </c>
      <c r="F33" s="114" t="n">
        <v>114737.02</v>
      </c>
      <c r="G33" s="114" t="inlineStr">
        <is>
          <t>Personal</t>
        </is>
      </c>
      <c r="H33" s="114" t="inlineStr">
        <is>
          <t>SBI 1227</t>
        </is>
      </c>
    </row>
    <row r="34">
      <c r="A34" s="113" t="n">
        <v>45024</v>
      </c>
      <c r="B34" s="114" t="inlineStr">
        <is>
          <t xml:space="preserve">   TO TRANSFER-UPI/DR/309864621113/AJAY GUPTA/HDFC/slietajayg/UPI--</t>
        </is>
      </c>
      <c r="C34" s="114" t="inlineStr">
        <is>
          <t>TRANSFER TO 4694315162096</t>
        </is>
      </c>
      <c r="D34" s="114" t="n">
        <v>100</v>
      </c>
      <c r="E34" s="114" t="n">
        <v>0</v>
      </c>
      <c r="F34" s="114" t="n">
        <v>114445.02</v>
      </c>
      <c r="G34" s="114" t="inlineStr">
        <is>
          <t>Ajay Gupta</t>
        </is>
      </c>
      <c r="H34" s="114" t="inlineStr">
        <is>
          <t>SBI 1227</t>
        </is>
      </c>
    </row>
    <row r="35">
      <c r="A35" s="113" t="n">
        <v>45024</v>
      </c>
      <c r="B35" s="114" t="inlineStr">
        <is>
          <t xml:space="preserve">   TO TRANSFER-UPI/DR/309861185569/Raj  Rani/SBIN/lalsinghla/UPI--</t>
        </is>
      </c>
      <c r="C35" s="114" t="inlineStr">
        <is>
          <t>TRANSFER TO 4694361162091</t>
        </is>
      </c>
      <c r="D35" s="114" t="n">
        <v>132</v>
      </c>
      <c r="E35" s="114" t="n">
        <v>0</v>
      </c>
      <c r="F35" s="114" t="n">
        <v>114545.02</v>
      </c>
      <c r="G35" s="114" t="inlineStr">
        <is>
          <t>Personal</t>
        </is>
      </c>
      <c r="H35" s="114" t="inlineStr">
        <is>
          <t>SBI 1227</t>
        </is>
      </c>
    </row>
    <row r="36">
      <c r="A36" s="113" t="n">
        <v>45024</v>
      </c>
      <c r="B36" s="114" t="inlineStr">
        <is>
          <t>UPIOUT/309826882296/Q143041833@ybl/Sent
via /5311</t>
        </is>
      </c>
      <c r="C36" s="114" t="inlineStr"/>
      <c r="D36" s="114" t="n">
        <v>10</v>
      </c>
      <c r="E36" s="114" t="n">
        <v>0</v>
      </c>
      <c r="F36" s="114" t="n">
        <v>19.86</v>
      </c>
      <c r="G36" s="114" t="inlineStr">
        <is>
          <t>Personal</t>
        </is>
      </c>
      <c r="H36" s="114" t="inlineStr">
        <is>
          <t>FEDERAL 0847</t>
        </is>
      </c>
    </row>
    <row r="37">
      <c r="A37" s="113" t="n">
        <v>45025</v>
      </c>
      <c r="B37" s="114" t="inlineStr">
        <is>
          <t xml:space="preserve">   TO TRANSFER-UPI/DR/309973408594/JAGDISH/PYTM/7742506388/UPI--</t>
        </is>
      </c>
      <c r="C37" s="114" t="inlineStr">
        <is>
          <t>TRANSFER TO 5098150162096</t>
        </is>
      </c>
      <c r="D37" s="114" t="n">
        <v>125</v>
      </c>
      <c r="E37" s="114" t="n">
        <v>0</v>
      </c>
      <c r="F37" s="114" t="n">
        <v>114320.02</v>
      </c>
      <c r="G37" s="114" t="inlineStr">
        <is>
          <t>Personal</t>
        </is>
      </c>
      <c r="H37" s="114" t="inlineStr">
        <is>
          <t>SBI 1227</t>
        </is>
      </c>
    </row>
    <row r="38">
      <c r="A38" s="113" t="n">
        <v>45025</v>
      </c>
      <c r="B38" s="114" t="inlineStr">
        <is>
          <t xml:space="preserve">   TO TRANSFER-UPI/DR/309994513204/UBER IND/HDFC/uberrides@/charg--</t>
        </is>
      </c>
      <c r="C38" s="114" t="inlineStr">
        <is>
          <t>TRANSFER TO 4897696162090</t>
        </is>
      </c>
      <c r="D38" s="114" t="n">
        <v>48.52</v>
      </c>
      <c r="E38" s="114" t="n">
        <v>0</v>
      </c>
      <c r="F38" s="114" t="n">
        <v>114271.5</v>
      </c>
      <c r="G38" s="114" t="inlineStr">
        <is>
          <t>Transport</t>
        </is>
      </c>
      <c r="H38" s="114" t="inlineStr">
        <is>
          <t>SBI 1227</t>
        </is>
      </c>
    </row>
    <row r="39">
      <c r="A39" s="113" t="n">
        <v>45026</v>
      </c>
      <c r="B39" s="114" t="inlineStr">
        <is>
          <t>NET PI TO HSL SEC A/C 2554606-00602340029427</t>
        </is>
      </c>
      <c r="C39" s="114" t="inlineStr">
        <is>
          <t>0000000401078570</t>
        </is>
      </c>
      <c r="D39" s="114" t="n">
        <v>466.16</v>
      </c>
      <c r="E39" s="114" t="n">
        <v>0</v>
      </c>
      <c r="F39" s="114" t="n">
        <v>76703.92999999999</v>
      </c>
      <c r="G39" s="114" t="inlineStr">
        <is>
          <t>HDFC Securities</t>
        </is>
      </c>
      <c r="H39" s="114" t="inlineStr">
        <is>
          <t>HDFC 5413</t>
        </is>
      </c>
    </row>
    <row r="40">
      <c r="A40" s="113" t="n">
        <v>45026</v>
      </c>
      <c r="B40" s="114" t="inlineStr">
        <is>
          <t>NET PO FROM HSL A/C 2554606-00602340029427</t>
        </is>
      </c>
      <c r="C40" s="114" t="inlineStr">
        <is>
          <t>0000000401189359</t>
        </is>
      </c>
      <c r="D40" s="114" t="n">
        <v>0</v>
      </c>
      <c r="E40" s="114" t="n">
        <v>662.12</v>
      </c>
      <c r="F40" s="114" t="n">
        <v>77366.05</v>
      </c>
      <c r="G40" s="114" t="inlineStr">
        <is>
          <t>HDFC Securities</t>
        </is>
      </c>
      <c r="H40" s="114" t="inlineStr">
        <is>
          <t>HDFC 5413</t>
        </is>
      </c>
    </row>
    <row r="41">
      <c r="A41" s="113" t="n">
        <v>45027</v>
      </c>
      <c r="B41" s="114" t="inlineStr">
        <is>
          <t xml:space="preserve">   BY TRANSFER-UPI/CR/310198604104/IRCTC CF/HDFC/irctc.cf@h/UPI R--</t>
        </is>
      </c>
      <c r="C41" s="114" t="inlineStr">
        <is>
          <t>TRANSFER FROM 4897733162090</t>
        </is>
      </c>
      <c r="D41" s="114" t="n">
        <v>0</v>
      </c>
      <c r="E41" s="114" t="n">
        <v>830</v>
      </c>
      <c r="F41" s="114" t="n">
        <v>115111.5</v>
      </c>
      <c r="G41" s="114" t="inlineStr">
        <is>
          <t>Travel</t>
        </is>
      </c>
      <c r="H41" s="114" t="inlineStr">
        <is>
          <t>SBI 1227</t>
        </is>
      </c>
    </row>
    <row r="42">
      <c r="A42" s="113" t="n">
        <v>45027</v>
      </c>
      <c r="B42" s="114" t="inlineStr">
        <is>
          <t>NET PI TO HSL SEC A/C 2554606-00602340029427</t>
        </is>
      </c>
      <c r="C42" s="114" t="inlineStr">
        <is>
          <t>0000000401415591</t>
        </is>
      </c>
      <c r="D42" s="114" t="n">
        <v>116.86</v>
      </c>
      <c r="E42" s="114" t="n">
        <v>0</v>
      </c>
      <c r="F42" s="114" t="n">
        <v>77249.19</v>
      </c>
      <c r="G42" s="114" t="inlineStr">
        <is>
          <t>HDFC Securities</t>
        </is>
      </c>
      <c r="H42" s="114" t="inlineStr">
        <is>
          <t>HDFC 5413</t>
        </is>
      </c>
    </row>
    <row r="43">
      <c r="A43" s="113" t="n">
        <v>45027</v>
      </c>
      <c r="B43" s="114" t="inlineStr">
        <is>
          <t>NET PO FROM HSL A/C 2554606-00602340029427</t>
        </is>
      </c>
      <c r="C43" s="114" t="inlineStr">
        <is>
          <t>0000000401522488</t>
        </is>
      </c>
      <c r="D43" s="114" t="n">
        <v>0</v>
      </c>
      <c r="E43" s="114" t="n">
        <v>334.27</v>
      </c>
      <c r="F43" s="114" t="n">
        <v>77583.46000000001</v>
      </c>
      <c r="G43" s="114" t="inlineStr">
        <is>
          <t>HDFC Securities</t>
        </is>
      </c>
      <c r="H43" s="114" t="inlineStr">
        <is>
          <t>HDFC 5413</t>
        </is>
      </c>
    </row>
    <row r="44">
      <c r="A44" s="113" t="n">
        <v>45027</v>
      </c>
      <c r="B44" s="114" t="inlineStr">
        <is>
          <t xml:space="preserve">   BULK POSTING-C23854246658     41774260032INTERIM DIVIDEND ACCOU--</t>
        </is>
      </c>
      <c r="C44" s="114" t="n">
        <v/>
      </c>
      <c r="D44" s="114" t="n">
        <v>0</v>
      </c>
      <c r="E44" s="114" t="n">
        <v>10</v>
      </c>
      <c r="F44" s="114" t="n">
        <v>114281.5</v>
      </c>
      <c r="G44" s="114" t="inlineStr">
        <is>
          <t>Dividend Income</t>
        </is>
      </c>
      <c r="H44" s="114" t="inlineStr">
        <is>
          <t>SBI 1227</t>
        </is>
      </c>
    </row>
    <row r="45">
      <c r="A45" s="113" t="n">
        <v>45028</v>
      </c>
      <c r="B45" s="114" t="inlineStr">
        <is>
          <t xml:space="preserve">   TO TRANSFER-UPI/DR/310299085532/billdesk/ICIC/billdesk.p/UPI--</t>
        </is>
      </c>
      <c r="C45" s="114" t="inlineStr">
        <is>
          <t>TRANSFER TO 4897692162094</t>
        </is>
      </c>
      <c r="D45" s="114" t="n">
        <v>148</v>
      </c>
      <c r="E45" s="114" t="n">
        <v>0</v>
      </c>
      <c r="F45" s="114" t="n">
        <v>114708.5</v>
      </c>
      <c r="G45" s="114" t="inlineStr">
        <is>
          <t>Personal</t>
        </is>
      </c>
      <c r="H45" s="114" t="inlineStr">
        <is>
          <t>SBI 1227</t>
        </is>
      </c>
    </row>
    <row r="46">
      <c r="A46" s="113" t="n">
        <v>45028</v>
      </c>
      <c r="B46" s="114" t="inlineStr">
        <is>
          <t xml:space="preserve">   TO TRANSFER-UPI/DR/310298964851/Bharti A/HDFC/airtel.pay/UPITr--</t>
        </is>
      </c>
      <c r="C46" s="114" t="inlineStr">
        <is>
          <t>TRANSFER TO 4897692162094</t>
        </is>
      </c>
      <c r="D46" s="114" t="n">
        <v>155</v>
      </c>
      <c r="E46" s="114" t="n">
        <v>0</v>
      </c>
      <c r="F46" s="114" t="n">
        <v>114856.5</v>
      </c>
      <c r="G46" s="114" t="inlineStr">
        <is>
          <t>Personal</t>
        </is>
      </c>
      <c r="H46" s="114" t="inlineStr">
        <is>
          <t>SBI 1227</t>
        </is>
      </c>
    </row>
    <row r="47">
      <c r="A47" s="113" t="n">
        <v>45028</v>
      </c>
      <c r="B47" s="114" t="inlineStr">
        <is>
          <t>NET PI TO HSL SEC A/C 2554606-00602340029427</t>
        </is>
      </c>
      <c r="C47" s="114" t="inlineStr">
        <is>
          <t>0000000401746881</t>
        </is>
      </c>
      <c r="D47" s="114" t="n">
        <v>117.03</v>
      </c>
      <c r="E47" s="114" t="n">
        <v>0</v>
      </c>
      <c r="F47" s="114" t="n">
        <v>77466.42999999999</v>
      </c>
      <c r="G47" s="114" t="inlineStr">
        <is>
          <t>HDFC Securities</t>
        </is>
      </c>
      <c r="H47" s="114" t="inlineStr">
        <is>
          <t>HDFC 5413</t>
        </is>
      </c>
    </row>
    <row r="48">
      <c r="A48" s="113" t="n">
        <v>45028</v>
      </c>
      <c r="B48" s="114" t="inlineStr">
        <is>
          <t xml:space="preserve">   TO TRANSFER-UPI/DR/310294768781/S SARGUNAM/YESB/q200088506/UPI--</t>
        </is>
      </c>
      <c r="C48" s="114" t="inlineStr">
        <is>
          <t>TRANSFER TO 4897692162094</t>
        </is>
      </c>
      <c r="D48" s="114" t="n">
        <v>100</v>
      </c>
      <c r="E48" s="114" t="n">
        <v>0</v>
      </c>
      <c r="F48" s="114" t="n">
        <v>115011.5</v>
      </c>
      <c r="G48" s="114" t="inlineStr">
        <is>
          <t>Personal</t>
        </is>
      </c>
      <c r="H48" s="114" t="inlineStr">
        <is>
          <t>SBI 1227</t>
        </is>
      </c>
    </row>
    <row r="49">
      <c r="A49" s="113" t="n">
        <v>45028</v>
      </c>
      <c r="B49" s="114" t="inlineStr">
        <is>
          <t>NET PO FROM HSL A/C 2554606-00602340029427</t>
        </is>
      </c>
      <c r="C49" s="114" t="inlineStr">
        <is>
          <t>0000000401852472</t>
        </is>
      </c>
      <c r="D49" s="114" t="n">
        <v>0</v>
      </c>
      <c r="E49" s="114" t="n">
        <v>1340.99</v>
      </c>
      <c r="F49" s="114" t="n">
        <v>78807.42</v>
      </c>
      <c r="G49" s="114" t="inlineStr">
        <is>
          <t>HDFC Securities</t>
        </is>
      </c>
      <c r="H49" s="114" t="inlineStr">
        <is>
          <t>HDFC 5413</t>
        </is>
      </c>
    </row>
    <row r="50">
      <c r="A50" s="113" t="n">
        <v>45029</v>
      </c>
      <c r="B50" s="114" t="inlineStr">
        <is>
          <t>DEPOSITORY CHARGES MAR23 - 52812428</t>
        </is>
      </c>
      <c r="C50" s="114" t="inlineStr">
        <is>
          <t>000000000000000</t>
        </is>
      </c>
      <c r="D50" s="114" t="n">
        <v>590</v>
      </c>
      <c r="E50" s="114" t="n">
        <v>0</v>
      </c>
      <c r="F50" s="114" t="n">
        <v>78217.42</v>
      </c>
      <c r="G50" s="114" t="inlineStr">
        <is>
          <t>Depository Charges</t>
        </is>
      </c>
      <c r="H50" s="114" t="inlineStr">
        <is>
          <t>HDFC 5413</t>
        </is>
      </c>
    </row>
    <row r="51">
      <c r="A51" s="113" t="n">
        <v>45029</v>
      </c>
      <c r="B51" s="114" t="inlineStr">
        <is>
          <t>NET PI TO HSL SEC A/C 2554606-00602340029427</t>
        </is>
      </c>
      <c r="C51" s="114" t="inlineStr">
        <is>
          <t>0000000402064043</t>
        </is>
      </c>
      <c r="D51" s="114" t="n">
        <v>117.69</v>
      </c>
      <c r="E51" s="114" t="n">
        <v>0</v>
      </c>
      <c r="F51" s="114" t="n">
        <v>78099.73</v>
      </c>
      <c r="G51" s="114" t="inlineStr">
        <is>
          <t>HDFC Securities</t>
        </is>
      </c>
      <c r="H51" s="114" t="inlineStr">
        <is>
          <t>HDFC 5413</t>
        </is>
      </c>
    </row>
    <row r="52">
      <c r="A52" s="113" t="n">
        <v>45029</v>
      </c>
      <c r="B52" s="114" t="inlineStr">
        <is>
          <t xml:space="preserve">   TO TRANSFER-UPI/DR/346932073976/Shankar /PYTM/paytmqr281/UPI--</t>
        </is>
      </c>
      <c r="C52" s="114" t="inlineStr">
        <is>
          <t>TRANSFER TO 4897693162093</t>
        </is>
      </c>
      <c r="D52" s="114" t="n">
        <v>80</v>
      </c>
      <c r="E52" s="114" t="n">
        <v>0</v>
      </c>
      <c r="F52" s="114" t="n">
        <v>114628.5</v>
      </c>
      <c r="G52" s="114" t="inlineStr">
        <is>
          <t>Personal</t>
        </is>
      </c>
      <c r="H52" s="114" t="inlineStr">
        <is>
          <t>SBI 1227</t>
        </is>
      </c>
    </row>
    <row r="53">
      <c r="A53" s="113" t="n">
        <v>45030</v>
      </c>
      <c r="B53" s="114" t="inlineStr">
        <is>
          <t>NET PO FROM HSL A/C 2554606-00602340029427</t>
        </is>
      </c>
      <c r="C53" s="114" t="inlineStr">
        <is>
          <t>0000000402179298</t>
        </is>
      </c>
      <c r="D53" s="114" t="n">
        <v>0</v>
      </c>
      <c r="E53" s="114" t="n">
        <v>134.43</v>
      </c>
      <c r="F53" s="114" t="n">
        <v>78234.16</v>
      </c>
      <c r="G53" s="114" t="inlineStr">
        <is>
          <t>HDFC Securities</t>
        </is>
      </c>
      <c r="H53" s="114" t="inlineStr">
        <is>
          <t>HDFC 5413</t>
        </is>
      </c>
    </row>
    <row r="54">
      <c r="A54" s="113" t="n">
        <v>45031</v>
      </c>
      <c r="B54" s="114" t="inlineStr">
        <is>
          <t xml:space="preserve">   TO TRANSFER-UPI/DR/310500511889/Fudr/ICIC/fudr.cf@ic/3187 Bli--</t>
        </is>
      </c>
      <c r="C54" s="114" t="inlineStr">
        <is>
          <t>TRANSFER TO 4897695162091</t>
        </is>
      </c>
      <c r="D54" s="114" t="n">
        <v>220</v>
      </c>
      <c r="E54" s="114" t="n">
        <v>0</v>
      </c>
      <c r="F54" s="114" t="n">
        <v>112849.55</v>
      </c>
      <c r="G54" s="114" t="inlineStr">
        <is>
          <t>Personal</t>
        </is>
      </c>
      <c r="H54" s="114" t="inlineStr">
        <is>
          <t>SBI 1227</t>
        </is>
      </c>
    </row>
    <row r="55">
      <c r="A55" s="113" t="n">
        <v>45031</v>
      </c>
      <c r="B55" s="114" t="inlineStr">
        <is>
          <t xml:space="preserve">   TO TRANSFER-UPI/DR/347130328853/BHAWANI /YESB/q385374207/UPI--</t>
        </is>
      </c>
      <c r="C55" s="114" t="inlineStr">
        <is>
          <t>TRANSFER TO 4897695162091</t>
        </is>
      </c>
      <c r="D55" s="114" t="n">
        <v>50</v>
      </c>
      <c r="E55" s="114" t="n">
        <v>0</v>
      </c>
      <c r="F55" s="114" t="n">
        <v>113069.55</v>
      </c>
      <c r="G55" s="114" t="inlineStr">
        <is>
          <t>Personal</t>
        </is>
      </c>
      <c r="H55" s="114" t="inlineStr">
        <is>
          <t>SBI 1227</t>
        </is>
      </c>
    </row>
    <row r="56">
      <c r="A56" s="113" t="n">
        <v>45031</v>
      </c>
      <c r="B56" s="114" t="inlineStr">
        <is>
          <t xml:space="preserve">   TO TRANSFER-UPI/DR/347115434891/PATISSER/PYTM/paytmqr281/UPI--</t>
        </is>
      </c>
      <c r="C56" s="114" t="inlineStr">
        <is>
          <t>TRANSFER TO 4897695162091</t>
        </is>
      </c>
      <c r="D56" s="114" t="n">
        <v>110</v>
      </c>
      <c r="E56" s="114" t="n">
        <v>0</v>
      </c>
      <c r="F56" s="114" t="n">
        <v>113119.55</v>
      </c>
      <c r="G56" s="114" t="inlineStr">
        <is>
          <t>Personal</t>
        </is>
      </c>
      <c r="H56" s="114" t="inlineStr">
        <is>
          <t>SBI 1227</t>
        </is>
      </c>
    </row>
    <row r="57">
      <c r="A57" s="113" t="n">
        <v>45031</v>
      </c>
      <c r="B57" s="114" t="inlineStr">
        <is>
          <t xml:space="preserve">   TO TRANSFER-UPI/DR/310511348614/IRCTC Ap/PYTM/paytm-irct/Oid10--</t>
        </is>
      </c>
      <c r="C57" s="114" t="inlineStr">
        <is>
          <t>TRANSFER TO 4897695162091</t>
        </is>
      </c>
      <c r="D57" s="114" t="n">
        <v>1398.95</v>
      </c>
      <c r="E57" s="114" t="n">
        <v>0</v>
      </c>
      <c r="F57" s="114" t="n">
        <v>113229.55</v>
      </c>
      <c r="G57" s="114" t="inlineStr">
        <is>
          <t>Travel</t>
        </is>
      </c>
      <c r="H57" s="114" t="inlineStr">
        <is>
          <t>SBI 1227</t>
        </is>
      </c>
    </row>
    <row r="58">
      <c r="A58" s="113" t="n">
        <v>45031</v>
      </c>
      <c r="B58" s="114" t="inlineStr">
        <is>
          <t>50100542230922-TPT-BORROW FROM AAYUSH-ARCHIT GUPTA</t>
        </is>
      </c>
      <c r="C58" s="114" t="inlineStr">
        <is>
          <t>0000000340652822</t>
        </is>
      </c>
      <c r="D58" s="114" t="n">
        <v>25000</v>
      </c>
      <c r="E58" s="114" t="n">
        <v>0</v>
      </c>
      <c r="F58" s="114" t="n">
        <v>53234.16</v>
      </c>
      <c r="G58" s="114" t="inlineStr">
        <is>
          <t>Archit Gupta</t>
        </is>
      </c>
      <c r="H58" s="114" t="inlineStr">
        <is>
          <t>HDFC 5413</t>
        </is>
      </c>
    </row>
    <row r="59">
      <c r="A59" s="113" t="n">
        <v>45032</v>
      </c>
      <c r="B59" s="114" t="inlineStr">
        <is>
          <t xml:space="preserve">   ATM WDL-ATM CASH 7132  CP JHALAWAR           JHALRAPATAN--</t>
        </is>
      </c>
      <c r="C59" s="114" t="n">
        <v/>
      </c>
      <c r="D59" s="114" t="n">
        <v>2000</v>
      </c>
      <c r="E59" s="114" t="n">
        <v>0</v>
      </c>
      <c r="F59" s="114" t="n">
        <v>110849.55</v>
      </c>
      <c r="G59" s="114" t="inlineStr">
        <is>
          <t>Cash</t>
        </is>
      </c>
      <c r="H59" s="114" t="inlineStr">
        <is>
          <t>SBI 1227</t>
        </is>
      </c>
    </row>
    <row r="60">
      <c r="A60" s="113" t="n">
        <v>45033</v>
      </c>
      <c r="B60" s="114" t="inlineStr">
        <is>
          <t>NET PAYIN TO BSE MF A/C -57500000389146- FROM A/C -50100128155413- UCC -2554606-57500000389146</t>
        </is>
      </c>
      <c r="C60" s="114" t="inlineStr">
        <is>
          <t>0000000402366626</t>
        </is>
      </c>
      <c r="D60" s="114" t="n">
        <v>2500</v>
      </c>
      <c r="E60" s="114" t="n">
        <v>0</v>
      </c>
      <c r="F60" s="114" t="n">
        <v>50734.16</v>
      </c>
      <c r="G60" s="114" t="inlineStr">
        <is>
          <t>Investments</t>
        </is>
      </c>
      <c r="H60" s="114" t="inlineStr">
        <is>
          <t>HDFC 5413</t>
        </is>
      </c>
    </row>
    <row r="61">
      <c r="A61" s="113" t="n">
        <v>45033</v>
      </c>
      <c r="B61" s="114" t="inlineStr">
        <is>
          <t>NET PI TO HSL SEC A/C 2554606-00602340029427</t>
        </is>
      </c>
      <c r="C61" s="114" t="inlineStr">
        <is>
          <t>0000000402463270</t>
        </is>
      </c>
      <c r="D61" s="114" t="n">
        <v>471.04</v>
      </c>
      <c r="E61" s="114" t="n">
        <v>0</v>
      </c>
      <c r="F61" s="114" t="n">
        <v>50263.12</v>
      </c>
      <c r="G61" s="114" t="inlineStr">
        <is>
          <t>HDFC Securities</t>
        </is>
      </c>
      <c r="H61" s="114" t="inlineStr">
        <is>
          <t>HDFC 5413</t>
        </is>
      </c>
    </row>
    <row r="62">
      <c r="A62" s="113" t="n">
        <v>45033</v>
      </c>
      <c r="B62" s="114" t="inlineStr">
        <is>
          <t xml:space="preserve">   BULK POSTING-ACHCr HDFC01032000010237 VEDANTA LIMITE--</t>
        </is>
      </c>
      <c r="C62" s="114" t="n">
        <v/>
      </c>
      <c r="D62" s="114" t="n">
        <v>0</v>
      </c>
      <c r="E62" s="114" t="n">
        <v>348.5</v>
      </c>
      <c r="F62" s="114" t="n">
        <v>111198.05</v>
      </c>
      <c r="G62" s="114" t="inlineStr">
        <is>
          <t>Dividend Income</t>
        </is>
      </c>
      <c r="H62" s="114" t="inlineStr">
        <is>
          <t>SBI 1227</t>
        </is>
      </c>
    </row>
    <row r="63">
      <c r="A63" s="113" t="n">
        <v>45034</v>
      </c>
      <c r="B63" s="114" t="inlineStr">
        <is>
          <t>NET PI TO HSL SEC A/C 2554606-00602340029427</t>
        </is>
      </c>
      <c r="C63" s="114" t="inlineStr">
        <is>
          <t>0000000402898317</t>
        </is>
      </c>
      <c r="D63" s="114" t="n">
        <v>118.85</v>
      </c>
      <c r="E63" s="114" t="n">
        <v>0</v>
      </c>
      <c r="F63" s="114" t="n">
        <v>27367.06</v>
      </c>
      <c r="G63" s="114" t="inlineStr">
        <is>
          <t>HDFC Securities</t>
        </is>
      </c>
      <c r="H63" s="114" t="inlineStr">
        <is>
          <t>HDFC 5413</t>
        </is>
      </c>
    </row>
    <row r="64">
      <c r="A64" s="113" t="n">
        <v>45034</v>
      </c>
      <c r="B64" s="114" t="inlineStr">
        <is>
          <t xml:space="preserve">   BY TRANSFER-UPI/CR/310863285848/GOOGLEPAY/UTIB/goog-payme/UPI--</t>
        </is>
      </c>
      <c r="C64" s="114" t="inlineStr">
        <is>
          <t>TRANSFER FROM 4897733162090</t>
        </is>
      </c>
      <c r="D64" s="114" t="n">
        <v>0</v>
      </c>
      <c r="E64" s="114" t="n">
        <v>6</v>
      </c>
      <c r="F64" s="114" t="n">
        <v>111195.05</v>
      </c>
      <c r="G64" s="114" t="inlineStr">
        <is>
          <t>Personal</t>
        </is>
      </c>
      <c r="H64" s="114" t="inlineStr">
        <is>
          <t>SBI 1227</t>
        </is>
      </c>
    </row>
    <row r="65">
      <c r="A65" s="113" t="n">
        <v>45034</v>
      </c>
      <c r="B65" s="114" t="inlineStr">
        <is>
          <t xml:space="preserve">   TO TRANSFER-UPI/DR/310863414173/Plaksha /utib/plakshauni/Onlin--</t>
        </is>
      </c>
      <c r="C65" s="114" t="inlineStr">
        <is>
          <t>TRANSFER TO 4897691162095</t>
        </is>
      </c>
      <c r="D65" s="114" t="n">
        <v>7500</v>
      </c>
      <c r="E65" s="114" t="n">
        <v>0</v>
      </c>
      <c r="F65" s="114" t="n">
        <v>103695.05</v>
      </c>
      <c r="G65" s="114" t="inlineStr">
        <is>
          <t>Personal</t>
        </is>
      </c>
      <c r="H65" s="114" t="inlineStr">
        <is>
          <t>SBI 1227</t>
        </is>
      </c>
    </row>
    <row r="66">
      <c r="A66" s="113" t="n">
        <v>45034</v>
      </c>
      <c r="B66" s="114" t="inlineStr">
        <is>
          <t xml:space="preserve">   TO TRANSFER-UPI/DR/310897017239/KUNAL EA/YESB/q811125368/UPI--</t>
        </is>
      </c>
      <c r="C66" s="114" t="inlineStr">
        <is>
          <t>TRANSFER TO 4897691162095</t>
        </is>
      </c>
      <c r="D66" s="114" t="n">
        <v>105</v>
      </c>
      <c r="E66" s="114" t="n">
        <v>0</v>
      </c>
      <c r="F66" s="114" t="n">
        <v>103590.05</v>
      </c>
      <c r="G66" s="114" t="inlineStr">
        <is>
          <t>Personal</t>
        </is>
      </c>
      <c r="H66" s="114" t="inlineStr">
        <is>
          <t>SBI 1227</t>
        </is>
      </c>
    </row>
    <row r="67">
      <c r="A67" s="113" t="n">
        <v>45034</v>
      </c>
      <c r="B67" s="114" t="inlineStr">
        <is>
          <t>NET PI TO HSL SEC A/C 2554606-00602340029427</t>
        </is>
      </c>
      <c r="C67" s="114" t="inlineStr">
        <is>
          <t>0000000402996357</t>
        </is>
      </c>
      <c r="D67" s="114" t="n">
        <v>2188.95</v>
      </c>
      <c r="E67" s="114" t="n">
        <v>0</v>
      </c>
      <c r="F67" s="114" t="n">
        <v>25178.11</v>
      </c>
      <c r="G67" s="114" t="inlineStr">
        <is>
          <t>HDFC Securities</t>
        </is>
      </c>
      <c r="H67" s="114" t="inlineStr">
        <is>
          <t>HDFC 5413</t>
        </is>
      </c>
    </row>
    <row r="68">
      <c r="A68" s="113" t="n">
        <v>45034</v>
      </c>
      <c r="B68" s="114" t="inlineStr">
        <is>
          <t>01671000085930-TPT-MONEY RETURNED TO AAYUSH-AJAY KUMAR GUPTA</t>
        </is>
      </c>
      <c r="C68" s="114" t="inlineStr">
        <is>
          <t>0000000246549390</t>
        </is>
      </c>
      <c r="D68" s="114" t="n">
        <v>25000</v>
      </c>
      <c r="E68" s="114" t="n">
        <v>0</v>
      </c>
      <c r="F68" s="114" t="n">
        <v>27485.91</v>
      </c>
      <c r="G68" s="114" t="inlineStr">
        <is>
          <t>Ajay Gupta</t>
        </is>
      </c>
      <c r="H68" s="114" t="inlineStr">
        <is>
          <t>HDFC 5413</t>
        </is>
      </c>
    </row>
    <row r="69">
      <c r="A69" s="113" t="n">
        <v>45034</v>
      </c>
      <c r="B69" s="114" t="inlineStr">
        <is>
          <t>NET PO FROM HSL A/C 2554606-00602340029427</t>
        </is>
      </c>
      <c r="C69" s="114" t="inlineStr">
        <is>
          <t>0000000402652721</t>
        </is>
      </c>
      <c r="D69" s="114" t="n">
        <v>0</v>
      </c>
      <c r="E69" s="114" t="n">
        <v>2222.79</v>
      </c>
      <c r="F69" s="114" t="n">
        <v>52485.91</v>
      </c>
      <c r="G69" s="114" t="inlineStr">
        <is>
          <t>HDFC Securities</t>
        </is>
      </c>
      <c r="H69" s="114" t="inlineStr">
        <is>
          <t>HDFC 5413</t>
        </is>
      </c>
    </row>
    <row r="70">
      <c r="A70" s="113" t="n">
        <v>45034</v>
      </c>
      <c r="B70" s="114" t="inlineStr">
        <is>
          <t xml:space="preserve">   BY TRANSFER-UPI/CR/310863283715/GOOGLEPAY/UTIB/goog-payme/UPI--</t>
        </is>
      </c>
      <c r="C70" s="114" t="inlineStr">
        <is>
          <t>TRANSFER FROM 4897733162090</t>
        </is>
      </c>
      <c r="D70" s="114" t="n">
        <v>0</v>
      </c>
      <c r="E70" s="114" t="n">
        <v>11</v>
      </c>
      <c r="F70" s="114" t="n">
        <v>111189.05</v>
      </c>
      <c r="G70" s="114" t="inlineStr">
        <is>
          <t>Personal</t>
        </is>
      </c>
      <c r="H70" s="114" t="inlineStr">
        <is>
          <t>SBI 1227</t>
        </is>
      </c>
    </row>
    <row r="71">
      <c r="A71" s="113" t="n">
        <v>45034</v>
      </c>
      <c r="B71" s="114" t="inlineStr">
        <is>
          <t xml:space="preserve">   TO TRANSFER-UPI/DR/310875568731/gaurav v/UTIB/fcbizcxqia/UPI--</t>
        </is>
      </c>
      <c r="C71" s="114" t="inlineStr">
        <is>
          <t>TRANSFER TO 4897691162095</t>
        </is>
      </c>
      <c r="D71" s="114" t="n">
        <v>20</v>
      </c>
      <c r="E71" s="114" t="n">
        <v>0</v>
      </c>
      <c r="F71" s="114" t="n">
        <v>111178.05</v>
      </c>
      <c r="G71" s="114" t="inlineStr">
        <is>
          <t>Personal</t>
        </is>
      </c>
      <c r="H71" s="114" t="inlineStr">
        <is>
          <t>SBI 1227</t>
        </is>
      </c>
    </row>
    <row r="72">
      <c r="A72" s="113" t="n">
        <v>45035</v>
      </c>
      <c r="B72" s="114" t="inlineStr">
        <is>
          <t>NET PI TO HSL SEC A/C 2554606-00602340029427</t>
        </is>
      </c>
      <c r="C72" s="114" t="inlineStr">
        <is>
          <t>0000000403233396</t>
        </is>
      </c>
      <c r="D72" s="114" t="n">
        <v>117.77</v>
      </c>
      <c r="E72" s="114" t="n">
        <v>0</v>
      </c>
      <c r="F72" s="114" t="n">
        <v>25060.34</v>
      </c>
      <c r="G72" s="114" t="inlineStr">
        <is>
          <t>HDFC Securities</t>
        </is>
      </c>
      <c r="H72" s="114" t="inlineStr">
        <is>
          <t>HDFC 5413</t>
        </is>
      </c>
    </row>
    <row r="73">
      <c r="A73" s="113" t="n">
        <v>45035</v>
      </c>
      <c r="B73" s="114" t="inlineStr">
        <is>
          <t xml:space="preserve">   TO TRANSFER-UPI/DR/310932978826/KUNAL EA/YESB/q811125368/UPI--</t>
        </is>
      </c>
      <c r="C73" s="114" t="inlineStr">
        <is>
          <t>TRANSFER TO 4897692162094</t>
        </is>
      </c>
      <c r="D73" s="114" t="n">
        <v>70</v>
      </c>
      <c r="E73" s="114" t="n">
        <v>0</v>
      </c>
      <c r="F73" s="114" t="n">
        <v>102660.05</v>
      </c>
      <c r="G73" s="114" t="inlineStr">
        <is>
          <t>Personal</t>
        </is>
      </c>
      <c r="H73" s="114" t="inlineStr">
        <is>
          <t>SBI 1227</t>
        </is>
      </c>
    </row>
    <row r="74">
      <c r="A74" s="113" t="n">
        <v>45035</v>
      </c>
      <c r="B74" s="114" t="inlineStr">
        <is>
          <t>NET PO FROM HSL A/C 2554606-00602340029427</t>
        </is>
      </c>
      <c r="C74" s="114" t="inlineStr">
        <is>
          <t>0000000403355107</t>
        </is>
      </c>
      <c r="D74" s="114" t="n">
        <v>0</v>
      </c>
      <c r="E74" s="114" t="n">
        <v>1395.14</v>
      </c>
      <c r="F74" s="114" t="n">
        <v>26455.48</v>
      </c>
      <c r="G74" s="114" t="inlineStr">
        <is>
          <t>HDFC Securities</t>
        </is>
      </c>
      <c r="H74" s="114" t="inlineStr">
        <is>
          <t>HDFC 5413</t>
        </is>
      </c>
    </row>
    <row r="75">
      <c r="A75" s="113" t="n">
        <v>45035</v>
      </c>
      <c r="B75" s="114" t="inlineStr">
        <is>
          <t xml:space="preserve">   TO TRANSFER-UPI/DR/310932343001/Praful B/SBIN/q508793729/UPI--</t>
        </is>
      </c>
      <c r="C75" s="114" t="inlineStr">
        <is>
          <t>TRANSFER TO 4897692162094</t>
        </is>
      </c>
      <c r="D75" s="114" t="n">
        <v>30</v>
      </c>
      <c r="E75" s="114" t="n">
        <v>0</v>
      </c>
      <c r="F75" s="114" t="n">
        <v>102730.05</v>
      </c>
      <c r="G75" s="114" t="inlineStr">
        <is>
          <t>Personal</t>
        </is>
      </c>
      <c r="H75" s="114" t="inlineStr">
        <is>
          <t>SBI 1227</t>
        </is>
      </c>
    </row>
    <row r="76">
      <c r="A76" s="113" t="n">
        <v>45035</v>
      </c>
      <c r="B76" s="114" t="inlineStr">
        <is>
          <t xml:space="preserve">   TO TRANSFER-UPI/DR/310930088166/Shubham /SBIN/9920780107/UPI--</t>
        </is>
      </c>
      <c r="C76" s="114" t="inlineStr">
        <is>
          <t>TRANSFER TO 4897692162094</t>
        </is>
      </c>
      <c r="D76" s="114" t="n">
        <v>830</v>
      </c>
      <c r="E76" s="114" t="n">
        <v>0</v>
      </c>
      <c r="F76" s="114" t="n">
        <v>102760.05</v>
      </c>
      <c r="G76" s="114" t="inlineStr">
        <is>
          <t>Personal</t>
        </is>
      </c>
      <c r="H76" s="114" t="inlineStr">
        <is>
          <t>SBI 1227</t>
        </is>
      </c>
    </row>
    <row r="77">
      <c r="A77" s="113" t="n">
        <v>45036</v>
      </c>
      <c r="B77" s="114" t="inlineStr">
        <is>
          <t>NET PO FROM HSL A/C 2554606-00602340029427</t>
        </is>
      </c>
      <c r="C77" s="114" t="inlineStr">
        <is>
          <t>0000000403671610</t>
        </is>
      </c>
      <c r="D77" s="114" t="n">
        <v>0</v>
      </c>
      <c r="E77" s="114" t="n">
        <v>6098.61</v>
      </c>
      <c r="F77" s="114" t="n">
        <v>32554.09</v>
      </c>
      <c r="G77" s="114" t="inlineStr">
        <is>
          <t>HDFC Securities</t>
        </is>
      </c>
      <c r="H77" s="114" t="inlineStr">
        <is>
          <t>HDFC 5413</t>
        </is>
      </c>
    </row>
    <row r="78">
      <c r="A78" s="113" t="n">
        <v>45036</v>
      </c>
      <c r="B78" s="114" t="inlineStr">
        <is>
          <t xml:space="preserve">   TO TRANSFER-COMM - OTHER MISC. SERVICES--</t>
        </is>
      </c>
      <c r="C78" s="114" t="inlineStr">
        <is>
          <t>TRANSFER TO 98353116696</t>
        </is>
      </c>
      <c r="D78" s="114" t="n">
        <v>177</v>
      </c>
      <c r="E78" s="114" t="n">
        <v>0</v>
      </c>
      <c r="F78" s="114" t="n">
        <v>102483.05</v>
      </c>
      <c r="G78" s="114" t="inlineStr">
        <is>
          <t>Suspense</t>
        </is>
      </c>
      <c r="H78" s="114" t="inlineStr">
        <is>
          <t>SBI 1227</t>
        </is>
      </c>
    </row>
    <row r="79">
      <c r="A79" s="113" t="n">
        <v>45037</v>
      </c>
      <c r="B79" s="114" t="inlineStr">
        <is>
          <t xml:space="preserve">   TO TRANSFER-UPI/DR/347733861273/Zomato Ltd/PYTM/zomato-ord/Oid--</t>
        </is>
      </c>
      <c r="C79" s="114" t="inlineStr">
        <is>
          <t>TRANSFER TO 4897694162092</t>
        </is>
      </c>
      <c r="D79" s="114" t="n">
        <v>370.25</v>
      </c>
      <c r="E79" s="114" t="n">
        <v>0</v>
      </c>
      <c r="F79" s="114" t="n">
        <v>102112.8</v>
      </c>
      <c r="G79" s="114" t="inlineStr">
        <is>
          <t>Food &amp; Dining</t>
        </is>
      </c>
      <c r="H79" s="114" t="inlineStr">
        <is>
          <t>SBI 1227</t>
        </is>
      </c>
    </row>
    <row r="80">
      <c r="A80" s="113" t="n">
        <v>45037</v>
      </c>
      <c r="B80" s="114" t="inlineStr">
        <is>
          <t>NET PO FROM HSL A/C 2554606-00602340029427</t>
        </is>
      </c>
      <c r="C80" s="114" t="inlineStr">
        <is>
          <t>0000000404004771</t>
        </is>
      </c>
      <c r="D80" s="114" t="n">
        <v>0</v>
      </c>
      <c r="E80" s="114" t="n">
        <v>2364.46</v>
      </c>
      <c r="F80" s="114" t="n">
        <v>24918.55</v>
      </c>
      <c r="G80" s="114" t="inlineStr">
        <is>
          <t>HDFC Securities</t>
        </is>
      </c>
      <c r="H80" s="114" t="inlineStr">
        <is>
          <t>HDFC 5413</t>
        </is>
      </c>
    </row>
    <row r="81">
      <c r="A81" s="113" t="n">
        <v>45037</v>
      </c>
      <c r="B81" s="114" t="inlineStr">
        <is>
          <t>ATW-652166XXXXXX8920-CHBDL001-NASHIK</t>
        </is>
      </c>
      <c r="C81" s="114" t="inlineStr">
        <is>
          <t>0000000000003019</t>
        </is>
      </c>
      <c r="D81" s="114" t="n">
        <v>10000</v>
      </c>
      <c r="E81" s="114" t="n">
        <v>0</v>
      </c>
      <c r="F81" s="114" t="n">
        <v>22554.09</v>
      </c>
      <c r="G81" s="114" t="inlineStr">
        <is>
          <t>Cash</t>
        </is>
      </c>
      <c r="H81" s="114" t="inlineStr">
        <is>
          <t>HDFC 5413</t>
        </is>
      </c>
    </row>
    <row r="82">
      <c r="A82" s="113" t="n">
        <v>45038</v>
      </c>
      <c r="B82" s="114" t="inlineStr">
        <is>
          <t xml:space="preserve">   TO TRANSFER-UPI/DR/311214897545/khatabook/ICIC/ktb.ru6532/UPI--</t>
        </is>
      </c>
      <c r="C82" s="114" t="inlineStr">
        <is>
          <t>TRANSFER TO 4897695162091</t>
        </is>
      </c>
      <c r="D82" s="114" t="n">
        <v>20</v>
      </c>
      <c r="E82" s="114" t="n">
        <v>0</v>
      </c>
      <c r="F82" s="114" t="n">
        <v>102092.8</v>
      </c>
      <c r="G82" s="114" t="inlineStr">
        <is>
          <t>Personal</t>
        </is>
      </c>
      <c r="H82" s="114" t="inlineStr">
        <is>
          <t>SBI 1227</t>
        </is>
      </c>
    </row>
    <row r="83">
      <c r="A83" s="113" t="n">
        <v>45038</v>
      </c>
      <c r="B83" s="114" t="inlineStr">
        <is>
          <t xml:space="preserve">   TO TRANSFER-UPI/DR/311215008854/Om Super/PYTM/paytmqr281/UPI--</t>
        </is>
      </c>
      <c r="C83" s="114" t="inlineStr">
        <is>
          <t>TRANSFER TO 4897695162091</t>
        </is>
      </c>
      <c r="D83" s="114" t="n">
        <v>31</v>
      </c>
      <c r="E83" s="114" t="n">
        <v>0</v>
      </c>
      <c r="F83" s="114" t="n">
        <v>102061.8</v>
      </c>
      <c r="G83" s="114" t="inlineStr">
        <is>
          <t>Personal</t>
        </is>
      </c>
      <c r="H83" s="114" t="inlineStr">
        <is>
          <t>SBI 1227</t>
        </is>
      </c>
    </row>
    <row r="84">
      <c r="A84" s="113" t="n">
        <v>45038</v>
      </c>
      <c r="B84" s="114" t="inlineStr">
        <is>
          <t>UPIOUT/311268164406/paytm-61240897@paytm/S
en/5411</t>
        </is>
      </c>
      <c r="C84" s="114" t="inlineStr"/>
      <c r="D84" s="114" t="n">
        <v>9</v>
      </c>
      <c r="E84" s="114" t="n">
        <v>0</v>
      </c>
      <c r="F84" s="114" t="n">
        <v>10.86</v>
      </c>
      <c r="G84" s="114" t="inlineStr">
        <is>
          <t>Personal</t>
        </is>
      </c>
      <c r="H84" s="114" t="inlineStr">
        <is>
          <t>FEDERAL 0847</t>
        </is>
      </c>
    </row>
    <row r="85">
      <c r="A85" s="113" t="n">
        <v>45040</v>
      </c>
      <c r="B85" s="114" t="inlineStr">
        <is>
          <t>NET PI TO HSL SEC A/C 2554606-00602340029427</t>
        </is>
      </c>
      <c r="C85" s="114" t="inlineStr">
        <is>
          <t>0000000404232805</t>
        </is>
      </c>
      <c r="D85" s="114" t="n">
        <v>333.9</v>
      </c>
      <c r="E85" s="114" t="n">
        <v>0</v>
      </c>
      <c r="F85" s="114" t="n">
        <v>24584.65</v>
      </c>
      <c r="G85" s="114" t="inlineStr">
        <is>
          <t>HDFC Securities</t>
        </is>
      </c>
      <c r="H85" s="114" t="inlineStr">
        <is>
          <t>HDFC 5413</t>
        </is>
      </c>
    </row>
    <row r="86">
      <c r="A86" s="113" t="n">
        <v>45040</v>
      </c>
      <c r="B86" s="114" t="inlineStr">
        <is>
          <t>NET PO FROM HSL A/C 2554606-00602340029427</t>
        </is>
      </c>
      <c r="C86" s="114" t="inlineStr">
        <is>
          <t>0000000404337813</t>
        </is>
      </c>
      <c r="D86" s="114" t="n">
        <v>0</v>
      </c>
      <c r="E86" s="114" t="n">
        <v>1160.53</v>
      </c>
      <c r="F86" s="114" t="n">
        <v>25745.18</v>
      </c>
      <c r="G86" s="114" t="inlineStr">
        <is>
          <t>HDFC Securities</t>
        </is>
      </c>
      <c r="H86" s="114" t="inlineStr">
        <is>
          <t>HDFC 5413</t>
        </is>
      </c>
    </row>
    <row r="87">
      <c r="A87" s="113" t="n">
        <v>45041</v>
      </c>
      <c r="B87" s="114" t="inlineStr">
        <is>
          <t>NET PAYIN TO BSE MF A/C -57500000389146- FROM A/C -50100128155413- UCC -2554606-57500000389146</t>
        </is>
      </c>
      <c r="C87" s="114" t="inlineStr">
        <is>
          <t>0000000404507370</t>
        </is>
      </c>
      <c r="D87" s="114" t="n">
        <v>2500</v>
      </c>
      <c r="E87" s="114" t="n">
        <v>0</v>
      </c>
      <c r="F87" s="114" t="n">
        <v>23245.18</v>
      </c>
      <c r="G87" s="114" t="inlineStr">
        <is>
          <t>Investments</t>
        </is>
      </c>
      <c r="H87" s="114" t="inlineStr">
        <is>
          <t>HDFC 5413</t>
        </is>
      </c>
    </row>
    <row r="88">
      <c r="A88" s="113" t="n">
        <v>45041</v>
      </c>
      <c r="B88" s="114" t="inlineStr">
        <is>
          <t>NET PO FROM HSL A/C 2554606-00602340029427</t>
        </is>
      </c>
      <c r="C88" s="114" t="inlineStr">
        <is>
          <t>0000000404523814</t>
        </is>
      </c>
      <c r="D88" s="114" t="n">
        <v>0</v>
      </c>
      <c r="E88" s="114" t="n">
        <v>3975.3</v>
      </c>
      <c r="F88" s="114" t="n">
        <v>27220.48</v>
      </c>
      <c r="G88" s="114" t="inlineStr">
        <is>
          <t>HDFC Securities</t>
        </is>
      </c>
      <c r="H88" s="114" t="inlineStr">
        <is>
          <t>HDFC 5413</t>
        </is>
      </c>
    </row>
    <row r="89">
      <c r="A89" s="113" t="n">
        <v>45041</v>
      </c>
      <c r="B89" s="114" t="inlineStr">
        <is>
          <t>NET PI TO HSL SEC A/C 2554606-00602340029427</t>
        </is>
      </c>
      <c r="C89" s="114" t="inlineStr">
        <is>
          <t>0000000404585647</t>
        </is>
      </c>
      <c r="D89" s="114" t="n">
        <v>111.87</v>
      </c>
      <c r="E89" s="114" t="n">
        <v>0</v>
      </c>
      <c r="F89" s="114" t="n">
        <v>27108.61</v>
      </c>
      <c r="G89" s="114" t="inlineStr">
        <is>
          <t>HDFC Securities</t>
        </is>
      </c>
      <c r="H89" s="114" t="inlineStr">
        <is>
          <t>HDFC 5413</t>
        </is>
      </c>
    </row>
    <row r="90">
      <c r="A90" s="113" t="n">
        <v>45041</v>
      </c>
      <c r="B90" s="114" t="inlineStr">
        <is>
          <t>NET PO FROM HSL A/C 2554606-00602340029427</t>
        </is>
      </c>
      <c r="C90" s="114" t="inlineStr">
        <is>
          <t>0000000404680161</t>
        </is>
      </c>
      <c r="D90" s="114" t="n">
        <v>0</v>
      </c>
      <c r="E90" s="114" t="n">
        <v>4133.83</v>
      </c>
      <c r="F90" s="114" t="n">
        <v>31242.44</v>
      </c>
      <c r="G90" s="114" t="inlineStr">
        <is>
          <t>HDFC Securities</t>
        </is>
      </c>
      <c r="H90" s="114" t="inlineStr">
        <is>
          <t>HDFC 5413</t>
        </is>
      </c>
    </row>
    <row r="91">
      <c r="A91" s="113" t="n">
        <v>45041</v>
      </c>
      <c r="B91" s="114" t="inlineStr">
        <is>
          <t>NET PO FROM HSL A/C 2554606-00602340029427</t>
        </is>
      </c>
      <c r="C91" s="114" t="inlineStr">
        <is>
          <t>0000000404739805</t>
        </is>
      </c>
      <c r="D91" s="114" t="n">
        <v>0</v>
      </c>
      <c r="E91" s="114" t="n">
        <v>9183.040000000001</v>
      </c>
      <c r="F91" s="114" t="n">
        <v>40425.48</v>
      </c>
      <c r="G91" s="114" t="inlineStr">
        <is>
          <t>HDFC Securities</t>
        </is>
      </c>
      <c r="H91" s="114" t="inlineStr">
        <is>
          <t>HDFC 5413</t>
        </is>
      </c>
    </row>
    <row r="92">
      <c r="A92" s="113" t="n">
        <v>45041</v>
      </c>
      <c r="B92" s="114" t="inlineStr">
        <is>
          <t xml:space="preserve">   TO TRANSFER-UPI/DR/348124957377/Mr HAROO/YESB/q840523701/UPI--</t>
        </is>
      </c>
      <c r="C92" s="114" t="inlineStr">
        <is>
          <t>TRANSFER TO 4897691162095</t>
        </is>
      </c>
      <c r="D92" s="114" t="n">
        <v>30</v>
      </c>
      <c r="E92" s="114" t="n">
        <v>0</v>
      </c>
      <c r="F92" s="114" t="n">
        <v>102031.8</v>
      </c>
      <c r="G92" s="114" t="inlineStr">
        <is>
          <t>Personal</t>
        </is>
      </c>
      <c r="H92" s="114" t="inlineStr">
        <is>
          <t>SBI 1227</t>
        </is>
      </c>
    </row>
    <row r="93">
      <c r="A93" s="113" t="n">
        <v>45042</v>
      </c>
      <c r="B93" s="114" t="inlineStr">
        <is>
          <t>NET PI TO HSL SEC A/C 2554606-00602340029427</t>
        </is>
      </c>
      <c r="C93" s="114" t="inlineStr">
        <is>
          <t>0000000404992876</t>
        </is>
      </c>
      <c r="D93" s="114" t="n">
        <v>5928.58</v>
      </c>
      <c r="E93" s="114" t="n">
        <v>0</v>
      </c>
      <c r="F93" s="114" t="n">
        <v>34496.9</v>
      </c>
      <c r="G93" s="114" t="inlineStr">
        <is>
          <t>HDFC Securities</t>
        </is>
      </c>
      <c r="H93" s="114" t="inlineStr">
        <is>
          <t>HDFC 5413</t>
        </is>
      </c>
    </row>
    <row r="94">
      <c r="A94" s="113" t="n">
        <v>45042</v>
      </c>
      <c r="B94" s="114" t="inlineStr">
        <is>
          <t xml:space="preserve">   TO TRANSFER-UPI/DR/311672052419/MEDPLUS /PYTM/paytm-7097/UPI--</t>
        </is>
      </c>
      <c r="C94" s="114" t="inlineStr">
        <is>
          <t>TRANSFER TO 4897692162094</t>
        </is>
      </c>
      <c r="D94" s="114" t="n">
        <v>991.8200000000001</v>
      </c>
      <c r="E94" s="114" t="n">
        <v>0</v>
      </c>
      <c r="F94" s="114" t="n">
        <v>100920.98</v>
      </c>
      <c r="G94" s="114" t="inlineStr">
        <is>
          <t>Personal</t>
        </is>
      </c>
      <c r="H94" s="114" t="inlineStr">
        <is>
          <t>SBI 1227</t>
        </is>
      </c>
    </row>
    <row r="95">
      <c r="A95" s="113" t="n">
        <v>45042</v>
      </c>
      <c r="B95" s="114" t="inlineStr">
        <is>
          <t xml:space="preserve">   TO TRANSFER-UPI/DR/311605861496/Vodafone/PYTM/vilpremum@/UPI--</t>
        </is>
      </c>
      <c r="C95" s="114" t="inlineStr">
        <is>
          <t>TRANSFER TO 4897692162094</t>
        </is>
      </c>
      <c r="D95" s="114" t="n">
        <v>50</v>
      </c>
      <c r="E95" s="114" t="n">
        <v>0</v>
      </c>
      <c r="F95" s="114" t="n">
        <v>101912.8</v>
      </c>
      <c r="G95" s="114" t="inlineStr">
        <is>
          <t>Personal</t>
        </is>
      </c>
      <c r="H95" s="114" t="inlineStr">
        <is>
          <t>SBI 1227</t>
        </is>
      </c>
    </row>
    <row r="96">
      <c r="A96" s="113" t="n">
        <v>45042</v>
      </c>
      <c r="B96" s="114" t="inlineStr">
        <is>
          <t xml:space="preserve">   TO TRANSFER-UPI/DR/311647973323/olamoney1/HDFC/olamoney1./UPI--</t>
        </is>
      </c>
      <c r="C96" s="114" t="inlineStr">
        <is>
          <t>TRANSFER TO 4897692162094</t>
        </is>
      </c>
      <c r="D96" s="114" t="n">
        <v>69</v>
      </c>
      <c r="E96" s="114" t="n">
        <v>0</v>
      </c>
      <c r="F96" s="114" t="n">
        <v>101962.8</v>
      </c>
      <c r="G96" s="114" t="inlineStr">
        <is>
          <t>Personal</t>
        </is>
      </c>
      <c r="H96" s="114" t="inlineStr">
        <is>
          <t>SBI 1227</t>
        </is>
      </c>
    </row>
    <row r="97">
      <c r="A97" s="113" t="n">
        <v>45043</v>
      </c>
      <c r="B97" s="114" t="inlineStr">
        <is>
          <t>NET PI TO HSL SEC A/C 2554606-00602340029427</t>
        </is>
      </c>
      <c r="C97" s="114" t="inlineStr">
        <is>
          <t>0000000405222919</t>
        </is>
      </c>
      <c r="D97" s="114" t="n">
        <v>100.39</v>
      </c>
      <c r="E97" s="114" t="n">
        <v>0</v>
      </c>
      <c r="F97" s="114" t="n">
        <v>34396.51</v>
      </c>
      <c r="G97" s="114" t="inlineStr">
        <is>
          <t>HDFC Securities</t>
        </is>
      </c>
      <c r="H97" s="114" t="inlineStr">
        <is>
          <t>HDFC 5413</t>
        </is>
      </c>
    </row>
    <row r="98">
      <c r="A98" s="113" t="n">
        <v>45043</v>
      </c>
      <c r="B98" s="114" t="inlineStr">
        <is>
          <t>NET PO FROM HSL A/C 2554606-00602340029427</t>
        </is>
      </c>
      <c r="C98" s="114" t="inlineStr">
        <is>
          <t>0000000405321479</t>
        </is>
      </c>
      <c r="D98" s="114" t="n">
        <v>0</v>
      </c>
      <c r="E98" s="114" t="n">
        <v>1200.79</v>
      </c>
      <c r="F98" s="114" t="n">
        <v>35597.3</v>
      </c>
      <c r="G98" s="114" t="inlineStr">
        <is>
          <t>HDFC Securities</t>
        </is>
      </c>
      <c r="H98" s="114" t="inlineStr">
        <is>
          <t>HDFC 5413</t>
        </is>
      </c>
    </row>
    <row r="99">
      <c r="A99" s="113" t="n">
        <v>45043</v>
      </c>
      <c r="B99" s="114" t="inlineStr">
        <is>
          <t xml:space="preserve">   TO TRANSFER-UPI/DR/311707651627/VIDYA AS/YESB/q580300757/UPI--</t>
        </is>
      </c>
      <c r="C99" s="114" t="inlineStr">
        <is>
          <t>TRANSFER TO 4897693162093</t>
        </is>
      </c>
      <c r="D99" s="114" t="n">
        <v>278</v>
      </c>
      <c r="E99" s="114" t="n">
        <v>0</v>
      </c>
      <c r="F99" s="114" t="n">
        <v>100642.98</v>
      </c>
      <c r="G99" s="114" t="inlineStr">
        <is>
          <t>Personal</t>
        </is>
      </c>
      <c r="H99" s="114" t="inlineStr">
        <is>
          <t>SBI 1227</t>
        </is>
      </c>
    </row>
    <row r="100">
      <c r="A100" s="113" t="n">
        <v>45043</v>
      </c>
      <c r="B100" s="114" t="inlineStr">
        <is>
          <t xml:space="preserve">   BY TRANSFER-UPI/CR/311760370847/ARCHIT G/UTIB/archit4801/UPI--</t>
        </is>
      </c>
      <c r="C100" s="114" t="inlineStr">
        <is>
          <t>TRANSFER FROM 4897735162098</t>
        </is>
      </c>
      <c r="D100" s="114" t="n">
        <v>0</v>
      </c>
      <c r="E100" s="114" t="n">
        <v>100</v>
      </c>
      <c r="F100" s="114" t="n">
        <v>100742.98</v>
      </c>
      <c r="G100" s="114" t="inlineStr">
        <is>
          <t>Archit Gupta</t>
        </is>
      </c>
      <c r="H100" s="114" t="inlineStr">
        <is>
          <t>SBI 1227</t>
        </is>
      </c>
    </row>
    <row r="101">
      <c r="A101" s="113" t="n">
        <v>45043</v>
      </c>
      <c r="B101" s="114" t="inlineStr">
        <is>
          <t xml:space="preserve">   TO TRANSFER-UPI/DR/311713120224/ARCHIT G/UTIB/archit4801/UPI--</t>
        </is>
      </c>
      <c r="C101" s="114" t="inlineStr">
        <is>
          <t>TRANSFER TO 4897693162093</t>
        </is>
      </c>
      <c r="D101" s="114" t="n">
        <v>100</v>
      </c>
      <c r="E101" s="114" t="n">
        <v>0</v>
      </c>
      <c r="F101" s="114" t="n">
        <v>100642.98</v>
      </c>
      <c r="G101" s="114" t="inlineStr">
        <is>
          <t>Archit Gupta</t>
        </is>
      </c>
      <c r="H101" s="114" t="inlineStr">
        <is>
          <t>SBI 1227</t>
        </is>
      </c>
    </row>
    <row r="102">
      <c r="A102" s="113" t="n">
        <v>45044</v>
      </c>
      <c r="B102" s="114" t="inlineStr">
        <is>
          <t xml:space="preserve">   BY TRANSFER-UPI/CR/311802002996/GANESH B/HDFC/shelke49@o/UPI--</t>
        </is>
      </c>
      <c r="C102" s="114" t="inlineStr">
        <is>
          <t>TRANSFER FROM 4897736162097</t>
        </is>
      </c>
      <c r="D102" s="114" t="n">
        <v>0</v>
      </c>
      <c r="E102" s="114" t="n">
        <v>670</v>
      </c>
      <c r="F102" s="114" t="n">
        <v>101312.98</v>
      </c>
      <c r="G102" s="114" t="inlineStr">
        <is>
          <t>Personal</t>
        </is>
      </c>
      <c r="H102" s="114" t="inlineStr">
        <is>
          <t>SBI 1227</t>
        </is>
      </c>
    </row>
    <row r="103">
      <c r="A103" s="113" t="n">
        <v>45044</v>
      </c>
      <c r="B103" s="114" t="inlineStr">
        <is>
          <t xml:space="preserve">   TO TRANSFER-UPI/DR/311826037356/VIDYA AS/YESB/q503684025/UPI--</t>
        </is>
      </c>
      <c r="C103" s="114" t="inlineStr">
        <is>
          <t>TRANSFER TO 4897694162092</t>
        </is>
      </c>
      <c r="D103" s="114" t="n">
        <v>108</v>
      </c>
      <c r="E103" s="114" t="n">
        <v>0</v>
      </c>
      <c r="F103" s="114" t="n">
        <v>101204.98</v>
      </c>
      <c r="G103" s="114" t="inlineStr">
        <is>
          <t>Personal</t>
        </is>
      </c>
      <c r="H103" s="114" t="inlineStr">
        <is>
          <t>SBI 1227</t>
        </is>
      </c>
    </row>
    <row r="104">
      <c r="A104" s="113" t="n">
        <v>45044</v>
      </c>
      <c r="B104" s="114" t="inlineStr">
        <is>
          <t xml:space="preserve">   TO TRANSFER-UPI/DR/311843627938/VIDYA AS/YESB/q503684025/UPI--</t>
        </is>
      </c>
      <c r="C104" s="114" t="inlineStr">
        <is>
          <t>TRANSFER TO 4897694162092</t>
        </is>
      </c>
      <c r="D104" s="114" t="n">
        <v>256</v>
      </c>
      <c r="E104" s="114" t="n">
        <v>0</v>
      </c>
      <c r="F104" s="114" t="n">
        <v>100948.98</v>
      </c>
      <c r="G104" s="114" t="inlineStr">
        <is>
          <t>Personal</t>
        </is>
      </c>
      <c r="H104" s="114" t="inlineStr">
        <is>
          <t>SBI 1227</t>
        </is>
      </c>
    </row>
    <row r="105">
      <c r="A105" s="113" t="n">
        <v>45044</v>
      </c>
      <c r="B105" s="114" t="inlineStr">
        <is>
          <t xml:space="preserve">   TO TRANSFER-UPI/DR/311846413894/MANISH H/YESB/q423659019/UPI--</t>
        </is>
      </c>
      <c r="C105" s="114" t="inlineStr">
        <is>
          <t>TRANSFER TO 4897694162092</t>
        </is>
      </c>
      <c r="D105" s="114" t="n">
        <v>45</v>
      </c>
      <c r="E105" s="114" t="n">
        <v>0</v>
      </c>
      <c r="F105" s="114" t="n">
        <v>100903.98</v>
      </c>
      <c r="G105" s="114" t="inlineStr">
        <is>
          <t>Personal</t>
        </is>
      </c>
      <c r="H105" s="114" t="inlineStr">
        <is>
          <t>SBI 1227</t>
        </is>
      </c>
    </row>
    <row r="106">
      <c r="A106" s="113" t="n">
        <v>45044</v>
      </c>
      <c r="B106" s="114" t="inlineStr">
        <is>
          <t>NET PI TO HSL SEC A/C 2554606-00602340029427</t>
        </is>
      </c>
      <c r="C106" s="114" t="inlineStr">
        <is>
          <t>0000000405635367</t>
        </is>
      </c>
      <c r="D106" s="114" t="n">
        <v>1940.44</v>
      </c>
      <c r="E106" s="114" t="n">
        <v>0</v>
      </c>
      <c r="F106" s="114" t="n">
        <v>17756.66</v>
      </c>
      <c r="G106" s="114" t="inlineStr">
        <is>
          <t>HDFC Securities</t>
        </is>
      </c>
      <c r="H106" s="114" t="inlineStr">
        <is>
          <t>HDFC 5413</t>
        </is>
      </c>
    </row>
    <row r="107">
      <c r="A107" s="113" t="n">
        <v>45044</v>
      </c>
      <c r="B107" s="114" t="inlineStr">
        <is>
          <t>NET PI TO HSL SEC A/C 2554606-00602340029427</t>
        </is>
      </c>
      <c r="C107" s="114" t="inlineStr">
        <is>
          <t>0000000405562924</t>
        </is>
      </c>
      <c r="D107" s="114" t="n">
        <v>114.12</v>
      </c>
      <c r="E107" s="114" t="n">
        <v>0</v>
      </c>
      <c r="F107" s="114" t="n">
        <v>35483.18</v>
      </c>
      <c r="G107" s="114" t="inlineStr">
        <is>
          <t>HDFC Securities</t>
        </is>
      </c>
      <c r="H107" s="114" t="inlineStr">
        <is>
          <t>HDFC 5413</t>
        </is>
      </c>
    </row>
    <row r="108">
      <c r="A108" s="113" t="n">
        <v>45044</v>
      </c>
      <c r="B108" s="114" t="inlineStr">
        <is>
          <t>NET PI TO HSL SEC A/C 2554606-00602340029427</t>
        </is>
      </c>
      <c r="C108" s="114" t="inlineStr">
        <is>
          <t>0000000405606841</t>
        </is>
      </c>
      <c r="D108" s="114" t="n">
        <v>15786.08</v>
      </c>
      <c r="E108" s="114" t="n">
        <v>0</v>
      </c>
      <c r="F108" s="114" t="n">
        <v>19697.1</v>
      </c>
      <c r="G108" s="114" t="inlineStr">
        <is>
          <t>HDFC Securities</t>
        </is>
      </c>
      <c r="H108" s="114" t="inlineStr">
        <is>
          <t>HDFC 5413</t>
        </is>
      </c>
    </row>
    <row r="109">
      <c r="A109" s="113" t="n">
        <v>45045</v>
      </c>
      <c r="B109" s="114" t="inlineStr">
        <is>
          <t xml:space="preserve">   TO TRANSFER-UPI/DR/348556626391/Pawan Tr/PYTM/add-money@/Oid20--</t>
        </is>
      </c>
      <c r="C109" s="114" t="inlineStr">
        <is>
          <t>TRANSFER TO 4897695162091</t>
        </is>
      </c>
      <c r="D109" s="114" t="n">
        <v>840</v>
      </c>
      <c r="E109" s="114" t="n">
        <v>0</v>
      </c>
      <c r="F109" s="114" t="n">
        <v>100063.98</v>
      </c>
      <c r="G109" s="114" t="inlineStr">
        <is>
          <t>Personal</t>
        </is>
      </c>
      <c r="H109" s="114" t="inlineStr">
        <is>
          <t>SBI 1227</t>
        </is>
      </c>
    </row>
    <row r="110">
      <c r="A110" s="113" t="n">
        <v>45046</v>
      </c>
      <c r="B110" s="114" t="inlineStr">
        <is>
          <t xml:space="preserve">   TO TRANSFER-UPI/DR/312001785589/MANISH H/YESB/q423659019/UPI--</t>
        </is>
      </c>
      <c r="C110" s="114" t="inlineStr">
        <is>
          <t>TRANSFER TO 4897696162090</t>
        </is>
      </c>
      <c r="D110" s="114" t="n">
        <v>90</v>
      </c>
      <c r="E110" s="114" t="n">
        <v>0</v>
      </c>
      <c r="F110" s="114" t="n">
        <v>99973.98</v>
      </c>
      <c r="G110" s="114" t="inlineStr">
        <is>
          <t>Personal</t>
        </is>
      </c>
      <c r="H110" s="114" t="inlineStr">
        <is>
          <t>SBI 1227</t>
        </is>
      </c>
    </row>
    <row r="111">
      <c r="A111" s="113" t="n">
        <v>45047</v>
      </c>
      <c r="B111" s="114" t="inlineStr">
        <is>
          <t xml:space="preserve">   TO TRANSFER-UPI/DR/312122469551/SHAIKH A/BARB/q892555202/UPI--</t>
        </is>
      </c>
      <c r="C111" s="114" t="inlineStr">
        <is>
          <t>TRANSFER TO 4897690162095</t>
        </is>
      </c>
      <c r="D111" s="114" t="n">
        <v>90</v>
      </c>
      <c r="E111" s="114" t="n">
        <v>0</v>
      </c>
      <c r="F111" s="114" t="n">
        <v>99883.98</v>
      </c>
      <c r="G111" s="114" t="inlineStr">
        <is>
          <t>Personal</t>
        </is>
      </c>
      <c r="H111" s="114" t="inlineStr">
        <is>
          <t>SBI 1227</t>
        </is>
      </c>
    </row>
    <row r="112">
      <c r="A112" s="113" t="n">
        <v>45048</v>
      </c>
      <c r="B112" s="114" t="inlineStr">
        <is>
          <t>NET PI TO HSL SEC A/C 2554606-00602340029427</t>
        </is>
      </c>
      <c r="C112" s="114" t="inlineStr">
        <is>
          <t>0000000405953251</t>
        </is>
      </c>
      <c r="D112" s="114" t="n">
        <v>452.64</v>
      </c>
      <c r="E112" s="114" t="n">
        <v>0</v>
      </c>
      <c r="F112" s="114" t="n">
        <v>17304.02</v>
      </c>
      <c r="G112" s="114" t="inlineStr">
        <is>
          <t>HDFC Securities</t>
        </is>
      </c>
      <c r="H112" s="114" t="inlineStr">
        <is>
          <t>HDFC 5413</t>
        </is>
      </c>
    </row>
    <row r="113">
      <c r="A113" s="113" t="n">
        <v>45049</v>
      </c>
      <c r="B113" s="114" t="inlineStr">
        <is>
          <t>NET PO FROM HSL A/C 2554606-00602340029427</t>
        </is>
      </c>
      <c r="C113" s="114" t="inlineStr">
        <is>
          <t>0000000406758943</t>
        </is>
      </c>
      <c r="D113" s="114" t="n">
        <v>0</v>
      </c>
      <c r="E113" s="114" t="n">
        <v>7290.23</v>
      </c>
      <c r="F113" s="114" t="n">
        <v>24923.2</v>
      </c>
      <c r="G113" s="114" t="inlineStr">
        <is>
          <t>HDFC Securities</t>
        </is>
      </c>
      <c r="H113" s="114" t="inlineStr">
        <is>
          <t>HDFC 5413</t>
        </is>
      </c>
    </row>
    <row r="114">
      <c r="A114" s="113" t="n">
        <v>45049</v>
      </c>
      <c r="B114" s="114" t="inlineStr">
        <is>
          <t>NET PO FROM HSL A/C 2554606-00602340029427</t>
        </is>
      </c>
      <c r="C114" s="114" t="inlineStr">
        <is>
          <t>0000000406080540</t>
        </is>
      </c>
      <c r="D114" s="114" t="n">
        <v>0</v>
      </c>
      <c r="E114" s="114" t="n">
        <v>447.14</v>
      </c>
      <c r="F114" s="114" t="n">
        <v>17751.16</v>
      </c>
      <c r="G114" s="114" t="inlineStr">
        <is>
          <t>HDFC Securities</t>
        </is>
      </c>
      <c r="H114" s="114" t="inlineStr">
        <is>
          <t>HDFC 5413</t>
        </is>
      </c>
    </row>
    <row r="115">
      <c r="A115" s="113" t="n">
        <v>45049</v>
      </c>
      <c r="B115" s="114" t="inlineStr">
        <is>
          <t>NET PI TO HSL SEC A/C 2554606-00602340029427</t>
        </is>
      </c>
      <c r="C115" s="114" t="inlineStr">
        <is>
          <t>0000000406250363</t>
        </is>
      </c>
      <c r="D115" s="114" t="n">
        <v>447.14</v>
      </c>
      <c r="E115" s="114" t="n">
        <v>0</v>
      </c>
      <c r="F115" s="114" t="n">
        <v>17304.02</v>
      </c>
      <c r="G115" s="114" t="inlineStr">
        <is>
          <t>HDFC Securities</t>
        </is>
      </c>
      <c r="H115" s="114" t="inlineStr">
        <is>
          <t>HDFC 5413</t>
        </is>
      </c>
    </row>
    <row r="116">
      <c r="A116" s="113" t="n">
        <v>45049</v>
      </c>
      <c r="B116" s="114" t="inlineStr">
        <is>
          <t>NET PO FROM HSL A/C 2554606-00602340029427</t>
        </is>
      </c>
      <c r="C116" s="114" t="inlineStr">
        <is>
          <t>0000000406306487</t>
        </is>
      </c>
      <c r="D116" s="114" t="n">
        <v>0</v>
      </c>
      <c r="E116" s="114" t="n">
        <v>447.14</v>
      </c>
      <c r="F116" s="114" t="n">
        <v>17751.16</v>
      </c>
      <c r="G116" s="114" t="inlineStr">
        <is>
          <t>HDFC Securities</t>
        </is>
      </c>
      <c r="H116" s="114" t="inlineStr">
        <is>
          <t>HDFC 5413</t>
        </is>
      </c>
    </row>
    <row r="117">
      <c r="A117" s="113" t="n">
        <v>45049</v>
      </c>
      <c r="B117" s="114" t="inlineStr">
        <is>
          <t>NET PI TO HSL SEC A/C 2554606-00602340029427</t>
        </is>
      </c>
      <c r="C117" s="114" t="inlineStr">
        <is>
          <t>0000000406474501</t>
        </is>
      </c>
      <c r="D117" s="114" t="n">
        <v>118.19</v>
      </c>
      <c r="E117" s="114" t="n">
        <v>0</v>
      </c>
      <c r="F117" s="114" t="n">
        <v>17632.97</v>
      </c>
      <c r="G117" s="114" t="inlineStr">
        <is>
          <t>HDFC Securities</t>
        </is>
      </c>
      <c r="H117" s="114" t="inlineStr">
        <is>
          <t>HDFC 5413</t>
        </is>
      </c>
    </row>
    <row r="118">
      <c r="A118" s="113" t="n">
        <v>45049</v>
      </c>
      <c r="B118" s="114" t="inlineStr">
        <is>
          <t>NET PO FROM HSL A/C 2554606-00602340029427</t>
        </is>
      </c>
      <c r="C118" s="114" t="inlineStr">
        <is>
          <t>0000000406585247</t>
        </is>
      </c>
      <c r="D118" s="114" t="n">
        <v>0</v>
      </c>
      <c r="E118" s="114" t="n">
        <v>7290.23</v>
      </c>
      <c r="F118" s="114" t="n">
        <v>24923.2</v>
      </c>
      <c r="G118" s="114" t="inlineStr">
        <is>
          <t>HDFC Securities</t>
        </is>
      </c>
      <c r="H118" s="114" t="inlineStr">
        <is>
          <t>HDFC 5413</t>
        </is>
      </c>
    </row>
    <row r="119">
      <c r="A119" s="113" t="n">
        <v>45049</v>
      </c>
      <c r="B119" s="114" t="inlineStr">
        <is>
          <t>NET PI TO HSL SEC A/C 2554606-00602340029427</t>
        </is>
      </c>
      <c r="C119" s="114" t="inlineStr">
        <is>
          <t>0000000406690737</t>
        </is>
      </c>
      <c r="D119" s="114" t="n">
        <v>7290.23</v>
      </c>
      <c r="E119" s="114" t="n">
        <v>0</v>
      </c>
      <c r="F119" s="114" t="n">
        <v>17632.97</v>
      </c>
      <c r="G119" s="114" t="inlineStr">
        <is>
          <t>HDFC Securities</t>
        </is>
      </c>
      <c r="H119" s="114" t="inlineStr">
        <is>
          <t>HDFC 5413</t>
        </is>
      </c>
    </row>
    <row r="120">
      <c r="A120" s="113" t="n">
        <v>45050</v>
      </c>
      <c r="B120" s="114" t="inlineStr">
        <is>
          <t xml:space="preserve">   TO TRANSFER-UPI/DR/349051186055/Amazon I/YESB/amazon@yap/You a--</t>
        </is>
      </c>
      <c r="C120" s="114" t="inlineStr">
        <is>
          <t>TRANSFER TO 4897693162093</t>
        </is>
      </c>
      <c r="D120" s="114" t="n">
        <v>574</v>
      </c>
      <c r="E120" s="114" t="n">
        <v>0</v>
      </c>
      <c r="F120" s="114" t="n">
        <v>99309.98</v>
      </c>
      <c r="G120" s="114" t="inlineStr">
        <is>
          <t>Shopping</t>
        </is>
      </c>
      <c r="H120" s="114" t="inlineStr">
        <is>
          <t>SBI 1227</t>
        </is>
      </c>
    </row>
    <row r="121">
      <c r="A121" s="113" t="n">
        <v>45050</v>
      </c>
      <c r="B121" s="114" t="inlineStr">
        <is>
          <t>NET PO FROM HSL A/C 2554606-00602340029427</t>
        </is>
      </c>
      <c r="C121" s="114" t="inlineStr">
        <is>
          <t>0000000407004401</t>
        </is>
      </c>
      <c r="D121" s="114" t="n">
        <v>0</v>
      </c>
      <c r="E121" s="114" t="n">
        <v>1909.02</v>
      </c>
      <c r="F121" s="114" t="n">
        <v>26832.22</v>
      </c>
      <c r="G121" s="114" t="inlineStr">
        <is>
          <t>HDFC Securities</t>
        </is>
      </c>
      <c r="H121" s="114" t="inlineStr">
        <is>
          <t>HDFC 5413</t>
        </is>
      </c>
    </row>
    <row r="122">
      <c r="A122" s="113" t="n">
        <v>45051</v>
      </c>
      <c r="B122" s="114" t="inlineStr">
        <is>
          <t>NET PI TO HSL SEC A/C 2554606-00602340029427</t>
        </is>
      </c>
      <c r="C122" s="114" t="inlineStr">
        <is>
          <t>0000000407341878</t>
        </is>
      </c>
      <c r="D122" s="114" t="n">
        <v>110.91</v>
      </c>
      <c r="E122" s="114" t="n">
        <v>0</v>
      </c>
      <c r="F122" s="114" t="n">
        <v>26721.31</v>
      </c>
      <c r="G122" s="114" t="inlineStr">
        <is>
          <t>HDFC Securities</t>
        </is>
      </c>
      <c r="H122" s="114" t="inlineStr">
        <is>
          <t>HDFC 5413</t>
        </is>
      </c>
    </row>
    <row r="123">
      <c r="A123" s="113" t="n">
        <v>45051</v>
      </c>
      <c r="B123" s="114" t="inlineStr">
        <is>
          <t xml:space="preserve">   TO TRANSFER-UPI/DR/312566575884/Chartere/ICIC/charteredb/Ticke--</t>
        </is>
      </c>
      <c r="C123" s="114" t="inlineStr">
        <is>
          <t>TRANSFER TO 4897694162092</t>
        </is>
      </c>
      <c r="D123" s="114" t="n">
        <v>260</v>
      </c>
      <c r="E123" s="114" t="n">
        <v>0</v>
      </c>
      <c r="F123" s="114" t="n">
        <v>99049.98</v>
      </c>
      <c r="G123" s="114" t="inlineStr">
        <is>
          <t>Personal</t>
        </is>
      </c>
      <c r="H123" s="114" t="inlineStr">
        <is>
          <t>SBI 1227</t>
        </is>
      </c>
    </row>
    <row r="124">
      <c r="A124" s="113" t="n">
        <v>45051</v>
      </c>
      <c r="B124" s="114" t="inlineStr">
        <is>
          <t>NET PI TO HSL SEC A/C 2554606-00602340029427</t>
        </is>
      </c>
      <c r="C124" s="114" t="inlineStr">
        <is>
          <t>0000000407478003</t>
        </is>
      </c>
      <c r="D124" s="114" t="n">
        <v>1185.33</v>
      </c>
      <c r="E124" s="114" t="n">
        <v>0</v>
      </c>
      <c r="F124" s="114" t="n">
        <v>25535.98</v>
      </c>
      <c r="G124" s="114" t="inlineStr">
        <is>
          <t>HDFC Securities</t>
        </is>
      </c>
      <c r="H124" s="114" t="inlineStr">
        <is>
          <t>HDFC 5413</t>
        </is>
      </c>
    </row>
    <row r="125">
      <c r="A125" s="113" t="n">
        <v>45051</v>
      </c>
      <c r="B125" s="114" t="inlineStr">
        <is>
          <t>50100542230922-TPT-MNY RTRN TO AAYUSH-ARCHIT GUPTA</t>
        </is>
      </c>
      <c r="C125" s="114" t="inlineStr">
        <is>
          <t>0000000206516745</t>
        </is>
      </c>
      <c r="D125" s="114" t="n">
        <v>0</v>
      </c>
      <c r="E125" s="114" t="n">
        <v>25000</v>
      </c>
      <c r="F125" s="114" t="n">
        <v>50535.98</v>
      </c>
      <c r="G125" s="114" t="inlineStr">
        <is>
          <t>Archit Gupta</t>
        </is>
      </c>
      <c r="H125" s="114" t="inlineStr">
        <is>
          <t>HDFC 5413</t>
        </is>
      </c>
    </row>
    <row r="126">
      <c r="A126" s="113" t="n">
        <v>45052</v>
      </c>
      <c r="B126" s="114" t="inlineStr">
        <is>
          <t xml:space="preserve">   TO TRANSFER-UPI/DR/312614273914/VIDYA AS/YESB/q503684025/UPI--</t>
        </is>
      </c>
      <c r="C126" s="114" t="inlineStr">
        <is>
          <t>TRANSFER TO 4897695162091</t>
        </is>
      </c>
      <c r="D126" s="114" t="n">
        <v>152</v>
      </c>
      <c r="E126" s="114" t="n">
        <v>0</v>
      </c>
      <c r="F126" s="114" t="n">
        <v>98897.98</v>
      </c>
      <c r="G126" s="114" t="inlineStr">
        <is>
          <t>Personal</t>
        </is>
      </c>
      <c r="H126" s="114" t="inlineStr">
        <is>
          <t>SBI 1227</t>
        </is>
      </c>
    </row>
    <row r="127">
      <c r="A127" s="113" t="n">
        <v>45053</v>
      </c>
      <c r="B127" s="114" t="inlineStr">
        <is>
          <t xml:space="preserve">   TO TRANSFER-UPI/DR/312756449530/DEALSKAR/HDFC/dealskart./Pay v--</t>
        </is>
      </c>
      <c r="C127" s="114" t="inlineStr">
        <is>
          <t>TRANSFER TO 4897696162090</t>
        </is>
      </c>
      <c r="D127" s="114" t="n">
        <v>8603.99</v>
      </c>
      <c r="E127" s="114" t="n">
        <v>0</v>
      </c>
      <c r="F127" s="114" t="n">
        <v>89953.99000000001</v>
      </c>
      <c r="G127" s="114" t="inlineStr">
        <is>
          <t>Personal</t>
        </is>
      </c>
      <c r="H127" s="114" t="inlineStr">
        <is>
          <t>SBI 1227</t>
        </is>
      </c>
    </row>
    <row r="128">
      <c r="A128" s="113" t="n">
        <v>45053</v>
      </c>
      <c r="B128" s="114" t="inlineStr">
        <is>
          <t xml:space="preserve">   TO TRANSFER-UPI/DR/312748240642/VIKASH N/UTIB/gpay-11203/UPI--</t>
        </is>
      </c>
      <c r="C128" s="114" t="inlineStr">
        <is>
          <t>TRANSFER TO 4897696162090</t>
        </is>
      </c>
      <c r="D128" s="114" t="n">
        <v>160</v>
      </c>
      <c r="E128" s="114" t="n">
        <v>0</v>
      </c>
      <c r="F128" s="114" t="n">
        <v>98557.98</v>
      </c>
      <c r="G128" s="114" t="inlineStr">
        <is>
          <t>Personal</t>
        </is>
      </c>
      <c r="H128" s="114" t="inlineStr">
        <is>
          <t>SBI 1227</t>
        </is>
      </c>
    </row>
    <row r="129">
      <c r="A129" s="113" t="n">
        <v>45053</v>
      </c>
      <c r="B129" s="114" t="inlineStr">
        <is>
          <t xml:space="preserve">   TO TRANSFER-UPI/DR/312748080382/SELLADUR/YESB/q908014599/UPI--</t>
        </is>
      </c>
      <c r="C129" s="114" t="inlineStr">
        <is>
          <t>TRANSFER TO 4897696162090</t>
        </is>
      </c>
      <c r="D129" s="114" t="n">
        <v>20</v>
      </c>
      <c r="E129" s="114" t="n">
        <v>0</v>
      </c>
      <c r="F129" s="114" t="n">
        <v>98717.98</v>
      </c>
      <c r="G129" s="114" t="inlineStr">
        <is>
          <t>Personal</t>
        </is>
      </c>
      <c r="H129" s="114" t="inlineStr">
        <is>
          <t>SBI 1227</t>
        </is>
      </c>
    </row>
    <row r="130">
      <c r="A130" s="113" t="n">
        <v>45053</v>
      </c>
      <c r="B130" s="114" t="inlineStr">
        <is>
          <t xml:space="preserve">   TO TRANSFER-UPI/DR/312742845901/Mr GOKUL/YESB/q641750174/UPI--</t>
        </is>
      </c>
      <c r="C130" s="114" t="inlineStr">
        <is>
          <t>TRANSFER TO 4897696162090</t>
        </is>
      </c>
      <c r="D130" s="114" t="n">
        <v>160</v>
      </c>
      <c r="E130" s="114" t="n">
        <v>0</v>
      </c>
      <c r="F130" s="114" t="n">
        <v>98737.98</v>
      </c>
      <c r="G130" s="114" t="inlineStr">
        <is>
          <t>Personal</t>
        </is>
      </c>
      <c r="H130" s="114" t="inlineStr">
        <is>
          <t>SBI 1227</t>
        </is>
      </c>
    </row>
    <row r="131">
      <c r="A131" s="113" t="n">
        <v>45054</v>
      </c>
      <c r="B131" s="114" t="inlineStr">
        <is>
          <t>NET PI TO HSL SEC A/C 2554606-00602340029427</t>
        </is>
      </c>
      <c r="C131" s="114" t="inlineStr">
        <is>
          <t>0000000407862830</t>
        </is>
      </c>
      <c r="D131" s="114" t="n">
        <v>330.99</v>
      </c>
      <c r="E131" s="114" t="n">
        <v>0</v>
      </c>
      <c r="F131" s="114" t="n">
        <v>50204.99</v>
      </c>
      <c r="G131" s="114" t="inlineStr">
        <is>
          <t>HDFC Securities</t>
        </is>
      </c>
      <c r="H131" s="114" t="inlineStr">
        <is>
          <t>HDFC 5413</t>
        </is>
      </c>
    </row>
    <row r="132">
      <c r="A132" s="113" t="n">
        <v>45054</v>
      </c>
      <c r="B132" s="114" t="inlineStr">
        <is>
          <t>00602300000434-021882388</t>
        </is>
      </c>
      <c r="C132" s="114" t="inlineStr">
        <is>
          <t>0000305080489089</t>
        </is>
      </c>
      <c r="D132" s="114" t="n">
        <v>0</v>
      </c>
      <c r="E132" s="114" t="n">
        <v>1880</v>
      </c>
      <c r="F132" s="114" t="n">
        <v>52084.99</v>
      </c>
      <c r="G132" s="114" t="inlineStr">
        <is>
          <t>Suspense</t>
        </is>
      </c>
      <c r="H132" s="114" t="inlineStr">
        <is>
          <t>HDFC 5413</t>
        </is>
      </c>
    </row>
    <row r="133">
      <c r="A133" s="113" t="n">
        <v>45054</v>
      </c>
      <c r="B133" s="114" t="inlineStr">
        <is>
          <t>NET PI TO HSL SEC A/C 2554606-00602340029427</t>
        </is>
      </c>
      <c r="C133" s="114" t="inlineStr">
        <is>
          <t>0000000407948602</t>
        </is>
      </c>
      <c r="D133" s="114" t="n">
        <v>949.4</v>
      </c>
      <c r="E133" s="114" t="n">
        <v>0</v>
      </c>
      <c r="F133" s="114" t="n">
        <v>51135.59</v>
      </c>
      <c r="G133" s="114" t="inlineStr">
        <is>
          <t>HDFC Securities</t>
        </is>
      </c>
      <c r="H133" s="114" t="inlineStr">
        <is>
          <t>HDFC 5413</t>
        </is>
      </c>
    </row>
    <row r="134">
      <c r="A134" s="113" t="n">
        <v>45054</v>
      </c>
      <c r="B134" s="114" t="inlineStr">
        <is>
          <t>NET PO FROM HSL A/C 2554606-00602340029427</t>
        </is>
      </c>
      <c r="C134" s="114" t="inlineStr">
        <is>
          <t>0000000408127832</t>
        </is>
      </c>
      <c r="D134" s="114" t="n">
        <v>0</v>
      </c>
      <c r="E134" s="114" t="n">
        <v>26132.84</v>
      </c>
      <c r="F134" s="114" t="n">
        <v>77268.42999999999</v>
      </c>
      <c r="G134" s="114" t="inlineStr">
        <is>
          <t>HDFC Securities</t>
        </is>
      </c>
      <c r="H134" s="114" t="inlineStr">
        <is>
          <t>HDFC 5413</t>
        </is>
      </c>
    </row>
    <row r="135">
      <c r="A135" s="113" t="n">
        <v>45054</v>
      </c>
      <c r="B135" s="114" t="inlineStr">
        <is>
          <t xml:space="preserve">   TO TRANSFER-UPI/DR/312809834902/Dealskart/ICIC/dealskart./UPI--</t>
        </is>
      </c>
      <c r="C135" s="114" t="inlineStr">
        <is>
          <t>TRANSFER TO 4897690162095</t>
        </is>
      </c>
      <c r="D135" s="114" t="n">
        <v>8603.99</v>
      </c>
      <c r="E135" s="114" t="n">
        <v>0</v>
      </c>
      <c r="F135" s="114" t="n">
        <v>81350</v>
      </c>
      <c r="G135" s="114" t="inlineStr">
        <is>
          <t>Personal</t>
        </is>
      </c>
      <c r="H135" s="114" t="inlineStr">
        <is>
          <t>SBI 1227</t>
        </is>
      </c>
    </row>
    <row r="136">
      <c r="A136" s="113" t="n">
        <v>45055</v>
      </c>
      <c r="B136" s="114" t="inlineStr">
        <is>
          <t xml:space="preserve">   BY TRANSFER-INB IMPS312927083932/1234567890/XX0168/Accountval--</t>
        </is>
      </c>
      <c r="C136" s="114" t="inlineStr">
        <is>
          <t xml:space="preserve">MAD000299902490          MAD000299902490          </t>
        </is>
      </c>
      <c r="D136" s="114" t="n">
        <v>0</v>
      </c>
      <c r="E136" s="114" t="n">
        <v>1</v>
      </c>
      <c r="F136" s="114" t="n">
        <v>81331</v>
      </c>
      <c r="G136" s="114" t="inlineStr">
        <is>
          <t>Suspense</t>
        </is>
      </c>
      <c r="H136" s="114" t="inlineStr">
        <is>
          <t>SBI 1227</t>
        </is>
      </c>
    </row>
    <row r="137">
      <c r="A137" s="113" t="n">
        <v>45055</v>
      </c>
      <c r="B137" s="114" t="inlineStr">
        <is>
          <t>NET PI TO HSL SEC A/C 2554606-00602340029427</t>
        </is>
      </c>
      <c r="C137" s="114" t="inlineStr">
        <is>
          <t>0000000408410264</t>
        </is>
      </c>
      <c r="D137" s="114" t="n">
        <v>726.0599999999999</v>
      </c>
      <c r="E137" s="114" t="n">
        <v>0</v>
      </c>
      <c r="F137" s="114" t="n">
        <v>126432.51</v>
      </c>
      <c r="G137" s="114" t="inlineStr">
        <is>
          <t>HDFC Securities</t>
        </is>
      </c>
      <c r="H137" s="114" t="inlineStr">
        <is>
          <t>HDFC 5413</t>
        </is>
      </c>
    </row>
    <row r="138">
      <c r="A138" s="113" t="n">
        <v>45055</v>
      </c>
      <c r="B138" s="114" t="inlineStr">
        <is>
          <t>NET PO FROM HSL A/C 2554606-00602340029427</t>
        </is>
      </c>
      <c r="C138" s="114" t="inlineStr">
        <is>
          <t>0000000408567888</t>
        </is>
      </c>
      <c r="D138" s="114" t="n">
        <v>0</v>
      </c>
      <c r="E138" s="114" t="n">
        <v>9334.18</v>
      </c>
      <c r="F138" s="114" t="n">
        <v>135766.69</v>
      </c>
      <c r="G138" s="114" t="inlineStr">
        <is>
          <t>HDFC Securities</t>
        </is>
      </c>
      <c r="H138" s="114" t="inlineStr">
        <is>
          <t>HDFC 5413</t>
        </is>
      </c>
    </row>
    <row r="139">
      <c r="A139" s="113" t="n">
        <v>45055</v>
      </c>
      <c r="B139" s="114" t="inlineStr">
        <is>
          <t>01671000060094-TPT-MNY RTRN TO AAYUSH-SUNITA GUPTA</t>
        </is>
      </c>
      <c r="C139" s="114" t="inlineStr">
        <is>
          <t>0000000209413278</t>
        </is>
      </c>
      <c r="D139" s="114" t="n">
        <v>0</v>
      </c>
      <c r="E139" s="114" t="n">
        <v>50000</v>
      </c>
      <c r="F139" s="114" t="n">
        <v>127158.57</v>
      </c>
      <c r="G139" s="114" t="inlineStr">
        <is>
          <t>Sunita Gupta</t>
        </is>
      </c>
      <c r="H139" s="114" t="inlineStr">
        <is>
          <t>HDFC 5413</t>
        </is>
      </c>
    </row>
    <row r="140">
      <c r="A140" s="113" t="n">
        <v>45055</v>
      </c>
      <c r="B140" s="114" t="inlineStr">
        <is>
          <t>NET PI TO HSL SEC A/C 2554606-00602340029427</t>
        </is>
      </c>
      <c r="C140" s="114" t="inlineStr">
        <is>
          <t>0000000408304092</t>
        </is>
      </c>
      <c r="D140" s="114" t="n">
        <v>109.86</v>
      </c>
      <c r="E140" s="114" t="n">
        <v>0</v>
      </c>
      <c r="F140" s="114" t="n">
        <v>77158.57000000001</v>
      </c>
      <c r="G140" s="114" t="inlineStr">
        <is>
          <t>HDFC Securities</t>
        </is>
      </c>
      <c r="H140" s="114" t="inlineStr">
        <is>
          <t>HDFC 5413</t>
        </is>
      </c>
    </row>
    <row r="141">
      <c r="A141" s="113" t="n">
        <v>45055</v>
      </c>
      <c r="B141" s="114" t="inlineStr">
        <is>
          <t xml:space="preserve">   TO TRANSFER-UPI/DR/349520104043/AMAZONPA/UTIB/amazonupi@/Reque--</t>
        </is>
      </c>
      <c r="C141" s="114" t="inlineStr">
        <is>
          <t>TRANSFER TO 4897691162095</t>
        </is>
      </c>
      <c r="D141" s="114" t="n">
        <v>673.8099999999999</v>
      </c>
      <c r="E141" s="114" t="n">
        <v>0</v>
      </c>
      <c r="F141" s="114" t="n">
        <v>80657.19</v>
      </c>
      <c r="G141" s="114" t="inlineStr">
        <is>
          <t>Shopping</t>
        </is>
      </c>
      <c r="H141" s="114" t="inlineStr">
        <is>
          <t>SBI 1227</t>
        </is>
      </c>
    </row>
    <row r="142">
      <c r="A142" s="113" t="n">
        <v>45055</v>
      </c>
      <c r="B142" s="114" t="inlineStr">
        <is>
          <t xml:space="preserve">   TO TRANSFER-UPI/DR/312936447271/SACHIN M/KKBK/q157094653/UPI--</t>
        </is>
      </c>
      <c r="C142" s="114" t="inlineStr">
        <is>
          <t>TRANSFER TO 4897691162095</t>
        </is>
      </c>
      <c r="D142" s="114" t="n">
        <v>20</v>
      </c>
      <c r="E142" s="114" t="n">
        <v>0</v>
      </c>
      <c r="F142" s="114" t="n">
        <v>81330</v>
      </c>
      <c r="G142" s="114" t="inlineStr">
        <is>
          <t>Personal</t>
        </is>
      </c>
      <c r="H142" s="114" t="inlineStr">
        <is>
          <t>SBI 1227</t>
        </is>
      </c>
    </row>
    <row r="143">
      <c r="A143" s="113" t="n">
        <v>45056</v>
      </c>
      <c r="B143" s="114" t="inlineStr">
        <is>
          <t>NET PI TO HSL SEC A/C 2554606-00602340029427</t>
        </is>
      </c>
      <c r="C143" s="114" t="inlineStr">
        <is>
          <t>0000000408757944</t>
        </is>
      </c>
      <c r="D143" s="114" t="n">
        <v>115.13</v>
      </c>
      <c r="E143" s="114" t="n">
        <v>0</v>
      </c>
      <c r="F143" s="114" t="n">
        <v>132651.56</v>
      </c>
      <c r="G143" s="114" t="inlineStr">
        <is>
          <t>HDFC Securities</t>
        </is>
      </c>
      <c r="H143" s="114" t="inlineStr">
        <is>
          <t>HDFC 5413</t>
        </is>
      </c>
    </row>
    <row r="144">
      <c r="A144" s="113" t="n">
        <v>45056</v>
      </c>
      <c r="B144" s="114" t="inlineStr">
        <is>
          <t>NET PAYIN TO NSE MF A/C -00990610005906- FROM A/C -50100128155413- UCC -2554606-00990610005906</t>
        </is>
      </c>
      <c r="C144" s="114" t="inlineStr">
        <is>
          <t>0000000408716232</t>
        </is>
      </c>
      <c r="D144" s="114" t="n">
        <v>3000</v>
      </c>
      <c r="E144" s="114" t="n">
        <v>0</v>
      </c>
      <c r="F144" s="114" t="n">
        <v>132766.69</v>
      </c>
      <c r="G144" s="114" t="inlineStr">
        <is>
          <t>Investments</t>
        </is>
      </c>
      <c r="H144" s="114" t="inlineStr">
        <is>
          <t>HDFC 5413</t>
        </is>
      </c>
    </row>
    <row r="145">
      <c r="A145" s="113" t="n">
        <v>45056</v>
      </c>
      <c r="B145" s="114" t="inlineStr">
        <is>
          <t>NET PO FROM HSL A/C 2554606-00602340029427</t>
        </is>
      </c>
      <c r="C145" s="114" t="inlineStr">
        <is>
          <t>0000000408866988</t>
        </is>
      </c>
      <c r="D145" s="114" t="n">
        <v>0</v>
      </c>
      <c r="E145" s="114" t="n">
        <v>3506.31</v>
      </c>
      <c r="F145" s="114" t="n">
        <v>121756.96</v>
      </c>
      <c r="G145" s="114" t="inlineStr">
        <is>
          <t>HDFC Securities</t>
        </is>
      </c>
      <c r="H145" s="114" t="inlineStr">
        <is>
          <t>HDFC 5413</t>
        </is>
      </c>
    </row>
    <row r="146">
      <c r="A146" s="113" t="n">
        <v>45056</v>
      </c>
      <c r="B146" s="114" t="inlineStr">
        <is>
          <t>NET PI TO HSL SEC A/C 2554606-00602340029427</t>
        </is>
      </c>
      <c r="C146" s="114" t="inlineStr">
        <is>
          <t>0000000408811748</t>
        </is>
      </c>
      <c r="D146" s="114" t="n">
        <v>14400.91</v>
      </c>
      <c r="E146" s="114" t="n">
        <v>0</v>
      </c>
      <c r="F146" s="114" t="n">
        <v>118250.65</v>
      </c>
      <c r="G146" s="114" t="inlineStr">
        <is>
          <t>HDFC Securities</t>
        </is>
      </c>
      <c r="H146" s="114" t="inlineStr">
        <is>
          <t>HDFC 5413</t>
        </is>
      </c>
    </row>
    <row r="147">
      <c r="A147" s="113" t="n">
        <v>45057</v>
      </c>
      <c r="B147" s="114" t="inlineStr">
        <is>
          <t xml:space="preserve">   TO TRANSFER-UPI/DR/349743575884/Zomato Ltd/PYTM/zomato-ord/Oid--</t>
        </is>
      </c>
      <c r="C147" s="114" t="inlineStr">
        <is>
          <t>TRANSFER TO 4897693162093</t>
        </is>
      </c>
      <c r="D147" s="114" t="n">
        <v>101.63</v>
      </c>
      <c r="E147" s="114" t="n">
        <v>0</v>
      </c>
      <c r="F147" s="114" t="n">
        <v>80555.56</v>
      </c>
      <c r="G147" s="114" t="inlineStr">
        <is>
          <t>Food &amp; Dining</t>
        </is>
      </c>
      <c r="H147" s="114" t="inlineStr">
        <is>
          <t>SBI 1227</t>
        </is>
      </c>
    </row>
    <row r="148">
      <c r="A148" s="113" t="n">
        <v>45057</v>
      </c>
      <c r="B148" s="114" t="inlineStr">
        <is>
          <t>JANMAR23 INSTAALERTCHG 30 SMS 220323-MIR2413016129235</t>
        </is>
      </c>
      <c r="C148" s="114" t="inlineStr">
        <is>
          <t>MIR2413016129235</t>
        </is>
      </c>
      <c r="D148" s="114" t="n">
        <v>7.08</v>
      </c>
      <c r="E148" s="114" t="n">
        <v>0</v>
      </c>
      <c r="F148" s="114" t="n">
        <v>118633.02</v>
      </c>
      <c r="G148" s="114" t="inlineStr">
        <is>
          <t>Bank Charges</t>
        </is>
      </c>
      <c r="H148" s="114" t="inlineStr">
        <is>
          <t>HDFC 5413</t>
        </is>
      </c>
    </row>
    <row r="149">
      <c r="A149" s="113" t="n">
        <v>45057</v>
      </c>
      <c r="B149" s="114" t="inlineStr">
        <is>
          <t>NET PI TO HSL SEC A/C 2554606-00602340029427</t>
        </is>
      </c>
      <c r="C149" s="114" t="inlineStr">
        <is>
          <t>0000000409181809</t>
        </is>
      </c>
      <c r="D149" s="114" t="n">
        <v>116.86</v>
      </c>
      <c r="E149" s="114" t="n">
        <v>0</v>
      </c>
      <c r="F149" s="114" t="n">
        <v>118640.1</v>
      </c>
      <c r="G149" s="114" t="inlineStr">
        <is>
          <t>HDFC Securities</t>
        </is>
      </c>
      <c r="H149" s="114" t="inlineStr">
        <is>
          <t>HDFC 5413</t>
        </is>
      </c>
    </row>
    <row r="150">
      <c r="A150" s="113" t="n">
        <v>45057</v>
      </c>
      <c r="B150" s="114" t="inlineStr">
        <is>
          <t>NET PAYIN TO BSE MF A/C -57500000389146- FROM A/C -50100128155413- UCC -2554606-57500000389146</t>
        </is>
      </c>
      <c r="C150" s="114" t="inlineStr">
        <is>
          <t>0000000409126323</t>
        </is>
      </c>
      <c r="D150" s="114" t="n">
        <v>3000</v>
      </c>
      <c r="E150" s="114" t="n">
        <v>0</v>
      </c>
      <c r="F150" s="114" t="n">
        <v>118756.96</v>
      </c>
      <c r="G150" s="114" t="inlineStr">
        <is>
          <t>Investments</t>
        </is>
      </c>
      <c r="H150" s="114" t="inlineStr">
        <is>
          <t>HDFC 5413</t>
        </is>
      </c>
    </row>
    <row r="151">
      <c r="A151" s="113" t="n">
        <v>45058</v>
      </c>
      <c r="B151" s="114" t="inlineStr">
        <is>
          <t>NET PI TO HSL SEC A/C 2554606-00602340029427</t>
        </is>
      </c>
      <c r="C151" s="114" t="inlineStr">
        <is>
          <t>0000000409715412</t>
        </is>
      </c>
      <c r="D151" s="114" t="n">
        <v>2696.61</v>
      </c>
      <c r="E151" s="114" t="n">
        <v>0</v>
      </c>
      <c r="F151" s="114" t="n">
        <v>117070.71</v>
      </c>
      <c r="G151" s="114" t="inlineStr">
        <is>
          <t>HDFC Securities</t>
        </is>
      </c>
      <c r="H151" s="114" t="inlineStr">
        <is>
          <t>HDFC 5413</t>
        </is>
      </c>
    </row>
    <row r="152">
      <c r="A152" s="113" t="n">
        <v>45058</v>
      </c>
      <c r="B152" s="114" t="inlineStr">
        <is>
          <t>NET PI TO HSL SEC A/C 2554606-00602340029427</t>
        </is>
      </c>
      <c r="C152" s="114" t="inlineStr">
        <is>
          <t>0000000409609065</t>
        </is>
      </c>
      <c r="D152" s="114" t="n">
        <v>113.5</v>
      </c>
      <c r="E152" s="114" t="n">
        <v>0</v>
      </c>
      <c r="F152" s="114" t="n">
        <v>119767.32</v>
      </c>
      <c r="G152" s="114" t="inlineStr">
        <is>
          <t>HDFC Securities</t>
        </is>
      </c>
      <c r="H152" s="114" t="inlineStr">
        <is>
          <t>HDFC 5413</t>
        </is>
      </c>
    </row>
    <row r="153">
      <c r="A153" s="113" t="n">
        <v>45058</v>
      </c>
      <c r="B153" s="114" t="inlineStr">
        <is>
          <t>NET PO FROM HSL A/C 2554606-00602340029427</t>
        </is>
      </c>
      <c r="C153" s="114" t="inlineStr">
        <is>
          <t>0000000409291492</t>
        </is>
      </c>
      <c r="D153" s="114" t="n">
        <v>0</v>
      </c>
      <c r="E153" s="114" t="n">
        <v>1247.8</v>
      </c>
      <c r="F153" s="114" t="n">
        <v>119880.82</v>
      </c>
      <c r="G153" s="114" t="inlineStr">
        <is>
          <t>HDFC Securities</t>
        </is>
      </c>
      <c r="H153" s="114" t="inlineStr">
        <is>
          <t>HDFC 5413</t>
        </is>
      </c>
    </row>
    <row r="154">
      <c r="A154" s="113" t="n">
        <v>45059</v>
      </c>
      <c r="B154" s="114" t="inlineStr">
        <is>
          <t xml:space="preserve">   TO TRANSFER-UPI/DR/313314795672/BHARAT S/IOBA/8424852034/Payme--</t>
        </is>
      </c>
      <c r="C154" s="114" t="inlineStr">
        <is>
          <t>TRANSFER TO 4897695162091</t>
        </is>
      </c>
      <c r="D154" s="114" t="n">
        <v>240</v>
      </c>
      <c r="E154" s="114" t="n">
        <v>0</v>
      </c>
      <c r="F154" s="114" t="n">
        <v>80315.56</v>
      </c>
      <c r="G154" s="114" t="inlineStr">
        <is>
          <t>Personal</t>
        </is>
      </c>
      <c r="H154" s="114" t="inlineStr">
        <is>
          <t>SBI 1227</t>
        </is>
      </c>
    </row>
    <row r="155">
      <c r="A155" s="113" t="n">
        <v>45059</v>
      </c>
      <c r="B155" s="114" t="inlineStr">
        <is>
          <t xml:space="preserve">   TO TRANSFER-UPI/DR/313378896787/MANISH H/YESB/q423659019/UPI--</t>
        </is>
      </c>
      <c r="C155" s="114" t="inlineStr">
        <is>
          <t>TRANSFER TO 4897695162091</t>
        </is>
      </c>
      <c r="D155" s="114" t="n">
        <v>60</v>
      </c>
      <c r="E155" s="114" t="n">
        <v>0</v>
      </c>
      <c r="F155" s="114" t="n">
        <v>80255.56</v>
      </c>
      <c r="G155" s="114" t="inlineStr">
        <is>
          <t>Personal</t>
        </is>
      </c>
      <c r="H155" s="114" t="inlineStr">
        <is>
          <t>SBI 1227</t>
        </is>
      </c>
    </row>
    <row r="156">
      <c r="A156" s="113" t="n">
        <v>45060</v>
      </c>
      <c r="B156" s="114" t="inlineStr">
        <is>
          <t xml:space="preserve">   BY TRANSFER-UPI/CR/313471029938/DEALSKAR/HDFC/dealskart./Refun--</t>
        </is>
      </c>
      <c r="C156" s="114" t="inlineStr">
        <is>
          <t>TRANSFER FROM 4897738162095</t>
        </is>
      </c>
      <c r="D156" s="114" t="n">
        <v>0</v>
      </c>
      <c r="E156" s="114" t="n">
        <v>8603.99</v>
      </c>
      <c r="F156" s="114" t="n">
        <v>88859.55</v>
      </c>
      <c r="G156" s="114" t="inlineStr">
        <is>
          <t>Personal</t>
        </is>
      </c>
      <c r="H156" s="114" t="inlineStr">
        <is>
          <t>SBI 1227</t>
        </is>
      </c>
    </row>
    <row r="157">
      <c r="A157" s="113" t="n">
        <v>45061</v>
      </c>
      <c r="B157" s="114" t="inlineStr">
        <is>
          <t xml:space="preserve">   TO TRANSFER-UPI/DR/313547141124/KUNAL EA/YESB/q811125368/UPI--</t>
        </is>
      </c>
      <c r="C157" s="114" t="inlineStr">
        <is>
          <t>TRANSFER TO 4897690162095</t>
        </is>
      </c>
      <c r="D157" s="114" t="n">
        <v>70</v>
      </c>
      <c r="E157" s="114" t="n">
        <v>0</v>
      </c>
      <c r="F157" s="114" t="n">
        <v>88789.55</v>
      </c>
      <c r="G157" s="114" t="inlineStr">
        <is>
          <t>Personal</t>
        </is>
      </c>
      <c r="H157" s="114" t="inlineStr">
        <is>
          <t>SBI 1227</t>
        </is>
      </c>
    </row>
    <row r="158">
      <c r="A158" s="113" t="n">
        <v>45061</v>
      </c>
      <c r="B158" s="114" t="inlineStr">
        <is>
          <t>NBSM/12858585/IRCTC(RAZORPAY)/</t>
        </is>
      </c>
      <c r="C158" s="114" t="inlineStr">
        <is>
          <t>-</t>
        </is>
      </c>
      <c r="D158" s="114" t="n">
        <v>134.85</v>
      </c>
      <c r="E158" s="114" t="n">
        <v>0</v>
      </c>
      <c r="F158" s="114" t="n">
        <v>74783.83</v>
      </c>
      <c r="G158" s="114" t="inlineStr">
        <is>
          <t>Travel</t>
        </is>
      </c>
      <c r="H158" s="114" t="inlineStr">
        <is>
          <t>AXIS</t>
        </is>
      </c>
    </row>
    <row r="159">
      <c r="A159" s="113" t="n">
        <v>45061</v>
      </c>
      <c r="B159" s="114" t="inlineStr">
        <is>
          <t>Dr Card Charges ISSUE 4616XXXXXXXX8177</t>
        </is>
      </c>
      <c r="C159" s="114" t="inlineStr">
        <is>
          <t>-</t>
        </is>
      </c>
      <c r="D159" s="114" t="n">
        <v>590</v>
      </c>
      <c r="E159" s="114" t="n">
        <v>0</v>
      </c>
      <c r="F159" s="114" t="n">
        <v>74918.67999999999</v>
      </c>
      <c r="G159" s="114" t="inlineStr">
        <is>
          <t>Bank Charges</t>
        </is>
      </c>
      <c r="H159" s="114" t="inlineStr">
        <is>
          <t>AXIS</t>
        </is>
      </c>
    </row>
    <row r="160">
      <c r="A160" s="113" t="n">
        <v>45061</v>
      </c>
      <c r="B160" s="114" t="inlineStr">
        <is>
          <t>NET PI TO HSL SEC A/C 2554606-00602340029427</t>
        </is>
      </c>
      <c r="C160" s="114" t="inlineStr">
        <is>
          <t>0000000410075712</t>
        </is>
      </c>
      <c r="D160" s="114" t="n">
        <v>336.51</v>
      </c>
      <c r="E160" s="114" t="n">
        <v>0</v>
      </c>
      <c r="F160" s="114" t="n">
        <v>114234.2</v>
      </c>
      <c r="G160" s="114" t="inlineStr">
        <is>
          <t>HDFC Securities</t>
        </is>
      </c>
      <c r="H160" s="114" t="inlineStr">
        <is>
          <t>HDFC 5413</t>
        </is>
      </c>
    </row>
    <row r="161">
      <c r="A161" s="113" t="n">
        <v>45061</v>
      </c>
      <c r="B161" s="114" t="inlineStr">
        <is>
          <t>NET PAYIN TO BSE MF A/C -57500000389146- FROM A/C -50100128155413- UCC -2554606-57500000389146</t>
        </is>
      </c>
      <c r="C161" s="114" t="inlineStr">
        <is>
          <t>0000000410023903</t>
        </is>
      </c>
      <c r="D161" s="114" t="n">
        <v>2500</v>
      </c>
      <c r="E161" s="114" t="n">
        <v>0</v>
      </c>
      <c r="F161" s="114" t="n">
        <v>114570.71</v>
      </c>
      <c r="G161" s="114" t="inlineStr">
        <is>
          <t>Investments</t>
        </is>
      </c>
      <c r="H161" s="114" t="inlineStr">
        <is>
          <t>HDFC 5413</t>
        </is>
      </c>
    </row>
    <row r="162">
      <c r="A162" s="113" t="n">
        <v>45061</v>
      </c>
      <c r="B162" s="114" t="inlineStr">
        <is>
          <t>NET PO FROM HSL A/C 2554606-00602340029427</t>
        </is>
      </c>
      <c r="C162" s="114" t="inlineStr">
        <is>
          <t>0000000410187661</t>
        </is>
      </c>
      <c r="D162" s="114" t="n">
        <v>0</v>
      </c>
      <c r="E162" s="114" t="n">
        <v>47.14</v>
      </c>
      <c r="F162" s="114" t="n">
        <v>114281.34</v>
      </c>
      <c r="G162" s="114" t="inlineStr">
        <is>
          <t>HDFC Securities</t>
        </is>
      </c>
      <c r="H162" s="114" t="inlineStr">
        <is>
          <t>HDFC 5413</t>
        </is>
      </c>
    </row>
    <row r="163">
      <c r="A163" s="113" t="n">
        <v>45062</v>
      </c>
      <c r="B163" s="114" t="inlineStr">
        <is>
          <t>NET PI TO HSL SEC A/C 2554606-00602340029427</t>
        </is>
      </c>
      <c r="C163" s="114" t="inlineStr">
        <is>
          <t>0000000410593900</t>
        </is>
      </c>
      <c r="D163" s="114" t="n">
        <v>14137.55</v>
      </c>
      <c r="E163" s="114" t="n">
        <v>0</v>
      </c>
      <c r="F163" s="114" t="n">
        <v>100025.38</v>
      </c>
      <c r="G163" s="114" t="inlineStr">
        <is>
          <t>HDFC Securities</t>
        </is>
      </c>
      <c r="H163" s="114" t="inlineStr">
        <is>
          <t>HDFC 5413</t>
        </is>
      </c>
    </row>
    <row r="164">
      <c r="A164" s="113" t="n">
        <v>45062</v>
      </c>
      <c r="B164" s="114" t="inlineStr">
        <is>
          <t>NET PI TO HSL SEC A/C 2554606-00602340029427</t>
        </is>
      </c>
      <c r="C164" s="114" t="inlineStr">
        <is>
          <t>0000000410532457</t>
        </is>
      </c>
      <c r="D164" s="114" t="n">
        <v>118.41</v>
      </c>
      <c r="E164" s="114" t="n">
        <v>0</v>
      </c>
      <c r="F164" s="114" t="n">
        <v>114162.93</v>
      </c>
      <c r="G164" s="114" t="inlineStr">
        <is>
          <t>HDFC Securities</t>
        </is>
      </c>
      <c r="H164" s="114" t="inlineStr">
        <is>
          <t>HDFC 5413</t>
        </is>
      </c>
    </row>
    <row r="165">
      <c r="A165" s="113" t="n">
        <v>45062</v>
      </c>
      <c r="B165" s="114" t="inlineStr">
        <is>
          <t>NET PI TO HSL SEC A/C 2554606-00602340029427</t>
        </is>
      </c>
      <c r="C165" s="114" t="inlineStr">
        <is>
          <t>0000000410759234</t>
        </is>
      </c>
      <c r="D165" s="114" t="n">
        <v>1049.11</v>
      </c>
      <c r="E165" s="114" t="n">
        <v>0</v>
      </c>
      <c r="F165" s="114" t="n">
        <v>98756.14</v>
      </c>
      <c r="G165" s="114" t="inlineStr">
        <is>
          <t>HDFC Securities</t>
        </is>
      </c>
      <c r="H165" s="114" t="inlineStr">
        <is>
          <t>HDFC 5413</t>
        </is>
      </c>
    </row>
    <row r="166">
      <c r="A166" s="113" t="n">
        <v>45062</v>
      </c>
      <c r="B166" s="114" t="inlineStr">
        <is>
          <t>NET PO FROM HSL A/C 2554606-00602340029427</t>
        </is>
      </c>
      <c r="C166" s="114" t="inlineStr">
        <is>
          <t>0000000410786389</t>
        </is>
      </c>
      <c r="D166" s="114" t="n">
        <v>0</v>
      </c>
      <c r="E166" s="114" t="n">
        <v>1049.11</v>
      </c>
      <c r="F166" s="114" t="n">
        <v>99805.25</v>
      </c>
      <c r="G166" s="114" t="inlineStr">
        <is>
          <t>HDFC Securities</t>
        </is>
      </c>
      <c r="H166" s="114" t="inlineStr">
        <is>
          <t>HDFC 5413</t>
        </is>
      </c>
    </row>
    <row r="167">
      <c r="A167" s="113" t="n">
        <v>45062</v>
      </c>
      <c r="B167" s="114" t="inlineStr">
        <is>
          <t xml:space="preserve">   TO TRANSFER-UPI/DR/350218976885/amazon p/YESB/amazonpayg/You a--</t>
        </is>
      </c>
      <c r="C167" s="114" t="inlineStr">
        <is>
          <t>TRANSFER TO 4897691162095</t>
        </is>
      </c>
      <c r="D167" s="114" t="n">
        <v>537</v>
      </c>
      <c r="E167" s="114" t="n">
        <v>0</v>
      </c>
      <c r="F167" s="114" t="n">
        <v>88352.55</v>
      </c>
      <c r="G167" s="114" t="inlineStr">
        <is>
          <t>Shopping</t>
        </is>
      </c>
      <c r="H167" s="114" t="inlineStr">
        <is>
          <t>SBI 1227</t>
        </is>
      </c>
    </row>
    <row r="168">
      <c r="A168" s="113" t="n">
        <v>45062</v>
      </c>
      <c r="B168" s="114" t="inlineStr">
        <is>
          <t xml:space="preserve">   BY TRANSFER-UPI/CR/313699004509/TANUJA M/KKBK/tanujami10/UPI--</t>
        </is>
      </c>
      <c r="C168" s="114" t="inlineStr">
        <is>
          <t>TRANSFER FROM 4897733162090</t>
        </is>
      </c>
      <c r="D168" s="114" t="n">
        <v>0</v>
      </c>
      <c r="E168" s="114" t="n">
        <v>100</v>
      </c>
      <c r="F168" s="114" t="n">
        <v>88889.55</v>
      </c>
      <c r="G168" s="114" t="inlineStr">
        <is>
          <t>Personal</t>
        </is>
      </c>
      <c r="H168" s="114" t="inlineStr">
        <is>
          <t>SBI 1227</t>
        </is>
      </c>
    </row>
    <row r="169">
      <c r="A169" s="113" t="n">
        <v>45062</v>
      </c>
      <c r="B169" s="114" t="inlineStr">
        <is>
          <t>NET PI TO HSL SEC A/C 2554606-00602340029427</t>
        </is>
      </c>
      <c r="C169" s="114" t="inlineStr">
        <is>
          <t>0000000410627223</t>
        </is>
      </c>
      <c r="D169" s="114" t="n">
        <v>220.13</v>
      </c>
      <c r="E169" s="114" t="n">
        <v>0</v>
      </c>
      <c r="F169" s="114" t="n">
        <v>99805.25</v>
      </c>
      <c r="G169" s="114" t="inlineStr">
        <is>
          <t>HDFC Securities</t>
        </is>
      </c>
      <c r="H169" s="114" t="inlineStr">
        <is>
          <t>HDFC 5413</t>
        </is>
      </c>
    </row>
    <row r="170">
      <c r="A170" s="113" t="n">
        <v>45063</v>
      </c>
      <c r="B170" s="114" t="inlineStr">
        <is>
          <t>DEPOSITORY CHARGES APR23 - 52812428</t>
        </is>
      </c>
      <c r="C170" s="114" t="inlineStr">
        <is>
          <t>000000000000000</t>
        </is>
      </c>
      <c r="D170" s="114" t="n">
        <v>389.4</v>
      </c>
      <c r="E170" s="114" t="n">
        <v>0</v>
      </c>
      <c r="F170" s="114" t="n">
        <v>99415.85000000001</v>
      </c>
      <c r="G170" s="114" t="inlineStr">
        <is>
          <t>Depository Charges</t>
        </is>
      </c>
      <c r="H170" s="114" t="inlineStr">
        <is>
          <t>HDFC 5413</t>
        </is>
      </c>
    </row>
    <row r="171">
      <c r="A171" s="113" t="n">
        <v>45063</v>
      </c>
      <c r="B171" s="114" t="inlineStr">
        <is>
          <t>NET PI TO HSL SEC A/C 2554606-00602340029427</t>
        </is>
      </c>
      <c r="C171" s="114" t="inlineStr">
        <is>
          <t>0000000410944688</t>
        </is>
      </c>
      <c r="D171" s="114" t="n">
        <v>118.3</v>
      </c>
      <c r="E171" s="114" t="n">
        <v>0</v>
      </c>
      <c r="F171" s="114" t="n">
        <v>99297.55</v>
      </c>
      <c r="G171" s="114" t="inlineStr">
        <is>
          <t>HDFC Securities</t>
        </is>
      </c>
      <c r="H171" s="114" t="inlineStr">
        <is>
          <t>HDFC 5413</t>
        </is>
      </c>
    </row>
    <row r="172">
      <c r="A172" s="113" t="n">
        <v>45063</v>
      </c>
      <c r="B172" s="114" t="inlineStr">
        <is>
          <t xml:space="preserve">   BY TRANSFER-UPI/CR/313714445586/SANGAM P/SBIN/8447569696/Sent--</t>
        </is>
      </c>
      <c r="C172" s="114" t="inlineStr">
        <is>
          <t>TRANSFER FROM 4897734162099</t>
        </is>
      </c>
      <c r="D172" s="114" t="n">
        <v>0</v>
      </c>
      <c r="E172" s="114" t="n">
        <v>250</v>
      </c>
      <c r="F172" s="114" t="n">
        <v>88602.55</v>
      </c>
      <c r="G172" s="114" t="inlineStr">
        <is>
          <t>Personal</t>
        </is>
      </c>
      <c r="H172" s="114" t="inlineStr">
        <is>
          <t>SBI 1227</t>
        </is>
      </c>
    </row>
    <row r="173">
      <c r="A173" s="113" t="n">
        <v>45063</v>
      </c>
      <c r="B173" s="114" t="inlineStr">
        <is>
          <t xml:space="preserve">   TO TRANSFER-UPI/DR/313718027907/KUNAL EA/YESB/q811125368/UPI--</t>
        </is>
      </c>
      <c r="C173" s="114" t="inlineStr">
        <is>
          <t>TRANSFER TO 4897692162094</t>
        </is>
      </c>
      <c r="D173" s="114" t="n">
        <v>140</v>
      </c>
      <c r="E173" s="114" t="n">
        <v>0</v>
      </c>
      <c r="F173" s="114" t="n">
        <v>88462.55</v>
      </c>
      <c r="G173" s="114" t="inlineStr">
        <is>
          <t>Personal</t>
        </is>
      </c>
      <c r="H173" s="114" t="inlineStr">
        <is>
          <t>SBI 1227</t>
        </is>
      </c>
    </row>
    <row r="174">
      <c r="A174" s="113" t="n">
        <v>45063</v>
      </c>
      <c r="B174" s="114" t="inlineStr">
        <is>
          <t>NET PI TO HSL SEC A/C 2554606-00602340029427</t>
        </is>
      </c>
      <c r="C174" s="114" t="inlineStr">
        <is>
          <t>0000000411047533</t>
        </is>
      </c>
      <c r="D174" s="114" t="n">
        <v>22211.92</v>
      </c>
      <c r="E174" s="114" t="n">
        <v>0</v>
      </c>
      <c r="F174" s="114" t="n">
        <v>77085.63</v>
      </c>
      <c r="G174" s="114" t="inlineStr">
        <is>
          <t>HDFC Securities</t>
        </is>
      </c>
      <c r="H174" s="114" t="inlineStr">
        <is>
          <t>HDFC 5413</t>
        </is>
      </c>
    </row>
    <row r="175">
      <c r="A175" s="113" t="n">
        <v>45063</v>
      </c>
      <c r="B175" s="114" t="inlineStr">
        <is>
          <t>NET PO FROM HSL A/C 2554606-00602340029427</t>
        </is>
      </c>
      <c r="C175" s="114" t="inlineStr">
        <is>
          <t>0000000411209357</t>
        </is>
      </c>
      <c r="D175" s="114" t="n">
        <v>0</v>
      </c>
      <c r="E175" s="114" t="n">
        <v>338.46</v>
      </c>
      <c r="F175" s="114" t="n">
        <v>77085.63</v>
      </c>
      <c r="G175" s="114" t="inlineStr">
        <is>
          <t>HDFC Securities</t>
        </is>
      </c>
      <c r="H175" s="114" t="inlineStr">
        <is>
          <t>HDFC 5413</t>
        </is>
      </c>
    </row>
    <row r="176">
      <c r="A176" s="113" t="n">
        <v>45063</v>
      </c>
      <c r="B176" s="114" t="inlineStr">
        <is>
          <t>NET PI TO HSL SEC A/C 2554606-00602340029427</t>
        </is>
      </c>
      <c r="C176" s="114" t="inlineStr">
        <is>
          <t>0000000411170852</t>
        </is>
      </c>
      <c r="D176" s="114" t="n">
        <v>338.46</v>
      </c>
      <c r="E176" s="114" t="n">
        <v>0</v>
      </c>
      <c r="F176" s="114" t="n">
        <v>76747.17</v>
      </c>
      <c r="G176" s="114" t="inlineStr">
        <is>
          <t>HDFC Securities</t>
        </is>
      </c>
      <c r="H176" s="114" t="inlineStr">
        <is>
          <t>HDFC 5413</t>
        </is>
      </c>
    </row>
    <row r="177">
      <c r="A177" s="113" t="n">
        <v>45064</v>
      </c>
      <c r="B177" s="114" t="inlineStr">
        <is>
          <t>ACH C- ORACLEFINANCIALSER-00000000000000</t>
        </is>
      </c>
      <c r="C177" s="114" t="inlineStr">
        <is>
          <t>0000007018948138</t>
        </is>
      </c>
      <c r="D177" s="114" t="n">
        <v>0</v>
      </c>
      <c r="E177" s="114" t="n">
        <v>2250</v>
      </c>
      <c r="F177" s="114" t="n">
        <v>79335.63</v>
      </c>
      <c r="G177" s="114" t="inlineStr">
        <is>
          <t>Dividend Income</t>
        </is>
      </c>
      <c r="H177" s="114" t="inlineStr">
        <is>
          <t>HDFC 5413</t>
        </is>
      </c>
    </row>
    <row r="178">
      <c r="A178" s="113" t="n">
        <v>45064</v>
      </c>
      <c r="B178" s="114" t="inlineStr">
        <is>
          <t>NET PI TO HSL SEC A/C 2554606-00602340029427</t>
        </is>
      </c>
      <c r="C178" s="114" t="inlineStr">
        <is>
          <t>0000000411367958</t>
        </is>
      </c>
      <c r="D178" s="114" t="n">
        <v>107.34</v>
      </c>
      <c r="E178" s="114" t="n">
        <v>0</v>
      </c>
      <c r="F178" s="114" t="n">
        <v>79228.28999999999</v>
      </c>
      <c r="G178" s="114" t="inlineStr">
        <is>
          <t>HDFC Securities</t>
        </is>
      </c>
      <c r="H178" s="114" t="inlineStr">
        <is>
          <t>HDFC 5413</t>
        </is>
      </c>
    </row>
    <row r="179">
      <c r="A179" s="113" t="n">
        <v>45064</v>
      </c>
      <c r="B179" s="114" t="inlineStr">
        <is>
          <t>NET PI TO HSL SEC A/C 2554606-00602340029427</t>
        </is>
      </c>
      <c r="C179" s="114" t="inlineStr">
        <is>
          <t>0000000411416238</t>
        </is>
      </c>
      <c r="D179" s="114" t="n">
        <v>5674.48</v>
      </c>
      <c r="E179" s="114" t="n">
        <v>0</v>
      </c>
      <c r="F179" s="114" t="n">
        <v>73553.81</v>
      </c>
      <c r="G179" s="114" t="inlineStr">
        <is>
          <t>HDFC Securities</t>
        </is>
      </c>
      <c r="H179" s="114" t="inlineStr">
        <is>
          <t>HDFC 5413</t>
        </is>
      </c>
    </row>
    <row r="180">
      <c r="A180" s="113" t="n">
        <v>45064</v>
      </c>
      <c r="B180" s="114" t="inlineStr">
        <is>
          <t>NET PI TO HSL SEC A/C 2554606-00602340029427</t>
        </is>
      </c>
      <c r="C180" s="114" t="inlineStr">
        <is>
          <t>0000000411484496</t>
        </is>
      </c>
      <c r="D180" s="114" t="n">
        <v>10768.54</v>
      </c>
      <c r="E180" s="114" t="n">
        <v>0</v>
      </c>
      <c r="F180" s="114" t="n">
        <v>62785.27</v>
      </c>
      <c r="G180" s="114" t="inlineStr">
        <is>
          <t>HDFC Securities</t>
        </is>
      </c>
      <c r="H180" s="114" t="inlineStr">
        <is>
          <t>HDFC 5413</t>
        </is>
      </c>
    </row>
    <row r="181">
      <c r="A181" s="113" t="n">
        <v>45064</v>
      </c>
      <c r="B181" s="114" t="inlineStr">
        <is>
          <t xml:space="preserve">   TO TRANSFER-UPI/DR/313851087707/The Man /YESB/themancomp/UPI--</t>
        </is>
      </c>
      <c r="C181" s="114" t="inlineStr">
        <is>
          <t>TRANSFER TO 4897693162093</t>
        </is>
      </c>
      <c r="D181" s="114" t="n">
        <v>325</v>
      </c>
      <c r="E181" s="114" t="n">
        <v>0</v>
      </c>
      <c r="F181" s="114" t="n">
        <v>88132.55</v>
      </c>
      <c r="G181" s="114" t="inlineStr">
        <is>
          <t>Personal</t>
        </is>
      </c>
      <c r="H181" s="114" t="inlineStr">
        <is>
          <t>SBI 1227</t>
        </is>
      </c>
    </row>
    <row r="182">
      <c r="A182" s="113" t="n">
        <v>45064</v>
      </c>
      <c r="B182" s="114" t="inlineStr">
        <is>
          <t xml:space="preserve">   BULK POSTING-ACHCr NACH00000000006422 LAURUS LABS LI--</t>
        </is>
      </c>
      <c r="C182" s="114" t="n">
        <v/>
      </c>
      <c r="D182" s="114" t="n">
        <v>0</v>
      </c>
      <c r="E182" s="114" t="n">
        <v>30</v>
      </c>
      <c r="F182" s="114" t="n">
        <v>88457.55</v>
      </c>
      <c r="G182" s="114" t="inlineStr">
        <is>
          <t>Dividend Income</t>
        </is>
      </c>
      <c r="H182" s="114" t="inlineStr">
        <is>
          <t>SBI 1227</t>
        </is>
      </c>
    </row>
    <row r="183">
      <c r="A183" s="113" t="n">
        <v>45064</v>
      </c>
      <c r="B183" s="114" t="inlineStr">
        <is>
          <t xml:space="preserve">   TO TRANSFER-UPI/DR/313829232261/KUNAL EA/YESB/q811125368/milk--</t>
        </is>
      </c>
      <c r="C183" s="114" t="inlineStr">
        <is>
          <t>TRANSFER TO 4897693162093</t>
        </is>
      </c>
      <c r="D183" s="114" t="n">
        <v>35</v>
      </c>
      <c r="E183" s="114" t="n">
        <v>0</v>
      </c>
      <c r="F183" s="114" t="n">
        <v>88427.55</v>
      </c>
      <c r="G183" s="114" t="inlineStr">
        <is>
          <t>Personal</t>
        </is>
      </c>
      <c r="H183" s="114" t="inlineStr">
        <is>
          <t>SBI 1227</t>
        </is>
      </c>
    </row>
    <row r="184">
      <c r="A184" s="113" t="n">
        <v>45065</v>
      </c>
      <c r="B184" s="114" t="inlineStr">
        <is>
          <t xml:space="preserve">   TO TRANSFER-UPI/DR/313915167003/Bharatpe/ICIC/bharatpe.9/Pay T--</t>
        </is>
      </c>
      <c r="C184" s="114" t="inlineStr">
        <is>
          <t>TRANSFER TO 4897694162092</t>
        </is>
      </c>
      <c r="D184" s="114" t="n">
        <v>549</v>
      </c>
      <c r="E184" s="114" t="n">
        <v>0</v>
      </c>
      <c r="F184" s="114" t="n">
        <v>87583.55</v>
      </c>
      <c r="G184" s="114" t="inlineStr">
        <is>
          <t>Personal</t>
        </is>
      </c>
      <c r="H184" s="114" t="inlineStr">
        <is>
          <t>SBI 1227</t>
        </is>
      </c>
    </row>
    <row r="185">
      <c r="A185" s="113" t="n">
        <v>45065</v>
      </c>
      <c r="B185" s="114" t="inlineStr">
        <is>
          <t>NET PI TO HSL SEC A/C 2554606-00602340029427</t>
        </is>
      </c>
      <c r="C185" s="114" t="inlineStr">
        <is>
          <t>0000000411589436</t>
        </is>
      </c>
      <c r="D185" s="114" t="n">
        <v>1350.54</v>
      </c>
      <c r="E185" s="114" t="n">
        <v>0</v>
      </c>
      <c r="F185" s="114" t="n">
        <v>61434.73</v>
      </c>
      <c r="G185" s="114" t="inlineStr">
        <is>
          <t>HDFC Securities</t>
        </is>
      </c>
      <c r="H185" s="114" t="inlineStr">
        <is>
          <t>HDFC 5413</t>
        </is>
      </c>
    </row>
    <row r="186">
      <c r="A186" s="113" t="n">
        <v>45065</v>
      </c>
      <c r="B186" s="114" t="inlineStr">
        <is>
          <t>NET PI TO HSL SEC A/C 2554606-00602340029427</t>
        </is>
      </c>
      <c r="C186" s="114" t="inlineStr">
        <is>
          <t>0000000411784697</t>
        </is>
      </c>
      <c r="D186" s="114" t="n">
        <v>130.04</v>
      </c>
      <c r="E186" s="114" t="n">
        <v>0</v>
      </c>
      <c r="F186" s="114" t="n">
        <v>62655.23</v>
      </c>
      <c r="G186" s="114" t="inlineStr">
        <is>
          <t>HDFC Securities</t>
        </is>
      </c>
      <c r="H186" s="114" t="inlineStr">
        <is>
          <t>HDFC 5413</t>
        </is>
      </c>
    </row>
    <row r="187">
      <c r="A187" s="113" t="n">
        <v>45065</v>
      </c>
      <c r="B187" s="114" t="inlineStr">
        <is>
          <t>NET PO FROM HSL A/C 2554606-00602340029427</t>
        </is>
      </c>
      <c r="C187" s="114" t="inlineStr">
        <is>
          <t>0000000411631699</t>
        </is>
      </c>
      <c r="D187" s="114" t="n">
        <v>0</v>
      </c>
      <c r="E187" s="114" t="n">
        <v>1350.54</v>
      </c>
      <c r="F187" s="114" t="n">
        <v>62785.27</v>
      </c>
      <c r="G187" s="114" t="inlineStr">
        <is>
          <t>HDFC Securities</t>
        </is>
      </c>
      <c r="H187" s="114" t="inlineStr">
        <is>
          <t>HDFC 5413</t>
        </is>
      </c>
    </row>
    <row r="188">
      <c r="A188" s="113" t="n">
        <v>45065</v>
      </c>
      <c r="B188" s="114" t="inlineStr">
        <is>
          <t>NET PO FROM HSL A/C 2554606-00602340029427</t>
        </is>
      </c>
      <c r="C188" s="114" t="inlineStr">
        <is>
          <t>0000000411894102</t>
        </is>
      </c>
      <c r="D188" s="114" t="n">
        <v>0</v>
      </c>
      <c r="E188" s="114" t="n">
        <v>486.55</v>
      </c>
      <c r="F188" s="114" t="n">
        <v>63141.78</v>
      </c>
      <c r="G188" s="114" t="inlineStr">
        <is>
          <t>HDFC Securities</t>
        </is>
      </c>
      <c r="H188" s="114" t="inlineStr">
        <is>
          <t>HDFC 5413</t>
        </is>
      </c>
    </row>
    <row r="189">
      <c r="A189" s="113" t="n">
        <v>45066</v>
      </c>
      <c r="B189" s="114" t="inlineStr">
        <is>
          <t xml:space="preserve">   BY TRANSFER-UPI/CR/314003323481/SANGAM P/PYTM/sangamprav/UPI--</t>
        </is>
      </c>
      <c r="C189" s="114" t="inlineStr">
        <is>
          <t>TRANSFER FROM 4897737162096</t>
        </is>
      </c>
      <c r="D189" s="114" t="n">
        <v>0</v>
      </c>
      <c r="E189" s="114" t="n">
        <v>287</v>
      </c>
      <c r="F189" s="114" t="n">
        <v>86766.73</v>
      </c>
      <c r="G189" s="114" t="inlineStr">
        <is>
          <t>Personal</t>
        </is>
      </c>
      <c r="H189" s="114" t="inlineStr">
        <is>
          <t>SBI 1227</t>
        </is>
      </c>
    </row>
    <row r="190">
      <c r="A190" s="113" t="n">
        <v>45066</v>
      </c>
      <c r="B190" s="114" t="inlineStr">
        <is>
          <t xml:space="preserve">   TO TRANSFER-UPI/DR/314003100568/Add Mone/PYTM/add-money@/UPI--</t>
        </is>
      </c>
      <c r="C190" s="114" t="inlineStr">
        <is>
          <t>TRANSFER TO 4897695162091</t>
        </is>
      </c>
      <c r="D190" s="114" t="n">
        <v>129</v>
      </c>
      <c r="E190" s="114" t="n">
        <v>0</v>
      </c>
      <c r="F190" s="114" t="n">
        <v>87454.55</v>
      </c>
      <c r="G190" s="114" t="inlineStr">
        <is>
          <t>Personal</t>
        </is>
      </c>
      <c r="H190" s="114" t="inlineStr">
        <is>
          <t>SBI 1227</t>
        </is>
      </c>
    </row>
    <row r="191">
      <c r="A191" s="113" t="n">
        <v>45066</v>
      </c>
      <c r="B191" s="114" t="inlineStr">
        <is>
          <t xml:space="preserve">   TO TRANSFER-UPI/DR/314083727068/IRCTC CF/HDFC/irctc.cf@h/IRCTC--</t>
        </is>
      </c>
      <c r="C191" s="114" t="inlineStr">
        <is>
          <t>TRANSFER TO 4897695162091</t>
        </is>
      </c>
      <c r="D191" s="114" t="n">
        <v>142.15</v>
      </c>
      <c r="E191" s="114" t="n">
        <v>0</v>
      </c>
      <c r="F191" s="114" t="n">
        <v>87312.39999999999</v>
      </c>
      <c r="G191" s="114" t="inlineStr">
        <is>
          <t>Travel</t>
        </is>
      </c>
      <c r="H191" s="114" t="inlineStr">
        <is>
          <t>SBI 1227</t>
        </is>
      </c>
    </row>
    <row r="192">
      <c r="A192" s="113" t="n">
        <v>45066</v>
      </c>
      <c r="B192" s="114" t="inlineStr">
        <is>
          <t xml:space="preserve">   TO TRANSFER-UPI/DR/350602864629/MedPlus/YESB/MEDPLUSMAH/Paymen--</t>
        </is>
      </c>
      <c r="C192" s="114" t="inlineStr">
        <is>
          <t>TRANSFER TO 4897695162091</t>
        </is>
      </c>
      <c r="D192" s="114" t="n">
        <v>832.67</v>
      </c>
      <c r="E192" s="114" t="n">
        <v>0</v>
      </c>
      <c r="F192" s="114" t="n">
        <v>86479.73</v>
      </c>
      <c r="G192" s="114" t="inlineStr">
        <is>
          <t>Healthcare</t>
        </is>
      </c>
      <c r="H192" s="114" t="inlineStr">
        <is>
          <t>SBI 1227</t>
        </is>
      </c>
    </row>
    <row r="193">
      <c r="A193" s="113" t="n">
        <v>45067</v>
      </c>
      <c r="B193" s="114" t="inlineStr">
        <is>
          <t xml:space="preserve">   TO TRANSFER-UPI/DR/314186708272/UBER IND/HDFC/uberrides@/charg--</t>
        </is>
      </c>
      <c r="C193" s="114" t="inlineStr">
        <is>
          <t>TRANSFER TO 4897696162090</t>
        </is>
      </c>
      <c r="D193" s="114" t="n">
        <v>209.47</v>
      </c>
      <c r="E193" s="114" t="n">
        <v>0</v>
      </c>
      <c r="F193" s="114" t="n">
        <v>86557.25999999999</v>
      </c>
      <c r="G193" s="114" t="inlineStr">
        <is>
          <t>Transport</t>
        </is>
      </c>
      <c r="H193" s="114" t="inlineStr">
        <is>
          <t>SBI 1227</t>
        </is>
      </c>
    </row>
    <row r="194">
      <c r="A194" s="113" t="n">
        <v>45068</v>
      </c>
      <c r="B194" s="114" t="inlineStr">
        <is>
          <t>NET PI TO HSL SEC A/C 2554606-00602340029427</t>
        </is>
      </c>
      <c r="C194" s="114" t="inlineStr">
        <is>
          <t>0000000412269129</t>
        </is>
      </c>
      <c r="D194" s="114" t="n">
        <v>435.03</v>
      </c>
      <c r="E194" s="114" t="n">
        <v>0</v>
      </c>
      <c r="F194" s="114" t="n">
        <v>64591.75</v>
      </c>
      <c r="G194" s="114" t="inlineStr">
        <is>
          <t>HDFC Securities</t>
        </is>
      </c>
      <c r="H194" s="114" t="inlineStr">
        <is>
          <t>HDFC 5413</t>
        </is>
      </c>
    </row>
    <row r="195">
      <c r="A195" s="113" t="n">
        <v>45068</v>
      </c>
      <c r="B195" s="114" t="inlineStr">
        <is>
          <t xml:space="preserve">   TO TRANSFER-UPI/DR/314244285451/OLA Post/HDFC/olamoney1./UPI--</t>
        </is>
      </c>
      <c r="C195" s="114" t="inlineStr">
        <is>
          <t>TRANSFER TO 4897690162095</t>
        </is>
      </c>
      <c r="D195" s="114" t="n">
        <v>91</v>
      </c>
      <c r="E195" s="114" t="n">
        <v>0</v>
      </c>
      <c r="F195" s="114" t="n">
        <v>86466.25999999999</v>
      </c>
      <c r="G195" s="114" t="inlineStr">
        <is>
          <t>Personal</t>
        </is>
      </c>
      <c r="H195" s="114" t="inlineStr">
        <is>
          <t>SBI 1227</t>
        </is>
      </c>
    </row>
    <row r="196">
      <c r="A196" s="113" t="n">
        <v>45068</v>
      </c>
      <c r="B196" s="114" t="inlineStr">
        <is>
          <t>ACH C- SANOFIINDI DIV PYMT-71PR230518059</t>
        </is>
      </c>
      <c r="C196" s="114" t="inlineStr">
        <is>
          <t>0000001784311260</t>
        </is>
      </c>
      <c r="D196" s="114" t="n">
        <v>0</v>
      </c>
      <c r="E196" s="114" t="n">
        <v>1885</v>
      </c>
      <c r="F196" s="114" t="n">
        <v>65026.78</v>
      </c>
      <c r="G196" s="114" t="inlineStr">
        <is>
          <t>Dividend Income</t>
        </is>
      </c>
      <c r="H196" s="114" t="inlineStr">
        <is>
          <t>HDFC 5413</t>
        </is>
      </c>
    </row>
    <row r="197">
      <c r="A197" s="113" t="n">
        <v>45068</v>
      </c>
      <c r="B197" s="114" t="inlineStr">
        <is>
          <t>01671000085930-TPT-BORROW FROM AAYUSH-AJAY KUMAR GUPTA</t>
        </is>
      </c>
      <c r="C197" s="114" t="inlineStr">
        <is>
          <t>0000000352560173</t>
        </is>
      </c>
      <c r="D197" s="114" t="n">
        <v>20000</v>
      </c>
      <c r="E197" s="114" t="n">
        <v>0</v>
      </c>
      <c r="F197" s="114" t="n">
        <v>44591.75</v>
      </c>
      <c r="G197" s="114" t="inlineStr">
        <is>
          <t>Ajay Gupta</t>
        </is>
      </c>
      <c r="H197" s="114" t="inlineStr">
        <is>
          <t>HDFC 5413</t>
        </is>
      </c>
    </row>
    <row r="198">
      <c r="A198" s="113" t="n">
        <v>45069</v>
      </c>
      <c r="B198" s="114" t="inlineStr">
        <is>
          <t>NET PO FROM HSL A/C 2554606-00602340029427</t>
        </is>
      </c>
      <c r="C198" s="114" t="inlineStr">
        <is>
          <t>0000000412383967</t>
        </is>
      </c>
      <c r="D198" s="114" t="n">
        <v>0</v>
      </c>
      <c r="E198" s="114" t="n">
        <v>359.26</v>
      </c>
      <c r="F198" s="114" t="n">
        <v>44951.01</v>
      </c>
      <c r="G198" s="114" t="inlineStr">
        <is>
          <t>HDFC Securities</t>
        </is>
      </c>
      <c r="H198" s="114" t="inlineStr">
        <is>
          <t>HDFC 5413</t>
        </is>
      </c>
    </row>
    <row r="199">
      <c r="A199" s="113" t="n">
        <v>45069</v>
      </c>
      <c r="B199" s="114" t="inlineStr">
        <is>
          <t>NET PO FROM HSL A/C 2554606-00602340029427</t>
        </is>
      </c>
      <c r="C199" s="114" t="inlineStr">
        <is>
          <t>0000000412400171</t>
        </is>
      </c>
      <c r="D199" s="114" t="n">
        <v>0</v>
      </c>
      <c r="E199" s="114" t="n">
        <v>359.26</v>
      </c>
      <c r="F199" s="114" t="n">
        <v>45310.27</v>
      </c>
      <c r="G199" s="114" t="inlineStr">
        <is>
          <t>HDFC Securities</t>
        </is>
      </c>
      <c r="H199" s="114" t="inlineStr">
        <is>
          <t>HDFC 5413</t>
        </is>
      </c>
    </row>
    <row r="200">
      <c r="A200" s="113" t="n">
        <v>45069</v>
      </c>
      <c r="B200" s="114" t="inlineStr">
        <is>
          <t>NET PI TO HSL SEC A/C 2554606-00602340029427</t>
        </is>
      </c>
      <c r="C200" s="114" t="inlineStr">
        <is>
          <t>0000000412443027</t>
        </is>
      </c>
      <c r="D200" s="114" t="n">
        <v>359.26</v>
      </c>
      <c r="E200" s="114" t="n">
        <v>0</v>
      </c>
      <c r="F200" s="114" t="n">
        <v>44951.01</v>
      </c>
      <c r="G200" s="114" t="inlineStr">
        <is>
          <t>HDFC Securities</t>
        </is>
      </c>
      <c r="H200" s="114" t="inlineStr">
        <is>
          <t>HDFC 5413</t>
        </is>
      </c>
    </row>
    <row r="201">
      <c r="A201" s="113" t="n">
        <v>45069</v>
      </c>
      <c r="B201" s="114" t="inlineStr">
        <is>
          <t>NET PI TO HSL SEC A/C 2554606-00602340029427</t>
        </is>
      </c>
      <c r="C201" s="114" t="inlineStr">
        <is>
          <t>0000000412566358</t>
        </is>
      </c>
      <c r="D201" s="114" t="n">
        <v>145.19</v>
      </c>
      <c r="E201" s="114" t="n">
        <v>0</v>
      </c>
      <c r="F201" s="114" t="n">
        <v>44805.82</v>
      </c>
      <c r="G201" s="114" t="inlineStr">
        <is>
          <t>HDFC Securities</t>
        </is>
      </c>
      <c r="H201" s="114" t="inlineStr">
        <is>
          <t>HDFC 5413</t>
        </is>
      </c>
    </row>
    <row r="202">
      <c r="A202" s="113" t="n">
        <v>45069</v>
      </c>
      <c r="B202" s="114" t="inlineStr">
        <is>
          <t>NET PI TO HSL SEC A/C 2554606-00602340029427</t>
        </is>
      </c>
      <c r="C202" s="114" t="inlineStr">
        <is>
          <t>0000000412667803</t>
        </is>
      </c>
      <c r="D202" s="114" t="n">
        <v>23871.7</v>
      </c>
      <c r="E202" s="114" t="n">
        <v>0</v>
      </c>
      <c r="F202" s="114" t="n">
        <v>20934.12</v>
      </c>
      <c r="G202" s="114" t="inlineStr">
        <is>
          <t>HDFC Securities</t>
        </is>
      </c>
      <c r="H202" s="114" t="inlineStr">
        <is>
          <t>HDFC 5413</t>
        </is>
      </c>
    </row>
    <row r="203">
      <c r="A203" s="113" t="n">
        <v>45070</v>
      </c>
      <c r="B203" s="114" t="inlineStr">
        <is>
          <t>NET PI TO HSL SEC A/C 2554606-00602340029427</t>
        </is>
      </c>
      <c r="C203" s="114" t="inlineStr">
        <is>
          <t>0000000412895548</t>
        </is>
      </c>
      <c r="D203" s="114" t="n">
        <v>133.42</v>
      </c>
      <c r="E203" s="114" t="n">
        <v>0</v>
      </c>
      <c r="F203" s="114" t="n">
        <v>20667.28</v>
      </c>
      <c r="G203" s="114" t="inlineStr">
        <is>
          <t>HDFC Securities</t>
        </is>
      </c>
      <c r="H203" s="114" t="inlineStr">
        <is>
          <t>HDFC 5413</t>
        </is>
      </c>
    </row>
    <row r="204">
      <c r="A204" s="113" t="n">
        <v>45070</v>
      </c>
      <c r="B204" s="114" t="inlineStr">
        <is>
          <t>NET PO FROM HSL A/C 2554606-00602340029427</t>
        </is>
      </c>
      <c r="C204" s="114" t="inlineStr">
        <is>
          <t>0000000413149556</t>
        </is>
      </c>
      <c r="D204" s="114" t="n">
        <v>0</v>
      </c>
      <c r="E204" s="114" t="n">
        <v>133.42</v>
      </c>
      <c r="F204" s="114" t="n">
        <v>20931.94</v>
      </c>
      <c r="G204" s="114" t="inlineStr">
        <is>
          <t>HDFC Securities</t>
        </is>
      </c>
      <c r="H204" s="114" t="inlineStr">
        <is>
          <t>HDFC 5413</t>
        </is>
      </c>
    </row>
    <row r="205">
      <c r="A205" s="113" t="n">
        <v>45070</v>
      </c>
      <c r="B205" s="114" t="inlineStr">
        <is>
          <t>NET PI TO HSL SEC A/C 2554606-00602340029427</t>
        </is>
      </c>
      <c r="C205" s="114" t="inlineStr">
        <is>
          <t>0000000412836900</t>
        </is>
      </c>
      <c r="D205" s="114" t="n">
        <v>133.42</v>
      </c>
      <c r="E205" s="114" t="n">
        <v>0</v>
      </c>
      <c r="F205" s="114" t="n">
        <v>20800.7</v>
      </c>
      <c r="G205" s="114" t="inlineStr">
        <is>
          <t>HDFC Securities</t>
        </is>
      </c>
      <c r="H205" s="114" t="inlineStr">
        <is>
          <t>HDFC 5413</t>
        </is>
      </c>
    </row>
    <row r="206">
      <c r="A206" s="113" t="n">
        <v>45070</v>
      </c>
      <c r="B206" s="114" t="inlineStr">
        <is>
          <t>NET PO FROM HSL A/C 2554606-00602340029427</t>
        </is>
      </c>
      <c r="C206" s="114" t="inlineStr">
        <is>
          <t>0000000412996168</t>
        </is>
      </c>
      <c r="D206" s="114" t="n">
        <v>0</v>
      </c>
      <c r="E206" s="114" t="n">
        <v>131.24</v>
      </c>
      <c r="F206" s="114" t="n">
        <v>20798.52</v>
      </c>
      <c r="G206" s="114" t="inlineStr">
        <is>
          <t>HDFC Securities</t>
        </is>
      </c>
      <c r="H206" s="114" t="inlineStr">
        <is>
          <t>HDFC 5413</t>
        </is>
      </c>
    </row>
    <row r="207">
      <c r="A207" s="113" t="n">
        <v>45071</v>
      </c>
      <c r="B207" s="114" t="inlineStr">
        <is>
          <t>NET PI TO HSL SEC A/C 2554606-00602340029427</t>
        </is>
      </c>
      <c r="C207" s="114" t="inlineStr">
        <is>
          <t>0000000413395983</t>
        </is>
      </c>
      <c r="D207" s="114" t="n">
        <v>5484.32</v>
      </c>
      <c r="E207" s="114" t="n">
        <v>0</v>
      </c>
      <c r="F207" s="114" t="n">
        <v>12806.72</v>
      </c>
      <c r="G207" s="114" t="inlineStr">
        <is>
          <t>HDFC Securities</t>
        </is>
      </c>
      <c r="H207" s="114" t="inlineStr">
        <is>
          <t>HDFC 5413</t>
        </is>
      </c>
    </row>
    <row r="208">
      <c r="A208" s="113" t="n">
        <v>45071</v>
      </c>
      <c r="B208" s="114" t="inlineStr">
        <is>
          <t>ICONN REF/12858585/RAZORPAY/DT.25-05-2023</t>
        </is>
      </c>
      <c r="C208" s="114" t="inlineStr">
        <is>
          <t>-</t>
        </is>
      </c>
      <c r="D208" s="114" t="n">
        <v>0</v>
      </c>
      <c r="E208" s="114" t="n">
        <v>45.28</v>
      </c>
      <c r="F208" s="114" t="n">
        <v>74829.11</v>
      </c>
      <c r="G208" s="114" t="inlineStr">
        <is>
          <t>Suspense</t>
        </is>
      </c>
      <c r="H208" s="114" t="inlineStr">
        <is>
          <t>AXIS</t>
        </is>
      </c>
    </row>
    <row r="209">
      <c r="A209" s="113" t="n">
        <v>45071</v>
      </c>
      <c r="B209" s="114" t="inlineStr">
        <is>
          <t xml:space="preserve">   TO TRANSFER-UPI/DR/314585312544/Mr  AADA/YESB/q964606339/UPI--</t>
        </is>
      </c>
      <c r="C209" s="114" t="inlineStr">
        <is>
          <t>TRANSFER TO 4897693162093</t>
        </is>
      </c>
      <c r="D209" s="114" t="n">
        <v>105</v>
      </c>
      <c r="E209" s="114" t="n">
        <v>0</v>
      </c>
      <c r="F209" s="114" t="n">
        <v>86361.25999999999</v>
      </c>
      <c r="G209" s="114" t="inlineStr">
        <is>
          <t>Personal</t>
        </is>
      </c>
      <c r="H209" s="114" t="inlineStr">
        <is>
          <t>SBI 1227</t>
        </is>
      </c>
    </row>
    <row r="210">
      <c r="A210" s="113" t="n">
        <v>45071</v>
      </c>
      <c r="B210" s="114" t="inlineStr">
        <is>
          <t>NET PAYIN TO BSE MF A/C -57500000389146- FROM A/C -50100128155413- UCC -2554606-57500000389146</t>
        </is>
      </c>
      <c r="C210" s="114" t="inlineStr">
        <is>
          <t>0000000413265245</t>
        </is>
      </c>
      <c r="D210" s="114" t="n">
        <v>2500</v>
      </c>
      <c r="E210" s="114" t="n">
        <v>0</v>
      </c>
      <c r="F210" s="114" t="n">
        <v>18431.94</v>
      </c>
      <c r="G210" s="114" t="inlineStr">
        <is>
          <t>Investments</t>
        </is>
      </c>
      <c r="H210" s="114" t="inlineStr">
        <is>
          <t>HDFC 5413</t>
        </is>
      </c>
    </row>
    <row r="211">
      <c r="A211" s="113" t="n">
        <v>45071</v>
      </c>
      <c r="B211" s="114" t="inlineStr">
        <is>
          <t>NET PI TO HSL SEC A/C 2554606-00602340029427</t>
        </is>
      </c>
      <c r="C211" s="114" t="inlineStr">
        <is>
          <t>0000000413320073</t>
        </is>
      </c>
      <c r="D211" s="114" t="n">
        <v>140.9</v>
      </c>
      <c r="E211" s="114" t="n">
        <v>0</v>
      </c>
      <c r="F211" s="114" t="n">
        <v>18291.04</v>
      </c>
      <c r="G211" s="114" t="inlineStr">
        <is>
          <t>HDFC Securities</t>
        </is>
      </c>
      <c r="H211" s="114" t="inlineStr">
        <is>
          <t>HDFC 5413</t>
        </is>
      </c>
    </row>
    <row r="212">
      <c r="A212" s="113" t="n">
        <v>45072</v>
      </c>
      <c r="B212" s="114" t="inlineStr">
        <is>
          <t>NET PO FROM HSL A/C 2554606-00602340029427</t>
        </is>
      </c>
      <c r="C212" s="114" t="inlineStr">
        <is>
          <t>0000000413876002</t>
        </is>
      </c>
      <c r="D212" s="114" t="n">
        <v>0</v>
      </c>
      <c r="E212" s="114" t="n">
        <v>321.22</v>
      </c>
      <c r="F212" s="114" t="n">
        <v>14230.59</v>
      </c>
      <c r="G212" s="114" t="inlineStr">
        <is>
          <t>HDFC Securities</t>
        </is>
      </c>
      <c r="H212" s="114" t="inlineStr">
        <is>
          <t>HDFC 5413</t>
        </is>
      </c>
    </row>
    <row r="213">
      <c r="A213" s="113" t="n">
        <v>45072</v>
      </c>
      <c r="B213" s="114" t="inlineStr">
        <is>
          <t>NET PI TO HSL SEC A/C 2554606-00602340029427</t>
        </is>
      </c>
      <c r="C213" s="114" t="inlineStr">
        <is>
          <t>0000000413766698</t>
        </is>
      </c>
      <c r="D213" s="114" t="n">
        <v>141.51</v>
      </c>
      <c r="E213" s="114" t="n">
        <v>0</v>
      </c>
      <c r="F213" s="114" t="n">
        <v>13909.37</v>
      </c>
      <c r="G213" s="114" t="inlineStr">
        <is>
          <t>HDFC Securities</t>
        </is>
      </c>
      <c r="H213" s="114" t="inlineStr">
        <is>
          <t>HDFC 5413</t>
        </is>
      </c>
    </row>
    <row r="214">
      <c r="A214" s="113" t="n">
        <v>45072</v>
      </c>
      <c r="B214" s="114" t="inlineStr">
        <is>
          <t>NET PO FROM HSL A/C 2554606-00602340029427</t>
        </is>
      </c>
      <c r="C214" s="114" t="inlineStr">
        <is>
          <t>0000000413612485</t>
        </is>
      </c>
      <c r="D214" s="114" t="n">
        <v>0</v>
      </c>
      <c r="E214" s="114" t="n">
        <v>12094.93</v>
      </c>
      <c r="F214" s="114" t="n">
        <v>14050.88</v>
      </c>
      <c r="G214" s="114" t="inlineStr">
        <is>
          <t>HDFC Securities</t>
        </is>
      </c>
      <c r="H214" s="114" t="inlineStr">
        <is>
          <t>HDFC 5413</t>
        </is>
      </c>
    </row>
    <row r="215">
      <c r="A215" s="113" t="n">
        <v>45072</v>
      </c>
      <c r="B215" s="114" t="inlineStr">
        <is>
          <t>NET PI TO HSL SEC A/C 2554606-00602340029427</t>
        </is>
      </c>
      <c r="C215" s="114" t="inlineStr">
        <is>
          <t>0000000413589363</t>
        </is>
      </c>
      <c r="D215" s="114" t="n">
        <v>12094.93</v>
      </c>
      <c r="E215" s="114" t="n">
        <v>0</v>
      </c>
      <c r="F215" s="114" t="n">
        <v>1955.95</v>
      </c>
      <c r="G215" s="114" t="inlineStr">
        <is>
          <t>HDFC Securities</t>
        </is>
      </c>
      <c r="H215" s="114" t="inlineStr">
        <is>
          <t>HDFC 5413</t>
        </is>
      </c>
    </row>
    <row r="216">
      <c r="A216" s="113" t="n">
        <v>45072</v>
      </c>
      <c r="B216" s="114" t="inlineStr">
        <is>
          <t>NET PO FROM HSL A/C 2554606-00602340029427</t>
        </is>
      </c>
      <c r="C216" s="114" t="inlineStr">
        <is>
          <t>0000000413453891</t>
        </is>
      </c>
      <c r="D216" s="114" t="n">
        <v>0</v>
      </c>
      <c r="E216" s="114" t="n">
        <v>1244.16</v>
      </c>
      <c r="F216" s="114" t="n">
        <v>14050.88</v>
      </c>
      <c r="G216" s="114" t="inlineStr">
        <is>
          <t>HDFC Securities</t>
        </is>
      </c>
      <c r="H216" s="114" t="inlineStr">
        <is>
          <t>HDFC 5413</t>
        </is>
      </c>
    </row>
    <row r="217">
      <c r="A217" s="113" t="n">
        <v>45074</v>
      </c>
      <c r="B217" s="114" t="inlineStr">
        <is>
          <t xml:space="preserve">   TO TRANSFER-UPI/DR/314881967653/SEVEN SP/PYTM/paytmqr281/UPI--</t>
        </is>
      </c>
      <c r="C217" s="114" t="inlineStr">
        <is>
          <t>TRANSFER TO 4897696162090</t>
        </is>
      </c>
      <c r="D217" s="114" t="n">
        <v>70</v>
      </c>
      <c r="E217" s="114" t="n">
        <v>0</v>
      </c>
      <c r="F217" s="114" t="n">
        <v>86291.25999999999</v>
      </c>
      <c r="G217" s="114" t="inlineStr">
        <is>
          <t>Personal</t>
        </is>
      </c>
      <c r="H217" s="114" t="inlineStr">
        <is>
          <t>SBI 1227</t>
        </is>
      </c>
    </row>
    <row r="218">
      <c r="A218" s="113" t="n">
        <v>45075</v>
      </c>
      <c r="B218" s="114" t="inlineStr">
        <is>
          <t>NET PO FROM HSL A/C 2554606-00602340029427</t>
        </is>
      </c>
      <c r="C218" s="114" t="inlineStr">
        <is>
          <t>0000000414343930</t>
        </is>
      </c>
      <c r="D218" s="114" t="n">
        <v>0</v>
      </c>
      <c r="E218" s="114" t="n">
        <v>1274.26</v>
      </c>
      <c r="F218" s="114" t="n">
        <v>15079.84</v>
      </c>
      <c r="G218" s="114" t="inlineStr">
        <is>
          <t>HDFC Securities</t>
        </is>
      </c>
      <c r="H218" s="114" t="inlineStr">
        <is>
          <t>HDFC 5413</t>
        </is>
      </c>
    </row>
    <row r="219">
      <c r="A219" s="113" t="n">
        <v>45075</v>
      </c>
      <c r="B219" s="114" t="inlineStr">
        <is>
          <t>NET PI TO HSL SEC A/C 2554606-00602340029427</t>
        </is>
      </c>
      <c r="C219" s="114" t="inlineStr">
        <is>
          <t>0000000414170271</t>
        </is>
      </c>
      <c r="D219" s="114" t="n">
        <v>425.01</v>
      </c>
      <c r="E219" s="114" t="n">
        <v>0</v>
      </c>
      <c r="F219" s="114" t="n">
        <v>13805.58</v>
      </c>
      <c r="G219" s="114" t="inlineStr">
        <is>
          <t>HDFC Securities</t>
        </is>
      </c>
      <c r="H219" s="114" t="inlineStr">
        <is>
          <t>HDFC 5413</t>
        </is>
      </c>
    </row>
    <row r="220">
      <c r="A220" s="113" t="n">
        <v>45075</v>
      </c>
      <c r="B220" s="114" t="inlineStr">
        <is>
          <t xml:space="preserve">   TO TRANSFER-UPI/DR/314932994602/Vendekin/ICIC/vendekin@i/UPI--</t>
        </is>
      </c>
      <c r="C220" s="114" t="inlineStr">
        <is>
          <t>TRANSFER TO 4897690162095</t>
        </is>
      </c>
      <c r="D220" s="114" t="n">
        <v>60</v>
      </c>
      <c r="E220" s="114" t="n">
        <v>0</v>
      </c>
      <c r="F220" s="114" t="n">
        <v>122233.59</v>
      </c>
      <c r="G220" s="114" t="inlineStr">
        <is>
          <t>Personal</t>
        </is>
      </c>
      <c r="H220" s="114" t="inlineStr">
        <is>
          <t>SBI 1227</t>
        </is>
      </c>
    </row>
    <row r="221">
      <c r="A221" s="113" t="n">
        <v>45075</v>
      </c>
      <c r="B221" s="114" t="inlineStr">
        <is>
          <t xml:space="preserve">   TO TRANSFER-UPI/DR/314929747278/Mr  AADA/YESB/q739730170/UPI--</t>
        </is>
      </c>
      <c r="C221" s="114" t="inlineStr">
        <is>
          <t>TRANSFER TO 4897690162095</t>
        </is>
      </c>
      <c r="D221" s="114" t="n">
        <v>40</v>
      </c>
      <c r="E221" s="114" t="n">
        <v>0</v>
      </c>
      <c r="F221" s="114" t="n">
        <v>122293.59</v>
      </c>
      <c r="G221" s="114" t="inlineStr">
        <is>
          <t>Personal</t>
        </is>
      </c>
      <c r="H221" s="114" t="inlineStr">
        <is>
          <t>SBI 1227</t>
        </is>
      </c>
    </row>
    <row r="222">
      <c r="A222" s="113" t="n">
        <v>45075</v>
      </c>
      <c r="B222" s="114" t="inlineStr">
        <is>
          <t xml:space="preserve">   BY TRANSFER-INB IMPS314909556711/7352813446/XX1167/opentxn994--</t>
        </is>
      </c>
      <c r="C222" s="114" t="inlineStr">
        <is>
          <t xml:space="preserve">MAD000312162118          MAD000312162118          </t>
        </is>
      </c>
      <c r="D222" s="114" t="n">
        <v>0</v>
      </c>
      <c r="E222" s="114" t="n">
        <v>36042.33</v>
      </c>
      <c r="F222" s="114" t="n">
        <v>122333.59</v>
      </c>
      <c r="G222" s="114" t="inlineStr">
        <is>
          <t>Suspense</t>
        </is>
      </c>
      <c r="H222" s="114" t="inlineStr">
        <is>
          <t>SBI 1227</t>
        </is>
      </c>
    </row>
    <row r="223">
      <c r="A223" s="113" t="n">
        <v>45076</v>
      </c>
      <c r="B223" s="114" t="inlineStr">
        <is>
          <t>NET PO FROM HSL A/C 2554606-00602340029427</t>
        </is>
      </c>
      <c r="C223" s="114" t="inlineStr">
        <is>
          <t>0000000414781920</t>
        </is>
      </c>
      <c r="D223" s="114" t="n">
        <v>0</v>
      </c>
      <c r="E223" s="114" t="n">
        <v>857.71</v>
      </c>
      <c r="F223" s="114" t="n">
        <v>15795.25</v>
      </c>
      <c r="G223" s="114" t="inlineStr">
        <is>
          <t>HDFC Securities</t>
        </is>
      </c>
      <c r="H223" s="114" t="inlineStr">
        <is>
          <t>HDFC 5413</t>
        </is>
      </c>
    </row>
    <row r="224">
      <c r="A224" s="113" t="n">
        <v>45076</v>
      </c>
      <c r="B224" s="114" t="inlineStr">
        <is>
          <t xml:space="preserve">   TO TRANSFER-UPI/DR/315005851838/IRCTC CF/HDFC/irctc.cf@h/IRCTC--</t>
        </is>
      </c>
      <c r="C224" s="114" t="inlineStr">
        <is>
          <t>TRANSFER TO 4897691162095</t>
        </is>
      </c>
      <c r="D224" s="114" t="n">
        <v>187.15</v>
      </c>
      <c r="E224" s="114" t="n">
        <v>0</v>
      </c>
      <c r="F224" s="114" t="n">
        <v>102809.59</v>
      </c>
      <c r="G224" s="114" t="inlineStr">
        <is>
          <t>Travel</t>
        </is>
      </c>
      <c r="H224" s="114" t="inlineStr">
        <is>
          <t>SBI 1227</t>
        </is>
      </c>
    </row>
    <row r="225">
      <c r="A225" s="113" t="n">
        <v>45076</v>
      </c>
      <c r="B225" s="114" t="inlineStr">
        <is>
          <t xml:space="preserve">   TO TRANSFER-UPI/DR/315005843853/IRCTC CF/HDFC/irctc.cf@h/IRCTC--</t>
        </is>
      </c>
      <c r="C225" s="114" t="inlineStr">
        <is>
          <t>TRANSFER TO 4897691162095</t>
        </is>
      </c>
      <c r="D225" s="114" t="n">
        <v>1758.95</v>
      </c>
      <c r="E225" s="114" t="n">
        <v>0</v>
      </c>
      <c r="F225" s="114" t="n">
        <v>102996.74</v>
      </c>
      <c r="G225" s="114" t="inlineStr">
        <is>
          <t>Travel</t>
        </is>
      </c>
      <c r="H225" s="114" t="inlineStr">
        <is>
          <t>SBI 1227</t>
        </is>
      </c>
    </row>
    <row r="226">
      <c r="A226" s="113" t="n">
        <v>45076</v>
      </c>
      <c r="B226" s="114" t="inlineStr">
        <is>
          <t xml:space="preserve">   TO TRANSFER-UPI/DR/315005845994/IRCTC CF/HDFC/irctc.cf@h/IRCTC--</t>
        </is>
      </c>
      <c r="C226" s="114" t="inlineStr">
        <is>
          <t>TRANSFER TO 4897691162095</t>
        </is>
      </c>
      <c r="D226" s="114" t="n">
        <v>4964.3</v>
      </c>
      <c r="E226" s="114" t="n">
        <v>0</v>
      </c>
      <c r="F226" s="114" t="n">
        <v>104755.69</v>
      </c>
      <c r="G226" s="114" t="inlineStr">
        <is>
          <t>Travel</t>
        </is>
      </c>
      <c r="H226" s="114" t="inlineStr">
        <is>
          <t>SBI 1227</t>
        </is>
      </c>
    </row>
    <row r="227">
      <c r="A227" s="113" t="n">
        <v>45076</v>
      </c>
      <c r="B227" s="114" t="inlineStr">
        <is>
          <t>NET PI TO HSL SEC A/C 2554606-00602340029427</t>
        </is>
      </c>
      <c r="C227" s="114" t="inlineStr">
        <is>
          <t>0000000414659264</t>
        </is>
      </c>
      <c r="D227" s="114" t="n">
        <v>142.3</v>
      </c>
      <c r="E227" s="114" t="n">
        <v>0</v>
      </c>
      <c r="F227" s="114" t="n">
        <v>14937.54</v>
      </c>
      <c r="G227" s="114" t="inlineStr">
        <is>
          <t>HDFC Securities</t>
        </is>
      </c>
      <c r="H227" s="114" t="inlineStr">
        <is>
          <t>HDFC 5413</t>
        </is>
      </c>
    </row>
    <row r="228">
      <c r="A228" s="113" t="n">
        <v>45076</v>
      </c>
      <c r="B228" s="114" t="inlineStr">
        <is>
          <t xml:space="preserve">   TO TRANSFER-UPI/DR/315005745609/IRCTC CF/HDFC/irctc.cf@h/IRCTC--</t>
        </is>
      </c>
      <c r="C228" s="114" t="inlineStr">
        <is>
          <t>TRANSFER TO 4897691162095</t>
        </is>
      </c>
      <c r="D228" s="114" t="n">
        <v>2513.6</v>
      </c>
      <c r="E228" s="114" t="n">
        <v>0</v>
      </c>
      <c r="F228" s="114" t="n">
        <v>109719.99</v>
      </c>
      <c r="G228" s="114" t="inlineStr">
        <is>
          <t>Travel</t>
        </is>
      </c>
      <c r="H228" s="114" t="inlineStr">
        <is>
          <t>SBI 1227</t>
        </is>
      </c>
    </row>
    <row r="229">
      <c r="A229" s="113" t="n">
        <v>45076</v>
      </c>
      <c r="B229" s="114" t="inlineStr">
        <is>
          <t xml:space="preserve">   TO TRANSFER-UPI/DR/315052294962/Zerodha /HDFC/zerodhabro/16100--</t>
        </is>
      </c>
      <c r="C229" s="114" t="inlineStr">
        <is>
          <t>TRANSFER TO 4897691162095</t>
        </is>
      </c>
      <c r="D229" s="114" t="n">
        <v>10000</v>
      </c>
      <c r="E229" s="114" t="n">
        <v>0</v>
      </c>
      <c r="F229" s="114" t="n">
        <v>112233.59</v>
      </c>
      <c r="G229" s="114" t="inlineStr">
        <is>
          <t>Zerodha Broking Limited</t>
        </is>
      </c>
      <c r="H229" s="114" t="inlineStr">
        <is>
          <t>SBI 1227</t>
        </is>
      </c>
    </row>
    <row r="230">
      <c r="A230" s="113" t="n">
        <v>45077</v>
      </c>
      <c r="B230" s="114" t="inlineStr">
        <is>
          <t xml:space="preserve">   TO TRANSFER-UPI/DR/315174038513/Bharti A/HDFC/airtel.pay/UPITr--</t>
        </is>
      </c>
      <c r="C230" s="114" t="inlineStr">
        <is>
          <t>TRANSFER TO 4897692162094</t>
        </is>
      </c>
      <c r="D230" s="114" t="n">
        <v>65</v>
      </c>
      <c r="E230" s="114" t="n">
        <v>0</v>
      </c>
      <c r="F230" s="114" t="n">
        <v>102744.59</v>
      </c>
      <c r="G230" s="114" t="inlineStr">
        <is>
          <t>Personal</t>
        </is>
      </c>
      <c r="H230" s="114" t="inlineStr">
        <is>
          <t>SBI 1227</t>
        </is>
      </c>
    </row>
    <row r="231">
      <c r="A231" s="113" t="n">
        <v>45077</v>
      </c>
      <c r="B231" s="114" t="inlineStr">
        <is>
          <t>NET PI TO HSL SEC A/C 2554606-00602340029427</t>
        </is>
      </c>
      <c r="C231" s="114" t="inlineStr">
        <is>
          <t>0000000415177335</t>
        </is>
      </c>
      <c r="D231" s="114" t="n">
        <v>632.73</v>
      </c>
      <c r="E231" s="114" t="n">
        <v>0</v>
      </c>
      <c r="F231" s="114" t="n">
        <v>15019.8</v>
      </c>
      <c r="G231" s="114" t="inlineStr">
        <is>
          <t>HDFC Securities</t>
        </is>
      </c>
      <c r="H231" s="114" t="inlineStr">
        <is>
          <t>HDFC 5413</t>
        </is>
      </c>
    </row>
    <row r="232">
      <c r="A232" s="113" t="n">
        <v>45077</v>
      </c>
      <c r="B232" s="114" t="inlineStr">
        <is>
          <t>NET PI TO HSL SEC A/C 2554606-00602340029427</t>
        </is>
      </c>
      <c r="C232" s="114" t="inlineStr">
        <is>
          <t>0000000415058842</t>
        </is>
      </c>
      <c r="D232" s="114" t="n">
        <v>142.72</v>
      </c>
      <c r="E232" s="114" t="n">
        <v>0</v>
      </c>
      <c r="F232" s="114" t="n">
        <v>15652.53</v>
      </c>
      <c r="G232" s="114" t="inlineStr">
        <is>
          <t>HDFC Securities</t>
        </is>
      </c>
      <c r="H232" s="114" t="inlineStr">
        <is>
          <t>HDFC 5413</t>
        </is>
      </c>
    </row>
    <row r="233">
      <c r="A233" s="113" t="n">
        <v>45078</v>
      </c>
      <c r="B233" s="114" t="inlineStr">
        <is>
          <t>SMS Alert Fee</t>
        </is>
      </c>
      <c r="C233" s="113" t="n">
        <v>45130</v>
      </c>
      <c r="D233" s="114" t="n">
        <v>3</v>
      </c>
      <c r="E233" s="114" t="n">
        <v>3</v>
      </c>
      <c r="F233" s="114" t="n">
        <v/>
      </c>
      <c r="G233" s="114" t="inlineStr">
        <is>
          <t>Bank Charges</t>
        </is>
      </c>
      <c r="H233" s="114" t="inlineStr">
        <is>
          <t>AXIS</t>
        </is>
      </c>
    </row>
    <row r="234">
      <c r="A234" s="113" t="n">
        <v>45078</v>
      </c>
      <c r="B234" s="114" t="inlineStr">
        <is>
          <t xml:space="preserve">   TO TRANSFER-UPI/DR/315225154838/Mr  AADA/YESB/q964606339/UPI--</t>
        </is>
      </c>
      <c r="C234" s="114" t="inlineStr">
        <is>
          <t>TRANSFER TO 4897693162093</t>
        </is>
      </c>
      <c r="D234" s="114" t="n">
        <v>70</v>
      </c>
      <c r="E234" s="114" t="n">
        <v>0</v>
      </c>
      <c r="F234" s="114" t="n">
        <v>102674.59</v>
      </c>
      <c r="G234" s="114" t="inlineStr">
        <is>
          <t>Personal</t>
        </is>
      </c>
      <c r="H234" s="114" t="inlineStr">
        <is>
          <t>SBI 1227</t>
        </is>
      </c>
    </row>
    <row r="235">
      <c r="A235" s="113" t="n">
        <v>45078</v>
      </c>
      <c r="B235" s="114" t="inlineStr">
        <is>
          <t>NET PO FROM HSL A/C 2554606-00602340029427</t>
        </is>
      </c>
      <c r="C235" s="114" t="inlineStr">
        <is>
          <t>0000000415550126</t>
        </is>
      </c>
      <c r="D235" s="114" t="n">
        <v>0</v>
      </c>
      <c r="E235" s="114" t="n">
        <v>5257.45</v>
      </c>
      <c r="F235" s="114" t="n">
        <v>20134.84</v>
      </c>
      <c r="G235" s="114" t="inlineStr">
        <is>
          <t>HDFC Securities</t>
        </is>
      </c>
      <c r="H235" s="114" t="inlineStr">
        <is>
          <t>HDFC 5413</t>
        </is>
      </c>
    </row>
    <row r="236">
      <c r="A236" s="113" t="n">
        <v>45078</v>
      </c>
      <c r="B236" s="114" t="inlineStr">
        <is>
          <t xml:space="preserve">   TO TRANSFER-UPI/DR/351835527439/PRANAV  /CNRB/pranavalig/kulch--</t>
        </is>
      </c>
      <c r="C236" s="114" t="inlineStr">
        <is>
          <t>TRANSFER TO 4897694162092</t>
        </is>
      </c>
      <c r="D236" s="114" t="n">
        <v>126</v>
      </c>
      <c r="E236" s="114" t="n">
        <v>0</v>
      </c>
      <c r="F236" s="114" t="n">
        <v>102548.59</v>
      </c>
      <c r="G236" s="114" t="inlineStr">
        <is>
          <t>Personal</t>
        </is>
      </c>
      <c r="H236" s="114" t="inlineStr">
        <is>
          <t>SBI 1227</t>
        </is>
      </c>
    </row>
    <row r="237">
      <c r="A237" s="113" t="n">
        <v>45078</v>
      </c>
      <c r="B237" s="114" t="inlineStr">
        <is>
          <t>NET PO FROM HSL A/C 2554606-00602340029427</t>
        </is>
      </c>
      <c r="C237" s="114" t="inlineStr">
        <is>
          <t>0000000415651103</t>
        </is>
      </c>
      <c r="D237" s="114" t="n">
        <v>0</v>
      </c>
      <c r="E237" s="114" t="n">
        <v>257.66</v>
      </c>
      <c r="F237" s="114" t="n">
        <v>20392.5</v>
      </c>
      <c r="G237" s="114" t="inlineStr">
        <is>
          <t>HDFC Securities</t>
        </is>
      </c>
      <c r="H237" s="114" t="inlineStr">
        <is>
          <t>HDFC 5413</t>
        </is>
      </c>
    </row>
    <row r="238">
      <c r="A238" s="113" t="n">
        <v>45078</v>
      </c>
      <c r="B238" s="114" t="inlineStr">
        <is>
          <t>NET PI TO HSL SEC A/C 2554606-00602340029427</t>
        </is>
      </c>
      <c r="C238" s="114" t="inlineStr">
        <is>
          <t>0000000415529071</t>
        </is>
      </c>
      <c r="D238" s="114" t="n">
        <v>142.41</v>
      </c>
      <c r="E238" s="114" t="n">
        <v>0</v>
      </c>
      <c r="F238" s="114" t="n">
        <v>14877.39</v>
      </c>
      <c r="G238" s="114" t="inlineStr">
        <is>
          <t>HDFC Securities</t>
        </is>
      </c>
      <c r="H238" s="114" t="inlineStr">
        <is>
          <t>HDFC 5413</t>
        </is>
      </c>
    </row>
    <row r="239">
      <c r="A239" s="113" t="n">
        <v>45079</v>
      </c>
      <c r="B239" s="114" t="inlineStr">
        <is>
          <t>NET PI TO HSL SEC A/C 2554606-00602340029427</t>
        </is>
      </c>
      <c r="C239" s="114" t="inlineStr">
        <is>
          <t>0000000415983942</t>
        </is>
      </c>
      <c r="D239" s="114" t="n">
        <v>142.53</v>
      </c>
      <c r="E239" s="114" t="n">
        <v>0</v>
      </c>
      <c r="F239" s="114" t="n">
        <v>20249.97</v>
      </c>
      <c r="G239" s="114" t="inlineStr">
        <is>
          <t>HDFC Securities</t>
        </is>
      </c>
      <c r="H239" s="114" t="inlineStr">
        <is>
          <t>HDFC 5413</t>
        </is>
      </c>
    </row>
    <row r="240">
      <c r="A240" s="113" t="n">
        <v>45079</v>
      </c>
      <c r="B240" s="114" t="inlineStr">
        <is>
          <t>NET PO FROM HSL A/C 2554606-00602340029427</t>
        </is>
      </c>
      <c r="C240" s="114" t="inlineStr">
        <is>
          <t>0000000416105094</t>
        </is>
      </c>
      <c r="D240" s="114" t="n">
        <v>0</v>
      </c>
      <c r="E240" s="114" t="n">
        <v>452.8</v>
      </c>
      <c r="F240" s="114" t="n">
        <v>20702.77</v>
      </c>
      <c r="G240" s="114" t="inlineStr">
        <is>
          <t>HDFC Securities</t>
        </is>
      </c>
      <c r="H240" s="114" t="inlineStr">
        <is>
          <t>HDFC 5413</t>
        </is>
      </c>
    </row>
    <row r="241">
      <c r="A241" s="113" t="n">
        <v>45080</v>
      </c>
      <c r="B241" s="114" t="inlineStr">
        <is>
          <t xml:space="preserve">   BY TRANSFER-UPI/CR/315415718044/IRCTC CF/HDFC/irctc.cf@h/UPI R--</t>
        </is>
      </c>
      <c r="C241" s="114" t="inlineStr">
        <is>
          <t>TRANSFER FROM 4897737162096</t>
        </is>
      </c>
      <c r="D241" s="114" t="n">
        <v>0</v>
      </c>
      <c r="E241" s="114" t="n">
        <v>2425</v>
      </c>
      <c r="F241" s="114" t="n">
        <v>104973.59</v>
      </c>
      <c r="G241" s="114" t="inlineStr">
        <is>
          <t>Travel</t>
        </is>
      </c>
      <c r="H241" s="114" t="inlineStr">
        <is>
          <t>SBI 1227</t>
        </is>
      </c>
    </row>
    <row r="242">
      <c r="A242" s="113" t="n">
        <v>45081</v>
      </c>
      <c r="B242" s="114" t="inlineStr">
        <is>
          <t xml:space="preserve">   TO TRANSFER-UPI/DR/315533591396/SEVEN SP/PYTM/paytmqr281/UPI--</t>
        </is>
      </c>
      <c r="C242" s="114" t="inlineStr">
        <is>
          <t>TRANSFER TO 4897696162090</t>
        </is>
      </c>
      <c r="D242" s="114" t="n">
        <v>60</v>
      </c>
      <c r="E242" s="114" t="n">
        <v>0</v>
      </c>
      <c r="F242" s="114" t="n">
        <v>104913.59</v>
      </c>
      <c r="G242" s="114" t="inlineStr">
        <is>
          <t>Personal</t>
        </is>
      </c>
      <c r="H242" s="114" t="inlineStr">
        <is>
          <t>SBI 1227</t>
        </is>
      </c>
    </row>
    <row r="243">
      <c r="A243" s="113" t="n">
        <v>45082</v>
      </c>
      <c r="B243" s="114" t="inlineStr">
        <is>
          <t>NEFT CR-UTIB0002656-AAYUSH KUMAR GUPTA-AAYUSH KUMAR GUPTA-AXIR231562638106</t>
        </is>
      </c>
      <c r="C243" s="114" t="inlineStr">
        <is>
          <t>AXIR231562638106</t>
        </is>
      </c>
      <c r="D243" s="114" t="n">
        <v>0</v>
      </c>
      <c r="E243" s="114" t="n">
        <v>20000</v>
      </c>
      <c r="F243" s="114" t="n">
        <v>40527.47</v>
      </c>
      <c r="G243" s="114" t="inlineStr">
        <is>
          <t>AXIS</t>
        </is>
      </c>
      <c r="H243" s="114" t="inlineStr">
        <is>
          <t>HDFC 5413</t>
        </is>
      </c>
    </row>
    <row r="244">
      <c r="A244" s="113" t="n">
        <v>45082</v>
      </c>
      <c r="B244" s="114" t="inlineStr">
        <is>
          <t xml:space="preserve">   TO TRANSFER-UPI/DR/315691996331/Vendekin/ICIC/vendekin@i/UPI--</t>
        </is>
      </c>
      <c r="C244" s="114" t="inlineStr">
        <is>
          <t>TRANSFER TO 4897691162095</t>
        </is>
      </c>
      <c r="D244" s="114" t="n">
        <v>20</v>
      </c>
      <c r="E244" s="114" t="n">
        <v>0</v>
      </c>
      <c r="F244" s="114" t="n">
        <v>104873.59</v>
      </c>
      <c r="G244" s="114" t="inlineStr">
        <is>
          <t>Personal</t>
        </is>
      </c>
      <c r="H244" s="114" t="inlineStr">
        <is>
          <t>SBI 1227</t>
        </is>
      </c>
    </row>
    <row r="245">
      <c r="A245" s="113" t="n">
        <v>45082</v>
      </c>
      <c r="B245" s="114" t="inlineStr">
        <is>
          <t>INB/NEFT/AXIR231562638106/Aayush K/HDFC BA/Borrow</t>
        </is>
      </c>
      <c r="C245" s="114" t="inlineStr">
        <is>
          <t>-</t>
        </is>
      </c>
      <c r="D245" s="114" t="n">
        <v>20000</v>
      </c>
      <c r="E245" s="114" t="n">
        <v>0</v>
      </c>
      <c r="F245" s="114" t="n">
        <v>54829.11</v>
      </c>
      <c r="G245" s="114" t="inlineStr">
        <is>
          <t>HDFC 5413</t>
        </is>
      </c>
      <c r="H245" s="114" t="inlineStr">
        <is>
          <t>AXIS</t>
        </is>
      </c>
    </row>
    <row r="246">
      <c r="A246" s="113" t="n">
        <v>45082</v>
      </c>
      <c r="B246" s="114" t="inlineStr">
        <is>
          <t>INB/IFT/Ajay Kumar Gupta/TPARTY TRANSFER</t>
        </is>
      </c>
      <c r="C246" s="114" t="inlineStr">
        <is>
          <t>-</t>
        </is>
      </c>
      <c r="D246" s="114" t="n">
        <v>20000</v>
      </c>
      <c r="E246" s="114" t="n">
        <v>0</v>
      </c>
      <c r="F246" s="114" t="n">
        <v>34829.11</v>
      </c>
      <c r="G246" s="114" t="inlineStr">
        <is>
          <t>Ajay Gupta</t>
        </is>
      </c>
      <c r="H246" s="114" t="inlineStr">
        <is>
          <t>AXIS</t>
        </is>
      </c>
    </row>
    <row r="247">
      <c r="A247" s="113" t="n">
        <v>45082</v>
      </c>
      <c r="B247" s="114" t="inlineStr">
        <is>
          <t xml:space="preserve">   TO TRANSFER-UPI/DR/315686538704/Mr  AADA/YESB/q739730170/UPI--</t>
        </is>
      </c>
      <c r="C247" s="114" t="inlineStr">
        <is>
          <t>TRANSFER TO 4897690162095</t>
        </is>
      </c>
      <c r="D247" s="114" t="n">
        <v>20</v>
      </c>
      <c r="E247" s="114" t="n">
        <v>0</v>
      </c>
      <c r="F247" s="114" t="n">
        <v>104893.59</v>
      </c>
      <c r="G247" s="114" t="inlineStr">
        <is>
          <t>Personal</t>
        </is>
      </c>
      <c r="H247" s="114" t="inlineStr">
        <is>
          <t>SBI 1227</t>
        </is>
      </c>
    </row>
    <row r="248">
      <c r="A248" s="113" t="n">
        <v>45082</v>
      </c>
      <c r="B248" s="114" t="inlineStr">
        <is>
          <t>NET PO FROM HSL A/C 2554606-00602340029427</t>
        </is>
      </c>
      <c r="C248" s="114" t="inlineStr">
        <is>
          <t>0000000416646298</t>
        </is>
      </c>
      <c r="D248" s="114" t="n">
        <v>0</v>
      </c>
      <c r="E248" s="114" t="n">
        <v>252.98</v>
      </c>
      <c r="F248" s="114" t="n">
        <v>20527.47</v>
      </c>
      <c r="G248" s="114" t="inlineStr">
        <is>
          <t>HDFC Securities</t>
        </is>
      </c>
      <c r="H248" s="114" t="inlineStr">
        <is>
          <t>HDFC 5413</t>
        </is>
      </c>
    </row>
    <row r="249">
      <c r="A249" s="113" t="n">
        <v>45082</v>
      </c>
      <c r="B249" s="114" t="inlineStr">
        <is>
          <t>NET PI TO HSL SEC A/C 2554606-00602340029427</t>
        </is>
      </c>
      <c r="C249" s="114" t="inlineStr">
        <is>
          <t>0000000416522059</t>
        </is>
      </c>
      <c r="D249" s="114" t="n">
        <v>428.28</v>
      </c>
      <c r="E249" s="114" t="n">
        <v>0</v>
      </c>
      <c r="F249" s="114" t="n">
        <v>20274.49</v>
      </c>
      <c r="G249" s="114" t="inlineStr">
        <is>
          <t>HDFC Securities</t>
        </is>
      </c>
      <c r="H249" s="114" t="inlineStr">
        <is>
          <t>HDFC 5413</t>
        </is>
      </c>
    </row>
    <row r="250">
      <c r="A250" s="113" t="n">
        <v>45083</v>
      </c>
      <c r="B250" s="114" t="inlineStr">
        <is>
          <t>NET PO FROM HSL A/C 2554606-00602340029427</t>
        </is>
      </c>
      <c r="C250" s="114" t="inlineStr">
        <is>
          <t>0000000417279713</t>
        </is>
      </c>
      <c r="D250" s="114" t="n">
        <v>0</v>
      </c>
      <c r="E250" s="114" t="n">
        <v>9424.639999999999</v>
      </c>
      <c r="F250" s="114" t="n">
        <v>49279.25</v>
      </c>
      <c r="G250" s="114" t="inlineStr">
        <is>
          <t>HDFC Securities</t>
        </is>
      </c>
      <c r="H250" s="114" t="inlineStr">
        <is>
          <t>HDFC 5413</t>
        </is>
      </c>
    </row>
    <row r="251">
      <c r="A251" s="113" t="n">
        <v>45083</v>
      </c>
      <c r="B251" s="114" t="inlineStr">
        <is>
          <t>NET PI TO HSL SEC A/C 2554606-00602340029427</t>
        </is>
      </c>
      <c r="C251" s="114" t="inlineStr">
        <is>
          <t>0000000417110912</t>
        </is>
      </c>
      <c r="D251" s="114" t="n">
        <v>529.98</v>
      </c>
      <c r="E251" s="114" t="n">
        <v>0</v>
      </c>
      <c r="F251" s="114" t="n">
        <v>39854.61</v>
      </c>
      <c r="G251" s="114" t="inlineStr">
        <is>
          <t>HDFC Securities</t>
        </is>
      </c>
      <c r="H251" s="114" t="inlineStr">
        <is>
          <t>HDFC 5413</t>
        </is>
      </c>
    </row>
    <row r="252">
      <c r="A252" s="113" t="n">
        <v>45083</v>
      </c>
      <c r="B252" s="114" t="inlineStr">
        <is>
          <t>NET PI TO HSL SEC A/C 2554606-00602340029427</t>
        </is>
      </c>
      <c r="C252" s="114" t="inlineStr">
        <is>
          <t>0000000416976129</t>
        </is>
      </c>
      <c r="D252" s="114" t="n">
        <v>142.88</v>
      </c>
      <c r="E252" s="114" t="n">
        <v>0</v>
      </c>
      <c r="F252" s="114" t="n">
        <v>40384.59</v>
      </c>
      <c r="G252" s="114" t="inlineStr">
        <is>
          <t>HDFC Securities</t>
        </is>
      </c>
      <c r="H252" s="114" t="inlineStr">
        <is>
          <t>HDFC 5413</t>
        </is>
      </c>
    </row>
    <row r="253">
      <c r="A253" s="113" t="n">
        <v>45083</v>
      </c>
      <c r="B253" s="114" t="inlineStr">
        <is>
          <t xml:space="preserve">   TO TRANSFER-UPI/DR/315722210284/Mr  AADA/YESB/q739730170/UPI--</t>
        </is>
      </c>
      <c r="C253" s="114" t="inlineStr">
        <is>
          <t>TRANSFER TO 4897691162095</t>
        </is>
      </c>
      <c r="D253" s="114" t="n">
        <v>50</v>
      </c>
      <c r="E253" s="114" t="n">
        <v>0</v>
      </c>
      <c r="F253" s="114" t="n">
        <v>104823.59</v>
      </c>
      <c r="G253" s="114" t="inlineStr">
        <is>
          <t>Personal</t>
        </is>
      </c>
      <c r="H253" s="114" t="inlineStr">
        <is>
          <t>SBI 1227</t>
        </is>
      </c>
    </row>
    <row r="254">
      <c r="A254" s="113" t="n">
        <v>45084</v>
      </c>
      <c r="B254" s="114" t="inlineStr">
        <is>
          <t>NET PI TO HSL SEC A/C 2554606-00602340029427</t>
        </is>
      </c>
      <c r="C254" s="114" t="inlineStr">
        <is>
          <t>0000000417437116</t>
        </is>
      </c>
      <c r="D254" s="114" t="n">
        <v>142.62</v>
      </c>
      <c r="E254" s="114" t="n">
        <v>0</v>
      </c>
      <c r="F254" s="114" t="n">
        <v>49136.63</v>
      </c>
      <c r="G254" s="114" t="inlineStr">
        <is>
          <t>HDFC Securities</t>
        </is>
      </c>
      <c r="H254" s="114" t="inlineStr">
        <is>
          <t>HDFC 5413</t>
        </is>
      </c>
    </row>
    <row r="255">
      <c r="A255" s="113" t="n">
        <v>45084</v>
      </c>
      <c r="B255" s="114" t="inlineStr">
        <is>
          <t>00602300000434-022297043</t>
        </is>
      </c>
      <c r="C255" s="114" t="inlineStr">
        <is>
          <t>0000306073476781</t>
        </is>
      </c>
      <c r="D255" s="114" t="n">
        <v>0</v>
      </c>
      <c r="E255" s="114" t="n">
        <v>1880</v>
      </c>
      <c r="F255" s="114" t="n">
        <v>51016.63</v>
      </c>
      <c r="G255" s="114" t="inlineStr">
        <is>
          <t>Suspense</t>
        </is>
      </c>
      <c r="H255" s="114" t="inlineStr">
        <is>
          <t>HDFC 5413</t>
        </is>
      </c>
    </row>
    <row r="256">
      <c r="A256" s="113" t="n">
        <v>45084</v>
      </c>
      <c r="B256" s="114" t="inlineStr">
        <is>
          <t>NET PI TO HSL SEC A/C 2554606-00602340029427</t>
        </is>
      </c>
      <c r="C256" s="114" t="inlineStr">
        <is>
          <t>0000000417549430</t>
        </is>
      </c>
      <c r="D256" s="114" t="n">
        <v>17825.67</v>
      </c>
      <c r="E256" s="114" t="n">
        <v>0</v>
      </c>
      <c r="F256" s="114" t="n">
        <v>33190.96</v>
      </c>
      <c r="G256" s="114" t="inlineStr">
        <is>
          <t>HDFC Securities</t>
        </is>
      </c>
      <c r="H256" s="114" t="inlineStr">
        <is>
          <t>HDFC 5413</t>
        </is>
      </c>
    </row>
    <row r="257">
      <c r="A257" s="113" t="n">
        <v>45084</v>
      </c>
      <c r="B257" s="114" t="inlineStr">
        <is>
          <t>NET PO FROM HSL A/C 2554606-00602340029427</t>
        </is>
      </c>
      <c r="C257" s="114" t="inlineStr">
        <is>
          <t>0000000417734696</t>
        </is>
      </c>
      <c r="D257" s="114" t="n">
        <v>0</v>
      </c>
      <c r="E257" s="114" t="n">
        <v>14433.7</v>
      </c>
      <c r="F257" s="114" t="n">
        <v>47624.66</v>
      </c>
      <c r="G257" s="114" t="inlineStr">
        <is>
          <t>HDFC Securities</t>
        </is>
      </c>
      <c r="H257" s="114" t="inlineStr">
        <is>
          <t>HDFC 5413</t>
        </is>
      </c>
    </row>
    <row r="258">
      <c r="A258" s="113" t="n">
        <v>45084</v>
      </c>
      <c r="B258" s="114" t="inlineStr">
        <is>
          <t xml:space="preserve">   TO TRANSFER-UPI/DR/315860809837/Mr  AADA/YESB/q739730170/UPI--</t>
        </is>
      </c>
      <c r="C258" s="114" t="inlineStr">
        <is>
          <t>TRANSFER TO 4897692162094</t>
        </is>
      </c>
      <c r="D258" s="114" t="n">
        <v>50</v>
      </c>
      <c r="E258" s="114" t="n">
        <v>0</v>
      </c>
      <c r="F258" s="114" t="n">
        <v>104773.59</v>
      </c>
      <c r="G258" s="114" t="inlineStr">
        <is>
          <t>Personal</t>
        </is>
      </c>
      <c r="H258" s="114" t="inlineStr">
        <is>
          <t>SBI 1227</t>
        </is>
      </c>
    </row>
    <row r="259">
      <c r="A259" s="113" t="n">
        <v>45085</v>
      </c>
      <c r="B259" s="114" t="inlineStr">
        <is>
          <t xml:space="preserve">   TO TRANSFER-UPI/DR/315996684695/La Pino /ICIC/lapinozpiz/Onlin--</t>
        </is>
      </c>
      <c r="C259" s="114" t="inlineStr">
        <is>
          <t>TRANSFER TO 4897693162093</t>
        </is>
      </c>
      <c r="D259" s="114" t="n">
        <v>552.96</v>
      </c>
      <c r="E259" s="114" t="n">
        <v>0</v>
      </c>
      <c r="F259" s="114" t="n">
        <v>104342.86</v>
      </c>
      <c r="G259" s="114" t="inlineStr">
        <is>
          <t>Personal</t>
        </is>
      </c>
      <c r="H259" s="114" t="inlineStr">
        <is>
          <t>SBI 1227</t>
        </is>
      </c>
    </row>
    <row r="260">
      <c r="A260" s="113" t="n">
        <v>45085</v>
      </c>
      <c r="B260" s="114" t="inlineStr">
        <is>
          <t>NET PI TO HSL SEC A/C 2554606-00602340029427</t>
        </is>
      </c>
      <c r="C260" s="114" t="inlineStr">
        <is>
          <t>0000000417901355</t>
        </is>
      </c>
      <c r="D260" s="114" t="n">
        <v>133.83</v>
      </c>
      <c r="E260" s="114" t="n">
        <v>0</v>
      </c>
      <c r="F260" s="114" t="n">
        <v>47490.83</v>
      </c>
      <c r="G260" s="114" t="inlineStr">
        <is>
          <t>HDFC Securities</t>
        </is>
      </c>
      <c r="H260" s="114" t="inlineStr">
        <is>
          <t>HDFC 5413</t>
        </is>
      </c>
    </row>
    <row r="261">
      <c r="A261" s="113" t="n">
        <v>45085</v>
      </c>
      <c r="B261" s="114" t="inlineStr">
        <is>
          <t>NET PO FROM HSL A/C 2554606-00602340029427</t>
        </is>
      </c>
      <c r="C261" s="114" t="inlineStr">
        <is>
          <t>0000000418046757</t>
        </is>
      </c>
      <c r="D261" s="114" t="n">
        <v>0</v>
      </c>
      <c r="E261" s="114" t="n">
        <v>1130.33</v>
      </c>
      <c r="F261" s="114" t="n">
        <v>48621.16</v>
      </c>
      <c r="G261" s="114" t="inlineStr">
        <is>
          <t>HDFC Securities</t>
        </is>
      </c>
      <c r="H261" s="114" t="inlineStr">
        <is>
          <t>HDFC 5413</t>
        </is>
      </c>
    </row>
    <row r="262">
      <c r="A262" s="113" t="n">
        <v>45085</v>
      </c>
      <c r="B262" s="114" t="inlineStr">
        <is>
          <t xml:space="preserve">   BY TRANSFER-NEFT*ICIC0099999*CMS3336346983*CENTRAL DEPOSITORY--</t>
        </is>
      </c>
      <c r="C262" s="114" t="inlineStr">
        <is>
          <t>TRANSFER FROM 4697187044302</t>
        </is>
      </c>
      <c r="D262" s="114" t="n">
        <v>0</v>
      </c>
      <c r="E262" s="114" t="n">
        <v>122.23</v>
      </c>
      <c r="F262" s="114" t="n">
        <v>104895.82</v>
      </c>
      <c r="G262" s="114" t="inlineStr">
        <is>
          <t>Transfer</t>
        </is>
      </c>
      <c r="H262" s="114" t="inlineStr">
        <is>
          <t>SBI 1227</t>
        </is>
      </c>
    </row>
    <row r="263">
      <c r="A263" s="113" t="n">
        <v>45085</v>
      </c>
      <c r="B263" s="114" t="inlineStr">
        <is>
          <t xml:space="preserve">   BY TRANSFER-UPI/CR/352540355915/SHASHANK/HDFC/9880498899/NA--</t>
        </is>
      </c>
      <c r="C263" s="114" t="inlineStr">
        <is>
          <t>TRANSFER FROM 4897736162097</t>
        </is>
      </c>
      <c r="D263" s="114" t="n">
        <v>0</v>
      </c>
      <c r="E263" s="114" t="n">
        <v>185</v>
      </c>
      <c r="F263" s="114" t="n">
        <v>104711.86</v>
      </c>
      <c r="G263" s="114" t="inlineStr">
        <is>
          <t>Personal</t>
        </is>
      </c>
      <c r="H263" s="114" t="inlineStr">
        <is>
          <t>SBI 1227</t>
        </is>
      </c>
    </row>
    <row r="264">
      <c r="A264" s="113" t="n">
        <v>45085</v>
      </c>
      <c r="B264" s="114" t="inlineStr">
        <is>
          <t xml:space="preserve">   BY TRANSFER-UPI/CR/315985102753/PRANAV  /CNRB/pranavalig/UPI--</t>
        </is>
      </c>
      <c r="C264" s="114" t="inlineStr">
        <is>
          <t>TRANSFER FROM 4897735162098</t>
        </is>
      </c>
      <c r="D264" s="114" t="n">
        <v>0</v>
      </c>
      <c r="E264" s="114" t="n">
        <v>184</v>
      </c>
      <c r="F264" s="114" t="n">
        <v>104526.86</v>
      </c>
      <c r="G264" s="114" t="inlineStr">
        <is>
          <t>Personal</t>
        </is>
      </c>
      <c r="H264" s="114" t="inlineStr">
        <is>
          <t>SBI 1227</t>
        </is>
      </c>
    </row>
    <row r="265">
      <c r="A265" s="113" t="n">
        <v>45086</v>
      </c>
      <c r="B265" s="114" t="inlineStr">
        <is>
          <t>NET PI TO HSL SEC A/C 2554606-00602340029427</t>
        </is>
      </c>
      <c r="C265" s="114" t="inlineStr">
        <is>
          <t>0000000418359988</t>
        </is>
      </c>
      <c r="D265" s="114" t="n">
        <v>134.39</v>
      </c>
      <c r="E265" s="114" t="n">
        <v>0</v>
      </c>
      <c r="F265" s="114" t="n">
        <v>48486.77</v>
      </c>
      <c r="G265" s="114" t="inlineStr">
        <is>
          <t>HDFC Securities</t>
        </is>
      </c>
      <c r="H265" s="114" t="inlineStr">
        <is>
          <t>HDFC 5413</t>
        </is>
      </c>
    </row>
    <row r="266">
      <c r="A266" s="113" t="n">
        <v>45086</v>
      </c>
      <c r="B266" s="114" t="inlineStr">
        <is>
          <t>01671000085930-TPT-MONY RTRN TO AAYUSH-AJAY KUMAR GUPTA</t>
        </is>
      </c>
      <c r="C266" s="114" t="inlineStr">
        <is>
          <t>0000000214609310</t>
        </is>
      </c>
      <c r="D266" s="114" t="n">
        <v>0</v>
      </c>
      <c r="E266" s="114" t="n">
        <v>20000</v>
      </c>
      <c r="F266" s="114" t="n">
        <v>68486.77</v>
      </c>
      <c r="G266" s="114" t="inlineStr">
        <is>
          <t>Ajay Gupta</t>
        </is>
      </c>
      <c r="H266" s="114" t="inlineStr">
        <is>
          <t>HDFC 5413</t>
        </is>
      </c>
    </row>
    <row r="267">
      <c r="A267" s="113" t="n">
        <v>45086</v>
      </c>
      <c r="B267" s="114" t="inlineStr">
        <is>
          <t>NET PI TO HSL SEC A/C 2554606-00602340029427</t>
        </is>
      </c>
      <c r="C267" s="114" t="inlineStr">
        <is>
          <t>0000000418491490</t>
        </is>
      </c>
      <c r="D267" s="114" t="n">
        <v>1526.13</v>
      </c>
      <c r="E267" s="114" t="n">
        <v>0</v>
      </c>
      <c r="F267" s="114" t="n">
        <v>66960.64</v>
      </c>
      <c r="G267" s="114" t="inlineStr">
        <is>
          <t>HDFC Securities</t>
        </is>
      </c>
      <c r="H267" s="114" t="inlineStr">
        <is>
          <t>HDFC 5413</t>
        </is>
      </c>
    </row>
    <row r="268">
      <c r="A268" s="113" t="n">
        <v>45086</v>
      </c>
      <c r="B268" s="114" t="inlineStr">
        <is>
          <t>INB/IFT/AJAY KUMAR GUPTA/TPARTY TRANSFER</t>
        </is>
      </c>
      <c r="C268" s="114" t="inlineStr">
        <is>
          <t>-</t>
        </is>
      </c>
      <c r="D268" s="114" t="n">
        <v>0</v>
      </c>
      <c r="E268" s="114" t="n">
        <v>20000</v>
      </c>
      <c r="F268" s="114" t="n">
        <v>54829.11</v>
      </c>
      <c r="G268" s="114" t="inlineStr">
        <is>
          <t>Ajay Gupta</t>
        </is>
      </c>
      <c r="H268" s="114" t="inlineStr">
        <is>
          <t>AXIS</t>
        </is>
      </c>
    </row>
    <row r="269">
      <c r="A269" s="113" t="n">
        <v>45086</v>
      </c>
      <c r="B269" s="114" t="inlineStr">
        <is>
          <t xml:space="preserve">   TO TRANSFER-UPI/DR/316015768349/Mr  AADA/YESB/q739730170/UPI--</t>
        </is>
      </c>
      <c r="C269" s="114" t="inlineStr">
        <is>
          <t>TRANSFER TO 4897694162092</t>
        </is>
      </c>
      <c r="D269" s="114" t="n">
        <v>50</v>
      </c>
      <c r="E269" s="114" t="n">
        <v>0</v>
      </c>
      <c r="F269" s="114" t="n">
        <v>104661.86</v>
      </c>
      <c r="G269" s="114" t="inlineStr">
        <is>
          <t>Personal</t>
        </is>
      </c>
      <c r="H269" s="114" t="inlineStr">
        <is>
          <t>SBI 1227</t>
        </is>
      </c>
    </row>
    <row r="270">
      <c r="A270" s="113" t="n">
        <v>45086</v>
      </c>
      <c r="B270" s="114" t="inlineStr">
        <is>
          <t xml:space="preserve">   TO TRANSFER-UPI/DR/316024513339/SEVEN SP/PYTM/paytmqr281/UPI--</t>
        </is>
      </c>
      <c r="C270" s="114" t="inlineStr">
        <is>
          <t>TRANSFER TO 4897694162092</t>
        </is>
      </c>
      <c r="D270" s="114" t="n">
        <v>80</v>
      </c>
      <c r="E270" s="114" t="n">
        <v>0</v>
      </c>
      <c r="F270" s="114" t="n">
        <v>104621.86</v>
      </c>
      <c r="G270" s="114" t="inlineStr">
        <is>
          <t>Personal</t>
        </is>
      </c>
      <c r="H270" s="114" t="inlineStr">
        <is>
          <t>SBI 1227</t>
        </is>
      </c>
    </row>
    <row r="271">
      <c r="A271" s="113" t="n">
        <v>45086</v>
      </c>
      <c r="B271" s="114" t="inlineStr">
        <is>
          <t xml:space="preserve">   BY TRANSFER-UPI/CR/352625454171/SHASHANK/HDFC/9880498899/NA--</t>
        </is>
      </c>
      <c r="C271" s="114" t="inlineStr">
        <is>
          <t>TRANSFER FROM 4897736162097</t>
        </is>
      </c>
      <c r="D271" s="114" t="n">
        <v>0</v>
      </c>
      <c r="E271" s="114" t="n">
        <v>40</v>
      </c>
      <c r="F271" s="114" t="n">
        <v>104701.86</v>
      </c>
      <c r="G271" s="114" t="inlineStr">
        <is>
          <t>Personal</t>
        </is>
      </c>
      <c r="H271" s="114" t="inlineStr">
        <is>
          <t>SBI 1227</t>
        </is>
      </c>
    </row>
    <row r="272">
      <c r="A272" s="113" t="n">
        <v>45087</v>
      </c>
      <c r="B272" s="114" t="inlineStr">
        <is>
          <t xml:space="preserve">   TO TRANSFER-UPI/DR/316158166186/Mr  AADA/YESB/q964606339/UPI--</t>
        </is>
      </c>
      <c r="C272" s="114" t="inlineStr">
        <is>
          <t>TRANSFER TO 4897695162091</t>
        </is>
      </c>
      <c r="D272" s="114" t="n">
        <v>90</v>
      </c>
      <c r="E272" s="114" t="n">
        <v>0</v>
      </c>
      <c r="F272" s="114" t="n">
        <v>104531.86</v>
      </c>
      <c r="G272" s="114" t="inlineStr">
        <is>
          <t>Personal</t>
        </is>
      </c>
      <c r="H272" s="114" t="inlineStr">
        <is>
          <t>SBI 1227</t>
        </is>
      </c>
    </row>
    <row r="273">
      <c r="A273" s="113" t="n">
        <v>45088</v>
      </c>
      <c r="B273" s="114" t="inlineStr">
        <is>
          <t xml:space="preserve">   TO TRANSFER-UPI/DR/316202351740/Vendekin/ICIC/vendekin@i/UPI--</t>
        </is>
      </c>
      <c r="C273" s="114" t="inlineStr">
        <is>
          <t>TRANSFER TO 4897696162090</t>
        </is>
      </c>
      <c r="D273" s="114" t="n">
        <v>80</v>
      </c>
      <c r="E273" s="114" t="n">
        <v>0</v>
      </c>
      <c r="F273" s="114" t="n">
        <v>104451.86</v>
      </c>
      <c r="G273" s="114" t="inlineStr">
        <is>
          <t>Personal</t>
        </is>
      </c>
      <c r="H273" s="114" t="inlineStr">
        <is>
          <t>SBI 1227</t>
        </is>
      </c>
    </row>
    <row r="274">
      <c r="A274" s="113" t="n">
        <v>45088</v>
      </c>
      <c r="B274" s="114" t="inlineStr">
        <is>
          <t xml:space="preserve">   BY TRANSFER-UPI/CR/316271164767/Vendekin/ICIC/vendekin@i/vende--</t>
        </is>
      </c>
      <c r="C274" s="114" t="inlineStr">
        <is>
          <t>TRANSFER FROM 4897738162095</t>
        </is>
      </c>
      <c r="D274" s="114" t="n">
        <v>0</v>
      </c>
      <c r="E274" s="114" t="n">
        <v>80</v>
      </c>
      <c r="F274" s="114" t="n">
        <v>104531.86</v>
      </c>
      <c r="G274" s="114" t="inlineStr">
        <is>
          <t>Personal</t>
        </is>
      </c>
      <c r="H274" s="114" t="inlineStr">
        <is>
          <t>SBI 1227</t>
        </is>
      </c>
    </row>
    <row r="275">
      <c r="A275" s="113" t="n">
        <v>45088</v>
      </c>
      <c r="B275" s="114" t="inlineStr">
        <is>
          <t xml:space="preserve">   TO TRANSFER-UPI/DR/316202758430/Mr  AADA/YESB/q964606339/UPI--</t>
        </is>
      </c>
      <c r="C275" s="114" t="inlineStr">
        <is>
          <t>TRANSFER TO 4897696162090</t>
        </is>
      </c>
      <c r="D275" s="114" t="n">
        <v>110</v>
      </c>
      <c r="E275" s="114" t="n">
        <v>0</v>
      </c>
      <c r="F275" s="114" t="n">
        <v>104421.86</v>
      </c>
      <c r="G275" s="114" t="inlineStr">
        <is>
          <t>Personal</t>
        </is>
      </c>
      <c r="H275" s="114" t="inlineStr">
        <is>
          <t>SBI 1227</t>
        </is>
      </c>
    </row>
    <row r="276">
      <c r="A276" s="113" t="n">
        <v>45089</v>
      </c>
      <c r="B276" s="114" t="inlineStr">
        <is>
          <t>NET PO FROM HSL A/C 2554606-00602340029427</t>
        </is>
      </c>
      <c r="C276" s="114" t="inlineStr">
        <is>
          <t>0000000419236744</t>
        </is>
      </c>
      <c r="D276" s="114" t="n">
        <v>0</v>
      </c>
      <c r="E276" s="114" t="n">
        <v>135.62</v>
      </c>
      <c r="F276" s="114" t="n">
        <v>52578.93</v>
      </c>
      <c r="G276" s="114" t="inlineStr">
        <is>
          <t>HDFC Securities</t>
        </is>
      </c>
      <c r="H276" s="114" t="inlineStr">
        <is>
          <t>HDFC 5413</t>
        </is>
      </c>
    </row>
    <row r="277">
      <c r="A277" s="113" t="n">
        <v>45089</v>
      </c>
      <c r="B277" s="114" t="inlineStr">
        <is>
          <t>NET PI TO HSL SEC A/C 2554606-00602340029427</t>
        </is>
      </c>
      <c r="C277" s="114" t="inlineStr">
        <is>
          <t>0000000419041445</t>
        </is>
      </c>
      <c r="D277" s="114" t="n">
        <v>2305.65</v>
      </c>
      <c r="E277" s="114" t="n">
        <v>0</v>
      </c>
      <c r="F277" s="114" t="n">
        <v>52578.93</v>
      </c>
      <c r="G277" s="114" t="inlineStr">
        <is>
          <t>HDFC Securities</t>
        </is>
      </c>
      <c r="H277" s="114" t="inlineStr">
        <is>
          <t>HDFC 5413</t>
        </is>
      </c>
    </row>
    <row r="278">
      <c r="A278" s="113" t="n">
        <v>45089</v>
      </c>
      <c r="B278" s="114" t="inlineStr">
        <is>
          <t>NET PI TO HSL SEC A/C 2554606-00602340029427</t>
        </is>
      </c>
      <c r="C278" s="114" t="inlineStr">
        <is>
          <t>0000000418896963</t>
        </is>
      </c>
      <c r="D278" s="114" t="n">
        <v>400.92</v>
      </c>
      <c r="E278" s="114" t="n">
        <v>0</v>
      </c>
      <c r="F278" s="114" t="n">
        <v>63559.72</v>
      </c>
      <c r="G278" s="114" t="inlineStr">
        <is>
          <t>HDFC Securities</t>
        </is>
      </c>
      <c r="H278" s="114" t="inlineStr">
        <is>
          <t>HDFC 5413</t>
        </is>
      </c>
    </row>
    <row r="279">
      <c r="A279" s="113" t="n">
        <v>45089</v>
      </c>
      <c r="B279" s="114" t="inlineStr">
        <is>
          <t>NET PAYIN TO BSE MF A/C -57500000389146- FROM A/C -50100128155413- UCC -2554606-57500000389146</t>
        </is>
      </c>
      <c r="C279" s="114" t="inlineStr">
        <is>
          <t>0000000418790074</t>
        </is>
      </c>
      <c r="D279" s="114" t="n">
        <v>3000</v>
      </c>
      <c r="E279" s="114" t="n">
        <v>0</v>
      </c>
      <c r="F279" s="114" t="n">
        <v>63960.64</v>
      </c>
      <c r="G279" s="114" t="inlineStr">
        <is>
          <t>Investments</t>
        </is>
      </c>
      <c r="H279" s="114" t="inlineStr">
        <is>
          <t>HDFC 5413</t>
        </is>
      </c>
    </row>
    <row r="280">
      <c r="A280" s="113" t="n">
        <v>45089</v>
      </c>
      <c r="B280" s="114" t="inlineStr">
        <is>
          <t>NET PI TO HSL SEC A/C 2554606-00602340029427</t>
        </is>
      </c>
      <c r="C280" s="114" t="inlineStr">
        <is>
          <t>0000000419170959</t>
        </is>
      </c>
      <c r="D280" s="114" t="n">
        <v>135.62</v>
      </c>
      <c r="E280" s="114" t="n">
        <v>0</v>
      </c>
      <c r="F280" s="114" t="n">
        <v>52443.31</v>
      </c>
      <c r="G280" s="114" t="inlineStr">
        <is>
          <t>HDFC Securities</t>
        </is>
      </c>
      <c r="H280" s="114" t="inlineStr">
        <is>
          <t>HDFC 5413</t>
        </is>
      </c>
    </row>
    <row r="281">
      <c r="A281" s="113" t="n">
        <v>45089</v>
      </c>
      <c r="B281" s="114" t="inlineStr">
        <is>
          <t>NET PI TO HSL SEC A/C 2554606-00602340029427</t>
        </is>
      </c>
      <c r="C281" s="114" t="inlineStr">
        <is>
          <t>0000000418991770</t>
        </is>
      </c>
      <c r="D281" s="114" t="n">
        <v>8675.139999999999</v>
      </c>
      <c r="E281" s="114" t="n">
        <v>0</v>
      </c>
      <c r="F281" s="114" t="n">
        <v>54884.58</v>
      </c>
      <c r="G281" s="114" t="inlineStr">
        <is>
          <t>HDFC Securities</t>
        </is>
      </c>
      <c r="H281" s="114" t="inlineStr">
        <is>
          <t>HDFC 5413</t>
        </is>
      </c>
    </row>
    <row r="282">
      <c r="A282" s="113" t="n">
        <v>45089</v>
      </c>
      <c r="B282" s="114" t="inlineStr">
        <is>
          <t xml:space="preserve">   BULK POSTING-ACHCr ICIC04933000011905 VEDANTA LIMITE--</t>
        </is>
      </c>
      <c r="C282" s="114" t="n">
        <v/>
      </c>
      <c r="D282" s="114" t="n">
        <v>0</v>
      </c>
      <c r="E282" s="114" t="n">
        <v>573.5</v>
      </c>
      <c r="F282" s="114" t="n">
        <v>104995.36</v>
      </c>
      <c r="G282" s="114" t="inlineStr">
        <is>
          <t>Dividend Income</t>
        </is>
      </c>
      <c r="H282" s="114" t="inlineStr">
        <is>
          <t>SBI 1227</t>
        </is>
      </c>
    </row>
    <row r="283">
      <c r="A283" s="113" t="n">
        <v>45089</v>
      </c>
      <c r="B283" s="114" t="inlineStr">
        <is>
          <t xml:space="preserve">   TO TRANSFER-UPI/DR/316351822248/Vendekin/ICIC/vendekin@i/UPI--</t>
        </is>
      </c>
      <c r="C283" s="114" t="inlineStr">
        <is>
          <t>TRANSFER TO 4897691162095</t>
        </is>
      </c>
      <c r="D283" s="114" t="n">
        <v>40</v>
      </c>
      <c r="E283" s="114" t="n">
        <v>0</v>
      </c>
      <c r="F283" s="114" t="n">
        <v>104955.36</v>
      </c>
      <c r="G283" s="114" t="inlineStr">
        <is>
          <t>Personal</t>
        </is>
      </c>
      <c r="H283" s="114" t="inlineStr">
        <is>
          <t>SBI 1227</t>
        </is>
      </c>
    </row>
    <row r="284">
      <c r="A284" s="113" t="n">
        <v>45089</v>
      </c>
      <c r="B284" s="114" t="inlineStr">
        <is>
          <t xml:space="preserve">   TO TRANSFER-UPI/DR/316351881817/Mr  AADA/YESB/q964606339/UPI--</t>
        </is>
      </c>
      <c r="C284" s="114" t="inlineStr">
        <is>
          <t>TRANSFER TO 4897691162095</t>
        </is>
      </c>
      <c r="D284" s="114" t="n">
        <v>30</v>
      </c>
      <c r="E284" s="114" t="n">
        <v>0</v>
      </c>
      <c r="F284" s="114" t="n">
        <v>104965.36</v>
      </c>
      <c r="G284" s="114" t="inlineStr">
        <is>
          <t>Personal</t>
        </is>
      </c>
      <c r="H284" s="114" t="inlineStr">
        <is>
          <t>SBI 1227</t>
        </is>
      </c>
    </row>
    <row r="285">
      <c r="A285" s="113" t="n">
        <v>45089</v>
      </c>
      <c r="B285" s="114" t="inlineStr">
        <is>
          <t xml:space="preserve">   BY TRANSFER-UPI/CR/316374839586/Vendekin/ICIC/vendekin@i/vende--</t>
        </is>
      </c>
      <c r="C285" s="114" t="inlineStr">
        <is>
          <t>TRANSFER FROM 4897733162090</t>
        </is>
      </c>
      <c r="D285" s="114" t="n">
        <v>0</v>
      </c>
      <c r="E285" s="114" t="n">
        <v>40</v>
      </c>
      <c r="F285" s="114" t="n">
        <v>104995.36</v>
      </c>
      <c r="G285" s="114" t="inlineStr">
        <is>
          <t>Personal</t>
        </is>
      </c>
      <c r="H285" s="114" t="inlineStr">
        <is>
          <t>SBI 1227</t>
        </is>
      </c>
    </row>
    <row r="286">
      <c r="A286" s="113" t="n">
        <v>45090</v>
      </c>
      <c r="B286" s="114" t="inlineStr">
        <is>
          <t>NET PI TO HSL SEC A/C 2554606-00602340029427</t>
        </is>
      </c>
      <c r="C286" s="114" t="inlineStr">
        <is>
          <t>0000000419424391</t>
        </is>
      </c>
      <c r="D286" s="114" t="n">
        <v>132.5</v>
      </c>
      <c r="E286" s="114" t="n">
        <v>0</v>
      </c>
      <c r="F286" s="114" t="n">
        <v>52446.43</v>
      </c>
      <c r="G286" s="114" t="inlineStr">
        <is>
          <t>HDFC Securities</t>
        </is>
      </c>
      <c r="H286" s="114" t="inlineStr">
        <is>
          <t>HDFC 5413</t>
        </is>
      </c>
    </row>
    <row r="287">
      <c r="A287" s="113" t="n">
        <v>45090</v>
      </c>
      <c r="B287" s="114" t="inlineStr">
        <is>
          <t>NET PO FROM HSL A/C 2554606-00602340029427</t>
        </is>
      </c>
      <c r="C287" s="114" t="inlineStr">
        <is>
          <t>0000000419531895</t>
        </is>
      </c>
      <c r="D287" s="114" t="n">
        <v>0</v>
      </c>
      <c r="E287" s="114" t="n">
        <v>538.99</v>
      </c>
      <c r="F287" s="114" t="n">
        <v>52985.42</v>
      </c>
      <c r="G287" s="114" t="inlineStr">
        <is>
          <t>HDFC Securities</t>
        </is>
      </c>
      <c r="H287" s="114" t="inlineStr">
        <is>
          <t>HDFC 5413</t>
        </is>
      </c>
    </row>
    <row r="288">
      <c r="A288" s="113" t="n">
        <v>45090</v>
      </c>
      <c r="B288" s="114" t="inlineStr">
        <is>
          <t xml:space="preserve">   TO TRANSFER-UPI/DR/316463813881/Vendekin/ICIC/vendekin@i/UPI--</t>
        </is>
      </c>
      <c r="C288" s="114" t="inlineStr">
        <is>
          <t>TRANSFER TO 4897691162095</t>
        </is>
      </c>
      <c r="D288" s="114" t="n">
        <v>20</v>
      </c>
      <c r="E288" s="114" t="n">
        <v>0</v>
      </c>
      <c r="F288" s="114" t="n">
        <v>104945.36</v>
      </c>
      <c r="G288" s="114" t="inlineStr">
        <is>
          <t>Personal</t>
        </is>
      </c>
      <c r="H288" s="114" t="inlineStr">
        <is>
          <t>SBI 1227</t>
        </is>
      </c>
    </row>
    <row r="289">
      <c r="A289" s="113" t="n">
        <v>45090</v>
      </c>
      <c r="B289" s="114" t="inlineStr">
        <is>
          <t xml:space="preserve">   TO TRANSFER-UPI/DR/316486673464/Mr  AADA/YESB/q964606339/groce--</t>
        </is>
      </c>
      <c r="C289" s="114" t="inlineStr">
        <is>
          <t>TRANSFER TO 4897691162095</t>
        </is>
      </c>
      <c r="D289" s="114" t="n">
        <v>70</v>
      </c>
      <c r="E289" s="114" t="n">
        <v>0</v>
      </c>
      <c r="F289" s="114" t="n">
        <v>104875.36</v>
      </c>
      <c r="G289" s="114" t="inlineStr">
        <is>
          <t>Personal</t>
        </is>
      </c>
      <c r="H289" s="114" t="inlineStr">
        <is>
          <t>SBI 1227</t>
        </is>
      </c>
    </row>
    <row r="290">
      <c r="A290" s="113" t="n">
        <v>45091</v>
      </c>
      <c r="B290" s="114" t="inlineStr">
        <is>
          <t xml:space="preserve">   TO TRANSFER-UPI/DR/316524431336/TAJASVI /SBIN/tejasvisin/UPI--</t>
        </is>
      </c>
      <c r="C290" s="114" t="inlineStr">
        <is>
          <t>TRANSFER TO 4897692162094</t>
        </is>
      </c>
      <c r="D290" s="114" t="n">
        <v>75</v>
      </c>
      <c r="E290" s="114" t="n">
        <v>0</v>
      </c>
      <c r="F290" s="114" t="n">
        <v>111134.36</v>
      </c>
      <c r="G290" s="114" t="inlineStr">
        <is>
          <t>Personal</t>
        </is>
      </c>
      <c r="H290" s="114" t="inlineStr">
        <is>
          <t>SBI 1227</t>
        </is>
      </c>
    </row>
    <row r="291">
      <c r="A291" s="113" t="n">
        <v>45091</v>
      </c>
      <c r="B291" s="114" t="inlineStr">
        <is>
          <t xml:space="preserve">   BY TRANSFER-UPI/CR/316541102451/ADARSH N/HDFC/adusma02-1/UPI--</t>
        </is>
      </c>
      <c r="C291" s="114" t="inlineStr">
        <is>
          <t>TRANSFER FROM 4897734162099</t>
        </is>
      </c>
      <c r="D291" s="114" t="n">
        <v>0</v>
      </c>
      <c r="E291" s="114" t="n">
        <v>100</v>
      </c>
      <c r="F291" s="114" t="n">
        <v>111209.36</v>
      </c>
      <c r="G291" s="114" t="inlineStr">
        <is>
          <t>Personal</t>
        </is>
      </c>
      <c r="H291" s="114" t="inlineStr">
        <is>
          <t>SBI 1227</t>
        </is>
      </c>
    </row>
    <row r="292">
      <c r="A292" s="113" t="n">
        <v>45091</v>
      </c>
      <c r="B292" s="114" t="inlineStr">
        <is>
          <t xml:space="preserve">   TO TRANSFER-UPI/DR/316521968604/MLML WINES/PYTM/paytmqr1tb/UPI--</t>
        </is>
      </c>
      <c r="C292" s="114" t="inlineStr">
        <is>
          <t>TRANSFER TO 4897692162094</t>
        </is>
      </c>
      <c r="D292" s="114" t="n">
        <v>200</v>
      </c>
      <c r="E292" s="114" t="n">
        <v>0</v>
      </c>
      <c r="F292" s="114" t="n">
        <v>111109.36</v>
      </c>
      <c r="G292" s="114" t="inlineStr">
        <is>
          <t>Personal</t>
        </is>
      </c>
      <c r="H292" s="114" t="inlineStr">
        <is>
          <t>SBI 1227</t>
        </is>
      </c>
    </row>
    <row r="293">
      <c r="A293" s="113" t="n">
        <v>45091</v>
      </c>
      <c r="B293" s="114" t="inlineStr">
        <is>
          <t>NET PI TO HSL SEC A/C 2554606-00602340029427</t>
        </is>
      </c>
      <c r="C293" s="114" t="inlineStr">
        <is>
          <t>0000000419852792</t>
        </is>
      </c>
      <c r="D293" s="114" t="n">
        <v>137.7</v>
      </c>
      <c r="E293" s="114" t="n">
        <v>0</v>
      </c>
      <c r="F293" s="114" t="n">
        <v>52847.72</v>
      </c>
      <c r="G293" s="114" t="inlineStr">
        <is>
          <t>HDFC Securities</t>
        </is>
      </c>
      <c r="H293" s="114" t="inlineStr">
        <is>
          <t>HDFC 5413</t>
        </is>
      </c>
    </row>
    <row r="294">
      <c r="A294" s="113" t="n">
        <v>45091</v>
      </c>
      <c r="B294" s="114" t="inlineStr">
        <is>
          <t>NET PAYIN TO NSE MF A/C -00990610005906- FROM A/C -50100128155413- UCC -2554606-00990610005906</t>
        </is>
      </c>
      <c r="C294" s="114" t="inlineStr">
        <is>
          <t>0000000419889782</t>
        </is>
      </c>
      <c r="D294" s="114" t="n">
        <v>3000</v>
      </c>
      <c r="E294" s="114" t="n">
        <v>0</v>
      </c>
      <c r="F294" s="114" t="n">
        <v>49847.72</v>
      </c>
      <c r="G294" s="114" t="inlineStr">
        <is>
          <t>Investments</t>
        </is>
      </c>
      <c r="H294" s="114" t="inlineStr">
        <is>
          <t>HDFC 5413</t>
        </is>
      </c>
    </row>
    <row r="295">
      <c r="A295" s="113" t="n">
        <v>45091</v>
      </c>
      <c r="B295" s="114" t="inlineStr">
        <is>
          <t>ACH C- STATE BANK OF INDIA-2207855</t>
        </is>
      </c>
      <c r="C295" s="114" t="inlineStr">
        <is>
          <t>0000002499156184</t>
        </is>
      </c>
      <c r="D295" s="114" t="n">
        <v>0</v>
      </c>
      <c r="E295" s="114" t="n">
        <v>282.5</v>
      </c>
      <c r="F295" s="114" t="n">
        <v>50130.22</v>
      </c>
      <c r="G295" s="114" t="inlineStr">
        <is>
          <t>Dividend Income</t>
        </is>
      </c>
      <c r="H295" s="114" t="inlineStr">
        <is>
          <t>HDFC 5413</t>
        </is>
      </c>
    </row>
    <row r="296">
      <c r="A296" s="113" t="n">
        <v>45091</v>
      </c>
      <c r="B296" s="114" t="inlineStr">
        <is>
          <t>NET PI TO HSL SEC A/C 2554606-00602340029427</t>
        </is>
      </c>
      <c r="C296" s="114" t="inlineStr">
        <is>
          <t>0000000419984100</t>
        </is>
      </c>
      <c r="D296" s="114" t="n">
        <v>521.11</v>
      </c>
      <c r="E296" s="114" t="n">
        <v>0</v>
      </c>
      <c r="F296" s="114" t="n">
        <v>49609.11</v>
      </c>
      <c r="G296" s="114" t="inlineStr">
        <is>
          <t>HDFC Securities</t>
        </is>
      </c>
      <c r="H296" s="114" t="inlineStr">
        <is>
          <t>HDFC 5413</t>
        </is>
      </c>
    </row>
    <row r="297">
      <c r="A297" s="113" t="n">
        <v>45091</v>
      </c>
      <c r="B297" s="114" t="inlineStr">
        <is>
          <t>NET PI TO HSL SEC A/C 2554606-00602340029427</t>
        </is>
      </c>
      <c r="C297" s="114" t="inlineStr">
        <is>
          <t>0000000420105853</t>
        </is>
      </c>
      <c r="D297" s="114" t="n">
        <v>265.45</v>
      </c>
      <c r="E297" s="114" t="n">
        <v>0</v>
      </c>
      <c r="F297" s="114" t="n">
        <v>49343.66</v>
      </c>
      <c r="G297" s="114" t="inlineStr">
        <is>
          <t>HDFC Securities</t>
        </is>
      </c>
      <c r="H297" s="114" t="inlineStr">
        <is>
          <t>HDFC 5413</t>
        </is>
      </c>
    </row>
    <row r="298">
      <c r="A298" s="113" t="n">
        <v>45091</v>
      </c>
      <c r="B298" s="114" t="inlineStr">
        <is>
          <t>ECOM PUR/MAKEMYTRIP IN/01126521471/140623/09:39</t>
        </is>
      </c>
      <c r="C298" s="114" t="inlineStr">
        <is>
          <t>-</t>
        </is>
      </c>
      <c r="D298" s="114" t="n">
        <v>6434</v>
      </c>
      <c r="E298" s="114" t="n">
        <v>0</v>
      </c>
      <c r="F298" s="114" t="n">
        <v>48395.11</v>
      </c>
      <c r="G298" s="114" t="inlineStr">
        <is>
          <t>Travel</t>
        </is>
      </c>
      <c r="H298" s="114" t="inlineStr">
        <is>
          <t>AXIS</t>
        </is>
      </c>
    </row>
    <row r="299">
      <c r="A299" s="113" t="n">
        <v>45091</v>
      </c>
      <c r="B299" s="114" t="inlineStr">
        <is>
          <t xml:space="preserve">   BY TRANSFER-UPI/CR/316567060362/MONISH K/ICIC/8296488092/Payme--</t>
        </is>
      </c>
      <c r="C299" s="114" t="inlineStr">
        <is>
          <t>TRANSFER FROM 4897734162099</t>
        </is>
      </c>
      <c r="D299" s="114" t="n">
        <v>0</v>
      </c>
      <c r="E299" s="114" t="n">
        <v>6434</v>
      </c>
      <c r="F299" s="114" t="n">
        <v>111309.36</v>
      </c>
      <c r="G299" s="114" t="inlineStr">
        <is>
          <t>Personal</t>
        </is>
      </c>
      <c r="H299" s="114" t="inlineStr">
        <is>
          <t>SBI 1227</t>
        </is>
      </c>
    </row>
    <row r="300">
      <c r="A300" s="113" t="n">
        <v>45092</v>
      </c>
      <c r="B300" s="114" t="inlineStr">
        <is>
          <t>NET PI TO HSL SEC A/C 2554606-00602340029427</t>
        </is>
      </c>
      <c r="C300" s="114" t="inlineStr">
        <is>
          <t>0000000420483220</t>
        </is>
      </c>
      <c r="D300" s="114" t="n">
        <v>1804.9</v>
      </c>
      <c r="E300" s="114" t="n">
        <v>0</v>
      </c>
      <c r="F300" s="114" t="n">
        <v>45166.77</v>
      </c>
      <c r="G300" s="114" t="inlineStr">
        <is>
          <t>HDFC Securities</t>
        </is>
      </c>
      <c r="H300" s="114" t="inlineStr">
        <is>
          <t>HDFC 5413</t>
        </is>
      </c>
    </row>
    <row r="301">
      <c r="A301" s="113" t="n">
        <v>45092</v>
      </c>
      <c r="B301" s="114" t="inlineStr">
        <is>
          <t>NET PO FROM HSL A/C 2554606-00602340029427</t>
        </is>
      </c>
      <c r="C301" s="114" t="inlineStr">
        <is>
          <t>0000000420164098</t>
        </is>
      </c>
      <c r="D301" s="114" t="n">
        <v>0</v>
      </c>
      <c r="E301" s="114" t="n">
        <v>265.45</v>
      </c>
      <c r="F301" s="114" t="n">
        <v>49609.11</v>
      </c>
      <c r="G301" s="114" t="inlineStr">
        <is>
          <t>HDFC Securities</t>
        </is>
      </c>
      <c r="H301" s="114" t="inlineStr">
        <is>
          <t>HDFC 5413</t>
        </is>
      </c>
    </row>
    <row r="302">
      <c r="A302" s="113" t="n">
        <v>45092</v>
      </c>
      <c r="B302" s="114" t="inlineStr">
        <is>
          <t>NET PAYIN TO BSE MF A/C -57500000389146- FROM A/C -50100128155413- UCC -2554606-57500000389146</t>
        </is>
      </c>
      <c r="C302" s="114" t="inlineStr">
        <is>
          <t>0000000420276841</t>
        </is>
      </c>
      <c r="D302" s="114" t="n">
        <v>2500</v>
      </c>
      <c r="E302" s="114" t="n">
        <v>0</v>
      </c>
      <c r="F302" s="114" t="n">
        <v>47109.11</v>
      </c>
      <c r="G302" s="114" t="inlineStr">
        <is>
          <t>Investments</t>
        </is>
      </c>
      <c r="H302" s="114" t="inlineStr">
        <is>
          <t>HDFC 5413</t>
        </is>
      </c>
    </row>
    <row r="303">
      <c r="A303" s="113" t="n">
        <v>45092</v>
      </c>
      <c r="B303" s="114" t="inlineStr">
        <is>
          <t>NET PI TO HSL SEC A/C 2554606-00602340029427</t>
        </is>
      </c>
      <c r="C303" s="114" t="inlineStr">
        <is>
          <t>0000000420337299</t>
        </is>
      </c>
      <c r="D303" s="114" t="n">
        <v>137.44</v>
      </c>
      <c r="E303" s="114" t="n">
        <v>0</v>
      </c>
      <c r="F303" s="114" t="n">
        <v>46971.67</v>
      </c>
      <c r="G303" s="114" t="inlineStr">
        <is>
          <t>HDFC Securities</t>
        </is>
      </c>
      <c r="H303" s="114" t="inlineStr">
        <is>
          <t>HDFC 5413</t>
        </is>
      </c>
    </row>
    <row r="304">
      <c r="A304" s="113" t="n">
        <v>45093</v>
      </c>
      <c r="B304" s="114" t="inlineStr">
        <is>
          <t>DEPOSITORY CHARGES MAY23 - 52812428</t>
        </is>
      </c>
      <c r="C304" s="114" t="inlineStr">
        <is>
          <t>000000000000000</t>
        </is>
      </c>
      <c r="D304" s="114" t="n">
        <v>495.6</v>
      </c>
      <c r="E304" s="114" t="n">
        <v>0</v>
      </c>
      <c r="F304" s="114" t="n">
        <v>44671.17</v>
      </c>
      <c r="G304" s="114" t="inlineStr">
        <is>
          <t>Depository Charges</t>
        </is>
      </c>
      <c r="H304" s="114" t="inlineStr">
        <is>
          <t>HDFC 5413</t>
        </is>
      </c>
    </row>
    <row r="305">
      <c r="A305" s="113" t="n">
        <v>45093</v>
      </c>
      <c r="B305" s="114" t="inlineStr">
        <is>
          <t>NET PI TO HSL SEC A/C 2554606-00602340029427</t>
        </is>
      </c>
      <c r="C305" s="114" t="inlineStr">
        <is>
          <t>0000000420820818</t>
        </is>
      </c>
      <c r="D305" s="114" t="n">
        <v>136.55</v>
      </c>
      <c r="E305" s="114" t="n">
        <v>0</v>
      </c>
      <c r="F305" s="114" t="n">
        <v>44534.62</v>
      </c>
      <c r="G305" s="114" t="inlineStr">
        <is>
          <t>HDFC Securities</t>
        </is>
      </c>
      <c r="H305" s="114" t="inlineStr">
        <is>
          <t>HDFC 5413</t>
        </is>
      </c>
    </row>
    <row r="306">
      <c r="A306" s="113" t="n">
        <v>45093</v>
      </c>
      <c r="B306" s="114" t="inlineStr">
        <is>
          <t xml:space="preserve">   TO TRANSFER-UPI/DR/316703476731/Vendekin/ICIC/vendekin@i/UPI--</t>
        </is>
      </c>
      <c r="C306" s="114" t="inlineStr">
        <is>
          <t>TRANSFER TO 4897695162091</t>
        </is>
      </c>
      <c r="D306" s="114" t="n">
        <v>40</v>
      </c>
      <c r="E306" s="114" t="n">
        <v>0</v>
      </c>
      <c r="F306" s="114" t="n">
        <v>111094.36</v>
      </c>
      <c r="G306" s="114" t="inlineStr">
        <is>
          <t>Personal</t>
        </is>
      </c>
      <c r="H306" s="114" t="inlineStr">
        <is>
          <t>SBI 1227</t>
        </is>
      </c>
    </row>
    <row r="307">
      <c r="A307" s="113" t="n">
        <v>45093</v>
      </c>
      <c r="B307" s="114" t="inlineStr">
        <is>
          <t>ACH C- IIL FINAL 2022 23-114305</t>
        </is>
      </c>
      <c r="C307" s="114" t="inlineStr">
        <is>
          <t>0000002607076453</t>
        </is>
      </c>
      <c r="D307" s="114" t="n">
        <v>0</v>
      </c>
      <c r="E307" s="114" t="n">
        <v>100</v>
      </c>
      <c r="F307" s="114" t="n">
        <v>44634.62</v>
      </c>
      <c r="G307" s="114" t="inlineStr">
        <is>
          <t>Dividend Income</t>
        </is>
      </c>
      <c r="H307" s="114" t="inlineStr">
        <is>
          <t>HDFC 5413</t>
        </is>
      </c>
    </row>
    <row r="308">
      <c r="A308" s="113" t="n">
        <v>45094</v>
      </c>
      <c r="B308" s="114" t="inlineStr">
        <is>
          <t xml:space="preserve">   TO TRANSFER-UPI/DR/316882168944/SWIGGY/YESB/swiggy@yes/Debit M--</t>
        </is>
      </c>
      <c r="C308" s="114" t="inlineStr">
        <is>
          <t>TRANSFER TO 4897695162091</t>
        </is>
      </c>
      <c r="D308" s="114" t="n">
        <v>180</v>
      </c>
      <c r="E308" s="114" t="n">
        <v>0</v>
      </c>
      <c r="F308" s="114" t="n">
        <v>110904.36</v>
      </c>
      <c r="G308" s="114" t="inlineStr">
        <is>
          <t>Food &amp; Dining</t>
        </is>
      </c>
      <c r="H308" s="114" t="inlineStr">
        <is>
          <t>SBI 1227</t>
        </is>
      </c>
    </row>
    <row r="309">
      <c r="A309" s="113" t="n">
        <v>45094</v>
      </c>
      <c r="B309" s="114" t="inlineStr">
        <is>
          <t xml:space="preserve">   TO TRANSFER-UPI/DR/316823119553/Mr  AADA/YESB/q964606339/UPI--</t>
        </is>
      </c>
      <c r="C309" s="114" t="inlineStr">
        <is>
          <t>TRANSFER TO 4897695162091</t>
        </is>
      </c>
      <c r="D309" s="114" t="n">
        <v>10</v>
      </c>
      <c r="E309" s="114" t="n">
        <v>0</v>
      </c>
      <c r="F309" s="114" t="n">
        <v>111084.36</v>
      </c>
      <c r="G309" s="114" t="inlineStr">
        <is>
          <t>Personal</t>
        </is>
      </c>
      <c r="H309" s="114" t="inlineStr">
        <is>
          <t>SBI 1227</t>
        </is>
      </c>
    </row>
    <row r="310">
      <c r="A310" s="113" t="n">
        <v>45094</v>
      </c>
      <c r="B310" s="114" t="inlineStr">
        <is>
          <t>NET PI TO HSL SEC A/C 2554606-00602340029427</t>
        </is>
      </c>
      <c r="C310" s="114" t="inlineStr">
        <is>
          <t>0000000421070179</t>
        </is>
      </c>
      <c r="D310" s="114" t="n">
        <v>2168.38</v>
      </c>
      <c r="E310" s="114" t="n">
        <v>0</v>
      </c>
      <c r="F310" s="114" t="n">
        <v>34771.17</v>
      </c>
      <c r="G310" s="114" t="inlineStr">
        <is>
          <t>HDFC Securities</t>
        </is>
      </c>
      <c r="H310" s="114" t="inlineStr">
        <is>
          <t>HDFC 5413</t>
        </is>
      </c>
    </row>
    <row r="311">
      <c r="A311" s="113" t="n">
        <v>45094</v>
      </c>
      <c r="B311" s="114" t="inlineStr">
        <is>
          <t>NET PI TO HSL SEC A/C 2554606-00602340029427</t>
        </is>
      </c>
      <c r="C311" s="114" t="inlineStr">
        <is>
          <t>0000000420926097</t>
        </is>
      </c>
      <c r="D311" s="114" t="n">
        <v>7695.07</v>
      </c>
      <c r="E311" s="114" t="n">
        <v>0</v>
      </c>
      <c r="F311" s="114" t="n">
        <v>36939.55</v>
      </c>
      <c r="G311" s="114" t="inlineStr">
        <is>
          <t>HDFC Securities</t>
        </is>
      </c>
      <c r="H311" s="114" t="inlineStr">
        <is>
          <t>HDFC 5413</t>
        </is>
      </c>
    </row>
    <row r="312">
      <c r="A312" s="113" t="n">
        <v>45094</v>
      </c>
      <c r="B312" s="114" t="inlineStr">
        <is>
          <t>NET PO FROM HSL A/C 2554606-00602340029427</t>
        </is>
      </c>
      <c r="C312" s="114" t="inlineStr">
        <is>
          <t>0000000421113525</t>
        </is>
      </c>
      <c r="D312" s="114" t="n">
        <v>0</v>
      </c>
      <c r="E312" s="114" t="n">
        <v>2168.38</v>
      </c>
      <c r="F312" s="114" t="n">
        <v>36939.55</v>
      </c>
      <c r="G312" s="114" t="inlineStr">
        <is>
          <t>HDFC Securities</t>
        </is>
      </c>
      <c r="H312" s="114" t="inlineStr">
        <is>
          <t>HDFC 5413</t>
        </is>
      </c>
    </row>
    <row r="313">
      <c r="A313" s="113" t="n">
        <v>45095</v>
      </c>
      <c r="B313" s="114" t="inlineStr">
        <is>
          <t xml:space="preserve">   TO TRANSFER-UPI/DR/316976440157/Airtel/PYTM/paytm-6879/Airtel--</t>
        </is>
      </c>
      <c r="C313" s="114" t="inlineStr">
        <is>
          <t>TRANSFER TO 4897696162090</t>
        </is>
      </c>
      <c r="D313" s="114" t="n">
        <v>455</v>
      </c>
      <c r="E313" s="114" t="n">
        <v>0</v>
      </c>
      <c r="F313" s="114" t="n">
        <v>110449.36</v>
      </c>
      <c r="G313" s="114" t="inlineStr">
        <is>
          <t>Personal</t>
        </is>
      </c>
      <c r="H313" s="114" t="inlineStr">
        <is>
          <t>SBI 1227</t>
        </is>
      </c>
    </row>
    <row r="314">
      <c r="A314" s="113" t="n">
        <v>45095</v>
      </c>
      <c r="B314" s="114" t="inlineStr">
        <is>
          <t xml:space="preserve">   TO TRANSFER-UPI/DR/316980693155/BANANA L/HDFC/bananaleaf/UPI--</t>
        </is>
      </c>
      <c r="C314" s="114" t="inlineStr">
        <is>
          <t>TRANSFER TO 4897696162090</t>
        </is>
      </c>
      <c r="D314" s="114" t="n">
        <v>80</v>
      </c>
      <c r="E314" s="114" t="n">
        <v>0</v>
      </c>
      <c r="F314" s="114" t="n">
        <v>110369.36</v>
      </c>
      <c r="G314" s="114" t="inlineStr">
        <is>
          <t>Personal</t>
        </is>
      </c>
      <c r="H314" s="114" t="inlineStr">
        <is>
          <t>SBI 1227</t>
        </is>
      </c>
    </row>
    <row r="315">
      <c r="A315" s="113" t="n">
        <v>45095</v>
      </c>
      <c r="B315" s="114" t="inlineStr">
        <is>
          <t xml:space="preserve">   TO TRANSFER-UPI/DR/316982751716/Mr  AADA/YESB/q739730170/UPI--</t>
        </is>
      </c>
      <c r="C315" s="114" t="inlineStr">
        <is>
          <t>TRANSFER TO 4897696162090</t>
        </is>
      </c>
      <c r="D315" s="114" t="n">
        <v>40</v>
      </c>
      <c r="E315" s="114" t="n">
        <v>0</v>
      </c>
      <c r="F315" s="114" t="n">
        <v>110329.36</v>
      </c>
      <c r="G315" s="114" t="inlineStr">
        <is>
          <t>Personal</t>
        </is>
      </c>
      <c r="H315" s="114" t="inlineStr">
        <is>
          <t>SBI 1227</t>
        </is>
      </c>
    </row>
    <row r="316">
      <c r="A316" s="113" t="n">
        <v>45096</v>
      </c>
      <c r="B316" s="114" t="inlineStr">
        <is>
          <t>NET PI TO HSL SEC A/C 2554606-00602340029427</t>
        </is>
      </c>
      <c r="C316" s="114" t="inlineStr">
        <is>
          <t>0000000421307767</t>
        </is>
      </c>
      <c r="D316" s="114" t="n">
        <v>398.25</v>
      </c>
      <c r="E316" s="114" t="n">
        <v>0</v>
      </c>
      <c r="F316" s="114" t="n">
        <v>36541.3</v>
      </c>
      <c r="G316" s="114" t="inlineStr">
        <is>
          <t>HDFC Securities</t>
        </is>
      </c>
      <c r="H316" s="114" t="inlineStr">
        <is>
          <t>HDFC 5413</t>
        </is>
      </c>
    </row>
    <row r="317">
      <c r="A317" s="113" t="n">
        <v>45096</v>
      </c>
      <c r="B317" s="114" t="inlineStr">
        <is>
          <t>NET PI TO HSL SEC A/C 2554606-00602340029427</t>
        </is>
      </c>
      <c r="C317" s="114" t="inlineStr">
        <is>
          <t>0000000421447083</t>
        </is>
      </c>
      <c r="D317" s="114" t="n">
        <v>2160.91</v>
      </c>
      <c r="E317" s="114" t="n">
        <v>0</v>
      </c>
      <c r="F317" s="114" t="n">
        <v>34380.39</v>
      </c>
      <c r="G317" s="114" t="inlineStr">
        <is>
          <t>HDFC Securities</t>
        </is>
      </c>
      <c r="H317" s="114" t="inlineStr">
        <is>
          <t>HDFC 5413</t>
        </is>
      </c>
    </row>
    <row r="318">
      <c r="A318" s="113" t="n">
        <v>45096</v>
      </c>
      <c r="B318" s="114" t="inlineStr">
        <is>
          <t>NET PI TO HSL SEC A/C 2554606-00602340029427</t>
        </is>
      </c>
      <c r="C318" s="114" t="inlineStr">
        <is>
          <t>0000000421582307</t>
        </is>
      </c>
      <c r="D318" s="114" t="n">
        <v>635.09</v>
      </c>
      <c r="E318" s="114" t="n">
        <v>0</v>
      </c>
      <c r="F318" s="114" t="n">
        <v>33745.3</v>
      </c>
      <c r="G318" s="114" t="inlineStr">
        <is>
          <t>HDFC Securities</t>
        </is>
      </c>
      <c r="H318" s="114" t="inlineStr">
        <is>
          <t>HDFC 5413</t>
        </is>
      </c>
    </row>
    <row r="319">
      <c r="A319" s="113" t="n">
        <v>45096</v>
      </c>
      <c r="B319" s="114" t="inlineStr">
        <is>
          <t>NET PO FROM HSL A/C 2554606-00602340029427</t>
        </is>
      </c>
      <c r="C319" s="114" t="inlineStr">
        <is>
          <t>0000000421631189</t>
        </is>
      </c>
      <c r="D319" s="114" t="n">
        <v>0</v>
      </c>
      <c r="E319" s="114" t="n">
        <v>635.09</v>
      </c>
      <c r="F319" s="114" t="n">
        <v>34380.39</v>
      </c>
      <c r="G319" s="114" t="inlineStr">
        <is>
          <t>HDFC Securities</t>
        </is>
      </c>
      <c r="H319" s="114" t="inlineStr">
        <is>
          <t>HDFC 5413</t>
        </is>
      </c>
    </row>
    <row r="320">
      <c r="A320" s="113" t="n">
        <v>45096</v>
      </c>
      <c r="B320" s="114" t="inlineStr">
        <is>
          <t xml:space="preserve">   TO TRANSFER-UPI/DR/317016348442/Mr  AADA/YESB/q739730170/UPI--</t>
        </is>
      </c>
      <c r="C320" s="114" t="inlineStr">
        <is>
          <t>TRANSFER TO 4897690162095</t>
        </is>
      </c>
      <c r="D320" s="114" t="n">
        <v>40</v>
      </c>
      <c r="E320" s="114" t="n">
        <v>0</v>
      </c>
      <c r="F320" s="114" t="n">
        <v>110289.36</v>
      </c>
      <c r="G320" s="114" t="inlineStr">
        <is>
          <t>Personal</t>
        </is>
      </c>
      <c r="H320" s="114" t="inlineStr">
        <is>
          <t>SBI 1227</t>
        </is>
      </c>
    </row>
    <row r="321">
      <c r="A321" s="113" t="n">
        <v>45096</v>
      </c>
      <c r="B321" s="114" t="inlineStr">
        <is>
          <t xml:space="preserve">   TO TRANSFER-UPI/DR/317020952524/Mr  AADA/YESB/q964606339/groce--</t>
        </is>
      </c>
      <c r="C321" s="114" t="inlineStr">
        <is>
          <t>TRANSFER TO 4897690162095</t>
        </is>
      </c>
      <c r="D321" s="114" t="n">
        <v>30</v>
      </c>
      <c r="E321" s="114" t="n">
        <v>0</v>
      </c>
      <c r="F321" s="114" t="n">
        <v>110259.36</v>
      </c>
      <c r="G321" s="114" t="inlineStr">
        <is>
          <t>Personal</t>
        </is>
      </c>
      <c r="H321" s="114" t="inlineStr">
        <is>
          <t>SBI 1227</t>
        </is>
      </c>
    </row>
    <row r="322">
      <c r="A322" s="113" t="n">
        <v>45097</v>
      </c>
      <c r="B322" s="114" t="inlineStr">
        <is>
          <t>NET PO FROM HSL A/C 2554606-00602340029427</t>
        </is>
      </c>
      <c r="C322" s="114" t="inlineStr">
        <is>
          <t>0000000422114159</t>
        </is>
      </c>
      <c r="D322" s="114" t="n">
        <v>0</v>
      </c>
      <c r="E322" s="114" t="n">
        <v>2800.79</v>
      </c>
      <c r="F322" s="114" t="n">
        <v>22181.18</v>
      </c>
      <c r="G322" s="114" t="inlineStr">
        <is>
          <t>HDFC Securities</t>
        </is>
      </c>
      <c r="H322" s="114" t="inlineStr">
        <is>
          <t>HDFC 5413</t>
        </is>
      </c>
    </row>
    <row r="323">
      <c r="A323" s="113" t="n">
        <v>45097</v>
      </c>
      <c r="B323" s="114" t="inlineStr">
        <is>
          <t>NET PI TO HSL SEC A/C 2554606-00602340029427</t>
        </is>
      </c>
      <c r="C323" s="114" t="inlineStr">
        <is>
          <t>0000000421823505</t>
        </is>
      </c>
      <c r="D323" s="114" t="n">
        <v>136.41</v>
      </c>
      <c r="E323" s="114" t="n">
        <v>0</v>
      </c>
      <c r="F323" s="114" t="n">
        <v>34243.98</v>
      </c>
      <c r="G323" s="114" t="inlineStr">
        <is>
          <t>HDFC Securities</t>
        </is>
      </c>
      <c r="H323" s="114" t="inlineStr">
        <is>
          <t>HDFC 5413</t>
        </is>
      </c>
    </row>
    <row r="324">
      <c r="A324" s="113" t="n">
        <v>45097</v>
      </c>
      <c r="B324" s="114" t="inlineStr">
        <is>
          <t>NET PI TO HSL SEC A/C 2554606-00602340029427</t>
        </is>
      </c>
      <c r="C324" s="114" t="inlineStr">
        <is>
          <t>0000000422064425</t>
        </is>
      </c>
      <c r="D324" s="114" t="n">
        <v>2800.79</v>
      </c>
      <c r="E324" s="114" t="n">
        <v>0</v>
      </c>
      <c r="F324" s="114" t="n">
        <v>19380.39</v>
      </c>
      <c r="G324" s="114" t="inlineStr">
        <is>
          <t>HDFC Securities</t>
        </is>
      </c>
      <c r="H324" s="114" t="inlineStr">
        <is>
          <t>HDFC 5413</t>
        </is>
      </c>
    </row>
    <row r="325">
      <c r="A325" s="113" t="n">
        <v>45097</v>
      </c>
      <c r="B325" s="114" t="inlineStr">
        <is>
          <t>NET PI TO HSL SEC A/C 2554606-00602340029427</t>
        </is>
      </c>
      <c r="C325" s="114" t="inlineStr">
        <is>
          <t>0000000421926470</t>
        </is>
      </c>
      <c r="D325" s="114" t="n">
        <v>12062.8</v>
      </c>
      <c r="E325" s="114" t="n">
        <v>0</v>
      </c>
      <c r="F325" s="114" t="n">
        <v>22181.18</v>
      </c>
      <c r="G325" s="114" t="inlineStr">
        <is>
          <t>HDFC Securities</t>
        </is>
      </c>
      <c r="H325" s="114" t="inlineStr">
        <is>
          <t>HDFC 5413</t>
        </is>
      </c>
    </row>
    <row r="326">
      <c r="A326" s="113" t="n">
        <v>45098</v>
      </c>
      <c r="B326" s="114" t="inlineStr">
        <is>
          <t xml:space="preserve">   TO TRANSFER-UPI/DR/317287823112/Mr  AADA/YESB/q964606339/UPI--</t>
        </is>
      </c>
      <c r="C326" s="114" t="inlineStr">
        <is>
          <t>TRANSFER TO 4897692162094</t>
        </is>
      </c>
      <c r="D326" s="114" t="n">
        <v>30</v>
      </c>
      <c r="E326" s="114" t="n">
        <v>0</v>
      </c>
      <c r="F326" s="114" t="n">
        <v>109687.24</v>
      </c>
      <c r="G326" s="114" t="inlineStr">
        <is>
          <t>Personal</t>
        </is>
      </c>
      <c r="H326" s="114" t="inlineStr">
        <is>
          <t>SBI 1227</t>
        </is>
      </c>
    </row>
    <row r="327">
      <c r="A327" s="113" t="n">
        <v>45098</v>
      </c>
      <c r="B327" s="114" t="inlineStr">
        <is>
          <t>NET PI TO HSL SEC A/C 2554606-00602340029427</t>
        </is>
      </c>
      <c r="C327" s="114" t="inlineStr">
        <is>
          <t>0000000422287077</t>
        </is>
      </c>
      <c r="D327" s="114" t="n">
        <v>135.03</v>
      </c>
      <c r="E327" s="114" t="n">
        <v>0</v>
      </c>
      <c r="F327" s="114" t="n">
        <v>22046.15</v>
      </c>
      <c r="G327" s="114" t="inlineStr">
        <is>
          <t>HDFC Securities</t>
        </is>
      </c>
      <c r="H327" s="114" t="inlineStr">
        <is>
          <t>HDFC 5413</t>
        </is>
      </c>
    </row>
    <row r="328">
      <c r="A328" s="113" t="n">
        <v>45098</v>
      </c>
      <c r="B328" s="114" t="inlineStr">
        <is>
          <t>NET PI TO HSL SEC A/C 2554606-00602340029427</t>
        </is>
      </c>
      <c r="C328" s="114" t="inlineStr">
        <is>
          <t>0000000422539416</t>
        </is>
      </c>
      <c r="D328" s="114" t="n">
        <v>273.59</v>
      </c>
      <c r="E328" s="114" t="n">
        <v>0</v>
      </c>
      <c r="F328" s="114" t="n">
        <v>7784.44</v>
      </c>
      <c r="G328" s="114" t="inlineStr">
        <is>
          <t>HDFC Securities</t>
        </is>
      </c>
      <c r="H328" s="114" t="inlineStr">
        <is>
          <t>HDFC 5413</t>
        </is>
      </c>
    </row>
    <row r="329">
      <c r="A329" s="113" t="n">
        <v>45098</v>
      </c>
      <c r="B329" s="114" t="inlineStr">
        <is>
          <t>NET PO FROM HSL A/C 2554606-00602340029427</t>
        </is>
      </c>
      <c r="C329" s="114" t="inlineStr">
        <is>
          <t>0000000422577528</t>
        </is>
      </c>
      <c r="D329" s="114" t="n">
        <v>0</v>
      </c>
      <c r="E329" s="114" t="n">
        <v>273.59</v>
      </c>
      <c r="F329" s="114" t="n">
        <v>8058.03</v>
      </c>
      <c r="G329" s="114" t="inlineStr">
        <is>
          <t>HDFC Securities</t>
        </is>
      </c>
      <c r="H329" s="114" t="inlineStr">
        <is>
          <t>HDFC 5413</t>
        </is>
      </c>
    </row>
    <row r="330">
      <c r="A330" s="113" t="n">
        <v>45098</v>
      </c>
      <c r="B330" s="114" t="inlineStr">
        <is>
          <t xml:space="preserve">   TO TRANSFER-INB Paytm Payments Bank LTD--</t>
        </is>
      </c>
      <c r="C330" s="114" t="inlineStr">
        <is>
          <t>3062114030165544977IGAPTMRLX0               TRANSF</t>
        </is>
      </c>
      <c r="D330" s="114" t="n">
        <v>472.12</v>
      </c>
      <c r="E330" s="114" t="n">
        <v>0</v>
      </c>
      <c r="F330" s="114" t="n">
        <v>109787.24</v>
      </c>
      <c r="G330" s="114" t="inlineStr">
        <is>
          <t>Suspense</t>
        </is>
      </c>
      <c r="H330" s="114" t="inlineStr">
        <is>
          <t>SBI 1227</t>
        </is>
      </c>
    </row>
    <row r="331">
      <c r="A331" s="113" t="n">
        <v>45098</v>
      </c>
      <c r="B331" s="114" t="inlineStr">
        <is>
          <t xml:space="preserve">   TO TRANSFER-UPI/DR/317278326584/Mr  AADA/YESB/q423863729/UPI--</t>
        </is>
      </c>
      <c r="C331" s="114" t="inlineStr">
        <is>
          <t>TRANSFER TO 4897692162094</t>
        </is>
      </c>
      <c r="D331" s="114" t="n">
        <v>70</v>
      </c>
      <c r="E331" s="114" t="n">
        <v>0</v>
      </c>
      <c r="F331" s="114" t="n">
        <v>109717.24</v>
      </c>
      <c r="G331" s="114" t="inlineStr">
        <is>
          <t>Personal</t>
        </is>
      </c>
      <c r="H331" s="114" t="inlineStr">
        <is>
          <t>SBI 1227</t>
        </is>
      </c>
    </row>
    <row r="332">
      <c r="A332" s="113" t="n">
        <v>45098</v>
      </c>
      <c r="B332" s="114" t="inlineStr">
        <is>
          <t>NET PI TO HSL SEC A/C 2554606-00602340029427</t>
        </is>
      </c>
      <c r="C332" s="114" t="inlineStr">
        <is>
          <t>0000000422374151</t>
        </is>
      </c>
      <c r="D332" s="114" t="n">
        <v>6559.57</v>
      </c>
      <c r="E332" s="114" t="n">
        <v>0</v>
      </c>
      <c r="F332" s="114" t="n">
        <v>15486.58</v>
      </c>
      <c r="G332" s="114" t="inlineStr">
        <is>
          <t>HDFC Securities</t>
        </is>
      </c>
      <c r="H332" s="114" t="inlineStr">
        <is>
          <t>HDFC 5413</t>
        </is>
      </c>
    </row>
    <row r="333">
      <c r="A333" s="113" t="n">
        <v>45098</v>
      </c>
      <c r="B333" s="114" t="inlineStr">
        <is>
          <t>NET PI TO HSL SEC A/C 2554606-00602340029427</t>
        </is>
      </c>
      <c r="C333" s="114" t="inlineStr">
        <is>
          <t>0000000422397796</t>
        </is>
      </c>
      <c r="D333" s="114" t="n">
        <v>7428.55</v>
      </c>
      <c r="E333" s="114" t="n">
        <v>0</v>
      </c>
      <c r="F333" s="114" t="n">
        <v>8058.03</v>
      </c>
      <c r="G333" s="114" t="inlineStr">
        <is>
          <t>HDFC Securities</t>
        </is>
      </c>
      <c r="H333" s="114" t="inlineStr">
        <is>
          <t>HDFC 5413</t>
        </is>
      </c>
    </row>
    <row r="334">
      <c r="A334" s="113" t="n">
        <v>45099</v>
      </c>
      <c r="B334" s="114" t="inlineStr">
        <is>
          <t xml:space="preserve">   TO TRANSFER-UPI/DR/317381933693/AAYUSH K/FDRL/9594435259/ADDMO--</t>
        </is>
      </c>
      <c r="C334" s="114" t="inlineStr">
        <is>
          <t>TRANSFER TO 4897694162092</t>
        </is>
      </c>
      <c r="D334" s="114" t="n">
        <v>190</v>
      </c>
      <c r="E334" s="114" t="n">
        <v>0</v>
      </c>
      <c r="F334" s="114" t="n">
        <v>109287.24</v>
      </c>
      <c r="G334" s="114" t="inlineStr">
        <is>
          <t>FEDERAL 0847</t>
        </is>
      </c>
      <c r="H334" s="114" t="inlineStr">
        <is>
          <t>SBI 1227</t>
        </is>
      </c>
    </row>
    <row r="335">
      <c r="A335" s="113" t="n">
        <v>45099</v>
      </c>
      <c r="B335" s="114" t="inlineStr">
        <is>
          <t>NET PI TO HSL SEC A/C 2554606-00602340029427</t>
        </is>
      </c>
      <c r="C335" s="114" t="inlineStr">
        <is>
          <t>0000000422731203</t>
        </is>
      </c>
      <c r="D335" s="114" t="n">
        <v>131.37</v>
      </c>
      <c r="E335" s="114" t="n">
        <v>0</v>
      </c>
      <c r="F335" s="114" t="n">
        <v>7926.66</v>
      </c>
      <c r="G335" s="114" t="inlineStr">
        <is>
          <t>HDFC Securities</t>
        </is>
      </c>
      <c r="H335" s="114" t="inlineStr">
        <is>
          <t>HDFC 5413</t>
        </is>
      </c>
    </row>
    <row r="336">
      <c r="A336" s="113" t="n">
        <v>45099</v>
      </c>
      <c r="B336" s="114" t="inlineStr">
        <is>
          <t>NET PI TO HSL SEC A/C 2554606-00602340029427</t>
        </is>
      </c>
      <c r="C336" s="114" t="inlineStr">
        <is>
          <t>0000000422859113</t>
        </is>
      </c>
      <c r="D336" s="114" t="n">
        <v>508.31</v>
      </c>
      <c r="E336" s="114" t="n">
        <v>0</v>
      </c>
      <c r="F336" s="114" t="n">
        <v>7418.35</v>
      </c>
      <c r="G336" s="114" t="inlineStr">
        <is>
          <t>HDFC Securities</t>
        </is>
      </c>
      <c r="H336" s="114" t="inlineStr">
        <is>
          <t>HDFC 5413</t>
        </is>
      </c>
    </row>
    <row r="337">
      <c r="A337" s="113" t="n">
        <v>45099</v>
      </c>
      <c r="B337" s="114" t="inlineStr">
        <is>
          <t>UPIOUT/317381938077/playstore@axisbank/Man
da/5817</t>
        </is>
      </c>
      <c r="C337" s="114" t="inlineStr"/>
      <c r="D337" s="114" t="n">
        <v>199</v>
      </c>
      <c r="E337" s="114" t="n">
        <v>0</v>
      </c>
      <c r="F337" s="114" t="n">
        <v>1.86</v>
      </c>
      <c r="G337" s="114" t="inlineStr">
        <is>
          <t>Personal</t>
        </is>
      </c>
      <c r="H337" s="114" t="inlineStr">
        <is>
          <t>FEDERAL 0847</t>
        </is>
      </c>
    </row>
    <row r="338">
      <c r="A338" s="113" t="n">
        <v>45099</v>
      </c>
      <c r="B338" s="114" t="inlineStr">
        <is>
          <t xml:space="preserve">   TO TRANSFER-UPI/DR/317322294332/AMANPREE/PYTM/paytmqrn78/UPI--</t>
        </is>
      </c>
      <c r="C338" s="114" t="inlineStr">
        <is>
          <t>TRANSFER TO 4897693162093</t>
        </is>
      </c>
      <c r="D338" s="114" t="n">
        <v>210</v>
      </c>
      <c r="E338" s="114" t="n">
        <v>0</v>
      </c>
      <c r="F338" s="114" t="n">
        <v>109477.24</v>
      </c>
      <c r="G338" s="114" t="inlineStr">
        <is>
          <t>Personal</t>
        </is>
      </c>
      <c r="H338" s="114" t="inlineStr">
        <is>
          <t>SBI 1227</t>
        </is>
      </c>
    </row>
    <row r="339">
      <c r="A339" s="113" t="n">
        <v>45099</v>
      </c>
      <c r="B339" s="114" t="inlineStr">
        <is>
          <t>UPI IN/317381933693/9594435259@jupiteraxis
/A/0000</t>
        </is>
      </c>
      <c r="C339" s="114" t="inlineStr"/>
      <c r="D339" s="114" t="n">
        <v>0</v>
      </c>
      <c r="E339" s="114" t="n">
        <v>190</v>
      </c>
      <c r="F339" s="114" t="n">
        <v>200.86</v>
      </c>
      <c r="G339" s="114" t="inlineStr">
        <is>
          <t>KOTAK 0333</t>
        </is>
      </c>
      <c r="H339" s="114" t="inlineStr">
        <is>
          <t>FEDERAL 0847</t>
        </is>
      </c>
    </row>
    <row r="340">
      <c r="A340" s="113" t="n">
        <v>45100</v>
      </c>
      <c r="B340" s="114" t="inlineStr">
        <is>
          <t xml:space="preserve">   TO TRANSFER-UPI/DR/317442373536/Mr  AADA/YESB/q964606339/groce--</t>
        </is>
      </c>
      <c r="C340" s="114" t="inlineStr">
        <is>
          <t>TRANSFER TO 4897694162092</t>
        </is>
      </c>
      <c r="D340" s="114" t="n">
        <v>20</v>
      </c>
      <c r="E340" s="114" t="n">
        <v>0</v>
      </c>
      <c r="F340" s="114" t="n">
        <v>109267.24</v>
      </c>
      <c r="G340" s="114" t="inlineStr">
        <is>
          <t>Personal</t>
        </is>
      </c>
      <c r="H340" s="114" t="inlineStr">
        <is>
          <t>SBI 1227</t>
        </is>
      </c>
    </row>
    <row r="341">
      <c r="A341" s="113" t="n">
        <v>45100</v>
      </c>
      <c r="B341" s="114" t="inlineStr">
        <is>
          <t>NET PI TO HSL SEC A/C 2554606-00602340029427</t>
        </is>
      </c>
      <c r="C341" s="114" t="inlineStr">
        <is>
          <t>0000000423189462</t>
        </is>
      </c>
      <c r="D341" s="114" t="n">
        <v>131.12</v>
      </c>
      <c r="E341" s="114" t="n">
        <v>0</v>
      </c>
      <c r="F341" s="114" t="n">
        <v>7287.23</v>
      </c>
      <c r="G341" s="114" t="inlineStr">
        <is>
          <t>HDFC Securities</t>
        </is>
      </c>
      <c r="H341" s="114" t="inlineStr">
        <is>
          <t>HDFC 5413</t>
        </is>
      </c>
    </row>
    <row r="342">
      <c r="A342" s="113" t="n">
        <v>45100</v>
      </c>
      <c r="B342" s="114" t="inlineStr">
        <is>
          <t>NET PI TO HSL SEC A/C 2554606-00602340029427</t>
        </is>
      </c>
      <c r="C342" s="114" t="inlineStr">
        <is>
          <t>0000000423332891</t>
        </is>
      </c>
      <c r="D342" s="114" t="n">
        <v>479.8</v>
      </c>
      <c r="E342" s="114" t="n">
        <v>0</v>
      </c>
      <c r="F342" s="114" t="n">
        <v>6807.43</v>
      </c>
      <c r="G342" s="114" t="inlineStr">
        <is>
          <t>HDFC Securities</t>
        </is>
      </c>
      <c r="H342" s="114" t="inlineStr">
        <is>
          <t>HDFC 5413</t>
        </is>
      </c>
    </row>
    <row r="343">
      <c r="A343" s="113" t="n">
        <v>45102</v>
      </c>
      <c r="B343" s="114" t="inlineStr">
        <is>
          <t xml:space="preserve">   TO TRANSFER-UPI/DR/354217681522/Vi/PYTM/vilpremum@/UPI--</t>
        </is>
      </c>
      <c r="C343" s="114" t="inlineStr">
        <is>
          <t>TRANSFER TO 4897696162090</t>
        </is>
      </c>
      <c r="D343" s="114" t="n">
        <v>459</v>
      </c>
      <c r="E343" s="114" t="n">
        <v>0</v>
      </c>
      <c r="F343" s="114" t="n">
        <v>107568.24</v>
      </c>
      <c r="G343" s="114" t="inlineStr">
        <is>
          <t>Personal</t>
        </is>
      </c>
      <c r="H343" s="114" t="inlineStr">
        <is>
          <t>SBI 1227</t>
        </is>
      </c>
    </row>
    <row r="344">
      <c r="A344" s="113" t="n">
        <v>45102</v>
      </c>
      <c r="B344" s="114" t="inlineStr">
        <is>
          <t xml:space="preserve">   TO TRANSFER-UPI/DR/317697275352/SHASHANK P/HDFC/9880498899/UPI--</t>
        </is>
      </c>
      <c r="C344" s="114" t="inlineStr">
        <is>
          <t>TRANSFER TO 4897696162090</t>
        </is>
      </c>
      <c r="D344" s="114" t="n">
        <v>1200</v>
      </c>
      <c r="E344" s="114" t="n">
        <v>0</v>
      </c>
      <c r="F344" s="114" t="n">
        <v>108067.24</v>
      </c>
      <c r="G344" s="114" t="inlineStr">
        <is>
          <t>Personal</t>
        </is>
      </c>
      <c r="H344" s="114" t="inlineStr">
        <is>
          <t>SBI 1227</t>
        </is>
      </c>
    </row>
    <row r="345">
      <c r="A345" s="113" t="n">
        <v>45102</v>
      </c>
      <c r="B345" s="114" t="inlineStr">
        <is>
          <t xml:space="preserve">   TO TRANSFER-UPI/DR/317697330759/SEVEN SP/PYTM/paytmqr281/UPI--</t>
        </is>
      </c>
      <c r="C345" s="114" t="inlineStr">
        <is>
          <t>TRANSFER TO 4897696162090</t>
        </is>
      </c>
      <c r="D345" s="114" t="n">
        <v>40</v>
      </c>
      <c r="E345" s="114" t="n">
        <v>0</v>
      </c>
      <c r="F345" s="114" t="n">
        <v>108027.24</v>
      </c>
      <c r="G345" s="114" t="inlineStr">
        <is>
          <t>Personal</t>
        </is>
      </c>
      <c r="H345" s="114" t="inlineStr">
        <is>
          <t>SBI 1227</t>
        </is>
      </c>
    </row>
    <row r="346">
      <c r="A346" s="113" t="n">
        <v>45102</v>
      </c>
      <c r="B346" s="114" t="inlineStr">
        <is>
          <t xml:space="preserve">   CREDIT INTEREST---</t>
        </is>
      </c>
      <c r="C346" s="114" t="n">
        <v/>
      </c>
      <c r="D346" s="114" t="n">
        <v>0</v>
      </c>
      <c r="E346" s="114" t="n">
        <v>704</v>
      </c>
      <c r="F346" s="114" t="n">
        <v>108272.24</v>
      </c>
      <c r="G346" s="114" t="inlineStr">
        <is>
          <t>Bank Interest</t>
        </is>
      </c>
      <c r="H346" s="114" t="inlineStr">
        <is>
          <t>SBI 1227</t>
        </is>
      </c>
    </row>
    <row r="347">
      <c r="A347" s="113" t="n">
        <v>45103</v>
      </c>
      <c r="B347" s="114" t="inlineStr">
        <is>
          <t xml:space="preserve">   TO TRANSFER-UPI/DR/317765827066/Vendekin/ICIC/vendekin@i/UPI--</t>
        </is>
      </c>
      <c r="C347" s="114" t="inlineStr">
        <is>
          <t>TRANSFER TO 4897691162095</t>
        </is>
      </c>
      <c r="D347" s="114" t="n">
        <v>20</v>
      </c>
      <c r="E347" s="114" t="n">
        <v>0</v>
      </c>
      <c r="F347" s="114" t="n">
        <v>108252.24</v>
      </c>
      <c r="G347" s="114" t="inlineStr">
        <is>
          <t>Personal</t>
        </is>
      </c>
      <c r="H347" s="114" t="inlineStr">
        <is>
          <t>SBI 1227</t>
        </is>
      </c>
    </row>
    <row r="348">
      <c r="A348" s="113" t="n">
        <v>45103</v>
      </c>
      <c r="B348" s="114" t="inlineStr">
        <is>
          <t>NET PAYIN TO BSE MF A/C -57500000389146- FROM A/C -50100128155413- UCC -2554606-57500000389146</t>
        </is>
      </c>
      <c r="C348" s="114" t="inlineStr">
        <is>
          <t>0000000423629052</t>
        </is>
      </c>
      <c r="D348" s="114" t="n">
        <v>2500</v>
      </c>
      <c r="E348" s="114" t="n">
        <v>0</v>
      </c>
      <c r="F348" s="114" t="n">
        <v>4307.43</v>
      </c>
      <c r="G348" s="114" t="inlineStr">
        <is>
          <t>Investments</t>
        </is>
      </c>
      <c r="H348" s="114" t="inlineStr">
        <is>
          <t>HDFC 5413</t>
        </is>
      </c>
    </row>
    <row r="349">
      <c r="A349" s="113" t="n">
        <v>45103</v>
      </c>
      <c r="B349" s="114" t="inlineStr">
        <is>
          <t>NET PI TO HSL SEC A/C 2554606-00602340029427</t>
        </is>
      </c>
      <c r="C349" s="114" t="inlineStr">
        <is>
          <t>0000000423728383</t>
        </is>
      </c>
      <c r="D349" s="114" t="n">
        <v>392.64</v>
      </c>
      <c r="E349" s="114" t="n">
        <v>0</v>
      </c>
      <c r="F349" s="114" t="n">
        <v>3914.79</v>
      </c>
      <c r="G349" s="114" t="inlineStr">
        <is>
          <t>HDFC Securities</t>
        </is>
      </c>
      <c r="H349" s="114" t="inlineStr">
        <is>
          <t>HDFC 5413</t>
        </is>
      </c>
    </row>
    <row r="350">
      <c r="A350" s="113" t="n">
        <v>45103</v>
      </c>
      <c r="B350" s="114" t="inlineStr">
        <is>
          <t>NET PI TO HSL SEC A/C 2554606-00602340029427</t>
        </is>
      </c>
      <c r="C350" s="114" t="inlineStr">
        <is>
          <t>0000000423837880</t>
        </is>
      </c>
      <c r="D350" s="114" t="n">
        <v>457.83</v>
      </c>
      <c r="E350" s="114" t="n">
        <v>0</v>
      </c>
      <c r="F350" s="114" t="n">
        <v>3456.96</v>
      </c>
      <c r="G350" s="114" t="inlineStr">
        <is>
          <t>HDFC Securities</t>
        </is>
      </c>
      <c r="H350" s="114" t="inlineStr">
        <is>
          <t>HDFC 5413</t>
        </is>
      </c>
    </row>
    <row r="351">
      <c r="A351" s="113" t="n">
        <v>45103</v>
      </c>
      <c r="B351" s="114" t="inlineStr">
        <is>
          <t>01671000085930-TPT-BORROW FROM AKG-AJAY KUMAR GUPTA</t>
        </is>
      </c>
      <c r="C351" s="114" t="inlineStr">
        <is>
          <t>0000000379386192</t>
        </is>
      </c>
      <c r="D351" s="114" t="n">
        <v>0</v>
      </c>
      <c r="E351" s="114" t="n">
        <v>10000</v>
      </c>
      <c r="F351" s="114" t="n">
        <v>13456.96</v>
      </c>
      <c r="G351" s="114" t="inlineStr">
        <is>
          <t>Ajay Gupta</t>
        </is>
      </c>
      <c r="H351" s="114" t="inlineStr">
        <is>
          <t>HDFC 5413</t>
        </is>
      </c>
    </row>
    <row r="352">
      <c r="A352" s="113" t="n">
        <v>45104</v>
      </c>
      <c r="B352" s="114" t="inlineStr">
        <is>
          <t xml:space="preserve">   TO TRANSFER-UPI/DR/317895169831/Mr  AADA/YESB/q739730170/UPI--</t>
        </is>
      </c>
      <c r="C352" s="114" t="inlineStr">
        <is>
          <t>TRANSFER TO 4897691162095</t>
        </is>
      </c>
      <c r="D352" s="114" t="n">
        <v>20</v>
      </c>
      <c r="E352" s="114" t="n">
        <v>0</v>
      </c>
      <c r="F352" s="114" t="n">
        <v>108222.24</v>
      </c>
      <c r="G352" s="114" t="inlineStr">
        <is>
          <t>Personal</t>
        </is>
      </c>
      <c r="H352" s="114" t="inlineStr">
        <is>
          <t>SBI 1227</t>
        </is>
      </c>
    </row>
    <row r="353">
      <c r="A353" s="113" t="n">
        <v>45104</v>
      </c>
      <c r="B353" s="114" t="inlineStr">
        <is>
          <t xml:space="preserve">   TO TRANSFER-UPI/DR/317878909672/Mr  AADA/YESB/q739730170/UPI--</t>
        </is>
      </c>
      <c r="C353" s="114" t="inlineStr">
        <is>
          <t>TRANSFER TO 4897691162095</t>
        </is>
      </c>
      <c r="D353" s="114" t="n">
        <v>10</v>
      </c>
      <c r="E353" s="114" t="n">
        <v>0</v>
      </c>
      <c r="F353" s="114" t="n">
        <v>108242.24</v>
      </c>
      <c r="G353" s="114" t="inlineStr">
        <is>
          <t>Personal</t>
        </is>
      </c>
      <c r="H353" s="114" t="inlineStr">
        <is>
          <t>SBI 1227</t>
        </is>
      </c>
    </row>
    <row r="354">
      <c r="A354" s="113" t="n">
        <v>45104</v>
      </c>
      <c r="B354" s="114" t="inlineStr">
        <is>
          <t>HDFC ASSET DIV 22 2300000000000002699441</t>
        </is>
      </c>
      <c r="C354" s="114" t="inlineStr">
        <is>
          <t>0000231778767366</t>
        </is>
      </c>
      <c r="D354" s="114" t="n">
        <v>0</v>
      </c>
      <c r="E354" s="114" t="n">
        <v>720</v>
      </c>
      <c r="F354" s="114" t="n">
        <v>14046.3</v>
      </c>
      <c r="G354" s="114" t="inlineStr">
        <is>
          <t>Dividend Income</t>
        </is>
      </c>
      <c r="H354" s="114" t="inlineStr">
        <is>
          <t>HDFC 5413</t>
        </is>
      </c>
    </row>
    <row r="355">
      <c r="A355" s="113" t="n">
        <v>45104</v>
      </c>
      <c r="B355" s="114" t="inlineStr">
        <is>
          <t>NET PO FROM HSL A/C 2554606-00602340029427</t>
        </is>
      </c>
      <c r="C355" s="114" t="inlineStr">
        <is>
          <t>0000000424297051</t>
        </is>
      </c>
      <c r="D355" s="114" t="n">
        <v>0</v>
      </c>
      <c r="E355" s="114" t="n">
        <v>928.3</v>
      </c>
      <c r="F355" s="114" t="n">
        <v>14974.6</v>
      </c>
      <c r="G355" s="114" t="inlineStr">
        <is>
          <t>HDFC Securities</t>
        </is>
      </c>
      <c r="H355" s="114" t="inlineStr">
        <is>
          <t>HDFC 5413</t>
        </is>
      </c>
    </row>
    <row r="356">
      <c r="A356" s="113" t="n">
        <v>45104</v>
      </c>
      <c r="B356" s="114" t="inlineStr">
        <is>
          <t>NET PI TO HSL SEC A/C 2554606-00602340029427</t>
        </is>
      </c>
      <c r="C356" s="114" t="inlineStr">
        <is>
          <t>0000000424186057</t>
        </is>
      </c>
      <c r="D356" s="114" t="n">
        <v>130.66</v>
      </c>
      <c r="E356" s="114" t="n">
        <v>0</v>
      </c>
      <c r="F356" s="114" t="n">
        <v>13326.3</v>
      </c>
      <c r="G356" s="114" t="inlineStr">
        <is>
          <t>HDFC Securities</t>
        </is>
      </c>
      <c r="H356" s="114" t="inlineStr">
        <is>
          <t>HDFC 5413</t>
        </is>
      </c>
    </row>
    <row r="357">
      <c r="A357" s="113" t="n">
        <v>45105</v>
      </c>
      <c r="B357" s="114" t="inlineStr">
        <is>
          <t>NET PI TO HSL SEC A/C 2554606-00602340029427</t>
        </is>
      </c>
      <c r="C357" s="114" t="inlineStr">
        <is>
          <t>0000000424624946</t>
        </is>
      </c>
      <c r="D357" s="114" t="n">
        <v>131.11</v>
      </c>
      <c r="E357" s="114" t="n">
        <v>0</v>
      </c>
      <c r="F357" s="114" t="n">
        <v>14843.49</v>
      </c>
      <c r="G357" s="114" t="inlineStr">
        <is>
          <t>HDFC Securities</t>
        </is>
      </c>
      <c r="H357" s="114" t="inlineStr">
        <is>
          <t>HDFC 5413</t>
        </is>
      </c>
    </row>
    <row r="358">
      <c r="A358" s="113" t="n">
        <v>45105</v>
      </c>
      <c r="B358" s="114" t="inlineStr">
        <is>
          <t xml:space="preserve">   TO TRANSFER-UPI/DR/317932368474/Vendekin/ICIC/vendekin@i/UPI--</t>
        </is>
      </c>
      <c r="C358" s="114" t="inlineStr">
        <is>
          <t>TRANSFER TO 4897692162094</t>
        </is>
      </c>
      <c r="D358" s="114" t="n">
        <v>20</v>
      </c>
      <c r="E358" s="114" t="n">
        <v>0</v>
      </c>
      <c r="F358" s="114" t="n">
        <v>108102.24</v>
      </c>
      <c r="G358" s="114" t="inlineStr">
        <is>
          <t>Personal</t>
        </is>
      </c>
      <c r="H358" s="114" t="inlineStr">
        <is>
          <t>SBI 1227</t>
        </is>
      </c>
    </row>
    <row r="359">
      <c r="A359" s="113" t="n">
        <v>45105</v>
      </c>
      <c r="B359" s="114" t="inlineStr">
        <is>
          <t xml:space="preserve">   BY TRANSFER-UPI/CR/317968678553/GAURAV S/KKBK/gauravsing/UPI--</t>
        </is>
      </c>
      <c r="C359" s="114" t="inlineStr">
        <is>
          <t>TRANSFER FROM 4897734162099</t>
        </is>
      </c>
      <c r="D359" s="114" t="n">
        <v>0</v>
      </c>
      <c r="E359" s="114" t="n">
        <v>60</v>
      </c>
      <c r="F359" s="114" t="n">
        <v>108122.24</v>
      </c>
      <c r="G359" s="114" t="inlineStr">
        <is>
          <t>Personal</t>
        </is>
      </c>
      <c r="H359" s="114" t="inlineStr">
        <is>
          <t>SBI 1227</t>
        </is>
      </c>
    </row>
    <row r="360">
      <c r="A360" s="113" t="n">
        <v>45105</v>
      </c>
      <c r="B360" s="114" t="inlineStr">
        <is>
          <t xml:space="preserve">   TO TRANSFER-UPI/DR/317916606073/SEVEN SP/PYTM/paytmqr281/UPI--</t>
        </is>
      </c>
      <c r="C360" s="114" t="inlineStr">
        <is>
          <t>TRANSFER TO 4897692162094</t>
        </is>
      </c>
      <c r="D360" s="114" t="n">
        <v>160</v>
      </c>
      <c r="E360" s="114" t="n">
        <v>0</v>
      </c>
      <c r="F360" s="114" t="n">
        <v>108062.24</v>
      </c>
      <c r="G360" s="114" t="inlineStr">
        <is>
          <t>Personal</t>
        </is>
      </c>
      <c r="H360" s="114" t="inlineStr">
        <is>
          <t>SBI 1227</t>
        </is>
      </c>
    </row>
    <row r="361">
      <c r="A361" s="113" t="n">
        <v>45106</v>
      </c>
      <c r="B361" s="114" t="inlineStr">
        <is>
          <t xml:space="preserve">   TO TRANSFER-UPI/DR/318041657131/SEVEN SP/PYTM/paytmqr281/UPI--</t>
        </is>
      </c>
      <c r="C361" s="114" t="inlineStr">
        <is>
          <t>TRANSFER TO 4897693162093</t>
        </is>
      </c>
      <c r="D361" s="114" t="n">
        <v>30</v>
      </c>
      <c r="E361" s="114" t="n">
        <v>0</v>
      </c>
      <c r="F361" s="114" t="n">
        <v>108072.24</v>
      </c>
      <c r="G361" s="114" t="inlineStr">
        <is>
          <t>Personal</t>
        </is>
      </c>
      <c r="H361" s="114" t="inlineStr">
        <is>
          <t>SBI 1227</t>
        </is>
      </c>
    </row>
    <row r="362">
      <c r="A362" s="113" t="n">
        <v>45106</v>
      </c>
      <c r="B362" s="114" t="inlineStr">
        <is>
          <t xml:space="preserve">   TO TRANSFER-UPI/DR/318048750928/Mr  AADA/YESB/q739730170/UPI--</t>
        </is>
      </c>
      <c r="C362" s="114" t="inlineStr">
        <is>
          <t>TRANSFER TO 4897693162093</t>
        </is>
      </c>
      <c r="D362" s="114" t="n">
        <v>10</v>
      </c>
      <c r="E362" s="114" t="n">
        <v>0</v>
      </c>
      <c r="F362" s="114" t="n">
        <v>108062.24</v>
      </c>
      <c r="G362" s="114" t="inlineStr">
        <is>
          <t>Personal</t>
        </is>
      </c>
      <c r="H362" s="114" t="inlineStr">
        <is>
          <t>SBI 1227</t>
        </is>
      </c>
    </row>
    <row r="363">
      <c r="A363" s="113" t="n">
        <v>45106</v>
      </c>
      <c r="B363" s="114" t="inlineStr">
        <is>
          <t>NET PO FROM HSL A/C 2554606-00602340029427</t>
        </is>
      </c>
      <c r="C363" s="114" t="inlineStr">
        <is>
          <t>0000000424746985</t>
        </is>
      </c>
      <c r="D363" s="114" t="n">
        <v>0</v>
      </c>
      <c r="E363" s="114" t="n">
        <v>259.42</v>
      </c>
      <c r="F363" s="114" t="n">
        <v>15102.91</v>
      </c>
      <c r="G363" s="114" t="inlineStr">
        <is>
          <t>HDFC Securities</t>
        </is>
      </c>
      <c r="H363" s="114" t="inlineStr">
        <is>
          <t>HDFC 5413</t>
        </is>
      </c>
    </row>
    <row r="364">
      <c r="A364" s="113" t="n">
        <v>45107</v>
      </c>
      <c r="B364" s="114" t="inlineStr">
        <is>
          <t>CREDIT INTEREST CAPITALISED</t>
        </is>
      </c>
      <c r="C364" s="114" t="inlineStr">
        <is>
          <t>000000000000000</t>
        </is>
      </c>
      <c r="D364" s="114" t="n">
        <v>0</v>
      </c>
      <c r="E364" s="114" t="n">
        <v>352</v>
      </c>
      <c r="F364" s="114" t="n">
        <v>15192.43</v>
      </c>
      <c r="G364" s="114" t="inlineStr">
        <is>
          <t>Bank Interest</t>
        </is>
      </c>
      <c r="H364" s="114" t="inlineStr">
        <is>
          <t>HDFC 5413</t>
        </is>
      </c>
    </row>
    <row r="365">
      <c r="A365" s="113" t="n">
        <v>45107</v>
      </c>
      <c r="B365" s="114" t="inlineStr">
        <is>
          <t>NET PI TO HSL SEC A/C 2554606-00602340029427</t>
        </is>
      </c>
      <c r="C365" s="114" t="inlineStr">
        <is>
          <t>0000000425074683</t>
        </is>
      </c>
      <c r="D365" s="114" t="n">
        <v>262.48</v>
      </c>
      <c r="E365" s="114" t="n">
        <v>0</v>
      </c>
      <c r="F365" s="114" t="n">
        <v>14840.43</v>
      </c>
      <c r="G365" s="114" t="inlineStr">
        <is>
          <t>HDFC Securities</t>
        </is>
      </c>
      <c r="H365" s="114" t="inlineStr">
        <is>
          <t>HDFC 5413</t>
        </is>
      </c>
    </row>
    <row r="366">
      <c r="A366" s="113" t="n">
        <v>45108</v>
      </c>
      <c r="B366" s="114" t="inlineStr">
        <is>
          <t xml:space="preserve">   BY TRANSFER-UPI/CR/318221585103/Vendekin/ICIC/vendekin@i/vende--</t>
        </is>
      </c>
      <c r="C366" s="114" t="inlineStr">
        <is>
          <t>TRANSFER FROM 4897737162096</t>
        </is>
      </c>
      <c r="D366" s="114" t="n">
        <v>0</v>
      </c>
      <c r="E366" s="114" t="n">
        <v>20</v>
      </c>
      <c r="F366" s="114" t="n">
        <v>108022.24</v>
      </c>
      <c r="G366" s="114" t="inlineStr">
        <is>
          <t>Personal</t>
        </is>
      </c>
      <c r="H366" s="114" t="inlineStr">
        <is>
          <t>SBI 1227</t>
        </is>
      </c>
    </row>
    <row r="367">
      <c r="A367" s="113" t="n">
        <v>45108</v>
      </c>
      <c r="B367" s="114" t="inlineStr">
        <is>
          <t xml:space="preserve">   BY TRANSFER-UPI/CR/318221579807/Vendekin/ICIC/vendekin@i/vende--</t>
        </is>
      </c>
      <c r="C367" s="114" t="inlineStr">
        <is>
          <t>TRANSFER FROM 4897737162096</t>
        </is>
      </c>
      <c r="D367" s="114" t="n">
        <v>0</v>
      </c>
      <c r="E367" s="114" t="n">
        <v>40</v>
      </c>
      <c r="F367" s="114" t="n">
        <v>108042.24</v>
      </c>
      <c r="G367" s="114" t="inlineStr">
        <is>
          <t>Personal</t>
        </is>
      </c>
      <c r="H367" s="114" t="inlineStr">
        <is>
          <t>SBI 1227</t>
        </is>
      </c>
    </row>
    <row r="368">
      <c r="A368" s="113" t="n">
        <v>45108</v>
      </c>
      <c r="B368" s="114" t="inlineStr">
        <is>
          <t xml:space="preserve">   TO TRANSFER-UPI/DR/318215794065/Vendekin/ICIC/vendekin@i/UPI--</t>
        </is>
      </c>
      <c r="C368" s="114" t="inlineStr">
        <is>
          <t>TRANSFER TO 4897695162091</t>
        </is>
      </c>
      <c r="D368" s="114" t="n">
        <v>40</v>
      </c>
      <c r="E368" s="114" t="n">
        <v>0</v>
      </c>
      <c r="F368" s="114" t="n">
        <v>108002.24</v>
      </c>
      <c r="G368" s="114" t="inlineStr">
        <is>
          <t>Personal</t>
        </is>
      </c>
      <c r="H368" s="114" t="inlineStr">
        <is>
          <t>SBI 1227</t>
        </is>
      </c>
    </row>
    <row r="369">
      <c r="A369" s="113" t="n">
        <v>45108</v>
      </c>
      <c r="B369" s="114" t="inlineStr">
        <is>
          <t xml:space="preserve">   TO TRANSFER-UPI/DR/318210431133/Mr  AADA/YESB/q964606339/UPI--</t>
        </is>
      </c>
      <c r="C369" s="114" t="inlineStr">
        <is>
          <t>TRANSFER TO 4897695162091</t>
        </is>
      </c>
      <c r="D369" s="114" t="n">
        <v>20</v>
      </c>
      <c r="E369" s="114" t="n">
        <v>0</v>
      </c>
      <c r="F369" s="114" t="n">
        <v>108042.24</v>
      </c>
      <c r="G369" s="114" t="inlineStr">
        <is>
          <t>Personal</t>
        </is>
      </c>
      <c r="H369" s="114" t="inlineStr">
        <is>
          <t>SBI 1227</t>
        </is>
      </c>
    </row>
    <row r="370">
      <c r="A370" s="113" t="n">
        <v>45108</v>
      </c>
      <c r="B370" s="114" t="inlineStr">
        <is>
          <t xml:space="preserve">   TO TRANSFER-UPI/DR/318227210384/Vendekin/ICIC/vendekin@i/UPI--</t>
        </is>
      </c>
      <c r="C370" s="114" t="inlineStr">
        <is>
          <t>TRANSFER TO 4897695162091</t>
        </is>
      </c>
      <c r="D370" s="114" t="n">
        <v>40</v>
      </c>
      <c r="E370" s="114" t="n">
        <v>0</v>
      </c>
      <c r="F370" s="114" t="n">
        <v>107942.24</v>
      </c>
      <c r="G370" s="114" t="inlineStr">
        <is>
          <t>Personal</t>
        </is>
      </c>
      <c r="H370" s="114" t="inlineStr">
        <is>
          <t>SBI 1227</t>
        </is>
      </c>
    </row>
    <row r="371">
      <c r="A371" s="113" t="n">
        <v>45108</v>
      </c>
      <c r="B371" s="114" t="inlineStr">
        <is>
          <t xml:space="preserve">   TO TRANSFER-UPI/DR/318232705458/Vendekin/ICIC/vendekin@i/UPI--</t>
        </is>
      </c>
      <c r="C371" s="114" t="inlineStr">
        <is>
          <t>TRANSFER TO 4897695162091</t>
        </is>
      </c>
      <c r="D371" s="114" t="n">
        <v>40</v>
      </c>
      <c r="E371" s="114" t="n">
        <v>0</v>
      </c>
      <c r="F371" s="114" t="n">
        <v>107982.24</v>
      </c>
      <c r="G371" s="114" t="inlineStr">
        <is>
          <t>Personal</t>
        </is>
      </c>
      <c r="H371" s="114" t="inlineStr">
        <is>
          <t>SBI 1227</t>
        </is>
      </c>
    </row>
    <row r="372">
      <c r="A372" s="113" t="n">
        <v>45108</v>
      </c>
      <c r="B372" s="114" t="inlineStr">
        <is>
          <t xml:space="preserve">   TO TRANSFER-UPI/DR/318215841765/Vendekin/ICIC/vendekin@i/UPI--</t>
        </is>
      </c>
      <c r="C372" s="114" t="inlineStr">
        <is>
          <t>TRANSFER TO 4897695162091</t>
        </is>
      </c>
      <c r="D372" s="114" t="n">
        <v>40</v>
      </c>
      <c r="E372" s="114" t="n">
        <v>0</v>
      </c>
      <c r="F372" s="114" t="n">
        <v>108002.24</v>
      </c>
      <c r="G372" s="114" t="inlineStr">
        <is>
          <t>Personal</t>
        </is>
      </c>
      <c r="H372" s="114" t="inlineStr">
        <is>
          <t>SBI 1227</t>
        </is>
      </c>
    </row>
    <row r="373">
      <c r="A373" s="113" t="n">
        <v>45108</v>
      </c>
      <c r="B373" s="114" t="inlineStr">
        <is>
          <t>NET PO FROM HSL A/C 2554606-00602340029427</t>
        </is>
      </c>
      <c r="C373" s="114" t="inlineStr">
        <is>
          <t>0000000425185692</t>
        </is>
      </c>
      <c r="D373" s="114" t="n">
        <v>0</v>
      </c>
      <c r="E373" s="114" t="n">
        <v>8375.93</v>
      </c>
      <c r="F373" s="114" t="n">
        <v>23568.36</v>
      </c>
      <c r="G373" s="114" t="inlineStr">
        <is>
          <t>HDFC Securities</t>
        </is>
      </c>
      <c r="H373" s="114" t="inlineStr">
        <is>
          <t>HDFC 5413</t>
        </is>
      </c>
    </row>
    <row r="374">
      <c r="A374" s="113" t="n">
        <v>45108</v>
      </c>
      <c r="B374" s="114" t="inlineStr">
        <is>
          <t>915010020334307:Int.Pd:01-04-2023 to 30-06-2023</t>
        </is>
      </c>
      <c r="C374" s="114" t="inlineStr">
        <is>
          <t>-</t>
        </is>
      </c>
      <c r="D374" s="114" t="n">
        <v>0</v>
      </c>
      <c r="E374" s="114" t="n">
        <v>504</v>
      </c>
      <c r="F374" s="114" t="n">
        <v>48899.11</v>
      </c>
      <c r="G374" s="114" t="inlineStr">
        <is>
          <t>Bank Interest</t>
        </is>
      </c>
      <c r="H374" s="114" t="inlineStr">
        <is>
          <t>AXIS</t>
        </is>
      </c>
    </row>
    <row r="375">
      <c r="A375" s="113" t="n">
        <v>45109</v>
      </c>
      <c r="B375" s="114" t="inlineStr">
        <is>
          <t xml:space="preserve">   TO TRANSFER-UPI/DR/318342378569/Vendekin/ICIC/vendekin@i/UPI--</t>
        </is>
      </c>
      <c r="C375" s="114" t="inlineStr">
        <is>
          <t>TRANSFER TO 4897696162090</t>
        </is>
      </c>
      <c r="D375" s="114" t="n">
        <v>60</v>
      </c>
      <c r="E375" s="114" t="n">
        <v>0</v>
      </c>
      <c r="F375" s="114" t="n">
        <v>107882.24</v>
      </c>
      <c r="G375" s="114" t="inlineStr">
        <is>
          <t>Personal</t>
        </is>
      </c>
      <c r="H375" s="114" t="inlineStr">
        <is>
          <t>SBI 1227</t>
        </is>
      </c>
    </row>
    <row r="376">
      <c r="A376" s="113" t="n">
        <v>45109</v>
      </c>
      <c r="B376" s="114" t="inlineStr">
        <is>
          <t xml:space="preserve">   TO TRANSFER-UPI/DR/318359964641/SEVEN SP/PYTM/paytmqr281/UPI--</t>
        </is>
      </c>
      <c r="C376" s="114" t="inlineStr">
        <is>
          <t>TRANSFER TO 4897696162090</t>
        </is>
      </c>
      <c r="D376" s="114" t="n">
        <v>130</v>
      </c>
      <c r="E376" s="114" t="n">
        <v>0</v>
      </c>
      <c r="F376" s="114" t="n">
        <v>107752.24</v>
      </c>
      <c r="G376" s="114" t="inlineStr">
        <is>
          <t>Personal</t>
        </is>
      </c>
      <c r="H376" s="114" t="inlineStr">
        <is>
          <t>SBI 1227</t>
        </is>
      </c>
    </row>
    <row r="377">
      <c r="A377" s="113" t="n">
        <v>45110</v>
      </c>
      <c r="B377" s="114" t="inlineStr">
        <is>
          <t>NET PO FROM HSL A/C 2554606-00602340029427</t>
        </is>
      </c>
      <c r="C377" s="114" t="inlineStr">
        <is>
          <t>0000000425764997</t>
        </is>
      </c>
      <c r="D377" s="114" t="n">
        <v>0</v>
      </c>
      <c r="E377" s="114" t="n">
        <v>6664.97</v>
      </c>
      <c r="F377" s="114" t="n">
        <v>31159.33</v>
      </c>
      <c r="G377" s="114" t="inlineStr">
        <is>
          <t>HDFC Securities</t>
        </is>
      </c>
      <c r="H377" s="114" t="inlineStr">
        <is>
          <t>HDFC 5413</t>
        </is>
      </c>
    </row>
    <row r="378">
      <c r="A378" s="113" t="n">
        <v>45110</v>
      </c>
      <c r="B378" s="114" t="inlineStr">
        <is>
          <t>NET PI TO HSL SEC A/C 2554606-00602340029427</t>
        </is>
      </c>
      <c r="C378" s="114" t="inlineStr">
        <is>
          <t>0000000425712968</t>
        </is>
      </c>
      <c r="D378" s="114" t="n">
        <v>482.44</v>
      </c>
      <c r="E378" s="114" t="n">
        <v>0</v>
      </c>
      <c r="F378" s="114" t="n">
        <v>24494.36</v>
      </c>
      <c r="G378" s="114" t="inlineStr">
        <is>
          <t>HDFC Securities</t>
        </is>
      </c>
      <c r="H378" s="114" t="inlineStr">
        <is>
          <t>HDFC 5413</t>
        </is>
      </c>
    </row>
    <row r="379">
      <c r="A379" s="113" t="n">
        <v>45110</v>
      </c>
      <c r="B379" s="114" t="inlineStr">
        <is>
          <t>ACH C- INFOSYS LIMITED-35114396</t>
        </is>
      </c>
      <c r="C379" s="114" t="inlineStr">
        <is>
          <t>0000002909404863</t>
        </is>
      </c>
      <c r="D379" s="114" t="n">
        <v>0</v>
      </c>
      <c r="E379" s="114" t="n">
        <v>350</v>
      </c>
      <c r="F379" s="114" t="n">
        <v>24976.8</v>
      </c>
      <c r="G379" s="114" t="inlineStr">
        <is>
          <t>Dividend Income</t>
        </is>
      </c>
      <c r="H379" s="114" t="inlineStr">
        <is>
          <t>HDFC 5413</t>
        </is>
      </c>
    </row>
    <row r="380">
      <c r="A380" s="113" t="n">
        <v>45110</v>
      </c>
      <c r="B380" s="114" t="inlineStr">
        <is>
          <t>ACH C- TCS FINDIV 030723-1808047</t>
        </is>
      </c>
      <c r="C380" s="114" t="inlineStr">
        <is>
          <t>0000002954151336</t>
        </is>
      </c>
      <c r="D380" s="114" t="n">
        <v>0</v>
      </c>
      <c r="E380" s="114" t="n">
        <v>576</v>
      </c>
      <c r="F380" s="114" t="n">
        <v>24626.8</v>
      </c>
      <c r="G380" s="114" t="inlineStr">
        <is>
          <t>Dividend Income</t>
        </is>
      </c>
      <c r="H380" s="114" t="inlineStr">
        <is>
          <t>HDFC 5413</t>
        </is>
      </c>
    </row>
    <row r="381">
      <c r="A381" s="113" t="n">
        <v>45110</v>
      </c>
      <c r="B381" s="114" t="inlineStr">
        <is>
          <t>NET PO FROM HSL A/C 2554606-00602340029427</t>
        </is>
      </c>
      <c r="C381" s="114" t="inlineStr">
        <is>
          <t>0000000425643083</t>
        </is>
      </c>
      <c r="D381" s="114" t="n">
        <v>0</v>
      </c>
      <c r="E381" s="114" t="n">
        <v>482.44</v>
      </c>
      <c r="F381" s="114" t="n">
        <v>24050.8</v>
      </c>
      <c r="G381" s="114" t="inlineStr">
        <is>
          <t>HDFC Securities</t>
        </is>
      </c>
      <c r="H381" s="114" t="inlineStr">
        <is>
          <t>HDFC 5413</t>
        </is>
      </c>
    </row>
    <row r="382">
      <c r="A382" s="113" t="n">
        <v>45110</v>
      </c>
      <c r="B382" s="114" t="inlineStr">
        <is>
          <t xml:space="preserve">   BY TRANSFER-FUD TR FR JSW STEEL LTD--</t>
        </is>
      </c>
      <c r="C382" s="114" t="inlineStr">
        <is>
          <t xml:space="preserve">TRANSFER FROM 11083986061                         </t>
        </is>
      </c>
      <c r="D382" s="114" t="n">
        <v>0</v>
      </c>
      <c r="E382" s="114" t="n">
        <v>10000</v>
      </c>
      <c r="F382" s="114" t="n">
        <v>117752.24</v>
      </c>
      <c r="G382" s="114" t="inlineStr">
        <is>
          <t>Suspense</t>
        </is>
      </c>
      <c r="H382" s="114" t="inlineStr">
        <is>
          <t>SBI 1227</t>
        </is>
      </c>
    </row>
    <row r="383">
      <c r="A383" s="113" t="n">
        <v>45110</v>
      </c>
      <c r="B383" s="114" t="inlineStr">
        <is>
          <t xml:space="preserve">   TO TRANSFER-UPI/DR/318497563455/Mr  AADA/YESB/q739730170/UPI--</t>
        </is>
      </c>
      <c r="C383" s="114" t="inlineStr">
        <is>
          <t>TRANSFER TO 4897690162095</t>
        </is>
      </c>
      <c r="D383" s="114" t="n">
        <v>60</v>
      </c>
      <c r="E383" s="114" t="n">
        <v>0</v>
      </c>
      <c r="F383" s="114" t="n">
        <v>117692.24</v>
      </c>
      <c r="G383" s="114" t="inlineStr">
        <is>
          <t>Personal</t>
        </is>
      </c>
      <c r="H383" s="114" t="inlineStr">
        <is>
          <t>SBI 1227</t>
        </is>
      </c>
    </row>
    <row r="384">
      <c r="A384" s="113" t="n">
        <v>45110</v>
      </c>
      <c r="B384" s="114" t="inlineStr">
        <is>
          <t>NET PI TO HSL SEC A/C 2554606-00602340029427</t>
        </is>
      </c>
      <c r="C384" s="114" t="inlineStr">
        <is>
          <t>0000000425811881</t>
        </is>
      </c>
      <c r="D384" s="114" t="n">
        <v>66.23</v>
      </c>
      <c r="E384" s="114" t="n">
        <v>0</v>
      </c>
      <c r="F384" s="114" t="n">
        <v>31093.1</v>
      </c>
      <c r="G384" s="114" t="inlineStr">
        <is>
          <t>HDFC Securities</t>
        </is>
      </c>
      <c r="H384" s="114" t="inlineStr">
        <is>
          <t>HDFC 5413</t>
        </is>
      </c>
    </row>
    <row r="385">
      <c r="A385" s="113" t="n">
        <v>45111</v>
      </c>
      <c r="B385" s="114" t="inlineStr">
        <is>
          <t>NET PI TO HSL SEC A/C 2554606-00602340029427</t>
        </is>
      </c>
      <c r="C385" s="114" t="inlineStr">
        <is>
          <t>0000000426265053</t>
        </is>
      </c>
      <c r="D385" s="114" t="n">
        <v>14965.4</v>
      </c>
      <c r="E385" s="114" t="n">
        <v>0</v>
      </c>
      <c r="F385" s="114" t="n">
        <v>16127.7</v>
      </c>
      <c r="G385" s="114" t="inlineStr">
        <is>
          <t>HDFC Securities</t>
        </is>
      </c>
      <c r="H385" s="114" t="inlineStr">
        <is>
          <t>HDFC 5413</t>
        </is>
      </c>
    </row>
    <row r="386">
      <c r="A386" s="113" t="n">
        <v>45111</v>
      </c>
      <c r="B386" s="114" t="inlineStr">
        <is>
          <t xml:space="preserve">   TO TRANSFER-UPI/DR/318513180895/Vendekin/ICIC/vendekin@i/UPI--</t>
        </is>
      </c>
      <c r="C386" s="114" t="inlineStr">
        <is>
          <t>TRANSFER TO 4897691162095</t>
        </is>
      </c>
      <c r="D386" s="114" t="n">
        <v>20</v>
      </c>
      <c r="E386" s="114" t="n">
        <v>0</v>
      </c>
      <c r="F386" s="114" t="n">
        <v>117652.24</v>
      </c>
      <c r="G386" s="114" t="inlineStr">
        <is>
          <t>Personal</t>
        </is>
      </c>
      <c r="H386" s="114" t="inlineStr">
        <is>
          <t>SBI 1227</t>
        </is>
      </c>
    </row>
    <row r="387">
      <c r="A387" s="113" t="n">
        <v>45111</v>
      </c>
      <c r="B387" s="114" t="inlineStr">
        <is>
          <t xml:space="preserve">   TO TRANSFER-UPI/DR/318531421683/SWIGGY/ICIC/upiswiggy@/Payment--</t>
        </is>
      </c>
      <c r="C387" s="114" t="inlineStr">
        <is>
          <t>TRANSFER TO 4897691162095</t>
        </is>
      </c>
      <c r="D387" s="114" t="n">
        <v>190</v>
      </c>
      <c r="E387" s="114" t="n">
        <v>0</v>
      </c>
      <c r="F387" s="114" t="n">
        <v>117462.24</v>
      </c>
      <c r="G387" s="114" t="inlineStr">
        <is>
          <t>Food &amp; Dining</t>
        </is>
      </c>
      <c r="H387" s="114" t="inlineStr">
        <is>
          <t>SBI 1227</t>
        </is>
      </c>
    </row>
    <row r="388">
      <c r="A388" s="113" t="n">
        <v>45111</v>
      </c>
      <c r="B388" s="114" t="inlineStr">
        <is>
          <t xml:space="preserve">   TO TRANSFER-UPI/DR/318500074285/Vendekin/ICIC/vendekin@i/UPI--</t>
        </is>
      </c>
      <c r="C388" s="114" t="inlineStr">
        <is>
          <t>TRANSFER TO 4897691162095</t>
        </is>
      </c>
      <c r="D388" s="114" t="n">
        <v>20</v>
      </c>
      <c r="E388" s="114" t="n">
        <v>0</v>
      </c>
      <c r="F388" s="114" t="n">
        <v>117672.24</v>
      </c>
      <c r="G388" s="114" t="inlineStr">
        <is>
          <t>Personal</t>
        </is>
      </c>
      <c r="H388" s="114" t="inlineStr">
        <is>
          <t>SBI 1227</t>
        </is>
      </c>
    </row>
    <row r="389">
      <c r="A389" s="113" t="n">
        <v>45112</v>
      </c>
      <c r="B389" s="114" t="inlineStr">
        <is>
          <t xml:space="preserve">   TO TRANSFER-UPI/DR/318633751449/SWIGGY/ICIC/upiswiggy@/Payment--</t>
        </is>
      </c>
      <c r="C389" s="114" t="inlineStr">
        <is>
          <t>TRANSFER TO 4897692162094</t>
        </is>
      </c>
      <c r="D389" s="114" t="n">
        <v>185</v>
      </c>
      <c r="E389" s="114" t="n">
        <v>0</v>
      </c>
      <c r="F389" s="114" t="n">
        <v>117237.24</v>
      </c>
      <c r="G389" s="114" t="inlineStr">
        <is>
          <t>Food &amp; Dining</t>
        </is>
      </c>
      <c r="H389" s="114" t="inlineStr">
        <is>
          <t>SBI 1227</t>
        </is>
      </c>
    </row>
    <row r="390">
      <c r="A390" s="113" t="n">
        <v>45112</v>
      </c>
      <c r="B390" s="114" t="inlineStr">
        <is>
          <t xml:space="preserve">   TO TRANSFER-UPI/DR/355242955542/Mr  AADA/YESB/q739730170/UPI--</t>
        </is>
      </c>
      <c r="C390" s="114" t="inlineStr">
        <is>
          <t>TRANSFER TO 4897692162094</t>
        </is>
      </c>
      <c r="D390" s="114" t="n">
        <v>20</v>
      </c>
      <c r="E390" s="114" t="n">
        <v>0</v>
      </c>
      <c r="F390" s="114" t="n">
        <v>117217.24</v>
      </c>
      <c r="G390" s="114" t="inlineStr">
        <is>
          <t>Personal</t>
        </is>
      </c>
      <c r="H390" s="114" t="inlineStr">
        <is>
          <t>SBI 1227</t>
        </is>
      </c>
    </row>
    <row r="391">
      <c r="A391" s="113" t="n">
        <v>45112</v>
      </c>
      <c r="B391" s="114" t="inlineStr">
        <is>
          <t xml:space="preserve">   BY TRANSFER-NEFT*YESB0000001*YESB31864353562*ZERODHA BROKING L--</t>
        </is>
      </c>
      <c r="C391" s="114" t="inlineStr">
        <is>
          <t>TRANSFER FROM 4697245044307</t>
        </is>
      </c>
      <c r="D391" s="114" t="n">
        <v>0</v>
      </c>
      <c r="E391" s="114" t="n">
        <v>929.8200000000001</v>
      </c>
      <c r="F391" s="114" t="n">
        <v>118147.06</v>
      </c>
      <c r="G391" s="114" t="inlineStr">
        <is>
          <t>Transfer</t>
        </is>
      </c>
      <c r="H391" s="114" t="inlineStr">
        <is>
          <t>SBI 1227</t>
        </is>
      </c>
    </row>
    <row r="392">
      <c r="A392" s="113" t="n">
        <v>45112</v>
      </c>
      <c r="B392" s="114" t="inlineStr">
        <is>
          <t xml:space="preserve">   TO TRANSFER-UPI/DR/318607271205/Vendekin/ICIC/vendekin@i/UPI--</t>
        </is>
      </c>
      <c r="C392" s="114" t="inlineStr">
        <is>
          <t>TRANSFER TO 4897692162094</t>
        </is>
      </c>
      <c r="D392" s="114" t="n">
        <v>50</v>
      </c>
      <c r="E392" s="114" t="n">
        <v>0</v>
      </c>
      <c r="F392" s="114" t="n">
        <v>118097.06</v>
      </c>
      <c r="G392" s="114" t="inlineStr">
        <is>
          <t>Personal</t>
        </is>
      </c>
      <c r="H392" s="114" t="inlineStr">
        <is>
          <t>SBI 1227</t>
        </is>
      </c>
    </row>
    <row r="393">
      <c r="A393" s="113" t="n">
        <v>45112</v>
      </c>
      <c r="B393" s="114" t="inlineStr">
        <is>
          <t>NET PI TO HSL SEC A/C 2554606-00602340029427</t>
        </is>
      </c>
      <c r="C393" s="114" t="inlineStr">
        <is>
          <t>0000000426813934</t>
        </is>
      </c>
      <c r="D393" s="114" t="n">
        <v>2415.13</v>
      </c>
      <c r="E393" s="114" t="n">
        <v>0</v>
      </c>
      <c r="F393" s="114" t="n">
        <v>59843.13</v>
      </c>
      <c r="G393" s="114" t="inlineStr">
        <is>
          <t>HDFC Securities</t>
        </is>
      </c>
      <c r="H393" s="114" t="inlineStr">
        <is>
          <t>HDFC 5413</t>
        </is>
      </c>
    </row>
    <row r="394">
      <c r="A394" s="113" t="n">
        <v>45112</v>
      </c>
      <c r="B394" s="114" t="inlineStr">
        <is>
          <t>NET PI TO HSL SEC A/C 2554606-00602340029427</t>
        </is>
      </c>
      <c r="C394" s="114" t="inlineStr">
        <is>
          <t>0000000426965812</t>
        </is>
      </c>
      <c r="D394" s="114" t="n">
        <v>9630.59</v>
      </c>
      <c r="E394" s="114" t="n">
        <v>0</v>
      </c>
      <c r="F394" s="114" t="n">
        <v>50212.54</v>
      </c>
      <c r="G394" s="114" t="inlineStr">
        <is>
          <t>HDFC Securities</t>
        </is>
      </c>
      <c r="H394" s="114" t="inlineStr">
        <is>
          <t>HDFC 5413</t>
        </is>
      </c>
    </row>
    <row r="395">
      <c r="A395" s="113" t="n">
        <v>45112</v>
      </c>
      <c r="B395" s="114" t="inlineStr">
        <is>
          <t xml:space="preserve">   TO TRANSFER-UPI/DR/355281447295/SEVEN SP/PYTM/paytmqr281/UPI--</t>
        </is>
      </c>
      <c r="C395" s="114" t="inlineStr">
        <is>
          <t>TRANSFER TO 4897692162094</t>
        </is>
      </c>
      <c r="D395" s="114" t="n">
        <v>40</v>
      </c>
      <c r="E395" s="114" t="n">
        <v>0</v>
      </c>
      <c r="F395" s="114" t="n">
        <v>117422.24</v>
      </c>
      <c r="G395" s="114" t="inlineStr">
        <is>
          <t>Personal</t>
        </is>
      </c>
      <c r="H395" s="114" t="inlineStr">
        <is>
          <t>SBI 1227</t>
        </is>
      </c>
    </row>
    <row r="396">
      <c r="A396" s="113" t="n">
        <v>45112</v>
      </c>
      <c r="B396" s="114" t="inlineStr">
        <is>
          <t>NET PI TO HSL SEC A/C 2554606-00602340029427</t>
        </is>
      </c>
      <c r="C396" s="114" t="inlineStr">
        <is>
          <t>0000000426769791</t>
        </is>
      </c>
      <c r="D396" s="114" t="n">
        <v>11186.15</v>
      </c>
      <c r="E396" s="114" t="n">
        <v>0</v>
      </c>
      <c r="F396" s="114" t="n">
        <v>62258.26</v>
      </c>
      <c r="G396" s="114" t="inlineStr">
        <is>
          <t>HDFC Securities</t>
        </is>
      </c>
      <c r="H396" s="114" t="inlineStr">
        <is>
          <t>HDFC 5413</t>
        </is>
      </c>
    </row>
    <row r="397">
      <c r="A397" s="113" t="n">
        <v>45112</v>
      </c>
      <c r="B397" s="114" t="inlineStr">
        <is>
          <t>NET PO FROM HSL A/C 2554606-00602340029427</t>
        </is>
      </c>
      <c r="C397" s="114" t="inlineStr">
        <is>
          <t>0000000427004508</t>
        </is>
      </c>
      <c r="D397" s="114" t="n">
        <v>0</v>
      </c>
      <c r="E397" s="114" t="n">
        <v>9630.59</v>
      </c>
      <c r="F397" s="114" t="n">
        <v>59843.13</v>
      </c>
      <c r="G397" s="114" t="inlineStr">
        <is>
          <t>HDFC Securities</t>
        </is>
      </c>
      <c r="H397" s="114" t="inlineStr">
        <is>
          <t>HDFC 5413</t>
        </is>
      </c>
    </row>
    <row r="398">
      <c r="A398" s="113" t="n">
        <v>45112</v>
      </c>
      <c r="B398" s="114" t="inlineStr">
        <is>
          <t>NET PI TO HSL SEC A/C 2554606-00602340029427</t>
        </is>
      </c>
      <c r="C398" s="114" t="inlineStr">
        <is>
          <t>0000000426692846</t>
        </is>
      </c>
      <c r="D398" s="114" t="n">
        <v>113.29</v>
      </c>
      <c r="E398" s="114" t="n">
        <v>0</v>
      </c>
      <c r="F398" s="114" t="n">
        <v>73444.41</v>
      </c>
      <c r="G398" s="114" t="inlineStr">
        <is>
          <t>HDFC Securities</t>
        </is>
      </c>
      <c r="H398" s="114" t="inlineStr">
        <is>
          <t>HDFC 5413</t>
        </is>
      </c>
    </row>
    <row r="399">
      <c r="A399" s="113" t="n">
        <v>45112</v>
      </c>
      <c r="B399" s="114" t="inlineStr">
        <is>
          <t>01671000085930-TPT-RETRUN FROM AAYUSH-AJAY KUMAR GUPTA</t>
        </is>
      </c>
      <c r="C399" s="114" t="inlineStr">
        <is>
          <t>0000000419378611</t>
        </is>
      </c>
      <c r="D399" s="114" t="n">
        <v>20000</v>
      </c>
      <c r="E399" s="114" t="n">
        <v>0</v>
      </c>
      <c r="F399" s="114" t="n">
        <v>73557.7</v>
      </c>
      <c r="G399" s="114" t="inlineStr">
        <is>
          <t>Ajay Gupta</t>
        </is>
      </c>
      <c r="H399" s="114" t="inlineStr">
        <is>
          <t>HDFC 5413</t>
        </is>
      </c>
    </row>
    <row r="400">
      <c r="A400" s="113" t="n">
        <v>45112</v>
      </c>
      <c r="B400" s="114" t="inlineStr">
        <is>
          <t>NET PO FROM HSL A/C 2554606-00602340029427</t>
        </is>
      </c>
      <c r="C400" s="114" t="inlineStr">
        <is>
          <t>0000000426507801</t>
        </is>
      </c>
      <c r="D400" s="114" t="n">
        <v>0</v>
      </c>
      <c r="E400" s="114" t="n">
        <v>77430</v>
      </c>
      <c r="F400" s="114" t="n">
        <v>93557.7</v>
      </c>
      <c r="G400" s="114" t="inlineStr">
        <is>
          <t>HDFC Securities</t>
        </is>
      </c>
      <c r="H400" s="114" t="inlineStr">
        <is>
          <t>HDFC 5413</t>
        </is>
      </c>
    </row>
    <row r="401">
      <c r="A401" s="113" t="n">
        <v>45112</v>
      </c>
      <c r="B401" s="114" t="inlineStr">
        <is>
          <t>NET PO FROM HSL A/C 2554606-00602340029427</t>
        </is>
      </c>
      <c r="C401" s="114" t="inlineStr">
        <is>
          <t>0000000426507800</t>
        </is>
      </c>
      <c r="D401" s="114" t="n">
        <v>0</v>
      </c>
      <c r="E401" s="114" t="n">
        <v>34.6</v>
      </c>
      <c r="F401" s="114" t="n">
        <v>16127.7</v>
      </c>
      <c r="G401" s="114" t="inlineStr">
        <is>
          <t>HDFC Securities</t>
        </is>
      </c>
      <c r="H401" s="114" t="inlineStr">
        <is>
          <t>HDFC 5413</t>
        </is>
      </c>
    </row>
    <row r="402">
      <c r="A402" s="113" t="n">
        <v>45112</v>
      </c>
      <c r="B402" s="114" t="inlineStr">
        <is>
          <t>NET PI TO HSL SEC A/C 2554606-00602340029427</t>
        </is>
      </c>
      <c r="C402" s="114" t="inlineStr">
        <is>
          <t>0000000426399763</t>
        </is>
      </c>
      <c r="D402" s="114" t="n">
        <v>34.6</v>
      </c>
      <c r="E402" s="114" t="n">
        <v>0</v>
      </c>
      <c r="F402" s="114" t="n">
        <v>16093.1</v>
      </c>
      <c r="G402" s="114" t="inlineStr">
        <is>
          <t>HDFC Securities</t>
        </is>
      </c>
      <c r="H402" s="114" t="inlineStr">
        <is>
          <t>HDFC 5413</t>
        </is>
      </c>
    </row>
    <row r="403">
      <c r="A403" s="113" t="n">
        <v>45113</v>
      </c>
      <c r="B403" s="114" t="inlineStr">
        <is>
          <t xml:space="preserve">   TO TRANSFER-UPI/DR/355489401799/Vendekin/ICIC/vendekin@i/UPI--</t>
        </is>
      </c>
      <c r="C403" s="114" t="inlineStr">
        <is>
          <t>TRANSFER TO 4897694162092</t>
        </is>
      </c>
      <c r="D403" s="114" t="n">
        <v>40</v>
      </c>
      <c r="E403" s="114" t="n">
        <v>0</v>
      </c>
      <c r="F403" s="114" t="n">
        <v>117717.06</v>
      </c>
      <c r="G403" s="114" t="inlineStr">
        <is>
          <t>Personal</t>
        </is>
      </c>
      <c r="H403" s="114" t="inlineStr">
        <is>
          <t>SBI 1227</t>
        </is>
      </c>
    </row>
    <row r="404">
      <c r="A404" s="113" t="n">
        <v>45113</v>
      </c>
      <c r="B404" s="114" t="inlineStr">
        <is>
          <t xml:space="preserve">   BY TRANSFER-UPI/CR/355341498822/SHASHANK/HDFC/9880498899/Sent--</t>
        </is>
      </c>
      <c r="C404" s="114" t="inlineStr">
        <is>
          <t>TRANSFER FROM 4897735162098</t>
        </is>
      </c>
      <c r="D404" s="114" t="n">
        <v>0</v>
      </c>
      <c r="E404" s="114" t="n">
        <v>90</v>
      </c>
      <c r="F404" s="114" t="n">
        <v>117757.06</v>
      </c>
      <c r="G404" s="114" t="inlineStr">
        <is>
          <t>Personal</t>
        </is>
      </c>
      <c r="H404" s="114" t="inlineStr">
        <is>
          <t>SBI 1227</t>
        </is>
      </c>
    </row>
    <row r="405">
      <c r="A405" s="113" t="n">
        <v>45113</v>
      </c>
      <c r="B405" s="114" t="inlineStr">
        <is>
          <t xml:space="preserve">   TO TRANSFER-UPI/DR/318792838816/Mr JAGTA/CBIN/jagtarchan/UPI--</t>
        </is>
      </c>
      <c r="C405" s="114" t="inlineStr">
        <is>
          <t>TRANSFER TO 4897693162093</t>
        </is>
      </c>
      <c r="D405" s="114" t="n">
        <v>160</v>
      </c>
      <c r="E405" s="114" t="n">
        <v>0</v>
      </c>
      <c r="F405" s="114" t="n">
        <v>117667.06</v>
      </c>
      <c r="G405" s="114" t="inlineStr">
        <is>
          <t>Personal</t>
        </is>
      </c>
      <c r="H405" s="114" t="inlineStr">
        <is>
          <t>SBI 1227</t>
        </is>
      </c>
    </row>
    <row r="406">
      <c r="A406" s="113" t="n">
        <v>45113</v>
      </c>
      <c r="B406" s="114" t="inlineStr">
        <is>
          <t>NET PO FROM HSL A/C 2554606-00602340029427</t>
        </is>
      </c>
      <c r="C406" s="114" t="inlineStr">
        <is>
          <t>0000000427292989</t>
        </is>
      </c>
      <c r="D406" s="114" t="n">
        <v>0</v>
      </c>
      <c r="E406" s="114" t="n">
        <v>322.25</v>
      </c>
      <c r="F406" s="114" t="n">
        <v>60165.38</v>
      </c>
      <c r="G406" s="114" t="inlineStr">
        <is>
          <t>HDFC Securities</t>
        </is>
      </c>
      <c r="H406" s="114" t="inlineStr">
        <is>
          <t>HDFC 5413</t>
        </is>
      </c>
    </row>
    <row r="407">
      <c r="A407" s="113" t="n">
        <v>45113</v>
      </c>
      <c r="B407" s="114" t="inlineStr">
        <is>
          <t xml:space="preserve">   TO TRANSFER-UPI/DR/318780111144/SEVEN SP/PYTM/paytmqr281/UPI--</t>
        </is>
      </c>
      <c r="C407" s="114" t="inlineStr">
        <is>
          <t>TRANSFER TO 4897693162093</t>
        </is>
      </c>
      <c r="D407" s="114" t="n">
        <v>60</v>
      </c>
      <c r="E407" s="114" t="n">
        <v>0</v>
      </c>
      <c r="F407" s="114" t="n">
        <v>118037.06</v>
      </c>
      <c r="G407" s="114" t="inlineStr">
        <is>
          <t>Personal</t>
        </is>
      </c>
      <c r="H407" s="114" t="inlineStr">
        <is>
          <t>SBI 1227</t>
        </is>
      </c>
    </row>
    <row r="408">
      <c r="A408" s="113" t="n">
        <v>45113</v>
      </c>
      <c r="B408" s="114" t="inlineStr">
        <is>
          <t xml:space="preserve">   TO TRANSFER-UPI/DR/318771888243/mohdjave/UTIB/mohdjaved6/UPI--</t>
        </is>
      </c>
      <c r="C408" s="114" t="inlineStr">
        <is>
          <t>TRANSFER TO 4897693162093</t>
        </is>
      </c>
      <c r="D408" s="114" t="n">
        <v>180</v>
      </c>
      <c r="E408" s="114" t="n">
        <v>0</v>
      </c>
      <c r="F408" s="114" t="n">
        <v>117857.06</v>
      </c>
      <c r="G408" s="114" t="inlineStr">
        <is>
          <t>Personal</t>
        </is>
      </c>
      <c r="H408" s="114" t="inlineStr">
        <is>
          <t>SBI 1227</t>
        </is>
      </c>
    </row>
    <row r="409">
      <c r="A409" s="113" t="n">
        <v>45113</v>
      </c>
      <c r="B409" s="114" t="inlineStr">
        <is>
          <t xml:space="preserve">   TO TRANSFER-UPI/DR/355364795490/Raja Singh/PYTM/paytmqr166/rai--</t>
        </is>
      </c>
      <c r="C409" s="114" t="inlineStr">
        <is>
          <t>TRANSFER TO 4897693162093</t>
        </is>
      </c>
      <c r="D409" s="114" t="n">
        <v>30</v>
      </c>
      <c r="E409" s="114" t="n">
        <v>0</v>
      </c>
      <c r="F409" s="114" t="n">
        <v>117827.06</v>
      </c>
      <c r="G409" s="114" t="inlineStr">
        <is>
          <t>Personal</t>
        </is>
      </c>
      <c r="H409" s="114" t="inlineStr">
        <is>
          <t>SBI 1227</t>
        </is>
      </c>
    </row>
    <row r="410">
      <c r="A410" s="113" t="n">
        <v>45114</v>
      </c>
      <c r="B410" s="114" t="inlineStr">
        <is>
          <t xml:space="preserve">   TO TRANSFER-UPI/DR/318828567938/Vendekin/ICIC/vendekin@i/UPI--</t>
        </is>
      </c>
      <c r="C410" s="114" t="inlineStr">
        <is>
          <t>TRANSFER TO 4897695162091</t>
        </is>
      </c>
      <c r="D410" s="114" t="n">
        <v>20</v>
      </c>
      <c r="E410" s="114" t="n">
        <v>0</v>
      </c>
      <c r="F410" s="114" t="n">
        <v>117597.56</v>
      </c>
      <c r="G410" s="114" t="inlineStr">
        <is>
          <t>Personal</t>
        </is>
      </c>
      <c r="H410" s="114" t="inlineStr">
        <is>
          <t>SBI 1227</t>
        </is>
      </c>
    </row>
    <row r="411">
      <c r="A411" s="113" t="n">
        <v>45114</v>
      </c>
      <c r="B411" s="114" t="inlineStr">
        <is>
          <t>NET PI TO HSL SEC A/C 2554606-00602340029427</t>
        </is>
      </c>
      <c r="C411" s="114" t="inlineStr">
        <is>
          <t>0000000427793164</t>
        </is>
      </c>
      <c r="D411" s="114" t="n">
        <v>93.34</v>
      </c>
      <c r="E411" s="114" t="n">
        <v>0</v>
      </c>
      <c r="F411" s="114" t="n">
        <v>61835.11</v>
      </c>
      <c r="G411" s="114" t="inlineStr">
        <is>
          <t>HDFC Securities</t>
        </is>
      </c>
      <c r="H411" s="114" t="inlineStr">
        <is>
          <t>HDFC 5413</t>
        </is>
      </c>
    </row>
    <row r="412">
      <c r="A412" s="113" t="n">
        <v>45114</v>
      </c>
      <c r="B412" s="114" t="inlineStr">
        <is>
          <t>00602300000434-022673417</t>
        </is>
      </c>
      <c r="C412" s="114" t="inlineStr">
        <is>
          <t>0000307077755984</t>
        </is>
      </c>
      <c r="D412" s="114" t="n">
        <v>0</v>
      </c>
      <c r="E412" s="114" t="n">
        <v>1880</v>
      </c>
      <c r="F412" s="114" t="n">
        <v>61928.45</v>
      </c>
      <c r="G412" s="114" t="inlineStr">
        <is>
          <t>Suspense</t>
        </is>
      </c>
      <c r="H412" s="114" t="inlineStr">
        <is>
          <t>HDFC 5413</t>
        </is>
      </c>
    </row>
    <row r="413">
      <c r="A413" s="113" t="n">
        <v>45114</v>
      </c>
      <c r="B413" s="114" t="inlineStr">
        <is>
          <t xml:space="preserve">   BULK POSTING-ACHCr SBIN03975000029599 SAGAR CEMENTS--</t>
        </is>
      </c>
      <c r="C413" s="114" t="n">
        <v/>
      </c>
      <c r="D413" s="114" t="n">
        <v>0</v>
      </c>
      <c r="E413" s="114" t="n">
        <v>10.5</v>
      </c>
      <c r="F413" s="114" t="n">
        <v>117727.56</v>
      </c>
      <c r="G413" s="114" t="inlineStr">
        <is>
          <t>Dividend Income</t>
        </is>
      </c>
      <c r="H413" s="114" t="inlineStr">
        <is>
          <t>SBI 1227</t>
        </is>
      </c>
    </row>
    <row r="414">
      <c r="A414" s="113" t="n">
        <v>45114</v>
      </c>
      <c r="B414" s="114" t="inlineStr">
        <is>
          <t>NET PI TO HSL SEC A/C 2554606-00602340029427</t>
        </is>
      </c>
      <c r="C414" s="114" t="inlineStr">
        <is>
          <t>0000000427664789</t>
        </is>
      </c>
      <c r="D414" s="114" t="n">
        <v>116.93</v>
      </c>
      <c r="E414" s="114" t="n">
        <v>0</v>
      </c>
      <c r="F414" s="114" t="n">
        <v>60048.45</v>
      </c>
      <c r="G414" s="114" t="inlineStr">
        <is>
          <t>HDFC Securities</t>
        </is>
      </c>
      <c r="H414" s="114" t="inlineStr">
        <is>
          <t>HDFC 5413</t>
        </is>
      </c>
    </row>
    <row r="415">
      <c r="A415" s="113" t="n">
        <v>45114</v>
      </c>
      <c r="B415" s="114" t="inlineStr">
        <is>
          <t xml:space="preserve">   TO TRANSFER-UPI/DR/318805688671/SEVEN SP/PYTM/paytmqr281/UPI--</t>
        </is>
      </c>
      <c r="C415" s="114" t="inlineStr">
        <is>
          <t>TRANSFER TO 4897694162092</t>
        </is>
      </c>
      <c r="D415" s="114" t="n">
        <v>40</v>
      </c>
      <c r="E415" s="114" t="n">
        <v>0</v>
      </c>
      <c r="F415" s="114" t="n">
        <v>117687.56</v>
      </c>
      <c r="G415" s="114" t="inlineStr">
        <is>
          <t>Personal</t>
        </is>
      </c>
      <c r="H415" s="114" t="inlineStr">
        <is>
          <t>SBI 1227</t>
        </is>
      </c>
    </row>
    <row r="416">
      <c r="A416" s="113" t="n">
        <v>45114</v>
      </c>
      <c r="B416" s="114" t="inlineStr">
        <is>
          <t xml:space="preserve">   TO TRANSFER-UPI/DR/318830429927/SEVEN SP/PYTM/paytmqr281/UPI--</t>
        </is>
      </c>
      <c r="C416" s="114" t="inlineStr">
        <is>
          <t>TRANSFER TO 4897694162092</t>
        </is>
      </c>
      <c r="D416" s="114" t="n">
        <v>50</v>
      </c>
      <c r="E416" s="114" t="n">
        <v>0</v>
      </c>
      <c r="F416" s="114" t="n">
        <v>117637.56</v>
      </c>
      <c r="G416" s="114" t="inlineStr">
        <is>
          <t>Personal</t>
        </is>
      </c>
      <c r="H416" s="114" t="inlineStr">
        <is>
          <t>SBI 1227</t>
        </is>
      </c>
    </row>
    <row r="417">
      <c r="A417" s="113" t="n">
        <v>45114</v>
      </c>
      <c r="B417" s="114" t="inlineStr">
        <is>
          <t xml:space="preserve">   TO TRANSFER-UPI/DR/318859119082/Mr  AADA/YESB/q739730170/UPI--</t>
        </is>
      </c>
      <c r="C417" s="114" t="inlineStr">
        <is>
          <t>TRANSFER TO 4897694162092</t>
        </is>
      </c>
      <c r="D417" s="114" t="n">
        <v>20</v>
      </c>
      <c r="E417" s="114" t="n">
        <v>0</v>
      </c>
      <c r="F417" s="114" t="n">
        <v>117617.56</v>
      </c>
      <c r="G417" s="114" t="inlineStr">
        <is>
          <t>Personal</t>
        </is>
      </c>
      <c r="H417" s="114" t="inlineStr">
        <is>
          <t>SBI 1227</t>
        </is>
      </c>
    </row>
    <row r="418">
      <c r="A418" s="113" t="n">
        <v>45115</v>
      </c>
      <c r="B418" s="114" t="inlineStr">
        <is>
          <t xml:space="preserve">   TO TRANSFER-UPI/DR/318929616938/Vendekin/ICIC/vendekin@i/UPI--</t>
        </is>
      </c>
      <c r="C418" s="114" t="inlineStr">
        <is>
          <t>TRANSFER TO 4897695162091</t>
        </is>
      </c>
      <c r="D418" s="114" t="n">
        <v>50</v>
      </c>
      <c r="E418" s="114" t="n">
        <v>0</v>
      </c>
      <c r="F418" s="114" t="n">
        <v>117547.56</v>
      </c>
      <c r="G418" s="114" t="inlineStr">
        <is>
          <t>Personal</t>
        </is>
      </c>
      <c r="H418" s="114" t="inlineStr">
        <is>
          <t>SBI 1227</t>
        </is>
      </c>
    </row>
    <row r="419">
      <c r="A419" s="113" t="n">
        <v>45116</v>
      </c>
      <c r="B419" s="114" t="inlineStr">
        <is>
          <t xml:space="preserve">   TO TRANSFER-UPI/DR/319077070635/HARSH BI/BKID/harshbin06/UPI--</t>
        </is>
      </c>
      <c r="C419" s="114" t="inlineStr">
        <is>
          <t>TRANSFER TO 4897696162090</t>
        </is>
      </c>
      <c r="D419" s="114" t="n">
        <v>85</v>
      </c>
      <c r="E419" s="114" t="n">
        <v>0</v>
      </c>
      <c r="F419" s="114" t="n">
        <v>117462.56</v>
      </c>
      <c r="G419" s="114" t="inlineStr">
        <is>
          <t>Personal</t>
        </is>
      </c>
      <c r="H419" s="114" t="inlineStr">
        <is>
          <t>SBI 1227</t>
        </is>
      </c>
    </row>
    <row r="420">
      <c r="A420" s="113" t="n">
        <v>45116</v>
      </c>
      <c r="B420" s="114" t="inlineStr">
        <is>
          <t xml:space="preserve">   TO TRANSFER-UPI/DR/319077214945/PRANAV  /CNRB/pranavalig/UPI--</t>
        </is>
      </c>
      <c r="C420" s="114" t="inlineStr">
        <is>
          <t>TRANSFER TO 4897696162090</t>
        </is>
      </c>
      <c r="D420" s="114" t="n">
        <v>65</v>
      </c>
      <c r="E420" s="114" t="n">
        <v>0</v>
      </c>
      <c r="F420" s="114" t="n">
        <v>117397.56</v>
      </c>
      <c r="G420" s="114" t="inlineStr">
        <is>
          <t>Personal</t>
        </is>
      </c>
      <c r="H420" s="114" t="inlineStr">
        <is>
          <t>SBI 1227</t>
        </is>
      </c>
    </row>
    <row r="421">
      <c r="A421" s="113" t="n">
        <v>45116</v>
      </c>
      <c r="B421" s="114" t="inlineStr">
        <is>
          <t xml:space="preserve">   TO TRANSFER-UPI/DR/319039993372/SEVEN SP/PYTM/paytmqr281/UPI--</t>
        </is>
      </c>
      <c r="C421" s="114" t="inlineStr">
        <is>
          <t>TRANSFER TO 4897696162090</t>
        </is>
      </c>
      <c r="D421" s="114" t="n">
        <v>110</v>
      </c>
      <c r="E421" s="114" t="n">
        <v>0</v>
      </c>
      <c r="F421" s="114" t="n">
        <v>117287.56</v>
      </c>
      <c r="G421" s="114" t="inlineStr">
        <is>
          <t>Personal</t>
        </is>
      </c>
      <c r="H421" s="114" t="inlineStr">
        <is>
          <t>SBI 1227</t>
        </is>
      </c>
    </row>
    <row r="422">
      <c r="A422" s="113" t="n">
        <v>45117</v>
      </c>
      <c r="B422" s="114" t="inlineStr">
        <is>
          <t xml:space="preserve">   TO TRANSFER-UPI/DR/319120422999/Vendekin/ICIC/vendekin@i/UPI--</t>
        </is>
      </c>
      <c r="C422" s="114" t="inlineStr">
        <is>
          <t>TRANSFER TO 4897690162095</t>
        </is>
      </c>
      <c r="D422" s="114" t="n">
        <v>60</v>
      </c>
      <c r="E422" s="114" t="n">
        <v>0</v>
      </c>
      <c r="F422" s="114" t="n">
        <v>117227.56</v>
      </c>
      <c r="G422" s="114" t="inlineStr">
        <is>
          <t>Personal</t>
        </is>
      </c>
      <c r="H422" s="114" t="inlineStr">
        <is>
          <t>SBI 1227</t>
        </is>
      </c>
    </row>
    <row r="423">
      <c r="A423" s="113" t="n">
        <v>45117</v>
      </c>
      <c r="B423" s="114" t="inlineStr">
        <is>
          <t xml:space="preserve">   BY TRANSFER-UPI/CR/319147053909/Vendekin/ICIC/vendekin@i/vende--</t>
        </is>
      </c>
      <c r="C423" s="114" t="inlineStr">
        <is>
          <t>TRANSFER FROM 4897732162091</t>
        </is>
      </c>
      <c r="D423" s="114" t="n">
        <v>0</v>
      </c>
      <c r="E423" s="114" t="n">
        <v>20</v>
      </c>
      <c r="F423" s="114" t="n">
        <v>117247.56</v>
      </c>
      <c r="G423" s="114" t="inlineStr">
        <is>
          <t>Personal</t>
        </is>
      </c>
      <c r="H423" s="114" t="inlineStr">
        <is>
          <t>SBI 1227</t>
        </is>
      </c>
    </row>
    <row r="424">
      <c r="A424" s="113" t="n">
        <v>45117</v>
      </c>
      <c r="B424" s="114" t="inlineStr">
        <is>
          <t>NET PO FROM HSL A/C 2554606-00602340029427</t>
        </is>
      </c>
      <c r="C424" s="114" t="inlineStr">
        <is>
          <t>0000000428390107</t>
        </is>
      </c>
      <c r="D424" s="114" t="n">
        <v>0</v>
      </c>
      <c r="E424" s="114" t="n">
        <v>46.46</v>
      </c>
      <c r="F424" s="114" t="n">
        <v>61530.9</v>
      </c>
      <c r="G424" s="114" t="inlineStr">
        <is>
          <t>HDFC Securities</t>
        </is>
      </c>
      <c r="H424" s="114" t="inlineStr">
        <is>
          <t>HDFC 5413</t>
        </is>
      </c>
    </row>
    <row r="425">
      <c r="A425" s="113" t="n">
        <v>45117</v>
      </c>
      <c r="B425" s="114" t="inlineStr">
        <is>
          <t xml:space="preserve">   BY TRANSFER-UPI/CR/319147056718/Vendekin/ICIC/vendekin@i/vende--</t>
        </is>
      </c>
      <c r="C425" s="114" t="inlineStr">
        <is>
          <t>TRANSFER FROM 4897732162091</t>
        </is>
      </c>
      <c r="D425" s="114" t="n">
        <v>0</v>
      </c>
      <c r="E425" s="114" t="n">
        <v>20</v>
      </c>
      <c r="F425" s="114" t="n">
        <v>117247.56</v>
      </c>
      <c r="G425" s="114" t="inlineStr">
        <is>
          <t>Personal</t>
        </is>
      </c>
      <c r="H425" s="114" t="inlineStr">
        <is>
          <t>SBI 1227</t>
        </is>
      </c>
    </row>
    <row r="426">
      <c r="A426" s="113" t="n">
        <v>45117</v>
      </c>
      <c r="B426" s="114" t="inlineStr">
        <is>
          <t xml:space="preserve">   TO TRANSFER-UPI/DR/319120475889/Vendekin/ICIC/vendekin@i/UPI--</t>
        </is>
      </c>
      <c r="C426" s="114" t="inlineStr">
        <is>
          <t>TRANSFER TO 4897690162095</t>
        </is>
      </c>
      <c r="D426" s="114" t="n">
        <v>20</v>
      </c>
      <c r="E426" s="114" t="n">
        <v>0</v>
      </c>
      <c r="F426" s="114" t="n">
        <v>117227.56</v>
      </c>
      <c r="G426" s="114" t="inlineStr">
        <is>
          <t>Personal</t>
        </is>
      </c>
      <c r="H426" s="114" t="inlineStr">
        <is>
          <t>SBI 1227</t>
        </is>
      </c>
    </row>
    <row r="427">
      <c r="A427" s="113" t="n">
        <v>45117</v>
      </c>
      <c r="B427" s="114" t="inlineStr">
        <is>
          <t>NET PI TO HSL SEC A/C 2554606-00602340029427</t>
        </is>
      </c>
      <c r="C427" s="114" t="inlineStr">
        <is>
          <t>0000000428237393</t>
        </is>
      </c>
      <c r="D427" s="114" t="n">
        <v>350.67</v>
      </c>
      <c r="E427" s="114" t="n">
        <v>0</v>
      </c>
      <c r="F427" s="114" t="n">
        <v>61484.44</v>
      </c>
      <c r="G427" s="114" t="inlineStr">
        <is>
          <t>HDFC Securities</t>
        </is>
      </c>
      <c r="H427" s="114" t="inlineStr">
        <is>
          <t>HDFC 5413</t>
        </is>
      </c>
    </row>
    <row r="428">
      <c r="A428" s="113" t="n">
        <v>45118</v>
      </c>
      <c r="B428" s="114" t="inlineStr">
        <is>
          <t xml:space="preserve">   BY TRANSFER-UPI/CR/319248370432/Vendekin/ICIC/vendekin@i/vende--</t>
        </is>
      </c>
      <c r="C428" s="114" t="inlineStr">
        <is>
          <t>TRANSFER FROM 4897733162090</t>
        </is>
      </c>
      <c r="D428" s="114" t="n">
        <v>0</v>
      </c>
      <c r="E428" s="114" t="n">
        <v>40</v>
      </c>
      <c r="F428" s="114" t="n">
        <v>117217.56</v>
      </c>
      <c r="G428" s="114" t="inlineStr">
        <is>
          <t>Personal</t>
        </is>
      </c>
      <c r="H428" s="114" t="inlineStr">
        <is>
          <t>SBI 1227</t>
        </is>
      </c>
    </row>
    <row r="429">
      <c r="A429" s="113" t="n">
        <v>45118</v>
      </c>
      <c r="B429" s="114" t="inlineStr">
        <is>
          <t xml:space="preserve">   TO TRANSFER-UPI/DR/319258953660/SEVEN SP/PYTM/paytmqr281/UPI--</t>
        </is>
      </c>
      <c r="C429" s="114" t="inlineStr">
        <is>
          <t>TRANSFER TO 4897691162095</t>
        </is>
      </c>
      <c r="D429" s="114" t="n">
        <v>170</v>
      </c>
      <c r="E429" s="114" t="n">
        <v>0</v>
      </c>
      <c r="F429" s="114" t="n">
        <v>117047.56</v>
      </c>
      <c r="G429" s="114" t="inlineStr">
        <is>
          <t>Personal</t>
        </is>
      </c>
      <c r="H429" s="114" t="inlineStr">
        <is>
          <t>SBI 1227</t>
        </is>
      </c>
    </row>
    <row r="430">
      <c r="A430" s="113" t="n">
        <v>45118</v>
      </c>
      <c r="B430" s="114" t="inlineStr">
        <is>
          <t>NET PI TO HSL SEC A/C 2554606-00602340029427</t>
        </is>
      </c>
      <c r="C430" s="114" t="inlineStr">
        <is>
          <t>0000000428824400</t>
        </is>
      </c>
      <c r="D430" s="114" t="n">
        <v>4256.2</v>
      </c>
      <c r="E430" s="114" t="n">
        <v>0</v>
      </c>
      <c r="F430" s="114" t="n">
        <v>54157.79</v>
      </c>
      <c r="G430" s="114" t="inlineStr">
        <is>
          <t>HDFC Securities</t>
        </is>
      </c>
      <c r="H430" s="114" t="inlineStr">
        <is>
          <t>HDFC 5413</t>
        </is>
      </c>
    </row>
    <row r="431">
      <c r="A431" s="113" t="n">
        <v>45118</v>
      </c>
      <c r="B431" s="114" t="inlineStr">
        <is>
          <t>NET PO FROM HSL A/C 2554606-00602340029427</t>
        </is>
      </c>
      <c r="C431" s="114" t="inlineStr">
        <is>
          <t>0000000428868082</t>
        </is>
      </c>
      <c r="D431" s="114" t="n">
        <v>0</v>
      </c>
      <c r="E431" s="114" t="n">
        <v>39.45</v>
      </c>
      <c r="F431" s="114" t="n">
        <v>54197.24</v>
      </c>
      <c r="G431" s="114" t="inlineStr">
        <is>
          <t>HDFC Securities</t>
        </is>
      </c>
      <c r="H431" s="114" t="inlineStr">
        <is>
          <t>HDFC 5413</t>
        </is>
      </c>
    </row>
    <row r="432">
      <c r="A432" s="113" t="n">
        <v>45118</v>
      </c>
      <c r="B432" s="114" t="inlineStr">
        <is>
          <t>NET PI TO HSL SEC A/C 2554606-00602340029427</t>
        </is>
      </c>
      <c r="C432" s="114" t="inlineStr">
        <is>
          <t>0000000428988590</t>
        </is>
      </c>
      <c r="D432" s="114" t="n">
        <v>5462.73</v>
      </c>
      <c r="E432" s="114" t="n">
        <v>0</v>
      </c>
      <c r="F432" s="114" t="n">
        <v>48734.51</v>
      </c>
      <c r="G432" s="114" t="inlineStr">
        <is>
          <t>HDFC Securities</t>
        </is>
      </c>
      <c r="H432" s="114" t="inlineStr">
        <is>
          <t>HDFC 5413</t>
        </is>
      </c>
    </row>
    <row r="433">
      <c r="A433" s="113" t="n">
        <v>45118</v>
      </c>
      <c r="B433" s="114" t="inlineStr">
        <is>
          <t>NET PO FROM HSL A/C 2554606-00602340029427</t>
        </is>
      </c>
      <c r="C433" s="114" t="inlineStr">
        <is>
          <t>0000000429037098</t>
        </is>
      </c>
      <c r="D433" s="114" t="n">
        <v>0</v>
      </c>
      <c r="E433" s="114" t="n">
        <v>5462.73</v>
      </c>
      <c r="F433" s="114" t="n">
        <v>54197.24</v>
      </c>
      <c r="G433" s="114" t="inlineStr">
        <is>
          <t>HDFC Securities</t>
        </is>
      </c>
      <c r="H433" s="114" t="inlineStr">
        <is>
          <t>HDFC 5413</t>
        </is>
      </c>
    </row>
    <row r="434">
      <c r="A434" s="113" t="n">
        <v>45118</v>
      </c>
      <c r="B434" s="114" t="inlineStr">
        <is>
          <t>NET PI TO HSL SEC A/C 2554606-00602340029427</t>
        </is>
      </c>
      <c r="C434" s="114" t="inlineStr">
        <is>
          <t>0000000428757433</t>
        </is>
      </c>
      <c r="D434" s="114" t="n">
        <v>116.91</v>
      </c>
      <c r="E434" s="114" t="n">
        <v>0</v>
      </c>
      <c r="F434" s="114" t="n">
        <v>58413.99</v>
      </c>
      <c r="G434" s="114" t="inlineStr">
        <is>
          <t>HDFC Securities</t>
        </is>
      </c>
      <c r="H434" s="114" t="inlineStr">
        <is>
          <t>HDFC 5413</t>
        </is>
      </c>
    </row>
    <row r="435">
      <c r="A435" s="113" t="n">
        <v>45118</v>
      </c>
      <c r="B435" s="114" t="inlineStr">
        <is>
          <t>NET PAYIN TO BSE MF A/C -57500000389146- FROM A/C -50100128155413- UCC -2554606-57500000389146</t>
        </is>
      </c>
      <c r="C435" s="114" t="inlineStr">
        <is>
          <t>0000000428688317</t>
        </is>
      </c>
      <c r="D435" s="114" t="n">
        <v>3000</v>
      </c>
      <c r="E435" s="114" t="n">
        <v>0</v>
      </c>
      <c r="F435" s="114" t="n">
        <v>58530.9</v>
      </c>
      <c r="G435" s="114" t="inlineStr">
        <is>
          <t>Investments</t>
        </is>
      </c>
      <c r="H435" s="114" t="inlineStr">
        <is>
          <t>HDFC 5413</t>
        </is>
      </c>
    </row>
    <row r="436">
      <c r="A436" s="113" t="n">
        <v>45118</v>
      </c>
      <c r="B436" s="114" t="inlineStr">
        <is>
          <t xml:space="preserve">   TO TRANSFER-UPI/DR/355843225547/Vendekin/ICIC/vendekin@i/UPI--</t>
        </is>
      </c>
      <c r="C436" s="114" t="inlineStr">
        <is>
          <t>TRANSFER TO 4897691162095</t>
        </is>
      </c>
      <c r="D436" s="114" t="n">
        <v>70</v>
      </c>
      <c r="E436" s="114" t="n">
        <v>0</v>
      </c>
      <c r="F436" s="114" t="n">
        <v>117177.56</v>
      </c>
      <c r="G436" s="114" t="inlineStr">
        <is>
          <t>Personal</t>
        </is>
      </c>
      <c r="H436" s="114" t="inlineStr">
        <is>
          <t>SBI 1227</t>
        </is>
      </c>
    </row>
    <row r="437">
      <c r="A437" s="113" t="n">
        <v>45119</v>
      </c>
      <c r="B437" s="114" t="inlineStr">
        <is>
          <t>NET PI TO HSL SEC A/C 2554606-00602340029427</t>
        </is>
      </c>
      <c r="C437" s="114" t="inlineStr">
        <is>
          <t>0000000429304496</t>
        </is>
      </c>
      <c r="D437" s="114" t="n">
        <v>24846.96</v>
      </c>
      <c r="E437" s="114" t="n">
        <v>0</v>
      </c>
      <c r="F437" s="114" t="n">
        <v>29233.35</v>
      </c>
      <c r="G437" s="114" t="inlineStr">
        <is>
          <t>HDFC Securities</t>
        </is>
      </c>
      <c r="H437" s="114" t="inlineStr">
        <is>
          <t>HDFC 5413</t>
        </is>
      </c>
    </row>
    <row r="438">
      <c r="A438" s="113" t="n">
        <v>45119</v>
      </c>
      <c r="B438" s="114" t="inlineStr">
        <is>
          <t>NET PI TO HSL SEC A/C 2554606-00602340029427</t>
        </is>
      </c>
      <c r="C438" s="114" t="inlineStr">
        <is>
          <t>0000000429202941</t>
        </is>
      </c>
      <c r="D438" s="114" t="n">
        <v>116.93</v>
      </c>
      <c r="E438" s="114" t="n">
        <v>0</v>
      </c>
      <c r="F438" s="114" t="n">
        <v>54080.31</v>
      </c>
      <c r="G438" s="114" t="inlineStr">
        <is>
          <t>HDFC Securities</t>
        </is>
      </c>
      <c r="H438" s="114" t="inlineStr">
        <is>
          <t>HDFC 5413</t>
        </is>
      </c>
    </row>
    <row r="439">
      <c r="A439" s="113" t="n">
        <v>45119</v>
      </c>
      <c r="B439" s="114" t="inlineStr">
        <is>
          <t xml:space="preserve">   TO TRANSFER-UPI/DR/319382308169/SEVEN SP/PYTM/paytmqr281/UPI--</t>
        </is>
      </c>
      <c r="C439" s="114" t="inlineStr">
        <is>
          <t>TRANSFER TO 4897692162094</t>
        </is>
      </c>
      <c r="D439" s="114" t="n">
        <v>40</v>
      </c>
      <c r="E439" s="114" t="n">
        <v>0</v>
      </c>
      <c r="F439" s="114" t="n">
        <v>117007.56</v>
      </c>
      <c r="G439" s="114" t="inlineStr">
        <is>
          <t>Personal</t>
        </is>
      </c>
      <c r="H439" s="114" t="inlineStr">
        <is>
          <t>SBI 1227</t>
        </is>
      </c>
    </row>
    <row r="440">
      <c r="A440" s="113" t="n">
        <v>45119</v>
      </c>
      <c r="B440" s="114" t="inlineStr">
        <is>
          <t xml:space="preserve">   TO TRANSFER-UPI/DR/319399294182/Mr  AADA/YESB/q423863729/UPI--</t>
        </is>
      </c>
      <c r="C440" s="114" t="inlineStr">
        <is>
          <t>TRANSFER TO 4897692162094</t>
        </is>
      </c>
      <c r="D440" s="114" t="n">
        <v>20</v>
      </c>
      <c r="E440" s="114" t="n">
        <v>0</v>
      </c>
      <c r="F440" s="114" t="n">
        <v>116987.56</v>
      </c>
      <c r="G440" s="114" t="inlineStr">
        <is>
          <t>Personal</t>
        </is>
      </c>
      <c r="H440" s="114" t="inlineStr">
        <is>
          <t>SBI 1227</t>
        </is>
      </c>
    </row>
    <row r="441">
      <c r="A441" s="113" t="n">
        <v>45119</v>
      </c>
      <c r="B441" s="114" t="inlineStr">
        <is>
          <t>NET PO FROM HSL A/C 2554606-00602340029427</t>
        </is>
      </c>
      <c r="C441" s="114" t="inlineStr">
        <is>
          <t>0000000429345877</t>
        </is>
      </c>
      <c r="D441" s="114" t="n">
        <v>0</v>
      </c>
      <c r="E441" s="114" t="n">
        <v>31.55</v>
      </c>
      <c r="F441" s="114" t="n">
        <v>29264.9</v>
      </c>
      <c r="G441" s="114" t="inlineStr">
        <is>
          <t>HDFC Securities</t>
        </is>
      </c>
      <c r="H441" s="114" t="inlineStr">
        <is>
          <t>HDFC 5413</t>
        </is>
      </c>
    </row>
    <row r="442">
      <c r="A442" s="113" t="n">
        <v>45120</v>
      </c>
      <c r="B442" s="114" t="inlineStr">
        <is>
          <t>NET PI TO HSL SEC A/C 2554606-00602340029427</t>
        </is>
      </c>
      <c r="C442" s="114" t="inlineStr">
        <is>
          <t>0000000429696587</t>
        </is>
      </c>
      <c r="D442" s="114" t="n">
        <v>116.94</v>
      </c>
      <c r="E442" s="114" t="n">
        <v>0</v>
      </c>
      <c r="F442" s="114" t="n">
        <v>29147.96</v>
      </c>
      <c r="G442" s="114" t="inlineStr">
        <is>
          <t>HDFC Securities</t>
        </is>
      </c>
      <c r="H442" s="114" t="inlineStr">
        <is>
          <t>HDFC 5413</t>
        </is>
      </c>
    </row>
    <row r="443">
      <c r="A443" s="113" t="n">
        <v>45120</v>
      </c>
      <c r="B443" s="114" t="inlineStr">
        <is>
          <t xml:space="preserve">   TO TRANSFER-UPI/DR/319434338456/Mr  AADA/YESB/q964606339/UPI--</t>
        </is>
      </c>
      <c r="C443" s="114" t="inlineStr">
        <is>
          <t>TRANSFER TO 4897693162093</t>
        </is>
      </c>
      <c r="D443" s="114" t="n">
        <v>20</v>
      </c>
      <c r="E443" s="114" t="n">
        <v>0</v>
      </c>
      <c r="F443" s="114" t="n">
        <v>116967.56</v>
      </c>
      <c r="G443" s="114" t="inlineStr">
        <is>
          <t>Personal</t>
        </is>
      </c>
      <c r="H443" s="114" t="inlineStr">
        <is>
          <t>SBI 1227</t>
        </is>
      </c>
    </row>
    <row r="444">
      <c r="A444" s="113" t="n">
        <v>45120</v>
      </c>
      <c r="B444" s="114" t="inlineStr">
        <is>
          <t xml:space="preserve">   BY TRANSFER-UPI/CR/319446314350/TIRTHA T/UBIN/9938240112/Sent--</t>
        </is>
      </c>
      <c r="C444" s="114" t="inlineStr">
        <is>
          <t>TRANSFER FROM 4897735162098</t>
        </is>
      </c>
      <c r="D444" s="114" t="n">
        <v>0</v>
      </c>
      <c r="E444" s="114" t="n">
        <v>60</v>
      </c>
      <c r="F444" s="114" t="n">
        <v>117027.56</v>
      </c>
      <c r="G444" s="114" t="inlineStr">
        <is>
          <t>Personal</t>
        </is>
      </c>
      <c r="H444" s="114" t="inlineStr">
        <is>
          <t>SBI 1227</t>
        </is>
      </c>
    </row>
    <row r="445">
      <c r="A445" s="113" t="n">
        <v>45121</v>
      </c>
      <c r="B445" s="114" t="inlineStr">
        <is>
          <t>NET PI TO HSL SEC A/C 2554606-00602340029427</t>
        </is>
      </c>
      <c r="C445" s="114" t="inlineStr">
        <is>
          <t>0000000430277881</t>
        </is>
      </c>
      <c r="D445" s="114" t="n">
        <v>134.57</v>
      </c>
      <c r="E445" s="114" t="n">
        <v>0</v>
      </c>
      <c r="F445" s="114" t="n">
        <v>25896.86</v>
      </c>
      <c r="G445" s="114" t="inlineStr">
        <is>
          <t>HDFC Securities</t>
        </is>
      </c>
      <c r="H445" s="114" t="inlineStr">
        <is>
          <t>HDFC 5413</t>
        </is>
      </c>
    </row>
    <row r="446">
      <c r="A446" s="113" t="n">
        <v>45121</v>
      </c>
      <c r="B446" s="114" t="inlineStr">
        <is>
          <t>NET PI TO HSL SEC A/C 2554606-00602340029427</t>
        </is>
      </c>
      <c r="C446" s="114" t="inlineStr">
        <is>
          <t>0000000430163949</t>
        </is>
      </c>
      <c r="D446" s="114" t="n">
        <v>116.94</v>
      </c>
      <c r="E446" s="114" t="n">
        <v>0</v>
      </c>
      <c r="F446" s="114" t="n">
        <v>26031.43</v>
      </c>
      <c r="G446" s="114" t="inlineStr">
        <is>
          <t>HDFC Securities</t>
        </is>
      </c>
      <c r="H446" s="114" t="inlineStr">
        <is>
          <t>HDFC 5413</t>
        </is>
      </c>
    </row>
    <row r="447">
      <c r="A447" s="113" t="n">
        <v>45121</v>
      </c>
      <c r="B447" s="114" t="inlineStr">
        <is>
          <t xml:space="preserve">   TO TRANSFER-UPI/DR/319556457121/VISHAL K/PSIB/khanvishal/UPI--</t>
        </is>
      </c>
      <c r="C447" s="114" t="inlineStr">
        <is>
          <t>TRANSFER TO 4897694162092</t>
        </is>
      </c>
      <c r="D447" s="114" t="n">
        <v>50</v>
      </c>
      <c r="E447" s="114" t="n">
        <v>0</v>
      </c>
      <c r="F447" s="114" t="n">
        <v>116977.56</v>
      </c>
      <c r="G447" s="114" t="inlineStr">
        <is>
          <t>Personal</t>
        </is>
      </c>
      <c r="H447" s="114" t="inlineStr">
        <is>
          <t>SBI 1227</t>
        </is>
      </c>
    </row>
    <row r="448">
      <c r="A448" s="113" t="n">
        <v>45121</v>
      </c>
      <c r="B448" s="114" t="inlineStr">
        <is>
          <t xml:space="preserve">   TO TRANSFER-UPI/DR/356157752953/Vendekin/ICIC/vendekin@i/UPI--</t>
        </is>
      </c>
      <c r="C448" s="114" t="inlineStr">
        <is>
          <t>TRANSFER TO 4897694162092</t>
        </is>
      </c>
      <c r="D448" s="114" t="n">
        <v>40</v>
      </c>
      <c r="E448" s="114" t="n">
        <v>0</v>
      </c>
      <c r="F448" s="114" t="n">
        <v>116787.56</v>
      </c>
      <c r="G448" s="114" t="inlineStr">
        <is>
          <t>Personal</t>
        </is>
      </c>
      <c r="H448" s="114" t="inlineStr">
        <is>
          <t>SBI 1227</t>
        </is>
      </c>
    </row>
    <row r="449">
      <c r="A449" s="113" t="n">
        <v>45121</v>
      </c>
      <c r="B449" s="114" t="inlineStr">
        <is>
          <t xml:space="preserve">   TO TRANSFER-UPI/DR/319583282509/PRANAV  /CNRB/pranavalig/UPI--</t>
        </is>
      </c>
      <c r="C449" s="114" t="inlineStr">
        <is>
          <t>TRANSFER TO 4897694162092</t>
        </is>
      </c>
      <c r="D449" s="114" t="n">
        <v>800</v>
      </c>
      <c r="E449" s="114" t="n">
        <v>0</v>
      </c>
      <c r="F449" s="114" t="n">
        <v>115987.56</v>
      </c>
      <c r="G449" s="114" t="inlineStr">
        <is>
          <t>Personal</t>
        </is>
      </c>
      <c r="H449" s="114" t="inlineStr">
        <is>
          <t>SBI 1227</t>
        </is>
      </c>
    </row>
    <row r="450">
      <c r="A450" s="113" t="n">
        <v>45121</v>
      </c>
      <c r="B450" s="114" t="inlineStr">
        <is>
          <t>NET PAYIN TO NSE MF A/C -00990610005906- FROM A/C -50100128155413- UCC -2554606-00990610005906</t>
        </is>
      </c>
      <c r="C450" s="114" t="inlineStr">
        <is>
          <t>0000000430118794</t>
        </is>
      </c>
      <c r="D450" s="114" t="n">
        <v>3000</v>
      </c>
      <c r="E450" s="114" t="n">
        <v>0</v>
      </c>
      <c r="F450" s="114" t="n">
        <v>26148.37</v>
      </c>
      <c r="G450" s="114" t="inlineStr">
        <is>
          <t>Investments</t>
        </is>
      </c>
      <c r="H450" s="114" t="inlineStr">
        <is>
          <t>HDFC 5413</t>
        </is>
      </c>
    </row>
    <row r="451">
      <c r="A451" s="113" t="n">
        <v>45121</v>
      </c>
      <c r="B451" s="114" t="inlineStr">
        <is>
          <t xml:space="preserve">   TO TRANSFER-UPI/DR/319580930153/JUZHAR S/PYTM/9592001871/UPI--</t>
        </is>
      </c>
      <c r="C451" s="114" t="inlineStr">
        <is>
          <t>TRANSFER TO 4897694162092</t>
        </is>
      </c>
      <c r="D451" s="114" t="n">
        <v>80</v>
      </c>
      <c r="E451" s="114" t="n">
        <v>0</v>
      </c>
      <c r="F451" s="114" t="n">
        <v>116827.56</v>
      </c>
      <c r="G451" s="114" t="inlineStr">
        <is>
          <t>Personal</t>
        </is>
      </c>
      <c r="H451" s="114" t="inlineStr">
        <is>
          <t>SBI 1227</t>
        </is>
      </c>
    </row>
    <row r="452">
      <c r="A452" s="113" t="n">
        <v>45121</v>
      </c>
      <c r="B452" s="114" t="inlineStr">
        <is>
          <t xml:space="preserve">   TO TRANSFER-UPI/DR/319573997616/Mr  AADA/YESB/q739730170/UPI--</t>
        </is>
      </c>
      <c r="C452" s="114" t="inlineStr">
        <is>
          <t>TRANSFER TO 4897694162092</t>
        </is>
      </c>
      <c r="D452" s="114" t="n">
        <v>60</v>
      </c>
      <c r="E452" s="114" t="n">
        <v>0</v>
      </c>
      <c r="F452" s="114" t="n">
        <v>116907.56</v>
      </c>
      <c r="G452" s="114" t="inlineStr">
        <is>
          <t>Personal</t>
        </is>
      </c>
      <c r="H452" s="114" t="inlineStr">
        <is>
          <t>SBI 1227</t>
        </is>
      </c>
    </row>
    <row r="453">
      <c r="A453" s="113" t="n">
        <v>45121</v>
      </c>
      <c r="B453" s="114" t="inlineStr">
        <is>
          <t xml:space="preserve">   TO TRANSFER-UPI/DR/319563994886/Mr  AADA/YESB/q739730170/UPI--</t>
        </is>
      </c>
      <c r="C453" s="114" t="inlineStr">
        <is>
          <t>TRANSFER TO 4897694162092</t>
        </is>
      </c>
      <c r="D453" s="114" t="n">
        <v>10</v>
      </c>
      <c r="E453" s="114" t="n">
        <v>0</v>
      </c>
      <c r="F453" s="114" t="n">
        <v>116967.56</v>
      </c>
      <c r="G453" s="114" t="inlineStr">
        <is>
          <t>Personal</t>
        </is>
      </c>
      <c r="H453" s="114" t="inlineStr">
        <is>
          <t>SBI 1227</t>
        </is>
      </c>
    </row>
    <row r="454">
      <c r="A454" s="113" t="n">
        <v>45121</v>
      </c>
      <c r="B454" s="114" t="inlineStr">
        <is>
          <t>NET PO FROM HSL A/C 2554606-00602340029427</t>
        </is>
      </c>
      <c r="C454" s="114" t="inlineStr">
        <is>
          <t>0000000429833164</t>
        </is>
      </c>
      <c r="D454" s="114" t="n">
        <v>0</v>
      </c>
      <c r="E454" s="114" t="n">
        <v>0.41</v>
      </c>
      <c r="F454" s="114" t="n">
        <v>29148.37</v>
      </c>
      <c r="G454" s="114" t="inlineStr">
        <is>
          <t>HDFC Securities</t>
        </is>
      </c>
      <c r="H454" s="114" t="inlineStr">
        <is>
          <t>HDFC 5413</t>
        </is>
      </c>
    </row>
    <row r="455">
      <c r="A455" s="113" t="n">
        <v>45122</v>
      </c>
      <c r="B455" s="114" t="inlineStr">
        <is>
          <t xml:space="preserve">   TO TRANSFER-UPI/DR/319613752833/PAWAN VE/BARB/johnverma1/UPI--</t>
        </is>
      </c>
      <c r="C455" s="114" t="inlineStr">
        <is>
          <t>TRANSFER TO 4897695162091</t>
        </is>
      </c>
      <c r="D455" s="114" t="n">
        <v>300</v>
      </c>
      <c r="E455" s="114" t="n">
        <v>0</v>
      </c>
      <c r="F455" s="114" t="n">
        <v>115647.56</v>
      </c>
      <c r="G455" s="114" t="inlineStr">
        <is>
          <t>Personal</t>
        </is>
      </c>
      <c r="H455" s="114" t="inlineStr">
        <is>
          <t>SBI 1227</t>
        </is>
      </c>
    </row>
    <row r="456">
      <c r="A456" s="113" t="n">
        <v>45122</v>
      </c>
      <c r="B456" s="114" t="inlineStr">
        <is>
          <t xml:space="preserve">   TO TRANSFER-UPI/DR/356209104098/pankaj98/PUNB/pankaj9878/UPI--</t>
        </is>
      </c>
      <c r="C456" s="114" t="inlineStr">
        <is>
          <t>TRANSFER TO 4897695162091</t>
        </is>
      </c>
      <c r="D456" s="114" t="n">
        <v>30</v>
      </c>
      <c r="E456" s="114" t="n">
        <v>0</v>
      </c>
      <c r="F456" s="114" t="n">
        <v>115617.56</v>
      </c>
      <c r="G456" s="114" t="inlineStr">
        <is>
          <t>Personal</t>
        </is>
      </c>
      <c r="H456" s="114" t="inlineStr">
        <is>
          <t>SBI 1227</t>
        </is>
      </c>
    </row>
    <row r="457">
      <c r="A457" s="113" t="n">
        <v>45122</v>
      </c>
      <c r="B457" s="114" t="inlineStr">
        <is>
          <t xml:space="preserve">   TO TRANSFER-UPI/DR/319652188652/Vendekin/ICIC/vendekin@i/UPI--</t>
        </is>
      </c>
      <c r="C457" s="114" t="inlineStr">
        <is>
          <t>TRANSFER TO 4897695162091</t>
        </is>
      </c>
      <c r="D457" s="114" t="n">
        <v>40</v>
      </c>
      <c r="E457" s="114" t="n">
        <v>0</v>
      </c>
      <c r="F457" s="114" t="n">
        <v>115947.56</v>
      </c>
      <c r="G457" s="114" t="inlineStr">
        <is>
          <t>Personal</t>
        </is>
      </c>
      <c r="H457" s="114" t="inlineStr">
        <is>
          <t>SBI 1227</t>
        </is>
      </c>
    </row>
    <row r="458">
      <c r="A458" s="113" t="n">
        <v>45123</v>
      </c>
      <c r="B458" s="114" t="inlineStr">
        <is>
          <t xml:space="preserve">   TO TRANSFER-UPI/DR/319717153589/ANIL KAP/KKBK/paytmqr281/UPI--</t>
        </is>
      </c>
      <c r="C458" s="114" t="inlineStr">
        <is>
          <t>TRANSFER TO 4897696162090</t>
        </is>
      </c>
      <c r="D458" s="114" t="n">
        <v>20</v>
      </c>
      <c r="E458" s="114" t="n">
        <v>0</v>
      </c>
      <c r="F458" s="114" t="n">
        <v>114413.56</v>
      </c>
      <c r="G458" s="114" t="inlineStr">
        <is>
          <t>Personal</t>
        </is>
      </c>
      <c r="H458" s="114" t="inlineStr">
        <is>
          <t>SBI 1227</t>
        </is>
      </c>
    </row>
    <row r="459">
      <c r="A459" s="113" t="n">
        <v>45123</v>
      </c>
      <c r="B459" s="114" t="inlineStr">
        <is>
          <t xml:space="preserve">   TO TRANSFER-UPI/DR/356392452966/K PRAMOD/HDFC/kpramodkri/UPI--</t>
        </is>
      </c>
      <c r="C459" s="114" t="inlineStr">
        <is>
          <t>TRANSFER TO 4897696162090</t>
        </is>
      </c>
      <c r="D459" s="114" t="n">
        <v>250</v>
      </c>
      <c r="E459" s="114" t="n">
        <v>0</v>
      </c>
      <c r="F459" s="114" t="n">
        <v>114427.56</v>
      </c>
      <c r="G459" s="114" t="inlineStr">
        <is>
          <t>Personal</t>
        </is>
      </c>
      <c r="H459" s="114" t="inlineStr">
        <is>
          <t>SBI 1227</t>
        </is>
      </c>
    </row>
    <row r="460">
      <c r="A460" s="113" t="n">
        <v>45123</v>
      </c>
      <c r="B460" s="114" t="inlineStr">
        <is>
          <t xml:space="preserve">   TO TRANSFER-UPI/DR/356313525417/SEVEN SP/PYTM/paytmqr281/UPI--</t>
        </is>
      </c>
      <c r="C460" s="114" t="inlineStr">
        <is>
          <t>TRANSFER TO 4897696162090</t>
        </is>
      </c>
      <c r="D460" s="114" t="n">
        <v>50</v>
      </c>
      <c r="E460" s="114" t="n">
        <v>0</v>
      </c>
      <c r="F460" s="114" t="n">
        <v>114677.56</v>
      </c>
      <c r="G460" s="114" t="inlineStr">
        <is>
          <t>Personal</t>
        </is>
      </c>
      <c r="H460" s="114" t="inlineStr">
        <is>
          <t>SBI 1227</t>
        </is>
      </c>
    </row>
    <row r="461">
      <c r="A461" s="113" t="n">
        <v>45123</v>
      </c>
      <c r="B461" s="114" t="inlineStr">
        <is>
          <t xml:space="preserve">   TO TRANSFER-UPI/DR/319745421204/SEVEN SP/PYTM/paytmqr281/UPI--</t>
        </is>
      </c>
      <c r="C461" s="114" t="inlineStr">
        <is>
          <t>TRANSFER TO 4897696162090</t>
        </is>
      </c>
      <c r="D461" s="114" t="n">
        <v>30</v>
      </c>
      <c r="E461" s="114" t="n">
        <v>0</v>
      </c>
      <c r="F461" s="114" t="n">
        <v>114727.56</v>
      </c>
      <c r="G461" s="114" t="inlineStr">
        <is>
          <t>Personal</t>
        </is>
      </c>
      <c r="H461" s="114" t="inlineStr">
        <is>
          <t>SBI 1227</t>
        </is>
      </c>
    </row>
    <row r="462">
      <c r="A462" s="113" t="n">
        <v>45123</v>
      </c>
      <c r="B462" s="114" t="inlineStr">
        <is>
          <t xml:space="preserve">   TO TRANSFER-UPI/DR/356309400717/K PRAMOD/HDFC/kpramodkri/UPI--</t>
        </is>
      </c>
      <c r="C462" s="114" t="inlineStr">
        <is>
          <t>TRANSFER TO 4897696162090</t>
        </is>
      </c>
      <c r="D462" s="114" t="n">
        <v>400</v>
      </c>
      <c r="E462" s="114" t="n">
        <v>0</v>
      </c>
      <c r="F462" s="114" t="n">
        <v>114757.56</v>
      </c>
      <c r="G462" s="114" t="inlineStr">
        <is>
          <t>Personal</t>
        </is>
      </c>
      <c r="H462" s="114" t="inlineStr">
        <is>
          <t>SBI 1227</t>
        </is>
      </c>
    </row>
    <row r="463">
      <c r="A463" s="113" t="n">
        <v>45123</v>
      </c>
      <c r="B463" s="114" t="inlineStr">
        <is>
          <t xml:space="preserve">   TO TRANSFER-UPI/DR/356387998807/98804988/HDFC/9880498899/UPI--</t>
        </is>
      </c>
      <c r="C463" s="114" t="inlineStr">
        <is>
          <t>TRANSFER TO 4897696162090</t>
        </is>
      </c>
      <c r="D463" s="114" t="n">
        <v>460</v>
      </c>
      <c r="E463" s="114" t="n">
        <v>0</v>
      </c>
      <c r="F463" s="114" t="n">
        <v>115157.56</v>
      </c>
      <c r="G463" s="114" t="inlineStr">
        <is>
          <t>Personal</t>
        </is>
      </c>
      <c r="H463" s="114" t="inlineStr">
        <is>
          <t>SBI 1227</t>
        </is>
      </c>
    </row>
    <row r="464">
      <c r="A464" s="113" t="n">
        <v>45123</v>
      </c>
      <c r="B464" s="114" t="inlineStr">
        <is>
          <t xml:space="preserve">   BY TRANSFER-UPI/CR/319753948919/GOOGLEPAY/UTIB/goog-payme/UPI--</t>
        </is>
      </c>
      <c r="C464" s="114" t="inlineStr">
        <is>
          <t>TRANSFER FROM 4897738162095</t>
        </is>
      </c>
      <c r="D464" s="114" t="n">
        <v>0</v>
      </c>
      <c r="E464" s="114" t="n">
        <v>6</v>
      </c>
      <c r="F464" s="114" t="n">
        <v>114433.56</v>
      </c>
      <c r="G464" s="114" t="inlineStr">
        <is>
          <t>Personal</t>
        </is>
      </c>
      <c r="H464" s="114" t="inlineStr">
        <is>
          <t>SBI 1227</t>
        </is>
      </c>
    </row>
    <row r="465">
      <c r="A465" s="113" t="n">
        <v>45124</v>
      </c>
      <c r="B465" s="114" t="inlineStr">
        <is>
          <t>NET PI TO HSL SEC A/C 2554606-00602340029427</t>
        </is>
      </c>
      <c r="C465" s="114" t="inlineStr">
        <is>
          <t>0000000430704708</t>
        </is>
      </c>
      <c r="D465" s="114" t="n">
        <v>350.64</v>
      </c>
      <c r="E465" s="114" t="n">
        <v>0</v>
      </c>
      <c r="F465" s="114" t="n">
        <v>23046.22</v>
      </c>
      <c r="G465" s="114" t="inlineStr">
        <is>
          <t>HDFC Securities</t>
        </is>
      </c>
      <c r="H465" s="114" t="inlineStr">
        <is>
          <t>HDFC 5413</t>
        </is>
      </c>
    </row>
    <row r="466">
      <c r="A466" s="113" t="n">
        <v>45124</v>
      </c>
      <c r="B466" s="114" t="inlineStr">
        <is>
          <t>NET PO FROM HSL A/C 2554606-00602340029427</t>
        </is>
      </c>
      <c r="C466" s="114" t="inlineStr">
        <is>
          <t>0000000430837118</t>
        </is>
      </c>
      <c r="D466" s="114" t="n">
        <v>0</v>
      </c>
      <c r="E466" s="114" t="n">
        <v>343.96</v>
      </c>
      <c r="F466" s="114" t="n">
        <v>23390.18</v>
      </c>
      <c r="G466" s="114" t="inlineStr">
        <is>
          <t>HDFC Securities</t>
        </is>
      </c>
      <c r="H466" s="114" t="inlineStr">
        <is>
          <t>HDFC 5413</t>
        </is>
      </c>
    </row>
    <row r="467">
      <c r="A467" s="113" t="n">
        <v>45124</v>
      </c>
      <c r="B467" s="114" t="inlineStr">
        <is>
          <t>NET PO FROM HSL A/C 2554606-00602340029427</t>
        </is>
      </c>
      <c r="C467" s="114" t="inlineStr">
        <is>
          <t>0000000431029697</t>
        </is>
      </c>
      <c r="D467" s="114" t="n">
        <v>0</v>
      </c>
      <c r="E467" s="114" t="n">
        <v>5658.17</v>
      </c>
      <c r="F467" s="114" t="n">
        <v>29048.35</v>
      </c>
      <c r="G467" s="114" t="inlineStr">
        <is>
          <t>HDFC Securities</t>
        </is>
      </c>
      <c r="H467" s="114" t="inlineStr">
        <is>
          <t>HDFC 5413</t>
        </is>
      </c>
    </row>
    <row r="468">
      <c r="A468" s="113" t="n">
        <v>45124</v>
      </c>
      <c r="B468" s="114" t="inlineStr">
        <is>
          <t xml:space="preserve">   TO TRANSFER-UPI/DR/319836036755/Vendekin/ICIC/vendekin@i/UPI--</t>
        </is>
      </c>
      <c r="C468" s="114" t="inlineStr">
        <is>
          <t>TRANSFER TO 4897690162095</t>
        </is>
      </c>
      <c r="D468" s="114" t="n">
        <v>20</v>
      </c>
      <c r="E468" s="114" t="n">
        <v>0</v>
      </c>
      <c r="F468" s="114" t="n">
        <v>114393.56</v>
      </c>
      <c r="G468" s="114" t="inlineStr">
        <is>
          <t>Personal</t>
        </is>
      </c>
      <c r="H468" s="114" t="inlineStr">
        <is>
          <t>SBI 1227</t>
        </is>
      </c>
    </row>
    <row r="469">
      <c r="A469" s="113" t="n">
        <v>45124</v>
      </c>
      <c r="B469" s="114" t="inlineStr">
        <is>
          <t xml:space="preserve">   TO TRANSFER-UPI/DR/319848949633/Vendekin/ICIC/vendekin@i/UPI--</t>
        </is>
      </c>
      <c r="C469" s="114" t="inlineStr">
        <is>
          <t>TRANSFER TO 4897690162095</t>
        </is>
      </c>
      <c r="D469" s="114" t="n">
        <v>40</v>
      </c>
      <c r="E469" s="114" t="n">
        <v>0</v>
      </c>
      <c r="F469" s="114" t="n">
        <v>114353.56</v>
      </c>
      <c r="G469" s="114" t="inlineStr">
        <is>
          <t>Personal</t>
        </is>
      </c>
      <c r="H469" s="114" t="inlineStr">
        <is>
          <t>SBI 1227</t>
        </is>
      </c>
    </row>
    <row r="470">
      <c r="A470" s="113" t="n">
        <v>45124</v>
      </c>
      <c r="B470" s="114" t="inlineStr">
        <is>
          <t xml:space="preserve">   TO TRANSFER-UPI/DR/319854376167/Mr  AADA/YESB/q739730170/UPI--</t>
        </is>
      </c>
      <c r="C470" s="114" t="inlineStr">
        <is>
          <t>TRANSFER TO 4897690162095</t>
        </is>
      </c>
      <c r="D470" s="114" t="n">
        <v>20</v>
      </c>
      <c r="E470" s="114" t="n">
        <v>0</v>
      </c>
      <c r="F470" s="114" t="n">
        <v>114333.56</v>
      </c>
      <c r="G470" s="114" t="inlineStr">
        <is>
          <t>Personal</t>
        </is>
      </c>
      <c r="H470" s="114" t="inlineStr">
        <is>
          <t>SBI 1227</t>
        </is>
      </c>
    </row>
    <row r="471">
      <c r="A471" s="113" t="n">
        <v>45124</v>
      </c>
      <c r="B471" s="114" t="inlineStr">
        <is>
          <t>NET PAYIN TO BSE MF A/C -57500000389146- FROM A/C -50100128155413- UCC -2554606-57500000389146</t>
        </is>
      </c>
      <c r="C471" s="114" t="inlineStr">
        <is>
          <t>0000000430612383</t>
        </is>
      </c>
      <c r="D471" s="114" t="n">
        <v>2500</v>
      </c>
      <c r="E471" s="114" t="n">
        <v>0</v>
      </c>
      <c r="F471" s="114" t="n">
        <v>23396.86</v>
      </c>
      <c r="G471" s="114" t="inlineStr">
        <is>
          <t>Investments</t>
        </is>
      </c>
      <c r="H471" s="114" t="inlineStr">
        <is>
          <t>HDFC 5413</t>
        </is>
      </c>
    </row>
    <row r="472">
      <c r="A472" s="113" t="n">
        <v>45125</v>
      </c>
      <c r="B472" s="114" t="inlineStr">
        <is>
          <t>DEPOSITORY CHARGES JUN23 - 52812428</t>
        </is>
      </c>
      <c r="C472" s="114" t="inlineStr">
        <is>
          <t>000000000000000</t>
        </is>
      </c>
      <c r="D472" s="114" t="n">
        <v>406.16</v>
      </c>
      <c r="E472" s="114" t="n">
        <v>0</v>
      </c>
      <c r="F472" s="114" t="n">
        <v>28525.14</v>
      </c>
      <c r="G472" s="114" t="inlineStr">
        <is>
          <t>Depository Charges</t>
        </is>
      </c>
      <c r="H472" s="114" t="inlineStr">
        <is>
          <t>HDFC 5413</t>
        </is>
      </c>
    </row>
    <row r="473">
      <c r="A473" s="113" t="n">
        <v>45125</v>
      </c>
      <c r="B473" s="114" t="inlineStr">
        <is>
          <t xml:space="preserve">   TO TRANSFER-UPI/DR/319980677219/LOVEPREE/SBIN/manaklovep/UPI--</t>
        </is>
      </c>
      <c r="C473" s="114" t="inlineStr">
        <is>
          <t>TRANSFER TO 4897691162095</t>
        </is>
      </c>
      <c r="D473" s="114" t="n">
        <v>165</v>
      </c>
      <c r="E473" s="114" t="n">
        <v>0</v>
      </c>
      <c r="F473" s="114" t="n">
        <v>114018.56</v>
      </c>
      <c r="G473" s="114" t="inlineStr">
        <is>
          <t>Personal</t>
        </is>
      </c>
      <c r="H473" s="114" t="inlineStr">
        <is>
          <t>SBI 1227</t>
        </is>
      </c>
    </row>
    <row r="474">
      <c r="A474" s="113" t="n">
        <v>45125</v>
      </c>
      <c r="B474" s="114" t="inlineStr">
        <is>
          <t xml:space="preserve">   TO TRANSFER-UPI/DR/319969935288/PAWANDEE/YESB/bharatpe90/Pay t--</t>
        </is>
      </c>
      <c r="C474" s="114" t="inlineStr">
        <is>
          <t>TRANSFER TO 4897691162095</t>
        </is>
      </c>
      <c r="D474" s="114" t="n">
        <v>150</v>
      </c>
      <c r="E474" s="114" t="n">
        <v>0</v>
      </c>
      <c r="F474" s="114" t="n">
        <v>114183.56</v>
      </c>
      <c r="G474" s="114" t="inlineStr">
        <is>
          <t>Personal</t>
        </is>
      </c>
      <c r="H474" s="114" t="inlineStr">
        <is>
          <t>SBI 1227</t>
        </is>
      </c>
    </row>
    <row r="475">
      <c r="A475" s="113" t="n">
        <v>45125</v>
      </c>
      <c r="B475" s="114" t="inlineStr">
        <is>
          <t>NET PI TO HSL SEC A/C 2554606-00602340029427</t>
        </is>
      </c>
      <c r="C475" s="114" t="inlineStr">
        <is>
          <t>0000000431201029</t>
        </is>
      </c>
      <c r="D475" s="114" t="n">
        <v>117.05</v>
      </c>
      <c r="E475" s="114" t="n">
        <v>0</v>
      </c>
      <c r="F475" s="114" t="n">
        <v>28931.3</v>
      </c>
      <c r="G475" s="114" t="inlineStr">
        <is>
          <t>HDFC Securities</t>
        </is>
      </c>
      <c r="H475" s="114" t="inlineStr">
        <is>
          <t>HDFC 5413</t>
        </is>
      </c>
    </row>
    <row r="476">
      <c r="A476" s="113" t="n">
        <v>45125</v>
      </c>
      <c r="B476" s="114" t="inlineStr">
        <is>
          <t xml:space="preserve">   BY TRANSFER-UPI/CR/319948400384/SHASHANK/HDFC/9880498899/Sent--</t>
        </is>
      </c>
      <c r="C476" s="114" t="inlineStr">
        <is>
          <t>TRANSFER FROM 4897733162090</t>
        </is>
      </c>
      <c r="D476" s="114" t="n">
        <v>0</v>
      </c>
      <c r="E476" s="114" t="n">
        <v>20</v>
      </c>
      <c r="F476" s="114" t="n">
        <v>113908.56</v>
      </c>
      <c r="G476" s="114" t="inlineStr">
        <is>
          <t>Personal</t>
        </is>
      </c>
      <c r="H476" s="114" t="inlineStr">
        <is>
          <t>SBI 1227</t>
        </is>
      </c>
    </row>
    <row r="477">
      <c r="A477" s="113" t="n">
        <v>45125</v>
      </c>
      <c r="B477" s="114" t="inlineStr">
        <is>
          <t>APRJUN23 INSTAALERTCHG 30 SMS 220523-MIR2419958622424</t>
        </is>
      </c>
      <c r="C477" s="114" t="inlineStr">
        <is>
          <t>MIR2419958622424</t>
        </is>
      </c>
      <c r="D477" s="114" t="n">
        <v>7.08</v>
      </c>
      <c r="E477" s="114" t="n">
        <v>0</v>
      </c>
      <c r="F477" s="114" t="n">
        <v>28518.06</v>
      </c>
      <c r="G477" s="114" t="inlineStr">
        <is>
          <t>Bank Charges</t>
        </is>
      </c>
      <c r="H477" s="114" t="inlineStr">
        <is>
          <t>HDFC 5413</t>
        </is>
      </c>
    </row>
    <row r="478">
      <c r="A478" s="113" t="n">
        <v>45125</v>
      </c>
      <c r="B478" s="114" t="inlineStr">
        <is>
          <t xml:space="preserve">   TO TRANSFER-UPI/DR/356537115037/SEVEN SP/PYTM/paytmqr281/UPI--</t>
        </is>
      </c>
      <c r="C478" s="114" t="inlineStr">
        <is>
          <t>TRANSFER TO 4897691162095</t>
        </is>
      </c>
      <c r="D478" s="114" t="n">
        <v>150</v>
      </c>
      <c r="E478" s="114" t="n">
        <v>0</v>
      </c>
      <c r="F478" s="114" t="n">
        <v>113948.56</v>
      </c>
      <c r="G478" s="114" t="inlineStr">
        <is>
          <t>Personal</t>
        </is>
      </c>
      <c r="H478" s="114" t="inlineStr">
        <is>
          <t>SBI 1227</t>
        </is>
      </c>
    </row>
    <row r="479">
      <c r="A479" s="113" t="n">
        <v>45125</v>
      </c>
      <c r="B479" s="114" t="inlineStr">
        <is>
          <t xml:space="preserve">   BY TRANSFER-UPI/CR/356534588023/SHIVANSH/PUNB/6355284382/NA--</t>
        </is>
      </c>
      <c r="C479" s="114" t="inlineStr">
        <is>
          <t>TRANSFER FROM 4897733162090</t>
        </is>
      </c>
      <c r="D479" s="114" t="n">
        <v>0</v>
      </c>
      <c r="E479" s="114" t="n">
        <v>80</v>
      </c>
      <c r="F479" s="114" t="n">
        <v>114098.56</v>
      </c>
      <c r="G479" s="114" t="inlineStr">
        <is>
          <t>Personal</t>
        </is>
      </c>
      <c r="H479" s="114" t="inlineStr">
        <is>
          <t>SBI 1227</t>
        </is>
      </c>
    </row>
    <row r="480">
      <c r="A480" s="113" t="n">
        <v>45125</v>
      </c>
      <c r="B480" s="114" t="inlineStr">
        <is>
          <t xml:space="preserve">   TO TRANSFER-UPI/DR/319982121482/Vendekin/ICIC/vendekin@i/UPI--</t>
        </is>
      </c>
      <c r="C480" s="114" t="inlineStr">
        <is>
          <t>TRANSFER TO 4897691162095</t>
        </is>
      </c>
      <c r="D480" s="114" t="n">
        <v>60</v>
      </c>
      <c r="E480" s="114" t="n">
        <v>0</v>
      </c>
      <c r="F480" s="114" t="n">
        <v>113888.56</v>
      </c>
      <c r="G480" s="114" t="inlineStr">
        <is>
          <t>Personal</t>
        </is>
      </c>
      <c r="H480" s="114" t="inlineStr">
        <is>
          <t>SBI 1227</t>
        </is>
      </c>
    </row>
    <row r="481">
      <c r="A481" s="113" t="n">
        <v>45126</v>
      </c>
      <c r="B481" s="114" t="inlineStr">
        <is>
          <t xml:space="preserve">   TO TRANSFER-UPI/DR/320019966857/Mr  AADA/YESB/q739730170/UPI--</t>
        </is>
      </c>
      <c r="C481" s="114" t="inlineStr">
        <is>
          <t>TRANSFER TO 4897692162094</t>
        </is>
      </c>
      <c r="D481" s="114" t="n">
        <v>40</v>
      </c>
      <c r="E481" s="114" t="n">
        <v>0</v>
      </c>
      <c r="F481" s="114" t="n">
        <v>113868.56</v>
      </c>
      <c r="G481" s="114" t="inlineStr">
        <is>
          <t>Personal</t>
        </is>
      </c>
      <c r="H481" s="114" t="inlineStr">
        <is>
          <t>SBI 1227</t>
        </is>
      </c>
    </row>
    <row r="482">
      <c r="A482" s="113" t="n">
        <v>45126</v>
      </c>
      <c r="B482" s="114" t="inlineStr">
        <is>
          <t xml:space="preserve">   by debit card-OTHPG 628167      IND*LinkedIn          MUMBAI--</t>
        </is>
      </c>
      <c r="C482" s="114" t="n">
        <v/>
      </c>
      <c r="D482" s="114" t="n">
        <v>2</v>
      </c>
      <c r="E482" s="114" t="n">
        <v>0</v>
      </c>
      <c r="F482" s="114" t="n">
        <v>113866.56</v>
      </c>
      <c r="G482" s="114" t="inlineStr">
        <is>
          <t>Suspense</t>
        </is>
      </c>
      <c r="H482" s="114" t="inlineStr">
        <is>
          <t>SBI 1227</t>
        </is>
      </c>
    </row>
    <row r="483">
      <c r="A483" s="113" t="n">
        <v>45126</v>
      </c>
      <c r="B483" s="114" t="inlineStr">
        <is>
          <t xml:space="preserve">   TO TRANSFER-UPI/DR/320025869820/Vendekin/ICIC/vendekin@i/UPI--</t>
        </is>
      </c>
      <c r="C483" s="114" t="inlineStr">
        <is>
          <t>TRANSFER TO 4897693162093</t>
        </is>
      </c>
      <c r="D483" s="114" t="n">
        <v>60</v>
      </c>
      <c r="E483" s="114" t="n">
        <v>0</v>
      </c>
      <c r="F483" s="114" t="n">
        <v>113806.56</v>
      </c>
      <c r="G483" s="114" t="inlineStr">
        <is>
          <t>Personal</t>
        </is>
      </c>
      <c r="H483" s="114" t="inlineStr">
        <is>
          <t>SBI 1227</t>
        </is>
      </c>
    </row>
    <row r="484">
      <c r="A484" s="113" t="n">
        <v>45126</v>
      </c>
      <c r="B484" s="114" t="inlineStr">
        <is>
          <t xml:space="preserve">   BY TRANSFER-UPI/CR/320072526336/Vendekin/ICIC/vendekin@i/vende--</t>
        </is>
      </c>
      <c r="C484" s="114" t="inlineStr">
        <is>
          <t>TRANSFER FROM 4897735162098</t>
        </is>
      </c>
      <c r="D484" s="114" t="n">
        <v>0</v>
      </c>
      <c r="E484" s="114" t="n">
        <v>20</v>
      </c>
      <c r="F484" s="114" t="n">
        <v>113826.56</v>
      </c>
      <c r="G484" s="114" t="inlineStr">
        <is>
          <t>Personal</t>
        </is>
      </c>
      <c r="H484" s="114" t="inlineStr">
        <is>
          <t>SBI 1227</t>
        </is>
      </c>
    </row>
    <row r="485">
      <c r="A485" s="113" t="n">
        <v>45126</v>
      </c>
      <c r="B485" s="114" t="inlineStr">
        <is>
          <t xml:space="preserve">   TO TRANSFER-UPI/DR/320026045534/Leaf Stu/YESB/leafstudio/UPI--</t>
        </is>
      </c>
      <c r="C485" s="114" t="inlineStr">
        <is>
          <t>TRANSFER TO 4897693162093</t>
        </is>
      </c>
      <c r="D485" s="114" t="n">
        <v>50</v>
      </c>
      <c r="E485" s="114" t="n">
        <v>0</v>
      </c>
      <c r="F485" s="114" t="n">
        <v>113776.56</v>
      </c>
      <c r="G485" s="114" t="inlineStr">
        <is>
          <t>Personal</t>
        </is>
      </c>
      <c r="H485" s="114" t="inlineStr">
        <is>
          <t>SBI 1227</t>
        </is>
      </c>
    </row>
    <row r="486">
      <c r="A486" s="113" t="n">
        <v>45126</v>
      </c>
      <c r="B486" s="114" t="inlineStr">
        <is>
          <t>NET PO FROM HSL A/C 2554606-00602340029427</t>
        </is>
      </c>
      <c r="C486" s="114" t="inlineStr">
        <is>
          <t>0000000431347927</t>
        </is>
      </c>
      <c r="D486" s="114" t="n">
        <v>0</v>
      </c>
      <c r="E486" s="114" t="n">
        <v>2937.29</v>
      </c>
      <c r="F486" s="114" t="n">
        <v>31455.35</v>
      </c>
      <c r="G486" s="114" t="inlineStr">
        <is>
          <t>HDFC Securities</t>
        </is>
      </c>
      <c r="H486" s="114" t="inlineStr">
        <is>
          <t>HDFC 5413</t>
        </is>
      </c>
    </row>
    <row r="487">
      <c r="A487" s="113" t="n">
        <v>45126</v>
      </c>
      <c r="B487" s="114" t="inlineStr">
        <is>
          <t>NET PO FROM HSL A/C 2554606-00602340029427</t>
        </is>
      </c>
      <c r="C487" s="114" t="inlineStr">
        <is>
          <t>0000000431595289</t>
        </is>
      </c>
      <c r="D487" s="114" t="n">
        <v>0</v>
      </c>
      <c r="E487" s="114" t="n">
        <v>20745.74</v>
      </c>
      <c r="F487" s="114" t="n">
        <v>52201.09</v>
      </c>
      <c r="G487" s="114" t="inlineStr">
        <is>
          <t>HDFC Securities</t>
        </is>
      </c>
      <c r="H487" s="114" t="inlineStr">
        <is>
          <t>HDFC 5413</t>
        </is>
      </c>
    </row>
    <row r="488">
      <c r="A488" s="113" t="n">
        <v>45126</v>
      </c>
      <c r="B488" s="114" t="inlineStr">
        <is>
          <t>ACH C- BOB DIVDND FY2022-23-9608629</t>
        </is>
      </c>
      <c r="C488" s="114" t="inlineStr">
        <is>
          <t>0000003558278672</t>
        </is>
      </c>
      <c r="D488" s="114" t="n">
        <v>0</v>
      </c>
      <c r="E488" s="114" t="n">
        <v>275</v>
      </c>
      <c r="F488" s="114" t="n">
        <v>52476.09</v>
      </c>
      <c r="G488" s="114" t="inlineStr">
        <is>
          <t>Dividend Income</t>
        </is>
      </c>
      <c r="H488" s="114" t="inlineStr">
        <is>
          <t>HDFC 5413</t>
        </is>
      </c>
    </row>
    <row r="489">
      <c r="A489" s="113" t="n">
        <v>45126</v>
      </c>
      <c r="B489" s="114" t="inlineStr">
        <is>
          <t>NET PI TO HSL SEC A/C 2554606-00602340029427</t>
        </is>
      </c>
      <c r="C489" s="114" t="inlineStr">
        <is>
          <t>0000000431651063</t>
        </is>
      </c>
      <c r="D489" s="114" t="n">
        <v>465.99</v>
      </c>
      <c r="E489" s="114" t="n">
        <v>0</v>
      </c>
      <c r="F489" s="114" t="n">
        <v>52010.1</v>
      </c>
      <c r="G489" s="114" t="inlineStr">
        <is>
          <t>HDFC Securities</t>
        </is>
      </c>
      <c r="H489" s="114" t="inlineStr">
        <is>
          <t>HDFC 5413</t>
        </is>
      </c>
    </row>
    <row r="490">
      <c r="A490" s="113" t="n">
        <v>45126</v>
      </c>
      <c r="B490" s="114" t="inlineStr">
        <is>
          <t>NET PO FROM HSL A/C 2554606-00602340029427</t>
        </is>
      </c>
      <c r="C490" s="114" t="inlineStr">
        <is>
          <t>0000000431698145</t>
        </is>
      </c>
      <c r="D490" s="114" t="n">
        <v>0</v>
      </c>
      <c r="E490" s="114" t="n">
        <v>82.59999999999999</v>
      </c>
      <c r="F490" s="114" t="n">
        <v>52092.7</v>
      </c>
      <c r="G490" s="114" t="inlineStr">
        <is>
          <t>HDFC Securities</t>
        </is>
      </c>
      <c r="H490" s="114" t="inlineStr">
        <is>
          <t>HDFC 5413</t>
        </is>
      </c>
    </row>
    <row r="491">
      <c r="A491" s="113" t="n">
        <v>45127</v>
      </c>
      <c r="B491" s="114" t="inlineStr">
        <is>
          <t>NET PI TO HSL SEC A/C 2554606-00602340029427</t>
        </is>
      </c>
      <c r="C491" s="114" t="inlineStr">
        <is>
          <t>0000000431945263</t>
        </is>
      </c>
      <c r="D491" s="114" t="n">
        <v>113.92</v>
      </c>
      <c r="E491" s="114" t="n">
        <v>0</v>
      </c>
      <c r="F491" s="114" t="n">
        <v>52444.77</v>
      </c>
      <c r="G491" s="114" t="inlineStr">
        <is>
          <t>HDFC Securities</t>
        </is>
      </c>
      <c r="H491" s="114" t="inlineStr">
        <is>
          <t>HDFC 5413</t>
        </is>
      </c>
    </row>
    <row r="492">
      <c r="A492" s="113" t="n">
        <v>45127</v>
      </c>
      <c r="B492" s="114" t="inlineStr">
        <is>
          <t>NET PO FROM HSL A/C 2554606-00602340029427</t>
        </is>
      </c>
      <c r="C492" s="114" t="inlineStr">
        <is>
          <t>0000000431759213</t>
        </is>
      </c>
      <c r="D492" s="114" t="n">
        <v>0</v>
      </c>
      <c r="E492" s="114" t="n">
        <v>465.99</v>
      </c>
      <c r="F492" s="114" t="n">
        <v>52558.69</v>
      </c>
      <c r="G492" s="114" t="inlineStr">
        <is>
          <t>HDFC Securities</t>
        </is>
      </c>
      <c r="H492" s="114" t="inlineStr">
        <is>
          <t>HDFC 5413</t>
        </is>
      </c>
    </row>
    <row r="493">
      <c r="A493" s="113" t="n">
        <v>45127</v>
      </c>
      <c r="B493" s="114" t="inlineStr">
        <is>
          <t>NET PO FROM HSL A/C 2554606-00602340029427</t>
        </is>
      </c>
      <c r="C493" s="114" t="inlineStr">
        <is>
          <t>0000000431969977</t>
        </is>
      </c>
      <c r="D493" s="114" t="n">
        <v>0</v>
      </c>
      <c r="E493" s="114" t="n">
        <v>7180.08</v>
      </c>
      <c r="F493" s="114" t="n">
        <v>59624.85</v>
      </c>
      <c r="G493" s="114" t="inlineStr">
        <is>
          <t>HDFC Securities</t>
        </is>
      </c>
      <c r="H493" s="114" t="inlineStr">
        <is>
          <t>HDFC 5413</t>
        </is>
      </c>
    </row>
    <row r="494">
      <c r="A494" s="113" t="n">
        <v>45127</v>
      </c>
      <c r="B494" s="114" t="inlineStr">
        <is>
          <t xml:space="preserve">   BY TRANSFER-UPI/CR/320173925946/Vendekin/ICIC/vendekin@i/vende--</t>
        </is>
      </c>
      <c r="C494" s="114" t="inlineStr">
        <is>
          <t>TRANSFER FROM 4897735162098</t>
        </is>
      </c>
      <c r="D494" s="114" t="n">
        <v>0</v>
      </c>
      <c r="E494" s="114" t="n">
        <v>20</v>
      </c>
      <c r="F494" s="114" t="n">
        <v>113676.56</v>
      </c>
      <c r="G494" s="114" t="inlineStr">
        <is>
          <t>Personal</t>
        </is>
      </c>
      <c r="H494" s="114" t="inlineStr">
        <is>
          <t>SBI 1227</t>
        </is>
      </c>
    </row>
    <row r="495">
      <c r="A495" s="113" t="n">
        <v>45127</v>
      </c>
      <c r="B495" s="114" t="inlineStr">
        <is>
          <t xml:space="preserve">   BY TRANSFER-UPI/CR/356792387965/NITISH K/SBIN/7978999722/Payme--</t>
        </is>
      </c>
      <c r="C495" s="114" t="inlineStr">
        <is>
          <t>TRANSFER FROM 4897735162098</t>
        </is>
      </c>
      <c r="D495" s="114" t="n">
        <v>0</v>
      </c>
      <c r="E495" s="114" t="n">
        <v>80</v>
      </c>
      <c r="F495" s="114" t="n">
        <v>113756.56</v>
      </c>
      <c r="G495" s="114" t="inlineStr">
        <is>
          <t>Personal</t>
        </is>
      </c>
      <c r="H495" s="114" t="inlineStr">
        <is>
          <t>SBI 1227</t>
        </is>
      </c>
    </row>
    <row r="496">
      <c r="A496" s="113" t="n">
        <v>45127</v>
      </c>
      <c r="B496" s="114" t="inlineStr">
        <is>
          <t xml:space="preserve">   TO TRANSFER-UPI/DR/320138812953/Vendekin/ICIC/vendekin@i/UPI--</t>
        </is>
      </c>
      <c r="C496" s="114" t="inlineStr">
        <is>
          <t>TRANSFER TO 4897693162093</t>
        </is>
      </c>
      <c r="D496" s="114" t="n">
        <v>70</v>
      </c>
      <c r="E496" s="114" t="n">
        <v>0</v>
      </c>
      <c r="F496" s="114" t="n">
        <v>113656.56</v>
      </c>
      <c r="G496" s="114" t="inlineStr">
        <is>
          <t>Personal</t>
        </is>
      </c>
      <c r="H496" s="114" t="inlineStr">
        <is>
          <t>SBI 1227</t>
        </is>
      </c>
    </row>
    <row r="497">
      <c r="A497" s="113" t="n">
        <v>45127</v>
      </c>
      <c r="B497" s="114" t="inlineStr">
        <is>
          <t xml:space="preserve">   TO TRANSFER-UPI/DR/320138502002/SEVEN SP/PYTM/paytmqr281/UPI--</t>
        </is>
      </c>
      <c r="C497" s="114" t="inlineStr">
        <is>
          <t>TRANSFER TO 4897693162093</t>
        </is>
      </c>
      <c r="D497" s="114" t="n">
        <v>50</v>
      </c>
      <c r="E497" s="114" t="n">
        <v>0</v>
      </c>
      <c r="F497" s="114" t="n">
        <v>113726.56</v>
      </c>
      <c r="G497" s="114" t="inlineStr">
        <is>
          <t>Personal</t>
        </is>
      </c>
      <c r="H497" s="114" t="inlineStr">
        <is>
          <t>SBI 1227</t>
        </is>
      </c>
    </row>
    <row r="498">
      <c r="A498" s="113" t="n">
        <v>45128</v>
      </c>
      <c r="B498" s="114" t="inlineStr">
        <is>
          <t>ACH C- ALUFLUORIDE LIMITED-7556</t>
        </is>
      </c>
      <c r="C498" s="114" t="inlineStr">
        <is>
          <t>0000003615635303</t>
        </is>
      </c>
      <c r="D498" s="114" t="n">
        <v>0</v>
      </c>
      <c r="E498" s="114" t="n">
        <v>100</v>
      </c>
      <c r="F498" s="114" t="n">
        <v>77031.03</v>
      </c>
      <c r="G498" s="114" t="inlineStr">
        <is>
          <t>Dividend Income</t>
        </is>
      </c>
      <c r="H498" s="114" t="inlineStr">
        <is>
          <t>HDFC 5413</t>
        </is>
      </c>
    </row>
    <row r="499">
      <c r="A499" s="113" t="n">
        <v>45128</v>
      </c>
      <c r="B499" s="114" t="inlineStr">
        <is>
          <t>NET PO FROM HSL A/C 2554606-00602340029427</t>
        </is>
      </c>
      <c r="C499" s="114" t="inlineStr">
        <is>
          <t>0000000432337700</t>
        </is>
      </c>
      <c r="D499" s="114" t="n">
        <v>0</v>
      </c>
      <c r="E499" s="114" t="n">
        <v>17375.14</v>
      </c>
      <c r="F499" s="114" t="n">
        <v>76931.03</v>
      </c>
      <c r="G499" s="114" t="inlineStr">
        <is>
          <t>HDFC Securities</t>
        </is>
      </c>
      <c r="H499" s="114" t="inlineStr">
        <is>
          <t>HDFC 5413</t>
        </is>
      </c>
    </row>
    <row r="500">
      <c r="A500" s="113" t="n">
        <v>45128</v>
      </c>
      <c r="B500" s="114" t="inlineStr">
        <is>
          <t>NET PI TO HSL SEC A/C 2554606-00602340029427</t>
        </is>
      </c>
      <c r="C500" s="114" t="inlineStr">
        <is>
          <t>0000000432328175</t>
        </is>
      </c>
      <c r="D500" s="114" t="n">
        <v>113.94</v>
      </c>
      <c r="E500" s="114" t="n">
        <v>0</v>
      </c>
      <c r="F500" s="114" t="n">
        <v>59555.89</v>
      </c>
      <c r="G500" s="114" t="inlineStr">
        <is>
          <t>HDFC Securities</t>
        </is>
      </c>
      <c r="H500" s="114" t="inlineStr">
        <is>
          <t>HDFC 5413</t>
        </is>
      </c>
    </row>
    <row r="501">
      <c r="A501" s="113" t="n">
        <v>45128</v>
      </c>
      <c r="B501" s="114" t="inlineStr">
        <is>
          <t>NET PO FROM HSL A/C 2554606-00602340029427</t>
        </is>
      </c>
      <c r="C501" s="114" t="inlineStr">
        <is>
          <t>0000000432087885</t>
        </is>
      </c>
      <c r="D501" s="114" t="n">
        <v>0</v>
      </c>
      <c r="E501" s="114" t="n">
        <v>44.98</v>
      </c>
      <c r="F501" s="114" t="n">
        <v>59669.83</v>
      </c>
      <c r="G501" s="114" t="inlineStr">
        <is>
          <t>HDFC Securities</t>
        </is>
      </c>
      <c r="H501" s="114" t="inlineStr">
        <is>
          <t>HDFC 5413</t>
        </is>
      </c>
    </row>
    <row r="502">
      <c r="A502" s="113" t="n">
        <v>45128</v>
      </c>
      <c r="B502" s="114" t="inlineStr">
        <is>
          <t xml:space="preserve">   TO TRANSFER-UPI/DR/320293174995/RAJESH K/BARB/pandeyraje/UPI--</t>
        </is>
      </c>
      <c r="C502" s="114" t="inlineStr">
        <is>
          <t>TRANSFER TO 4897694162092</t>
        </is>
      </c>
      <c r="D502" s="114" t="n">
        <v>280</v>
      </c>
      <c r="E502" s="114" t="n">
        <v>0</v>
      </c>
      <c r="F502" s="114" t="n">
        <v>113476.56</v>
      </c>
      <c r="G502" s="114" t="inlineStr">
        <is>
          <t>Personal</t>
        </is>
      </c>
      <c r="H502" s="114" t="inlineStr">
        <is>
          <t>SBI 1227</t>
        </is>
      </c>
    </row>
    <row r="503">
      <c r="A503" s="113" t="n">
        <v>45128</v>
      </c>
      <c r="B503" s="114" t="inlineStr">
        <is>
          <t>NET PI TO HSL SEC A/C 2554606-00602340029427</t>
        </is>
      </c>
      <c r="C503" s="114" t="inlineStr">
        <is>
          <t>0000000432464769</t>
        </is>
      </c>
      <c r="D503" s="114" t="n">
        <v>108.48</v>
      </c>
      <c r="E503" s="114" t="n">
        <v>0</v>
      </c>
      <c r="F503" s="114" t="n">
        <v>76922.55</v>
      </c>
      <c r="G503" s="114" t="inlineStr">
        <is>
          <t>HDFC Securities</t>
        </is>
      </c>
      <c r="H503" s="114" t="inlineStr">
        <is>
          <t>HDFC 5413</t>
        </is>
      </c>
    </row>
    <row r="504">
      <c r="A504" s="113" t="n">
        <v>45129</v>
      </c>
      <c r="B504" s="114" t="inlineStr">
        <is>
          <t>84964259/HDFCLIFEULIP</t>
        </is>
      </c>
      <c r="C504" s="114" t="inlineStr">
        <is>
          <t>0002320322920809</t>
        </is>
      </c>
      <c r="D504" s="114" t="n">
        <v>50000</v>
      </c>
      <c r="E504" s="114" t="n">
        <v>0</v>
      </c>
      <c r="F504" s="114" t="n">
        <v>26922.55</v>
      </c>
      <c r="G504" s="114" t="inlineStr">
        <is>
          <t>Life Insurance</t>
        </is>
      </c>
      <c r="H504" s="114" t="inlineStr">
        <is>
          <t>HDFC 5413</t>
        </is>
      </c>
    </row>
    <row r="505">
      <c r="A505" s="113" t="n">
        <v>45129</v>
      </c>
      <c r="B505" s="114" t="inlineStr">
        <is>
          <t xml:space="preserve">   BY TRANSFER-UPI/CR/356940631219/VYSAKH R K/UTIB/9447970836/NA--</t>
        </is>
      </c>
      <c r="C505" s="114" t="inlineStr">
        <is>
          <t>TRANSFER FROM 4897737162096</t>
        </is>
      </c>
      <c r="D505" s="114" t="n">
        <v>0</v>
      </c>
      <c r="E505" s="114" t="n">
        <v>500</v>
      </c>
      <c r="F505" s="114" t="n">
        <v>112506.56</v>
      </c>
      <c r="G505" s="114" t="inlineStr">
        <is>
          <t>Personal</t>
        </is>
      </c>
      <c r="H505" s="114" t="inlineStr">
        <is>
          <t>SBI 1227</t>
        </is>
      </c>
    </row>
    <row r="506">
      <c r="A506" s="113" t="n">
        <v>45129</v>
      </c>
      <c r="B506" s="114" t="inlineStr">
        <is>
          <t xml:space="preserve">   TO TRANSFER-UPI/DR/320326887365/ANKUR   ./KKBK/ankurbajaj/UPI--</t>
        </is>
      </c>
      <c r="C506" s="114" t="inlineStr">
        <is>
          <t>TRANSFER TO 4897695162091</t>
        </is>
      </c>
      <c r="D506" s="114" t="n">
        <v>127</v>
      </c>
      <c r="E506" s="114" t="n">
        <v>0</v>
      </c>
      <c r="F506" s="114" t="n">
        <v>111556.56</v>
      </c>
      <c r="G506" s="114" t="inlineStr">
        <is>
          <t>Personal</t>
        </is>
      </c>
      <c r="H506" s="114" t="inlineStr">
        <is>
          <t>SBI 1227</t>
        </is>
      </c>
    </row>
    <row r="507">
      <c r="A507" s="113" t="n">
        <v>45129</v>
      </c>
      <c r="B507" s="114" t="inlineStr">
        <is>
          <t xml:space="preserve">   TO TRANSFER-UPI/DR/320325771366/NANDINI /YESB/q428890108/UPI--</t>
        </is>
      </c>
      <c r="C507" s="114" t="inlineStr">
        <is>
          <t>TRANSFER TO 4897695162091</t>
        </is>
      </c>
      <c r="D507" s="114" t="n">
        <v>1344</v>
      </c>
      <c r="E507" s="114" t="n">
        <v>0</v>
      </c>
      <c r="F507" s="114" t="n">
        <v>111683.56</v>
      </c>
      <c r="G507" s="114" t="inlineStr">
        <is>
          <t>Personal</t>
        </is>
      </c>
      <c r="H507" s="114" t="inlineStr">
        <is>
          <t>SBI 1227</t>
        </is>
      </c>
    </row>
    <row r="508">
      <c r="A508" s="113" t="n">
        <v>45129</v>
      </c>
      <c r="B508" s="114" t="inlineStr">
        <is>
          <t xml:space="preserve">   TO TRANSFER-UPI/DR/320319987083/UDEMY/HDFC/billdeskpg/Pay--</t>
        </is>
      </c>
      <c r="C508" s="114" t="inlineStr">
        <is>
          <t>TRANSFER TO 4897695162091</t>
        </is>
      </c>
      <c r="D508" s="114" t="n">
        <v>449</v>
      </c>
      <c r="E508" s="114" t="n">
        <v>0</v>
      </c>
      <c r="F508" s="114" t="n">
        <v>113027.56</v>
      </c>
      <c r="G508" s="114" t="inlineStr">
        <is>
          <t>Personal</t>
        </is>
      </c>
      <c r="H508" s="114" t="inlineStr">
        <is>
          <t>SBI 1227</t>
        </is>
      </c>
    </row>
    <row r="509">
      <c r="A509" s="113" t="n">
        <v>45129</v>
      </c>
      <c r="B509" s="114" t="inlineStr">
        <is>
          <t xml:space="preserve">   BY TRANSFER-UPI/CR/356940477067/SHASHANK/HDFC/9880498899/Sent--</t>
        </is>
      </c>
      <c r="C509" s="114" t="inlineStr">
        <is>
          <t>TRANSFER FROM 4897737162096</t>
        </is>
      </c>
      <c r="D509" s="114" t="n">
        <v>0</v>
      </c>
      <c r="E509" s="114" t="n">
        <v>450</v>
      </c>
      <c r="F509" s="114" t="n">
        <v>112006.56</v>
      </c>
      <c r="G509" s="114" t="inlineStr">
        <is>
          <t>Personal</t>
        </is>
      </c>
      <c r="H509" s="114" t="inlineStr">
        <is>
          <t>SBI 1227</t>
        </is>
      </c>
    </row>
    <row r="510">
      <c r="A510" s="113" t="n">
        <v>45130</v>
      </c>
      <c r="B510" s="114" t="inlineStr">
        <is>
          <t xml:space="preserve">   TO TRANSFER-UPI/DR/320471883328/AAYUSH K/FDRL/9594435259/ADDMO--</t>
        </is>
      </c>
      <c r="C510" s="114" t="inlineStr">
        <is>
          <t>TRANSFER TO 4897696162090</t>
        </is>
      </c>
      <c r="D510" s="114" t="n">
        <v>199</v>
      </c>
      <c r="E510" s="114" t="n">
        <v>0</v>
      </c>
      <c r="F510" s="114" t="n">
        <v>112307.56</v>
      </c>
      <c r="G510" s="114" t="inlineStr">
        <is>
          <t>FEDERAL 0847</t>
        </is>
      </c>
      <c r="H510" s="114" t="inlineStr">
        <is>
          <t>SBI 1227</t>
        </is>
      </c>
    </row>
    <row r="511">
      <c r="A511" s="113" t="n">
        <v>45130</v>
      </c>
      <c r="B511" s="114" t="inlineStr">
        <is>
          <t xml:space="preserve">   TO TRANSFER-UPI/DR/320435208368/UDEMY/HDFC/billdeskpg/Pay--</t>
        </is>
      </c>
      <c r="C511" s="114" t="inlineStr">
        <is>
          <t>TRANSFER TO 4897696162090</t>
        </is>
      </c>
      <c r="D511" s="114" t="n">
        <v>1347</v>
      </c>
      <c r="E511" s="114" t="n">
        <v>0</v>
      </c>
      <c r="F511" s="114" t="n">
        <v>110761.56</v>
      </c>
      <c r="G511" s="114" t="inlineStr">
        <is>
          <t>Personal</t>
        </is>
      </c>
      <c r="H511" s="114" t="inlineStr">
        <is>
          <t>SBI 1227</t>
        </is>
      </c>
    </row>
    <row r="512">
      <c r="A512" s="113" t="n">
        <v>45130</v>
      </c>
      <c r="B512" s="114" t="inlineStr">
        <is>
          <t xml:space="preserve">   TO TRANSFER-UPI/DR/320444540066/Mr  AADA/YESB/q739730170/UPI--</t>
        </is>
      </c>
      <c r="C512" s="114" t="inlineStr">
        <is>
          <t>TRANSFER TO 4897696162090</t>
        </is>
      </c>
      <c r="D512" s="114" t="n">
        <v>40</v>
      </c>
      <c r="E512" s="114" t="n">
        <v>0</v>
      </c>
      <c r="F512" s="114" t="n">
        <v>110721.56</v>
      </c>
      <c r="G512" s="114" t="inlineStr">
        <is>
          <t>Personal</t>
        </is>
      </c>
      <c r="H512" s="114" t="inlineStr">
        <is>
          <t>SBI 1227</t>
        </is>
      </c>
    </row>
    <row r="513">
      <c r="A513" s="113" t="n">
        <v>45130</v>
      </c>
      <c r="B513" s="114" t="inlineStr">
        <is>
          <t xml:space="preserve">   TO TRANSFER-UPI/DR/320451849429/Shashank/HDFC/9880498899/UPI--</t>
        </is>
      </c>
      <c r="C513" s="114" t="inlineStr">
        <is>
          <t>TRANSFER TO 4897696162090</t>
        </is>
      </c>
      <c r="D513" s="114" t="n">
        <v>265</v>
      </c>
      <c r="E513" s="114" t="n">
        <v>0</v>
      </c>
      <c r="F513" s="114" t="n">
        <v>110456.56</v>
      </c>
      <c r="G513" s="114" t="inlineStr">
        <is>
          <t>Personal</t>
        </is>
      </c>
      <c r="H513" s="114" t="inlineStr">
        <is>
          <t>SBI 1227</t>
        </is>
      </c>
    </row>
    <row r="514">
      <c r="A514" s="113" t="n">
        <v>45130</v>
      </c>
      <c r="B514" s="114" t="inlineStr">
        <is>
          <t xml:space="preserve">   TO TRANSFER-UPI/DR/320452786327/K PRAMOD/HDFC/kpramodkri/UPI--</t>
        </is>
      </c>
      <c r="C514" s="114" t="inlineStr">
        <is>
          <t>TRANSFER TO 4897696162090</t>
        </is>
      </c>
      <c r="D514" s="114" t="n">
        <v>2000</v>
      </c>
      <c r="E514" s="114" t="n">
        <v>0</v>
      </c>
      <c r="F514" s="114" t="n">
        <v>108456.56</v>
      </c>
      <c r="G514" s="114" t="inlineStr">
        <is>
          <t>Personal</t>
        </is>
      </c>
      <c r="H514" s="114" t="inlineStr">
        <is>
          <t>SBI 1227</t>
        </is>
      </c>
    </row>
    <row r="515">
      <c r="A515" s="113" t="n">
        <v>45130</v>
      </c>
      <c r="B515" s="114" t="inlineStr">
        <is>
          <t xml:space="preserve">   TO TRANSFER-UPI/DR/320453633505/SEVEN SP/PYTM/paytmqr281/UPI--</t>
        </is>
      </c>
      <c r="C515" s="114" t="inlineStr">
        <is>
          <t>TRANSFER TO 4897696162090</t>
        </is>
      </c>
      <c r="D515" s="114" t="n">
        <v>60</v>
      </c>
      <c r="E515" s="114" t="n">
        <v>0</v>
      </c>
      <c r="F515" s="114" t="n">
        <v>108396.56</v>
      </c>
      <c r="G515" s="114" t="inlineStr">
        <is>
          <t>Personal</t>
        </is>
      </c>
      <c r="H515" s="114" t="inlineStr">
        <is>
          <t>SBI 1227</t>
        </is>
      </c>
    </row>
    <row r="516">
      <c r="A516" s="113" t="n">
        <v>45130</v>
      </c>
      <c r="B516" s="114" t="inlineStr">
        <is>
          <t>UPI IN/320471883328/9594435259@jupiteraxis
/A/0000</t>
        </is>
      </c>
      <c r="C516" s="114" t="inlineStr"/>
      <c r="D516" s="114" t="n">
        <v>0</v>
      </c>
      <c r="E516" s="114" t="n">
        <v>199</v>
      </c>
      <c r="F516" s="114" t="n">
        <v>200.86</v>
      </c>
      <c r="G516" s="114" t="inlineStr">
        <is>
          <t>KOTAK 0333</t>
        </is>
      </c>
      <c r="H516" s="114" t="inlineStr">
        <is>
          <t>FEDERAL 0847</t>
        </is>
      </c>
    </row>
    <row r="517">
      <c r="A517" s="113" t="n">
        <v>45130</v>
      </c>
      <c r="B517" s="114" t="inlineStr">
        <is>
          <t>Consolidated Charges for A/c</t>
        </is>
      </c>
      <c r="C517" s="114" t="inlineStr">
        <is>
          <t>-</t>
        </is>
      </c>
      <c r="D517" s="114" t="n">
        <v>3</v>
      </c>
      <c r="E517" s="114" t="n">
        <v>0</v>
      </c>
      <c r="F517" s="114" t="n">
        <v>48895.57</v>
      </c>
      <c r="G517" s="114" t="inlineStr">
        <is>
          <t>Bank Charges</t>
        </is>
      </c>
      <c r="H517" s="114" t="inlineStr">
        <is>
          <t>AXIS</t>
        </is>
      </c>
    </row>
    <row r="518">
      <c r="A518" s="113" t="n">
        <v>45130</v>
      </c>
      <c r="B518" s="114" t="inlineStr">
        <is>
          <t>GST @18% on Charge</t>
        </is>
      </c>
      <c r="C518" s="114" t="inlineStr">
        <is>
          <t>-</t>
        </is>
      </c>
      <c r="D518" s="114" t="n">
        <v>0.54</v>
      </c>
      <c r="E518" s="114" t="n">
        <v>0</v>
      </c>
      <c r="F518" s="114" t="n">
        <v>48898.57</v>
      </c>
      <c r="G518" s="114" t="inlineStr">
        <is>
          <t>Bank Charges</t>
        </is>
      </c>
      <c r="H518" s="114" t="inlineStr">
        <is>
          <t>AXIS</t>
        </is>
      </c>
    </row>
    <row r="519">
      <c r="A519" s="113" t="n">
        <v>45130</v>
      </c>
      <c r="B519" s="114" t="inlineStr">
        <is>
          <t xml:space="preserve">   TO TRANSFER-UPI/DR/320429894945/EURONETG/ICIC/euronetgpa/UPI--</t>
        </is>
      </c>
      <c r="C519" s="114" t="inlineStr">
        <is>
          <t>TRANSFER TO 4897696162090</t>
        </is>
      </c>
      <c r="D519" s="114" t="n">
        <v>199</v>
      </c>
      <c r="E519" s="114" t="n">
        <v>0</v>
      </c>
      <c r="F519" s="114" t="n">
        <v>112108.56</v>
      </c>
      <c r="G519" s="114" t="inlineStr">
        <is>
          <t>Personal</t>
        </is>
      </c>
      <c r="H519" s="114" t="inlineStr">
        <is>
          <t>SBI 1227</t>
        </is>
      </c>
    </row>
    <row r="520">
      <c r="A520" s="113" t="n">
        <v>45131</v>
      </c>
      <c r="B520" s="114" t="inlineStr">
        <is>
          <t>NET PO FROM HSL A/C 2554606-00602340029427</t>
        </is>
      </c>
      <c r="C520" s="114" t="inlineStr">
        <is>
          <t>0000000432906418</t>
        </is>
      </c>
      <c r="D520" s="114" t="n">
        <v>0</v>
      </c>
      <c r="E520" s="114" t="n">
        <v>144.55</v>
      </c>
      <c r="F520" s="114" t="n">
        <v>27885.43</v>
      </c>
      <c r="G520" s="114" t="inlineStr">
        <is>
          <t>HDFC Securities</t>
        </is>
      </c>
      <c r="H520" s="114" t="inlineStr">
        <is>
          <t>HDFC 5413</t>
        </is>
      </c>
    </row>
    <row r="521">
      <c r="A521" s="113" t="n">
        <v>45131</v>
      </c>
      <c r="B521" s="114" t="inlineStr">
        <is>
          <t>NET PI TO HSL SEC A/C 2554606-00602340029427</t>
        </is>
      </c>
      <c r="C521" s="114" t="inlineStr">
        <is>
          <t>0000000432760542</t>
        </is>
      </c>
      <c r="D521" s="114" t="n">
        <v>341.67</v>
      </c>
      <c r="E521" s="114" t="n">
        <v>0</v>
      </c>
      <c r="F521" s="114" t="n">
        <v>27740.88</v>
      </c>
      <c r="G521" s="114" t="inlineStr">
        <is>
          <t>HDFC Securities</t>
        </is>
      </c>
      <c r="H521" s="114" t="inlineStr">
        <is>
          <t>HDFC 5413</t>
        </is>
      </c>
    </row>
    <row r="522">
      <c r="A522" s="113" t="n">
        <v>45131</v>
      </c>
      <c r="B522" s="114" t="inlineStr">
        <is>
          <t>ACH C- LTIMINDTREE FNL22 23-391050</t>
        </is>
      </c>
      <c r="C522" s="114" t="inlineStr">
        <is>
          <t>0000003651311998</t>
        </is>
      </c>
      <c r="D522" s="114" t="n">
        <v>0</v>
      </c>
      <c r="E522" s="114" t="n">
        <v>1160</v>
      </c>
      <c r="F522" s="114" t="n">
        <v>28082.55</v>
      </c>
      <c r="G522" s="114" t="inlineStr">
        <is>
          <t>Dividend Income</t>
        </is>
      </c>
      <c r="H522" s="114" t="inlineStr">
        <is>
          <t>HDFC 5413</t>
        </is>
      </c>
    </row>
    <row r="523">
      <c r="A523" s="113" t="n">
        <v>45131</v>
      </c>
      <c r="B523" s="114" t="inlineStr">
        <is>
          <t xml:space="preserve">   TO TRANSFER-UPI/DR/320595876900/SAJAN  ./SBIN/sajankalya/UPI--</t>
        </is>
      </c>
      <c r="C523" s="114" t="inlineStr">
        <is>
          <t>TRANSFER TO 4897690162095</t>
        </is>
      </c>
      <c r="D523" s="114" t="n">
        <v>160</v>
      </c>
      <c r="E523" s="114" t="n">
        <v>0</v>
      </c>
      <c r="F523" s="114" t="n">
        <v>108236.56</v>
      </c>
      <c r="G523" s="114" t="inlineStr">
        <is>
          <t>Personal</t>
        </is>
      </c>
      <c r="H523" s="114" t="inlineStr">
        <is>
          <t>SBI 1227</t>
        </is>
      </c>
    </row>
    <row r="524">
      <c r="A524" s="113" t="n">
        <v>45131</v>
      </c>
      <c r="B524" s="114" t="inlineStr">
        <is>
          <t xml:space="preserve">   TO TRANSFER-UPI/DR/320596919366/OTTIMO C/PYTM/paytmqr1ez/UPI--</t>
        </is>
      </c>
      <c r="C524" s="114" t="inlineStr">
        <is>
          <t>TRANSFER TO 4897690162095</t>
        </is>
      </c>
      <c r="D524" s="114" t="n">
        <v>261</v>
      </c>
      <c r="E524" s="114" t="n">
        <v>0</v>
      </c>
      <c r="F524" s="114" t="n">
        <v>107975.56</v>
      </c>
      <c r="G524" s="114" t="inlineStr">
        <is>
          <t>Personal</t>
        </is>
      </c>
      <c r="H524" s="114" t="inlineStr">
        <is>
          <t>SBI 1227</t>
        </is>
      </c>
    </row>
    <row r="525">
      <c r="A525" s="113" t="n">
        <v>45132</v>
      </c>
      <c r="B525" s="114" t="inlineStr">
        <is>
          <t>01671000085930-TPT-MONEY RETURNED-AJAY KUMAR GUPTA</t>
        </is>
      </c>
      <c r="C525" s="114" t="inlineStr">
        <is>
          <t>0000000101391184</t>
        </is>
      </c>
      <c r="D525" s="114" t="n">
        <v>0</v>
      </c>
      <c r="E525" s="114" t="n">
        <v>5000</v>
      </c>
      <c r="F525" s="114" t="n">
        <v>25271.47</v>
      </c>
      <c r="G525" s="114" t="inlineStr">
        <is>
          <t>Ajay Gupta</t>
        </is>
      </c>
      <c r="H525" s="114" t="inlineStr">
        <is>
          <t>HDFC 5413</t>
        </is>
      </c>
    </row>
    <row r="526">
      <c r="A526" s="113" t="n">
        <v>45132</v>
      </c>
      <c r="B526" s="114" t="inlineStr">
        <is>
          <t>NET PO FROM HSL A/C 2554606-00602340029427</t>
        </is>
      </c>
      <c r="C526" s="114" t="inlineStr">
        <is>
          <t>0000000433311841</t>
        </is>
      </c>
      <c r="D526" s="114" t="n">
        <v>0</v>
      </c>
      <c r="E526" s="114" t="n">
        <v>243.97</v>
      </c>
      <c r="F526" s="114" t="n">
        <v>25515.44</v>
      </c>
      <c r="G526" s="114" t="inlineStr">
        <is>
          <t>HDFC Securities</t>
        </is>
      </c>
      <c r="H526" s="114" t="inlineStr">
        <is>
          <t>HDFC 5413</t>
        </is>
      </c>
    </row>
    <row r="527">
      <c r="A527" s="113" t="n">
        <v>45132</v>
      </c>
      <c r="B527" s="114" t="inlineStr">
        <is>
          <t>NET PI TO HSL SEC A/C 2554606-00602340029427</t>
        </is>
      </c>
      <c r="C527" s="114" t="inlineStr">
        <is>
          <t>0000000433176610</t>
        </is>
      </c>
      <c r="D527" s="114" t="n">
        <v>113.96</v>
      </c>
      <c r="E527" s="114" t="n">
        <v>0</v>
      </c>
      <c r="F527" s="114" t="n">
        <v>20271.47</v>
      </c>
      <c r="G527" s="114" t="inlineStr">
        <is>
          <t>HDFC Securities</t>
        </is>
      </c>
      <c r="H527" s="114" t="inlineStr">
        <is>
          <t>HDFC 5413</t>
        </is>
      </c>
    </row>
    <row r="528">
      <c r="A528" s="113" t="n">
        <v>45132</v>
      </c>
      <c r="B528" s="114" t="inlineStr">
        <is>
          <t>NET PAYIN TO BSE MF A/C -57500000389146- FROM A/C -50100128155413- UCC -2554606-57500000389146</t>
        </is>
      </c>
      <c r="C528" s="114" t="inlineStr">
        <is>
          <t>0000000433097818</t>
        </is>
      </c>
      <c r="D528" s="114" t="n">
        <v>2500</v>
      </c>
      <c r="E528" s="114" t="n">
        <v>0</v>
      </c>
      <c r="F528" s="114" t="n">
        <v>20385.43</v>
      </c>
      <c r="G528" s="114" t="inlineStr">
        <is>
          <t>Investments</t>
        </is>
      </c>
      <c r="H528" s="114" t="inlineStr">
        <is>
          <t>HDFC 5413</t>
        </is>
      </c>
    </row>
    <row r="529">
      <c r="A529" s="113" t="n">
        <v>45132</v>
      </c>
      <c r="B529" s="114" t="inlineStr">
        <is>
          <t>UPI-AJAY KUMAR GUPTA-AJAYGUPTANEL@YBL-HDFC0000167-357202875221-BORROW FROM AJAY</t>
        </is>
      </c>
      <c r="C529" s="114" t="inlineStr">
        <is>
          <t>0000357202875221</t>
        </is>
      </c>
      <c r="D529" s="114" t="n">
        <v>5000</v>
      </c>
      <c r="E529" s="114" t="n">
        <v>0</v>
      </c>
      <c r="F529" s="114" t="n">
        <v>22885.43</v>
      </c>
      <c r="G529" s="114" t="inlineStr">
        <is>
          <t>Ajay Gupta</t>
        </is>
      </c>
      <c r="H529" s="114" t="inlineStr">
        <is>
          <t>HDFC 5413</t>
        </is>
      </c>
    </row>
    <row r="530">
      <c r="A530" s="113" t="n">
        <v>45133</v>
      </c>
      <c r="B530" s="114" t="inlineStr">
        <is>
          <t>NET PO FROM HSL A/C 2554606-00602340029427</t>
        </is>
      </c>
      <c r="C530" s="114" t="inlineStr">
        <is>
          <t>0000000433686174</t>
        </is>
      </c>
      <c r="D530" s="114" t="n">
        <v>0</v>
      </c>
      <c r="E530" s="114" t="n">
        <v>1797.08</v>
      </c>
      <c r="F530" s="114" t="n">
        <v>27198.44</v>
      </c>
      <c r="G530" s="114" t="inlineStr">
        <is>
          <t>HDFC Securities</t>
        </is>
      </c>
      <c r="H530" s="114" t="inlineStr">
        <is>
          <t>HDFC 5413</t>
        </is>
      </c>
    </row>
    <row r="531">
      <c r="A531" s="113" t="n">
        <v>45133</v>
      </c>
      <c r="B531" s="114" t="inlineStr">
        <is>
          <t>NET PI TO HSL SEC A/C 2554606-00602340029427</t>
        </is>
      </c>
      <c r="C531" s="114" t="inlineStr">
        <is>
          <t>0000000433549172</t>
        </is>
      </c>
      <c r="D531" s="114" t="n">
        <v>114.08</v>
      </c>
      <c r="E531" s="114" t="n">
        <v>0</v>
      </c>
      <c r="F531" s="114" t="n">
        <v>25401.36</v>
      </c>
      <c r="G531" s="114" t="inlineStr">
        <is>
          <t>HDFC Securities</t>
        </is>
      </c>
      <c r="H531" s="114" t="inlineStr">
        <is>
          <t>HDFC 5413</t>
        </is>
      </c>
    </row>
    <row r="532">
      <c r="A532" s="113" t="n">
        <v>45133</v>
      </c>
      <c r="B532" s="114" t="inlineStr">
        <is>
          <t xml:space="preserve">   TO TRANSFER-UPI/DR/320763921231/Forbes F/PYTM/paytmqr281/UPI--</t>
        </is>
      </c>
      <c r="C532" s="114" t="inlineStr">
        <is>
          <t>TRANSFER TO 4897692162094</t>
        </is>
      </c>
      <c r="D532" s="114" t="n">
        <v>20</v>
      </c>
      <c r="E532" s="114" t="n">
        <v>0</v>
      </c>
      <c r="F532" s="114" t="n">
        <v>107955.56</v>
      </c>
      <c r="G532" s="114" t="inlineStr">
        <is>
          <t>Personal</t>
        </is>
      </c>
      <c r="H532" s="114" t="inlineStr">
        <is>
          <t>SBI 1227</t>
        </is>
      </c>
    </row>
    <row r="533">
      <c r="A533" s="113" t="n">
        <v>45134</v>
      </c>
      <c r="B533" s="114" t="inlineStr">
        <is>
          <t xml:space="preserve">   TO TRANSFER-UPI/DR/320824641684/WWW NAUK/HDFC/naukri.pay/UPIIn--</t>
        </is>
      </c>
      <c r="C533" s="114" t="inlineStr">
        <is>
          <t>TRANSFER TO 4897693162093</t>
        </is>
      </c>
      <c r="D533" s="114" t="n">
        <v>5000.22</v>
      </c>
      <c r="E533" s="114" t="n">
        <v>0</v>
      </c>
      <c r="F533" s="114" t="n">
        <v>102955.34</v>
      </c>
      <c r="G533" s="114" t="inlineStr">
        <is>
          <t>Personal</t>
        </is>
      </c>
      <c r="H533" s="114" t="inlineStr">
        <is>
          <t>SBI 1227</t>
        </is>
      </c>
    </row>
    <row r="534">
      <c r="A534" s="113" t="n">
        <v>45134</v>
      </c>
      <c r="B534" s="114" t="inlineStr">
        <is>
          <t>ACH C- IDBI BANK LIMITED-13351311</t>
        </is>
      </c>
      <c r="C534" s="114" t="inlineStr">
        <is>
          <t>0000003638347512</t>
        </is>
      </c>
      <c r="D534" s="114" t="n">
        <v>0</v>
      </c>
      <c r="E534" s="114" t="n">
        <v>600</v>
      </c>
      <c r="F534" s="114" t="n">
        <v>27798.44</v>
      </c>
      <c r="G534" s="114" t="inlineStr">
        <is>
          <t>Dividend Income</t>
        </is>
      </c>
      <c r="H534" s="114" t="inlineStr">
        <is>
          <t>HDFC 5413</t>
        </is>
      </c>
    </row>
    <row r="535">
      <c r="A535" s="113" t="n">
        <v>45135</v>
      </c>
      <c r="B535" s="114" t="inlineStr">
        <is>
          <t xml:space="preserve">   BY TRANSFER-UPI/CR/320957129328/IRCTC CF/HDFC/irctc.cf@h/UPI R--</t>
        </is>
      </c>
      <c r="C535" s="114" t="inlineStr">
        <is>
          <t>TRANSFER FROM 4897736162097</t>
        </is>
      </c>
      <c r="D535" s="114" t="n">
        <v>0</v>
      </c>
      <c r="E535" s="114" t="n">
        <v>2260.28</v>
      </c>
      <c r="F535" s="114" t="n">
        <v>105217.62</v>
      </c>
      <c r="G535" s="114" t="inlineStr">
        <is>
          <t>Travel</t>
        </is>
      </c>
      <c r="H535" s="114" t="inlineStr">
        <is>
          <t>SBI 1227</t>
        </is>
      </c>
    </row>
    <row r="536">
      <c r="A536" s="113" t="n">
        <v>45135</v>
      </c>
      <c r="B536" s="114" t="inlineStr">
        <is>
          <t xml:space="preserve">   BY TRANSFER-UPI/CR/320957375093/IRCTC CF/HDFC/irctc.cf@h/UPI R--</t>
        </is>
      </c>
      <c r="C536" s="114" t="inlineStr">
        <is>
          <t>TRANSFER FROM 4897736162097</t>
        </is>
      </c>
      <c r="D536" s="114" t="n">
        <v>0</v>
      </c>
      <c r="E536" s="114" t="n">
        <v>1545.28</v>
      </c>
      <c r="F536" s="114" t="n">
        <v>106762.9</v>
      </c>
      <c r="G536" s="114" t="inlineStr">
        <is>
          <t>Travel</t>
        </is>
      </c>
      <c r="H536" s="114" t="inlineStr">
        <is>
          <t>SBI 1227</t>
        </is>
      </c>
    </row>
    <row r="537">
      <c r="A537" s="113" t="n">
        <v>45135</v>
      </c>
      <c r="B537" s="114" t="inlineStr">
        <is>
          <t>NET PI TO HSL SEC A/C 2554606-00602340029427</t>
        </is>
      </c>
      <c r="C537" s="114" t="inlineStr">
        <is>
          <t>0000000434078429</t>
        </is>
      </c>
      <c r="D537" s="114" t="n">
        <v>6724.1</v>
      </c>
      <c r="E537" s="114" t="n">
        <v>0</v>
      </c>
      <c r="F537" s="114" t="n">
        <v>21074.34</v>
      </c>
      <c r="G537" s="114" t="inlineStr">
        <is>
          <t>HDFC Securities</t>
        </is>
      </c>
      <c r="H537" s="114" t="inlineStr">
        <is>
          <t>HDFC 5413</t>
        </is>
      </c>
    </row>
    <row r="538">
      <c r="A538" s="113" t="n">
        <v>45135</v>
      </c>
      <c r="B538" s="114" t="inlineStr">
        <is>
          <t>NET PI TO HSL SEC A/C 2554606-00602340029427</t>
        </is>
      </c>
      <c r="C538" s="114" t="inlineStr">
        <is>
          <t>0000000434339050</t>
        </is>
      </c>
      <c r="D538" s="114" t="n">
        <v>108.2</v>
      </c>
      <c r="E538" s="114" t="n">
        <v>0</v>
      </c>
      <c r="F538" s="114" t="n">
        <v>20966.14</v>
      </c>
      <c r="G538" s="114" t="inlineStr">
        <is>
          <t>HDFC Securities</t>
        </is>
      </c>
      <c r="H538" s="114" t="inlineStr">
        <is>
          <t>HDFC 5413</t>
        </is>
      </c>
    </row>
    <row r="539">
      <c r="A539" s="113" t="n">
        <v>45135</v>
      </c>
      <c r="B539" s="114" t="inlineStr">
        <is>
          <t xml:space="preserve">   BULK POSTING-     00000011669 230723 LinkedIn\E 510 CRYSTAL--</t>
        </is>
      </c>
      <c r="C539" s="114" t="n">
        <v/>
      </c>
      <c r="D539" s="114" t="n">
        <v>0</v>
      </c>
      <c r="E539" s="114" t="n">
        <v>2</v>
      </c>
      <c r="F539" s="114" t="n">
        <v>102957.34</v>
      </c>
      <c r="G539" s="114" t="inlineStr">
        <is>
          <t>Suspense</t>
        </is>
      </c>
      <c r="H539" s="114" t="inlineStr">
        <is>
          <t>SBI 1227</t>
        </is>
      </c>
    </row>
    <row r="540">
      <c r="A540" s="113" t="n">
        <v>45136</v>
      </c>
      <c r="B540" s="114" t="inlineStr">
        <is>
          <t>NET PI TO HSL SEC A/C 2554606-00602340029427</t>
        </is>
      </c>
      <c r="C540" s="114" t="inlineStr">
        <is>
          <t>0000000434455804</t>
        </is>
      </c>
      <c r="D540" s="114" t="n">
        <v>343.38</v>
      </c>
      <c r="E540" s="114" t="n">
        <v>0</v>
      </c>
      <c r="F540" s="114" t="n">
        <v>20622.76</v>
      </c>
      <c r="G540" s="114" t="inlineStr">
        <is>
          <t>HDFC Securities</t>
        </is>
      </c>
      <c r="H540" s="114" t="inlineStr">
        <is>
          <t>HDFC 5413</t>
        </is>
      </c>
    </row>
    <row r="541">
      <c r="A541" s="113" t="n">
        <v>45136</v>
      </c>
      <c r="B541" s="114" t="inlineStr">
        <is>
          <t xml:space="preserve">   TO TRANSFER-UPI/DR/320929705505/Vendekin/ICIC/vendekin@i/UPI--</t>
        </is>
      </c>
      <c r="C541" s="114" t="inlineStr">
        <is>
          <t>TRANSFER TO 4897695162091</t>
        </is>
      </c>
      <c r="D541" s="114" t="n">
        <v>100</v>
      </c>
      <c r="E541" s="114" t="n">
        <v>0</v>
      </c>
      <c r="F541" s="114" t="n">
        <v>106662.9</v>
      </c>
      <c r="G541" s="114" t="inlineStr">
        <is>
          <t>Personal</t>
        </is>
      </c>
      <c r="H541" s="114" t="inlineStr">
        <is>
          <t>SBI 1227</t>
        </is>
      </c>
    </row>
    <row r="542">
      <c r="A542" s="113" t="n">
        <v>45136</v>
      </c>
      <c r="B542" s="114" t="inlineStr">
        <is>
          <t xml:space="preserve">   BY TRANSFER-UPI/CR/321059353898/IRCTC CF/HDFC/irctc.cf@h/UPI R--</t>
        </is>
      </c>
      <c r="C542" s="114" t="inlineStr">
        <is>
          <t>TRANSFER FROM 4897737162096</t>
        </is>
      </c>
      <c r="D542" s="114" t="n">
        <v>0</v>
      </c>
      <c r="E542" s="114" t="n">
        <v>55.28</v>
      </c>
      <c r="F542" s="114" t="n">
        <v>106658.18</v>
      </c>
      <c r="G542" s="114" t="inlineStr">
        <is>
          <t>Travel</t>
        </is>
      </c>
      <c r="H542" s="114" t="inlineStr">
        <is>
          <t>SBI 1227</t>
        </is>
      </c>
    </row>
    <row r="543">
      <c r="A543" s="113" t="n">
        <v>45136</v>
      </c>
      <c r="B543" s="114" t="inlineStr">
        <is>
          <t xml:space="preserve">   TO TRANSFER-UPI/DR/357678946367/SEVEN SP/PYTM/paytmqr281/UPI--</t>
        </is>
      </c>
      <c r="C543" s="114" t="inlineStr">
        <is>
          <t>TRANSFER TO 4897695162091</t>
        </is>
      </c>
      <c r="D543" s="114" t="n">
        <v>60</v>
      </c>
      <c r="E543" s="114" t="n">
        <v>0</v>
      </c>
      <c r="F543" s="114" t="n">
        <v>106602.9</v>
      </c>
      <c r="G543" s="114" t="inlineStr">
        <is>
          <t>Personal</t>
        </is>
      </c>
      <c r="H543" s="114" t="inlineStr">
        <is>
          <t>SBI 1227</t>
        </is>
      </c>
    </row>
    <row r="544">
      <c r="A544" s="113" t="n">
        <v>45137</v>
      </c>
      <c r="B544" s="114" t="inlineStr">
        <is>
          <t xml:space="preserve">   TO TRANSFER-UPI/DR/321178168433/SEVEN SP/PYTM/paytmqr281/UPI--</t>
        </is>
      </c>
      <c r="C544" s="114" t="inlineStr">
        <is>
          <t>TRANSFER TO 4897696162090</t>
        </is>
      </c>
      <c r="D544" s="114" t="n">
        <v>100</v>
      </c>
      <c r="E544" s="114" t="n">
        <v>0</v>
      </c>
      <c r="F544" s="114" t="n">
        <v>106638.18</v>
      </c>
      <c r="G544" s="114" t="inlineStr">
        <is>
          <t>Personal</t>
        </is>
      </c>
      <c r="H544" s="114" t="inlineStr">
        <is>
          <t>SBI 1227</t>
        </is>
      </c>
    </row>
    <row r="545">
      <c r="A545" s="113" t="n">
        <v>45137</v>
      </c>
      <c r="B545" s="114" t="inlineStr">
        <is>
          <t xml:space="preserve">   TO TRANSFER-UPI/DR/321195464326/SEVEN SP/PYTM/paytmqr281/UPI--</t>
        </is>
      </c>
      <c r="C545" s="114" t="inlineStr">
        <is>
          <t>TRANSFER TO 4897696162090</t>
        </is>
      </c>
      <c r="D545" s="114" t="n">
        <v>50</v>
      </c>
      <c r="E545" s="114" t="n">
        <v>0</v>
      </c>
      <c r="F545" s="114" t="n">
        <v>106738.18</v>
      </c>
      <c r="G545" s="114" t="inlineStr">
        <is>
          <t>Personal</t>
        </is>
      </c>
      <c r="H545" s="114" t="inlineStr">
        <is>
          <t>SBI 1227</t>
        </is>
      </c>
    </row>
    <row r="546">
      <c r="A546" s="113" t="n">
        <v>45137</v>
      </c>
      <c r="B546" s="114" t="inlineStr">
        <is>
          <t xml:space="preserve">   BY TRANSFER-UPI/CR/357737417710/VIVEK KU/SBIN/9818076031/Payme--</t>
        </is>
      </c>
      <c r="C546" s="114" t="inlineStr">
        <is>
          <t>TRANSFER FROM 4897738162095</t>
        </is>
      </c>
      <c r="D546" s="114" t="n">
        <v>0</v>
      </c>
      <c r="E546" s="114" t="n">
        <v>130</v>
      </c>
      <c r="F546" s="114" t="n">
        <v>106788.18</v>
      </c>
      <c r="G546" s="114" t="inlineStr">
        <is>
          <t>Personal</t>
        </is>
      </c>
      <c r="H546" s="114" t="inlineStr">
        <is>
          <t>SBI 1227</t>
        </is>
      </c>
    </row>
    <row r="547">
      <c r="A547" s="113" t="n">
        <v>45138</v>
      </c>
      <c r="B547" s="114" t="inlineStr">
        <is>
          <t>NET PI TO HSL SEC A/C 2554606-00602340029427</t>
        </is>
      </c>
      <c r="C547" s="114" t="inlineStr">
        <is>
          <t>0000000434716588</t>
        </is>
      </c>
      <c r="D547" s="114" t="n">
        <v>360.15</v>
      </c>
      <c r="E547" s="114" t="n">
        <v>0</v>
      </c>
      <c r="F547" s="114" t="n">
        <v>20262.61</v>
      </c>
      <c r="G547" s="114" t="inlineStr">
        <is>
          <t>HDFC Securities</t>
        </is>
      </c>
      <c r="H547" s="114" t="inlineStr">
        <is>
          <t>HDFC 5413</t>
        </is>
      </c>
    </row>
    <row r="548">
      <c r="A548" s="113" t="n">
        <v>45138</v>
      </c>
      <c r="B548" s="114" t="inlineStr">
        <is>
          <t>NET PO FROM HSL A/C 2554606-00602340029427</t>
        </is>
      </c>
      <c r="C548" s="114" t="inlineStr">
        <is>
          <t>0000000434847368</t>
        </is>
      </c>
      <c r="D548" s="114" t="n">
        <v>0</v>
      </c>
      <c r="E548" s="114" t="n">
        <v>38.3</v>
      </c>
      <c r="F548" s="114" t="n">
        <v>20300.91</v>
      </c>
      <c r="G548" s="114" t="inlineStr">
        <is>
          <t>HDFC Securities</t>
        </is>
      </c>
      <c r="H548" s="114" t="inlineStr">
        <is>
          <t>HDFC 5413</t>
        </is>
      </c>
    </row>
    <row r="549">
      <c r="A549" s="113" t="n">
        <v>45138</v>
      </c>
      <c r="B549" s="114" t="inlineStr">
        <is>
          <t>UPIOUT/321287534320/paytm-69746593@paytm/S
en/5813</t>
        </is>
      </c>
      <c r="C549" s="114" t="inlineStr"/>
      <c r="D549" s="114" t="n">
        <v>400</v>
      </c>
      <c r="E549" s="114" t="n">
        <v>0</v>
      </c>
      <c r="F549" s="114" t="n">
        <v>800.86</v>
      </c>
      <c r="G549" s="114" t="inlineStr">
        <is>
          <t>Personal</t>
        </is>
      </c>
      <c r="H549" s="114" t="inlineStr">
        <is>
          <t>FEDERAL 0847</t>
        </is>
      </c>
    </row>
    <row r="550">
      <c r="A550" s="113" t="n">
        <v>45138</v>
      </c>
      <c r="B550" s="114" t="inlineStr">
        <is>
          <t xml:space="preserve">   TO TRANSFER-UPI/DR/357804306519/Mr  AADA/YESB/q739730170/UPI--</t>
        </is>
      </c>
      <c r="C550" s="114" t="inlineStr">
        <is>
          <t>TRANSFER TO 4897690162095</t>
        </is>
      </c>
      <c r="D550" s="114" t="n">
        <v>50</v>
      </c>
      <c r="E550" s="114" t="n">
        <v>0</v>
      </c>
      <c r="F550" s="114" t="n">
        <v>106588.18</v>
      </c>
      <c r="G550" s="114" t="inlineStr">
        <is>
          <t>Personal</t>
        </is>
      </c>
      <c r="H550" s="114" t="inlineStr">
        <is>
          <t>SBI 1227</t>
        </is>
      </c>
    </row>
    <row r="551">
      <c r="A551" s="113" t="n">
        <v>45138</v>
      </c>
      <c r="B551" s="114" t="inlineStr">
        <is>
          <t xml:space="preserve">   TO TRANSFER-UPI/DR/321223588766/LOVEPREE/AUBL/lovelybhat/UPI--</t>
        </is>
      </c>
      <c r="C551" s="114" t="inlineStr">
        <is>
          <t>TRANSFER TO 4897690162095</t>
        </is>
      </c>
      <c r="D551" s="114" t="n">
        <v>270</v>
      </c>
      <c r="E551" s="114" t="n">
        <v>0</v>
      </c>
      <c r="F551" s="114" t="n">
        <v>106318.18</v>
      </c>
      <c r="G551" s="114" t="inlineStr">
        <is>
          <t>Personal</t>
        </is>
      </c>
      <c r="H551" s="114" t="inlineStr">
        <is>
          <t>SBI 1227</t>
        </is>
      </c>
    </row>
    <row r="552">
      <c r="A552" s="113" t="n">
        <v>45138</v>
      </c>
      <c r="B552" s="114" t="inlineStr">
        <is>
          <t>UPI IN/321287516546/9594435259@jupiteraxis
/A/0000</t>
        </is>
      </c>
      <c r="C552" s="114" t="inlineStr"/>
      <c r="D552" s="114" t="n">
        <v>0</v>
      </c>
      <c r="E552" s="114" t="n">
        <v>1000</v>
      </c>
      <c r="F552" s="114" t="n">
        <v>1200.86</v>
      </c>
      <c r="G552" s="114" t="inlineStr">
        <is>
          <t>KOTAK 0333</t>
        </is>
      </c>
      <c r="H552" s="114" t="inlineStr">
        <is>
          <t>FEDERAL 0847</t>
        </is>
      </c>
    </row>
    <row r="553">
      <c r="A553" s="113" t="n">
        <v>45138</v>
      </c>
      <c r="B553" s="114" t="inlineStr">
        <is>
          <t>UPIOUT/321289065233/paytm-69746593@paytm/S
en/5813</t>
        </is>
      </c>
      <c r="C553" s="114" t="inlineStr"/>
      <c r="D553" s="114" t="n">
        <v>200</v>
      </c>
      <c r="E553" s="114" t="n">
        <v>0</v>
      </c>
      <c r="F553" s="114" t="n">
        <v>600.86</v>
      </c>
      <c r="G553" s="114" t="inlineStr">
        <is>
          <t>Personal</t>
        </is>
      </c>
      <c r="H553" s="114" t="inlineStr">
        <is>
          <t>FEDERAL 0847</t>
        </is>
      </c>
    </row>
    <row r="554">
      <c r="A554" s="113" t="n">
        <v>45138</v>
      </c>
      <c r="B554" s="114" t="inlineStr">
        <is>
          <t>UPIOUT/321290570632/0008288006214@ibl/Sent
v/0000</t>
        </is>
      </c>
      <c r="C554" s="114" t="inlineStr"/>
      <c r="D554" s="114" t="n">
        <v>600</v>
      </c>
      <c r="E554" s="114" t="n">
        <v>0</v>
      </c>
      <c r="F554" s="114" t="n">
        <v>0.86</v>
      </c>
      <c r="G554" s="114" t="inlineStr">
        <is>
          <t>Personal</t>
        </is>
      </c>
      <c r="H554" s="114" t="inlineStr">
        <is>
          <t>FEDERAL 0847</t>
        </is>
      </c>
    </row>
    <row r="555">
      <c r="A555" s="113" t="n">
        <v>45138</v>
      </c>
      <c r="B555" s="114" t="inlineStr">
        <is>
          <t xml:space="preserve">   TO TRANSFER-UPI/DR/321287516546/AAYUSH K/FDRL/9594435259/ADDMO--</t>
        </is>
      </c>
      <c r="C555" s="114" t="inlineStr">
        <is>
          <t>TRANSFER TO 4897690162095</t>
        </is>
      </c>
      <c r="D555" s="114" t="n">
        <v>1000</v>
      </c>
      <c r="E555" s="114" t="n">
        <v>0</v>
      </c>
      <c r="F555" s="114" t="n">
        <v>105318.18</v>
      </c>
      <c r="G555" s="114" t="inlineStr">
        <is>
          <t>FEDERAL 0847</t>
        </is>
      </c>
      <c r="H555" s="114" t="inlineStr">
        <is>
          <t>SBI 1227</t>
        </is>
      </c>
    </row>
    <row r="556">
      <c r="A556" s="113" t="n">
        <v>45138</v>
      </c>
      <c r="B556" s="114" t="inlineStr">
        <is>
          <t xml:space="preserve">   TO TRANSFER-UPI/DR/321227436150/Param  C/SBIN/0008288006/UPI--</t>
        </is>
      </c>
      <c r="C556" s="114" t="inlineStr">
        <is>
          <t>TRANSFER TO 4897690162095</t>
        </is>
      </c>
      <c r="D556" s="114" t="n">
        <v>350</v>
      </c>
      <c r="E556" s="114" t="n">
        <v>0</v>
      </c>
      <c r="F556" s="114" t="n">
        <v>104968.18</v>
      </c>
      <c r="G556" s="114" t="inlineStr">
        <is>
          <t>Personal</t>
        </is>
      </c>
      <c r="H556" s="114" t="inlineStr">
        <is>
          <t>SBI 1227</t>
        </is>
      </c>
    </row>
    <row r="557">
      <c r="A557" s="113" t="n">
        <v>45139</v>
      </c>
      <c r="B557" s="114" t="inlineStr">
        <is>
          <t>NET PO FROM HSL A/C 2554606-00602340029427</t>
        </is>
      </c>
      <c r="C557" s="114" t="inlineStr">
        <is>
          <t>0000000435345178</t>
        </is>
      </c>
      <c r="D557" s="114" t="n">
        <v>0</v>
      </c>
      <c r="E557" s="114" t="n">
        <v>9827.540000000001</v>
      </c>
      <c r="F557" s="114" t="n">
        <v>9827.540000000001</v>
      </c>
      <c r="G557" s="114" t="inlineStr">
        <is>
          <t>HDFC Securities</t>
        </is>
      </c>
      <c r="H557" s="114" t="inlineStr">
        <is>
          <t>HDFC 5413</t>
        </is>
      </c>
    </row>
    <row r="558">
      <c r="A558" s="113" t="n">
        <v>45139</v>
      </c>
      <c r="B558" s="114" t="inlineStr">
        <is>
          <t>NET PI TO HSL SEC A/C 2554606-00602340029427</t>
        </is>
      </c>
      <c r="C558" s="114" t="inlineStr">
        <is>
          <t>0000000435277948</t>
        </is>
      </c>
      <c r="D558" s="114" t="n">
        <v>20180.84</v>
      </c>
      <c r="E558" s="114" t="n">
        <v>0</v>
      </c>
      <c r="F558" s="114" t="n">
        <v>0</v>
      </c>
      <c r="G558" s="114" t="inlineStr">
        <is>
          <t>HDFC Securities</t>
        </is>
      </c>
      <c r="H558" s="114" t="inlineStr">
        <is>
          <t>HDFC 5413</t>
        </is>
      </c>
    </row>
    <row r="559">
      <c r="A559" s="113" t="n">
        <v>45139</v>
      </c>
      <c r="B559" s="114" t="inlineStr">
        <is>
          <t>NET PI TO HSL SEC A/C 2554606-00602340029427</t>
        </is>
      </c>
      <c r="C559" s="114" t="inlineStr">
        <is>
          <t>0000000435132695</t>
        </is>
      </c>
      <c r="D559" s="114" t="n">
        <v>120.07</v>
      </c>
      <c r="E559" s="114" t="n">
        <v>0</v>
      </c>
      <c r="F559" s="114" t="n">
        <v>20180.84</v>
      </c>
      <c r="G559" s="114" t="inlineStr">
        <is>
          <t>HDFC Securities</t>
        </is>
      </c>
      <c r="H559" s="114" t="inlineStr">
        <is>
          <t>HDFC 5413</t>
        </is>
      </c>
    </row>
    <row r="560">
      <c r="A560" s="113" t="n">
        <v>45139</v>
      </c>
      <c r="B560" s="114" t="inlineStr">
        <is>
          <t xml:space="preserve">   TO TRANSFER-UPI/DR/321363072206/Vendekin/ICIC/vendekin@i/UPI--</t>
        </is>
      </c>
      <c r="C560" s="114" t="inlineStr">
        <is>
          <t>TRANSFER TO 4897692162094</t>
        </is>
      </c>
      <c r="D560" s="114" t="n">
        <v>20</v>
      </c>
      <c r="E560" s="114" t="n">
        <v>0</v>
      </c>
      <c r="F560" s="114" t="n">
        <v>104948.18</v>
      </c>
      <c r="G560" s="114" t="inlineStr">
        <is>
          <t>Personal</t>
        </is>
      </c>
      <c r="H560" s="114" t="inlineStr">
        <is>
          <t>SBI 1227</t>
        </is>
      </c>
    </row>
    <row r="561">
      <c r="A561" s="113" t="n">
        <v>45140</v>
      </c>
      <c r="B561" s="114" t="inlineStr">
        <is>
          <t>NET PI TO HSL SEC A/C 2554606-00602340029427</t>
        </is>
      </c>
      <c r="C561" s="114" t="inlineStr">
        <is>
          <t>0000000435699909</t>
        </is>
      </c>
      <c r="D561" s="114" t="n">
        <v>1508.23</v>
      </c>
      <c r="E561" s="114" t="n">
        <v>0</v>
      </c>
      <c r="F561" s="114" t="n">
        <v>8319.309999999999</v>
      </c>
      <c r="G561" s="114" t="inlineStr">
        <is>
          <t>HDFC Securities</t>
        </is>
      </c>
      <c r="H561" s="114" t="inlineStr">
        <is>
          <t>HDFC 5413</t>
        </is>
      </c>
    </row>
    <row r="562">
      <c r="A562" s="113" t="n">
        <v>45140</v>
      </c>
      <c r="B562" s="114" t="inlineStr">
        <is>
          <t xml:space="preserve">   TO TRANSFER-UPI/DR/358021601389/Vendekin/ICIC/vendekin@i/UPI--</t>
        </is>
      </c>
      <c r="C562" s="114" t="inlineStr">
        <is>
          <t>TRANSFER TO 4897692162094</t>
        </is>
      </c>
      <c r="D562" s="114" t="n">
        <v>40</v>
      </c>
      <c r="E562" s="114" t="n">
        <v>0</v>
      </c>
      <c r="F562" s="114" t="n">
        <v>80211.17999999999</v>
      </c>
      <c r="G562" s="114" t="inlineStr">
        <is>
          <t>Personal</t>
        </is>
      </c>
      <c r="H562" s="114" t="inlineStr">
        <is>
          <t>SBI 1227</t>
        </is>
      </c>
    </row>
    <row r="563">
      <c r="A563" s="113" t="n">
        <v>45140</v>
      </c>
      <c r="B563" s="114" t="inlineStr">
        <is>
          <t xml:space="preserve">   TO TRANSFER-UPI/DR/321479181332/98825462/UCBA/9882546237/UPI--</t>
        </is>
      </c>
      <c r="C563" s="114" t="inlineStr">
        <is>
          <t>TRANSFER TO 4897692162094</t>
        </is>
      </c>
      <c r="D563" s="114" t="n">
        <v>10</v>
      </c>
      <c r="E563" s="114" t="n">
        <v>0</v>
      </c>
      <c r="F563" s="114" t="n">
        <v>80251.17999999999</v>
      </c>
      <c r="G563" s="114" t="inlineStr">
        <is>
          <t>Personal</t>
        </is>
      </c>
      <c r="H563" s="114" t="inlineStr">
        <is>
          <t>SBI 1227</t>
        </is>
      </c>
    </row>
    <row r="564">
      <c r="A564" s="113" t="n">
        <v>45140</v>
      </c>
      <c r="B564" s="114" t="inlineStr">
        <is>
          <t xml:space="preserve">   TO TRANSFER-UPI/DR/321442229067/Plaksha /utib/plakshauni/Onlin--</t>
        </is>
      </c>
      <c r="C564" s="114" t="inlineStr">
        <is>
          <t>TRANSFER TO 4897692162094</t>
        </is>
      </c>
      <c r="D564" s="114" t="n">
        <v>24687</v>
      </c>
      <c r="E564" s="114" t="n">
        <v>0</v>
      </c>
      <c r="F564" s="114" t="n">
        <v>80261.17999999999</v>
      </c>
      <c r="G564" s="114" t="inlineStr">
        <is>
          <t>Personal</t>
        </is>
      </c>
      <c r="H564" s="114" t="inlineStr">
        <is>
          <t>SBI 1227</t>
        </is>
      </c>
    </row>
    <row r="565">
      <c r="A565" s="113" t="n">
        <v>45141</v>
      </c>
      <c r="B565" s="114" t="inlineStr">
        <is>
          <t xml:space="preserve">   TO TRANSFER-UPI/DR/321512182909/PaytmUser/HDFC/9568987093/UPI--</t>
        </is>
      </c>
      <c r="C565" s="114" t="inlineStr">
        <is>
          <t>TRANSFER TO 4897693162093</t>
        </is>
      </c>
      <c r="D565" s="114" t="n">
        <v>140</v>
      </c>
      <c r="E565" s="114" t="n">
        <v>0</v>
      </c>
      <c r="F565" s="114" t="n">
        <v>80071.17999999999</v>
      </c>
      <c r="G565" s="114" t="inlineStr">
        <is>
          <t>Personal</t>
        </is>
      </c>
      <c r="H565" s="114" t="inlineStr">
        <is>
          <t>SBI 1227</t>
        </is>
      </c>
    </row>
    <row r="566">
      <c r="A566" s="113" t="n">
        <v>45141</v>
      </c>
      <c r="B566" s="114" t="inlineStr">
        <is>
          <t xml:space="preserve">   TO TRANSFER-UPI/DR/321515506788/HARJINDE/HDFC/harjinders/UPI--</t>
        </is>
      </c>
      <c r="C566" s="114" t="inlineStr">
        <is>
          <t>TRANSFER TO 4897693162093</t>
        </is>
      </c>
      <c r="D566" s="114" t="n">
        <v>135</v>
      </c>
      <c r="E566" s="114" t="n">
        <v>0</v>
      </c>
      <c r="F566" s="114" t="n">
        <v>79151.17999999999</v>
      </c>
      <c r="G566" s="114" t="inlineStr">
        <is>
          <t>Personal</t>
        </is>
      </c>
      <c r="H566" s="114" t="inlineStr">
        <is>
          <t>SBI 1227</t>
        </is>
      </c>
    </row>
    <row r="567">
      <c r="A567" s="113" t="n">
        <v>45141</v>
      </c>
      <c r="B567" s="114" t="inlineStr">
        <is>
          <t>NET PI TO HSL SEC A/C 2554606-00602340029427</t>
        </is>
      </c>
      <c r="C567" s="114" t="inlineStr">
        <is>
          <t>0000000436263052</t>
        </is>
      </c>
      <c r="D567" s="114" t="n">
        <v>967.62</v>
      </c>
      <c r="E567" s="114" t="n">
        <v>0</v>
      </c>
      <c r="F567" s="114" t="n">
        <v>7218.68</v>
      </c>
      <c r="G567" s="114" t="inlineStr">
        <is>
          <t>HDFC Securities</t>
        </is>
      </c>
      <c r="H567" s="114" t="inlineStr">
        <is>
          <t>HDFC 5413</t>
        </is>
      </c>
    </row>
    <row r="568">
      <c r="A568" s="113" t="n">
        <v>45141</v>
      </c>
      <c r="B568" s="114" t="inlineStr">
        <is>
          <t>NET PI TO HSL SEC A/C 2554606-00602340029427</t>
        </is>
      </c>
      <c r="C568" s="114" t="inlineStr">
        <is>
          <t>0000000435983244</t>
        </is>
      </c>
      <c r="D568" s="114" t="n">
        <v>133.01</v>
      </c>
      <c r="E568" s="114" t="n">
        <v>0</v>
      </c>
      <c r="F568" s="114" t="n">
        <v>8186.3</v>
      </c>
      <c r="G568" s="114" t="inlineStr">
        <is>
          <t>HDFC Securities</t>
        </is>
      </c>
      <c r="H568" s="114" t="inlineStr">
        <is>
          <t>HDFC 5413</t>
        </is>
      </c>
    </row>
    <row r="569">
      <c r="A569" s="113" t="n">
        <v>45141</v>
      </c>
      <c r="B569" s="114" t="inlineStr">
        <is>
          <t xml:space="preserve">   TO TRANSFER-UPI/DR/358157721577/PARDEEP /UTIB/fcbizrcmqf/UPI--</t>
        </is>
      </c>
      <c r="C569" s="114" t="inlineStr">
        <is>
          <t>TRANSFER TO 4897693162093</t>
        </is>
      </c>
      <c r="D569" s="114" t="n">
        <v>785</v>
      </c>
      <c r="E569" s="114" t="n">
        <v>0</v>
      </c>
      <c r="F569" s="114" t="n">
        <v>79286.17999999999</v>
      </c>
      <c r="G569" s="114" t="inlineStr">
        <is>
          <t>Personal</t>
        </is>
      </c>
      <c r="H569" s="114" t="inlineStr">
        <is>
          <t>SBI 1227</t>
        </is>
      </c>
    </row>
    <row r="570">
      <c r="A570" s="113" t="n">
        <v>45141</v>
      </c>
      <c r="B570" s="114" t="inlineStr">
        <is>
          <t xml:space="preserve">   TO TRANSFER-UPI/DR/358164233861/Vendekin/ICIC/vendekin@i/UPI--</t>
        </is>
      </c>
      <c r="C570" s="114" t="inlineStr">
        <is>
          <t>TRANSFER TO 4897693162093</t>
        </is>
      </c>
      <c r="D570" s="114" t="n">
        <v>20</v>
      </c>
      <c r="E570" s="114" t="n">
        <v>0</v>
      </c>
      <c r="F570" s="114" t="n">
        <v>79131.17999999999</v>
      </c>
      <c r="G570" s="114" t="inlineStr">
        <is>
          <t>Personal</t>
        </is>
      </c>
      <c r="H570" s="114" t="inlineStr">
        <is>
          <t>SBI 1227</t>
        </is>
      </c>
    </row>
    <row r="571">
      <c r="A571" s="113" t="n">
        <v>45142</v>
      </c>
      <c r="B571" s="114" t="inlineStr">
        <is>
          <t xml:space="preserve">   TO TRANSFER-UPI/DR/321676708133/IRCTC CF/HDFC/irctc.cf@h/IRCTC--</t>
        </is>
      </c>
      <c r="C571" s="114" t="inlineStr">
        <is>
          <t>TRANSFER TO 4897694162092</t>
        </is>
      </c>
      <c r="D571" s="114" t="n">
        <v>2493.95</v>
      </c>
      <c r="E571" s="114" t="n">
        <v>0</v>
      </c>
      <c r="F571" s="114" t="n">
        <v>76677.23</v>
      </c>
      <c r="G571" s="114" t="inlineStr">
        <is>
          <t>Travel</t>
        </is>
      </c>
      <c r="H571" s="114" t="inlineStr">
        <is>
          <t>SBI 1227</t>
        </is>
      </c>
    </row>
    <row r="572">
      <c r="A572" s="113" t="n">
        <v>45142</v>
      </c>
      <c r="B572" s="114" t="inlineStr">
        <is>
          <t xml:space="preserve">   BULK POSTING-ACHCr UTIB00788000017240 KFIL FNL 2022--</t>
        </is>
      </c>
      <c r="C572" s="114" t="n">
        <v/>
      </c>
      <c r="D572" s="114" t="n">
        <v>0</v>
      </c>
      <c r="E572" s="114" t="n">
        <v>60</v>
      </c>
      <c r="F572" s="114" t="n">
        <v>79141.17999999999</v>
      </c>
      <c r="G572" s="114" t="inlineStr">
        <is>
          <t>Dividend Income</t>
        </is>
      </c>
      <c r="H572" s="114" t="inlineStr">
        <is>
          <t>SBI 1227</t>
        </is>
      </c>
    </row>
    <row r="573">
      <c r="A573" s="113" t="n">
        <v>45142</v>
      </c>
      <c r="B573" s="114" t="inlineStr">
        <is>
          <t xml:space="preserve">   BULK POSTING-ACHCr HDFC01208000010673 ORIENTCEMENTLT--</t>
        </is>
      </c>
      <c r="C573" s="114" t="n">
        <v/>
      </c>
      <c r="D573" s="114" t="n">
        <v>0</v>
      </c>
      <c r="E573" s="114" t="n">
        <v>30</v>
      </c>
      <c r="F573" s="114" t="n">
        <v>79171.17999999999</v>
      </c>
      <c r="G573" s="114" t="inlineStr">
        <is>
          <t>Dividend Income</t>
        </is>
      </c>
      <c r="H573" s="114" t="inlineStr">
        <is>
          <t>SBI 1227</t>
        </is>
      </c>
    </row>
    <row r="574">
      <c r="A574" s="113" t="n">
        <v>45142</v>
      </c>
      <c r="B574" s="114" t="inlineStr">
        <is>
          <t xml:space="preserve">   TO TRANSFER-UPI/DR/321661547406/Vendekin/ICIC/vendekin@i/UPI--</t>
        </is>
      </c>
      <c r="C574" s="114" t="inlineStr">
        <is>
          <t>TRANSFER TO 4897694162092</t>
        </is>
      </c>
      <c r="D574" s="114" t="n">
        <v>20</v>
      </c>
      <c r="E574" s="114" t="n">
        <v>0</v>
      </c>
      <c r="F574" s="114" t="n">
        <v>79151.17999999999</v>
      </c>
      <c r="G574" s="114" t="inlineStr">
        <is>
          <t>Personal</t>
        </is>
      </c>
      <c r="H574" s="114" t="inlineStr">
        <is>
          <t>SBI 1227</t>
        </is>
      </c>
    </row>
    <row r="575">
      <c r="A575" s="113" t="n">
        <v>45142</v>
      </c>
      <c r="B575" s="114" t="inlineStr">
        <is>
          <t xml:space="preserve">   BY TRANSFER-UPI/CR/321618641582/Vendekin/ICIC/vendekin@i/vende--</t>
        </is>
      </c>
      <c r="C575" s="114" t="inlineStr">
        <is>
          <t>TRANSFER FROM 4897736162097</t>
        </is>
      </c>
      <c r="D575" s="114" t="n">
        <v>0</v>
      </c>
      <c r="E575" s="114" t="n">
        <v>20</v>
      </c>
      <c r="F575" s="114" t="n">
        <v>79171.17999999999</v>
      </c>
      <c r="G575" s="114" t="inlineStr">
        <is>
          <t>Personal</t>
        </is>
      </c>
      <c r="H575" s="114" t="inlineStr">
        <is>
          <t>SBI 1227</t>
        </is>
      </c>
    </row>
    <row r="576">
      <c r="A576" s="113" t="n">
        <v>45142</v>
      </c>
      <c r="B576" s="114" t="inlineStr">
        <is>
          <t>NET PI TO HSL SEC A/C 2554606-00602340029427</t>
        </is>
      </c>
      <c r="C576" s="114" t="inlineStr">
        <is>
          <t>0000000436508988</t>
        </is>
      </c>
      <c r="D576" s="114" t="n">
        <v>132.53</v>
      </c>
      <c r="E576" s="114" t="n">
        <v>0</v>
      </c>
      <c r="F576" s="114" t="n">
        <v>7086.15</v>
      </c>
      <c r="G576" s="114" t="inlineStr">
        <is>
          <t>HDFC Securities</t>
        </is>
      </c>
      <c r="H576" s="114" t="inlineStr">
        <is>
          <t>HDFC 5413</t>
        </is>
      </c>
    </row>
    <row r="577">
      <c r="A577" s="113" t="n">
        <v>45142</v>
      </c>
      <c r="B577" s="114" t="inlineStr">
        <is>
          <t>NET PI TO HSL SEC A/C 2554606-00602340029427</t>
        </is>
      </c>
      <c r="C577" s="114" t="inlineStr">
        <is>
          <t>0000000436652647</t>
        </is>
      </c>
      <c r="D577" s="114" t="n">
        <v>7086.15</v>
      </c>
      <c r="E577" s="114" t="n">
        <v>0</v>
      </c>
      <c r="F577" s="114" t="n">
        <v>0</v>
      </c>
      <c r="G577" s="114" t="inlineStr">
        <is>
          <t>HDFC Securities</t>
        </is>
      </c>
      <c r="H577" s="114" t="inlineStr">
        <is>
          <t>HDFC 5413</t>
        </is>
      </c>
    </row>
    <row r="578">
      <c r="A578" s="113" t="n">
        <v>45142</v>
      </c>
      <c r="B578" s="114" t="inlineStr">
        <is>
          <t xml:space="preserve">   TO TRANSFER-UPI/DR/321638636562/SEVEN SP/PYTM/paytmqr281/UPI--</t>
        </is>
      </c>
      <c r="C578" s="114" t="inlineStr">
        <is>
          <t>TRANSFER TO 4897694162092</t>
        </is>
      </c>
      <c r="D578" s="114" t="n">
        <v>50</v>
      </c>
      <c r="E578" s="114" t="n">
        <v>0</v>
      </c>
      <c r="F578" s="114" t="n">
        <v>79081.17999999999</v>
      </c>
      <c r="G578" s="114" t="inlineStr">
        <is>
          <t>Personal</t>
        </is>
      </c>
      <c r="H578" s="114" t="inlineStr">
        <is>
          <t>SBI 1227</t>
        </is>
      </c>
    </row>
    <row r="579">
      <c r="A579" s="113" t="n">
        <v>45143</v>
      </c>
      <c r="B579" s="114" t="inlineStr">
        <is>
          <t>01671000085930-TPT-BORW FROM AJAY-AJAY KUMAR GUPTA</t>
        </is>
      </c>
      <c r="C579" s="114" t="inlineStr">
        <is>
          <t>0000000246111258</t>
        </is>
      </c>
      <c r="D579" s="114" t="n">
        <v>0</v>
      </c>
      <c r="E579" s="114" t="n">
        <v>25000</v>
      </c>
      <c r="F579" s="114" t="n">
        <v>25000</v>
      </c>
      <c r="G579" s="114" t="inlineStr">
        <is>
          <t>Ajay Gupta</t>
        </is>
      </c>
      <c r="H579" s="114" t="inlineStr">
        <is>
          <t>HDFC 5413</t>
        </is>
      </c>
    </row>
    <row r="580">
      <c r="A580" s="113" t="n">
        <v>45144</v>
      </c>
      <c r="B580" s="114" t="inlineStr">
        <is>
          <t>UPI/P2M/321834818560/Mr JITEND/Paytm Pay/UPI</t>
        </is>
      </c>
      <c r="C580" s="114" t="inlineStr">
        <is>
          <t>-</t>
        </is>
      </c>
      <c r="D580" s="114" t="n">
        <v>16</v>
      </c>
      <c r="E580" s="114" t="n">
        <v>0</v>
      </c>
      <c r="F580" s="114" t="n">
        <v>46458.57</v>
      </c>
      <c r="G580" s="114" t="inlineStr">
        <is>
          <t>Personal</t>
        </is>
      </c>
      <c r="H580" s="114" t="inlineStr">
        <is>
          <t>AXIS</t>
        </is>
      </c>
    </row>
    <row r="581">
      <c r="A581" s="113" t="n">
        <v>45144</v>
      </c>
      <c r="B581" s="114" t="inlineStr">
        <is>
          <t>UPI/P2A/321836516129/ADARSH NA/HDFC BANK/UPI</t>
        </is>
      </c>
      <c r="C581" s="114" t="inlineStr">
        <is>
          <t>-</t>
        </is>
      </c>
      <c r="D581" s="114" t="n">
        <v>142</v>
      </c>
      <c r="E581" s="114" t="n">
        <v>0</v>
      </c>
      <c r="F581" s="114" t="n">
        <v>46316.57</v>
      </c>
      <c r="G581" s="114" t="inlineStr">
        <is>
          <t>Personal</t>
        </is>
      </c>
      <c r="H581" s="114" t="inlineStr">
        <is>
          <t>AXIS</t>
        </is>
      </c>
    </row>
    <row r="582">
      <c r="A582" s="113" t="n">
        <v>45144</v>
      </c>
      <c r="B582" s="114" t="inlineStr">
        <is>
          <t>UPI/P2M/321834491026/BharatPe /YesBank_Y/Pay to</t>
        </is>
      </c>
      <c r="C582" s="114" t="inlineStr">
        <is>
          <t>-</t>
        </is>
      </c>
      <c r="D582" s="114" t="n">
        <v>136</v>
      </c>
      <c r="E582" s="114" t="n">
        <v>0</v>
      </c>
      <c r="F582" s="114" t="n">
        <v>48759.57</v>
      </c>
      <c r="G582" s="114" t="inlineStr">
        <is>
          <t>Personal</t>
        </is>
      </c>
      <c r="H582" s="114" t="inlineStr">
        <is>
          <t>AXIS</t>
        </is>
      </c>
    </row>
    <row r="583">
      <c r="A583" s="113" t="n">
        <v>45144</v>
      </c>
      <c r="B583" s="114" t="inlineStr">
        <is>
          <t>UPI/P2M/321834593338/ATUL GARG/Paytm Pay/UPI</t>
        </is>
      </c>
      <c r="C583" s="114" t="inlineStr">
        <is>
          <t>-</t>
        </is>
      </c>
      <c r="D583" s="114" t="n">
        <v>2285</v>
      </c>
      <c r="E583" s="114" t="n">
        <v>0</v>
      </c>
      <c r="F583" s="114" t="n">
        <v>46474.57</v>
      </c>
      <c r="G583" s="114" t="inlineStr">
        <is>
          <t>Personal</t>
        </is>
      </c>
      <c r="H583" s="114" t="inlineStr">
        <is>
          <t>AXIS</t>
        </is>
      </c>
    </row>
    <row r="584">
      <c r="A584" s="113" t="n">
        <v>45144</v>
      </c>
      <c r="B584" s="114" t="inlineStr">
        <is>
          <t>UPI/P2A/321842744773/ARCHIT GU/Axis Bank/UPI</t>
        </is>
      </c>
      <c r="C584" s="114" t="inlineStr">
        <is>
          <t>-</t>
        </is>
      </c>
      <c r="D584" s="114" t="n">
        <v>130</v>
      </c>
      <c r="E584" s="114" t="n">
        <v>0</v>
      </c>
      <c r="F584" s="114" t="n">
        <v>46186.57</v>
      </c>
      <c r="G584" s="114" t="inlineStr">
        <is>
          <t>Archit Gupta</t>
        </is>
      </c>
      <c r="H584" s="114" t="inlineStr">
        <is>
          <t>AXIS</t>
        </is>
      </c>
    </row>
    <row r="585">
      <c r="A585" s="113" t="n">
        <v>45145</v>
      </c>
      <c r="B585" s="114" t="inlineStr">
        <is>
          <t>UPI/P2A/321948620399/Archit  G/State Ban/UPI</t>
        </is>
      </c>
      <c r="C585" s="114" t="inlineStr">
        <is>
          <t>-</t>
        </is>
      </c>
      <c r="D585" s="114" t="n">
        <v>0</v>
      </c>
      <c r="E585" s="114" t="n">
        <v>130</v>
      </c>
      <c r="F585" s="114" t="n">
        <v>46316.57</v>
      </c>
      <c r="G585" s="114" t="inlineStr">
        <is>
          <t>Archit Gupta</t>
        </is>
      </c>
      <c r="H585" s="114" t="inlineStr">
        <is>
          <t>AXIS</t>
        </is>
      </c>
    </row>
    <row r="586">
      <c r="A586" s="113" t="n">
        <v>45145</v>
      </c>
      <c r="B586" s="114" t="inlineStr">
        <is>
          <t xml:space="preserve">   BY TRANSFER-UPI/CR/321982792010/IRCTC CF/HDFC/irctc.cf@h/UPI R--</t>
        </is>
      </c>
      <c r="C586" s="114" t="inlineStr">
        <is>
          <t>TRANSFER FROM 4897732162091</t>
        </is>
      </c>
      <c r="D586" s="114" t="n">
        <v>0</v>
      </c>
      <c r="E586" s="114" t="n">
        <v>2260.28</v>
      </c>
      <c r="F586" s="114" t="n">
        <v>78937.50999999999</v>
      </c>
      <c r="G586" s="114" t="inlineStr">
        <is>
          <t>Travel</t>
        </is>
      </c>
      <c r="H586" s="114" t="inlineStr">
        <is>
          <t>SBI 1227</t>
        </is>
      </c>
    </row>
    <row r="587">
      <c r="A587" s="113" t="n">
        <v>45145</v>
      </c>
      <c r="B587" s="114" t="inlineStr">
        <is>
          <t>NET PI TO HSL SEC A/C 2554606-00602340029427</t>
        </is>
      </c>
      <c r="C587" s="114" t="inlineStr">
        <is>
          <t>0000000436860564</t>
        </is>
      </c>
      <c r="D587" s="114" t="n">
        <v>24124.85</v>
      </c>
      <c r="E587" s="114" t="n">
        <v>0</v>
      </c>
      <c r="F587" s="114" t="n">
        <v>875.15</v>
      </c>
      <c r="G587" s="114" t="inlineStr">
        <is>
          <t>HDFC Securities</t>
        </is>
      </c>
      <c r="H587" s="114" t="inlineStr">
        <is>
          <t>HDFC 5413</t>
        </is>
      </c>
    </row>
    <row r="588">
      <c r="A588" s="113" t="n">
        <v>45145</v>
      </c>
      <c r="B588" s="114" t="inlineStr">
        <is>
          <t>UPI-AJAY KUMAR GUPTA-AJAYGUPTANEL@YBL-HDFC0000167-358542458244-BORROW FROM AKG</t>
        </is>
      </c>
      <c r="C588" s="114" t="inlineStr">
        <is>
          <t>0000358542458244</t>
        </is>
      </c>
      <c r="D588" s="114" t="n">
        <v>0</v>
      </c>
      <c r="E588" s="114" t="n">
        <v>10000</v>
      </c>
      <c r="F588" s="114" t="n">
        <v>10875.15</v>
      </c>
      <c r="G588" s="114" t="inlineStr">
        <is>
          <t>Ajay Gupta</t>
        </is>
      </c>
      <c r="H588" s="114" t="inlineStr">
        <is>
          <t>HDFC 5413</t>
        </is>
      </c>
    </row>
    <row r="589">
      <c r="A589" s="113" t="n">
        <v>45145</v>
      </c>
      <c r="B589" s="114" t="inlineStr">
        <is>
          <t>NET PI TO HSL SEC A/C 2554606-00602340029427</t>
        </is>
      </c>
      <c r="C589" s="114" t="inlineStr">
        <is>
          <t>0000000437015024</t>
        </is>
      </c>
      <c r="D589" s="114" t="n">
        <v>10875.15</v>
      </c>
      <c r="E589" s="114" t="n">
        <v>0</v>
      </c>
      <c r="F589" s="114" t="n">
        <v>0</v>
      </c>
      <c r="G589" s="114" t="inlineStr">
        <is>
          <t>HDFC Securities</t>
        </is>
      </c>
      <c r="H589" s="114" t="inlineStr">
        <is>
          <t>HDFC 5413</t>
        </is>
      </c>
    </row>
    <row r="590">
      <c r="A590" s="113" t="n">
        <v>45145</v>
      </c>
      <c r="B590" s="114" t="inlineStr">
        <is>
          <t>ACH C- MAHINDRA &amp; MAHINDRA-40494263</t>
        </is>
      </c>
      <c r="C590" s="114" t="inlineStr">
        <is>
          <t>0000004261634433</t>
        </is>
      </c>
      <c r="D590" s="114" t="n">
        <v>0</v>
      </c>
      <c r="E590" s="114" t="n">
        <v>162.5</v>
      </c>
      <c r="F590" s="114" t="n">
        <v>162.5</v>
      </c>
      <c r="G590" s="114" t="inlineStr">
        <is>
          <t>Dividend Income</t>
        </is>
      </c>
      <c r="H590" s="114" t="inlineStr">
        <is>
          <t>HDFC 5413</t>
        </is>
      </c>
    </row>
    <row r="591">
      <c r="A591" s="113" t="n">
        <v>45145</v>
      </c>
      <c r="B591" s="114" t="inlineStr">
        <is>
          <t>ACH C- TCS1STINTDIV070823-1772629</t>
        </is>
      </c>
      <c r="C591" s="114" t="inlineStr">
        <is>
          <t>0000004276696480</t>
        </is>
      </c>
      <c r="D591" s="114" t="n">
        <v>0</v>
      </c>
      <c r="E591" s="114" t="n">
        <v>207</v>
      </c>
      <c r="F591" s="114" t="n">
        <v>369.5</v>
      </c>
      <c r="G591" s="114" t="inlineStr">
        <is>
          <t>Dividend Income</t>
        </is>
      </c>
      <c r="H591" s="114" t="inlineStr">
        <is>
          <t>HDFC 5413</t>
        </is>
      </c>
    </row>
    <row r="592">
      <c r="A592" s="113" t="n">
        <v>45145</v>
      </c>
      <c r="B592" s="114" t="inlineStr">
        <is>
          <t>01671000085930-TPT-BORROW FROM AJAY-AJAY KUMAR GUPTA</t>
        </is>
      </c>
      <c r="C592" s="114" t="inlineStr">
        <is>
          <t>0000000155895867</t>
        </is>
      </c>
      <c r="D592" s="114" t="n">
        <v>0</v>
      </c>
      <c r="E592" s="114" t="n">
        <v>25000</v>
      </c>
      <c r="F592" s="114" t="n">
        <v>27249.5</v>
      </c>
      <c r="G592" s="114" t="inlineStr">
        <is>
          <t>Ajay Gupta</t>
        </is>
      </c>
      <c r="H592" s="114" t="inlineStr">
        <is>
          <t>HDFC 5413</t>
        </is>
      </c>
    </row>
    <row r="593">
      <c r="A593" s="113" t="n">
        <v>45145</v>
      </c>
      <c r="B593" s="114" t="inlineStr">
        <is>
          <t>00602300000434-023090899</t>
        </is>
      </c>
      <c r="C593" s="114" t="inlineStr">
        <is>
          <t>0000308072555992</t>
        </is>
      </c>
      <c r="D593" s="114" t="n">
        <v>0</v>
      </c>
      <c r="E593" s="114" t="n">
        <v>1880</v>
      </c>
      <c r="F593" s="114" t="n">
        <v>2249.5</v>
      </c>
      <c r="G593" s="114" t="inlineStr">
        <is>
          <t>Suspense</t>
        </is>
      </c>
      <c r="H593" s="114" t="inlineStr">
        <is>
          <t>HDFC 5413</t>
        </is>
      </c>
    </row>
    <row r="594">
      <c r="A594" s="113" t="n">
        <v>45146</v>
      </c>
      <c r="B594" s="114" t="inlineStr">
        <is>
          <t>NET PI TO HSL SEC A/C 2554606-00602340029427</t>
        </is>
      </c>
      <c r="C594" s="114" t="inlineStr">
        <is>
          <t>0000000437149919</t>
        </is>
      </c>
      <c r="D594" s="114" t="n">
        <v>13883.68</v>
      </c>
      <c r="E594" s="114" t="n">
        <v>0</v>
      </c>
      <c r="F594" s="114" t="n">
        <v>13365.82</v>
      </c>
      <c r="G594" s="114" t="inlineStr">
        <is>
          <t>HDFC Securities</t>
        </is>
      </c>
      <c r="H594" s="114" t="inlineStr">
        <is>
          <t>HDFC 5413</t>
        </is>
      </c>
    </row>
    <row r="595">
      <c r="A595" s="113" t="n">
        <v>45146</v>
      </c>
      <c r="B595" s="114" t="inlineStr">
        <is>
          <t>NET PO FROM HSL A/C 2554606-00602340029427</t>
        </is>
      </c>
      <c r="C595" s="114" t="inlineStr">
        <is>
          <t>0000000437225003</t>
        </is>
      </c>
      <c r="D595" s="114" t="n">
        <v>0</v>
      </c>
      <c r="E595" s="114" t="n">
        <v>24124.85</v>
      </c>
      <c r="F595" s="114" t="n">
        <v>37490.67</v>
      </c>
      <c r="G595" s="114" t="inlineStr">
        <is>
          <t>HDFC Securities</t>
        </is>
      </c>
      <c r="H595" s="114" t="inlineStr">
        <is>
          <t>HDFC 5413</t>
        </is>
      </c>
    </row>
    <row r="596">
      <c r="A596" s="113" t="n">
        <v>45146</v>
      </c>
      <c r="B596" s="114" t="inlineStr">
        <is>
          <t>ALEMBIC PHA DIV22 2300000000000000017339</t>
        </is>
      </c>
      <c r="C596" s="114" t="inlineStr">
        <is>
          <t>0000232190018217</t>
        </is>
      </c>
      <c r="D596" s="114" t="n">
        <v>0</v>
      </c>
      <c r="E596" s="114" t="n">
        <v>640</v>
      </c>
      <c r="F596" s="114" t="n">
        <v>38016.95</v>
      </c>
      <c r="G596" s="114" t="inlineStr">
        <is>
          <t>Dividend Income</t>
        </is>
      </c>
      <c r="H596" s="114" t="inlineStr">
        <is>
          <t>HDFC 5413</t>
        </is>
      </c>
    </row>
    <row r="597">
      <c r="A597" s="113" t="n">
        <v>45146</v>
      </c>
      <c r="B597" s="114" t="inlineStr">
        <is>
          <t xml:space="preserve">   TO TRANSFER-UPI/DR/322079768455/SUSHIL K/IPOS/q762550979/UPI--</t>
        </is>
      </c>
      <c r="C597" s="114" t="inlineStr">
        <is>
          <t>TRANSFER TO 4897691162095</t>
        </is>
      </c>
      <c r="D597" s="114" t="n">
        <v>50</v>
      </c>
      <c r="E597" s="114" t="n">
        <v>0</v>
      </c>
      <c r="F597" s="114" t="n">
        <v>78887.50999999999</v>
      </c>
      <c r="G597" s="114" t="inlineStr">
        <is>
          <t>Personal</t>
        </is>
      </c>
      <c r="H597" s="114" t="inlineStr">
        <is>
          <t>SBI 1227</t>
        </is>
      </c>
    </row>
    <row r="598">
      <c r="A598" s="113" t="n">
        <v>45146</v>
      </c>
      <c r="B598" s="114" t="inlineStr">
        <is>
          <t>NET PO FROM HSL A/C 2554606-00602340029427</t>
        </is>
      </c>
      <c r="C598" s="114" t="inlineStr">
        <is>
          <t>0000000437563749</t>
        </is>
      </c>
      <c r="D598" s="114" t="n">
        <v>0</v>
      </c>
      <c r="E598" s="114" t="n">
        <v>4.88</v>
      </c>
      <c r="F598" s="114" t="n">
        <v>38021.83</v>
      </c>
      <c r="G598" s="114" t="inlineStr">
        <is>
          <t>HDFC Securities</t>
        </is>
      </c>
      <c r="H598" s="114" t="inlineStr">
        <is>
          <t>HDFC 5413</t>
        </is>
      </c>
    </row>
    <row r="599">
      <c r="A599" s="113" t="n">
        <v>45146</v>
      </c>
      <c r="B599" s="114" t="inlineStr">
        <is>
          <t>NET PI TO HSL SEC A/C 2554606-00602340029427</t>
        </is>
      </c>
      <c r="C599" s="114" t="inlineStr">
        <is>
          <t>0000000437416555</t>
        </is>
      </c>
      <c r="D599" s="114" t="n">
        <v>113.72</v>
      </c>
      <c r="E599" s="114" t="n">
        <v>0</v>
      </c>
      <c r="F599" s="114" t="n">
        <v>37376.95</v>
      </c>
      <c r="G599" s="114" t="inlineStr">
        <is>
          <t>HDFC Securities</t>
        </is>
      </c>
      <c r="H599" s="114" t="inlineStr">
        <is>
          <t>HDFC 5413</t>
        </is>
      </c>
    </row>
    <row r="600">
      <c r="A600" s="113" t="n">
        <v>45147</v>
      </c>
      <c r="B600" s="114" t="inlineStr">
        <is>
          <t>UPI/P2A/322159589854/SUSHIL KU/India Pos/UPI</t>
        </is>
      </c>
      <c r="C600" s="114" t="inlineStr">
        <is>
          <t>-</t>
        </is>
      </c>
      <c r="D600" s="114" t="n">
        <v>50</v>
      </c>
      <c r="E600" s="114" t="n">
        <v>0</v>
      </c>
      <c r="F600" s="114" t="n">
        <v>46266.57</v>
      </c>
      <c r="G600" s="114" t="inlineStr">
        <is>
          <t>Personal</t>
        </is>
      </c>
      <c r="H600" s="114" t="inlineStr">
        <is>
          <t>AXIS</t>
        </is>
      </c>
    </row>
    <row r="601">
      <c r="A601" s="113" t="n">
        <v>45147</v>
      </c>
      <c r="B601" s="114" t="inlineStr">
        <is>
          <t>NET PI TO HSL SEC A/C 2554606-00602340029427</t>
        </is>
      </c>
      <c r="C601" s="114" t="inlineStr">
        <is>
          <t>0000000437813804</t>
        </is>
      </c>
      <c r="D601" s="114" t="n">
        <v>113.72</v>
      </c>
      <c r="E601" s="114" t="n">
        <v>0</v>
      </c>
      <c r="F601" s="114" t="n">
        <v>37908.11</v>
      </c>
      <c r="G601" s="114" t="inlineStr">
        <is>
          <t>HDFC Securities</t>
        </is>
      </c>
      <c r="H601" s="114" t="inlineStr">
        <is>
          <t>HDFC 5413</t>
        </is>
      </c>
    </row>
    <row r="602">
      <c r="A602" s="113" t="n">
        <v>45147</v>
      </c>
      <c r="B602" s="114" t="inlineStr">
        <is>
          <t xml:space="preserve">   TO TRANSFER-UPI/DR/322190996382/Zerodha /HDFC/zerodhabro/88981--</t>
        </is>
      </c>
      <c r="C602" s="114" t="inlineStr">
        <is>
          <t>TRANSFER TO 4897692162094</t>
        </is>
      </c>
      <c r="D602" s="114" t="n">
        <v>5000</v>
      </c>
      <c r="E602" s="114" t="n">
        <v>0</v>
      </c>
      <c r="F602" s="114" t="n">
        <v>73867.50999999999</v>
      </c>
      <c r="G602" s="114" t="inlineStr">
        <is>
          <t>Zerodha Broking Limited</t>
        </is>
      </c>
      <c r="H602" s="114" t="inlineStr">
        <is>
          <t>SBI 1227</t>
        </is>
      </c>
    </row>
    <row r="603">
      <c r="A603" s="113" t="n">
        <v>45147</v>
      </c>
      <c r="B603" s="114" t="inlineStr">
        <is>
          <t>NET PI TO HSL SEC A/C 2554606-00602340029427</t>
        </is>
      </c>
      <c r="C603" s="114" t="inlineStr">
        <is>
          <t>0000000437941390</t>
        </is>
      </c>
      <c r="D603" s="114" t="n">
        <v>34.55</v>
      </c>
      <c r="E603" s="114" t="n">
        <v>0</v>
      </c>
      <c r="F603" s="114" t="n">
        <v>37873.56</v>
      </c>
      <c r="G603" s="114" t="inlineStr">
        <is>
          <t>HDFC Securities</t>
        </is>
      </c>
      <c r="H603" s="114" t="inlineStr">
        <is>
          <t>HDFC 5413</t>
        </is>
      </c>
    </row>
    <row r="604">
      <c r="A604" s="113" t="n">
        <v>45147</v>
      </c>
      <c r="B604" s="114" t="inlineStr">
        <is>
          <t xml:space="preserve">   TO TRANSFER-UPI/DR/322190143328/MUTHUPAT/YESB/q840913628/UPI--</t>
        </is>
      </c>
      <c r="C604" s="114" t="inlineStr">
        <is>
          <t>TRANSFER TO 4897692162094</t>
        </is>
      </c>
      <c r="D604" s="114" t="n">
        <v>20</v>
      </c>
      <c r="E604" s="114" t="n">
        <v>0</v>
      </c>
      <c r="F604" s="114" t="n">
        <v>78867.50999999999</v>
      </c>
      <c r="G604" s="114" t="inlineStr">
        <is>
          <t>Personal</t>
        </is>
      </c>
      <c r="H604" s="114" t="inlineStr">
        <is>
          <t>SBI 1227</t>
        </is>
      </c>
    </row>
    <row r="605">
      <c r="A605" s="113" t="n">
        <v>45148</v>
      </c>
      <c r="B605" s="114" t="inlineStr">
        <is>
          <t xml:space="preserve">   TO TRANSFER-UPI/DR/358867738820/IBIBO GR/ICIC/redbus.pay/UPI--</t>
        </is>
      </c>
      <c r="C605" s="114" t="inlineStr">
        <is>
          <t>TRANSFER TO 4897693162093</t>
        </is>
      </c>
      <c r="D605" s="114" t="n">
        <v>475</v>
      </c>
      <c r="E605" s="114" t="n">
        <v>0</v>
      </c>
      <c r="F605" s="114" t="n">
        <v>73392.50999999999</v>
      </c>
      <c r="G605" s="114" t="inlineStr">
        <is>
          <t>Personal</t>
        </is>
      </c>
      <c r="H605" s="114" t="inlineStr">
        <is>
          <t>SBI 1227</t>
        </is>
      </c>
    </row>
    <row r="606">
      <c r="A606" s="113" t="n">
        <v>45148</v>
      </c>
      <c r="B606" s="114" t="inlineStr">
        <is>
          <t xml:space="preserve">   BY TRANSFER-UPI/CR/358866157759/ADITI  G/SBIN/9039494395/Payme--</t>
        </is>
      </c>
      <c r="C606" s="114" t="inlineStr">
        <is>
          <t>TRANSFER FROM 4897735162098</t>
        </is>
      </c>
      <c r="D606" s="114" t="n">
        <v>0</v>
      </c>
      <c r="E606" s="114" t="n">
        <v>475</v>
      </c>
      <c r="F606" s="114" t="n">
        <v>73867.50999999999</v>
      </c>
      <c r="G606" s="114" t="inlineStr">
        <is>
          <t>Personal</t>
        </is>
      </c>
      <c r="H606" s="114" t="inlineStr">
        <is>
          <t>SBI 1227</t>
        </is>
      </c>
    </row>
    <row r="607">
      <c r="A607" s="113" t="n">
        <v>45148</v>
      </c>
      <c r="B607" s="114" t="inlineStr">
        <is>
          <t>NET PI TO HSL SEC A/C 2554606-00602340029427</t>
        </is>
      </c>
      <c r="C607" s="114" t="inlineStr">
        <is>
          <t>0000000438240164</t>
        </is>
      </c>
      <c r="D607" s="114" t="n">
        <v>113.7</v>
      </c>
      <c r="E607" s="114" t="n">
        <v>0</v>
      </c>
      <c r="F607" s="114" t="n">
        <v>37759.86</v>
      </c>
      <c r="G607" s="114" t="inlineStr">
        <is>
          <t>HDFC Securities</t>
        </is>
      </c>
      <c r="H607" s="114" t="inlineStr">
        <is>
          <t>HDFC 5413</t>
        </is>
      </c>
    </row>
    <row r="608">
      <c r="A608" s="113" t="n">
        <v>45149</v>
      </c>
      <c r="B608" s="114" t="inlineStr">
        <is>
          <t xml:space="preserve">   TO TRANSFER-UPI/DR/358982994448/ARAGHYOD/MAHB/anyk@mahb/UPI--</t>
        </is>
      </c>
      <c r="C608" s="114" t="inlineStr">
        <is>
          <t>TRANSFER TO 4897694162092</t>
        </is>
      </c>
      <c r="D608" s="114" t="n">
        <v>1500</v>
      </c>
      <c r="E608" s="114" t="n">
        <v>0</v>
      </c>
      <c r="F608" s="114" t="n">
        <v>72367.50999999999</v>
      </c>
      <c r="G608" s="114" t="inlineStr">
        <is>
          <t>Personal</t>
        </is>
      </c>
      <c r="H608" s="114" t="inlineStr">
        <is>
          <t>SBI 1227</t>
        </is>
      </c>
    </row>
    <row r="609">
      <c r="A609" s="113" t="n">
        <v>45149</v>
      </c>
      <c r="B609" s="114" t="inlineStr">
        <is>
          <t>NET PI TO HSL SEC A/C 2554606-00602340029427</t>
        </is>
      </c>
      <c r="C609" s="114" t="inlineStr">
        <is>
          <t>0000000438653615</t>
        </is>
      </c>
      <c r="D609" s="114" t="n">
        <v>113.61</v>
      </c>
      <c r="E609" s="114" t="n">
        <v>0</v>
      </c>
      <c r="F609" s="114" t="n">
        <v>34466.81</v>
      </c>
      <c r="G609" s="114" t="inlineStr">
        <is>
          <t>HDFC Securities</t>
        </is>
      </c>
      <c r="H609" s="114" t="inlineStr">
        <is>
          <t>HDFC 5413</t>
        </is>
      </c>
    </row>
    <row r="610">
      <c r="A610" s="113" t="n">
        <v>45149</v>
      </c>
      <c r="B610" s="114" t="inlineStr">
        <is>
          <t>NET PAYIN TO BSE MF A/C -57500000389146- FROM A/C -50100128155413- UCC -2554606-57500000389146</t>
        </is>
      </c>
      <c r="C610" s="114" t="inlineStr">
        <is>
          <t>0000000438579583</t>
        </is>
      </c>
      <c r="D610" s="114" t="n">
        <v>3000</v>
      </c>
      <c r="E610" s="114" t="n">
        <v>0</v>
      </c>
      <c r="F610" s="114" t="n">
        <v>34580.42</v>
      </c>
      <c r="G610" s="114" t="inlineStr">
        <is>
          <t>Investments</t>
        </is>
      </c>
      <c r="H610" s="114" t="inlineStr">
        <is>
          <t>HDFC 5413</t>
        </is>
      </c>
    </row>
    <row r="611">
      <c r="A611" s="113" t="n">
        <v>45149</v>
      </c>
      <c r="B611" s="114" t="inlineStr">
        <is>
          <t>NET PI TO HSL SEC A/C 2554606-00602340029427</t>
        </is>
      </c>
      <c r="C611" s="114" t="inlineStr">
        <is>
          <t>0000000438380114</t>
        </is>
      </c>
      <c r="D611" s="114" t="n">
        <v>179.44</v>
      </c>
      <c r="E611" s="114" t="n">
        <v>0</v>
      </c>
      <c r="F611" s="114" t="n">
        <v>37580.42</v>
      </c>
      <c r="G611" s="114" t="inlineStr">
        <is>
          <t>HDFC Securities</t>
        </is>
      </c>
      <c r="H611" s="114" t="inlineStr">
        <is>
          <t>HDFC 5413</t>
        </is>
      </c>
    </row>
    <row r="612">
      <c r="A612" s="113" t="n">
        <v>45149</v>
      </c>
      <c r="B612" s="114" t="inlineStr">
        <is>
          <t>NET PI TO HSL SEC A/C 2554606-00602340029427</t>
        </is>
      </c>
      <c r="C612" s="114" t="inlineStr">
        <is>
          <t>0000000438785584</t>
        </is>
      </c>
      <c r="D612" s="114" t="n">
        <v>201.59</v>
      </c>
      <c r="E612" s="114" t="n">
        <v>0</v>
      </c>
      <c r="F612" s="114" t="n">
        <v>34265.22</v>
      </c>
      <c r="G612" s="114" t="inlineStr">
        <is>
          <t>HDFC Securities</t>
        </is>
      </c>
      <c r="H612" s="114" t="inlineStr">
        <is>
          <t>HDFC 5413</t>
        </is>
      </c>
    </row>
    <row r="613">
      <c r="A613" s="113" t="n">
        <v>45151</v>
      </c>
      <c r="B613" s="114" t="inlineStr">
        <is>
          <t xml:space="preserve">   TO TRANSFER-UPI/DR/322526028539/HARI OM /FDRL/bharatpe.9/Pay T--</t>
        </is>
      </c>
      <c r="C613" s="114" t="inlineStr">
        <is>
          <t>TRANSFER TO 4897696162090</t>
        </is>
      </c>
      <c r="D613" s="114" t="n">
        <v>605</v>
      </c>
      <c r="E613" s="114" t="n">
        <v>0</v>
      </c>
      <c r="F613" s="114" t="n">
        <v>71762.50999999999</v>
      </c>
      <c r="G613" s="114" t="inlineStr">
        <is>
          <t>Personal</t>
        </is>
      </c>
      <c r="H613" s="114" t="inlineStr">
        <is>
          <t>SBI 1227</t>
        </is>
      </c>
    </row>
    <row r="614">
      <c r="A614" s="113" t="n">
        <v>45151</v>
      </c>
      <c r="B614" s="114" t="inlineStr">
        <is>
          <t xml:space="preserve">   TO TRANSFER-UPI/DR/322500575226/REDBUS/HDFC/redbus1.pa/UPI--</t>
        </is>
      </c>
      <c r="C614" s="114" t="inlineStr">
        <is>
          <t>TRANSFER TO 4897696162090</t>
        </is>
      </c>
      <c r="D614" s="114" t="n">
        <v>475</v>
      </c>
      <c r="E614" s="114" t="n">
        <v>0</v>
      </c>
      <c r="F614" s="114" t="n">
        <v>71287.50999999999</v>
      </c>
      <c r="G614" s="114" t="inlineStr">
        <is>
          <t>Personal</t>
        </is>
      </c>
      <c r="H614" s="114" t="inlineStr">
        <is>
          <t>SBI 1227</t>
        </is>
      </c>
    </row>
    <row r="615">
      <c r="A615" s="113" t="n">
        <v>45151</v>
      </c>
      <c r="B615" s="114" t="inlineStr">
        <is>
          <t>UPI/P2M/322597908496/H L DHATR/Yes Bank /tyre</t>
        </is>
      </c>
      <c r="C615" s="114" t="inlineStr">
        <is>
          <t>-</t>
        </is>
      </c>
      <c r="D615" s="114" t="n">
        <v>110</v>
      </c>
      <c r="E615" s="114" t="n">
        <v>0</v>
      </c>
      <c r="F615" s="114" t="n">
        <v>46156.57</v>
      </c>
      <c r="G615" s="114" t="inlineStr">
        <is>
          <t>Personal</t>
        </is>
      </c>
      <c r="H615" s="114" t="inlineStr">
        <is>
          <t>AXIS</t>
        </is>
      </c>
    </row>
    <row r="616">
      <c r="A616" s="113" t="n">
        <v>45152</v>
      </c>
      <c r="B616" s="114" t="inlineStr">
        <is>
          <t xml:space="preserve">   TO TRANSFER-UPI/DR/322649034646/Krushnas/PYTM/paytmqrrqs/UPI--</t>
        </is>
      </c>
      <c r="C616" s="114" t="inlineStr">
        <is>
          <t>TRANSFER TO 4897690162095</t>
        </is>
      </c>
      <c r="D616" s="114" t="n">
        <v>122</v>
      </c>
      <c r="E616" s="114" t="n">
        <v>0</v>
      </c>
      <c r="F616" s="114" t="n">
        <v>71165.50999999999</v>
      </c>
      <c r="G616" s="114" t="inlineStr">
        <is>
          <t>Personal</t>
        </is>
      </c>
      <c r="H616" s="114" t="inlineStr">
        <is>
          <t>SBI 1227</t>
        </is>
      </c>
    </row>
    <row r="617">
      <c r="A617" s="113" t="n">
        <v>45152</v>
      </c>
      <c r="B617" s="114" t="inlineStr">
        <is>
          <t xml:space="preserve">   BULK POSTING-ACHCr IBKL00249000010274 ITCLIMITED--</t>
        </is>
      </c>
      <c r="C617" s="114" t="n">
        <v/>
      </c>
      <c r="D617" s="114" t="n">
        <v>0</v>
      </c>
      <c r="E617" s="114" t="n">
        <v>95</v>
      </c>
      <c r="F617" s="114" t="n">
        <v>71260.50999999999</v>
      </c>
      <c r="G617" s="114" t="inlineStr">
        <is>
          <t>Dividend Income</t>
        </is>
      </c>
      <c r="H617" s="114" t="inlineStr">
        <is>
          <t>SBI 1227</t>
        </is>
      </c>
    </row>
    <row r="618">
      <c r="A618" s="113" t="n">
        <v>45152</v>
      </c>
      <c r="B618" s="114" t="inlineStr">
        <is>
          <t xml:space="preserve">   TO TRANSFER-UPI/DR/322627307930/AMOL SAN/YESB/q737575486/UPI--</t>
        </is>
      </c>
      <c r="C618" s="114" t="inlineStr">
        <is>
          <t>TRANSFER TO 4897690162095</t>
        </is>
      </c>
      <c r="D618" s="114" t="n">
        <v>80</v>
      </c>
      <c r="E618" s="114" t="n">
        <v>0</v>
      </c>
      <c r="F618" s="114" t="n">
        <v>71180.50999999999</v>
      </c>
      <c r="G618" s="114" t="inlineStr">
        <is>
          <t>Personal</t>
        </is>
      </c>
      <c r="H618" s="114" t="inlineStr">
        <is>
          <t>SBI 1227</t>
        </is>
      </c>
    </row>
    <row r="619">
      <c r="A619" s="113" t="n">
        <v>45152</v>
      </c>
      <c r="B619" s="114" t="inlineStr">
        <is>
          <t>1108486372 HDFC BANK DIVIDEND 2022-2023</t>
        </is>
      </c>
      <c r="C619" s="114" t="inlineStr">
        <is>
          <t>0000110823122514</t>
        </is>
      </c>
      <c r="D619" s="114" t="n">
        <v>0</v>
      </c>
      <c r="E619" s="114" t="n">
        <v>285</v>
      </c>
      <c r="F619" s="114" t="n">
        <v>34550.22</v>
      </c>
      <c r="G619" s="114" t="inlineStr">
        <is>
          <t>Dividend Income</t>
        </is>
      </c>
      <c r="H619" s="114" t="inlineStr">
        <is>
          <t>HDFC 5413</t>
        </is>
      </c>
    </row>
    <row r="620">
      <c r="A620" s="113" t="n">
        <v>45152</v>
      </c>
      <c r="B620" s="114" t="inlineStr">
        <is>
          <t>NET PAYIN TO NSE MF A/C -00990610005906- FROM A/C -50100128155413- UCC -2554606-00990610005906</t>
        </is>
      </c>
      <c r="C620" s="114" t="inlineStr">
        <is>
          <t>0000000439008880</t>
        </is>
      </c>
      <c r="D620" s="114" t="n">
        <v>3000</v>
      </c>
      <c r="E620" s="114" t="n">
        <v>0</v>
      </c>
      <c r="F620" s="114" t="n">
        <v>31550.22</v>
      </c>
      <c r="G620" s="114" t="inlineStr">
        <is>
          <t>Investments</t>
        </is>
      </c>
      <c r="H620" s="114" t="inlineStr">
        <is>
          <t>HDFC 5413</t>
        </is>
      </c>
    </row>
    <row r="621">
      <c r="A621" s="113" t="n">
        <v>45152</v>
      </c>
      <c r="B621" s="114" t="inlineStr">
        <is>
          <t>NET PI TO HSL SEC A/C 2554606-00602340029427</t>
        </is>
      </c>
      <c r="C621" s="114" t="inlineStr">
        <is>
          <t>0000000439245920</t>
        </is>
      </c>
      <c r="D621" s="114" t="n">
        <v>448.83</v>
      </c>
      <c r="E621" s="114" t="n">
        <v>0</v>
      </c>
      <c r="F621" s="114" t="n">
        <v>30760.86</v>
      </c>
      <c r="G621" s="114" t="inlineStr">
        <is>
          <t>HDFC Securities</t>
        </is>
      </c>
      <c r="H621" s="114" t="inlineStr">
        <is>
          <t>HDFC 5413</t>
        </is>
      </c>
    </row>
    <row r="622">
      <c r="A622" s="113" t="n">
        <v>45152</v>
      </c>
      <c r="B622" s="114" t="inlineStr">
        <is>
          <t>NET PI TO HSL SEC A/C 2554606-00602340029427</t>
        </is>
      </c>
      <c r="C622" s="114" t="inlineStr">
        <is>
          <t>0000000439087975</t>
        </is>
      </c>
      <c r="D622" s="114" t="n">
        <v>340.53</v>
      </c>
      <c r="E622" s="114" t="n">
        <v>0</v>
      </c>
      <c r="F622" s="114" t="n">
        <v>31209.69</v>
      </c>
      <c r="G622" s="114" t="inlineStr">
        <is>
          <t>HDFC Securities</t>
        </is>
      </c>
      <c r="H622" s="114" t="inlineStr">
        <is>
          <t>HDFC 5413</t>
        </is>
      </c>
    </row>
    <row r="623">
      <c r="A623" s="113" t="n">
        <v>45154</v>
      </c>
      <c r="B623" s="114" t="inlineStr">
        <is>
          <t xml:space="preserve">   TO TRANSFER-UPI/DR/322841052454/SUSHIL K/IPOS/q641920445/UPI--</t>
        </is>
      </c>
      <c r="C623" s="114" t="inlineStr">
        <is>
          <t>TRANSFER TO 4897692162094</t>
        </is>
      </c>
      <c r="D623" s="114" t="n">
        <v>50</v>
      </c>
      <c r="E623" s="114" t="n">
        <v>0</v>
      </c>
      <c r="F623" s="114" t="n">
        <v>70930.50999999999</v>
      </c>
      <c r="G623" s="114" t="inlineStr">
        <is>
          <t>Personal</t>
        </is>
      </c>
      <c r="H623" s="114" t="inlineStr">
        <is>
          <t>SBI 1227</t>
        </is>
      </c>
    </row>
    <row r="624">
      <c r="A624" s="113" t="n">
        <v>45154</v>
      </c>
      <c r="B624" s="114" t="inlineStr">
        <is>
          <t xml:space="preserve">   TO TRANSFER-UPI/DR/322899850164/SUSHIL K/IPOS/q641920445/UPI--</t>
        </is>
      </c>
      <c r="C624" s="114" t="inlineStr">
        <is>
          <t>TRANSFER TO 4897692162094</t>
        </is>
      </c>
      <c r="D624" s="114" t="n">
        <v>200</v>
      </c>
      <c r="E624" s="114" t="n">
        <v>0</v>
      </c>
      <c r="F624" s="114" t="n">
        <v>70980.50999999999</v>
      </c>
      <c r="G624" s="114" t="inlineStr">
        <is>
          <t>Personal</t>
        </is>
      </c>
      <c r="H624" s="114" t="inlineStr">
        <is>
          <t>SBI 1227</t>
        </is>
      </c>
    </row>
    <row r="625">
      <c r="A625" s="113" t="n">
        <v>45154</v>
      </c>
      <c r="B625" s="114" t="inlineStr">
        <is>
          <t>NET PI TO HSL SEC A/C 2554606-00602340029427</t>
        </is>
      </c>
      <c r="C625" s="114" t="inlineStr">
        <is>
          <t>0000000439538950</t>
        </is>
      </c>
      <c r="D625" s="114" t="n">
        <v>226.58</v>
      </c>
      <c r="E625" s="114" t="n">
        <v>0</v>
      </c>
      <c r="F625" s="114" t="n">
        <v>28034.28</v>
      </c>
      <c r="G625" s="114" t="inlineStr">
        <is>
          <t>HDFC Securities</t>
        </is>
      </c>
      <c r="H625" s="114" t="inlineStr">
        <is>
          <t>HDFC 5413</t>
        </is>
      </c>
    </row>
    <row r="626">
      <c r="A626" s="113" t="n">
        <v>45154</v>
      </c>
      <c r="B626" s="114" t="inlineStr">
        <is>
          <t>NET PAYIN TO BSE MF A/C -57500000389146- FROM A/C -50100128155413- UCC -2554606-57500000389146</t>
        </is>
      </c>
      <c r="C626" s="114" t="inlineStr">
        <is>
          <t>0000000439440609</t>
        </is>
      </c>
      <c r="D626" s="114" t="n">
        <v>2500</v>
      </c>
      <c r="E626" s="114" t="n">
        <v>0</v>
      </c>
      <c r="F626" s="114" t="n">
        <v>28260.86</v>
      </c>
      <c r="G626" s="114" t="inlineStr">
        <is>
          <t>Investments</t>
        </is>
      </c>
      <c r="H626" s="114" t="inlineStr">
        <is>
          <t>HDFC 5413</t>
        </is>
      </c>
    </row>
    <row r="627">
      <c r="A627" s="113" t="n">
        <v>45155</v>
      </c>
      <c r="B627" s="114" t="inlineStr">
        <is>
          <t xml:space="preserve">   TO TRANSFER-UPI/DR/322940352119/CLEARTRI/PYTM/paytm-3548/OidLB--</t>
        </is>
      </c>
      <c r="C627" s="114" t="inlineStr">
        <is>
          <t>TRANSFER TO 4897693162093</t>
        </is>
      </c>
      <c r="D627" s="114" t="n">
        <v>2266</v>
      </c>
      <c r="E627" s="114" t="n">
        <v>0</v>
      </c>
      <c r="F627" s="114" t="n">
        <v>68414.50999999999</v>
      </c>
      <c r="G627" s="114" t="inlineStr">
        <is>
          <t>Personal</t>
        </is>
      </c>
      <c r="H627" s="114" t="inlineStr">
        <is>
          <t>SBI 1227</t>
        </is>
      </c>
    </row>
    <row r="628">
      <c r="A628" s="113" t="n">
        <v>45155</v>
      </c>
      <c r="B628" s="114" t="inlineStr">
        <is>
          <t>NET PO FROM HSL A/C 2554606-00602340029427</t>
        </is>
      </c>
      <c r="C628" s="114" t="inlineStr">
        <is>
          <t>0000000440021445</t>
        </is>
      </c>
      <c r="D628" s="114" t="n">
        <v>0</v>
      </c>
      <c r="E628" s="114" t="n">
        <v>111.15</v>
      </c>
      <c r="F628" s="114" t="n">
        <v>28032.12</v>
      </c>
      <c r="G628" s="114" t="inlineStr">
        <is>
          <t>HDFC Securities</t>
        </is>
      </c>
      <c r="H628" s="114" t="inlineStr">
        <is>
          <t>HDFC 5413</t>
        </is>
      </c>
    </row>
    <row r="629">
      <c r="A629" s="113" t="n">
        <v>45155</v>
      </c>
      <c r="B629" s="114" t="inlineStr">
        <is>
          <t>NET PO FROM HSL A/C 2554606-00602340029427</t>
        </is>
      </c>
      <c r="C629" s="114" t="inlineStr">
        <is>
          <t>0000000440090517</t>
        </is>
      </c>
      <c r="D629" s="114" t="n">
        <v>0</v>
      </c>
      <c r="E629" s="114" t="n">
        <v>44.58</v>
      </c>
      <c r="F629" s="114" t="n">
        <v>28076.7</v>
      </c>
      <c r="G629" s="114" t="inlineStr">
        <is>
          <t>HDFC Securities</t>
        </is>
      </c>
      <c r="H629" s="114" t="inlineStr">
        <is>
          <t>HDFC 5413</t>
        </is>
      </c>
    </row>
    <row r="630">
      <c r="A630" s="113" t="n">
        <v>45155</v>
      </c>
      <c r="B630" s="114" t="inlineStr">
        <is>
          <t xml:space="preserve">   TO TRANSFER-UPI/DR/322980455536/ARAGHYOD/MAHB/anyk@mahb/UPI--</t>
        </is>
      </c>
      <c r="C630" s="114" t="inlineStr">
        <is>
          <t>TRANSFER TO 4897693162093</t>
        </is>
      </c>
      <c r="D630" s="114" t="n">
        <v>250</v>
      </c>
      <c r="E630" s="114" t="n">
        <v>0</v>
      </c>
      <c r="F630" s="114" t="n">
        <v>70680.50999999999</v>
      </c>
      <c r="G630" s="114" t="inlineStr">
        <is>
          <t>Personal</t>
        </is>
      </c>
      <c r="H630" s="114" t="inlineStr">
        <is>
          <t>SBI 1227</t>
        </is>
      </c>
    </row>
    <row r="631">
      <c r="A631" s="113" t="n">
        <v>45155</v>
      </c>
      <c r="B631" s="114" t="inlineStr">
        <is>
          <t>NET PI TO HSL SEC A/C 2554606-00602340029427</t>
        </is>
      </c>
      <c r="C631" s="114" t="inlineStr">
        <is>
          <t>0000000439871613</t>
        </is>
      </c>
      <c r="D631" s="114" t="n">
        <v>113.31</v>
      </c>
      <c r="E631" s="114" t="n">
        <v>0</v>
      </c>
      <c r="F631" s="114" t="n">
        <v>27920.97</v>
      </c>
      <c r="G631" s="114" t="inlineStr">
        <is>
          <t>HDFC Securities</t>
        </is>
      </c>
      <c r="H631" s="114" t="inlineStr">
        <is>
          <t>HDFC 5413</t>
        </is>
      </c>
    </row>
    <row r="632">
      <c r="A632" s="113" t="n">
        <v>45156</v>
      </c>
      <c r="B632" s="114" t="inlineStr">
        <is>
          <t xml:space="preserve">   TO TRANSFER-UPI/DR/323004578780/IRCTC Ap/PYTM/paytm-irct/Oid10--</t>
        </is>
      </c>
      <c r="C632" s="114" t="inlineStr">
        <is>
          <t>TRANSFER TO 4897694162092</t>
        </is>
      </c>
      <c r="D632" s="114" t="n">
        <v>101.8</v>
      </c>
      <c r="E632" s="114" t="n">
        <v>0</v>
      </c>
      <c r="F632" s="114" t="n">
        <v>68312.71000000001</v>
      </c>
      <c r="G632" s="114" t="inlineStr">
        <is>
          <t>Travel</t>
        </is>
      </c>
      <c r="H632" s="114" t="inlineStr">
        <is>
          <t>SBI 1227</t>
        </is>
      </c>
    </row>
    <row r="633">
      <c r="A633" s="113" t="n">
        <v>45156</v>
      </c>
      <c r="B633" s="114" t="inlineStr">
        <is>
          <t xml:space="preserve">   TO TRANSFER-UPI/DR/323020145631/UDIPI RE/PYTM/paytmqr281/UPI--</t>
        </is>
      </c>
      <c r="C633" s="114" t="inlineStr">
        <is>
          <t>TRANSFER TO 4897694162092</t>
        </is>
      </c>
      <c r="D633" s="114" t="n">
        <v>197</v>
      </c>
      <c r="E633" s="114" t="n">
        <v>0</v>
      </c>
      <c r="F633" s="114" t="n">
        <v>68115.71000000001</v>
      </c>
      <c r="G633" s="114" t="inlineStr">
        <is>
          <t>Personal</t>
        </is>
      </c>
      <c r="H633" s="114" t="inlineStr">
        <is>
          <t>SBI 1227</t>
        </is>
      </c>
    </row>
    <row r="634">
      <c r="A634" s="113" t="n">
        <v>45156</v>
      </c>
      <c r="B634" s="114" t="inlineStr">
        <is>
          <t>NET PI TO HSL SEC A/C 2554606-00602340029427</t>
        </is>
      </c>
      <c r="C634" s="114" t="inlineStr">
        <is>
          <t>0000000440304719</t>
        </is>
      </c>
      <c r="D634" s="114" t="n">
        <v>113.37</v>
      </c>
      <c r="E634" s="114" t="n">
        <v>0</v>
      </c>
      <c r="F634" s="114" t="n">
        <v>27963.33</v>
      </c>
      <c r="G634" s="114" t="inlineStr">
        <is>
          <t>HDFC Securities</t>
        </is>
      </c>
      <c r="H634" s="114" t="inlineStr">
        <is>
          <t>HDFC 5413</t>
        </is>
      </c>
    </row>
    <row r="635">
      <c r="A635" s="113" t="n">
        <v>45156</v>
      </c>
      <c r="B635" s="114" t="inlineStr">
        <is>
          <t>DEPOSITORY CHARGES JUL23 - 52812428</t>
        </is>
      </c>
      <c r="C635" s="114" t="inlineStr">
        <is>
          <t>000000000000000</t>
        </is>
      </c>
      <c r="D635" s="114" t="n">
        <v>778.8</v>
      </c>
      <c r="E635" s="114" t="n">
        <v>0</v>
      </c>
      <c r="F635" s="114" t="n">
        <v>27184.53</v>
      </c>
      <c r="G635" s="114" t="inlineStr">
        <is>
          <t>Depository Charges</t>
        </is>
      </c>
      <c r="H635" s="114" t="inlineStr">
        <is>
          <t>HDFC 5413</t>
        </is>
      </c>
    </row>
    <row r="636">
      <c r="A636" s="113" t="n">
        <v>45156</v>
      </c>
      <c r="B636" s="114" t="inlineStr">
        <is>
          <t>NET PI TO HSL SEC A/C 2554606-00602340029427</t>
        </is>
      </c>
      <c r="C636" s="114" t="inlineStr">
        <is>
          <t>0000000440458462</t>
        </is>
      </c>
      <c r="D636" s="114" t="n">
        <v>113.17</v>
      </c>
      <c r="E636" s="114" t="n">
        <v>0</v>
      </c>
      <c r="F636" s="114" t="n">
        <v>27071.36</v>
      </c>
      <c r="G636" s="114" t="inlineStr">
        <is>
          <t>HDFC Securities</t>
        </is>
      </c>
      <c r="H636" s="114" t="inlineStr">
        <is>
          <t>HDFC 5413</t>
        </is>
      </c>
    </row>
    <row r="637">
      <c r="A637" s="113" t="n">
        <v>45159</v>
      </c>
      <c r="B637" s="114" t="inlineStr">
        <is>
          <t>NET PI TO HSL SEC A/C 2554606-00602340029427</t>
        </is>
      </c>
      <c r="C637" s="114" t="inlineStr">
        <is>
          <t>0000000440746354</t>
        </is>
      </c>
      <c r="D637" s="114" t="n">
        <v>339.93</v>
      </c>
      <c r="E637" s="114" t="n">
        <v>0</v>
      </c>
      <c r="F637" s="114" t="n">
        <v>26731.43</v>
      </c>
      <c r="G637" s="114" t="inlineStr">
        <is>
          <t>HDFC Securities</t>
        </is>
      </c>
      <c r="H637" s="114" t="inlineStr">
        <is>
          <t>HDFC 5413</t>
        </is>
      </c>
    </row>
    <row r="638">
      <c r="A638" s="113" t="n">
        <v>45159</v>
      </c>
      <c r="B638" s="114" t="inlineStr">
        <is>
          <t>NET PI TO HSL SEC A/C 2554606-00602340029427</t>
        </is>
      </c>
      <c r="C638" s="114" t="inlineStr">
        <is>
          <t>0000000440903675</t>
        </is>
      </c>
      <c r="D638" s="114" t="n">
        <v>86.56</v>
      </c>
      <c r="E638" s="114" t="n">
        <v>0</v>
      </c>
      <c r="F638" s="114" t="n">
        <v>26644.87</v>
      </c>
      <c r="G638" s="114" t="inlineStr">
        <is>
          <t>HDFC Securities</t>
        </is>
      </c>
      <c r="H638" s="114" t="inlineStr">
        <is>
          <t>HDFC 5413</t>
        </is>
      </c>
    </row>
    <row r="639">
      <c r="A639" s="113" t="n">
        <v>45160</v>
      </c>
      <c r="B639" s="114" t="inlineStr">
        <is>
          <t>NET PI TO HSL SEC A/C 2554606-00602340029427</t>
        </is>
      </c>
      <c r="C639" s="114" t="inlineStr">
        <is>
          <t>0000000441195793</t>
        </is>
      </c>
      <c r="D639" s="114" t="n">
        <v>113.27</v>
      </c>
      <c r="E639" s="114" t="n">
        <v>0</v>
      </c>
      <c r="F639" s="114" t="n">
        <v>26531.6</v>
      </c>
      <c r="G639" s="114" t="inlineStr">
        <is>
          <t>HDFC Securities</t>
        </is>
      </c>
      <c r="H639" s="114" t="inlineStr">
        <is>
          <t>HDFC 5413</t>
        </is>
      </c>
    </row>
    <row r="640">
      <c r="A640" s="113" t="n">
        <v>45160</v>
      </c>
      <c r="B640" s="114" t="inlineStr">
        <is>
          <t>NET PI TO HSL SEC A/C 2554606-00602340029427</t>
        </is>
      </c>
      <c r="C640" s="114" t="inlineStr">
        <is>
          <t>0000000441321510</t>
        </is>
      </c>
      <c r="D640" s="114" t="n">
        <v>118.89</v>
      </c>
      <c r="E640" s="114" t="n">
        <v>0</v>
      </c>
      <c r="F640" s="114" t="n">
        <v>26412.71</v>
      </c>
      <c r="G640" s="114" t="inlineStr">
        <is>
          <t>HDFC Securities</t>
        </is>
      </c>
      <c r="H640" s="114" t="inlineStr">
        <is>
          <t>HDFC 5413</t>
        </is>
      </c>
    </row>
    <row r="641">
      <c r="A641" s="113" t="n">
        <v>45161</v>
      </c>
      <c r="B641" s="114" t="inlineStr">
        <is>
          <t>NET PAYIN TO NSE MF A/C -00990610005906- FROM A/C -50100128155413- UCC -2554606-00990610005906</t>
        </is>
      </c>
      <c r="C641" s="114" t="inlineStr">
        <is>
          <t>0000000441609985</t>
        </is>
      </c>
      <c r="D641" s="114" t="n">
        <v>5000</v>
      </c>
      <c r="E641" s="114" t="n">
        <v>0</v>
      </c>
      <c r="F641" s="114" t="n">
        <v>21299.5</v>
      </c>
      <c r="G641" s="114" t="inlineStr">
        <is>
          <t>Investments</t>
        </is>
      </c>
      <c r="H641" s="114" t="inlineStr">
        <is>
          <t>HDFC 5413</t>
        </is>
      </c>
    </row>
    <row r="642">
      <c r="A642" s="113" t="n">
        <v>45161</v>
      </c>
      <c r="B642" s="114" t="inlineStr">
        <is>
          <t>NET PO FROM HSL A/C 2554606-00602340029427</t>
        </is>
      </c>
      <c r="C642" s="114" t="inlineStr">
        <is>
          <t>0000000441732080</t>
        </is>
      </c>
      <c r="D642" s="114" t="n">
        <v>0</v>
      </c>
      <c r="E642" s="114" t="n">
        <v>109.13</v>
      </c>
      <c r="F642" s="114" t="n">
        <v>13417.52</v>
      </c>
      <c r="G642" s="114" t="inlineStr">
        <is>
          <t>HDFC Securities</t>
        </is>
      </c>
      <c r="H642" s="114" t="inlineStr">
        <is>
          <t>HDFC 5413</t>
        </is>
      </c>
    </row>
    <row r="643">
      <c r="A643" s="113" t="n">
        <v>45161</v>
      </c>
      <c r="B643" s="114" t="inlineStr">
        <is>
          <t>NET PI TO HSL SEC A/C 2554606-00602340029427</t>
        </is>
      </c>
      <c r="C643" s="114" t="inlineStr">
        <is>
          <t>0000000441666920</t>
        </is>
      </c>
      <c r="D643" s="114" t="n">
        <v>7991.11</v>
      </c>
      <c r="E643" s="114" t="n">
        <v>0</v>
      </c>
      <c r="F643" s="114" t="n">
        <v>13308.39</v>
      </c>
      <c r="G643" s="114" t="inlineStr">
        <is>
          <t>HDFC Securities</t>
        </is>
      </c>
      <c r="H643" s="114" t="inlineStr">
        <is>
          <t>HDFC 5413</t>
        </is>
      </c>
    </row>
    <row r="644">
      <c r="A644" s="113" t="n">
        <v>45161</v>
      </c>
      <c r="B644" s="114" t="inlineStr">
        <is>
          <t>NET PI TO HSL SEC A/C 2554606-00602340029427</t>
        </is>
      </c>
      <c r="C644" s="114" t="inlineStr">
        <is>
          <t>0000000441585027</t>
        </is>
      </c>
      <c r="D644" s="114" t="n">
        <v>113.21</v>
      </c>
      <c r="E644" s="114" t="n">
        <v>0</v>
      </c>
      <c r="F644" s="114" t="n">
        <v>26299.5</v>
      </c>
      <c r="G644" s="114" t="inlineStr">
        <is>
          <t>HDFC Securities</t>
        </is>
      </c>
      <c r="H644" s="114" t="inlineStr">
        <is>
          <t>HDFC 5413</t>
        </is>
      </c>
    </row>
    <row r="645">
      <c r="A645" s="113" t="n">
        <v>45162</v>
      </c>
      <c r="B645" s="114" t="inlineStr">
        <is>
          <t>NET PI TO HSL SEC A/C 2554606-00602340029427</t>
        </is>
      </c>
      <c r="C645" s="114" t="inlineStr">
        <is>
          <t>0000000442139637</t>
        </is>
      </c>
      <c r="D645" s="114" t="n">
        <v>98.68000000000001</v>
      </c>
      <c r="E645" s="114" t="n">
        <v>0</v>
      </c>
      <c r="F645" s="114" t="n">
        <v>43205.57</v>
      </c>
      <c r="G645" s="114" t="inlineStr">
        <is>
          <t>HDFC Securities</t>
        </is>
      </c>
      <c r="H645" s="114" t="inlineStr">
        <is>
          <t>HDFC 5413</t>
        </is>
      </c>
    </row>
    <row r="646">
      <c r="A646" s="113" t="n">
        <v>45162</v>
      </c>
      <c r="B646" s="114" t="inlineStr">
        <is>
          <t>NET PI TO HSL SEC A/C 2554606-00602340029427</t>
        </is>
      </c>
      <c r="C646" s="114" t="inlineStr">
        <is>
          <t>0000000442001502</t>
        </is>
      </c>
      <c r="D646" s="114" t="n">
        <v>113.27</v>
      </c>
      <c r="E646" s="114" t="n">
        <v>0</v>
      </c>
      <c r="F646" s="114" t="n">
        <v>43304.25</v>
      </c>
      <c r="G646" s="114" t="inlineStr">
        <is>
          <t>HDFC Securities</t>
        </is>
      </c>
      <c r="H646" s="114" t="inlineStr">
        <is>
          <t>HDFC 5413</t>
        </is>
      </c>
    </row>
    <row r="647">
      <c r="A647" s="113" t="n">
        <v>45162</v>
      </c>
      <c r="B647" s="114" t="inlineStr">
        <is>
          <t>01671000085930-TPT-BORROW FROM AKG-AJAY KUMAR GUPTA</t>
        </is>
      </c>
      <c r="C647" s="114" t="inlineStr">
        <is>
          <t>0000000219090699</t>
        </is>
      </c>
      <c r="D647" s="114" t="n">
        <v>0</v>
      </c>
      <c r="E647" s="114" t="n">
        <v>40000</v>
      </c>
      <c r="F647" s="114" t="n">
        <v>53417.52</v>
      </c>
      <c r="G647" s="114" t="inlineStr">
        <is>
          <t>Ajay Gupta</t>
        </is>
      </c>
      <c r="H647" s="114" t="inlineStr">
        <is>
          <t>HDFC 5413</t>
        </is>
      </c>
    </row>
    <row r="648">
      <c r="A648" s="113" t="n">
        <v>45162</v>
      </c>
      <c r="B648" s="114" t="inlineStr">
        <is>
          <t>NET PAYIN TO BSE MF A/C -57500000389146- FROM A/C -50100128155413- UCC -2554606-57500000389146</t>
        </is>
      </c>
      <c r="C648" s="114" t="inlineStr">
        <is>
          <t>0000000441939511</t>
        </is>
      </c>
      <c r="D648" s="114" t="n">
        <v>10000</v>
      </c>
      <c r="E648" s="114" t="n">
        <v>0</v>
      </c>
      <c r="F648" s="114" t="n">
        <v>43417.52</v>
      </c>
      <c r="G648" s="114" t="inlineStr">
        <is>
          <t>Investments</t>
        </is>
      </c>
      <c r="H648" s="114" t="inlineStr">
        <is>
          <t>HDFC 5413</t>
        </is>
      </c>
    </row>
    <row r="649">
      <c r="A649" s="113" t="n">
        <v>45163</v>
      </c>
      <c r="B649" s="114" t="inlineStr">
        <is>
          <t>NET PAYIN TO BSE MF A/C -57500000389146- FROM A/C -50100128155413- UCC -2554606-57500000389146</t>
        </is>
      </c>
      <c r="C649" s="114" t="inlineStr">
        <is>
          <t>0000000442343008</t>
        </is>
      </c>
      <c r="D649" s="114" t="n">
        <v>2500</v>
      </c>
      <c r="E649" s="114" t="n">
        <v>0</v>
      </c>
      <c r="F649" s="114" t="n">
        <v>40705.57</v>
      </c>
      <c r="G649" s="114" t="inlineStr">
        <is>
          <t>Investments</t>
        </is>
      </c>
      <c r="H649" s="114" t="inlineStr">
        <is>
          <t>HDFC 5413</t>
        </is>
      </c>
    </row>
    <row r="650">
      <c r="A650" s="113" t="n">
        <v>45163</v>
      </c>
      <c r="B650" s="114" t="inlineStr">
        <is>
          <t>NET PI TO HSL SEC A/C 2554606-00602340029427</t>
        </is>
      </c>
      <c r="C650" s="114" t="inlineStr">
        <is>
          <t>0000000442405520</t>
        </is>
      </c>
      <c r="D650" s="114" t="n">
        <v>113.22</v>
      </c>
      <c r="E650" s="114" t="n">
        <v>0</v>
      </c>
      <c r="F650" s="114" t="n">
        <v>40592.35</v>
      </c>
      <c r="G650" s="114" t="inlineStr">
        <is>
          <t>HDFC Securities</t>
        </is>
      </c>
      <c r="H650" s="114" t="inlineStr">
        <is>
          <t>HDFC 5413</t>
        </is>
      </c>
    </row>
    <row r="651">
      <c r="A651" s="113" t="n">
        <v>45163</v>
      </c>
      <c r="B651" s="114" t="inlineStr">
        <is>
          <t>NET PI TO HSL SEC A/C 2554606-00602340029427</t>
        </is>
      </c>
      <c r="C651" s="114" t="inlineStr">
        <is>
          <t>0000000442576450</t>
        </is>
      </c>
      <c r="D651" s="114" t="n">
        <v>241.3</v>
      </c>
      <c r="E651" s="114" t="n">
        <v>0</v>
      </c>
      <c r="F651" s="114" t="n">
        <v>40351.05</v>
      </c>
      <c r="G651" s="114" t="inlineStr">
        <is>
          <t>HDFC Securities</t>
        </is>
      </c>
      <c r="H651" s="114" t="inlineStr">
        <is>
          <t>HDFC 5413</t>
        </is>
      </c>
    </row>
    <row r="652">
      <c r="A652" s="113" t="n">
        <v>45166</v>
      </c>
      <c r="B652" s="114" t="inlineStr">
        <is>
          <t>NET PI TO HSL SEC A/C 2554606-00602340029427</t>
        </is>
      </c>
      <c r="C652" s="114" t="inlineStr">
        <is>
          <t>0000000442938276</t>
        </is>
      </c>
      <c r="D652" s="114" t="n">
        <v>339.3</v>
      </c>
      <c r="E652" s="114" t="n">
        <v>0</v>
      </c>
      <c r="F652" s="114" t="n">
        <v>40011.75</v>
      </c>
      <c r="G652" s="114" t="inlineStr">
        <is>
          <t>HDFC Securities</t>
        </is>
      </c>
      <c r="H652" s="114" t="inlineStr">
        <is>
          <t>HDFC 5413</t>
        </is>
      </c>
    </row>
    <row r="653">
      <c r="A653" s="113" t="n">
        <v>45166</v>
      </c>
      <c r="B653" s="114" t="inlineStr">
        <is>
          <t>ACH C- RELIANCE INDUSTRIES-232932001</t>
        </is>
      </c>
      <c r="C653" s="114" t="inlineStr">
        <is>
          <t>0000004928593648</t>
        </is>
      </c>
      <c r="D653" s="114" t="n">
        <v>0</v>
      </c>
      <c r="E653" s="114" t="n">
        <v>18</v>
      </c>
      <c r="F653" s="114" t="n">
        <v>40029.75</v>
      </c>
      <c r="G653" s="114" t="inlineStr">
        <is>
          <t>Dividend Income</t>
        </is>
      </c>
      <c r="H653" s="114" t="inlineStr">
        <is>
          <t>HDFC 5413</t>
        </is>
      </c>
    </row>
    <row r="654">
      <c r="A654" s="113" t="n">
        <v>45167</v>
      </c>
      <c r="B654" s="114" t="inlineStr">
        <is>
          <t>AEROFLEXG/2400024022124775-50200036338720</t>
        </is>
      </c>
      <c r="C654" s="114" t="inlineStr">
        <is>
          <t>0000000406778677</t>
        </is>
      </c>
      <c r="D654" s="114" t="n">
        <v>14040</v>
      </c>
      <c r="E654" s="114" t="n">
        <v>0</v>
      </c>
      <c r="F654" s="114" t="n">
        <v>26119.9</v>
      </c>
      <c r="G654" s="114" t="inlineStr">
        <is>
          <t>IPO</t>
        </is>
      </c>
      <c r="H654" s="114" t="inlineStr">
        <is>
          <t>HDFC 5413</t>
        </is>
      </c>
    </row>
    <row r="655">
      <c r="A655" s="113" t="n">
        <v>45167</v>
      </c>
      <c r="B655" s="114" t="inlineStr">
        <is>
          <t>NET PO FROM HSL A/C 2554606-50200085415108</t>
        </is>
      </c>
      <c r="C655" s="114" t="inlineStr">
        <is>
          <t>0000000443188114</t>
        </is>
      </c>
      <c r="D655" s="114" t="n">
        <v>0</v>
      </c>
      <c r="E655" s="114" t="n">
        <v>243.25</v>
      </c>
      <c r="F655" s="114" t="n">
        <v>40273</v>
      </c>
      <c r="G655" s="114" t="inlineStr">
        <is>
          <t>HDFC Securities</t>
        </is>
      </c>
      <c r="H655" s="114" t="inlineStr">
        <is>
          <t>HDFC 5413</t>
        </is>
      </c>
    </row>
    <row r="656">
      <c r="A656" s="113" t="n">
        <v>45167</v>
      </c>
      <c r="B656" s="114" t="inlineStr">
        <is>
          <t>NET PI TO HSL SEC A/C 2554606-00602340029427</t>
        </is>
      </c>
      <c r="C656" s="114" t="inlineStr">
        <is>
          <t>0000000443329520</t>
        </is>
      </c>
      <c r="D656" s="114" t="n">
        <v>113.1</v>
      </c>
      <c r="E656" s="114" t="n">
        <v>0</v>
      </c>
      <c r="F656" s="114" t="n">
        <v>40159.9</v>
      </c>
      <c r="G656" s="114" t="inlineStr">
        <is>
          <t>HDFC Securities</t>
        </is>
      </c>
      <c r="H656" s="114" t="inlineStr">
        <is>
          <t>HDFC 5413</t>
        </is>
      </c>
    </row>
    <row r="657">
      <c r="A657" s="113" t="n">
        <v>45168</v>
      </c>
      <c r="B657" s="114" t="inlineStr">
        <is>
          <t>NET PI TO HSL SEC A/C 2554606-00602340029427</t>
        </is>
      </c>
      <c r="C657" s="114" t="inlineStr">
        <is>
          <t>0000000443832423</t>
        </is>
      </c>
      <c r="D657" s="114" t="n">
        <v>267.58</v>
      </c>
      <c r="E657" s="114" t="n">
        <v>0</v>
      </c>
      <c r="F657" s="114" t="n">
        <v>175915.59</v>
      </c>
      <c r="G657" s="114" t="inlineStr">
        <is>
          <t>HDFC Securities</t>
        </is>
      </c>
      <c r="H657" s="114" t="inlineStr">
        <is>
          <t>HDFC 5413</t>
        </is>
      </c>
    </row>
    <row r="658">
      <c r="A658" s="113" t="n">
        <v>45168</v>
      </c>
      <c r="B658" s="114" t="inlineStr">
        <is>
          <t>NET PI TO HSL SEC A/C 2554606-00602340029427</t>
        </is>
      </c>
      <c r="C658" s="114" t="inlineStr">
        <is>
          <t>0000000443705023</t>
        </is>
      </c>
      <c r="D658" s="114" t="n">
        <v>113.22</v>
      </c>
      <c r="E658" s="114" t="n">
        <v>0</v>
      </c>
      <c r="F658" s="114" t="n">
        <v>26183.17</v>
      </c>
      <c r="G658" s="114" t="inlineStr">
        <is>
          <t>HDFC Securities</t>
        </is>
      </c>
      <c r="H658" s="114" t="inlineStr">
        <is>
          <t>HDFC 5413</t>
        </is>
      </c>
    </row>
    <row r="659">
      <c r="A659" s="113" t="n">
        <v>45168</v>
      </c>
      <c r="B659" s="114" t="inlineStr">
        <is>
          <t>01671000085930-TPT-FROM AKG-AJAY KUMAR GUPTA</t>
        </is>
      </c>
      <c r="C659" s="114" t="inlineStr">
        <is>
          <t>0000000246853897</t>
        </is>
      </c>
      <c r="D659" s="114" t="n">
        <v>0</v>
      </c>
      <c r="E659" s="114" t="n">
        <v>150000</v>
      </c>
      <c r="F659" s="114" t="n">
        <v>176183.17</v>
      </c>
      <c r="G659" s="114" t="inlineStr">
        <is>
          <t>Ajay Gupta</t>
        </is>
      </c>
      <c r="H659" s="114" t="inlineStr">
        <is>
          <t>HDFC 5413</t>
        </is>
      </c>
    </row>
    <row r="660">
      <c r="A660" s="113" t="n">
        <v>45168</v>
      </c>
      <c r="B660" s="114" t="inlineStr">
        <is>
          <t>NET PO FROM HSL A/C 2554606-50200085415108</t>
        </is>
      </c>
      <c r="C660" s="114" t="inlineStr">
        <is>
          <t>0000000443570310</t>
        </is>
      </c>
      <c r="D660" s="114" t="n">
        <v>0</v>
      </c>
      <c r="E660" s="114" t="n">
        <v>176.49</v>
      </c>
      <c r="F660" s="114" t="n">
        <v>26296.39</v>
      </c>
      <c r="G660" s="114" t="inlineStr">
        <is>
          <t>HDFC Securities</t>
        </is>
      </c>
      <c r="H660" s="114" t="inlineStr">
        <is>
          <t>HDFC 5413</t>
        </is>
      </c>
    </row>
    <row r="661">
      <c r="A661" s="113" t="n">
        <v>45169</v>
      </c>
      <c r="B661" s="114" t="inlineStr">
        <is>
          <t>NET PI TO HSL SEC A/C 2554606-00602340029427</t>
        </is>
      </c>
      <c r="C661" s="114" t="inlineStr">
        <is>
          <t>0000000444059719</t>
        </is>
      </c>
      <c r="D661" s="114" t="n">
        <v>113.17</v>
      </c>
      <c r="E661" s="114" t="n">
        <v>0</v>
      </c>
      <c r="F661" s="114" t="n">
        <v>175802.42</v>
      </c>
      <c r="G661" s="114" t="inlineStr">
        <is>
          <t>HDFC Securities</t>
        </is>
      </c>
      <c r="H661" s="114" t="inlineStr">
        <is>
          <t>HDFC 5413</t>
        </is>
      </c>
    </row>
    <row r="662">
      <c r="A662" s="113" t="n">
        <v>45170</v>
      </c>
      <c r="B662" s="114" t="inlineStr">
        <is>
          <t>NET PI TO HSL SEC A/C 2554606-00602340029427</t>
        </is>
      </c>
      <c r="C662" s="114" t="inlineStr">
        <is>
          <t>0000000444239928</t>
        </is>
      </c>
      <c r="D662" s="114" t="n">
        <v>23580.75</v>
      </c>
      <c r="E662" s="114" t="n">
        <v>0</v>
      </c>
      <c r="F662" s="114" t="n">
        <v>152221.67</v>
      </c>
      <c r="G662" s="114" t="inlineStr">
        <is>
          <t>HDFC Securities</t>
        </is>
      </c>
      <c r="H662" s="114" t="inlineStr">
        <is>
          <t>HDFC 5413</t>
        </is>
      </c>
    </row>
    <row r="663">
      <c r="A663" s="113" t="n">
        <v>45170</v>
      </c>
      <c r="B663" s="114" t="inlineStr">
        <is>
          <t>NET PI TO HSL SEC A/C 2554606-00602340029427</t>
        </is>
      </c>
      <c r="C663" s="114" t="inlineStr">
        <is>
          <t>0000000444532295</t>
        </is>
      </c>
      <c r="D663" s="114" t="n">
        <v>101.54</v>
      </c>
      <c r="E663" s="114" t="n">
        <v>0</v>
      </c>
      <c r="F663" s="114" t="n">
        <v>152120.13</v>
      </c>
      <c r="G663" s="114" t="inlineStr">
        <is>
          <t>HDFC Securities</t>
        </is>
      </c>
      <c r="H663" s="114" t="inlineStr">
        <is>
          <t>HDFC 5413</t>
        </is>
      </c>
    </row>
    <row r="664">
      <c r="A664" s="113" t="n">
        <v>45170</v>
      </c>
      <c r="B664" s="114" t="inlineStr">
        <is>
          <t>ACH C- LIFE INSURANCE CORPO-7028328</t>
        </is>
      </c>
      <c r="C664" s="114" t="inlineStr">
        <is>
          <t>0000004829520831</t>
        </is>
      </c>
      <c r="D664" s="114" t="n">
        <v>0</v>
      </c>
      <c r="E664" s="114" t="n">
        <v>45</v>
      </c>
      <c r="F664" s="114" t="n">
        <v>152165.13</v>
      </c>
      <c r="G664" s="114" t="inlineStr">
        <is>
          <t>Dividend Income</t>
        </is>
      </c>
      <c r="H664" s="114" t="inlineStr">
        <is>
          <t>HDFC 5413</t>
        </is>
      </c>
    </row>
    <row r="665">
      <c r="A665" s="113" t="n">
        <v>45170</v>
      </c>
      <c r="B665" s="114" t="inlineStr">
        <is>
          <t>ACH C- ICICI BANK LTD.-5894416</t>
        </is>
      </c>
      <c r="C665" s="114" t="inlineStr">
        <is>
          <t>0000005017514010</t>
        </is>
      </c>
      <c r="D665" s="114" t="n">
        <v>0</v>
      </c>
      <c r="E665" s="114" t="n">
        <v>120</v>
      </c>
      <c r="F665" s="114" t="n">
        <v>152285.13</v>
      </c>
      <c r="G665" s="114" t="inlineStr">
        <is>
          <t>Dividend Income</t>
        </is>
      </c>
      <c r="H665" s="114" t="inlineStr">
        <is>
          <t>HDFC 5413</t>
        </is>
      </c>
    </row>
    <row r="666">
      <c r="A666" s="113" t="n">
        <v>45170</v>
      </c>
      <c r="B666" s="114" t="inlineStr">
        <is>
          <t>SMS Alert Fee</t>
        </is>
      </c>
      <c r="C666" s="113" t="n">
        <v>45221</v>
      </c>
      <c r="D666" s="114" t="n">
        <v>1</v>
      </c>
      <c r="E666" s="114" t="n">
        <v>1</v>
      </c>
      <c r="F666" s="114" t="n">
        <v/>
      </c>
      <c r="G666" s="114" t="inlineStr">
        <is>
          <t>Bank Charges</t>
        </is>
      </c>
      <c r="H666" s="114" t="inlineStr">
        <is>
          <t>AXIS</t>
        </is>
      </c>
    </row>
    <row r="667">
      <c r="A667" s="113" t="n">
        <v>45170</v>
      </c>
      <c r="B667" s="114" t="inlineStr">
        <is>
          <t>NET PO FROM HSL A/C 2554606-50200085415108</t>
        </is>
      </c>
      <c r="C667" s="114" t="inlineStr">
        <is>
          <t>0000000444699660</t>
        </is>
      </c>
      <c r="D667" s="114" t="n">
        <v>0</v>
      </c>
      <c r="E667" s="114" t="n">
        <v>156.86</v>
      </c>
      <c r="F667" s="114" t="n">
        <v>152581.99</v>
      </c>
      <c r="G667" s="114" t="inlineStr">
        <is>
          <t>HDFC Securities</t>
        </is>
      </c>
      <c r="H667" s="114" t="inlineStr">
        <is>
          <t>HDFC 5413</t>
        </is>
      </c>
    </row>
    <row r="668">
      <c r="A668" s="113" t="n">
        <v>45170</v>
      </c>
      <c r="B668" s="114" t="inlineStr">
        <is>
          <t>ACH C- NGLFINECHEMLIMITE-0000IN301549528</t>
        </is>
      </c>
      <c r="C668" s="114" t="inlineStr">
        <is>
          <t>0000007062470244</t>
        </is>
      </c>
      <c r="D668" s="114" t="n">
        <v>0</v>
      </c>
      <c r="E668" s="114" t="n">
        <v>140</v>
      </c>
      <c r="F668" s="114" t="n">
        <v>152425.13</v>
      </c>
      <c r="G668" s="114" t="inlineStr">
        <is>
          <t>Dividend Income</t>
        </is>
      </c>
      <c r="H668" s="114" t="inlineStr">
        <is>
          <t>HDFC 5413</t>
        </is>
      </c>
    </row>
    <row r="669">
      <c r="A669" s="113" t="n">
        <v>45173</v>
      </c>
      <c r="B669" s="114" t="inlineStr">
        <is>
          <t>NET PI TO HSL SEC A/C 2554606-00602340029427</t>
        </is>
      </c>
      <c r="C669" s="114" t="inlineStr">
        <is>
          <t>0000000445158486</t>
        </is>
      </c>
      <c r="D669" s="114" t="n">
        <v>304.86</v>
      </c>
      <c r="E669" s="114" t="n">
        <v>0</v>
      </c>
      <c r="F669" s="114" t="n">
        <v>152277.13</v>
      </c>
      <c r="G669" s="114" t="inlineStr">
        <is>
          <t>HDFC Securities</t>
        </is>
      </c>
      <c r="H669" s="114" t="inlineStr">
        <is>
          <t>HDFC 5413</t>
        </is>
      </c>
    </row>
    <row r="670">
      <c r="A670" s="113" t="n">
        <v>45173</v>
      </c>
      <c r="B670" s="114" t="inlineStr">
        <is>
          <t>ACH C- DIVISLABORATORIES-000000000000030</t>
        </is>
      </c>
      <c r="C670" s="114" t="inlineStr">
        <is>
          <t>0000007066994247</t>
        </is>
      </c>
      <c r="D670" s="114" t="n">
        <v>0</v>
      </c>
      <c r="E670" s="114" t="n">
        <v>60</v>
      </c>
      <c r="F670" s="114" t="n">
        <v>152337.13</v>
      </c>
      <c r="G670" s="114" t="inlineStr">
        <is>
          <t>Dividend Income</t>
        </is>
      </c>
      <c r="H670" s="114" t="inlineStr">
        <is>
          <t>HDFC 5413</t>
        </is>
      </c>
    </row>
    <row r="671">
      <c r="A671" s="113" t="n">
        <v>45174</v>
      </c>
      <c r="B671" s="114" t="inlineStr">
        <is>
          <t>NET PO FROM HSL A/C 2554606-50200085415108</t>
        </is>
      </c>
      <c r="C671" s="114" t="inlineStr">
        <is>
          <t>0000000445480746</t>
        </is>
      </c>
      <c r="D671" s="114" t="n">
        <v>0</v>
      </c>
      <c r="E671" s="114" t="n">
        <v>3251.46</v>
      </c>
      <c r="F671" s="114" t="n">
        <v>155588.59</v>
      </c>
      <c r="G671" s="114" t="inlineStr">
        <is>
          <t>HDFC Securities</t>
        </is>
      </c>
      <c r="H671" s="114" t="inlineStr">
        <is>
          <t>HDFC 5413</t>
        </is>
      </c>
    </row>
    <row r="672">
      <c r="A672" s="113" t="n">
        <v>45174</v>
      </c>
      <c r="B672" s="114" t="inlineStr">
        <is>
          <t>NET PI TO HSL SEC A/C 2554606-00602340029427</t>
        </is>
      </c>
      <c r="C672" s="114" t="inlineStr">
        <is>
          <t>0000000445668824</t>
        </is>
      </c>
      <c r="D672" s="114" t="n">
        <v>101.62</v>
      </c>
      <c r="E672" s="114" t="n">
        <v>0</v>
      </c>
      <c r="F672" s="114" t="n">
        <v>155486.97</v>
      </c>
      <c r="G672" s="114" t="inlineStr">
        <is>
          <t>HDFC Securities</t>
        </is>
      </c>
      <c r="H672" s="114" t="inlineStr">
        <is>
          <t>HDFC 5413</t>
        </is>
      </c>
    </row>
    <row r="673">
      <c r="A673" s="113" t="n">
        <v>45174</v>
      </c>
      <c r="B673" s="114" t="inlineStr">
        <is>
          <t>ACH C- BHARAT PETROLEUM COR-BPCLIN301549</t>
        </is>
      </c>
      <c r="C673" s="114" t="inlineStr">
        <is>
          <t>0000005071732950</t>
        </is>
      </c>
      <c r="D673" s="114" t="n">
        <v>0</v>
      </c>
      <c r="E673" s="114" t="n">
        <v>80</v>
      </c>
      <c r="F673" s="114" t="n">
        <v>156025.97</v>
      </c>
      <c r="G673" s="114" t="inlineStr">
        <is>
          <t>Dividend Income</t>
        </is>
      </c>
      <c r="H673" s="114" t="inlineStr">
        <is>
          <t>HDFC 5413</t>
        </is>
      </c>
    </row>
    <row r="674">
      <c r="A674" s="113" t="n">
        <v>45174</v>
      </c>
      <c r="B674" s="114" t="inlineStr">
        <is>
          <t>INFO EDGE DIV22 2300000000000000038172</t>
        </is>
      </c>
      <c r="C674" s="114" t="inlineStr">
        <is>
          <t>0000232475321837</t>
        </is>
      </c>
      <c r="D674" s="114" t="n">
        <v>0</v>
      </c>
      <c r="E674" s="114" t="n">
        <v>459</v>
      </c>
      <c r="F674" s="114" t="n">
        <v>155945.97</v>
      </c>
      <c r="G674" s="114" t="inlineStr">
        <is>
          <t>Dividend Income</t>
        </is>
      </c>
      <c r="H674" s="114" t="inlineStr">
        <is>
          <t>HDFC 5413</t>
        </is>
      </c>
    </row>
    <row r="675">
      <c r="A675" s="113" t="n">
        <v>45175</v>
      </c>
      <c r="B675" s="114" t="inlineStr">
        <is>
          <t>NET PO FROM HSL A/C 2554606-50200085415108</t>
        </is>
      </c>
      <c r="C675" s="114" t="inlineStr">
        <is>
          <t>0000000445953755</t>
        </is>
      </c>
      <c r="D675" s="114" t="n">
        <v>0</v>
      </c>
      <c r="E675" s="114" t="n">
        <v>3377.75</v>
      </c>
      <c r="F675" s="114" t="n">
        <v>159403.72</v>
      </c>
      <c r="G675" s="114" t="inlineStr">
        <is>
          <t>HDFC Securities</t>
        </is>
      </c>
      <c r="H675" s="114" t="inlineStr">
        <is>
          <t>HDFC 5413</t>
        </is>
      </c>
    </row>
    <row r="676">
      <c r="A676" s="113" t="n">
        <v>45175</v>
      </c>
      <c r="B676" s="114" t="inlineStr">
        <is>
          <t>NET PI TO HSL SEC A/C 2554606-00602340029427</t>
        </is>
      </c>
      <c r="C676" s="114" t="inlineStr">
        <is>
          <t>0000000446101600</t>
        </is>
      </c>
      <c r="D676" s="114" t="n">
        <v>100.05</v>
      </c>
      <c r="E676" s="114" t="n">
        <v>0</v>
      </c>
      <c r="F676" s="114" t="n">
        <v>159303.67</v>
      </c>
      <c r="G676" s="114" t="inlineStr">
        <is>
          <t>HDFC Securities</t>
        </is>
      </c>
      <c r="H676" s="114" t="inlineStr">
        <is>
          <t>HDFC 5413</t>
        </is>
      </c>
    </row>
    <row r="677">
      <c r="A677" s="113" t="n">
        <v>45175</v>
      </c>
      <c r="B677" s="114" t="inlineStr">
        <is>
          <t>NET PI TO HSL SEC A/C 2554606-00602340029427</t>
        </is>
      </c>
      <c r="C677" s="114" t="inlineStr">
        <is>
          <t>0000000446256007</t>
        </is>
      </c>
      <c r="D677" s="114" t="n">
        <v>9173.620000000001</v>
      </c>
      <c r="E677" s="114" t="n">
        <v>0</v>
      </c>
      <c r="F677" s="114" t="n">
        <v>150130.05</v>
      </c>
      <c r="G677" s="114" t="inlineStr">
        <is>
          <t>HDFC Securities</t>
        </is>
      </c>
      <c r="H677" s="114" t="inlineStr">
        <is>
          <t>HDFC 5413</t>
        </is>
      </c>
    </row>
    <row r="678">
      <c r="A678" s="113" t="n">
        <v>45176</v>
      </c>
      <c r="B678" s="114" t="inlineStr">
        <is>
          <t>NET PI TO HSL SEC A/C 2554606-00602340029427</t>
        </is>
      </c>
      <c r="C678" s="114" t="inlineStr">
        <is>
          <t>0000000446516292</t>
        </is>
      </c>
      <c r="D678" s="114" t="n">
        <v>93.76000000000001</v>
      </c>
      <c r="E678" s="114" t="n">
        <v>0</v>
      </c>
      <c r="F678" s="114" t="n">
        <v>150036.29</v>
      </c>
      <c r="G678" s="114" t="inlineStr">
        <is>
          <t>HDFC Securities</t>
        </is>
      </c>
      <c r="H678" s="114" t="inlineStr">
        <is>
          <t>HDFC 5413</t>
        </is>
      </c>
    </row>
    <row r="679">
      <c r="A679" s="113" t="n">
        <v>45176</v>
      </c>
      <c r="B679" s="114" t="inlineStr">
        <is>
          <t>ACH C- INDIANENERGYEXCHAN-00000000000005</t>
        </is>
      </c>
      <c r="C679" s="114" t="inlineStr">
        <is>
          <t>0000007173635250</t>
        </is>
      </c>
      <c r="D679" s="114" t="n">
        <v>0</v>
      </c>
      <c r="E679" s="114" t="n">
        <v>100</v>
      </c>
      <c r="F679" s="114" t="n">
        <v>150136.29</v>
      </c>
      <c r="G679" s="114" t="inlineStr">
        <is>
          <t>Dividend Income</t>
        </is>
      </c>
      <c r="H679" s="114" t="inlineStr">
        <is>
          <t>HDFC 5413</t>
        </is>
      </c>
    </row>
    <row r="680">
      <c r="A680" s="113" t="n">
        <v>45176</v>
      </c>
      <c r="B680" s="114" t="inlineStr">
        <is>
          <t>00602300000434-023562798</t>
        </is>
      </c>
      <c r="C680" s="114" t="inlineStr">
        <is>
          <t>0000309078182222</t>
        </is>
      </c>
      <c r="D680" s="114" t="n">
        <v>0</v>
      </c>
      <c r="E680" s="114" t="n">
        <v>1880</v>
      </c>
      <c r="F680" s="114" t="n">
        <v>152016.29</v>
      </c>
      <c r="G680" s="114" t="inlineStr">
        <is>
          <t>Suspense</t>
        </is>
      </c>
      <c r="H680" s="114" t="inlineStr">
        <is>
          <t>HDFC 5413</t>
        </is>
      </c>
    </row>
    <row r="681">
      <c r="A681" s="113" t="n">
        <v>45177</v>
      </c>
      <c r="B681" s="114" t="inlineStr">
        <is>
          <t>NET PI TO HSL SEC A/C 2554606-00602340029427</t>
        </is>
      </c>
      <c r="C681" s="114" t="inlineStr">
        <is>
          <t>0000000446933380</t>
        </is>
      </c>
      <c r="D681" s="114" t="n">
        <v>93.76000000000001</v>
      </c>
      <c r="E681" s="114" t="n">
        <v>0</v>
      </c>
      <c r="F681" s="114" t="n">
        <v>152204.51</v>
      </c>
      <c r="G681" s="114" t="inlineStr">
        <is>
          <t>HDFC Securities</t>
        </is>
      </c>
      <c r="H681" s="114" t="inlineStr">
        <is>
          <t>HDFC 5413</t>
        </is>
      </c>
    </row>
    <row r="682">
      <c r="A682" s="113" t="n">
        <v>45177</v>
      </c>
      <c r="B682" s="114" t="inlineStr">
        <is>
          <t>NET PO FROM HSL A/C 2554606-50200085415108</t>
        </is>
      </c>
      <c r="C682" s="114" t="inlineStr">
        <is>
          <t>0000000446792665</t>
        </is>
      </c>
      <c r="D682" s="114" t="n">
        <v>0</v>
      </c>
      <c r="E682" s="114" t="n">
        <v>281.98</v>
      </c>
      <c r="F682" s="114" t="n">
        <v>152298.27</v>
      </c>
      <c r="G682" s="114" t="inlineStr">
        <is>
          <t>HDFC Securities</t>
        </is>
      </c>
      <c r="H682" s="114" t="inlineStr">
        <is>
          <t>HDFC 5413</t>
        </is>
      </c>
    </row>
    <row r="683">
      <c r="A683" s="113" t="n">
        <v>45180</v>
      </c>
      <c r="B683" s="114" t="inlineStr">
        <is>
          <t>NET PI TO HSL SEC A/C 2554606-00602340029427</t>
        </is>
      </c>
      <c r="C683" s="114" t="inlineStr">
        <is>
          <t>0000000447524535</t>
        </is>
      </c>
      <c r="D683" s="114" t="n">
        <v>32347.65</v>
      </c>
      <c r="E683" s="114" t="n">
        <v>0</v>
      </c>
      <c r="F683" s="114" t="n">
        <v>116440.18</v>
      </c>
      <c r="G683" s="114" t="inlineStr">
        <is>
          <t>HDFC Securities</t>
        </is>
      </c>
      <c r="H683" s="114" t="inlineStr">
        <is>
          <t>HDFC 5413</t>
        </is>
      </c>
    </row>
    <row r="684">
      <c r="A684" s="113" t="n">
        <v>45180</v>
      </c>
      <c r="B684" s="114" t="inlineStr">
        <is>
          <t>NET PI TO HSL SEC A/C 2554606-00602340029427</t>
        </is>
      </c>
      <c r="C684" s="114" t="inlineStr">
        <is>
          <t>0000000447598176</t>
        </is>
      </c>
      <c r="D684" s="114" t="n">
        <v>50678.87</v>
      </c>
      <c r="E684" s="114" t="n">
        <v>0</v>
      </c>
      <c r="F684" s="114" t="n">
        <v>65761.31</v>
      </c>
      <c r="G684" s="114" t="inlineStr">
        <is>
          <t>HDFC Securities</t>
        </is>
      </c>
      <c r="H684" s="114" t="inlineStr">
        <is>
          <t>HDFC 5413</t>
        </is>
      </c>
    </row>
    <row r="685">
      <c r="A685" s="113" t="n">
        <v>45180</v>
      </c>
      <c r="B685" s="114" t="inlineStr">
        <is>
          <t>ISAQMC-JAN-MAR23-417944 310723-MIR2425184892270</t>
        </is>
      </c>
      <c r="C685" s="114" t="inlineStr">
        <is>
          <t>MIR2425184892270</t>
        </is>
      </c>
      <c r="D685" s="114" t="n">
        <v>295</v>
      </c>
      <c r="E685" s="114" t="n">
        <v>0</v>
      </c>
      <c r="F685" s="114" t="n">
        <v>148787.83</v>
      </c>
      <c r="G685" s="114" t="inlineStr">
        <is>
          <t>Bank Charges</t>
        </is>
      </c>
      <c r="H685" s="114" t="inlineStr">
        <is>
          <t>HDFC 5413</t>
        </is>
      </c>
    </row>
    <row r="686">
      <c r="A686" s="113" t="n">
        <v>45180</v>
      </c>
      <c r="B686" s="114" t="inlineStr">
        <is>
          <t>NET PI TO HSL SEC A/C 2554606-00602340029427</t>
        </is>
      </c>
      <c r="C686" s="114" t="inlineStr">
        <is>
          <t>0000000447444530</t>
        </is>
      </c>
      <c r="D686" s="114" t="n">
        <v>281.7</v>
      </c>
      <c r="E686" s="114" t="n">
        <v>0</v>
      </c>
      <c r="F686" s="114" t="n">
        <v>149082.83</v>
      </c>
      <c r="G686" s="114" t="inlineStr">
        <is>
          <t>HDFC Securities</t>
        </is>
      </c>
      <c r="H686" s="114" t="inlineStr">
        <is>
          <t>HDFC 5413</t>
        </is>
      </c>
    </row>
    <row r="687">
      <c r="A687" s="113" t="n">
        <v>45180</v>
      </c>
      <c r="B687" s="114" t="inlineStr">
        <is>
          <t>NET PAYIN TO BSE MF A/C -57500000389146- FROM A/C -50100128155413- UCC -2554606-57500000389146</t>
        </is>
      </c>
      <c r="C687" s="114" t="inlineStr">
        <is>
          <t>0000000447314572</t>
        </is>
      </c>
      <c r="D687" s="114" t="n">
        <v>3000</v>
      </c>
      <c r="E687" s="114" t="n">
        <v>0</v>
      </c>
      <c r="F687" s="114" t="n">
        <v>149364.53</v>
      </c>
      <c r="G687" s="114" t="inlineStr">
        <is>
          <t>Investments</t>
        </is>
      </c>
      <c r="H687" s="114" t="inlineStr">
        <is>
          <t>HDFC 5413</t>
        </is>
      </c>
    </row>
    <row r="688">
      <c r="A688" s="113" t="n">
        <v>45180</v>
      </c>
      <c r="B688" s="114" t="inlineStr">
        <is>
          <t>NET PO FROM HSL A/C 2554606-50200085415108</t>
        </is>
      </c>
      <c r="C688" s="114" t="inlineStr">
        <is>
          <t>0000000447205575</t>
        </is>
      </c>
      <c r="D688" s="114" t="n">
        <v>0</v>
      </c>
      <c r="E688" s="114" t="n">
        <v>160.02</v>
      </c>
      <c r="F688" s="114" t="n">
        <v>152364.53</v>
      </c>
      <c r="G688" s="114" t="inlineStr">
        <is>
          <t>HDFC Securities</t>
        </is>
      </c>
      <c r="H688" s="114" t="inlineStr">
        <is>
          <t>HDFC 5413</t>
        </is>
      </c>
    </row>
    <row r="689">
      <c r="A689" s="113" t="n">
        <v>45181</v>
      </c>
      <c r="B689" s="114" t="inlineStr">
        <is>
          <t>NET PI TO HSL SEC A/C 2554606-00602340029427</t>
        </is>
      </c>
      <c r="C689" s="114" t="inlineStr">
        <is>
          <t>0000000447626853</t>
        </is>
      </c>
      <c r="D689" s="114" t="n">
        <v>56.49</v>
      </c>
      <c r="E689" s="114" t="n">
        <v>0</v>
      </c>
      <c r="F689" s="114" t="n">
        <v>65704.82000000001</v>
      </c>
      <c r="G689" s="114" t="inlineStr">
        <is>
          <t>HDFC Securities</t>
        </is>
      </c>
      <c r="H689" s="114" t="inlineStr">
        <is>
          <t>HDFC 5413</t>
        </is>
      </c>
    </row>
    <row r="690">
      <c r="A690" s="113" t="n">
        <v>45181</v>
      </c>
      <c r="B690" s="114" t="inlineStr">
        <is>
          <t>NET PI TO HSL SEC A/C 2554606-00602340029427</t>
        </is>
      </c>
      <c r="C690" s="114" t="inlineStr">
        <is>
          <t>0000000447888197</t>
        </is>
      </c>
      <c r="D690" s="114" t="n">
        <v>68.98999999999999</v>
      </c>
      <c r="E690" s="114" t="n">
        <v>0</v>
      </c>
      <c r="F690" s="114" t="n">
        <v>65635.83</v>
      </c>
      <c r="G690" s="114" t="inlineStr">
        <is>
          <t>HDFC Securities</t>
        </is>
      </c>
      <c r="H690" s="114" t="inlineStr">
        <is>
          <t>HDFC 5413</t>
        </is>
      </c>
    </row>
    <row r="691">
      <c r="A691" s="113" t="n">
        <v>45181</v>
      </c>
      <c r="B691" s="114" t="inlineStr">
        <is>
          <t>NET PI TO HSL SEC A/C 2554606-00602340029427</t>
        </is>
      </c>
      <c r="C691" s="114" t="inlineStr">
        <is>
          <t>0000000448011995</t>
        </is>
      </c>
      <c r="D691" s="114" t="n">
        <v>18742.47</v>
      </c>
      <c r="E691" s="114" t="n">
        <v>0</v>
      </c>
      <c r="F691" s="114" t="n">
        <v>46893.36</v>
      </c>
      <c r="G691" s="114" t="inlineStr">
        <is>
          <t>HDFC Securities</t>
        </is>
      </c>
      <c r="H691" s="114" t="inlineStr">
        <is>
          <t>HDFC 5413</t>
        </is>
      </c>
    </row>
    <row r="692">
      <c r="A692" s="113" t="n">
        <v>45181</v>
      </c>
      <c r="B692" s="114" t="inlineStr">
        <is>
          <t>NET PI TO HSL SEC A/C 2554606-00602340029427</t>
        </is>
      </c>
      <c r="C692" s="114" t="inlineStr">
        <is>
          <t>0000000448105318</t>
        </is>
      </c>
      <c r="D692" s="114" t="n">
        <v>8141.8</v>
      </c>
      <c r="E692" s="114" t="n">
        <v>0</v>
      </c>
      <c r="F692" s="114" t="n">
        <v>38751.56</v>
      </c>
      <c r="G692" s="114" t="inlineStr">
        <is>
          <t>HDFC Securities</t>
        </is>
      </c>
      <c r="H692" s="114" t="inlineStr">
        <is>
          <t>HDFC 5413</t>
        </is>
      </c>
    </row>
    <row r="693">
      <c r="A693" s="113" t="n">
        <v>45182</v>
      </c>
      <c r="B693" s="114" t="inlineStr">
        <is>
          <t>01671000085930-TPT-FROM AKG-AJAY KUMAR GUPTA</t>
        </is>
      </c>
      <c r="C693" s="114" t="inlineStr">
        <is>
          <t>0000000410810213</t>
        </is>
      </c>
      <c r="D693" s="114" t="n">
        <v>0</v>
      </c>
      <c r="E693" s="114" t="n">
        <v>200000</v>
      </c>
      <c r="F693" s="114" t="n">
        <v>238751.56</v>
      </c>
      <c r="G693" s="114" t="inlineStr">
        <is>
          <t>Ajay Gupta</t>
        </is>
      </c>
      <c r="H693" s="114" t="inlineStr">
        <is>
          <t>HDFC 5413</t>
        </is>
      </c>
    </row>
    <row r="694">
      <c r="A694" s="113" t="n">
        <v>45182</v>
      </c>
      <c r="B694" s="114" t="inlineStr">
        <is>
          <t>NET PI TO HSL SEC A/C 2554606-00602340029427</t>
        </is>
      </c>
      <c r="C694" s="114" t="inlineStr">
        <is>
          <t>0000000448384431</t>
        </is>
      </c>
      <c r="D694" s="114" t="n">
        <v>79.7</v>
      </c>
      <c r="E694" s="114" t="n">
        <v>0</v>
      </c>
      <c r="F694" s="114" t="n">
        <v>238671.86</v>
      </c>
      <c r="G694" s="114" t="inlineStr">
        <is>
          <t>HDFC Securities</t>
        </is>
      </c>
      <c r="H694" s="114" t="inlineStr">
        <is>
          <t>HDFC 5413</t>
        </is>
      </c>
    </row>
    <row r="695">
      <c r="A695" s="113" t="n">
        <v>45182</v>
      </c>
      <c r="B695" s="114" t="inlineStr">
        <is>
          <t>NET PI TO HSL SEC A/C 2554606-00602340029427</t>
        </is>
      </c>
      <c r="C695" s="114" t="inlineStr">
        <is>
          <t>0000000448514122</t>
        </is>
      </c>
      <c r="D695" s="114" t="n">
        <v>99405.5</v>
      </c>
      <c r="E695" s="114" t="n">
        <v>0</v>
      </c>
      <c r="F695" s="114" t="n">
        <v>139266.36</v>
      </c>
      <c r="G695" s="114" t="inlineStr">
        <is>
          <t>HDFC Securities</t>
        </is>
      </c>
      <c r="H695" s="114" t="inlineStr">
        <is>
          <t>HDFC 5413</t>
        </is>
      </c>
    </row>
    <row r="696">
      <c r="A696" s="113" t="n">
        <v>45183</v>
      </c>
      <c r="B696" s="114" t="inlineStr">
        <is>
          <t>NET PAYIN TO NSE MF A/C -00990610005906- FROM A/C -50100128155413- UCC -2554606-00990610005906</t>
        </is>
      </c>
      <c r="C696" s="114" t="inlineStr">
        <is>
          <t>0000000448712606</t>
        </is>
      </c>
      <c r="D696" s="114" t="n">
        <v>3000</v>
      </c>
      <c r="E696" s="114" t="n">
        <v>0</v>
      </c>
      <c r="F696" s="114" t="n">
        <v>136266.36</v>
      </c>
      <c r="G696" s="114" t="inlineStr">
        <is>
          <t>Investments</t>
        </is>
      </c>
      <c r="H696" s="114" t="inlineStr">
        <is>
          <t>HDFC 5413</t>
        </is>
      </c>
    </row>
    <row r="697">
      <c r="A697" s="113" t="n">
        <v>45183</v>
      </c>
      <c r="B697" s="114" t="inlineStr">
        <is>
          <t>NET PI TO HSL SEC A/C 2554606-00602340029427</t>
        </is>
      </c>
      <c r="C697" s="114" t="inlineStr">
        <is>
          <t>0000000448909899</t>
        </is>
      </c>
      <c r="D697" s="114" t="n">
        <v>338.47</v>
      </c>
      <c r="E697" s="114" t="n">
        <v>0</v>
      </c>
      <c r="F697" s="114" t="n">
        <v>135886.22</v>
      </c>
      <c r="G697" s="114" t="inlineStr">
        <is>
          <t>HDFC Securities</t>
        </is>
      </c>
      <c r="H697" s="114" t="inlineStr">
        <is>
          <t>HDFC 5413</t>
        </is>
      </c>
    </row>
    <row r="698">
      <c r="A698" s="113" t="n">
        <v>45183</v>
      </c>
      <c r="B698" s="114" t="inlineStr">
        <is>
          <t>NET PI TO HSL SEC A/C 2554606-00602340029427</t>
        </is>
      </c>
      <c r="C698" s="114" t="inlineStr">
        <is>
          <t>0000000448772252</t>
        </is>
      </c>
      <c r="D698" s="114" t="n">
        <v>41.67</v>
      </c>
      <c r="E698" s="114" t="n">
        <v>0</v>
      </c>
      <c r="F698" s="114" t="n">
        <v>136224.69</v>
      </c>
      <c r="G698" s="114" t="inlineStr">
        <is>
          <t>HDFC Securities</t>
        </is>
      </c>
      <c r="H698" s="114" t="inlineStr">
        <is>
          <t>HDFC 5413</t>
        </is>
      </c>
    </row>
    <row r="699">
      <c r="A699" s="113" t="n">
        <v>45184</v>
      </c>
      <c r="B699" s="114" t="inlineStr">
        <is>
          <t>NET PAYIN TO BSE MF A/C -57500000389146- FROM A/C -50100128155413- UCC -2554606-57500000389146</t>
        </is>
      </c>
      <c r="C699" s="114" t="inlineStr">
        <is>
          <t>0000000449097549</t>
        </is>
      </c>
      <c r="D699" s="114" t="n">
        <v>2500</v>
      </c>
      <c r="E699" s="114" t="n">
        <v>0</v>
      </c>
      <c r="F699" s="114" t="n">
        <v>133386.22</v>
      </c>
      <c r="G699" s="114" t="inlineStr">
        <is>
          <t>Investments</t>
        </is>
      </c>
      <c r="H699" s="114" t="inlineStr">
        <is>
          <t>HDFC 5413</t>
        </is>
      </c>
    </row>
    <row r="700">
      <c r="A700" s="113" t="n">
        <v>45185</v>
      </c>
      <c r="B700" s="114" t="inlineStr">
        <is>
          <t>UPIOUT/325984099503/aayush20gupta@oksbi/Se
nt/0000</t>
        </is>
      </c>
      <c r="C700" s="114" t="inlineStr"/>
      <c r="D700" s="114" t="n">
        <v>50</v>
      </c>
      <c r="E700" s="114" t="n">
        <v>0</v>
      </c>
      <c r="F700" s="114" t="n">
        <v>850.86</v>
      </c>
      <c r="G700" s="114" t="inlineStr">
        <is>
          <t>KOTAK 0333</t>
        </is>
      </c>
      <c r="H700" s="114" t="inlineStr">
        <is>
          <t>FEDERAL 0847</t>
        </is>
      </c>
    </row>
    <row r="701">
      <c r="A701" s="113" t="n">
        <v>45185</v>
      </c>
      <c r="B701" s="114" t="inlineStr">
        <is>
          <t>UPIOUT/325984092359/aayush20gupta@oksbi/Se
nt/0000</t>
        </is>
      </c>
      <c r="C701" s="114" t="inlineStr"/>
      <c r="D701" s="114" t="n">
        <v>50</v>
      </c>
      <c r="E701" s="114" t="n">
        <v>0</v>
      </c>
      <c r="F701" s="114" t="n">
        <v>900.86</v>
      </c>
      <c r="G701" s="114" t="inlineStr">
        <is>
          <t>KOTAK 0333</t>
        </is>
      </c>
      <c r="H701" s="114" t="inlineStr">
        <is>
          <t>FEDERAL 0847</t>
        </is>
      </c>
    </row>
    <row r="702">
      <c r="A702" s="113" t="n">
        <v>45185</v>
      </c>
      <c r="B702" s="114" t="inlineStr">
        <is>
          <t>UPIOUT/325984070086/aayush20gupta@oksbi/Se
nt/0000</t>
        </is>
      </c>
      <c r="C702" s="114" t="inlineStr"/>
      <c r="D702" s="114" t="n">
        <v>50</v>
      </c>
      <c r="E702" s="114" t="n">
        <v>0</v>
      </c>
      <c r="F702" s="114" t="n">
        <v>950.86</v>
      </c>
      <c r="G702" s="114" t="inlineStr">
        <is>
          <t>KOTAK 0333</t>
        </is>
      </c>
      <c r="H702" s="114" t="inlineStr">
        <is>
          <t>FEDERAL 0847</t>
        </is>
      </c>
    </row>
    <row r="703">
      <c r="A703" s="113" t="n">
        <v>45185</v>
      </c>
      <c r="B703" s="114" t="inlineStr">
        <is>
          <t>UPI IN/325984057818/9594435259@jupiteraxis
/A/0000</t>
        </is>
      </c>
      <c r="C703" s="114" t="inlineStr"/>
      <c r="D703" s="114" t="n">
        <v>0</v>
      </c>
      <c r="E703" s="114" t="n">
        <v>1000</v>
      </c>
      <c r="F703" s="114" t="n">
        <v>1000.86</v>
      </c>
      <c r="G703" s="114" t="inlineStr">
        <is>
          <t>KOTAK 0333</t>
        </is>
      </c>
      <c r="H703" s="114" t="inlineStr">
        <is>
          <t>FEDERAL 0847</t>
        </is>
      </c>
    </row>
    <row r="704">
      <c r="A704" s="113" t="n">
        <v>45185</v>
      </c>
      <c r="B704" s="114" t="inlineStr">
        <is>
          <t>UPIOUT/325984131514/aayush20gupta@oksbi/Se
nt/0000</t>
        </is>
      </c>
      <c r="C704" s="114" t="inlineStr"/>
      <c r="D704" s="114" t="n">
        <v>50</v>
      </c>
      <c r="E704" s="114" t="n">
        <v>0</v>
      </c>
      <c r="F704" s="114" t="n">
        <v>750.86</v>
      </c>
      <c r="G704" s="114" t="inlineStr">
        <is>
          <t>KOTAK 0333</t>
        </is>
      </c>
      <c r="H704" s="114" t="inlineStr">
        <is>
          <t>FEDERAL 0847</t>
        </is>
      </c>
    </row>
    <row r="705">
      <c r="A705" s="113" t="n">
        <v>45185</v>
      </c>
      <c r="B705" s="114" t="inlineStr">
        <is>
          <t>UPIOUT/325984177608/aayush20gupta@oksbi/Se
nt/0000</t>
        </is>
      </c>
      <c r="C705" s="114" t="inlineStr"/>
      <c r="D705" s="114" t="n">
        <v>50</v>
      </c>
      <c r="E705" s="114" t="n">
        <v>0</v>
      </c>
      <c r="F705" s="114" t="n">
        <v>550.86</v>
      </c>
      <c r="G705" s="114" t="inlineStr">
        <is>
          <t>KOTAK 0333</t>
        </is>
      </c>
      <c r="H705" s="114" t="inlineStr">
        <is>
          <t>FEDERAL 0847</t>
        </is>
      </c>
    </row>
    <row r="706">
      <c r="A706" s="113" t="n">
        <v>45185</v>
      </c>
      <c r="B706" s="114" t="inlineStr">
        <is>
          <t>UPIOUT/325984108755/aayush20gupta@oksbi/Se
nt/0000</t>
        </is>
      </c>
      <c r="C706" s="114" t="inlineStr"/>
      <c r="D706" s="114" t="n">
        <v>50</v>
      </c>
      <c r="E706" s="114" t="n">
        <v>0</v>
      </c>
      <c r="F706" s="114" t="n">
        <v>800.86</v>
      </c>
      <c r="G706" s="114" t="inlineStr">
        <is>
          <t>KOTAK 0333</t>
        </is>
      </c>
      <c r="H706" s="114" t="inlineStr">
        <is>
          <t>FEDERAL 0847</t>
        </is>
      </c>
    </row>
    <row r="707">
      <c r="A707" s="113" t="n">
        <v>45185</v>
      </c>
      <c r="B707" s="114" t="inlineStr">
        <is>
          <t>UPIOUT/325984156059/aayush20gupta@oksbi/Se
nt/0000</t>
        </is>
      </c>
      <c r="C707" s="114" t="inlineStr"/>
      <c r="D707" s="114" t="n">
        <v>50</v>
      </c>
      <c r="E707" s="114" t="n">
        <v>0</v>
      </c>
      <c r="F707" s="114" t="n">
        <v>600.86</v>
      </c>
      <c r="G707" s="114" t="inlineStr">
        <is>
          <t>KOTAK 0333</t>
        </is>
      </c>
      <c r="H707" s="114" t="inlineStr">
        <is>
          <t>FEDERAL 0847</t>
        </is>
      </c>
    </row>
    <row r="708">
      <c r="A708" s="113" t="n">
        <v>45185</v>
      </c>
      <c r="B708" s="114" t="inlineStr">
        <is>
          <t>UPIOUT/325984148205/aayush20gupta@oksbi/Se
nt/0000</t>
        </is>
      </c>
      <c r="C708" s="114" t="inlineStr"/>
      <c r="D708" s="114" t="n">
        <v>50</v>
      </c>
      <c r="E708" s="114" t="n">
        <v>0</v>
      </c>
      <c r="F708" s="114" t="n">
        <v>650.86</v>
      </c>
      <c r="G708" s="114" t="inlineStr">
        <is>
          <t>KOTAK 0333</t>
        </is>
      </c>
      <c r="H708" s="114" t="inlineStr">
        <is>
          <t>FEDERAL 0847</t>
        </is>
      </c>
    </row>
    <row r="709">
      <c r="A709" s="113" t="n">
        <v>45185</v>
      </c>
      <c r="B709" s="114" t="inlineStr">
        <is>
          <t>UPIOUT/325984141517/aayush20gupta@oksbi/Se
nt/0000</t>
        </is>
      </c>
      <c r="C709" s="114" t="inlineStr"/>
      <c r="D709" s="114" t="n">
        <v>50</v>
      </c>
      <c r="E709" s="114" t="n">
        <v>0</v>
      </c>
      <c r="F709" s="114" t="n">
        <v>700.86</v>
      </c>
      <c r="G709" s="114" t="inlineStr">
        <is>
          <t>KOTAK 0333</t>
        </is>
      </c>
      <c r="H709" s="114" t="inlineStr">
        <is>
          <t>FEDERAL 0847</t>
        </is>
      </c>
    </row>
    <row r="710">
      <c r="A710" s="113" t="n">
        <v>45185</v>
      </c>
      <c r="B710" s="114" t="inlineStr">
        <is>
          <t>UPIOUT/325983968688/aayush20gupta@oksbi/Se
nt/0000</t>
        </is>
      </c>
      <c r="C710" s="114" t="inlineStr"/>
      <c r="D710" s="114" t="n">
        <v>50</v>
      </c>
      <c r="E710" s="114" t="n">
        <v>0</v>
      </c>
      <c r="F710" s="114" t="n">
        <v>0.86</v>
      </c>
      <c r="G710" s="114" t="inlineStr">
        <is>
          <t>KOTAK 0333</t>
        </is>
      </c>
      <c r="H710" s="114" t="inlineStr">
        <is>
          <t>FEDERAL 0847</t>
        </is>
      </c>
    </row>
    <row r="711">
      <c r="A711" s="113" t="n">
        <v>45185</v>
      </c>
      <c r="B711" s="114" t="inlineStr">
        <is>
          <t>UPIOUT/325983946204/aayush20gupta@oksbi/Se
nt/0000</t>
        </is>
      </c>
      <c r="C711" s="114" t="inlineStr"/>
      <c r="D711" s="114" t="n">
        <v>50</v>
      </c>
      <c r="E711" s="114" t="n">
        <v>0</v>
      </c>
      <c r="F711" s="114" t="n">
        <v>50.86</v>
      </c>
      <c r="G711" s="114" t="inlineStr">
        <is>
          <t>KOTAK 0333</t>
        </is>
      </c>
      <c r="H711" s="114" t="inlineStr">
        <is>
          <t>FEDERAL 0847</t>
        </is>
      </c>
    </row>
    <row r="712">
      <c r="A712" s="113" t="n">
        <v>45185</v>
      </c>
      <c r="B712" s="114" t="inlineStr">
        <is>
          <t>UPIOUT/325984184014/aayush20gupta@oksbi/Se
nt/0000</t>
        </is>
      </c>
      <c r="C712" s="114" t="inlineStr"/>
      <c r="D712" s="114" t="n">
        <v>50</v>
      </c>
      <c r="E712" s="114" t="n">
        <v>0</v>
      </c>
      <c r="F712" s="114" t="n">
        <v>500.86</v>
      </c>
      <c r="G712" s="114" t="inlineStr">
        <is>
          <t>KOTAK 0333</t>
        </is>
      </c>
      <c r="H712" s="114" t="inlineStr">
        <is>
          <t>FEDERAL 0847</t>
        </is>
      </c>
    </row>
    <row r="713">
      <c r="A713" s="113" t="n">
        <v>45185</v>
      </c>
      <c r="B713" s="114" t="inlineStr">
        <is>
          <t>ATW-652166XXXXXX8920-S1ANMN04-NASHIK</t>
        </is>
      </c>
      <c r="C713" s="114" t="inlineStr">
        <is>
          <t>0000000000009912</t>
        </is>
      </c>
      <c r="D713" s="114" t="n">
        <v>500</v>
      </c>
      <c r="E713" s="114" t="n">
        <v>0</v>
      </c>
      <c r="F713" s="114" t="n">
        <v>132886.22</v>
      </c>
      <c r="G713" s="114" t="inlineStr">
        <is>
          <t>Cash</t>
        </is>
      </c>
      <c r="H713" s="114" t="inlineStr">
        <is>
          <t>HDFC 5413</t>
        </is>
      </c>
    </row>
    <row r="714">
      <c r="A714" s="113" t="n">
        <v>45185</v>
      </c>
      <c r="B714" s="114" t="inlineStr">
        <is>
          <t>UPIOUT/325984190985/aayush20gupta@oksbi/Se
nt/0000</t>
        </is>
      </c>
      <c r="C714" s="114" t="inlineStr"/>
      <c r="D714" s="114" t="n">
        <v>50</v>
      </c>
      <c r="E714" s="114" t="n">
        <v>0</v>
      </c>
      <c r="F714" s="114" t="n">
        <v>450.86</v>
      </c>
      <c r="G714" s="114" t="inlineStr">
        <is>
          <t>KOTAK 0333</t>
        </is>
      </c>
      <c r="H714" s="114" t="inlineStr">
        <is>
          <t>FEDERAL 0847</t>
        </is>
      </c>
    </row>
    <row r="715">
      <c r="A715" s="113" t="n">
        <v>45185</v>
      </c>
      <c r="B715" s="114" t="inlineStr">
        <is>
          <t>UPIOUT/325984197954/aayush20gupta@oksbi/Se
nt/0000</t>
        </is>
      </c>
      <c r="C715" s="114" t="inlineStr"/>
      <c r="D715" s="114" t="n">
        <v>50</v>
      </c>
      <c r="E715" s="114" t="n">
        <v>0</v>
      </c>
      <c r="F715" s="114" t="n">
        <v>400.86</v>
      </c>
      <c r="G715" s="114" t="inlineStr">
        <is>
          <t>KOTAK 0333</t>
        </is>
      </c>
      <c r="H715" s="114" t="inlineStr">
        <is>
          <t>FEDERAL 0847</t>
        </is>
      </c>
    </row>
    <row r="716">
      <c r="A716" s="113" t="n">
        <v>45185</v>
      </c>
      <c r="B716" s="114" t="inlineStr">
        <is>
          <t>UPIOUT/325984204616/aayush20gupta@oksbi/Se
nt/0000</t>
        </is>
      </c>
      <c r="C716" s="114" t="inlineStr"/>
      <c r="D716" s="114" t="n">
        <v>50</v>
      </c>
      <c r="E716" s="114" t="n">
        <v>0</v>
      </c>
      <c r="F716" s="114" t="n">
        <v>350.86</v>
      </c>
      <c r="G716" s="114" t="inlineStr">
        <is>
          <t>KOTAK 0333</t>
        </is>
      </c>
      <c r="H716" s="114" t="inlineStr">
        <is>
          <t>FEDERAL 0847</t>
        </is>
      </c>
    </row>
    <row r="717">
      <c r="A717" s="113" t="n">
        <v>45185</v>
      </c>
      <c r="B717" s="114" t="inlineStr">
        <is>
          <t>UPIOUT/325984246568/aayush20gupta@oksbi/Se
nt/0000</t>
        </is>
      </c>
      <c r="C717" s="114" t="inlineStr"/>
      <c r="D717" s="114" t="n">
        <v>50</v>
      </c>
      <c r="E717" s="114" t="n">
        <v>0</v>
      </c>
      <c r="F717" s="114" t="n">
        <v>300.86</v>
      </c>
      <c r="G717" s="114" t="inlineStr">
        <is>
          <t>KOTAK 0333</t>
        </is>
      </c>
      <c r="H717" s="114" t="inlineStr">
        <is>
          <t>FEDERAL 0847</t>
        </is>
      </c>
    </row>
    <row r="718">
      <c r="A718" s="113" t="n">
        <v>45185</v>
      </c>
      <c r="B718" s="114" t="inlineStr">
        <is>
          <t>UPI IN/325983918366/9594435259@jupiteraxis
/A/0000</t>
        </is>
      </c>
      <c r="C718" s="114" t="inlineStr"/>
      <c r="D718" s="114" t="n">
        <v>0</v>
      </c>
      <c r="E718" s="114" t="n">
        <v>100</v>
      </c>
      <c r="F718" s="114" t="n">
        <v>100.86</v>
      </c>
      <c r="G718" s="114" t="inlineStr">
        <is>
          <t>KOTAK 0333</t>
        </is>
      </c>
      <c r="H718" s="114" t="inlineStr">
        <is>
          <t>FEDERAL 0847</t>
        </is>
      </c>
    </row>
    <row r="719">
      <c r="A719" s="113" t="n">
        <v>45186</v>
      </c>
      <c r="B719" s="114" t="inlineStr">
        <is>
          <t>UPIOUT/326016087025/aayush20gupta@oksbi/Se
nt/0000</t>
        </is>
      </c>
      <c r="C719" s="114" t="inlineStr"/>
      <c r="D719" s="114" t="n">
        <v>50</v>
      </c>
      <c r="E719" s="114" t="n">
        <v>0</v>
      </c>
      <c r="F719" s="114" t="n">
        <v>250.86</v>
      </c>
      <c r="G719" s="114" t="inlineStr">
        <is>
          <t>KOTAK 0333</t>
        </is>
      </c>
      <c r="H719" s="114" t="inlineStr">
        <is>
          <t>FEDERAL 0847</t>
        </is>
      </c>
    </row>
    <row r="720">
      <c r="A720" s="113" t="n">
        <v>45187</v>
      </c>
      <c r="B720" s="114" t="inlineStr">
        <is>
          <t>NET PI TO HSL SEC A/C 2554606-00602340029427</t>
        </is>
      </c>
      <c r="C720" s="114" t="inlineStr">
        <is>
          <t>0000000449717053</t>
        </is>
      </c>
      <c r="D720" s="114" t="n">
        <v>15243.18</v>
      </c>
      <c r="E720" s="114" t="n">
        <v>0</v>
      </c>
      <c r="F720" s="114" t="n">
        <v>118034.67</v>
      </c>
      <c r="G720" s="114" t="inlineStr">
        <is>
          <t>HDFC Securities</t>
        </is>
      </c>
      <c r="H720" s="114" t="inlineStr">
        <is>
          <t>HDFC 5413</t>
        </is>
      </c>
    </row>
    <row r="721">
      <c r="A721" s="113" t="n">
        <v>45187</v>
      </c>
      <c r="B721" s="114" t="inlineStr">
        <is>
          <t>DEPOSITORY CHARGES AUG23 - 52812428</t>
        </is>
      </c>
      <c r="C721" s="114" t="inlineStr">
        <is>
          <t>000000000000000</t>
        </is>
      </c>
      <c r="D721" s="114" t="n">
        <v>224.2</v>
      </c>
      <c r="E721" s="114" t="n">
        <v>0</v>
      </c>
      <c r="F721" s="114" t="n">
        <v>133277.85</v>
      </c>
      <c r="G721" s="114" t="inlineStr">
        <is>
          <t>Depository Charges</t>
        </is>
      </c>
      <c r="H721" s="114" t="inlineStr">
        <is>
          <t>HDFC 5413</t>
        </is>
      </c>
    </row>
    <row r="722">
      <c r="A722" s="113" t="n">
        <v>45187</v>
      </c>
      <c r="B722" s="114" t="inlineStr">
        <is>
          <t>NET PO FROM HSL A/C 2554606-50200085415108</t>
        </is>
      </c>
      <c r="C722" s="114" t="inlineStr">
        <is>
          <t>0000000449382786</t>
        </is>
      </c>
      <c r="D722" s="114" t="n">
        <v>0</v>
      </c>
      <c r="E722" s="114" t="n">
        <v>751.91</v>
      </c>
      <c r="F722" s="114" t="n">
        <v>133638.13</v>
      </c>
      <c r="G722" s="114" t="inlineStr">
        <is>
          <t>HDFC Securities</t>
        </is>
      </c>
      <c r="H722" s="114" t="inlineStr">
        <is>
          <t>HDFC 5413</t>
        </is>
      </c>
    </row>
    <row r="723">
      <c r="A723" s="113" t="n">
        <v>45187</v>
      </c>
      <c r="B723" s="114" t="inlineStr">
        <is>
          <t>NET PI TO HSL SEC A/C 2554606-00602340029427</t>
        </is>
      </c>
      <c r="C723" s="114" t="inlineStr">
        <is>
          <t>0000000449573083</t>
        </is>
      </c>
      <c r="D723" s="114" t="n">
        <v>136.08</v>
      </c>
      <c r="E723" s="114" t="n">
        <v>0</v>
      </c>
      <c r="F723" s="114" t="n">
        <v>133502.05</v>
      </c>
      <c r="G723" s="114" t="inlineStr">
        <is>
          <t>HDFC Securities</t>
        </is>
      </c>
      <c r="H723" s="114" t="inlineStr">
        <is>
          <t>HDFC 5413</t>
        </is>
      </c>
    </row>
    <row r="724">
      <c r="A724" s="113" t="n">
        <v>45189</v>
      </c>
      <c r="B724" s="114" t="inlineStr">
        <is>
          <t>UPIOUT/326360819605/paytmqr2810050501019ut
hb/5411</t>
        </is>
      </c>
      <c r="C724" s="114" t="inlineStr"/>
      <c r="D724" s="114" t="n">
        <v>48</v>
      </c>
      <c r="E724" s="114" t="n">
        <v>0</v>
      </c>
      <c r="F724" s="114" t="n">
        <v>114.86</v>
      </c>
      <c r="G724" s="114" t="inlineStr">
        <is>
          <t>Personal</t>
        </is>
      </c>
      <c r="H724" s="114" t="inlineStr">
        <is>
          <t>FEDERAL 0847</t>
        </is>
      </c>
    </row>
    <row r="725">
      <c r="A725" s="113" t="n">
        <v>45189</v>
      </c>
      <c r="B725" s="114" t="inlineStr">
        <is>
          <t>UPIOUT/326360885479/Q233653707@ybl/Sent
via /5814</t>
        </is>
      </c>
      <c r="C725" s="114" t="inlineStr"/>
      <c r="D725" s="114" t="n">
        <v>30</v>
      </c>
      <c r="E725" s="114" t="n">
        <v>0</v>
      </c>
      <c r="F725" s="114" t="n">
        <v>84.86</v>
      </c>
      <c r="G725" s="114" t="inlineStr">
        <is>
          <t>Personal</t>
        </is>
      </c>
      <c r="H725" s="114" t="inlineStr">
        <is>
          <t>FEDERAL 0847</t>
        </is>
      </c>
    </row>
    <row r="726">
      <c r="A726" s="113" t="n">
        <v>45189</v>
      </c>
      <c r="B726" s="114" t="inlineStr">
        <is>
          <t>UPIOUT/326360743545/Q037540648@ybl/Sent
via /5912</t>
        </is>
      </c>
      <c r="C726" s="114" t="inlineStr"/>
      <c r="D726" s="114" t="n">
        <v>88</v>
      </c>
      <c r="E726" s="114" t="n">
        <v>0</v>
      </c>
      <c r="F726" s="114" t="n">
        <v>162.86</v>
      </c>
      <c r="G726" s="114" t="inlineStr">
        <is>
          <t>Personal</t>
        </is>
      </c>
      <c r="H726" s="114" t="inlineStr">
        <is>
          <t>FEDERAL 0847</t>
        </is>
      </c>
    </row>
    <row r="727">
      <c r="A727" s="113" t="n">
        <v>45189</v>
      </c>
      <c r="B727" s="114" t="inlineStr">
        <is>
          <t>NET PI TO HSL SEC A/C 2554606-00602340029427</t>
        </is>
      </c>
      <c r="C727" s="114" t="inlineStr">
        <is>
          <t>0000000450001205</t>
        </is>
      </c>
      <c r="D727" s="114" t="n">
        <v>76.42</v>
      </c>
      <c r="E727" s="114" t="n">
        <v>0</v>
      </c>
      <c r="F727" s="114" t="n">
        <v>125958.25</v>
      </c>
      <c r="G727" s="114" t="inlineStr">
        <is>
          <t>HDFC Securities</t>
        </is>
      </c>
      <c r="H727" s="114" t="inlineStr">
        <is>
          <t>HDFC 5413</t>
        </is>
      </c>
    </row>
    <row r="728">
      <c r="A728" s="113" t="n">
        <v>45189</v>
      </c>
      <c r="B728" s="114" t="inlineStr">
        <is>
          <t>NET PO FROM HSL A/C 2554606-50200085415108</t>
        </is>
      </c>
      <c r="C728" s="114" t="inlineStr">
        <is>
          <t>0000000449858140</t>
        </is>
      </c>
      <c r="D728" s="114" t="n">
        <v>0</v>
      </c>
      <c r="E728" s="114" t="n">
        <v>8000</v>
      </c>
      <c r="F728" s="114" t="n">
        <v>126034.67</v>
      </c>
      <c r="G728" s="114" t="inlineStr">
        <is>
          <t>HDFC Securities</t>
        </is>
      </c>
      <c r="H728" s="114" t="inlineStr">
        <is>
          <t>HDFC 5413</t>
        </is>
      </c>
    </row>
    <row r="729">
      <c r="A729" s="113" t="n">
        <v>45189</v>
      </c>
      <c r="B729" s="114" t="inlineStr">
        <is>
          <t>NET PI TO HSL SEC A/C 2554606-00602340029427</t>
        </is>
      </c>
      <c r="C729" s="114" t="inlineStr">
        <is>
          <t>0000000450116852</t>
        </is>
      </c>
      <c r="D729" s="114" t="n">
        <v>13410.04</v>
      </c>
      <c r="E729" s="114" t="n">
        <v>0</v>
      </c>
      <c r="F729" s="114" t="n">
        <v>112548.21</v>
      </c>
      <c r="G729" s="114" t="inlineStr">
        <is>
          <t>HDFC Securities</t>
        </is>
      </c>
      <c r="H729" s="114" t="inlineStr">
        <is>
          <t>HDFC 5413</t>
        </is>
      </c>
    </row>
    <row r="730">
      <c r="A730" s="113" t="n">
        <v>45189</v>
      </c>
      <c r="B730" s="114" t="inlineStr">
        <is>
          <t>NET PI TO HSL SEC A/C 2554606-00602340029427</t>
        </is>
      </c>
      <c r="C730" s="114" t="inlineStr">
        <is>
          <t>0000000450190827</t>
        </is>
      </c>
      <c r="D730" s="114" t="n">
        <v>9742.309999999999</v>
      </c>
      <c r="E730" s="114" t="n">
        <v>0</v>
      </c>
      <c r="F730" s="114" t="n">
        <v>102805.9</v>
      </c>
      <c r="G730" s="114" t="inlineStr">
        <is>
          <t>HDFC Securities</t>
        </is>
      </c>
      <c r="H730" s="114" t="inlineStr">
        <is>
          <t>HDFC 5413</t>
        </is>
      </c>
    </row>
    <row r="731">
      <c r="A731" s="113" t="n">
        <v>45190</v>
      </c>
      <c r="B731" s="114" t="inlineStr">
        <is>
          <t>NET PI TO HSL SEC A/C 2554606-00602340029427</t>
        </is>
      </c>
      <c r="C731" s="114" t="inlineStr">
        <is>
          <t>0000000450458070</t>
        </is>
      </c>
      <c r="D731" s="114" t="n">
        <v>57.69</v>
      </c>
      <c r="E731" s="114" t="n">
        <v>0</v>
      </c>
      <c r="F731" s="114" t="n">
        <v>102748.21</v>
      </c>
      <c r="G731" s="114" t="inlineStr">
        <is>
          <t>HDFC Securities</t>
        </is>
      </c>
      <c r="H731" s="114" t="inlineStr">
        <is>
          <t>HDFC 5413</t>
        </is>
      </c>
    </row>
    <row r="732">
      <c r="A732" s="113" t="n">
        <v>45190</v>
      </c>
      <c r="B732" s="114" t="inlineStr">
        <is>
          <t>NET PI TO HSL SEC A/C 2554606-00602340029427</t>
        </is>
      </c>
      <c r="C732" s="114" t="inlineStr">
        <is>
          <t>0000000450646400</t>
        </is>
      </c>
      <c r="D732" s="114" t="n">
        <v>10280.45</v>
      </c>
      <c r="E732" s="114" t="n">
        <v>0</v>
      </c>
      <c r="F732" s="114" t="n">
        <v>92467.75999999999</v>
      </c>
      <c r="G732" s="114" t="inlineStr">
        <is>
          <t>HDFC Securities</t>
        </is>
      </c>
      <c r="H732" s="114" t="inlineStr">
        <is>
          <t>HDFC 5413</t>
        </is>
      </c>
    </row>
    <row r="733">
      <c r="A733" s="113" t="n">
        <v>45190</v>
      </c>
      <c r="B733" s="114" t="inlineStr">
        <is>
          <t>01671000060094-TPT-FROM AAYUSH-SUNITA GUPTA</t>
        </is>
      </c>
      <c r="C733" s="114" t="inlineStr">
        <is>
          <t>0000000442259920</t>
        </is>
      </c>
      <c r="D733" s="114" t="n">
        <v>30000</v>
      </c>
      <c r="E733" s="114" t="n">
        <v>0</v>
      </c>
      <c r="F733" s="114" t="n">
        <v>62467.76</v>
      </c>
      <c r="G733" s="114" t="inlineStr">
        <is>
          <t>Sunita Gupta</t>
        </is>
      </c>
      <c r="H733" s="114" t="inlineStr">
        <is>
          <t>HDFC 5413</t>
        </is>
      </c>
    </row>
    <row r="734">
      <c r="A734" s="113" t="n">
        <v>45191</v>
      </c>
      <c r="B734" s="114" t="inlineStr">
        <is>
          <t>NET PI TO HSL SEC A/C 2554606-00602340029427</t>
        </is>
      </c>
      <c r="C734" s="114" t="inlineStr">
        <is>
          <t>0000000450879713</t>
        </is>
      </c>
      <c r="D734" s="114" t="n">
        <v>65.56999999999999</v>
      </c>
      <c r="E734" s="114" t="n">
        <v>0</v>
      </c>
      <c r="F734" s="114" t="n">
        <v>62402.19</v>
      </c>
      <c r="G734" s="114" t="inlineStr">
        <is>
          <t>HDFC Securities</t>
        </is>
      </c>
      <c r="H734" s="114" t="inlineStr">
        <is>
          <t>HDFC 5413</t>
        </is>
      </c>
    </row>
    <row r="735">
      <c r="A735" s="113" t="n">
        <v>45191</v>
      </c>
      <c r="B735" s="114" t="inlineStr">
        <is>
          <t>NET PI TO HSL SEC A/C 2554606-00602340029427</t>
        </is>
      </c>
      <c r="C735" s="114" t="inlineStr">
        <is>
          <t>0000000451052598</t>
        </is>
      </c>
      <c r="D735" s="114" t="n">
        <v>8145.09</v>
      </c>
      <c r="E735" s="114" t="n">
        <v>0</v>
      </c>
      <c r="F735" s="114" t="n">
        <v>54257.1</v>
      </c>
      <c r="G735" s="114" t="inlineStr">
        <is>
          <t>HDFC Securities</t>
        </is>
      </c>
      <c r="H735" s="114" t="inlineStr">
        <is>
          <t>HDFC 5413</t>
        </is>
      </c>
    </row>
    <row r="736">
      <c r="A736" s="113" t="n">
        <v>45194</v>
      </c>
      <c r="B736" s="114" t="inlineStr">
        <is>
          <t>NET PO FROM HSL A/C 2554606-50200085415108</t>
        </is>
      </c>
      <c r="C736" s="114" t="inlineStr">
        <is>
          <t>0000000451187549</t>
        </is>
      </c>
      <c r="D736" s="114" t="n">
        <v>0</v>
      </c>
      <c r="E736" s="114" t="n">
        <v>36925.73</v>
      </c>
      <c r="F736" s="114" t="n">
        <v>91182.83</v>
      </c>
      <c r="G736" s="114" t="inlineStr">
        <is>
          <t>HDFC Securities</t>
        </is>
      </c>
      <c r="H736" s="114" t="inlineStr">
        <is>
          <t>HDFC 5413</t>
        </is>
      </c>
    </row>
    <row r="737">
      <c r="A737" s="113" t="n">
        <v>45194</v>
      </c>
      <c r="B737" s="114" t="inlineStr">
        <is>
          <t>NET PAYIN TO BSE MF A/C -57500000389146- FROM A/C -50100128155413- UCC -2554606-57500000389146</t>
        </is>
      </c>
      <c r="C737" s="114" t="inlineStr">
        <is>
          <t>0000000451250593</t>
        </is>
      </c>
      <c r="D737" s="114" t="n">
        <v>2500</v>
      </c>
      <c r="E737" s="114" t="n">
        <v>0</v>
      </c>
      <c r="F737" s="114" t="n">
        <v>88682.83</v>
      </c>
      <c r="G737" s="114" t="inlineStr">
        <is>
          <t>Investments</t>
        </is>
      </c>
      <c r="H737" s="114" t="inlineStr">
        <is>
          <t>HDFC 5413</t>
        </is>
      </c>
    </row>
    <row r="738">
      <c r="A738" s="113" t="n">
        <v>45194</v>
      </c>
      <c r="B738" s="114" t="inlineStr">
        <is>
          <t>NET PI TO HSL SEC A/C 2554606-00602340029427</t>
        </is>
      </c>
      <c r="C738" s="114" t="inlineStr">
        <is>
          <t>0000000451329829</t>
        </is>
      </c>
      <c r="D738" s="114" t="n">
        <v>222.63</v>
      </c>
      <c r="E738" s="114" t="n">
        <v>0</v>
      </c>
      <c r="F738" s="114" t="n">
        <v>88460.2</v>
      </c>
      <c r="G738" s="114" t="inlineStr">
        <is>
          <t>HDFC Securities</t>
        </is>
      </c>
      <c r="H738" s="114" t="inlineStr">
        <is>
          <t>HDFC 5413</t>
        </is>
      </c>
    </row>
    <row r="739">
      <c r="A739" s="113" t="n">
        <v>45194</v>
      </c>
      <c r="B739" s="114" t="inlineStr">
        <is>
          <t>NET PI TO HSL SEC A/C 2554606-00602340029427</t>
        </is>
      </c>
      <c r="C739" s="114" t="inlineStr">
        <is>
          <t>0000000451498485</t>
        </is>
      </c>
      <c r="D739" s="114" t="n">
        <v>240.57</v>
      </c>
      <c r="E739" s="114" t="n">
        <v>0</v>
      </c>
      <c r="F739" s="114" t="n">
        <v>88219.63</v>
      </c>
      <c r="G739" s="114" t="inlineStr">
        <is>
          <t>HDFC Securities</t>
        </is>
      </c>
      <c r="H739" s="114" t="inlineStr">
        <is>
          <t>HDFC 5413</t>
        </is>
      </c>
    </row>
    <row r="740">
      <c r="A740" s="113" t="n">
        <v>45195</v>
      </c>
      <c r="B740" s="114" t="inlineStr">
        <is>
          <t>NET PI TO HSL SEC A/C 2554606-00602340029427</t>
        </is>
      </c>
      <c r="C740" s="114" t="inlineStr">
        <is>
          <t>0000000451736852</t>
        </is>
      </c>
      <c r="D740" s="114" t="n">
        <v>85.62</v>
      </c>
      <c r="E740" s="114" t="n">
        <v>0</v>
      </c>
      <c r="F740" s="114" t="n">
        <v>88134.00999999999</v>
      </c>
      <c r="G740" s="114" t="inlineStr">
        <is>
          <t>HDFC Securities</t>
        </is>
      </c>
      <c r="H740" s="114" t="inlineStr">
        <is>
          <t>HDFC 5413</t>
        </is>
      </c>
    </row>
    <row r="741">
      <c r="A741" s="113" t="n">
        <v>45196</v>
      </c>
      <c r="B741" s="114" t="inlineStr">
        <is>
          <t>NET PI TO HSL SEC A/C 2554606-00602340029427</t>
        </is>
      </c>
      <c r="C741" s="114" t="inlineStr">
        <is>
          <t>0000000452123977</t>
        </is>
      </c>
      <c r="D741" s="114" t="n">
        <v>85.62</v>
      </c>
      <c r="E741" s="114" t="n">
        <v>0</v>
      </c>
      <c r="F741" s="114" t="n">
        <v>103840.04</v>
      </c>
      <c r="G741" s="114" t="inlineStr">
        <is>
          <t>HDFC Securities</t>
        </is>
      </c>
      <c r="H741" s="114" t="inlineStr">
        <is>
          <t>HDFC 5413</t>
        </is>
      </c>
    </row>
    <row r="742">
      <c r="A742" s="113" t="n">
        <v>45196</v>
      </c>
      <c r="B742" s="114" t="inlineStr">
        <is>
          <t>YHDF2090683091/BILLDKINDIANCLEARING</t>
        </is>
      </c>
      <c r="C742" s="114" t="inlineStr">
        <is>
          <t>0002327028554507</t>
        </is>
      </c>
      <c r="D742" s="114" t="n">
        <v>10000</v>
      </c>
      <c r="E742" s="114" t="n">
        <v>0</v>
      </c>
      <c r="F742" s="114" t="n">
        <v>93840.03999999999</v>
      </c>
      <c r="G742" s="114" t="inlineStr">
        <is>
          <t>SIP</t>
        </is>
      </c>
      <c r="H742" s="114" t="inlineStr">
        <is>
          <t>HDFC 5413</t>
        </is>
      </c>
    </row>
    <row r="743">
      <c r="A743" s="113" t="n">
        <v>45196</v>
      </c>
      <c r="B743" s="114" t="inlineStr">
        <is>
          <t>NET PO FROM HSL A/C 2554606-50200085415108</t>
        </is>
      </c>
      <c r="C743" s="114" t="inlineStr">
        <is>
          <t>0000000451997133</t>
        </is>
      </c>
      <c r="D743" s="114" t="n">
        <v>0</v>
      </c>
      <c r="E743" s="114" t="n">
        <v>15791.65</v>
      </c>
      <c r="F743" s="114" t="n">
        <v>103925.66</v>
      </c>
      <c r="G743" s="114" t="inlineStr">
        <is>
          <t>HDFC Securities</t>
        </is>
      </c>
      <c r="H743" s="114" t="inlineStr">
        <is>
          <t>HDFC 5413</t>
        </is>
      </c>
    </row>
    <row r="744">
      <c r="A744" s="113" t="n">
        <v>45197</v>
      </c>
      <c r="B744" s="114" t="inlineStr">
        <is>
          <t>NET PI TO HSL SEC A/C 2554606-00602340029427</t>
        </is>
      </c>
      <c r="C744" s="114" t="inlineStr">
        <is>
          <t>0000000452610921</t>
        </is>
      </c>
      <c r="D744" s="114" t="n">
        <v>5105.12</v>
      </c>
      <c r="E744" s="114" t="n">
        <v>0</v>
      </c>
      <c r="F744" s="114" t="n">
        <v>100189.01</v>
      </c>
      <c r="G744" s="114" t="inlineStr">
        <is>
          <t>HDFC Securities</t>
        </is>
      </c>
      <c r="H744" s="114" t="inlineStr">
        <is>
          <t>HDFC 5413</t>
        </is>
      </c>
    </row>
    <row r="745">
      <c r="A745" s="113" t="n">
        <v>45197</v>
      </c>
      <c r="B745" s="114" t="inlineStr">
        <is>
          <t>NET PI TO HSL SEC A/C 2554606-00602340029427</t>
        </is>
      </c>
      <c r="C745" s="114" t="inlineStr">
        <is>
          <t>0000000452536820</t>
        </is>
      </c>
      <c r="D745" s="114" t="n">
        <v>71.40000000000001</v>
      </c>
      <c r="E745" s="114" t="n">
        <v>0</v>
      </c>
      <c r="F745" s="114" t="n">
        <v>105294.13</v>
      </c>
      <c r="G745" s="114" t="inlineStr">
        <is>
          <t>HDFC Securities</t>
        </is>
      </c>
      <c r="H745" s="114" t="inlineStr">
        <is>
          <t>HDFC 5413</t>
        </is>
      </c>
    </row>
    <row r="746">
      <c r="A746" s="113" t="n">
        <v>45197</v>
      </c>
      <c r="B746" s="114" t="inlineStr">
        <is>
          <t>NET PO FROM HSL A/C 2554606-50200085415108</t>
        </is>
      </c>
      <c r="C746" s="114" t="inlineStr">
        <is>
          <t>0000000452409342</t>
        </is>
      </c>
      <c r="D746" s="114" t="n">
        <v>0</v>
      </c>
      <c r="E746" s="114" t="n">
        <v>11623.62</v>
      </c>
      <c r="F746" s="114" t="n">
        <v>105365.53</v>
      </c>
      <c r="G746" s="114" t="inlineStr">
        <is>
          <t>HDFC Securities</t>
        </is>
      </c>
      <c r="H746" s="114" t="inlineStr">
        <is>
          <t>HDFC 5413</t>
        </is>
      </c>
    </row>
    <row r="747">
      <c r="A747" s="113" t="n">
        <v>45197</v>
      </c>
      <c r="B747" s="114" t="inlineStr">
        <is>
          <t>NET PI TO HSL SEC A/C 2554606-00602340029427</t>
        </is>
      </c>
      <c r="C747" s="114" t="inlineStr">
        <is>
          <t>0000000452258424</t>
        </is>
      </c>
      <c r="D747" s="114" t="n">
        <v>98.13</v>
      </c>
      <c r="E747" s="114" t="n">
        <v>0</v>
      </c>
      <c r="F747" s="114" t="n">
        <v>93741.91</v>
      </c>
      <c r="G747" s="114" t="inlineStr">
        <is>
          <t>HDFC Securities</t>
        </is>
      </c>
      <c r="H747" s="114" t="inlineStr">
        <is>
          <t>HDFC 5413</t>
        </is>
      </c>
    </row>
    <row r="748">
      <c r="A748" s="113" t="n">
        <v>45198</v>
      </c>
      <c r="B748" s="114" t="inlineStr">
        <is>
          <t>GARWARE TEC DIV22 2300000000000000007972</t>
        </is>
      </c>
      <c r="C748" s="114" t="inlineStr">
        <is>
          <t>0000232714176900</t>
        </is>
      </c>
      <c r="D748" s="114" t="n">
        <v>0</v>
      </c>
      <c r="E748" s="114" t="n">
        <v>186</v>
      </c>
      <c r="F748" s="114" t="n">
        <v>74343.64</v>
      </c>
      <c r="G748" s="114" t="inlineStr">
        <is>
          <t>Dividend Income</t>
        </is>
      </c>
      <c r="H748" s="114" t="inlineStr">
        <is>
          <t>HDFC 5413</t>
        </is>
      </c>
    </row>
    <row r="749">
      <c r="A749" s="113" t="n">
        <v>45198</v>
      </c>
      <c r="B749" s="114" t="inlineStr">
        <is>
          <t>NET PI TO HSL SEC A/C 2554606-00602340029427</t>
        </is>
      </c>
      <c r="C749" s="114" t="inlineStr">
        <is>
          <t>0000000452866921</t>
        </is>
      </c>
      <c r="D749" s="114" t="n">
        <v>65.98999999999999</v>
      </c>
      <c r="E749" s="114" t="n">
        <v>0</v>
      </c>
      <c r="F749" s="114" t="n">
        <v>74157.64</v>
      </c>
      <c r="G749" s="114" t="inlineStr">
        <is>
          <t>HDFC Securities</t>
        </is>
      </c>
      <c r="H749" s="114" t="inlineStr">
        <is>
          <t>HDFC 5413</t>
        </is>
      </c>
    </row>
    <row r="750">
      <c r="A750" s="113" t="n">
        <v>45198</v>
      </c>
      <c r="B750" s="114" t="inlineStr">
        <is>
          <t>JSINFRA/2400024055226136-50200036338720</t>
        </is>
      </c>
      <c r="C750" s="114" t="inlineStr">
        <is>
          <t>0000000406925147</t>
        </is>
      </c>
      <c r="D750" s="114" t="n">
        <v>14994</v>
      </c>
      <c r="E750" s="114" t="n">
        <v>0</v>
      </c>
      <c r="F750" s="114" t="n">
        <v>74223.63</v>
      </c>
      <c r="G750" s="114" t="inlineStr">
        <is>
          <t>IPO</t>
        </is>
      </c>
      <c r="H750" s="114" t="inlineStr">
        <is>
          <t>HDFC 5413</t>
        </is>
      </c>
    </row>
    <row r="751">
      <c r="A751" s="113" t="n">
        <v>45198</v>
      </c>
      <c r="B751" s="114" t="inlineStr">
        <is>
          <t>NET PI TO HSL SEC A/C 2554606-00602340029427</t>
        </is>
      </c>
      <c r="C751" s="114" t="inlineStr">
        <is>
          <t>0000000452686340</t>
        </is>
      </c>
      <c r="D751" s="114" t="n">
        <v>10971.38</v>
      </c>
      <c r="E751" s="114" t="n">
        <v>0</v>
      </c>
      <c r="F751" s="114" t="n">
        <v>89217.63</v>
      </c>
      <c r="G751" s="114" t="inlineStr">
        <is>
          <t>HDFC Securities</t>
        </is>
      </c>
      <c r="H751" s="114" t="inlineStr">
        <is>
          <t>HDFC 5413</t>
        </is>
      </c>
    </row>
    <row r="752">
      <c r="A752" s="113" t="n">
        <v>45199</v>
      </c>
      <c r="B752" s="114" t="inlineStr">
        <is>
          <t>UPIOUT/327347997687/aayush20gupta@oksbi/Se
nt/0000</t>
        </is>
      </c>
      <c r="C752" s="114" t="inlineStr"/>
      <c r="D752" s="114" t="n">
        <v>50</v>
      </c>
      <c r="E752" s="114" t="n">
        <v>0</v>
      </c>
      <c r="F752" s="114" t="n">
        <v>884.86</v>
      </c>
      <c r="G752" s="114" t="inlineStr">
        <is>
          <t>KOTAK 0333</t>
        </is>
      </c>
      <c r="H752" s="114" t="inlineStr">
        <is>
          <t>FEDERAL 0847</t>
        </is>
      </c>
    </row>
    <row r="753">
      <c r="A753" s="113" t="n">
        <v>45199</v>
      </c>
      <c r="B753" s="114" t="inlineStr">
        <is>
          <t>UPIOUT/327348027549/aayush20gupta@oksbi/Se
nt/0000</t>
        </is>
      </c>
      <c r="C753" s="114" t="inlineStr"/>
      <c r="D753" s="114" t="n">
        <v>50</v>
      </c>
      <c r="E753" s="114" t="n">
        <v>0</v>
      </c>
      <c r="F753" s="114" t="n">
        <v>634.86</v>
      </c>
      <c r="G753" s="114" t="inlineStr">
        <is>
          <t>KOTAK 0333</t>
        </is>
      </c>
      <c r="H753" s="114" t="inlineStr">
        <is>
          <t>FEDERAL 0847</t>
        </is>
      </c>
    </row>
    <row r="754">
      <c r="A754" s="113" t="n">
        <v>45199</v>
      </c>
      <c r="B754" s="114" t="inlineStr">
        <is>
          <t>UPIOUT/327348037249/aayush20gupta@oksbi/Se
nt/0000</t>
        </is>
      </c>
      <c r="C754" s="114" t="inlineStr"/>
      <c r="D754" s="114" t="n">
        <v>50</v>
      </c>
      <c r="E754" s="114" t="n">
        <v>0</v>
      </c>
      <c r="F754" s="114" t="n">
        <v>584.86</v>
      </c>
      <c r="G754" s="114" t="inlineStr">
        <is>
          <t>KOTAK 0333</t>
        </is>
      </c>
      <c r="H754" s="114" t="inlineStr">
        <is>
          <t>FEDERAL 0847</t>
        </is>
      </c>
    </row>
    <row r="755">
      <c r="A755" s="113" t="n">
        <v>45199</v>
      </c>
      <c r="B755" s="114" t="inlineStr">
        <is>
          <t>UPIOUT/327348040791/aayush20gupta@oksbi/Se
nt/0000</t>
        </is>
      </c>
      <c r="C755" s="114" t="inlineStr"/>
      <c r="D755" s="114" t="n">
        <v>50</v>
      </c>
      <c r="E755" s="114" t="n">
        <v>0</v>
      </c>
      <c r="F755" s="114" t="n">
        <v>534.86</v>
      </c>
      <c r="G755" s="114" t="inlineStr">
        <is>
          <t>KOTAK 0333</t>
        </is>
      </c>
      <c r="H755" s="114" t="inlineStr">
        <is>
          <t>FEDERAL 0847</t>
        </is>
      </c>
    </row>
    <row r="756">
      <c r="A756" s="113" t="n">
        <v>45199</v>
      </c>
      <c r="B756" s="114" t="inlineStr">
        <is>
          <t>UPIOUT/327348053384/aayush20gupta@oksbi/Se
nt/0000</t>
        </is>
      </c>
      <c r="C756" s="114" t="inlineStr"/>
      <c r="D756" s="114" t="n">
        <v>50</v>
      </c>
      <c r="E756" s="114" t="n">
        <v>0</v>
      </c>
      <c r="F756" s="114" t="n">
        <v>384.86</v>
      </c>
      <c r="G756" s="114" t="inlineStr">
        <is>
          <t>KOTAK 0333</t>
        </is>
      </c>
      <c r="H756" s="114" t="inlineStr">
        <is>
          <t>FEDERAL 0847</t>
        </is>
      </c>
    </row>
    <row r="757">
      <c r="A757" s="113" t="n">
        <v>45199</v>
      </c>
      <c r="B757" s="114" t="inlineStr">
        <is>
          <t>UPIOUT/327348049059/aayush20gupta@oksbi/Se
nt/0000</t>
        </is>
      </c>
      <c r="C757" s="114" t="inlineStr"/>
      <c r="D757" s="114" t="n">
        <v>50</v>
      </c>
      <c r="E757" s="114" t="n">
        <v>0</v>
      </c>
      <c r="F757" s="114" t="n">
        <v>434.86</v>
      </c>
      <c r="G757" s="114" t="inlineStr">
        <is>
          <t>KOTAK 0333</t>
        </is>
      </c>
      <c r="H757" s="114" t="inlineStr">
        <is>
          <t>FEDERAL 0847</t>
        </is>
      </c>
    </row>
    <row r="758">
      <c r="A758" s="113" t="n">
        <v>45199</v>
      </c>
      <c r="B758" s="114" t="inlineStr">
        <is>
          <t>UPIOUT/327348022692/aayush20gupta@oksbi/Se
nt/0000</t>
        </is>
      </c>
      <c r="C758" s="114" t="inlineStr"/>
      <c r="D758" s="114" t="n">
        <v>50</v>
      </c>
      <c r="E758" s="114" t="n">
        <v>0</v>
      </c>
      <c r="F758" s="114" t="n">
        <v>684.86</v>
      </c>
      <c r="G758" s="114" t="inlineStr">
        <is>
          <t>KOTAK 0333</t>
        </is>
      </c>
      <c r="H758" s="114" t="inlineStr">
        <is>
          <t>FEDERAL 0847</t>
        </is>
      </c>
    </row>
    <row r="759">
      <c r="A759" s="113" t="n">
        <v>45199</v>
      </c>
      <c r="B759" s="114" t="inlineStr">
        <is>
          <t>UPIOUT/327348057342/aayush20gupta@oksbi/Se
nt/0000</t>
        </is>
      </c>
      <c r="C759" s="114" t="inlineStr"/>
      <c r="D759" s="114" t="n">
        <v>50</v>
      </c>
      <c r="E759" s="114" t="n">
        <v>0</v>
      </c>
      <c r="F759" s="114" t="n">
        <v>334.86</v>
      </c>
      <c r="G759" s="114" t="inlineStr">
        <is>
          <t>KOTAK 0333</t>
        </is>
      </c>
      <c r="H759" s="114" t="inlineStr">
        <is>
          <t>FEDERAL 0847</t>
        </is>
      </c>
    </row>
    <row r="760">
      <c r="A760" s="113" t="n">
        <v>45199</v>
      </c>
      <c r="B760" s="114" t="inlineStr">
        <is>
          <t>UPIOUT/327348061477/aayush20gupta@oksbi/Se
nt/0000</t>
        </is>
      </c>
      <c r="C760" s="114" t="inlineStr"/>
      <c r="D760" s="114" t="n">
        <v>50</v>
      </c>
      <c r="E760" s="114" t="n">
        <v>0</v>
      </c>
      <c r="F760" s="114" t="n">
        <v>284.86</v>
      </c>
      <c r="G760" s="114" t="inlineStr">
        <is>
          <t>KOTAK 0333</t>
        </is>
      </c>
      <c r="H760" s="114" t="inlineStr">
        <is>
          <t>FEDERAL 0847</t>
        </is>
      </c>
    </row>
    <row r="761">
      <c r="A761" s="113" t="n">
        <v>45199</v>
      </c>
      <c r="B761" s="114" t="inlineStr">
        <is>
          <t>UPIOUT/327348044976/aayush20gupta@oksbi/Se
nt/0000</t>
        </is>
      </c>
      <c r="C761" s="114" t="inlineStr"/>
      <c r="D761" s="114" t="n">
        <v>50</v>
      </c>
      <c r="E761" s="114" t="n">
        <v>0</v>
      </c>
      <c r="F761" s="114" t="n">
        <v>484.86</v>
      </c>
      <c r="G761" s="114" t="inlineStr">
        <is>
          <t>KOTAK 0333</t>
        </is>
      </c>
      <c r="H761" s="114" t="inlineStr">
        <is>
          <t>FEDERAL 0847</t>
        </is>
      </c>
    </row>
    <row r="762">
      <c r="A762" s="113" t="n">
        <v>45199</v>
      </c>
      <c r="B762" s="114" t="inlineStr">
        <is>
          <t>UPIOUT/327348017047/aayush20gupta@oksbi/Se
nt/0000</t>
        </is>
      </c>
      <c r="C762" s="114" t="inlineStr"/>
      <c r="D762" s="114" t="n">
        <v>50</v>
      </c>
      <c r="E762" s="114" t="n">
        <v>0</v>
      </c>
      <c r="F762" s="114" t="n">
        <v>734.86</v>
      </c>
      <c r="G762" s="114" t="inlineStr">
        <is>
          <t>KOTAK 0333</t>
        </is>
      </c>
      <c r="H762" s="114" t="inlineStr">
        <is>
          <t>FEDERAL 0847</t>
        </is>
      </c>
    </row>
    <row r="763">
      <c r="A763" s="113" t="n">
        <v>45199</v>
      </c>
      <c r="B763" s="114" t="inlineStr">
        <is>
          <t>UPIOUT/327347985091/aayush20gupta@oksbi/Se
nt/0000</t>
        </is>
      </c>
      <c r="C763" s="114" t="inlineStr"/>
      <c r="D763" s="114" t="n">
        <v>50</v>
      </c>
      <c r="E763" s="114" t="n">
        <v>0</v>
      </c>
      <c r="F763" s="114" t="n">
        <v>984.86</v>
      </c>
      <c r="G763" s="114" t="inlineStr">
        <is>
          <t>KOTAK 0333</t>
        </is>
      </c>
      <c r="H763" s="114" t="inlineStr">
        <is>
          <t>FEDERAL 0847</t>
        </is>
      </c>
    </row>
    <row r="764">
      <c r="A764" s="113" t="n">
        <v>45199</v>
      </c>
      <c r="B764" s="114" t="inlineStr">
        <is>
          <t>UPIOUT/327348005114/aayush20gupta@oksbi/Se
nt/0000</t>
        </is>
      </c>
      <c r="C764" s="114" t="inlineStr"/>
      <c r="D764" s="114" t="n">
        <v>50</v>
      </c>
      <c r="E764" s="114" t="n">
        <v>0</v>
      </c>
      <c r="F764" s="114" t="n">
        <v>834.86</v>
      </c>
      <c r="G764" s="114" t="inlineStr">
        <is>
          <t>KOTAK 0333</t>
        </is>
      </c>
      <c r="H764" s="114" t="inlineStr">
        <is>
          <t>FEDERAL 0847</t>
        </is>
      </c>
    </row>
    <row r="765">
      <c r="A765" s="113" t="n">
        <v>45199</v>
      </c>
      <c r="B765" s="114" t="inlineStr">
        <is>
          <t>UPIOUT/327347989422/aayush20gupta@oksbi/Se
nt/0000</t>
        </is>
      </c>
      <c r="C765" s="114" t="inlineStr"/>
      <c r="D765" s="114" t="n">
        <v>50</v>
      </c>
      <c r="E765" s="114" t="n">
        <v>0</v>
      </c>
      <c r="F765" s="114" t="n">
        <v>934.86</v>
      </c>
      <c r="G765" s="114" t="inlineStr">
        <is>
          <t>KOTAK 0333</t>
        </is>
      </c>
      <c r="H765" s="114" t="inlineStr">
        <is>
          <t>FEDERAL 0847</t>
        </is>
      </c>
    </row>
    <row r="766">
      <c r="A766" s="113" t="n">
        <v>45199</v>
      </c>
      <c r="B766" s="114" t="inlineStr">
        <is>
          <t>UPIOUT/327348078195/aayush20gupta@oksbi/Se
nt/0000</t>
        </is>
      </c>
      <c r="C766" s="114" t="inlineStr"/>
      <c r="D766" s="114" t="n">
        <v>50</v>
      </c>
      <c r="E766" s="114" t="n">
        <v>0</v>
      </c>
      <c r="F766" s="114" t="n">
        <v>234.86</v>
      </c>
      <c r="G766" s="114" t="inlineStr">
        <is>
          <t>KOTAK 0333</t>
        </is>
      </c>
      <c r="H766" s="114" t="inlineStr">
        <is>
          <t>FEDERAL 0847</t>
        </is>
      </c>
    </row>
    <row r="767">
      <c r="A767" s="113" t="n">
        <v>45199</v>
      </c>
      <c r="B767" s="114" t="inlineStr">
        <is>
          <t>UPI IN/327347976871/9594435259@jupiteraxis
/A/0000</t>
        </is>
      </c>
      <c r="C767" s="114" t="inlineStr"/>
      <c r="D767" s="114" t="n">
        <v>0</v>
      </c>
      <c r="E767" s="114" t="n">
        <v>1000</v>
      </c>
      <c r="F767" s="114" t="n">
        <v>1034.86</v>
      </c>
      <c r="G767" s="114" t="inlineStr">
        <is>
          <t>KOTAK 0333</t>
        </is>
      </c>
      <c r="H767" s="114" t="inlineStr">
        <is>
          <t>FEDERAL 0847</t>
        </is>
      </c>
    </row>
    <row r="768">
      <c r="A768" s="113" t="n">
        <v>45199</v>
      </c>
      <c r="B768" s="114" t="inlineStr">
        <is>
          <t>UPIOUT/327347525145/aayush20gupta@oksbi/Se
nt/0000</t>
        </is>
      </c>
      <c r="C768" s="114" t="inlineStr"/>
      <c r="D768" s="114" t="n">
        <v>50</v>
      </c>
      <c r="E768" s="114" t="n">
        <v>0</v>
      </c>
      <c r="F768" s="114" t="n">
        <v>34.86</v>
      </c>
      <c r="G768" s="114" t="inlineStr">
        <is>
          <t>KOTAK 0333</t>
        </is>
      </c>
      <c r="H768" s="114" t="inlineStr">
        <is>
          <t>FEDERAL 0847</t>
        </is>
      </c>
    </row>
    <row r="769">
      <c r="A769" s="113" t="n">
        <v>45199</v>
      </c>
      <c r="B769" s="114" t="inlineStr">
        <is>
          <t>UPIOUT/327348090241/aayush20gupta@oksbi/Se
nt/0000</t>
        </is>
      </c>
      <c r="C769" s="114" t="inlineStr"/>
      <c r="D769" s="114" t="n">
        <v>50</v>
      </c>
      <c r="E769" s="114" t="n">
        <v>0</v>
      </c>
      <c r="F769" s="114" t="n">
        <v>134.86</v>
      </c>
      <c r="G769" s="114" t="inlineStr">
        <is>
          <t>KOTAK 0333</t>
        </is>
      </c>
      <c r="H769" s="114" t="inlineStr">
        <is>
          <t>FEDERAL 0847</t>
        </is>
      </c>
    </row>
    <row r="770">
      <c r="A770" s="113" t="n">
        <v>45199</v>
      </c>
      <c r="B770" s="114" t="inlineStr">
        <is>
          <t>UPIOUT/327348012148/aayush20gupta@oksbi/Se
nt/0000</t>
        </is>
      </c>
      <c r="C770" s="114" t="inlineStr"/>
      <c r="D770" s="114" t="n">
        <v>50</v>
      </c>
      <c r="E770" s="114" t="n">
        <v>0</v>
      </c>
      <c r="F770" s="114" t="n">
        <v>784.86</v>
      </c>
      <c r="G770" s="114" t="inlineStr">
        <is>
          <t>KOTAK 0333</t>
        </is>
      </c>
      <c r="H770" s="114" t="inlineStr">
        <is>
          <t>FEDERAL 0847</t>
        </is>
      </c>
    </row>
    <row r="771">
      <c r="A771" s="113" t="n">
        <v>45199</v>
      </c>
      <c r="B771" s="114" t="inlineStr">
        <is>
          <t>UPIOUT/327348085266/aayush20gupta@oksbi/Se
nt/0000</t>
        </is>
      </c>
      <c r="C771" s="114" t="inlineStr"/>
      <c r="D771" s="114" t="n">
        <v>50</v>
      </c>
      <c r="E771" s="114" t="n">
        <v>0</v>
      </c>
      <c r="F771" s="114" t="n">
        <v>184.86</v>
      </c>
      <c r="G771" s="114" t="inlineStr">
        <is>
          <t>KOTAK 0333</t>
        </is>
      </c>
      <c r="H771" s="114" t="inlineStr">
        <is>
          <t>FEDERAL 0847</t>
        </is>
      </c>
    </row>
    <row r="772">
      <c r="A772" s="113" t="n">
        <v>45200</v>
      </c>
      <c r="B772" s="114" t="inlineStr">
        <is>
          <t>915010020334307:Int.Pd:01-07-2023 to 30-09-2023</t>
        </is>
      </c>
      <c r="C772" s="114" t="inlineStr">
        <is>
          <t>-</t>
        </is>
      </c>
      <c r="D772" s="114" t="n">
        <v>0</v>
      </c>
      <c r="E772" s="114" t="n">
        <v>357</v>
      </c>
      <c r="F772" s="114" t="n">
        <v>46513.57</v>
      </c>
      <c r="G772" s="114" t="inlineStr">
        <is>
          <t>Bank Interest</t>
        </is>
      </c>
      <c r="H772" s="114" t="inlineStr">
        <is>
          <t>AXIS</t>
        </is>
      </c>
    </row>
    <row r="773">
      <c r="A773" s="113" t="n">
        <v>45200</v>
      </c>
      <c r="B773" s="114" t="inlineStr">
        <is>
          <t>CREDIT INTEREST CAPITALISED</t>
        </is>
      </c>
      <c r="C773" s="114" t="inlineStr">
        <is>
          <t>000000000000000</t>
        </is>
      </c>
      <c r="D773" s="114" t="n">
        <v>0</v>
      </c>
      <c r="E773" s="114" t="n">
        <v>478</v>
      </c>
      <c r="F773" s="114" t="n">
        <v>74821.64</v>
      </c>
      <c r="G773" s="114" t="inlineStr">
        <is>
          <t>Bank Interest</t>
        </is>
      </c>
      <c r="H773" s="114" t="inlineStr">
        <is>
          <t>HDFC 5413</t>
        </is>
      </c>
    </row>
    <row r="774">
      <c r="A774" s="113" t="n">
        <v>45200</v>
      </c>
      <c r="B774" s="114" t="inlineStr">
        <is>
          <t>UPIOUT/327488430429/BHARATPE09909220132@ye
sb/5814</t>
        </is>
      </c>
      <c r="C774" s="114" t="inlineStr"/>
      <c r="D774" s="114" t="n">
        <v>20</v>
      </c>
      <c r="E774" s="114" t="n">
        <v>0</v>
      </c>
      <c r="F774" s="114" t="n">
        <v>114.86</v>
      </c>
      <c r="G774" s="114" t="inlineStr">
        <is>
          <t>Personal</t>
        </is>
      </c>
      <c r="H774" s="114" t="inlineStr">
        <is>
          <t>FEDERAL 0847</t>
        </is>
      </c>
    </row>
    <row r="775">
      <c r="A775" s="113" t="n">
        <v>45202</v>
      </c>
      <c r="B775" s="114" t="inlineStr">
        <is>
          <t>MJIRQYQBRH5ISB/RAZPMAXBUPAHEALTHINS</t>
        </is>
      </c>
      <c r="C775" s="114" t="inlineStr">
        <is>
          <t>0002327629120600</t>
        </is>
      </c>
      <c r="D775" s="114" t="n">
        <v>5114</v>
      </c>
      <c r="E775" s="114" t="n">
        <v>0</v>
      </c>
      <c r="F775" s="114" t="n">
        <v>70106.33</v>
      </c>
      <c r="G775" s="114" t="inlineStr">
        <is>
          <t>Health Insurance</t>
        </is>
      </c>
      <c r="H775" s="114" t="inlineStr">
        <is>
          <t>HDFC 5413</t>
        </is>
      </c>
    </row>
    <row r="776">
      <c r="A776" s="113" t="n">
        <v>45202</v>
      </c>
      <c r="B776" s="114" t="inlineStr">
        <is>
          <t>NET PO FROM HSL A/C 2554606-50200085415108</t>
        </is>
      </c>
      <c r="C776" s="114" t="inlineStr">
        <is>
          <t>0000000453081088</t>
        </is>
      </c>
      <c r="D776" s="114" t="n">
        <v>0</v>
      </c>
      <c r="E776" s="114" t="n">
        <v>398.69</v>
      </c>
      <c r="F776" s="114" t="n">
        <v>75220.33</v>
      </c>
      <c r="G776" s="114" t="inlineStr">
        <is>
          <t>HDFC Securities</t>
        </is>
      </c>
      <c r="H776" s="114" t="inlineStr">
        <is>
          <t>HDFC 5413</t>
        </is>
      </c>
    </row>
    <row r="777">
      <c r="A777" s="113" t="n">
        <v>45202</v>
      </c>
      <c r="B777" s="114" t="inlineStr">
        <is>
          <t>NFT/LINCOLN ELECTRI/23A300420OM40K93/BANK
OF AM</t>
        </is>
      </c>
      <c r="C777" s="114" t="inlineStr"/>
      <c r="D777" s="114" t="n">
        <v>0</v>
      </c>
      <c r="E777" s="114" t="n">
        <v>20161.29</v>
      </c>
      <c r="F777" s="114" t="n">
        <v>20276.15</v>
      </c>
      <c r="G777" s="114" t="inlineStr">
        <is>
          <t>Suspense</t>
        </is>
      </c>
      <c r="H777" s="114" t="inlineStr">
        <is>
          <t>FEDERAL 0847</t>
        </is>
      </c>
    </row>
    <row r="778">
      <c r="A778" s="113" t="n">
        <v>45203</v>
      </c>
      <c r="B778" s="114" t="inlineStr">
        <is>
          <t>Dr. Tran for funding A/c 77770300389653</t>
        </is>
      </c>
      <c r="C778" s="114" t="inlineStr"/>
      <c r="D778" s="114" t="n">
        <v>1000</v>
      </c>
      <c r="E778" s="114" t="n">
        <v>0</v>
      </c>
      <c r="F778" s="114" t="n">
        <v>18176.15</v>
      </c>
      <c r="G778" s="114" t="inlineStr">
        <is>
          <t>Suspense</t>
        </is>
      </c>
      <c r="H778" s="114" t="inlineStr">
        <is>
          <t>FEDERAL 0847</t>
        </is>
      </c>
    </row>
    <row r="779">
      <c r="A779" s="113" t="n">
        <v>45203</v>
      </c>
      <c r="B779" s="114" t="inlineStr">
        <is>
          <t>UPIOUT/327740919950/paytmqri4e2wzxu0x@payt
m//5814</t>
        </is>
      </c>
      <c r="C779" s="114" t="inlineStr"/>
      <c r="D779" s="114" t="n">
        <v>40</v>
      </c>
      <c r="E779" s="114" t="n">
        <v>0</v>
      </c>
      <c r="F779" s="114" t="n">
        <v>18136.15</v>
      </c>
      <c r="G779" s="114" t="inlineStr">
        <is>
          <t>Personal</t>
        </is>
      </c>
      <c r="H779" s="114" t="inlineStr">
        <is>
          <t>FEDERAL 0847</t>
        </is>
      </c>
    </row>
    <row r="780">
      <c r="A780" s="113" t="n">
        <v>45203</v>
      </c>
      <c r="B780" s="114" t="inlineStr">
        <is>
          <t>IFN/p8VegTu5aku1oE9M Transfer to 6 Weeks
Saving Ch</t>
        </is>
      </c>
      <c r="C780" s="114" t="inlineStr"/>
      <c r="D780" s="114" t="n">
        <v>1000</v>
      </c>
      <c r="E780" s="114" t="n">
        <v>0</v>
      </c>
      <c r="F780" s="114" t="n">
        <v>19276.15</v>
      </c>
      <c r="G780" s="114" t="inlineStr">
        <is>
          <t>Suspense</t>
        </is>
      </c>
      <c r="H780" s="114" t="inlineStr">
        <is>
          <t>FEDERAL 0847</t>
        </is>
      </c>
    </row>
    <row r="781">
      <c r="A781" s="113" t="n">
        <v>45203</v>
      </c>
      <c r="B781" s="114" t="inlineStr">
        <is>
          <t>Dr. Tran for funding A/c 77770701776482</t>
        </is>
      </c>
      <c r="C781" s="114" t="inlineStr"/>
      <c r="D781" s="114" t="n">
        <v>100</v>
      </c>
      <c r="E781" s="114" t="n">
        <v>0</v>
      </c>
      <c r="F781" s="114" t="n">
        <v>19176.15</v>
      </c>
      <c r="G781" s="114" t="inlineStr">
        <is>
          <t>Suspense</t>
        </is>
      </c>
      <c r="H781" s="114" t="inlineStr">
        <is>
          <t>FEDERAL 0847</t>
        </is>
      </c>
    </row>
    <row r="782">
      <c r="A782" s="113" t="n">
        <v>45203</v>
      </c>
      <c r="B782" s="114" t="inlineStr">
        <is>
          <t>UPIOUT/327758951663/Q629310231@ybl/Sent
via /5451</t>
        </is>
      </c>
      <c r="C782" s="114" t="inlineStr"/>
      <c r="D782" s="114" t="n">
        <v>150</v>
      </c>
      <c r="E782" s="114" t="n">
        <v>0</v>
      </c>
      <c r="F782" s="114" t="n">
        <v>17986.15</v>
      </c>
      <c r="G782" s="114" t="inlineStr">
        <is>
          <t>Personal</t>
        </is>
      </c>
      <c r="H782" s="114" t="inlineStr">
        <is>
          <t>FEDERAL 0847</t>
        </is>
      </c>
    </row>
    <row r="783">
      <c r="A783" s="113" t="n">
        <v>45203</v>
      </c>
      <c r="B783" s="114" t="inlineStr">
        <is>
          <t>NET PAYIN TO NSE MF A/C -00990610005906- FROM A/C -50100128155413- UCC -2554606-00990610005906</t>
        </is>
      </c>
      <c r="C783" s="114" t="inlineStr">
        <is>
          <t>0000000453666328</t>
        </is>
      </c>
      <c r="D783" s="114" t="n">
        <v>5000</v>
      </c>
      <c r="E783" s="114" t="n">
        <v>0</v>
      </c>
      <c r="F783" s="114" t="n">
        <v>47219.59</v>
      </c>
      <c r="G783" s="114" t="inlineStr">
        <is>
          <t>Investments</t>
        </is>
      </c>
      <c r="H783" s="114" t="inlineStr">
        <is>
          <t>HDFC 5413</t>
        </is>
      </c>
    </row>
    <row r="784">
      <c r="A784" s="113" t="n">
        <v>45203</v>
      </c>
      <c r="B784" s="114" t="inlineStr">
        <is>
          <t>NET PI TO HSL SEC A/C 2554606-00602340029427</t>
        </is>
      </c>
      <c r="C784" s="114" t="inlineStr">
        <is>
          <t>0000000453927536</t>
        </is>
      </c>
      <c r="D784" s="114" t="n">
        <v>153.15</v>
      </c>
      <c r="E784" s="114" t="n">
        <v>0</v>
      </c>
      <c r="F784" s="114" t="n">
        <v>46993.25</v>
      </c>
      <c r="G784" s="114" t="inlineStr">
        <is>
          <t>HDFC Securities</t>
        </is>
      </c>
      <c r="H784" s="114" t="inlineStr">
        <is>
          <t>HDFC 5413</t>
        </is>
      </c>
    </row>
    <row r="785">
      <c r="A785" s="113" t="n">
        <v>45203</v>
      </c>
      <c r="B785" s="114" t="inlineStr">
        <is>
          <t>NET PI TO HSL SEC A/C 2554606-00602340029427</t>
        </is>
      </c>
      <c r="C785" s="114" t="inlineStr">
        <is>
          <t>0000000453452419</t>
        </is>
      </c>
      <c r="D785" s="114" t="n">
        <v>17886.74</v>
      </c>
      <c r="E785" s="114" t="n">
        <v>0</v>
      </c>
      <c r="F785" s="114" t="n">
        <v>52219.59</v>
      </c>
      <c r="G785" s="114" t="inlineStr">
        <is>
          <t>HDFC Securities</t>
        </is>
      </c>
      <c r="H785" s="114" t="inlineStr">
        <is>
          <t>HDFC 5413</t>
        </is>
      </c>
    </row>
    <row r="786">
      <c r="A786" s="113" t="n">
        <v>45203</v>
      </c>
      <c r="B786" s="114" t="inlineStr">
        <is>
          <t>NET PI TO HSL SEC A/C 2554606-00602340029427</t>
        </is>
      </c>
      <c r="C786" s="114" t="inlineStr">
        <is>
          <t>0000000453725692</t>
        </is>
      </c>
      <c r="D786" s="114" t="n">
        <v>73.19</v>
      </c>
      <c r="E786" s="114" t="n">
        <v>0</v>
      </c>
      <c r="F786" s="114" t="n">
        <v>47146.4</v>
      </c>
      <c r="G786" s="114" t="inlineStr">
        <is>
          <t>HDFC Securities</t>
        </is>
      </c>
      <c r="H786" s="114" t="inlineStr">
        <is>
          <t>HDFC 5413</t>
        </is>
      </c>
    </row>
    <row r="787">
      <c r="A787" s="113" t="n">
        <v>45204</v>
      </c>
      <c r="B787" s="114" t="inlineStr">
        <is>
          <t>NET PI TO HSL SEC A/C 2554606-00602340029427</t>
        </is>
      </c>
      <c r="C787" s="114" t="inlineStr">
        <is>
          <t>0000000454208285</t>
        </is>
      </c>
      <c r="D787" s="114" t="n">
        <v>73.11</v>
      </c>
      <c r="E787" s="114" t="n">
        <v>0</v>
      </c>
      <c r="F787" s="114" t="n">
        <v>46920.14</v>
      </c>
      <c r="G787" s="114" t="inlineStr">
        <is>
          <t>HDFC Securities</t>
        </is>
      </c>
      <c r="H787" s="114" t="inlineStr">
        <is>
          <t>HDFC 5413</t>
        </is>
      </c>
    </row>
    <row r="788">
      <c r="A788" s="113" t="n">
        <v>45204</v>
      </c>
      <c r="B788" s="114" t="inlineStr">
        <is>
          <t>NFT/NEOSIEXEDDD2023100504313650042 NAVI
Mutual Fun</t>
        </is>
      </c>
      <c r="C788" s="114" t="inlineStr"/>
      <c r="D788" s="114" t="n">
        <v>10</v>
      </c>
      <c r="E788" s="114" t="n">
        <v>0</v>
      </c>
      <c r="F788" s="114" t="n">
        <v>17976.15</v>
      </c>
      <c r="G788" s="114" t="inlineStr">
        <is>
          <t>Investments</t>
        </is>
      </c>
      <c r="H788" s="114" t="inlineStr">
        <is>
          <t>FEDERAL 0847</t>
        </is>
      </c>
    </row>
    <row r="789">
      <c r="A789" s="113" t="n">
        <v>45204</v>
      </c>
      <c r="B789" s="114" t="inlineStr">
        <is>
          <t>IFN/NEOSIEXEDDD2023100506331862670
Transfer to sup</t>
        </is>
      </c>
      <c r="C789" s="114" t="inlineStr"/>
      <c r="D789" s="114" t="n">
        <v>50</v>
      </c>
      <c r="E789" s="114" t="n">
        <v>0</v>
      </c>
      <c r="F789" s="114" t="n">
        <v>17926.15</v>
      </c>
      <c r="G789" s="114" t="inlineStr">
        <is>
          <t>Suspense</t>
        </is>
      </c>
      <c r="H789" s="114" t="inlineStr">
        <is>
          <t>FEDERAL 0847</t>
        </is>
      </c>
    </row>
    <row r="790">
      <c r="A790" s="113" t="n">
        <v>45205</v>
      </c>
      <c r="B790" s="114" t="inlineStr">
        <is>
          <t>UPIOUT/327954867247/Q930032498@ybl/Sent
via /5812</t>
        </is>
      </c>
      <c r="C790" s="114" t="inlineStr"/>
      <c r="D790" s="114" t="n">
        <v>30</v>
      </c>
      <c r="E790" s="114" t="n">
        <v>0</v>
      </c>
      <c r="F790" s="114" t="n">
        <v>17836.15</v>
      </c>
      <c r="G790" s="114" t="inlineStr">
        <is>
          <t>Personal</t>
        </is>
      </c>
      <c r="H790" s="114" t="inlineStr">
        <is>
          <t>FEDERAL 0847</t>
        </is>
      </c>
    </row>
    <row r="791">
      <c r="A791" s="113" t="n">
        <v>45205</v>
      </c>
      <c r="B791" s="114" t="inlineStr">
        <is>
          <t>IFN/NEOSIEXEDDD2023100606335813287
Transfer to sup</t>
        </is>
      </c>
      <c r="C791" s="114" t="inlineStr"/>
      <c r="D791" s="114" t="n">
        <v>50</v>
      </c>
      <c r="E791" s="114" t="n">
        <v>0</v>
      </c>
      <c r="F791" s="114" t="n">
        <v>17866.15</v>
      </c>
      <c r="G791" s="114" t="inlineStr">
        <is>
          <t>Suspense</t>
        </is>
      </c>
      <c r="H791" s="114" t="inlineStr">
        <is>
          <t>FEDERAL 0847</t>
        </is>
      </c>
    </row>
    <row r="792">
      <c r="A792" s="113" t="n">
        <v>45205</v>
      </c>
      <c r="B792" s="114" t="inlineStr">
        <is>
          <t>NFT/NEOSIEXEDDD2023100604331742179 NAVI
Mutual Fun</t>
        </is>
      </c>
      <c r="C792" s="114" t="inlineStr"/>
      <c r="D792" s="114" t="n">
        <v>10</v>
      </c>
      <c r="E792" s="114" t="n">
        <v>0</v>
      </c>
      <c r="F792" s="114" t="n">
        <v>17916.15</v>
      </c>
      <c r="G792" s="114" t="inlineStr">
        <is>
          <t>Investments</t>
        </is>
      </c>
      <c r="H792" s="114" t="inlineStr">
        <is>
          <t>FEDERAL 0847</t>
        </is>
      </c>
    </row>
    <row r="793">
      <c r="A793" s="113" t="n">
        <v>45205</v>
      </c>
      <c r="B793" s="114" t="inlineStr">
        <is>
          <t>NET PO FROM HSL A/C 2554606-50200085415108</t>
        </is>
      </c>
      <c r="C793" s="114" t="inlineStr">
        <is>
          <t>0000000454452140</t>
        </is>
      </c>
      <c r="D793" s="114" t="n">
        <v>0</v>
      </c>
      <c r="E793" s="114" t="n">
        <v>974.64</v>
      </c>
      <c r="F793" s="114" t="n">
        <v>47894.78</v>
      </c>
      <c r="G793" s="114" t="inlineStr">
        <is>
          <t>HDFC Securities</t>
        </is>
      </c>
      <c r="H793" s="114" t="inlineStr">
        <is>
          <t>HDFC 5413</t>
        </is>
      </c>
    </row>
    <row r="794">
      <c r="A794" s="113" t="n">
        <v>45205</v>
      </c>
      <c r="B794" s="114" t="inlineStr">
        <is>
          <t>NET PI TO HSL SEC A/C 2554606-00602340029427</t>
        </is>
      </c>
      <c r="C794" s="114" t="inlineStr">
        <is>
          <t>0000000454714397</t>
        </is>
      </c>
      <c r="D794" s="114" t="n">
        <v>22193.64</v>
      </c>
      <c r="E794" s="114" t="n">
        <v>0</v>
      </c>
      <c r="F794" s="114" t="n">
        <v>80248.59</v>
      </c>
      <c r="G794" s="114" t="inlineStr">
        <is>
          <t>HDFC Securities</t>
        </is>
      </c>
      <c r="H794" s="114" t="inlineStr">
        <is>
          <t>HDFC 5413</t>
        </is>
      </c>
    </row>
    <row r="795">
      <c r="A795" s="113" t="n">
        <v>45205</v>
      </c>
      <c r="B795" s="114" t="inlineStr">
        <is>
          <t>NET PI TO HSL SEC A/C 2554606-00602340029427</t>
        </is>
      </c>
      <c r="C795" s="114" t="inlineStr">
        <is>
          <t>0000000454582859</t>
        </is>
      </c>
      <c r="D795" s="114" t="n">
        <v>73.11</v>
      </c>
      <c r="E795" s="114" t="n">
        <v>0</v>
      </c>
      <c r="F795" s="114" t="n">
        <v>102442.23</v>
      </c>
      <c r="G795" s="114" t="inlineStr">
        <is>
          <t>HDFC Securities</t>
        </is>
      </c>
      <c r="H795" s="114" t="inlineStr">
        <is>
          <t>HDFC 5413</t>
        </is>
      </c>
    </row>
    <row r="796">
      <c r="A796" s="113" t="n">
        <v>45205</v>
      </c>
      <c r="B796" s="114" t="inlineStr">
        <is>
          <t>NET PO FROM HSL A/C 2554606-50200085415108</t>
        </is>
      </c>
      <c r="C796" s="114" t="inlineStr">
        <is>
          <t>0000000454474841</t>
        </is>
      </c>
      <c r="D796" s="114" t="n">
        <v>0</v>
      </c>
      <c r="E796" s="114" t="n">
        <v>54620.56</v>
      </c>
      <c r="F796" s="114" t="n">
        <v>102515.34</v>
      </c>
      <c r="G796" s="114" t="inlineStr">
        <is>
          <t>HDFC Securities</t>
        </is>
      </c>
      <c r="H796" s="114" t="inlineStr">
        <is>
          <t>HDFC 5413</t>
        </is>
      </c>
    </row>
    <row r="797">
      <c r="A797" s="113" t="n">
        <v>45206</v>
      </c>
      <c r="B797" s="114" t="inlineStr">
        <is>
          <t>UPIOUT/328077340513/paytmqr281005050101ba1
ua/5812</t>
        </is>
      </c>
      <c r="C797" s="114" t="inlineStr"/>
      <c r="D797" s="114" t="n">
        <v>136</v>
      </c>
      <c r="E797" s="114" t="n">
        <v>0</v>
      </c>
      <c r="F797" s="114" t="n">
        <v>17590.15</v>
      </c>
      <c r="G797" s="114" t="inlineStr">
        <is>
          <t>Personal</t>
        </is>
      </c>
      <c r="H797" s="114" t="inlineStr">
        <is>
          <t>FEDERAL 0847</t>
        </is>
      </c>
    </row>
    <row r="798">
      <c r="A798" s="113" t="n">
        <v>45206</v>
      </c>
      <c r="B798" s="114" t="inlineStr">
        <is>
          <t>IFN/NEOSIEXEDDD2023100706341434806
Transfer to sup</t>
        </is>
      </c>
      <c r="C798" s="114" t="inlineStr"/>
      <c r="D798" s="114" t="n">
        <v>50</v>
      </c>
      <c r="E798" s="114" t="n">
        <v>0</v>
      </c>
      <c r="F798" s="114" t="n">
        <v>17726.15</v>
      </c>
      <c r="G798" s="114" t="inlineStr">
        <is>
          <t>Suspense</t>
        </is>
      </c>
      <c r="H798" s="114" t="inlineStr">
        <is>
          <t>FEDERAL 0847</t>
        </is>
      </c>
    </row>
    <row r="799">
      <c r="A799" s="113" t="n">
        <v>45206</v>
      </c>
      <c r="B799" s="114" t="inlineStr">
        <is>
          <t>NFT/NEOSIEXEDDD2023100704342289054 NAVI
Mutual Fun</t>
        </is>
      </c>
      <c r="C799" s="114" t="inlineStr"/>
      <c r="D799" s="114" t="n">
        <v>10</v>
      </c>
      <c r="E799" s="114" t="n">
        <v>0</v>
      </c>
      <c r="F799" s="114" t="n">
        <v>17776.15</v>
      </c>
      <c r="G799" s="114" t="inlineStr">
        <is>
          <t>Investments</t>
        </is>
      </c>
      <c r="H799" s="114" t="inlineStr">
        <is>
          <t>FEDERAL 0847</t>
        </is>
      </c>
    </row>
    <row r="800">
      <c r="A800" s="113" t="n">
        <v>45206</v>
      </c>
      <c r="B800" s="114" t="inlineStr">
        <is>
          <t>UPIOUT/328069106430/Q438491684@ybl/Sent
via /5814</t>
        </is>
      </c>
      <c r="C800" s="114" t="inlineStr"/>
      <c r="D800" s="114" t="n">
        <v>50</v>
      </c>
      <c r="E800" s="114" t="n">
        <v>0</v>
      </c>
      <c r="F800" s="114" t="n">
        <v>17786.15</v>
      </c>
      <c r="G800" s="114" t="inlineStr">
        <is>
          <t>Personal</t>
        </is>
      </c>
      <c r="H800" s="114" t="inlineStr">
        <is>
          <t>FEDERAL 0847</t>
        </is>
      </c>
    </row>
    <row r="801">
      <c r="A801" s="113" t="n">
        <v>45206</v>
      </c>
      <c r="B801" s="114" t="inlineStr">
        <is>
          <t>UPIOUT/328085400948/Q269943231@ybl/Sent
via /5814</t>
        </is>
      </c>
      <c r="C801" s="114" t="inlineStr"/>
      <c r="D801" s="114" t="n">
        <v>20</v>
      </c>
      <c r="E801" s="114" t="n">
        <v>0</v>
      </c>
      <c r="F801" s="114" t="n">
        <v>17500.15</v>
      </c>
      <c r="G801" s="114" t="inlineStr">
        <is>
          <t>Personal</t>
        </is>
      </c>
      <c r="H801" s="114" t="inlineStr">
        <is>
          <t>FEDERAL 0847</t>
        </is>
      </c>
    </row>
    <row r="802">
      <c r="A802" s="113" t="n">
        <v>45206</v>
      </c>
      <c r="B802" s="114" t="inlineStr">
        <is>
          <t>UPIOUT/328077624233/Q267751124@ybl/Sent
via /5441</t>
        </is>
      </c>
      <c r="C802" s="114" t="inlineStr"/>
      <c r="D802" s="114" t="n">
        <v>70</v>
      </c>
      <c r="E802" s="114" t="n">
        <v>0</v>
      </c>
      <c r="F802" s="114" t="n">
        <v>17520.15</v>
      </c>
      <c r="G802" s="114" t="inlineStr">
        <is>
          <t>Personal</t>
        </is>
      </c>
      <c r="H802" s="114" t="inlineStr">
        <is>
          <t>FEDERAL 0847</t>
        </is>
      </c>
    </row>
    <row r="803">
      <c r="A803" s="113" t="n">
        <v>45206</v>
      </c>
      <c r="B803" s="114" t="inlineStr">
        <is>
          <t>00602300000434-024052645</t>
        </is>
      </c>
      <c r="C803" s="114" t="inlineStr">
        <is>
          <t>0000310072403205</t>
        </is>
      </c>
      <c r="D803" s="114" t="n">
        <v>0</v>
      </c>
      <c r="E803" s="114" t="n">
        <v>1880</v>
      </c>
      <c r="F803" s="114" t="n">
        <v>82128.59</v>
      </c>
      <c r="G803" s="114" t="inlineStr">
        <is>
          <t>Suspense</t>
        </is>
      </c>
      <c r="H803" s="114" t="inlineStr">
        <is>
          <t>HDFC 5413</t>
        </is>
      </c>
    </row>
    <row r="804">
      <c r="A804" s="113" t="n">
        <v>45207</v>
      </c>
      <c r="B804" s="114" t="inlineStr">
        <is>
          <t>UPIOUT/328121853835/cf.simp@icici/UPI
Intent/7322</t>
        </is>
      </c>
      <c r="C804" s="114" t="inlineStr"/>
      <c r="D804" s="114" t="n">
        <v>264.85</v>
      </c>
      <c r="E804" s="114" t="n">
        <v>0</v>
      </c>
      <c r="F804" s="114" t="n">
        <v>17165.3</v>
      </c>
      <c r="G804" s="114" t="inlineStr">
        <is>
          <t>Personal</t>
        </is>
      </c>
      <c r="H804" s="114" t="inlineStr">
        <is>
          <t>FEDERAL 0847</t>
        </is>
      </c>
    </row>
    <row r="805">
      <c r="A805" s="113" t="n">
        <v>45207</v>
      </c>
      <c r="B805" s="114" t="inlineStr">
        <is>
          <t>UPIOUT/328119343414/Q521635612@ybl/Sent
via /5451</t>
        </is>
      </c>
      <c r="C805" s="114" t="inlineStr"/>
      <c r="D805" s="114" t="n">
        <v>50</v>
      </c>
      <c r="E805" s="114" t="n">
        <v>0</v>
      </c>
      <c r="F805" s="114" t="n">
        <v>17430.15</v>
      </c>
      <c r="G805" s="114" t="inlineStr">
        <is>
          <t>Personal</t>
        </is>
      </c>
      <c r="H805" s="114" t="inlineStr">
        <is>
          <t>FEDERAL 0847</t>
        </is>
      </c>
    </row>
    <row r="806">
      <c r="A806" s="113" t="n">
        <v>45207</v>
      </c>
      <c r="B806" s="114" t="inlineStr">
        <is>
          <t>UPIOUT/328149230594/Q882147483@ybl/Sent
via /5814</t>
        </is>
      </c>
      <c r="C806" s="114" t="inlineStr"/>
      <c r="D806" s="114" t="n">
        <v>50</v>
      </c>
      <c r="E806" s="114" t="n">
        <v>0</v>
      </c>
      <c r="F806" s="114" t="n">
        <v>16719.3</v>
      </c>
      <c r="G806" s="114" t="inlineStr">
        <is>
          <t>Personal</t>
        </is>
      </c>
      <c r="H806" s="114" t="inlineStr">
        <is>
          <t>FEDERAL 0847</t>
        </is>
      </c>
    </row>
    <row r="807">
      <c r="A807" s="113" t="n">
        <v>45207</v>
      </c>
      <c r="B807" s="114" t="inlineStr">
        <is>
          <t>UPIOUT/328129528198/paytmqr281005050101ba1
ua/5812</t>
        </is>
      </c>
      <c r="C807" s="114" t="inlineStr"/>
      <c r="D807" s="114" t="n">
        <v>336</v>
      </c>
      <c r="E807" s="114" t="n">
        <v>0</v>
      </c>
      <c r="F807" s="114" t="n">
        <v>16769.3</v>
      </c>
      <c r="G807" s="114" t="inlineStr">
        <is>
          <t>Personal</t>
        </is>
      </c>
      <c r="H807" s="114" t="inlineStr">
        <is>
          <t>FEDERAL 0847</t>
        </is>
      </c>
    </row>
    <row r="808">
      <c r="A808" s="113" t="n">
        <v>45207</v>
      </c>
      <c r="B808" s="114" t="inlineStr">
        <is>
          <t>UPIOUT/328119168987/Q444099957@ybl/Sent
via /5812</t>
        </is>
      </c>
      <c r="C808" s="114" t="inlineStr"/>
      <c r="D808" s="114" t="n">
        <v>20</v>
      </c>
      <c r="E808" s="114" t="n">
        <v>0</v>
      </c>
      <c r="F808" s="114" t="n">
        <v>17480.15</v>
      </c>
      <c r="G808" s="114" t="inlineStr">
        <is>
          <t>Personal</t>
        </is>
      </c>
      <c r="H808" s="114" t="inlineStr">
        <is>
          <t>FEDERAL 0847</t>
        </is>
      </c>
    </row>
    <row r="809">
      <c r="A809" s="113" t="n">
        <v>45207</v>
      </c>
      <c r="B809" s="114" t="inlineStr">
        <is>
          <t>IFN/NEOSIEXEDDD2023100806332963234
Transfer to sup</t>
        </is>
      </c>
      <c r="C809" s="114" t="inlineStr"/>
      <c r="D809" s="114" t="n">
        <v>50</v>
      </c>
      <c r="E809" s="114" t="n">
        <v>0</v>
      </c>
      <c r="F809" s="114" t="n">
        <v>17105.3</v>
      </c>
      <c r="G809" s="114" t="inlineStr">
        <is>
          <t>Suspense</t>
        </is>
      </c>
      <c r="H809" s="114" t="inlineStr">
        <is>
          <t>FEDERAL 0847</t>
        </is>
      </c>
    </row>
    <row r="810">
      <c r="A810" s="113" t="n">
        <v>45207</v>
      </c>
      <c r="B810" s="114" t="inlineStr">
        <is>
          <t>NFT/NEOSIEXEDDD2023100804350193992 NAVI
Mutual Fun</t>
        </is>
      </c>
      <c r="C810" s="114" t="inlineStr"/>
      <c r="D810" s="114" t="n">
        <v>10</v>
      </c>
      <c r="E810" s="114" t="n">
        <v>0</v>
      </c>
      <c r="F810" s="114" t="n">
        <v>17155.3</v>
      </c>
      <c r="G810" s="114" t="inlineStr">
        <is>
          <t>Investments</t>
        </is>
      </c>
      <c r="H810" s="114" t="inlineStr">
        <is>
          <t>FEDERAL 0847</t>
        </is>
      </c>
    </row>
    <row r="811">
      <c r="A811" s="113" t="n">
        <v>45208</v>
      </c>
      <c r="B811" s="114" t="inlineStr">
        <is>
          <t>NET PI TO HSL SEC A/C 2554606-00602340029427</t>
        </is>
      </c>
      <c r="C811" s="114" t="inlineStr">
        <is>
          <t>0000000455061889</t>
        </is>
      </c>
      <c r="D811" s="114" t="n">
        <v>187.95</v>
      </c>
      <c r="E811" s="114" t="n">
        <v>0</v>
      </c>
      <c r="F811" s="114" t="n">
        <v>81940.64</v>
      </c>
      <c r="G811" s="114" t="inlineStr">
        <is>
          <t>HDFC Securities</t>
        </is>
      </c>
      <c r="H811" s="114" t="inlineStr">
        <is>
          <t>HDFC 5413</t>
        </is>
      </c>
    </row>
    <row r="812">
      <c r="A812" s="113" t="n">
        <v>45208</v>
      </c>
      <c r="B812" s="114" t="inlineStr">
        <is>
          <t>NFT/NEOSIEXEDDD2023100904351642222 NAVI
Mutual Fun</t>
        </is>
      </c>
      <c r="C812" s="114" t="inlineStr"/>
      <c r="D812" s="114" t="n">
        <v>10</v>
      </c>
      <c r="E812" s="114" t="n">
        <v>0</v>
      </c>
      <c r="F812" s="114" t="n">
        <v>16587.3</v>
      </c>
      <c r="G812" s="114" t="inlineStr">
        <is>
          <t>Investments</t>
        </is>
      </c>
      <c r="H812" s="114" t="inlineStr">
        <is>
          <t>FEDERAL 0847</t>
        </is>
      </c>
    </row>
    <row r="813">
      <c r="A813" s="113" t="n">
        <v>45208</v>
      </c>
      <c r="B813" s="114" t="inlineStr">
        <is>
          <t>UPIOUT/364833035007/paytm-
irctcapp@paytm/Oid/4011</t>
        </is>
      </c>
      <c r="C813" s="114" t="inlineStr"/>
      <c r="D813" s="114" t="n">
        <v>97.15000000000001</v>
      </c>
      <c r="E813" s="114" t="n">
        <v>0</v>
      </c>
      <c r="F813" s="114" t="n">
        <v>15406.2</v>
      </c>
      <c r="G813" s="114" t="inlineStr">
        <is>
          <t>Travel</t>
        </is>
      </c>
      <c r="H813" s="114" t="inlineStr">
        <is>
          <t>FEDERAL 0847</t>
        </is>
      </c>
    </row>
    <row r="814">
      <c r="A814" s="113" t="n">
        <v>45208</v>
      </c>
      <c r="B814" s="114" t="inlineStr">
        <is>
          <t>UPIOUT/364839258870/paytm-
irctcapp@paytm/Oid/4011</t>
        </is>
      </c>
      <c r="C814" s="114" t="inlineStr"/>
      <c r="D814" s="114" t="n">
        <v>983.95</v>
      </c>
      <c r="E814" s="114" t="n">
        <v>0</v>
      </c>
      <c r="F814" s="114" t="n">
        <v>15503.35</v>
      </c>
      <c r="G814" s="114" t="inlineStr">
        <is>
          <t>Travel</t>
        </is>
      </c>
      <c r="H814" s="114" t="inlineStr">
        <is>
          <t>FEDERAL 0847</t>
        </is>
      </c>
    </row>
    <row r="815">
      <c r="A815" s="113" t="n">
        <v>45208</v>
      </c>
      <c r="B815" s="114" t="inlineStr">
        <is>
          <t>UPIOUT/328285534629/Q492641334@ybl/Sent
via /5411</t>
        </is>
      </c>
      <c r="C815" s="114" t="inlineStr"/>
      <c r="D815" s="114" t="n">
        <v>20</v>
      </c>
      <c r="E815" s="114" t="n">
        <v>0</v>
      </c>
      <c r="F815" s="114" t="n">
        <v>16487.3</v>
      </c>
      <c r="G815" s="114" t="inlineStr">
        <is>
          <t>Personal</t>
        </is>
      </c>
      <c r="H815" s="114" t="inlineStr">
        <is>
          <t>FEDERAL 0847</t>
        </is>
      </c>
    </row>
    <row r="816">
      <c r="A816" s="113" t="n">
        <v>45208</v>
      </c>
      <c r="B816" s="114" t="inlineStr">
        <is>
          <t>UPIOUT/328285161291/Q981404186@ybl/Sent
via /5814</t>
        </is>
      </c>
      <c r="C816" s="114" t="inlineStr"/>
      <c r="D816" s="114" t="n">
        <v>30</v>
      </c>
      <c r="E816" s="114" t="n">
        <v>0</v>
      </c>
      <c r="F816" s="114" t="n">
        <v>16507.3</v>
      </c>
      <c r="G816" s="114" t="inlineStr">
        <is>
          <t>Personal</t>
        </is>
      </c>
      <c r="H816" s="114" t="inlineStr">
        <is>
          <t>FEDERAL 0847</t>
        </is>
      </c>
    </row>
    <row r="817">
      <c r="A817" s="113" t="n">
        <v>45208</v>
      </c>
      <c r="B817" s="114" t="inlineStr">
        <is>
          <t>IFN/NEOSIEXEDDD2023100906330377610
Transfer to sup</t>
        </is>
      </c>
      <c r="C817" s="114" t="inlineStr"/>
      <c r="D817" s="114" t="n">
        <v>50</v>
      </c>
      <c r="E817" s="114" t="n">
        <v>0</v>
      </c>
      <c r="F817" s="114" t="n">
        <v>16537.3</v>
      </c>
      <c r="G817" s="114" t="inlineStr">
        <is>
          <t>Suspense</t>
        </is>
      </c>
      <c r="H817" s="114" t="inlineStr">
        <is>
          <t>FEDERAL 0847</t>
        </is>
      </c>
    </row>
    <row r="818">
      <c r="A818" s="113" t="n">
        <v>45208</v>
      </c>
      <c r="B818" s="114" t="inlineStr">
        <is>
          <t>NET PI TO HSL SEC A/C 2554606-00602340029427</t>
        </is>
      </c>
      <c r="C818" s="114" t="inlineStr">
        <is>
          <t>0000000455255076</t>
        </is>
      </c>
      <c r="D818" s="114" t="n">
        <v>5614.82</v>
      </c>
      <c r="E818" s="114" t="n">
        <v>0</v>
      </c>
      <c r="F818" s="114" t="n">
        <v>76325.82000000001</v>
      </c>
      <c r="G818" s="114" t="inlineStr">
        <is>
          <t>HDFC Securities</t>
        </is>
      </c>
      <c r="H818" s="114" t="inlineStr">
        <is>
          <t>HDFC 5413</t>
        </is>
      </c>
    </row>
    <row r="819">
      <c r="A819" s="113" t="n">
        <v>45208</v>
      </c>
      <c r="B819" s="114" t="inlineStr">
        <is>
          <t>UPIOUT/328258866701/Q726253442@ybl/Sent
via /5311</t>
        </is>
      </c>
      <c r="C819" s="114" t="inlineStr"/>
      <c r="D819" s="114" t="n">
        <v>122</v>
      </c>
      <c r="E819" s="114" t="n">
        <v>0</v>
      </c>
      <c r="F819" s="114" t="n">
        <v>16597.3</v>
      </c>
      <c r="G819" s="114" t="inlineStr">
        <is>
          <t>Personal</t>
        </is>
      </c>
      <c r="H819" s="114" t="inlineStr">
        <is>
          <t>FEDERAL 0847</t>
        </is>
      </c>
    </row>
    <row r="820">
      <c r="A820" s="113" t="n">
        <v>45208</v>
      </c>
      <c r="B820" s="114" t="inlineStr">
        <is>
          <t>UPIOUT/328292669312/Q267751124@ybl/Sent
via /5441</t>
        </is>
      </c>
      <c r="C820" s="114" t="inlineStr"/>
      <c r="D820" s="114" t="n">
        <v>70</v>
      </c>
      <c r="E820" s="114" t="n">
        <v>0</v>
      </c>
      <c r="F820" s="114" t="n">
        <v>15336.2</v>
      </c>
      <c r="G820" s="114" t="inlineStr">
        <is>
          <t>Personal</t>
        </is>
      </c>
      <c r="H820" s="114" t="inlineStr">
        <is>
          <t>FEDERAL 0847</t>
        </is>
      </c>
    </row>
    <row r="821">
      <c r="A821" s="113" t="n">
        <v>45209</v>
      </c>
      <c r="B821" s="114" t="inlineStr">
        <is>
          <t>NET PI TO HSL SEC A/C 2554606-00602340029427</t>
        </is>
      </c>
      <c r="C821" s="114" t="inlineStr">
        <is>
          <t>0000000455544381</t>
        </is>
      </c>
      <c r="D821" s="114" t="n">
        <v>59.88</v>
      </c>
      <c r="E821" s="114" t="n">
        <v>0</v>
      </c>
      <c r="F821" s="114" t="n">
        <v>76265.94</v>
      </c>
      <c r="G821" s="114" t="inlineStr">
        <is>
          <t>HDFC Securities</t>
        </is>
      </c>
      <c r="H821" s="114" t="inlineStr">
        <is>
          <t>HDFC 5413</t>
        </is>
      </c>
    </row>
    <row r="822">
      <c r="A822" s="113" t="n">
        <v>45209</v>
      </c>
      <c r="B822" s="114" t="inlineStr">
        <is>
          <t>UPIOUT/328321238606/Q97308535@ybl/Sent via
J/5411</t>
        </is>
      </c>
      <c r="C822" s="114" t="inlineStr"/>
      <c r="D822" s="114" t="n">
        <v>20</v>
      </c>
      <c r="E822" s="114" t="n">
        <v>0</v>
      </c>
      <c r="F822" s="114" t="n">
        <v>13280.7</v>
      </c>
      <c r="G822" s="114" t="inlineStr">
        <is>
          <t>Personal</t>
        </is>
      </c>
      <c r="H822" s="114" t="inlineStr">
        <is>
          <t>FEDERAL 0847</t>
        </is>
      </c>
    </row>
    <row r="823">
      <c r="A823" s="113" t="n">
        <v>45209</v>
      </c>
      <c r="B823" s="114" t="inlineStr">
        <is>
          <t>UPIOUT/328302153606/paytm-
irctcapp@paytm/Oid/4011</t>
        </is>
      </c>
      <c r="C823" s="114" t="inlineStr"/>
      <c r="D823" s="114" t="n">
        <v>182.5</v>
      </c>
      <c r="E823" s="114" t="n">
        <v>0</v>
      </c>
      <c r="F823" s="114" t="n">
        <v>15153.7</v>
      </c>
      <c r="G823" s="114" t="inlineStr">
        <is>
          <t>Travel</t>
        </is>
      </c>
      <c r="H823" s="114" t="inlineStr">
        <is>
          <t>FEDERAL 0847</t>
        </is>
      </c>
    </row>
    <row r="824">
      <c r="A824" s="113" t="n">
        <v>45209</v>
      </c>
      <c r="B824" s="114" t="inlineStr">
        <is>
          <t>NFT/NEOSIEXEDDD2023101004362061758 NAVI
Mutual Fun</t>
        </is>
      </c>
      <c r="C824" s="114" t="inlineStr"/>
      <c r="D824" s="114" t="n">
        <v>10</v>
      </c>
      <c r="E824" s="114" t="n">
        <v>0</v>
      </c>
      <c r="F824" s="114" t="n">
        <v>15068.7</v>
      </c>
      <c r="G824" s="114" t="inlineStr">
        <is>
          <t>Investments</t>
        </is>
      </c>
      <c r="H824" s="114" t="inlineStr">
        <is>
          <t>FEDERAL 0847</t>
        </is>
      </c>
    </row>
    <row r="825">
      <c r="A825" s="113" t="n">
        <v>45209</v>
      </c>
      <c r="B825" s="114" t="inlineStr">
        <is>
          <t>IFN/NEOSIEXEDDD2023101006335873990
Transfer to sup</t>
        </is>
      </c>
      <c r="C825" s="114" t="inlineStr"/>
      <c r="D825" s="114" t="n">
        <v>50</v>
      </c>
      <c r="E825" s="114" t="n">
        <v>0</v>
      </c>
      <c r="F825" s="114" t="n">
        <v>15018.7</v>
      </c>
      <c r="G825" s="114" t="inlineStr">
        <is>
          <t>Suspense</t>
        </is>
      </c>
      <c r="H825" s="114" t="inlineStr">
        <is>
          <t>FEDERAL 0847</t>
        </is>
      </c>
    </row>
    <row r="826">
      <c r="A826" s="113" t="n">
        <v>45209</v>
      </c>
      <c r="B826" s="114" t="inlineStr">
        <is>
          <t>UPIOUT/328320608283/9011139401@ibl/Sent
via /0000</t>
        </is>
      </c>
      <c r="C826" s="114" t="inlineStr"/>
      <c r="D826" s="114" t="n">
        <v>1700</v>
      </c>
      <c r="E826" s="114" t="n">
        <v>0</v>
      </c>
      <c r="F826" s="114" t="n">
        <v>13318.7</v>
      </c>
      <c r="G826" s="114" t="inlineStr">
        <is>
          <t>Personal</t>
        </is>
      </c>
      <c r="H826" s="114" t="inlineStr">
        <is>
          <t>FEDERAL 0847</t>
        </is>
      </c>
    </row>
    <row r="827">
      <c r="A827" s="113" t="n">
        <v>45209</v>
      </c>
      <c r="B827" s="114" t="inlineStr">
        <is>
          <t>UPIOUT/328321156237/Q423659019@ybl/Sent
via /5311</t>
        </is>
      </c>
      <c r="C827" s="114" t="inlineStr"/>
      <c r="D827" s="114" t="n">
        <v>18</v>
      </c>
      <c r="E827" s="114" t="n">
        <v>0</v>
      </c>
      <c r="F827" s="114" t="n">
        <v>13300.7</v>
      </c>
      <c r="G827" s="114" t="inlineStr">
        <is>
          <t>Personal</t>
        </is>
      </c>
      <c r="H827" s="114" t="inlineStr">
        <is>
          <t>FEDERAL 0847</t>
        </is>
      </c>
    </row>
    <row r="828">
      <c r="A828" s="113" t="n">
        <v>45209</v>
      </c>
      <c r="B828" s="114" t="inlineStr">
        <is>
          <t>UPIOUT/328311386904/Q521635612@ybl/Sent
via /5451</t>
        </is>
      </c>
      <c r="C828" s="114" t="inlineStr"/>
      <c r="D828" s="114" t="n">
        <v>75</v>
      </c>
      <c r="E828" s="114" t="n">
        <v>0</v>
      </c>
      <c r="F828" s="114" t="n">
        <v>15078.7</v>
      </c>
      <c r="G828" s="114" t="inlineStr">
        <is>
          <t>Personal</t>
        </is>
      </c>
      <c r="H828" s="114" t="inlineStr">
        <is>
          <t>FEDERAL 0847</t>
        </is>
      </c>
    </row>
    <row r="829">
      <c r="A829" s="113" t="n">
        <v>45210</v>
      </c>
      <c r="B829" s="114" t="inlineStr">
        <is>
          <t>IFN/EtgmrB2DD3NrpPoE Withdraw from 6 Weeks
Saving</t>
        </is>
      </c>
      <c r="C829" s="114" t="inlineStr"/>
      <c r="D829" s="114" t="n">
        <v>0</v>
      </c>
      <c r="E829" s="114" t="n">
        <v>2000</v>
      </c>
      <c r="F829" s="114" t="n">
        <v>15596.7</v>
      </c>
      <c r="G829" s="114" t="inlineStr">
        <is>
          <t>Misc Income</t>
        </is>
      </c>
      <c r="H829" s="114" t="inlineStr">
        <is>
          <t>FEDERAL 0847</t>
        </is>
      </c>
    </row>
    <row r="830">
      <c r="A830" s="113" t="n">
        <v>45210</v>
      </c>
      <c r="B830" s="114" t="inlineStr">
        <is>
          <t>NFT/NEOSIEXEDDD2023101104350017880 NAVI
Mutual Fun</t>
        </is>
      </c>
      <c r="C830" s="114" t="inlineStr"/>
      <c r="D830" s="114" t="n">
        <v>10</v>
      </c>
      <c r="E830" s="114" t="n">
        <v>0</v>
      </c>
      <c r="F830" s="114" t="n">
        <v>13195.7</v>
      </c>
      <c r="G830" s="114" t="inlineStr">
        <is>
          <t>Investments</t>
        </is>
      </c>
      <c r="H830" s="114" t="inlineStr">
        <is>
          <t>FEDERAL 0847</t>
        </is>
      </c>
    </row>
    <row r="831">
      <c r="A831" s="113" t="n">
        <v>45210</v>
      </c>
      <c r="B831" s="114" t="inlineStr">
        <is>
          <t>IFN/NEOSIEXEDDD2023101105401245383
Transfer to pot</t>
        </is>
      </c>
      <c r="C831" s="114" t="inlineStr"/>
      <c r="D831" s="114" t="n">
        <v>1000</v>
      </c>
      <c r="E831" s="114" t="n">
        <v>0</v>
      </c>
      <c r="F831" s="114" t="n">
        <v>12195.7</v>
      </c>
      <c r="G831" s="114" t="inlineStr">
        <is>
          <t>Suspense</t>
        </is>
      </c>
      <c r="H831" s="114" t="inlineStr">
        <is>
          <t>FEDERAL 0847</t>
        </is>
      </c>
    </row>
    <row r="832">
      <c r="A832" s="113" t="n">
        <v>45210</v>
      </c>
      <c r="B832" s="114" t="inlineStr">
        <is>
          <t>UPIOUT/328455016693/Q521635612@ybl/Sent
via /5451</t>
        </is>
      </c>
      <c r="C832" s="114" t="inlineStr"/>
      <c r="D832" s="114" t="n">
        <v>75</v>
      </c>
      <c r="E832" s="114" t="n">
        <v>0</v>
      </c>
      <c r="F832" s="114" t="n">
        <v>13205.7</v>
      </c>
      <c r="G832" s="114" t="inlineStr">
        <is>
          <t>Personal</t>
        </is>
      </c>
      <c r="H832" s="114" t="inlineStr">
        <is>
          <t>FEDERAL 0847</t>
        </is>
      </c>
    </row>
    <row r="833">
      <c r="A833" s="113" t="n">
        <v>45210</v>
      </c>
      <c r="B833" s="114" t="inlineStr">
        <is>
          <t>FD-77770701776482 closure proceeds
credited</t>
        </is>
      </c>
      <c r="C833" s="114" t="inlineStr"/>
      <c r="D833" s="114" t="n">
        <v>0</v>
      </c>
      <c r="E833" s="114" t="n">
        <v>450</v>
      </c>
      <c r="F833" s="114" t="n">
        <v>13596.7</v>
      </c>
      <c r="G833" s="114" t="inlineStr">
        <is>
          <t>Suspense</t>
        </is>
      </c>
      <c r="H833" s="114" t="inlineStr">
        <is>
          <t>FEDERAL 0847</t>
        </is>
      </c>
    </row>
    <row r="834">
      <c r="A834" s="113" t="n">
        <v>45210</v>
      </c>
      <c r="B834" s="114" t="inlineStr">
        <is>
          <t>NET PO FROM HSL A/C 2554606-50200085415108</t>
        </is>
      </c>
      <c r="C834" s="114" t="inlineStr">
        <is>
          <t>0000000455758819</t>
        </is>
      </c>
      <c r="D834" s="114" t="n">
        <v>0</v>
      </c>
      <c r="E834" s="114" t="n">
        <v>349.91</v>
      </c>
      <c r="F834" s="114" t="n">
        <v>76615.85000000001</v>
      </c>
      <c r="G834" s="114" t="inlineStr">
        <is>
          <t>HDFC Securities</t>
        </is>
      </c>
      <c r="H834" s="114" t="inlineStr">
        <is>
          <t>HDFC 5413</t>
        </is>
      </c>
    </row>
    <row r="835">
      <c r="A835" s="113" t="n">
        <v>45210</v>
      </c>
      <c r="B835" s="114" t="inlineStr">
        <is>
          <t>NET PAYIN TO BSE MF A/C -57500000389146- FROM A/C -50100128155413- UCC -2554606-57500000389146</t>
        </is>
      </c>
      <c r="C835" s="114" t="inlineStr">
        <is>
          <t>0000000455833766</t>
        </is>
      </c>
      <c r="D835" s="114" t="n">
        <v>3000</v>
      </c>
      <c r="E835" s="114" t="n">
        <v>0</v>
      </c>
      <c r="F835" s="114" t="n">
        <v>73615.85000000001</v>
      </c>
      <c r="G835" s="114" t="inlineStr">
        <is>
          <t>Investments</t>
        </is>
      </c>
      <c r="H835" s="114" t="inlineStr">
        <is>
          <t>HDFC 5413</t>
        </is>
      </c>
    </row>
    <row r="836">
      <c r="A836" s="113" t="n">
        <v>45210</v>
      </c>
      <c r="B836" s="114" t="inlineStr">
        <is>
          <t>NET PI TO HSL SEC A/C 2554606-00602340029427</t>
        </is>
      </c>
      <c r="C836" s="114" t="inlineStr">
        <is>
          <t>0000000455919749</t>
        </is>
      </c>
      <c r="D836" s="114" t="n">
        <v>69.08</v>
      </c>
      <c r="E836" s="114" t="n">
        <v>0</v>
      </c>
      <c r="F836" s="114" t="n">
        <v>73546.77</v>
      </c>
      <c r="G836" s="114" t="inlineStr">
        <is>
          <t>HDFC Securities</t>
        </is>
      </c>
      <c r="H836" s="114" t="inlineStr">
        <is>
          <t>HDFC 5413</t>
        </is>
      </c>
    </row>
    <row r="837">
      <c r="A837" s="113" t="n">
        <v>45210</v>
      </c>
      <c r="B837" s="114" t="inlineStr">
        <is>
          <t>IFN/INBINBFT20231011032553605 Jupiter
Rewards</t>
        </is>
      </c>
      <c r="C837" s="114" t="inlineStr"/>
      <c r="D837" s="114" t="n">
        <v>0</v>
      </c>
      <c r="E837" s="114" t="n">
        <v>200</v>
      </c>
      <c r="F837" s="114" t="n">
        <v>15796.7</v>
      </c>
      <c r="G837" s="114" t="inlineStr">
        <is>
          <t>Misc Income</t>
        </is>
      </c>
      <c r="H837" s="114" t="inlineStr">
        <is>
          <t>FEDERAL 0847</t>
        </is>
      </c>
    </row>
    <row r="838">
      <c r="A838" s="113" t="n">
        <v>45210</v>
      </c>
      <c r="B838" s="114" t="inlineStr">
        <is>
          <t>FD-77770300389653 closure proceeds
credited</t>
        </is>
      </c>
      <c r="C838" s="114" t="inlineStr"/>
      <c r="D838" s="114" t="n">
        <v>0</v>
      </c>
      <c r="E838" s="114" t="n">
        <v>1001</v>
      </c>
      <c r="F838" s="114" t="n">
        <v>13146.7</v>
      </c>
      <c r="G838" s="114" t="inlineStr">
        <is>
          <t>Suspense</t>
        </is>
      </c>
      <c r="H838" s="114" t="inlineStr">
        <is>
          <t>FEDERAL 0847</t>
        </is>
      </c>
    </row>
    <row r="839">
      <c r="A839" s="113" t="n">
        <v>45210</v>
      </c>
      <c r="B839" s="114" t="inlineStr">
        <is>
          <t>IFN/NEOSIEXEDDD2023101106330220186
Transfer to sup</t>
        </is>
      </c>
      <c r="C839" s="114" t="inlineStr"/>
      <c r="D839" s="114" t="n">
        <v>50</v>
      </c>
      <c r="E839" s="114" t="n">
        <v>0</v>
      </c>
      <c r="F839" s="114" t="n">
        <v>12145.7</v>
      </c>
      <c r="G839" s="114" t="inlineStr">
        <is>
          <t>Suspense</t>
        </is>
      </c>
      <c r="H839" s="114" t="inlineStr">
        <is>
          <t>FEDERAL 0847</t>
        </is>
      </c>
    </row>
    <row r="840">
      <c r="A840" s="113" t="n">
        <v>45211</v>
      </c>
      <c r="B840" s="114" t="inlineStr">
        <is>
          <t>NFT/NEOSIEXEDDD2023101204361934171 NAVI
Mutual Fun</t>
        </is>
      </c>
      <c r="C840" s="114" t="inlineStr"/>
      <c r="D840" s="114" t="n">
        <v>10</v>
      </c>
      <c r="E840" s="114" t="n">
        <v>0</v>
      </c>
      <c r="F840" s="114" t="n">
        <v>15786.7</v>
      </c>
      <c r="G840" s="114" t="inlineStr">
        <is>
          <t>Investments</t>
        </is>
      </c>
      <c r="H840" s="114" t="inlineStr">
        <is>
          <t>FEDERAL 0847</t>
        </is>
      </c>
    </row>
    <row r="841">
      <c r="A841" s="113" t="n">
        <v>45211</v>
      </c>
      <c r="B841" s="114" t="inlineStr">
        <is>
          <t>UPIOUT/328512390943/Q738150595@ybl/Sent
via /5943</t>
        </is>
      </c>
      <c r="C841" s="114" t="inlineStr"/>
      <c r="D841" s="114" t="n">
        <v>10</v>
      </c>
      <c r="E841" s="114" t="n">
        <v>0</v>
      </c>
      <c r="F841" s="114" t="n">
        <v>15776.7</v>
      </c>
      <c r="G841" s="114" t="inlineStr">
        <is>
          <t>Personal</t>
        </is>
      </c>
      <c r="H841" s="114" t="inlineStr">
        <is>
          <t>FEDERAL 0847</t>
        </is>
      </c>
    </row>
    <row r="842">
      <c r="A842" s="113" t="n">
        <v>45211</v>
      </c>
      <c r="B842" s="114" t="inlineStr">
        <is>
          <t>ACH C- POWER MECH PROJECTS-715399</t>
        </is>
      </c>
      <c r="C842" s="114" t="inlineStr">
        <is>
          <t>0000006414479535</t>
        </is>
      </c>
      <c r="D842" s="114" t="n">
        <v>0</v>
      </c>
      <c r="E842" s="114" t="n">
        <v>90</v>
      </c>
      <c r="F842" s="114" t="n">
        <v>72607.39999999999</v>
      </c>
      <c r="G842" s="114" t="inlineStr">
        <is>
          <t>Dividend Income</t>
        </is>
      </c>
      <c r="H842" s="114" t="inlineStr">
        <is>
          <t>HDFC 5413</t>
        </is>
      </c>
    </row>
    <row r="843">
      <c r="A843" s="113" t="n">
        <v>45211</v>
      </c>
      <c r="B843" s="114" t="inlineStr">
        <is>
          <t>NET PO FROM HSL A/C 2554606-50200085415108</t>
        </is>
      </c>
      <c r="C843" s="114" t="inlineStr">
        <is>
          <t>0000000456133580</t>
        </is>
      </c>
      <c r="D843" s="114" t="n">
        <v>0</v>
      </c>
      <c r="E843" s="114" t="n">
        <v>184.48</v>
      </c>
      <c r="F843" s="114" t="n">
        <v>73731.25</v>
      </c>
      <c r="G843" s="114" t="inlineStr">
        <is>
          <t>HDFC Securities</t>
        </is>
      </c>
      <c r="H843" s="114" t="inlineStr">
        <is>
          <t>HDFC 5413</t>
        </is>
      </c>
    </row>
    <row r="844">
      <c r="A844" s="113" t="n">
        <v>45211</v>
      </c>
      <c r="B844" s="114" t="inlineStr">
        <is>
          <t>NET PI TO HSL SEC A/C 2554606-00602340029427</t>
        </is>
      </c>
      <c r="C844" s="114" t="inlineStr">
        <is>
          <t>0000000456284882</t>
        </is>
      </c>
      <c r="D844" s="114" t="n">
        <v>69.25</v>
      </c>
      <c r="E844" s="114" t="n">
        <v>0</v>
      </c>
      <c r="F844" s="114" t="n">
        <v>73662</v>
      </c>
      <c r="G844" s="114" t="inlineStr">
        <is>
          <t>HDFC Securities</t>
        </is>
      </c>
      <c r="H844" s="114" t="inlineStr">
        <is>
          <t>HDFC 5413</t>
        </is>
      </c>
    </row>
    <row r="845">
      <c r="A845" s="113" t="n">
        <v>45211</v>
      </c>
      <c r="B845" s="114" t="inlineStr">
        <is>
          <t>DEPOSITORY CHARGES SEP23 - 52812428</t>
        </is>
      </c>
      <c r="C845" s="114" t="inlineStr">
        <is>
          <t>000000000000000</t>
        </is>
      </c>
      <c r="D845" s="114" t="n">
        <v>1144.6</v>
      </c>
      <c r="E845" s="114" t="n">
        <v>0</v>
      </c>
      <c r="F845" s="114" t="n">
        <v>72517.39999999999</v>
      </c>
      <c r="G845" s="114" t="inlineStr">
        <is>
          <t>Depository Charges</t>
        </is>
      </c>
      <c r="H845" s="114" t="inlineStr">
        <is>
          <t>HDFC 5413</t>
        </is>
      </c>
    </row>
    <row r="846">
      <c r="A846" s="113" t="n">
        <v>45211</v>
      </c>
      <c r="B846" s="114" t="inlineStr">
        <is>
          <t>NET PI TO HSL SEC A/C 2554606-00602340029427</t>
        </is>
      </c>
      <c r="C846" s="114" t="inlineStr">
        <is>
          <t>0000000456404952</t>
        </is>
      </c>
      <c r="D846" s="114" t="n">
        <v>7309.53</v>
      </c>
      <c r="E846" s="114" t="n">
        <v>0</v>
      </c>
      <c r="F846" s="114" t="n">
        <v>65297.87</v>
      </c>
      <c r="G846" s="114" t="inlineStr">
        <is>
          <t>HDFC Securities</t>
        </is>
      </c>
      <c r="H846" s="114" t="inlineStr">
        <is>
          <t>HDFC 5413</t>
        </is>
      </c>
    </row>
    <row r="847">
      <c r="A847" s="113" t="n">
        <v>45211</v>
      </c>
      <c r="B847" s="114" t="inlineStr">
        <is>
          <t xml:space="preserve">   BY TRANSFER-INB Deposit / Investment--</t>
        </is>
      </c>
      <c r="C847" s="114" t="inlineStr">
        <is>
          <t>IF38973887               TRANSFER FROM 20276981227</t>
        </is>
      </c>
      <c r="D847" s="114" t="n">
        <v>0</v>
      </c>
      <c r="E847" s="114" t="n">
        <v>5000</v>
      </c>
      <c r="F847" s="114" t="n">
        <v>22941</v>
      </c>
      <c r="G847" s="114" t="inlineStr">
        <is>
          <t>Suspense</t>
        </is>
      </c>
      <c r="H847" s="114" t="inlineStr">
        <is>
          <t>SBI 1227</t>
        </is>
      </c>
    </row>
    <row r="848">
      <c r="A848" s="113" t="n">
        <v>45212</v>
      </c>
      <c r="B848" s="114" t="inlineStr">
        <is>
          <t>NFT/NEOSIEXEDDD2023101304362004453 NAVI
Mutual Fun</t>
        </is>
      </c>
      <c r="C848" s="114" t="inlineStr"/>
      <c r="D848" s="114" t="n">
        <v>10</v>
      </c>
      <c r="E848" s="114" t="n">
        <v>0</v>
      </c>
      <c r="F848" s="114" t="n">
        <v>15666.7</v>
      </c>
      <c r="G848" s="114" t="inlineStr">
        <is>
          <t>Investments</t>
        </is>
      </c>
      <c r="H848" s="114" t="inlineStr">
        <is>
          <t>FEDERAL 0847</t>
        </is>
      </c>
    </row>
    <row r="849">
      <c r="A849" s="113" t="n">
        <v>45212</v>
      </c>
      <c r="B849" s="114" t="inlineStr">
        <is>
          <t>UPIOUT/328677963842/Q521635612@ybl/Sent
via /5451</t>
        </is>
      </c>
      <c r="C849" s="114" t="inlineStr"/>
      <c r="D849" s="114" t="n">
        <v>75</v>
      </c>
      <c r="E849" s="114" t="n">
        <v>0</v>
      </c>
      <c r="F849" s="114" t="n">
        <v>15442.7</v>
      </c>
      <c r="G849" s="114" t="inlineStr">
        <is>
          <t>Personal</t>
        </is>
      </c>
      <c r="H849" s="114" t="inlineStr">
        <is>
          <t>FEDERAL 0847</t>
        </is>
      </c>
    </row>
    <row r="850">
      <c r="A850" s="113" t="n">
        <v>45212</v>
      </c>
      <c r="B850" s="114" t="inlineStr">
        <is>
          <t>NET PI TO HSL SEC A/C 2554606-00602340029427</t>
        </is>
      </c>
      <c r="C850" s="114" t="inlineStr">
        <is>
          <t>0000000456780830</t>
        </is>
      </c>
      <c r="D850" s="114" t="n">
        <v>647.8099999999999</v>
      </c>
      <c r="E850" s="114" t="n">
        <v>0</v>
      </c>
      <c r="F850" s="114" t="n">
        <v>78681.72</v>
      </c>
      <c r="G850" s="114" t="inlineStr">
        <is>
          <t>HDFC Securities</t>
        </is>
      </c>
      <c r="H850" s="114" t="inlineStr">
        <is>
          <t>HDFC 5413</t>
        </is>
      </c>
    </row>
    <row r="851">
      <c r="A851" s="113" t="n">
        <v>45212</v>
      </c>
      <c r="B851" s="114" t="inlineStr">
        <is>
          <t>NET PI TO HSL SEC A/C 2554606-00602340029427</t>
        </is>
      </c>
      <c r="C851" s="114" t="inlineStr">
        <is>
          <t>0000000456727280</t>
        </is>
      </c>
      <c r="D851" s="114" t="n">
        <v>6551.64</v>
      </c>
      <c r="E851" s="114" t="n">
        <v>0</v>
      </c>
      <c r="F851" s="114" t="n">
        <v>79329.53</v>
      </c>
      <c r="G851" s="114" t="inlineStr">
        <is>
          <t>HDFC Securities</t>
        </is>
      </c>
      <c r="H851" s="114" t="inlineStr">
        <is>
          <t>HDFC 5413</t>
        </is>
      </c>
    </row>
    <row r="852">
      <c r="A852" s="113" t="n">
        <v>45212</v>
      </c>
      <c r="B852" s="114" t="inlineStr">
        <is>
          <t>NET PI TO HSL SEC A/C 2554606-00602340029427</t>
        </is>
      </c>
      <c r="C852" s="114" t="inlineStr">
        <is>
          <t>0000000456637637</t>
        </is>
      </c>
      <c r="D852" s="114" t="n">
        <v>65.73999999999999</v>
      </c>
      <c r="E852" s="114" t="n">
        <v>0</v>
      </c>
      <c r="F852" s="114" t="n">
        <v>85881.17</v>
      </c>
      <c r="G852" s="114" t="inlineStr">
        <is>
          <t>HDFC Securities</t>
        </is>
      </c>
      <c r="H852" s="114" t="inlineStr">
        <is>
          <t>HDFC 5413</t>
        </is>
      </c>
    </row>
    <row r="853">
      <c r="A853" s="113" t="n">
        <v>45212</v>
      </c>
      <c r="B853" s="114" t="inlineStr">
        <is>
          <t>UPIOUT/328651505211/Q178744345@ybl/Sent
via /7230</t>
        </is>
      </c>
      <c r="C853" s="114" t="inlineStr"/>
      <c r="D853" s="114" t="n">
        <v>100</v>
      </c>
      <c r="E853" s="114" t="n">
        <v>0</v>
      </c>
      <c r="F853" s="114" t="n">
        <v>15676.7</v>
      </c>
      <c r="G853" s="114" t="inlineStr">
        <is>
          <t>Personal</t>
        </is>
      </c>
      <c r="H853" s="114" t="inlineStr">
        <is>
          <t>FEDERAL 0847</t>
        </is>
      </c>
    </row>
    <row r="854">
      <c r="A854" s="113" t="n">
        <v>45212</v>
      </c>
      <c r="B854" s="114" t="inlineStr">
        <is>
          <t>NET PO FROM HSL A/C 2554606-50200085415108</t>
        </is>
      </c>
      <c r="C854" s="114" t="inlineStr">
        <is>
          <t>0000000456530408</t>
        </is>
      </c>
      <c r="D854" s="114" t="n">
        <v>0</v>
      </c>
      <c r="E854" s="114" t="n">
        <v>20649.04</v>
      </c>
      <c r="F854" s="114" t="n">
        <v>85946.91</v>
      </c>
      <c r="G854" s="114" t="inlineStr">
        <is>
          <t>HDFC Securities</t>
        </is>
      </c>
      <c r="H854" s="114" t="inlineStr">
        <is>
          <t>HDFC 5413</t>
        </is>
      </c>
    </row>
    <row r="855">
      <c r="A855" s="113" t="n">
        <v>45212</v>
      </c>
      <c r="B855" s="114" t="inlineStr">
        <is>
          <t>UPIOUT/328670883824/jupiterbillpay2@fbl/BB
PS/4814</t>
        </is>
      </c>
      <c r="C855" s="114" t="inlineStr"/>
      <c r="D855" s="114" t="n">
        <v>149</v>
      </c>
      <c r="E855" s="114" t="n">
        <v>0</v>
      </c>
      <c r="F855" s="114" t="n">
        <v>15517.7</v>
      </c>
      <c r="G855" s="114" t="inlineStr">
        <is>
          <t>Personal</t>
        </is>
      </c>
      <c r="H855" s="114" t="inlineStr">
        <is>
          <t>FEDERAL 0847</t>
        </is>
      </c>
    </row>
    <row r="856">
      <c r="A856" s="113" t="n">
        <v>45213</v>
      </c>
      <c r="B856" s="114" t="inlineStr">
        <is>
          <t>FT IMPS/IFI/328718945589/RZPX PVT
LTD/Jupiter</t>
        </is>
      </c>
      <c r="C856" s="114" t="inlineStr"/>
      <c r="D856" s="114" t="n">
        <v>0</v>
      </c>
      <c r="E856" s="114" t="n">
        <v>21.89</v>
      </c>
      <c r="F856" s="114" t="n">
        <v>15454.59</v>
      </c>
      <c r="G856" s="114" t="inlineStr">
        <is>
          <t>Transfer</t>
        </is>
      </c>
      <c r="H856" s="114" t="inlineStr">
        <is>
          <t>FEDERAL 0847</t>
        </is>
      </c>
    </row>
    <row r="857">
      <c r="A857" s="113" t="n">
        <v>45213</v>
      </c>
      <c r="B857" s="114" t="inlineStr">
        <is>
          <t>NFT/NEOSIEXEDDD2023101404390676103 NAVI
Mutual Fun</t>
        </is>
      </c>
      <c r="C857" s="114" t="inlineStr"/>
      <c r="D857" s="114" t="n">
        <v>10</v>
      </c>
      <c r="E857" s="114" t="n">
        <v>0</v>
      </c>
      <c r="F857" s="114" t="n">
        <v>15432.7</v>
      </c>
      <c r="G857" s="114" t="inlineStr">
        <is>
          <t>Investments</t>
        </is>
      </c>
      <c r="H857" s="114" t="inlineStr">
        <is>
          <t>FEDERAL 0847</t>
        </is>
      </c>
    </row>
    <row r="858">
      <c r="A858" s="113" t="n">
        <v>45214</v>
      </c>
      <c r="B858" s="114" t="inlineStr">
        <is>
          <t>UPIOUT/328872542036/bombairajareddy2@ybl/S
en/0000</t>
        </is>
      </c>
      <c r="C858" s="114" t="inlineStr"/>
      <c r="D858" s="114" t="n">
        <v>102</v>
      </c>
      <c r="E858" s="114" t="n">
        <v>0</v>
      </c>
      <c r="F858" s="114" t="n">
        <v>15325.59</v>
      </c>
      <c r="G858" s="114" t="inlineStr">
        <is>
          <t>Personal</t>
        </is>
      </c>
      <c r="H858" s="114" t="inlineStr">
        <is>
          <t>FEDERAL 0847</t>
        </is>
      </c>
    </row>
    <row r="859">
      <c r="A859" s="113" t="n">
        <v>45214</v>
      </c>
      <c r="B859" s="114" t="inlineStr">
        <is>
          <t>UPI IN/328855627204/uberrides@hdfcbank/Cha
rg/0000</t>
        </is>
      </c>
      <c r="C859" s="114" t="inlineStr"/>
      <c r="D859" s="114" t="n">
        <v>0</v>
      </c>
      <c r="E859" s="114" t="n">
        <v>1</v>
      </c>
      <c r="F859" s="114" t="n">
        <v>15427.59</v>
      </c>
      <c r="G859" s="114" t="inlineStr">
        <is>
          <t>Transport</t>
        </is>
      </c>
      <c r="H859" s="114" t="inlineStr">
        <is>
          <t>FEDERAL 0847</t>
        </is>
      </c>
    </row>
    <row r="860">
      <c r="A860" s="113" t="n">
        <v>45214</v>
      </c>
      <c r="B860" s="114" t="inlineStr">
        <is>
          <t>UPIOUT/328847387456/olacabs.rzp@axisbank/P
ay/4121</t>
        </is>
      </c>
      <c r="C860" s="114" t="inlineStr"/>
      <c r="D860" s="114" t="n">
        <v>118</v>
      </c>
      <c r="E860" s="114" t="n">
        <v>0</v>
      </c>
      <c r="F860" s="114" t="n">
        <v>15327.59</v>
      </c>
      <c r="G860" s="114" t="inlineStr">
        <is>
          <t>Transport</t>
        </is>
      </c>
      <c r="H860" s="114" t="inlineStr">
        <is>
          <t>FEDERAL 0847</t>
        </is>
      </c>
    </row>
    <row r="861">
      <c r="A861" s="113" t="n">
        <v>45214</v>
      </c>
      <c r="B861" s="114" t="inlineStr">
        <is>
          <t>UPIOUT/328865999935/uberrides@hdfcbank/Ube
rR/5960</t>
        </is>
      </c>
      <c r="C861" s="114" t="inlineStr"/>
      <c r="D861" s="114" t="n">
        <v>1</v>
      </c>
      <c r="E861" s="114" t="n">
        <v>0</v>
      </c>
      <c r="F861" s="114" t="n">
        <v>15426.59</v>
      </c>
      <c r="G861" s="114" t="inlineStr">
        <is>
          <t>Transport</t>
        </is>
      </c>
      <c r="H861" s="114" t="inlineStr">
        <is>
          <t>FEDERAL 0847</t>
        </is>
      </c>
    </row>
    <row r="862">
      <c r="A862" s="113" t="n">
        <v>45214</v>
      </c>
      <c r="B862" s="114" t="inlineStr">
        <is>
          <t>UPI IN/328898684766/aayush20gupta@oksbi/UP
I/0000</t>
        </is>
      </c>
      <c r="C862" s="114" t="inlineStr"/>
      <c r="D862" s="114" t="n">
        <v>0</v>
      </c>
      <c r="E862" s="114" t="n">
        <v>1</v>
      </c>
      <c r="F862" s="114" t="n">
        <v>15455.59</v>
      </c>
      <c r="G862" s="114" t="inlineStr">
        <is>
          <t>KOTAK 0333</t>
        </is>
      </c>
      <c r="H862" s="114" t="inlineStr">
        <is>
          <t>FEDERAL 0847</t>
        </is>
      </c>
    </row>
    <row r="863">
      <c r="A863" s="113" t="n">
        <v>45214</v>
      </c>
      <c r="B863" s="114" t="inlineStr">
        <is>
          <t>NFT/NEOSIEXEDDD2023101504390239932 NAVI
Mutual Fun</t>
        </is>
      </c>
      <c r="C863" s="114" t="inlineStr"/>
      <c r="D863" s="114" t="n">
        <v>10</v>
      </c>
      <c r="E863" s="114" t="n">
        <v>0</v>
      </c>
      <c r="F863" s="114" t="n">
        <v>15445.59</v>
      </c>
      <c r="G863" s="114" t="inlineStr">
        <is>
          <t>Investments</t>
        </is>
      </c>
      <c r="H863" s="114" t="inlineStr">
        <is>
          <t>FEDERAL 0847</t>
        </is>
      </c>
    </row>
    <row r="864">
      <c r="A864" s="113" t="n">
        <v>45214</v>
      </c>
      <c r="B864" s="114" t="inlineStr">
        <is>
          <t>UPI IN/365428987264/walletmoneytobank@payt
m//0000</t>
        </is>
      </c>
      <c r="C864" s="114" t="inlineStr"/>
      <c r="D864" s="114" t="n">
        <v>0</v>
      </c>
      <c r="E864" s="114" t="n">
        <v>100</v>
      </c>
      <c r="F864" s="114" t="n">
        <v>15427.59</v>
      </c>
      <c r="G864" s="114" t="inlineStr">
        <is>
          <t>Personal</t>
        </is>
      </c>
      <c r="H864" s="114" t="inlineStr">
        <is>
          <t>FEDERAL 0847</t>
        </is>
      </c>
    </row>
    <row r="865">
      <c r="A865" s="113" t="n">
        <v>45215</v>
      </c>
      <c r="B865" s="114" t="inlineStr">
        <is>
          <t>NET PI TO HSL SEC A/C 2554606-00602340029427</t>
        </is>
      </c>
      <c r="C865" s="114" t="inlineStr">
        <is>
          <t>0000000457083132</t>
        </is>
      </c>
      <c r="D865" s="114" t="n">
        <v>227.46</v>
      </c>
      <c r="E865" s="114" t="n">
        <v>0</v>
      </c>
      <c r="F865" s="114" t="n">
        <v>78454.25999999999</v>
      </c>
      <c r="G865" s="114" t="inlineStr">
        <is>
          <t>HDFC Securities</t>
        </is>
      </c>
      <c r="H865" s="114" t="inlineStr">
        <is>
          <t>HDFC 5413</t>
        </is>
      </c>
    </row>
    <row r="866">
      <c r="A866" s="113" t="n">
        <v>45215</v>
      </c>
      <c r="B866" s="114" t="inlineStr">
        <is>
          <t>NET PI TO HSL SEC A/C 2554606-00602340029427</t>
        </is>
      </c>
      <c r="C866" s="114" t="inlineStr">
        <is>
          <t>0000000457223504</t>
        </is>
      </c>
      <c r="D866" s="114" t="n">
        <v>319.22</v>
      </c>
      <c r="E866" s="114" t="n">
        <v>0</v>
      </c>
      <c r="F866" s="114" t="n">
        <v>78165.03999999999</v>
      </c>
      <c r="G866" s="114" t="inlineStr">
        <is>
          <t>HDFC Securities</t>
        </is>
      </c>
      <c r="H866" s="114" t="inlineStr">
        <is>
          <t>HDFC 5413</t>
        </is>
      </c>
    </row>
    <row r="867">
      <c r="A867" s="113" t="n">
        <v>45215</v>
      </c>
      <c r="B867" s="114" t="inlineStr">
        <is>
          <t>ACH C- TEXMACO RAIL &amp; ENGIN-1388123</t>
        </is>
      </c>
      <c r="C867" s="114" t="inlineStr">
        <is>
          <t>0000006530918789</t>
        </is>
      </c>
      <c r="D867" s="114" t="n">
        <v>0</v>
      </c>
      <c r="E867" s="114" t="n">
        <v>30</v>
      </c>
      <c r="F867" s="114" t="n">
        <v>78484.25999999999</v>
      </c>
      <c r="G867" s="114" t="inlineStr">
        <is>
          <t>Dividend Income</t>
        </is>
      </c>
      <c r="H867" s="114" t="inlineStr">
        <is>
          <t>HDFC 5413</t>
        </is>
      </c>
    </row>
    <row r="868">
      <c r="A868" s="113" t="n">
        <v>45215</v>
      </c>
      <c r="B868" s="114" t="inlineStr">
        <is>
          <t>UPIOUT/328981486926/olacabs.rzp@axisbank/P
ay/4121</t>
        </is>
      </c>
      <c r="C868" s="114" t="inlineStr"/>
      <c r="D868" s="114" t="n">
        <v>274</v>
      </c>
      <c r="E868" s="114" t="n">
        <v>0</v>
      </c>
      <c r="F868" s="114" t="n">
        <v>15051.59</v>
      </c>
      <c r="G868" s="114" t="inlineStr">
        <is>
          <t>Transport</t>
        </is>
      </c>
      <c r="H868" s="114" t="inlineStr">
        <is>
          <t>FEDERAL 0847</t>
        </is>
      </c>
    </row>
    <row r="869">
      <c r="A869" s="113" t="n">
        <v>45215</v>
      </c>
      <c r="B869" s="114" t="inlineStr">
        <is>
          <t>NFT/NEOSIEXEDDD2023101604385515255 NAVI
Mutual Fun</t>
        </is>
      </c>
      <c r="C869" s="114" t="inlineStr"/>
      <c r="D869" s="114" t="n">
        <v>10</v>
      </c>
      <c r="E869" s="114" t="n">
        <v>0</v>
      </c>
      <c r="F869" s="114" t="n">
        <v>15041.59</v>
      </c>
      <c r="G869" s="114" t="inlineStr">
        <is>
          <t>Investments</t>
        </is>
      </c>
      <c r="H869" s="114" t="inlineStr">
        <is>
          <t>FEDERAL 0847</t>
        </is>
      </c>
    </row>
    <row r="870">
      <c r="A870" s="113" t="n">
        <v>45216</v>
      </c>
      <c r="B870" s="114" t="inlineStr">
        <is>
          <t>NET PI TO HSL SEC A/C 2554606-00602340029427</t>
        </is>
      </c>
      <c r="C870" s="114" t="inlineStr">
        <is>
          <t>0000000457464696</t>
        </is>
      </c>
      <c r="D870" s="114" t="n">
        <v>75.66</v>
      </c>
      <c r="E870" s="114" t="n">
        <v>0</v>
      </c>
      <c r="F870" s="114" t="n">
        <v>78089.38</v>
      </c>
      <c r="G870" s="114" t="inlineStr">
        <is>
          <t>HDFC Securities</t>
        </is>
      </c>
      <c r="H870" s="114" t="inlineStr">
        <is>
          <t>HDFC 5413</t>
        </is>
      </c>
    </row>
    <row r="871">
      <c r="A871" s="113" t="n">
        <v>45216</v>
      </c>
      <c r="B871" s="114" t="inlineStr">
        <is>
          <t>NET PI TO HSL SEC A/C 2554606-00602340029427</t>
        </is>
      </c>
      <c r="C871" s="114" t="inlineStr">
        <is>
          <t>0000000457598817</t>
        </is>
      </c>
      <c r="D871" s="114" t="n">
        <v>26216.46</v>
      </c>
      <c r="E871" s="114" t="n">
        <v>0</v>
      </c>
      <c r="F871" s="114" t="n">
        <v>51872.92</v>
      </c>
      <c r="G871" s="114" t="inlineStr">
        <is>
          <t>HDFC Securities</t>
        </is>
      </c>
      <c r="H871" s="114" t="inlineStr">
        <is>
          <t>HDFC 5413</t>
        </is>
      </c>
    </row>
    <row r="872">
      <c r="A872" s="113" t="n">
        <v>45216</v>
      </c>
      <c r="B872" s="114" t="inlineStr">
        <is>
          <t>NFT/NEOSIEXEDDD2023101704370912056 NAVI
Mutual Fun</t>
        </is>
      </c>
      <c r="C872" s="114" t="inlineStr"/>
      <c r="D872" s="114" t="n">
        <v>10</v>
      </c>
      <c r="E872" s="114" t="n">
        <v>0</v>
      </c>
      <c r="F872" s="114" t="n">
        <v>15031.59</v>
      </c>
      <c r="G872" s="114" t="inlineStr">
        <is>
          <t>Investments</t>
        </is>
      </c>
      <c r="H872" s="114" t="inlineStr">
        <is>
          <t>FEDERAL 0847</t>
        </is>
      </c>
    </row>
    <row r="873">
      <c r="A873" s="113" t="n">
        <v>45217</v>
      </c>
      <c r="B873" s="114" t="inlineStr">
        <is>
          <t>NFT/NEOSIEXEDDD2023101804405565392 NAVI
Mutual Fun</t>
        </is>
      </c>
      <c r="C873" s="114" t="inlineStr"/>
      <c r="D873" s="114" t="n">
        <v>10</v>
      </c>
      <c r="E873" s="114" t="n">
        <v>0</v>
      </c>
      <c r="F873" s="114" t="n">
        <v>15021.59</v>
      </c>
      <c r="G873" s="114" t="inlineStr">
        <is>
          <t>Investments</t>
        </is>
      </c>
      <c r="H873" s="114" t="inlineStr">
        <is>
          <t>FEDERAL 0847</t>
        </is>
      </c>
    </row>
    <row r="874">
      <c r="A874" s="113" t="n">
        <v>45217</v>
      </c>
      <c r="B874" s="114" t="inlineStr">
        <is>
          <t>UPIOUT/329179397426/uber@axisbank/charge/4
121</t>
        </is>
      </c>
      <c r="C874" s="114" t="inlineStr"/>
      <c r="D874" s="114" t="n">
        <v>1</v>
      </c>
      <c r="E874" s="114" t="n">
        <v>0</v>
      </c>
      <c r="F874" s="114" t="n">
        <v>15020.59</v>
      </c>
      <c r="G874" s="114" t="inlineStr">
        <is>
          <t>Transport</t>
        </is>
      </c>
      <c r="H874" s="114" t="inlineStr">
        <is>
          <t>FEDERAL 0847</t>
        </is>
      </c>
    </row>
    <row r="875">
      <c r="A875" s="113" t="n">
        <v>45217</v>
      </c>
      <c r="B875" s="114" t="inlineStr">
        <is>
          <t>UPIOUT/329180657757/7780191548@axl/Sent
via /0000</t>
        </is>
      </c>
      <c r="C875" s="114" t="inlineStr"/>
      <c r="D875" s="114" t="n">
        <v>82</v>
      </c>
      <c r="E875" s="114" t="n">
        <v>0</v>
      </c>
      <c r="F875" s="114" t="n">
        <v>14938.59</v>
      </c>
      <c r="G875" s="114" t="inlineStr">
        <is>
          <t>Personal</t>
        </is>
      </c>
      <c r="H875" s="114" t="inlineStr">
        <is>
          <t>FEDERAL 0847</t>
        </is>
      </c>
    </row>
    <row r="876">
      <c r="A876" s="113" t="n">
        <v>45217</v>
      </c>
      <c r="B876" s="114" t="inlineStr">
        <is>
          <t>NET PO FROM HSL A/C 2554606-50200085415108</t>
        </is>
      </c>
      <c r="C876" s="114" t="inlineStr">
        <is>
          <t>0000000457725062</t>
        </is>
      </c>
      <c r="D876" s="114" t="n">
        <v>0</v>
      </c>
      <c r="E876" s="114" t="n">
        <v>60857.97</v>
      </c>
      <c r="F876" s="114" t="n">
        <v>112730.89</v>
      </c>
      <c r="G876" s="114" t="inlineStr">
        <is>
          <t>HDFC Securities</t>
        </is>
      </c>
      <c r="H876" s="114" t="inlineStr">
        <is>
          <t>HDFC 5413</t>
        </is>
      </c>
    </row>
    <row r="877">
      <c r="A877" s="113" t="n">
        <v>45217</v>
      </c>
      <c r="B877" s="114" t="inlineStr">
        <is>
          <t>NET PI TO HSL SEC A/C 2554606-00602340029427</t>
        </is>
      </c>
      <c r="C877" s="114" t="inlineStr">
        <is>
          <t>0000000457857495</t>
        </is>
      </c>
      <c r="D877" s="114" t="n">
        <v>62.73</v>
      </c>
      <c r="E877" s="114" t="n">
        <v>0</v>
      </c>
      <c r="F877" s="114" t="n">
        <v>112668.16</v>
      </c>
      <c r="G877" s="114" t="inlineStr">
        <is>
          <t>HDFC Securities</t>
        </is>
      </c>
      <c r="H877" s="114" t="inlineStr">
        <is>
          <t>HDFC 5413</t>
        </is>
      </c>
    </row>
    <row r="878">
      <c r="A878" s="113" t="n">
        <v>45217</v>
      </c>
      <c r="B878" s="114" t="inlineStr">
        <is>
          <t>NET PI TO HSL SEC A/C 2554606-00602340029427</t>
        </is>
      </c>
      <c r="C878" s="114" t="inlineStr">
        <is>
          <t>0000000458010512</t>
        </is>
      </c>
      <c r="D878" s="114" t="n">
        <v>2873.28</v>
      </c>
      <c r="E878" s="114" t="n">
        <v>0</v>
      </c>
      <c r="F878" s="114" t="n">
        <v>109794.88</v>
      </c>
      <c r="G878" s="114" t="inlineStr">
        <is>
          <t>HDFC Securities</t>
        </is>
      </c>
      <c r="H878" s="114" t="inlineStr">
        <is>
          <t>HDFC 5413</t>
        </is>
      </c>
    </row>
    <row r="879">
      <c r="A879" s="113" t="n">
        <v>45218</v>
      </c>
      <c r="B879" s="114" t="inlineStr">
        <is>
          <t>UPIOUT/329257126241/9396816736@ybl/Sent
via /0000</t>
        </is>
      </c>
      <c r="C879" s="114" t="inlineStr"/>
      <c r="D879" s="114" t="n">
        <v>30</v>
      </c>
      <c r="E879" s="114" t="n">
        <v>0</v>
      </c>
      <c r="F879" s="114" t="n">
        <v>14898.59</v>
      </c>
      <c r="G879" s="114" t="inlineStr">
        <is>
          <t>Personal</t>
        </is>
      </c>
      <c r="H879" s="114" t="inlineStr">
        <is>
          <t>FEDERAL 0847</t>
        </is>
      </c>
    </row>
    <row r="880">
      <c r="A880" s="113" t="n">
        <v>45218</v>
      </c>
      <c r="B880" s="114" t="inlineStr">
        <is>
          <t>NET PI TO HSL SEC A/C 2554606-00602340029427</t>
        </is>
      </c>
      <c r="C880" s="114" t="inlineStr">
        <is>
          <t>0000000458248864</t>
        </is>
      </c>
      <c r="D880" s="114" t="n">
        <v>61.32</v>
      </c>
      <c r="E880" s="114" t="n">
        <v>0</v>
      </c>
      <c r="F880" s="114" t="n">
        <v>109733.56</v>
      </c>
      <c r="G880" s="114" t="inlineStr">
        <is>
          <t>HDFC Securities</t>
        </is>
      </c>
      <c r="H880" s="114" t="inlineStr">
        <is>
          <t>HDFC 5413</t>
        </is>
      </c>
    </row>
    <row r="881">
      <c r="A881" s="113" t="n">
        <v>45218</v>
      </c>
      <c r="B881" s="114" t="inlineStr">
        <is>
          <t>NET PI TO HSL SEC A/C 2554606-00602340029427</t>
        </is>
      </c>
      <c r="C881" s="114" t="inlineStr">
        <is>
          <t>0000000458400705</t>
        </is>
      </c>
      <c r="D881" s="114" t="n">
        <v>31771.79</v>
      </c>
      <c r="E881" s="114" t="n">
        <v>0</v>
      </c>
      <c r="F881" s="114" t="n">
        <v>77961.77</v>
      </c>
      <c r="G881" s="114" t="inlineStr">
        <is>
          <t>HDFC Securities</t>
        </is>
      </c>
      <c r="H881" s="114" t="inlineStr">
        <is>
          <t>HDFC 5413</t>
        </is>
      </c>
    </row>
    <row r="882">
      <c r="A882" s="113" t="n">
        <v>45218</v>
      </c>
      <c r="B882" s="114" t="inlineStr">
        <is>
          <t>NFT/NEOSIEXEDDD2023101904395526401 NAVI
Mutual Fun</t>
        </is>
      </c>
      <c r="C882" s="114" t="inlineStr"/>
      <c r="D882" s="114" t="n">
        <v>10</v>
      </c>
      <c r="E882" s="114" t="n">
        <v>0</v>
      </c>
      <c r="F882" s="114" t="n">
        <v>14928.59</v>
      </c>
      <c r="G882" s="114" t="inlineStr">
        <is>
          <t>Investments</t>
        </is>
      </c>
      <c r="H882" s="114" t="inlineStr">
        <is>
          <t>FEDERAL 0847</t>
        </is>
      </c>
    </row>
    <row r="883">
      <c r="A883" s="113" t="n">
        <v>45219</v>
      </c>
      <c r="B883" s="114" t="inlineStr">
        <is>
          <t>NET PO FROM HSL A/C 2554606-50200085415108</t>
        </is>
      </c>
      <c r="C883" s="114" t="inlineStr">
        <is>
          <t>0000000458515842</t>
        </is>
      </c>
      <c r="D883" s="114" t="n">
        <v>0</v>
      </c>
      <c r="E883" s="114" t="n">
        <v>1460.8</v>
      </c>
      <c r="F883" s="114" t="n">
        <v>79422.57000000001</v>
      </c>
      <c r="G883" s="114" t="inlineStr">
        <is>
          <t>HDFC Securities</t>
        </is>
      </c>
      <c r="H883" s="114" t="inlineStr">
        <is>
          <t>HDFC 5413</t>
        </is>
      </c>
    </row>
    <row r="884">
      <c r="A884" s="113" t="n">
        <v>45219</v>
      </c>
      <c r="B884" s="114" t="inlineStr">
        <is>
          <t>NET PI TO HSL SEC A/C 2554606-00602340029427</t>
        </is>
      </c>
      <c r="C884" s="114" t="inlineStr">
        <is>
          <t>0000000458653511</t>
        </is>
      </c>
      <c r="D884" s="114" t="n">
        <v>49.6</v>
      </c>
      <c r="E884" s="114" t="n">
        <v>0</v>
      </c>
      <c r="F884" s="114" t="n">
        <v>79372.97</v>
      </c>
      <c r="G884" s="114" t="inlineStr">
        <is>
          <t>HDFC Securities</t>
        </is>
      </c>
      <c r="H884" s="114" t="inlineStr">
        <is>
          <t>HDFC 5413</t>
        </is>
      </c>
    </row>
    <row r="885">
      <c r="A885" s="113" t="n">
        <v>45219</v>
      </c>
      <c r="B885" s="114" t="inlineStr">
        <is>
          <t>NET PI TO HSL SEC A/C 2554606-00602340029427</t>
        </is>
      </c>
      <c r="C885" s="114" t="inlineStr">
        <is>
          <t>0000000458768595</t>
        </is>
      </c>
      <c r="D885" s="114" t="n">
        <v>17985.04</v>
      </c>
      <c r="E885" s="114" t="n">
        <v>0</v>
      </c>
      <c r="F885" s="114" t="n">
        <v>61387.93</v>
      </c>
      <c r="G885" s="114" t="inlineStr">
        <is>
          <t>HDFC Securities</t>
        </is>
      </c>
      <c r="H885" s="114" t="inlineStr">
        <is>
          <t>HDFC 5413</t>
        </is>
      </c>
    </row>
    <row r="886">
      <c r="A886" s="113" t="n">
        <v>45219</v>
      </c>
      <c r="B886" s="114" t="inlineStr">
        <is>
          <t>NET PI TO HSL SEC A/C 2554606-00602340029427</t>
        </is>
      </c>
      <c r="C886" s="114" t="inlineStr">
        <is>
          <t>0000000458826031</t>
        </is>
      </c>
      <c r="D886" s="114" t="n">
        <v>9016.77</v>
      </c>
      <c r="E886" s="114" t="n">
        <v>0</v>
      </c>
      <c r="F886" s="114" t="n">
        <v>52371.16</v>
      </c>
      <c r="G886" s="114" t="inlineStr">
        <is>
          <t>HDFC Securities</t>
        </is>
      </c>
      <c r="H886" s="114" t="inlineStr">
        <is>
          <t>HDFC 5413</t>
        </is>
      </c>
    </row>
    <row r="887">
      <c r="A887" s="113" t="n">
        <v>45220</v>
      </c>
      <c r="B887" s="114" t="inlineStr">
        <is>
          <t>NFT/NEOSIEXEDDD2023102102430284576 Mirae
Asset Mut</t>
        </is>
      </c>
      <c r="C887" s="114" t="inlineStr"/>
      <c r="D887" s="114" t="n">
        <v>1000</v>
      </c>
      <c r="E887" s="114" t="n">
        <v>0</v>
      </c>
      <c r="F887" s="114" t="n">
        <v>13798.59</v>
      </c>
      <c r="G887" s="114" t="inlineStr">
        <is>
          <t>Investments</t>
        </is>
      </c>
      <c r="H887" s="114" t="inlineStr">
        <is>
          <t>FEDERAL 0847</t>
        </is>
      </c>
    </row>
    <row r="888">
      <c r="A888" s="113" t="n">
        <v>45220</v>
      </c>
      <c r="B888" s="114" t="inlineStr">
        <is>
          <t>NFT/NEOSIEXEDDD2023102112362546460 NAVI
Mutual Fun</t>
        </is>
      </c>
      <c r="C888" s="114" t="inlineStr"/>
      <c r="D888" s="114" t="n">
        <v>100</v>
      </c>
      <c r="E888" s="114" t="n">
        <v>0</v>
      </c>
      <c r="F888" s="114" t="n">
        <v>14798.59</v>
      </c>
      <c r="G888" s="114" t="inlineStr">
        <is>
          <t>Investments</t>
        </is>
      </c>
      <c r="H888" s="114" t="inlineStr">
        <is>
          <t>FEDERAL 0847</t>
        </is>
      </c>
    </row>
    <row r="889">
      <c r="A889" s="113" t="n">
        <v>45220</v>
      </c>
      <c r="B889" s="114" t="inlineStr">
        <is>
          <t>NFT/NEOSIEXEDDD2023102103115667953 Quant
Mutual Fu</t>
        </is>
      </c>
      <c r="C889" s="114" t="inlineStr"/>
      <c r="D889" s="114" t="n">
        <v>1000</v>
      </c>
      <c r="E889" s="114" t="n">
        <v>0</v>
      </c>
      <c r="F889" s="114" t="n">
        <v>12798.59</v>
      </c>
      <c r="G889" s="114" t="inlineStr">
        <is>
          <t>Investments</t>
        </is>
      </c>
      <c r="H889" s="114" t="inlineStr">
        <is>
          <t>FEDERAL 0847</t>
        </is>
      </c>
    </row>
    <row r="890">
      <c r="A890" s="113" t="n">
        <v>45221</v>
      </c>
      <c r="B890" s="114" t="inlineStr">
        <is>
          <t>NFT/NEOSIEXEDDD2023102212352368958 NAVI
Mutual Fun</t>
        </is>
      </c>
      <c r="C890" s="114" t="inlineStr"/>
      <c r="D890" s="114" t="n">
        <v>100</v>
      </c>
      <c r="E890" s="114" t="n">
        <v>0</v>
      </c>
      <c r="F890" s="114" t="n">
        <v>12698.59</v>
      </c>
      <c r="G890" s="114" t="inlineStr">
        <is>
          <t>Investments</t>
        </is>
      </c>
      <c r="H890" s="114" t="inlineStr">
        <is>
          <t>FEDERAL 0847</t>
        </is>
      </c>
    </row>
    <row r="891">
      <c r="A891" s="113" t="n">
        <v>45221</v>
      </c>
      <c r="B891" s="114" t="inlineStr">
        <is>
          <t>SMS Alerts Chrgs Incl GST</t>
        </is>
      </c>
      <c r="C891" s="114" t="inlineStr">
        <is>
          <t>-</t>
        </is>
      </c>
      <c r="D891" s="114" t="n">
        <v>1.18</v>
      </c>
      <c r="E891" s="114" t="n">
        <v>0</v>
      </c>
      <c r="F891" s="114" t="n">
        <v>46512.39</v>
      </c>
      <c r="G891" s="114" t="inlineStr">
        <is>
          <t>Bank Charges</t>
        </is>
      </c>
      <c r="H891" s="114" t="inlineStr">
        <is>
          <t>AXIS</t>
        </is>
      </c>
    </row>
    <row r="892">
      <c r="A892" s="113" t="n">
        <v>45221</v>
      </c>
      <c r="B892" s="114" t="inlineStr">
        <is>
          <t>01671000060094-TPT-RETURN TO AAYUSH-SUNITA GUPTA</t>
        </is>
      </c>
      <c r="C892" s="114" t="inlineStr">
        <is>
          <t>0000000356648625</t>
        </is>
      </c>
      <c r="D892" s="114" t="n">
        <v>0</v>
      </c>
      <c r="E892" s="114" t="n">
        <v>30000</v>
      </c>
      <c r="F892" s="114" t="n">
        <v>82371.16</v>
      </c>
      <c r="G892" s="114" t="inlineStr">
        <is>
          <t>Sunita Gupta</t>
        </is>
      </c>
      <c r="H892" s="114" t="inlineStr">
        <is>
          <t>HDFC 5413</t>
        </is>
      </c>
    </row>
    <row r="893">
      <c r="A893" s="113" t="n">
        <v>45222</v>
      </c>
      <c r="B893" s="114" t="inlineStr">
        <is>
          <t>UPIOUT/329672952148/irctc.cf@hdfcbank/IRCT
C /4722</t>
        </is>
      </c>
      <c r="C893" s="114" t="inlineStr"/>
      <c r="D893" s="114" t="n">
        <v>366.8</v>
      </c>
      <c r="E893" s="114" t="n">
        <v>0</v>
      </c>
      <c r="F893" s="114" t="n">
        <v>11864.99</v>
      </c>
      <c r="G893" s="114" t="inlineStr">
        <is>
          <t>Travel</t>
        </is>
      </c>
      <c r="H893" s="114" t="inlineStr">
        <is>
          <t>FEDERAL 0847</t>
        </is>
      </c>
    </row>
    <row r="894">
      <c r="A894" s="113" t="n">
        <v>45222</v>
      </c>
      <c r="B894" s="114" t="inlineStr">
        <is>
          <t>UPIOUT/329672950777/irctc.cf@hdfcbank/IRCT
C /4722</t>
        </is>
      </c>
      <c r="C894" s="114" t="inlineStr"/>
      <c r="D894" s="114" t="n">
        <v>366.8</v>
      </c>
      <c r="E894" s="114" t="n">
        <v>0</v>
      </c>
      <c r="F894" s="114" t="n">
        <v>12231.79</v>
      </c>
      <c r="G894" s="114" t="inlineStr">
        <is>
          <t>Travel</t>
        </is>
      </c>
      <c r="H894" s="114" t="inlineStr">
        <is>
          <t>FEDERAL 0847</t>
        </is>
      </c>
    </row>
    <row r="895">
      <c r="A895" s="113" t="n">
        <v>45222</v>
      </c>
      <c r="B895" s="114" t="inlineStr">
        <is>
          <t>NFT/NEOSIEXEDDD2023102312351055988 NAVI
Mutual Fun</t>
        </is>
      </c>
      <c r="C895" s="114" t="inlineStr"/>
      <c r="D895" s="114" t="n">
        <v>100</v>
      </c>
      <c r="E895" s="114" t="n">
        <v>0</v>
      </c>
      <c r="F895" s="114" t="n">
        <v>12598.59</v>
      </c>
      <c r="G895" s="114" t="inlineStr">
        <is>
          <t>Investments</t>
        </is>
      </c>
      <c r="H895" s="114" t="inlineStr">
        <is>
          <t>FEDERAL 0847</t>
        </is>
      </c>
    </row>
    <row r="896">
      <c r="A896" s="113" t="n">
        <v>45222</v>
      </c>
      <c r="B896" s="114" t="inlineStr">
        <is>
          <t>NET PI TO HSL SEC A/C 2554606-00602340029427</t>
        </is>
      </c>
      <c r="C896" s="114" t="inlineStr">
        <is>
          <t>0000000459109165</t>
        </is>
      </c>
      <c r="D896" s="114" t="n">
        <v>263.1</v>
      </c>
      <c r="E896" s="114" t="n">
        <v>0</v>
      </c>
      <c r="F896" s="114" t="n">
        <v>82108.06</v>
      </c>
      <c r="G896" s="114" t="inlineStr">
        <is>
          <t>HDFC Securities</t>
        </is>
      </c>
      <c r="H896" s="114" t="inlineStr">
        <is>
          <t>HDFC 5413</t>
        </is>
      </c>
    </row>
    <row r="897">
      <c r="A897" s="113" t="n">
        <v>45222</v>
      </c>
      <c r="B897" s="114" t="inlineStr">
        <is>
          <t>NET PI TO HSL SEC A/C 2554606-00602340029427</t>
        </is>
      </c>
      <c r="C897" s="114" t="inlineStr">
        <is>
          <t>0000000459310004</t>
        </is>
      </c>
      <c r="D897" s="114" t="n">
        <v>21590.34</v>
      </c>
      <c r="E897" s="114" t="n">
        <v>0</v>
      </c>
      <c r="F897" s="114" t="n">
        <v>60517.72</v>
      </c>
      <c r="G897" s="114" t="inlineStr">
        <is>
          <t>HDFC Securities</t>
        </is>
      </c>
      <c r="H897" s="114" t="inlineStr">
        <is>
          <t>HDFC 5413</t>
        </is>
      </c>
    </row>
    <row r="898">
      <c r="A898" s="113" t="n">
        <v>45223</v>
      </c>
      <c r="B898" s="114" t="inlineStr">
        <is>
          <t>IMPS-329711427436-TAPITS TECHNOLOGIES-ICIC-XXXXXXXX8888-HDFCLIFENB</t>
        </is>
      </c>
      <c r="C898" s="114" t="inlineStr">
        <is>
          <t>0000329711427436</t>
        </is>
      </c>
      <c r="D898" s="114" t="n">
        <v>0</v>
      </c>
      <c r="E898" s="114" t="n">
        <v>1</v>
      </c>
      <c r="F898" s="114" t="n">
        <v>60518.72</v>
      </c>
      <c r="G898" s="114" t="inlineStr">
        <is>
          <t>Misc Income</t>
        </is>
      </c>
      <c r="H898" s="114" t="inlineStr">
        <is>
          <t>HDFC 5413</t>
        </is>
      </c>
    </row>
    <row r="899">
      <c r="A899" s="113" t="n">
        <v>45223</v>
      </c>
      <c r="B899" s="114" t="inlineStr">
        <is>
          <t>01671000085930-TPT-GIFT TO AAYUSH-AJAY KUMAR GUPTA</t>
        </is>
      </c>
      <c r="C899" s="114" t="inlineStr">
        <is>
          <t>0000000661291273</t>
        </is>
      </c>
      <c r="D899" s="114" t="n">
        <v>0</v>
      </c>
      <c r="E899" s="114" t="n">
        <v>250000</v>
      </c>
      <c r="F899" s="114" t="n">
        <v>310518.72</v>
      </c>
      <c r="G899" s="114" t="inlineStr">
        <is>
          <t>Ajay Gupta</t>
        </is>
      </c>
      <c r="H899" s="114" t="inlineStr">
        <is>
          <t>HDFC 5413</t>
        </is>
      </c>
    </row>
    <row r="900">
      <c r="A900" s="113" t="n">
        <v>45223</v>
      </c>
      <c r="B900" s="114" t="inlineStr">
        <is>
          <t>MS3A0W4CLCQX9H/RAZPHDFCLIFEINSURANC</t>
        </is>
      </c>
      <c r="C900" s="114" t="inlineStr">
        <is>
          <t>0002329731172589</t>
        </is>
      </c>
      <c r="D900" s="114" t="n">
        <v>256000</v>
      </c>
      <c r="E900" s="114" t="n">
        <v>0</v>
      </c>
      <c r="F900" s="114" t="n">
        <v>54518.72</v>
      </c>
      <c r="G900" s="114" t="inlineStr">
        <is>
          <t>Life Insurance</t>
        </is>
      </c>
      <c r="H900" s="114" t="inlineStr">
        <is>
          <t>HDFC 5413</t>
        </is>
      </c>
    </row>
    <row r="901">
      <c r="A901" s="113" t="n">
        <v>45223</v>
      </c>
      <c r="B901" s="114" t="inlineStr">
        <is>
          <t>NFT/NEOSIEXEDDD2023102412350483123 NAVI
Mutual Fun</t>
        </is>
      </c>
      <c r="C901" s="114" t="inlineStr"/>
      <c r="D901" s="114" t="n">
        <v>100</v>
      </c>
      <c r="E901" s="114" t="n">
        <v>0</v>
      </c>
      <c r="F901" s="114" t="n">
        <v>11764.99</v>
      </c>
      <c r="G901" s="114" t="inlineStr">
        <is>
          <t>Investments</t>
        </is>
      </c>
      <c r="H901" s="114" t="inlineStr">
        <is>
          <t>FEDERAL 0847</t>
        </is>
      </c>
    </row>
    <row r="902">
      <c r="A902" s="113" t="n">
        <v>45224</v>
      </c>
      <c r="B902" s="114" t="inlineStr">
        <is>
          <t>NET PO FROM HSL A/C 2554606-50200085415108</t>
        </is>
      </c>
      <c r="C902" s="114" t="inlineStr">
        <is>
          <t>0000000459441188</t>
        </is>
      </c>
      <c r="D902" s="114" t="n">
        <v>0</v>
      </c>
      <c r="E902" s="114" t="n">
        <v>12403.87</v>
      </c>
      <c r="F902" s="114" t="n">
        <v>66922.59</v>
      </c>
      <c r="G902" s="114" t="inlineStr">
        <is>
          <t>HDFC Securities</t>
        </is>
      </c>
      <c r="H902" s="114" t="inlineStr">
        <is>
          <t>HDFC 5413</t>
        </is>
      </c>
    </row>
    <row r="903">
      <c r="A903" s="113" t="n">
        <v>45224</v>
      </c>
      <c r="B903" s="114" t="inlineStr">
        <is>
          <t>NET PI TO HSL SEC A/C 2554606-00602340029427</t>
        </is>
      </c>
      <c r="C903" s="114" t="inlineStr">
        <is>
          <t>0000000459598764</t>
        </is>
      </c>
      <c r="D903" s="114" t="n">
        <v>128.96</v>
      </c>
      <c r="E903" s="114" t="n">
        <v>0</v>
      </c>
      <c r="F903" s="114" t="n">
        <v>66793.63</v>
      </c>
      <c r="G903" s="114" t="inlineStr">
        <is>
          <t>HDFC Securities</t>
        </is>
      </c>
      <c r="H903" s="114" t="inlineStr">
        <is>
          <t>HDFC 5413</t>
        </is>
      </c>
    </row>
    <row r="904">
      <c r="A904" s="113" t="n">
        <v>45224</v>
      </c>
      <c r="B904" s="114" t="inlineStr">
        <is>
          <t>NET PI TO HSL SEC A/C 2554606-00602340029427</t>
        </is>
      </c>
      <c r="C904" s="114" t="inlineStr">
        <is>
          <t>0000000459726648</t>
        </is>
      </c>
      <c r="D904" s="114" t="n">
        <v>7555.81</v>
      </c>
      <c r="E904" s="114" t="n">
        <v>0</v>
      </c>
      <c r="F904" s="114" t="n">
        <v>59237.82</v>
      </c>
      <c r="G904" s="114" t="inlineStr">
        <is>
          <t>HDFC Securities</t>
        </is>
      </c>
      <c r="H904" s="114" t="inlineStr">
        <is>
          <t>HDFC 5413</t>
        </is>
      </c>
    </row>
    <row r="905">
      <c r="A905" s="113" t="n">
        <v>45224</v>
      </c>
      <c r="B905" s="114" t="inlineStr">
        <is>
          <t>NET PI TO HSL SEC A/C 2554606-00602340029427</t>
        </is>
      </c>
      <c r="C905" s="114" t="inlineStr">
        <is>
          <t>0000000459775677</t>
        </is>
      </c>
      <c r="D905" s="114" t="n">
        <v>9150.030000000001</v>
      </c>
      <c r="E905" s="114" t="n">
        <v>0</v>
      </c>
      <c r="F905" s="114" t="n">
        <v>50087.79</v>
      </c>
      <c r="G905" s="114" t="inlineStr">
        <is>
          <t>HDFC Securities</t>
        </is>
      </c>
      <c r="H905" s="114" t="inlineStr">
        <is>
          <t>HDFC 5413</t>
        </is>
      </c>
    </row>
    <row r="906">
      <c r="A906" s="113" t="n">
        <v>45224</v>
      </c>
      <c r="B906" s="114" t="inlineStr">
        <is>
          <t>NFT/NEOSIEXEDDD2023102512352494766 NAVI
Mutual Fun</t>
        </is>
      </c>
      <c r="C906" s="114" t="inlineStr"/>
      <c r="D906" s="114" t="n">
        <v>100</v>
      </c>
      <c r="E906" s="114" t="n">
        <v>0</v>
      </c>
      <c r="F906" s="114" t="n">
        <v>11664.99</v>
      </c>
      <c r="G906" s="114" t="inlineStr">
        <is>
          <t>Investments</t>
        </is>
      </c>
      <c r="H906" s="114" t="inlineStr">
        <is>
          <t>FEDERAL 0847</t>
        </is>
      </c>
    </row>
    <row r="907">
      <c r="A907" s="113" t="n">
        <v>45225</v>
      </c>
      <c r="B907" s="114" t="inlineStr">
        <is>
          <t>NET PI TO HSL SEC A/C 2554606-00602340029427</t>
        </is>
      </c>
      <c r="C907" s="114" t="inlineStr">
        <is>
          <t>0000000460024759</t>
        </is>
      </c>
      <c r="D907" s="114" t="n">
        <v>37.34</v>
      </c>
      <c r="E907" s="114" t="n">
        <v>0</v>
      </c>
      <c r="F907" s="114" t="n">
        <v>50050.45</v>
      </c>
      <c r="G907" s="114" t="inlineStr">
        <is>
          <t>HDFC Securities</t>
        </is>
      </c>
      <c r="H907" s="114" t="inlineStr">
        <is>
          <t>HDFC 5413</t>
        </is>
      </c>
    </row>
    <row r="908">
      <c r="A908" s="113" t="n">
        <v>45225</v>
      </c>
      <c r="B908" s="114" t="inlineStr">
        <is>
          <t>UPIOUT/329942858809/gpay-11232400083@okbiz
ax/5411</t>
        </is>
      </c>
      <c r="C908" s="114" t="inlineStr"/>
      <c r="D908" s="114" t="n">
        <v>135</v>
      </c>
      <c r="E908" s="114" t="n">
        <v>0</v>
      </c>
      <c r="F908" s="114" t="n">
        <v>11429.99</v>
      </c>
      <c r="G908" s="114" t="inlineStr">
        <is>
          <t>Personal</t>
        </is>
      </c>
      <c r="H908" s="114" t="inlineStr">
        <is>
          <t>FEDERAL 0847</t>
        </is>
      </c>
    </row>
    <row r="909">
      <c r="A909" s="113" t="n">
        <v>45225</v>
      </c>
      <c r="B909" s="114" t="inlineStr">
        <is>
          <t>NET PI TO HSL SEC A/C 2554606-00602340029427</t>
        </is>
      </c>
      <c r="C909" s="114" t="inlineStr">
        <is>
          <t>0000000460213552</t>
        </is>
      </c>
      <c r="D909" s="114" t="n">
        <v>289.73</v>
      </c>
      <c r="E909" s="114" t="n">
        <v>0</v>
      </c>
      <c r="F909" s="114" t="n">
        <v>49760.72</v>
      </c>
      <c r="G909" s="114" t="inlineStr">
        <is>
          <t>HDFC Securities</t>
        </is>
      </c>
      <c r="H909" s="114" t="inlineStr">
        <is>
          <t>HDFC 5413</t>
        </is>
      </c>
    </row>
    <row r="910">
      <c r="A910" s="113" t="n">
        <v>45225</v>
      </c>
      <c r="B910" s="114" t="inlineStr">
        <is>
          <t>UPIOUT/329959835902/Q218188765@ybl/Sent
via /5411</t>
        </is>
      </c>
      <c r="C910" s="114" t="inlineStr"/>
      <c r="D910" s="114" t="n">
        <v>30</v>
      </c>
      <c r="E910" s="114" t="n">
        <v>0</v>
      </c>
      <c r="F910" s="114" t="n">
        <v>11399.99</v>
      </c>
      <c r="G910" s="114" t="inlineStr">
        <is>
          <t>Personal</t>
        </is>
      </c>
      <c r="H910" s="114" t="inlineStr">
        <is>
          <t>FEDERAL 0847</t>
        </is>
      </c>
    </row>
    <row r="911">
      <c r="A911" s="113" t="n">
        <v>45225</v>
      </c>
      <c r="B911" s="114" t="inlineStr">
        <is>
          <t>UPIOUT/329963181188/redbus1.DBQR.payu@indu
s//4722</t>
        </is>
      </c>
      <c r="C911" s="114" t="inlineStr"/>
      <c r="D911" s="114" t="n">
        <v>1296</v>
      </c>
      <c r="E911" s="114" t="n">
        <v>0</v>
      </c>
      <c r="F911" s="114" t="n">
        <v>10103.99</v>
      </c>
      <c r="G911" s="114" t="inlineStr">
        <is>
          <t>Personal</t>
        </is>
      </c>
      <c r="H911" s="114" t="inlineStr">
        <is>
          <t>FEDERAL 0847</t>
        </is>
      </c>
    </row>
    <row r="912">
      <c r="A912" s="113" t="n">
        <v>45225</v>
      </c>
      <c r="B912" s="114" t="inlineStr">
        <is>
          <t>NFT/NEOSIEXEDDD2023102612353608383 NAVI
Mutual Fun</t>
        </is>
      </c>
      <c r="C912" s="114" t="inlineStr"/>
      <c r="D912" s="114" t="n">
        <v>100</v>
      </c>
      <c r="E912" s="114" t="n">
        <v>0</v>
      </c>
      <c r="F912" s="114" t="n">
        <v>11564.99</v>
      </c>
      <c r="G912" s="114" t="inlineStr">
        <is>
          <t>Investments</t>
        </is>
      </c>
      <c r="H912" s="114" t="inlineStr">
        <is>
          <t>FEDERAL 0847</t>
        </is>
      </c>
    </row>
    <row r="913">
      <c r="A913" s="113" t="n">
        <v>45226</v>
      </c>
      <c r="B913" s="114" t="inlineStr">
        <is>
          <t>UPIOUT/330096853832/paytmqrz1tc46rqs8@payt
m//5812</t>
        </is>
      </c>
      <c r="C913" s="114" t="inlineStr"/>
      <c r="D913" s="114" t="n">
        <v>126</v>
      </c>
      <c r="E913" s="114" t="n">
        <v>0</v>
      </c>
      <c r="F913" s="114" t="n">
        <v>19044.65</v>
      </c>
      <c r="G913" s="114" t="inlineStr">
        <is>
          <t>Personal</t>
        </is>
      </c>
      <c r="H913" s="114" t="inlineStr">
        <is>
          <t>FEDERAL 0847</t>
        </is>
      </c>
    </row>
    <row r="914">
      <c r="A914" s="113" t="n">
        <v>45226</v>
      </c>
      <c r="B914" s="114" t="inlineStr">
        <is>
          <t>NFT/LINCOLN ELECTRI/23AR65620QK11X91/BANK
OF AM</t>
        </is>
      </c>
      <c r="C914" s="114" t="inlineStr"/>
      <c r="D914" s="114" t="n">
        <v>0</v>
      </c>
      <c r="E914" s="114" t="n">
        <v>9166.66</v>
      </c>
      <c r="F914" s="114" t="n">
        <v>19170.65</v>
      </c>
      <c r="G914" s="114" t="inlineStr">
        <is>
          <t>Suspense</t>
        </is>
      </c>
      <c r="H914" s="114" t="inlineStr">
        <is>
          <t>FEDERAL 0847</t>
        </is>
      </c>
    </row>
    <row r="915">
      <c r="A915" s="113" t="n">
        <v>45226</v>
      </c>
      <c r="B915" s="114" t="inlineStr">
        <is>
          <t>NET PI TO HSL SEC A/C 2554606-00602340029427</t>
        </is>
      </c>
      <c r="C915" s="114" t="inlineStr">
        <is>
          <t>0000000460487967</t>
        </is>
      </c>
      <c r="D915" s="114" t="n">
        <v>43.52</v>
      </c>
      <c r="E915" s="114" t="n">
        <v>0</v>
      </c>
      <c r="F915" s="114" t="n">
        <v>49717.2</v>
      </c>
      <c r="G915" s="114" t="inlineStr">
        <is>
          <t>HDFC Securities</t>
        </is>
      </c>
      <c r="H915" s="114" t="inlineStr">
        <is>
          <t>HDFC 5413</t>
        </is>
      </c>
    </row>
    <row r="916">
      <c r="A916" s="113" t="n">
        <v>45226</v>
      </c>
      <c r="B916" s="114" t="inlineStr">
        <is>
          <t>NFT/NEOSIEXEDDD2023102712350915224 NAVI
Mutual Fun</t>
        </is>
      </c>
      <c r="C916" s="114" t="inlineStr"/>
      <c r="D916" s="114" t="n">
        <v>0</v>
      </c>
      <c r="E916" s="114" t="n">
        <v>100</v>
      </c>
      <c r="F916" s="114" t="n">
        <v>10103.99</v>
      </c>
      <c r="G916" s="114" t="inlineStr">
        <is>
          <t>Mutual Funds</t>
        </is>
      </c>
      <c r="H916" s="114" t="inlineStr">
        <is>
          <t>FEDERAL 0847</t>
        </is>
      </c>
    </row>
    <row r="917">
      <c r="A917" s="113" t="n">
        <v>45226</v>
      </c>
      <c r="B917" s="114" t="inlineStr">
        <is>
          <t>NFT/NEOSIEXEDDD2023102710420877892 NAVI
Mutual Fun</t>
        </is>
      </c>
      <c r="C917" s="114" t="inlineStr"/>
      <c r="D917" s="114" t="n">
        <v>100</v>
      </c>
      <c r="E917" s="114" t="n">
        <v>0</v>
      </c>
      <c r="F917" s="114" t="n">
        <v>10003.99</v>
      </c>
      <c r="G917" s="114" t="inlineStr">
        <is>
          <t>Investments</t>
        </is>
      </c>
      <c r="H917" s="114" t="inlineStr">
        <is>
          <t>FEDERAL 0847</t>
        </is>
      </c>
    </row>
    <row r="918">
      <c r="A918" s="113" t="n">
        <v>45226</v>
      </c>
      <c r="B918" s="114" t="inlineStr">
        <is>
          <t>NET PI TO HSL SEC A/C 2554606-00602340029427</t>
        </is>
      </c>
      <c r="C918" s="114" t="inlineStr">
        <is>
          <t>0000000460584247</t>
        </is>
      </c>
      <c r="D918" s="114" t="n">
        <v>7392.07</v>
      </c>
      <c r="E918" s="114" t="n">
        <v>0</v>
      </c>
      <c r="F918" s="114" t="n">
        <v>42325.13</v>
      </c>
      <c r="G918" s="114" t="inlineStr">
        <is>
          <t>HDFC Securities</t>
        </is>
      </c>
      <c r="H918" s="114" t="inlineStr">
        <is>
          <t>HDFC 5413</t>
        </is>
      </c>
    </row>
    <row r="919">
      <c r="A919" s="113" t="n">
        <v>45226</v>
      </c>
      <c r="B919" s="114" t="inlineStr">
        <is>
          <t>NFT/NEOSIEXEDDD2023102712350915224 NAVI
Mutual Fun</t>
        </is>
      </c>
      <c r="C919" s="114" t="inlineStr"/>
      <c r="D919" s="114" t="n">
        <v>100</v>
      </c>
      <c r="E919" s="114" t="n">
        <v>0</v>
      </c>
      <c r="F919" s="114" t="n">
        <v>10003.99</v>
      </c>
      <c r="G919" s="114" t="inlineStr">
        <is>
          <t>Investments</t>
        </is>
      </c>
      <c r="H919" s="114" t="inlineStr">
        <is>
          <t>FEDERAL 0847</t>
        </is>
      </c>
    </row>
    <row r="920">
      <c r="A920" s="113" t="n">
        <v>45227</v>
      </c>
      <c r="B920" s="114" t="inlineStr">
        <is>
          <t>NFT/NEOSIEXEDDD2023102812351693385 NAVI
Mutual Fun</t>
        </is>
      </c>
      <c r="C920" s="114" t="inlineStr"/>
      <c r="D920" s="114" t="n">
        <v>100</v>
      </c>
      <c r="E920" s="114" t="n">
        <v>0</v>
      </c>
      <c r="F920" s="114" t="n">
        <v>18944.65</v>
      </c>
      <c r="G920" s="114" t="inlineStr">
        <is>
          <t>Investments</t>
        </is>
      </c>
      <c r="H920" s="114" t="inlineStr">
        <is>
          <t>FEDERAL 0847</t>
        </is>
      </c>
    </row>
    <row r="921">
      <c r="A921" s="113" t="n">
        <v>45227</v>
      </c>
      <c r="B921" s="114" t="inlineStr">
        <is>
          <t>UPIOUT/330161961236/euronetgpay.playrc@ici
ci/6540</t>
        </is>
      </c>
      <c r="C921" s="114" t="inlineStr"/>
      <c r="D921" s="114" t="n">
        <v>199</v>
      </c>
      <c r="E921" s="114" t="n">
        <v>0</v>
      </c>
      <c r="F921" s="114" t="n">
        <v>18745.65</v>
      </c>
      <c r="G921" s="114" t="inlineStr">
        <is>
          <t>Personal</t>
        </is>
      </c>
      <c r="H921" s="114" t="inlineStr">
        <is>
          <t>FEDERAL 0847</t>
        </is>
      </c>
    </row>
    <row r="922">
      <c r="A922" s="113" t="n">
        <v>45228</v>
      </c>
      <c r="B922" s="114" t="inlineStr">
        <is>
          <t>NFT/NEOSIEXEDDD2023102912351170029 NAVI
Mutual Fun</t>
        </is>
      </c>
      <c r="C922" s="114" t="inlineStr"/>
      <c r="D922" s="114" t="n">
        <v>100</v>
      </c>
      <c r="E922" s="114" t="n">
        <v>0</v>
      </c>
      <c r="F922" s="114" t="n">
        <v>18645.65</v>
      </c>
      <c r="G922" s="114" t="inlineStr">
        <is>
          <t>Investments</t>
        </is>
      </c>
      <c r="H922" s="114" t="inlineStr">
        <is>
          <t>FEDERAL 0847</t>
        </is>
      </c>
    </row>
    <row r="923">
      <c r="A923" s="113" t="n">
        <v>45228</v>
      </c>
      <c r="B923" s="114" t="inlineStr">
        <is>
          <t>UPIOUT/330288558124/Q614784165@ybl/Sent
via /5311</t>
        </is>
      </c>
      <c r="C923" s="114" t="inlineStr"/>
      <c r="D923" s="114" t="n">
        <v>99</v>
      </c>
      <c r="E923" s="114" t="n">
        <v>0</v>
      </c>
      <c r="F923" s="114" t="n">
        <v>18425.65</v>
      </c>
      <c r="G923" s="114" t="inlineStr">
        <is>
          <t>Personal</t>
        </is>
      </c>
      <c r="H923" s="114" t="inlineStr">
        <is>
          <t>FEDERAL 0847</t>
        </is>
      </c>
    </row>
    <row r="924">
      <c r="A924" s="113" t="n">
        <v>45228</v>
      </c>
      <c r="B924" s="114" t="inlineStr">
        <is>
          <t>UPIOUT/330280344442/rapido.rzp@icici/Recha
rg/4121</t>
        </is>
      </c>
      <c r="C924" s="114" t="inlineStr"/>
      <c r="D924" s="114" t="n">
        <v>121</v>
      </c>
      <c r="E924" s="114" t="n">
        <v>0</v>
      </c>
      <c r="F924" s="114" t="n">
        <v>18524.65</v>
      </c>
      <c r="G924" s="114" t="inlineStr">
        <is>
          <t>Transport</t>
        </is>
      </c>
      <c r="H924" s="114" t="inlineStr">
        <is>
          <t>FEDERAL 0847</t>
        </is>
      </c>
    </row>
    <row r="925">
      <c r="A925" s="113" t="n">
        <v>45229</v>
      </c>
      <c r="B925" s="114" t="inlineStr">
        <is>
          <t>NFT/NEOSIEXEDDD2023103012350943349 NAVI
Mutual Fun</t>
        </is>
      </c>
      <c r="C925" s="114" t="inlineStr"/>
      <c r="D925" s="114" t="n">
        <v>100</v>
      </c>
      <c r="E925" s="114" t="n">
        <v>0</v>
      </c>
      <c r="F925" s="114" t="n">
        <v>18325.65</v>
      </c>
      <c r="G925" s="114" t="inlineStr">
        <is>
          <t>Investments</t>
        </is>
      </c>
      <c r="H925" s="114" t="inlineStr">
        <is>
          <t>FEDERAL 0847</t>
        </is>
      </c>
    </row>
    <row r="926">
      <c r="A926" s="113" t="n">
        <v>45229</v>
      </c>
      <c r="B926" s="114" t="inlineStr">
        <is>
          <t>UPIOUT/330331022277/zeptonowcashfree@hdfcb
an/5411</t>
        </is>
      </c>
      <c r="C926" s="114" t="inlineStr"/>
      <c r="D926" s="114" t="n">
        <v>624</v>
      </c>
      <c r="E926" s="114" t="n">
        <v>0</v>
      </c>
      <c r="F926" s="114" t="n">
        <v>17701.65</v>
      </c>
      <c r="G926" s="114" t="inlineStr">
        <is>
          <t>Groceries</t>
        </is>
      </c>
      <c r="H926" s="114" t="inlineStr">
        <is>
          <t>FEDERAL 0847</t>
        </is>
      </c>
    </row>
    <row r="927">
      <c r="A927" s="113" t="n">
        <v>45229</v>
      </c>
      <c r="B927" s="114" t="inlineStr">
        <is>
          <t>NET PO FROM HSL A/C 2554606-50200085415108</t>
        </is>
      </c>
      <c r="C927" s="114" t="inlineStr">
        <is>
          <t>0000000460721197</t>
        </is>
      </c>
      <c r="D927" s="114" t="n">
        <v>0</v>
      </c>
      <c r="E927" s="114" t="n">
        <v>1729.24</v>
      </c>
      <c r="F927" s="114" t="n">
        <v>44054.37</v>
      </c>
      <c r="G927" s="114" t="inlineStr">
        <is>
          <t>HDFC Securities</t>
        </is>
      </c>
      <c r="H927" s="114" t="inlineStr">
        <is>
          <t>HDFC 5413</t>
        </is>
      </c>
    </row>
    <row r="928">
      <c r="A928" s="113" t="n">
        <v>45229</v>
      </c>
      <c r="B928" s="114" t="inlineStr">
        <is>
          <t>ACH D- INDIAN CLEARING CORP-P25847674X05</t>
        </is>
      </c>
      <c r="C928" s="114" t="inlineStr">
        <is>
          <t>0000006795333205</t>
        </is>
      </c>
      <c r="D928" s="114" t="n">
        <v>5000</v>
      </c>
      <c r="E928" s="114" t="n">
        <v>0</v>
      </c>
      <c r="F928" s="114" t="n">
        <v>39054.37</v>
      </c>
      <c r="G928" s="114" t="inlineStr">
        <is>
          <t>Investments</t>
        </is>
      </c>
      <c r="H928" s="114" t="inlineStr">
        <is>
          <t>HDFC 5413</t>
        </is>
      </c>
    </row>
    <row r="929">
      <c r="A929" s="113" t="n">
        <v>45229</v>
      </c>
      <c r="B929" s="114" t="inlineStr">
        <is>
          <t>ACH D- INDIAN CLEARING CORP-P25847674X05</t>
        </is>
      </c>
      <c r="C929" s="114" t="inlineStr">
        <is>
          <t>0000006795335397</t>
        </is>
      </c>
      <c r="D929" s="114" t="n">
        <v>5000</v>
      </c>
      <c r="E929" s="114" t="n">
        <v>0</v>
      </c>
      <c r="F929" s="114" t="n">
        <v>34054.37</v>
      </c>
      <c r="G929" s="114" t="inlineStr">
        <is>
          <t>Investments</t>
        </is>
      </c>
      <c r="H929" s="114" t="inlineStr">
        <is>
          <t>HDFC 5413</t>
        </is>
      </c>
    </row>
    <row r="930">
      <c r="A930" s="113" t="n">
        <v>45229</v>
      </c>
      <c r="B930" s="114" t="inlineStr">
        <is>
          <t>NET PI TO HSL SEC A/C 2554606-00602340029427</t>
        </is>
      </c>
      <c r="C930" s="114" t="inlineStr">
        <is>
          <t>0000000460872159</t>
        </is>
      </c>
      <c r="D930" s="114" t="n">
        <v>130.56</v>
      </c>
      <c r="E930" s="114" t="n">
        <v>0</v>
      </c>
      <c r="F930" s="114" t="n">
        <v>33923.81</v>
      </c>
      <c r="G930" s="114" t="inlineStr">
        <is>
          <t>HDFC Securities</t>
        </is>
      </c>
      <c r="H930" s="114" t="inlineStr">
        <is>
          <t>HDFC 5413</t>
        </is>
      </c>
    </row>
    <row r="931">
      <c r="A931" s="113" t="n">
        <v>45229</v>
      </c>
      <c r="B931" s="114" t="inlineStr">
        <is>
          <t>NET PI TO HSL SEC A/C 2554606-00602340029427</t>
        </is>
      </c>
      <c r="C931" s="114" t="inlineStr">
        <is>
          <t>0000000461028126</t>
        </is>
      </c>
      <c r="D931" s="114" t="n">
        <v>6269.96</v>
      </c>
      <c r="E931" s="114" t="n">
        <v>0</v>
      </c>
      <c r="F931" s="114" t="n">
        <v>27653.85</v>
      </c>
      <c r="G931" s="114" t="inlineStr">
        <is>
          <t>HDFC Securities</t>
        </is>
      </c>
      <c r="H931" s="114" t="inlineStr">
        <is>
          <t>HDFC 5413</t>
        </is>
      </c>
    </row>
    <row r="932">
      <c r="A932" s="113" t="n">
        <v>45230</v>
      </c>
      <c r="B932" s="114" t="inlineStr">
        <is>
          <t>NET PI TO HSL SEC A/C 2554606-00602340029427</t>
        </is>
      </c>
      <c r="C932" s="114" t="inlineStr">
        <is>
          <t>0000000461229344</t>
        </is>
      </c>
      <c r="D932" s="114" t="n">
        <v>41.91</v>
      </c>
      <c r="E932" s="114" t="n">
        <v>0</v>
      </c>
      <c r="F932" s="114" t="n">
        <v>39826.32</v>
      </c>
      <c r="G932" s="114" t="inlineStr">
        <is>
          <t>HDFC Securities</t>
        </is>
      </c>
      <c r="H932" s="114" t="inlineStr">
        <is>
          <t>HDFC 5413</t>
        </is>
      </c>
    </row>
    <row r="933">
      <c r="A933" s="113" t="n">
        <v>45230</v>
      </c>
      <c r="B933" s="114" t="inlineStr">
        <is>
          <t>NET PI TO HSL SEC A/C 2554606-00602340029427</t>
        </is>
      </c>
      <c r="C933" s="114" t="inlineStr">
        <is>
          <t>0000000461365849</t>
        </is>
      </c>
      <c r="D933" s="114" t="n">
        <v>2122.55</v>
      </c>
      <c r="E933" s="114" t="n">
        <v>0</v>
      </c>
      <c r="F933" s="114" t="n">
        <v>37703.77</v>
      </c>
      <c r="G933" s="114" t="inlineStr">
        <is>
          <t>HDFC Securities</t>
        </is>
      </c>
      <c r="H933" s="114" t="inlineStr">
        <is>
          <t>HDFC 5413</t>
        </is>
      </c>
    </row>
    <row r="934">
      <c r="A934" s="113" t="n">
        <v>45230</v>
      </c>
      <c r="B934" s="114" t="inlineStr">
        <is>
          <t>NET PO FROM HSL A/C 2554606-50200085415108</t>
        </is>
      </c>
      <c r="C934" s="114" t="inlineStr">
        <is>
          <t>0000000461144827</t>
        </is>
      </c>
      <c r="D934" s="114" t="n">
        <v>0</v>
      </c>
      <c r="E934" s="114" t="n">
        <v>12214.38</v>
      </c>
      <c r="F934" s="114" t="n">
        <v>39868.23</v>
      </c>
      <c r="G934" s="114" t="inlineStr">
        <is>
          <t>HDFC Securities</t>
        </is>
      </c>
      <c r="H934" s="114" t="inlineStr">
        <is>
          <t>HDFC 5413</t>
        </is>
      </c>
    </row>
    <row r="935">
      <c r="A935" s="113" t="n">
        <v>45230</v>
      </c>
      <c r="B935" s="114" t="inlineStr">
        <is>
          <t>NFT/NEOSIEXEDDD2023103112351278421 NAVI
Mutual Fun</t>
        </is>
      </c>
      <c r="C935" s="114" t="inlineStr"/>
      <c r="D935" s="114" t="n">
        <v>100</v>
      </c>
      <c r="E935" s="114" t="n">
        <v>0</v>
      </c>
      <c r="F935" s="114" t="n">
        <v>17601.65</v>
      </c>
      <c r="G935" s="114" t="inlineStr">
        <is>
          <t>Investments</t>
        </is>
      </c>
      <c r="H935" s="114" t="inlineStr">
        <is>
          <t>FEDERAL 0847</t>
        </is>
      </c>
    </row>
    <row r="936">
      <c r="A936" s="113" t="n">
        <v>45230</v>
      </c>
      <c r="B936" s="114" t="inlineStr">
        <is>
          <t>TO ECM/330302191453/470000087086204
\Amazon</t>
        </is>
      </c>
      <c r="C936" s="114" t="inlineStr"/>
      <c r="D936" s="114" t="n">
        <v>613</v>
      </c>
      <c r="E936" s="114" t="n">
        <v>0</v>
      </c>
      <c r="F936" s="114" t="n">
        <v>16988.65</v>
      </c>
      <c r="G936" s="114" t="inlineStr">
        <is>
          <t>Suspense</t>
        </is>
      </c>
      <c r="H936" s="114" t="inlineStr">
        <is>
          <t>FEDERAL 0847</t>
        </is>
      </c>
    </row>
    <row r="937">
      <c r="A937" s="113" t="n">
        <v>45230</v>
      </c>
      <c r="B937" s="114" t="inlineStr">
        <is>
          <t>NFT/DR REDDYS LABOR/CITIN23446568003/CITI</t>
        </is>
      </c>
      <c r="C937" s="114" t="inlineStr"/>
      <c r="D937" s="114" t="n">
        <v>0</v>
      </c>
      <c r="E937" s="114" t="n">
        <v>34112</v>
      </c>
      <c r="F937" s="114" t="n">
        <v>51100.65</v>
      </c>
      <c r="G937" s="114" t="inlineStr">
        <is>
          <t>Suspense</t>
        </is>
      </c>
      <c r="H937" s="114" t="inlineStr">
        <is>
          <t>FEDERAL 0847</t>
        </is>
      </c>
    </row>
    <row r="938">
      <c r="A938" s="113" t="n">
        <v>45231</v>
      </c>
      <c r="B938" s="114" t="inlineStr">
        <is>
          <t>NET PI TO HSL SEC A/C 2554606-00602340029427</t>
        </is>
      </c>
      <c r="C938" s="114" t="inlineStr">
        <is>
          <t>0000000461636407</t>
        </is>
      </c>
      <c r="D938" s="114" t="n">
        <v>47.48</v>
      </c>
      <c r="E938" s="114" t="n">
        <v>0</v>
      </c>
      <c r="F938" s="114" t="n">
        <v>56023.5</v>
      </c>
      <c r="G938" s="114" t="inlineStr">
        <is>
          <t>HDFC Securities</t>
        </is>
      </c>
      <c r="H938" s="114" t="inlineStr">
        <is>
          <t>HDFC 5413</t>
        </is>
      </c>
    </row>
    <row r="939">
      <c r="A939" s="113" t="n">
        <v>45231</v>
      </c>
      <c r="B939" s="114" t="inlineStr">
        <is>
          <t>NFT/NEOSIEXEDDD2023110112365375387 NAVI
Mutual Fun</t>
        </is>
      </c>
      <c r="C939" s="114" t="inlineStr"/>
      <c r="D939" s="114" t="n">
        <v>100</v>
      </c>
      <c r="E939" s="114" t="n">
        <v>0</v>
      </c>
      <c r="F939" s="114" t="n">
        <v>51000.65</v>
      </c>
      <c r="G939" s="114" t="inlineStr">
        <is>
          <t>Investments</t>
        </is>
      </c>
      <c r="H939" s="114" t="inlineStr">
        <is>
          <t>FEDERAL 0847</t>
        </is>
      </c>
    </row>
    <row r="940">
      <c r="A940" s="113" t="n">
        <v>45231</v>
      </c>
      <c r="B940" s="114" t="inlineStr">
        <is>
          <t>UPIOUT/330586054884/paytmqry3eyiz8yp2@payt
m//5812</t>
        </is>
      </c>
      <c r="C940" s="114" t="inlineStr"/>
      <c r="D940" s="114" t="n">
        <v>35</v>
      </c>
      <c r="E940" s="114" t="n">
        <v>0</v>
      </c>
      <c r="F940" s="114" t="n">
        <v>50965.65</v>
      </c>
      <c r="G940" s="114" t="inlineStr">
        <is>
          <t>Personal</t>
        </is>
      </c>
      <c r="H940" s="114" t="inlineStr">
        <is>
          <t>FEDERAL 0847</t>
        </is>
      </c>
    </row>
    <row r="941">
      <c r="A941" s="113" t="n">
        <v>45231</v>
      </c>
      <c r="B941" s="114" t="inlineStr">
        <is>
          <t>UPIOUT/330586364945/paytmqr1ox7m6rgyo@payt
m//5812</t>
        </is>
      </c>
      <c r="C941" s="114" t="inlineStr"/>
      <c r="D941" s="114" t="n">
        <v>15</v>
      </c>
      <c r="E941" s="114" t="n">
        <v>0</v>
      </c>
      <c r="F941" s="114" t="n">
        <v>50950.65</v>
      </c>
      <c r="G941" s="114" t="inlineStr">
        <is>
          <t>Personal</t>
        </is>
      </c>
      <c r="H941" s="114" t="inlineStr">
        <is>
          <t>FEDERAL 0847</t>
        </is>
      </c>
    </row>
    <row r="942">
      <c r="A942" s="113" t="n">
        <v>45231</v>
      </c>
      <c r="B942" s="114" t="inlineStr">
        <is>
          <t>UPIOUT/330596071626/paytmqrfmo9fujhwg@payt
m//5812</t>
        </is>
      </c>
      <c r="C942" s="114" t="inlineStr"/>
      <c r="D942" s="114" t="n">
        <v>20</v>
      </c>
      <c r="E942" s="114" t="n">
        <v>0</v>
      </c>
      <c r="F942" s="114" t="n">
        <v>50780.65</v>
      </c>
      <c r="G942" s="114" t="inlineStr">
        <is>
          <t>Personal</t>
        </is>
      </c>
      <c r="H942" s="114" t="inlineStr">
        <is>
          <t>FEDERAL 0847</t>
        </is>
      </c>
    </row>
    <row r="943">
      <c r="A943" s="113" t="n">
        <v>45231</v>
      </c>
      <c r="B943" s="114" t="inlineStr">
        <is>
          <t>UPIOUT/330595243238/paytmqrfmo9fujhwg@payt
m//5812</t>
        </is>
      </c>
      <c r="C943" s="114" t="inlineStr"/>
      <c r="D943" s="114" t="n">
        <v>150</v>
      </c>
      <c r="E943" s="114" t="n">
        <v>0</v>
      </c>
      <c r="F943" s="114" t="n">
        <v>50800.65</v>
      </c>
      <c r="G943" s="114" t="inlineStr">
        <is>
          <t>Personal</t>
        </is>
      </c>
      <c r="H943" s="114" t="inlineStr">
        <is>
          <t>FEDERAL 0847</t>
        </is>
      </c>
    </row>
    <row r="944">
      <c r="A944" s="113" t="n">
        <v>45231</v>
      </c>
      <c r="B944" s="114" t="inlineStr">
        <is>
          <t>NET PO FROM HSL A/C 2554606-50200085415108</t>
        </is>
      </c>
      <c r="C944" s="114" t="inlineStr">
        <is>
          <t>0000000461492336</t>
        </is>
      </c>
      <c r="D944" s="114" t="n">
        <v>0</v>
      </c>
      <c r="E944" s="114" t="n">
        <v>18367.21</v>
      </c>
      <c r="F944" s="114" t="n">
        <v>56070.98</v>
      </c>
      <c r="G944" s="114" t="inlineStr">
        <is>
          <t>HDFC Securities</t>
        </is>
      </c>
      <c r="H944" s="114" t="inlineStr">
        <is>
          <t>HDFC 5413</t>
        </is>
      </c>
    </row>
    <row r="945">
      <c r="A945" s="113" t="n">
        <v>45231</v>
      </c>
      <c r="B945" s="114" t="inlineStr">
        <is>
          <t>NET PI TO HSL SEC A/C 2554606-00602340029427</t>
        </is>
      </c>
      <c r="C945" s="114" t="inlineStr">
        <is>
          <t>0000000461798751</t>
        </is>
      </c>
      <c r="D945" s="114" t="n">
        <v>29121.75</v>
      </c>
      <c r="E945" s="114" t="n">
        <v>0</v>
      </c>
      <c r="F945" s="114" t="n">
        <v>26901.75</v>
      </c>
      <c r="G945" s="114" t="inlineStr">
        <is>
          <t>HDFC Securities</t>
        </is>
      </c>
      <c r="H945" s="114" t="inlineStr">
        <is>
          <t>HDFC 5413</t>
        </is>
      </c>
    </row>
    <row r="946">
      <c r="A946" s="113" t="n">
        <v>45232</v>
      </c>
      <c r="B946" s="114" t="inlineStr">
        <is>
          <t>NFT/NEOSIEXEDDD2023110212361814706 NAVI
Mutual Fun</t>
        </is>
      </c>
      <c r="C946" s="114" t="inlineStr"/>
      <c r="D946" s="114" t="n">
        <v>100</v>
      </c>
      <c r="E946" s="114" t="n">
        <v>0</v>
      </c>
      <c r="F946" s="114" t="n">
        <v>50680.65</v>
      </c>
      <c r="G946" s="114" t="inlineStr">
        <is>
          <t>Investments</t>
        </is>
      </c>
      <c r="H946" s="114" t="inlineStr">
        <is>
          <t>FEDERAL 0847</t>
        </is>
      </c>
    </row>
    <row r="947">
      <c r="A947" s="113" t="n">
        <v>45232</v>
      </c>
      <c r="B947" s="114" t="inlineStr">
        <is>
          <t>UPIOUT/330667461912/Q984373069@ybl/Sent
via /5814</t>
        </is>
      </c>
      <c r="C947" s="114" t="inlineStr"/>
      <c r="D947" s="114" t="n">
        <v>40</v>
      </c>
      <c r="E947" s="114" t="n">
        <v>0</v>
      </c>
      <c r="F947" s="114" t="n">
        <v>50640.65</v>
      </c>
      <c r="G947" s="114" t="inlineStr">
        <is>
          <t>Personal</t>
        </is>
      </c>
      <c r="H947" s="114" t="inlineStr">
        <is>
          <t>FEDERAL 0847</t>
        </is>
      </c>
    </row>
    <row r="948">
      <c r="A948" s="113" t="n">
        <v>45232</v>
      </c>
      <c r="B948" s="114" t="inlineStr">
        <is>
          <t>NET PI TO HSL SEC A/C 2554606-00602340029427</t>
        </is>
      </c>
      <c r="C948" s="114" t="inlineStr">
        <is>
          <t>0000000462124852</t>
        </is>
      </c>
      <c r="D948" s="114" t="n">
        <v>5685.38</v>
      </c>
      <c r="E948" s="114" t="n">
        <v>0</v>
      </c>
      <c r="F948" s="114" t="n">
        <v>21176.84</v>
      </c>
      <c r="G948" s="114" t="inlineStr">
        <is>
          <t>HDFC Securities</t>
        </is>
      </c>
      <c r="H948" s="114" t="inlineStr">
        <is>
          <t>HDFC 5413</t>
        </is>
      </c>
    </row>
    <row r="949">
      <c r="A949" s="113" t="n">
        <v>45232</v>
      </c>
      <c r="B949" s="114" t="inlineStr">
        <is>
          <t>FT
IMPS/IFI/330621248872/CAMS/8199017149997</t>
        </is>
      </c>
      <c r="C949" s="114" t="inlineStr"/>
      <c r="D949" s="114" t="n">
        <v>0</v>
      </c>
      <c r="E949" s="114" t="n">
        <v>1</v>
      </c>
      <c r="F949" s="114" t="n">
        <v>50526.65</v>
      </c>
      <c r="G949" s="114" t="inlineStr">
        <is>
          <t>Mutual Funds</t>
        </is>
      </c>
      <c r="H949" s="114" t="inlineStr">
        <is>
          <t>FEDERAL 0847</t>
        </is>
      </c>
    </row>
    <row r="950">
      <c r="A950" s="113" t="n">
        <v>45232</v>
      </c>
      <c r="B950" s="114" t="inlineStr">
        <is>
          <t>UPIOUT/330668791954/Q664676942@ybl/Sent
via /8999</t>
        </is>
      </c>
      <c r="C950" s="114" t="inlineStr"/>
      <c r="D950" s="114" t="n">
        <v>25</v>
      </c>
      <c r="E950" s="114" t="n">
        <v>0</v>
      </c>
      <c r="F950" s="114" t="n">
        <v>50525.65</v>
      </c>
      <c r="G950" s="114" t="inlineStr">
        <is>
          <t>Personal</t>
        </is>
      </c>
      <c r="H950" s="114" t="inlineStr">
        <is>
          <t>FEDERAL 0847</t>
        </is>
      </c>
    </row>
    <row r="951">
      <c r="A951" s="113" t="n">
        <v>45232</v>
      </c>
      <c r="B951" s="114" t="inlineStr">
        <is>
          <t>UPIOUT/330667736470/paytmqrfmo9fujhwg@payt
m//5812</t>
        </is>
      </c>
      <c r="C951" s="114" t="inlineStr"/>
      <c r="D951" s="114" t="n">
        <v>90</v>
      </c>
      <c r="E951" s="114" t="n">
        <v>0</v>
      </c>
      <c r="F951" s="114" t="n">
        <v>50550.65</v>
      </c>
      <c r="G951" s="114" t="inlineStr">
        <is>
          <t>Personal</t>
        </is>
      </c>
      <c r="H951" s="114" t="inlineStr">
        <is>
          <t>FEDERAL 0847</t>
        </is>
      </c>
    </row>
    <row r="952">
      <c r="A952" s="113" t="n">
        <v>45232</v>
      </c>
      <c r="B952" s="114" t="inlineStr">
        <is>
          <t>NET PI TO HSL SEC A/C 2554606-00602340029427</t>
        </is>
      </c>
      <c r="C952" s="114" t="inlineStr">
        <is>
          <t>0000000462018478</t>
        </is>
      </c>
      <c r="D952" s="114" t="n">
        <v>39.53</v>
      </c>
      <c r="E952" s="114" t="n">
        <v>0</v>
      </c>
      <c r="F952" s="114" t="n">
        <v>26862.22</v>
      </c>
      <c r="G952" s="114" t="inlineStr">
        <is>
          <t>HDFC Securities</t>
        </is>
      </c>
      <c r="H952" s="114" t="inlineStr">
        <is>
          <t>HDFC 5413</t>
        </is>
      </c>
    </row>
    <row r="953">
      <c r="A953" s="113" t="n">
        <v>45233</v>
      </c>
      <c r="B953" s="114" t="inlineStr">
        <is>
          <t>UPIOUT/330794701468/9010397615@kotak/Sent
vi/0000</t>
        </is>
      </c>
      <c r="C953" s="114" t="inlineStr"/>
      <c r="D953" s="114" t="n">
        <v>20</v>
      </c>
      <c r="E953" s="114" t="n">
        <v>0</v>
      </c>
      <c r="F953" s="114" t="n">
        <v>48531.63</v>
      </c>
      <c r="G953" s="114" t="inlineStr">
        <is>
          <t>Personal</t>
        </is>
      </c>
      <c r="H953" s="114" t="inlineStr">
        <is>
          <t>FEDERAL 0847</t>
        </is>
      </c>
    </row>
    <row r="954">
      <c r="A954" s="113" t="n">
        <v>45233</v>
      </c>
      <c r="B954" s="114" t="inlineStr">
        <is>
          <t>UPIOUT/330789256870/jupiterbillpay2@fbl/BB
PS/4814</t>
        </is>
      </c>
      <c r="C954" s="114" t="inlineStr"/>
      <c r="D954" s="114" t="n">
        <v>1799</v>
      </c>
      <c r="E954" s="114" t="n">
        <v>0</v>
      </c>
      <c r="F954" s="114" t="n">
        <v>48551.63</v>
      </c>
      <c r="G954" s="114" t="inlineStr">
        <is>
          <t>Personal</t>
        </is>
      </c>
      <c r="H954" s="114" t="inlineStr">
        <is>
          <t>FEDERAL 0847</t>
        </is>
      </c>
    </row>
    <row r="955">
      <c r="A955" s="113" t="n">
        <v>45233</v>
      </c>
      <c r="B955" s="114" t="inlineStr">
        <is>
          <t>UPIOUT/330781019986/paytmqr1ox7m6rgyo@payt
m//5812</t>
        </is>
      </c>
      <c r="C955" s="114" t="inlineStr"/>
      <c r="D955" s="114" t="n">
        <v>15</v>
      </c>
      <c r="E955" s="114" t="n">
        <v>0</v>
      </c>
      <c r="F955" s="114" t="n">
        <v>50376.65</v>
      </c>
      <c r="G955" s="114" t="inlineStr">
        <is>
          <t>Personal</t>
        </is>
      </c>
      <c r="H955" s="114" t="inlineStr">
        <is>
          <t>FEDERAL 0847</t>
        </is>
      </c>
    </row>
    <row r="956">
      <c r="A956" s="113" t="n">
        <v>45233</v>
      </c>
      <c r="B956" s="114" t="inlineStr">
        <is>
          <t>UPIOUT/330780740709/paytmqry3eyiz8yp2@payt
m//5812</t>
        </is>
      </c>
      <c r="C956" s="114" t="inlineStr"/>
      <c r="D956" s="114" t="n">
        <v>35</v>
      </c>
      <c r="E956" s="114" t="n">
        <v>0</v>
      </c>
      <c r="F956" s="114" t="n">
        <v>50391.65</v>
      </c>
      <c r="G956" s="114" t="inlineStr">
        <is>
          <t>Personal</t>
        </is>
      </c>
      <c r="H956" s="114" t="inlineStr">
        <is>
          <t>FEDERAL 0847</t>
        </is>
      </c>
    </row>
    <row r="957">
      <c r="A957" s="113" t="n">
        <v>45233</v>
      </c>
      <c r="B957" s="114" t="inlineStr">
        <is>
          <t>NFT/NEOSIEXEDDD2023110312352497782 NAVI
Mutual Fun</t>
        </is>
      </c>
      <c r="C957" s="114" t="inlineStr"/>
      <c r="D957" s="114" t="n">
        <v>100</v>
      </c>
      <c r="E957" s="114" t="n">
        <v>0</v>
      </c>
      <c r="F957" s="114" t="n">
        <v>50426.65</v>
      </c>
      <c r="G957" s="114" t="inlineStr">
        <is>
          <t>Investments</t>
        </is>
      </c>
      <c r="H957" s="114" t="inlineStr">
        <is>
          <t>FEDERAL 0847</t>
        </is>
      </c>
    </row>
    <row r="958">
      <c r="A958" s="113" t="n">
        <v>45233</v>
      </c>
      <c r="B958" s="114" t="inlineStr">
        <is>
          <t>UPIOUT/330713643429/paytmqruct2pt8f1w@payt
m//5462</t>
        </is>
      </c>
      <c r="C958" s="114" t="inlineStr"/>
      <c r="D958" s="114" t="n">
        <v>30</v>
      </c>
      <c r="E958" s="114" t="n">
        <v>0</v>
      </c>
      <c r="F958" s="114" t="n">
        <v>48501.63</v>
      </c>
      <c r="G958" s="114" t="inlineStr">
        <is>
          <t>Personal</t>
        </is>
      </c>
      <c r="H958" s="114" t="inlineStr">
        <is>
          <t>FEDERAL 0847</t>
        </is>
      </c>
    </row>
    <row r="959">
      <c r="A959" s="113" t="n">
        <v>45233</v>
      </c>
      <c r="B959" s="114" t="inlineStr">
        <is>
          <t>UPIOUT/330725397088/paytmqrfmo9fujhwg@payt
m//5812</t>
        </is>
      </c>
      <c r="C959" s="114" t="inlineStr"/>
      <c r="D959" s="114" t="n">
        <v>70</v>
      </c>
      <c r="E959" s="114" t="n">
        <v>0</v>
      </c>
      <c r="F959" s="114" t="n">
        <v>48431.63</v>
      </c>
      <c r="G959" s="114" t="inlineStr">
        <is>
          <t>Personal</t>
        </is>
      </c>
      <c r="H959" s="114" t="inlineStr">
        <is>
          <t>FEDERAL 0847</t>
        </is>
      </c>
    </row>
    <row r="960">
      <c r="A960" s="113" t="n">
        <v>45233</v>
      </c>
      <c r="B960" s="114" t="inlineStr">
        <is>
          <t>UPIOUT/330768778963/euronetgpay.playrc@ici
ci/6540</t>
        </is>
      </c>
      <c r="C960" s="114" t="inlineStr"/>
      <c r="D960" s="114" t="n">
        <v>299</v>
      </c>
      <c r="E960" s="114" t="n">
        <v>0</v>
      </c>
      <c r="F960" s="114" t="n">
        <v>48107.63</v>
      </c>
      <c r="G960" s="114" t="inlineStr">
        <is>
          <t>Personal</t>
        </is>
      </c>
      <c r="H960" s="114" t="inlineStr">
        <is>
          <t>FEDERAL 0847</t>
        </is>
      </c>
    </row>
    <row r="961">
      <c r="A961" s="113" t="n">
        <v>45233</v>
      </c>
      <c r="B961" s="114" t="inlineStr">
        <is>
          <t>UPIOUT/330786190449/uber@axisbank/charge/4
121</t>
        </is>
      </c>
      <c r="C961" s="114" t="inlineStr"/>
      <c r="D961" s="114" t="n">
        <v>26.02</v>
      </c>
      <c r="E961" s="114" t="n">
        <v>0</v>
      </c>
      <c r="F961" s="114" t="n">
        <v>50350.63</v>
      </c>
      <c r="G961" s="114" t="inlineStr">
        <is>
          <t>Transport</t>
        </is>
      </c>
      <c r="H961" s="114" t="inlineStr">
        <is>
          <t>FEDERAL 0847</t>
        </is>
      </c>
    </row>
    <row r="962">
      <c r="A962" s="113" t="n">
        <v>45233</v>
      </c>
      <c r="B962" s="114" t="inlineStr">
        <is>
          <t>UPIOUT/330726300240/paytmqr1pmo8nvizk@payt
m//5812</t>
        </is>
      </c>
      <c r="C962" s="114" t="inlineStr"/>
      <c r="D962" s="114" t="n">
        <v>25</v>
      </c>
      <c r="E962" s="114" t="n">
        <v>0</v>
      </c>
      <c r="F962" s="114" t="n">
        <v>48406.63</v>
      </c>
      <c r="G962" s="114" t="inlineStr">
        <is>
          <t>Personal</t>
        </is>
      </c>
      <c r="H962" s="114" t="inlineStr">
        <is>
          <t>FEDERAL 0847</t>
        </is>
      </c>
    </row>
    <row r="963">
      <c r="A963" s="113" t="n">
        <v>45233</v>
      </c>
      <c r="B963" s="114" t="inlineStr">
        <is>
          <t>NET PO FROM HSL A/C 2554606-50200085415108</t>
        </is>
      </c>
      <c r="C963" s="114" t="inlineStr">
        <is>
          <t>0000000462238404</t>
        </is>
      </c>
      <c r="D963" s="114" t="n">
        <v>0</v>
      </c>
      <c r="E963" s="114" t="n">
        <v>2837.4</v>
      </c>
      <c r="F963" s="114" t="n">
        <v>24014.24</v>
      </c>
      <c r="G963" s="114" t="inlineStr">
        <is>
          <t>HDFC Securities</t>
        </is>
      </c>
      <c r="H963" s="114" t="inlineStr">
        <is>
          <t>HDFC 5413</t>
        </is>
      </c>
    </row>
    <row r="964">
      <c r="A964" s="113" t="n">
        <v>45233</v>
      </c>
      <c r="B964" s="114" t="inlineStr">
        <is>
          <t>NET PI TO HSL SEC A/C 2554606-00602340029427</t>
        </is>
      </c>
      <c r="C964" s="114" t="inlineStr">
        <is>
          <t>0000000462406032</t>
        </is>
      </c>
      <c r="D964" s="114" t="n">
        <v>68.67</v>
      </c>
      <c r="E964" s="114" t="n">
        <v>0</v>
      </c>
      <c r="F964" s="114" t="n">
        <v>23945.57</v>
      </c>
      <c r="G964" s="114" t="inlineStr">
        <is>
          <t>HDFC Securities</t>
        </is>
      </c>
      <c r="H964" s="114" t="inlineStr">
        <is>
          <t>HDFC 5413</t>
        </is>
      </c>
    </row>
    <row r="965">
      <c r="A965" s="113" t="n">
        <v>45233</v>
      </c>
      <c r="B965" s="114" t="inlineStr">
        <is>
          <t>NET PO FROM HSL A/C 2554606-50200085415108</t>
        </is>
      </c>
      <c r="C965" s="114" t="inlineStr">
        <is>
          <t>0000000462523201</t>
        </is>
      </c>
      <c r="D965" s="114" t="n">
        <v>0</v>
      </c>
      <c r="E965" s="114" t="n">
        <v>14987.68</v>
      </c>
      <c r="F965" s="114" t="n">
        <v>38933.25</v>
      </c>
      <c r="G965" s="114" t="inlineStr">
        <is>
          <t>HDFC Securities</t>
        </is>
      </c>
      <c r="H965" s="114" t="inlineStr">
        <is>
          <t>HDFC 5413</t>
        </is>
      </c>
    </row>
    <row r="966">
      <c r="A966" s="113" t="n">
        <v>45234</v>
      </c>
      <c r="B966" s="114" t="inlineStr">
        <is>
          <t>UPIOUT/330875630315/jupiterbillpay2@fbl/BB
PS/4814</t>
        </is>
      </c>
      <c r="C966" s="114" t="inlineStr"/>
      <c r="D966" s="114" t="n">
        <v>239</v>
      </c>
      <c r="E966" s="114" t="n">
        <v>0</v>
      </c>
      <c r="F966" s="114" t="n">
        <v>47019.63</v>
      </c>
      <c r="G966" s="114" t="inlineStr">
        <is>
          <t>Personal</t>
        </is>
      </c>
      <c r="H966" s="114" t="inlineStr">
        <is>
          <t>FEDERAL 0847</t>
        </is>
      </c>
    </row>
    <row r="967">
      <c r="A967" s="113" t="n">
        <v>45234</v>
      </c>
      <c r="B967" s="114" t="inlineStr">
        <is>
          <t>UPIOUT/330855221836/8797652202@airtel/Pay
mo/0000</t>
        </is>
      </c>
      <c r="C967" s="114" t="inlineStr"/>
      <c r="D967" s="114" t="n">
        <v>50</v>
      </c>
      <c r="E967" s="114" t="n">
        <v>0</v>
      </c>
      <c r="F967" s="114" t="n">
        <v>47258.63</v>
      </c>
      <c r="G967" s="114" t="inlineStr">
        <is>
          <t>Personal</t>
        </is>
      </c>
      <c r="H967" s="114" t="inlineStr">
        <is>
          <t>FEDERAL 0847</t>
        </is>
      </c>
    </row>
    <row r="968">
      <c r="A968" s="113" t="n">
        <v>45234</v>
      </c>
      <c r="B968" s="114" t="inlineStr">
        <is>
          <t>UPIOUT/330851213069/paytmqrfmo9fujhwg@payt
m//5812</t>
        </is>
      </c>
      <c r="C968" s="114" t="inlineStr"/>
      <c r="D968" s="114" t="n">
        <v>255</v>
      </c>
      <c r="E968" s="114" t="n">
        <v>0</v>
      </c>
      <c r="F968" s="114" t="n">
        <v>47308.63</v>
      </c>
      <c r="G968" s="114" t="inlineStr">
        <is>
          <t>Personal</t>
        </is>
      </c>
      <c r="H968" s="114" t="inlineStr">
        <is>
          <t>FEDERAL 0847</t>
        </is>
      </c>
    </row>
    <row r="969">
      <c r="A969" s="113" t="n">
        <v>45234</v>
      </c>
      <c r="B969" s="114" t="inlineStr">
        <is>
          <t>UPIOUT/330842390729/Q614784165@ybl/Sent
via /5311</t>
        </is>
      </c>
      <c r="C969" s="114" t="inlineStr"/>
      <c r="D969" s="114" t="n">
        <v>45</v>
      </c>
      <c r="E969" s="114" t="n">
        <v>0</v>
      </c>
      <c r="F969" s="114" t="n">
        <v>47563.63</v>
      </c>
      <c r="G969" s="114" t="inlineStr">
        <is>
          <t>Personal</t>
        </is>
      </c>
      <c r="H969" s="114" t="inlineStr">
        <is>
          <t>FEDERAL 0847</t>
        </is>
      </c>
    </row>
    <row r="970">
      <c r="A970" s="113" t="n">
        <v>45234</v>
      </c>
      <c r="B970" s="114" t="inlineStr">
        <is>
          <t>UPIOUT/330842147758/paytmqr5me7ey4chy@payt
m//5411</t>
        </is>
      </c>
      <c r="C970" s="114" t="inlineStr"/>
      <c r="D970" s="114" t="n">
        <v>279</v>
      </c>
      <c r="E970" s="114" t="n">
        <v>0</v>
      </c>
      <c r="F970" s="114" t="n">
        <v>47608.63</v>
      </c>
      <c r="G970" s="114" t="inlineStr">
        <is>
          <t>Personal</t>
        </is>
      </c>
      <c r="H970" s="114" t="inlineStr">
        <is>
          <t>FEDERAL 0847</t>
        </is>
      </c>
    </row>
    <row r="971">
      <c r="A971" s="113" t="n">
        <v>45234</v>
      </c>
      <c r="B971" s="114" t="inlineStr">
        <is>
          <t>NFT/NEONEFTTDDD2023110404084526215 NAVI
Mutual Fun</t>
        </is>
      </c>
      <c r="C971" s="114" t="inlineStr"/>
      <c r="D971" s="114" t="n">
        <v>50</v>
      </c>
      <c r="E971" s="114" t="n">
        <v>0</v>
      </c>
      <c r="F971" s="114" t="n">
        <v>47887.63</v>
      </c>
      <c r="G971" s="114" t="inlineStr">
        <is>
          <t>Suspense</t>
        </is>
      </c>
      <c r="H971" s="114" t="inlineStr">
        <is>
          <t>FEDERAL 0847</t>
        </is>
      </c>
    </row>
    <row r="972">
      <c r="A972" s="113" t="n">
        <v>45234</v>
      </c>
      <c r="B972" s="114" t="inlineStr">
        <is>
          <t>UPIOUT/330835730483/paytmqrfmo9fujhwg@payt
m//5812</t>
        </is>
      </c>
      <c r="C972" s="114" t="inlineStr"/>
      <c r="D972" s="114" t="n">
        <v>70</v>
      </c>
      <c r="E972" s="114" t="n">
        <v>0</v>
      </c>
      <c r="F972" s="114" t="n">
        <v>47937.63</v>
      </c>
      <c r="G972" s="114" t="inlineStr">
        <is>
          <t>Personal</t>
        </is>
      </c>
      <c r="H972" s="114" t="inlineStr">
        <is>
          <t>FEDERAL 0847</t>
        </is>
      </c>
    </row>
    <row r="973">
      <c r="A973" s="113" t="n">
        <v>45234</v>
      </c>
      <c r="B973" s="114" t="inlineStr">
        <is>
          <t>NFT/NEOSIEXEDDD2023110412361582270 NAVI
Mutual Fun</t>
        </is>
      </c>
      <c r="C973" s="114" t="inlineStr"/>
      <c r="D973" s="114" t="n">
        <v>100</v>
      </c>
      <c r="E973" s="114" t="n">
        <v>0</v>
      </c>
      <c r="F973" s="114" t="n">
        <v>48007.63</v>
      </c>
      <c r="G973" s="114" t="inlineStr">
        <is>
          <t>Investments</t>
        </is>
      </c>
      <c r="H973" s="114" t="inlineStr">
        <is>
          <t>FEDERAL 0847</t>
        </is>
      </c>
    </row>
    <row r="974">
      <c r="A974" s="113" t="n">
        <v>45235</v>
      </c>
      <c r="B974" s="114" t="inlineStr">
        <is>
          <t>NEFT CR-UTIB0002656-AAYUSH KUMAR GUPTA-AAYUSH KUMAR GUPTA-AXOIR33099676704</t>
        </is>
      </c>
      <c r="C974" s="114" t="inlineStr">
        <is>
          <t>AXOIR33099676704</t>
        </is>
      </c>
      <c r="D974" s="114" t="n">
        <v>0</v>
      </c>
      <c r="E974" s="114" t="n">
        <v>30000</v>
      </c>
      <c r="F974" s="114" t="n">
        <v>68933.25</v>
      </c>
      <c r="G974" s="114" t="inlineStr">
        <is>
          <t>AXIS</t>
        </is>
      </c>
      <c r="H974" s="114" t="inlineStr">
        <is>
          <t>HDFC 5413</t>
        </is>
      </c>
    </row>
    <row r="975">
      <c r="A975" s="113" t="n">
        <v>45235</v>
      </c>
      <c r="B975" s="114" t="inlineStr">
        <is>
          <t>NFT/NEOSIEXEDDD2023110512514962764 NAVI
Mutual Fun</t>
        </is>
      </c>
      <c r="C975" s="114" t="inlineStr"/>
      <c r="D975" s="114" t="n">
        <v>100</v>
      </c>
      <c r="E975" s="114" t="n">
        <v>0</v>
      </c>
      <c r="F975" s="114" t="n">
        <v>46919.63</v>
      </c>
      <c r="G975" s="114" t="inlineStr">
        <is>
          <t>Investments</t>
        </is>
      </c>
      <c r="H975" s="114" t="inlineStr">
        <is>
          <t>FEDERAL 0847</t>
        </is>
      </c>
    </row>
    <row r="976">
      <c r="A976" s="113" t="n">
        <v>45235</v>
      </c>
      <c r="B976" s="114" t="inlineStr">
        <is>
          <t>NEFT/IR/AXOIR33099676704/Aayush Kumar Gupta/HDFC BANK/Transfer fom Aayush Axis</t>
        </is>
      </c>
      <c r="C976" s="114" t="inlineStr">
        <is>
          <t>-</t>
        </is>
      </c>
      <c r="D976" s="114" t="n">
        <v>30000</v>
      </c>
      <c r="E976" s="114" t="n">
        <v>0</v>
      </c>
      <c r="F976" s="114" t="n">
        <v>16512.39</v>
      </c>
      <c r="G976" s="114" t="inlineStr">
        <is>
          <t>AXIS</t>
        </is>
      </c>
      <c r="H976" s="114" t="inlineStr">
        <is>
          <t>AXIS</t>
        </is>
      </c>
    </row>
    <row r="977">
      <c r="A977" s="113" t="n">
        <v>45235</v>
      </c>
      <c r="B977" s="114" t="inlineStr">
        <is>
          <t>UPIOUT/330927069828/Q917893938@ybl/Sent
via /5814</t>
        </is>
      </c>
      <c r="C977" s="114" t="inlineStr"/>
      <c r="D977" s="114" t="n">
        <v>30</v>
      </c>
      <c r="E977" s="114" t="n">
        <v>0</v>
      </c>
      <c r="F977" s="114" t="n">
        <v>46889.63</v>
      </c>
      <c r="G977" s="114" t="inlineStr">
        <is>
          <t>Personal</t>
        </is>
      </c>
      <c r="H977" s="114" t="inlineStr">
        <is>
          <t>FEDERAL 0847</t>
        </is>
      </c>
    </row>
    <row r="978">
      <c r="A978" s="113" t="n">
        <v>45236</v>
      </c>
      <c r="B978" s="114" t="inlineStr">
        <is>
          <t>NET PO FROM HSL A/C 2554606-50200085415108</t>
        </is>
      </c>
      <c r="C978" s="114" t="inlineStr">
        <is>
          <t>0000000462649867</t>
        </is>
      </c>
      <c r="D978" s="114" t="n">
        <v>0</v>
      </c>
      <c r="E978" s="114" t="n">
        <v>1324.43</v>
      </c>
      <c r="F978" s="114" t="n">
        <v>70257.67999999999</v>
      </c>
      <c r="G978" s="114" t="inlineStr">
        <is>
          <t>HDFC Securities</t>
        </is>
      </c>
      <c r="H978" s="114" t="inlineStr">
        <is>
          <t>HDFC 5413</t>
        </is>
      </c>
    </row>
    <row r="979">
      <c r="A979" s="113" t="n">
        <v>45236</v>
      </c>
      <c r="B979" s="114" t="inlineStr">
        <is>
          <t>NFT/NEOSIEXEDDD2023110612374928984 NAVI
Mutual Fun</t>
        </is>
      </c>
      <c r="C979" s="114" t="inlineStr"/>
      <c r="D979" s="114" t="n">
        <v>100</v>
      </c>
      <c r="E979" s="114" t="n">
        <v>0</v>
      </c>
      <c r="F979" s="114" t="n">
        <v>46789.63</v>
      </c>
      <c r="G979" s="114" t="inlineStr">
        <is>
          <t>Investments</t>
        </is>
      </c>
      <c r="H979" s="114" t="inlineStr">
        <is>
          <t>FEDERAL 0847</t>
        </is>
      </c>
    </row>
    <row r="980">
      <c r="A980" s="113" t="n">
        <v>45236</v>
      </c>
      <c r="B980" s="114" t="inlineStr">
        <is>
          <t>NET PI TO HSL SEC A/C 2554606-00602340029427</t>
        </is>
      </c>
      <c r="C980" s="114" t="inlineStr">
        <is>
          <t>0000000462832659</t>
        </is>
      </c>
      <c r="D980" s="114" t="n">
        <v>225.45</v>
      </c>
      <c r="E980" s="114" t="n">
        <v>0</v>
      </c>
      <c r="F980" s="114" t="n">
        <v>79559</v>
      </c>
      <c r="G980" s="114" t="inlineStr">
        <is>
          <t>HDFC Securities</t>
        </is>
      </c>
      <c r="H980" s="114" t="inlineStr">
        <is>
          <t>HDFC 5413</t>
        </is>
      </c>
    </row>
    <row r="981">
      <c r="A981" s="113" t="n">
        <v>45236</v>
      </c>
      <c r="B981" s="114" t="inlineStr">
        <is>
          <t>0611104786 LTIMINDTREE LIMITED INT DIV 2</t>
        </is>
      </c>
      <c r="C981" s="114" t="inlineStr">
        <is>
          <t>0000061123124866</t>
        </is>
      </c>
      <c r="D981" s="114" t="n">
        <v>0</v>
      </c>
      <c r="E981" s="114" t="n">
        <v>660</v>
      </c>
      <c r="F981" s="114" t="n">
        <v>80219</v>
      </c>
      <c r="G981" s="114" t="inlineStr">
        <is>
          <t>Dividend Income</t>
        </is>
      </c>
      <c r="H981" s="114" t="inlineStr">
        <is>
          <t>HDFC 5413</t>
        </is>
      </c>
    </row>
    <row r="982">
      <c r="A982" s="113" t="n">
        <v>45236</v>
      </c>
      <c r="B982" s="114" t="inlineStr">
        <is>
          <t>ACH C- INFOSYS LIMITED-38356468</t>
        </is>
      </c>
      <c r="C982" s="114" t="inlineStr">
        <is>
          <t>0000007026608299</t>
        </is>
      </c>
      <c r="D982" s="114" t="n">
        <v>0</v>
      </c>
      <c r="E982" s="114" t="n">
        <v>450</v>
      </c>
      <c r="F982" s="114" t="n">
        <v>80669</v>
      </c>
      <c r="G982" s="114" t="inlineStr">
        <is>
          <t>Dividend Income</t>
        </is>
      </c>
      <c r="H982" s="114" t="inlineStr">
        <is>
          <t>HDFC 5413</t>
        </is>
      </c>
    </row>
    <row r="983">
      <c r="A983" s="113" t="n">
        <v>45236</v>
      </c>
      <c r="B983" s="114" t="inlineStr">
        <is>
          <t>NET PI TO HSL SEC A/C 2554606-00602340029427</t>
        </is>
      </c>
      <c r="C983" s="114" t="inlineStr">
        <is>
          <t>0000000462920638</t>
        </is>
      </c>
      <c r="D983" s="114" t="n">
        <v>42899.1</v>
      </c>
      <c r="E983" s="114" t="n">
        <v>0</v>
      </c>
      <c r="F983" s="114" t="n">
        <v>37769.9</v>
      </c>
      <c r="G983" s="114" t="inlineStr">
        <is>
          <t>HDFC Securities</t>
        </is>
      </c>
      <c r="H983" s="114" t="inlineStr">
        <is>
          <t>HDFC 5413</t>
        </is>
      </c>
    </row>
    <row r="984">
      <c r="A984" s="113" t="n">
        <v>45236</v>
      </c>
      <c r="B984" s="114" t="inlineStr">
        <is>
          <t>NET PO FROM HSL A/C 2554606-50200085415108</t>
        </is>
      </c>
      <c r="C984" s="114" t="inlineStr">
        <is>
          <t>0000000462660082</t>
        </is>
      </c>
      <c r="D984" s="114" t="n">
        <v>0</v>
      </c>
      <c r="E984" s="114" t="n">
        <v>9526.77</v>
      </c>
      <c r="F984" s="114" t="n">
        <v>79784.45</v>
      </c>
      <c r="G984" s="114" t="inlineStr">
        <is>
          <t>HDFC Securities</t>
        </is>
      </c>
      <c r="H984" s="114" t="inlineStr">
        <is>
          <t>HDFC 5413</t>
        </is>
      </c>
    </row>
    <row r="985">
      <c r="A985" s="113" t="n">
        <v>45237</v>
      </c>
      <c r="B985" s="114" t="inlineStr">
        <is>
          <t>NET PI TO HSL SEC A/C 2554606-00602340029427</t>
        </is>
      </c>
      <c r="C985" s="114" t="inlineStr">
        <is>
          <t>0000000463364058</t>
        </is>
      </c>
      <c r="D985" s="114" t="n">
        <v>414.74</v>
      </c>
      <c r="E985" s="114" t="n">
        <v>0</v>
      </c>
      <c r="F985" s="114" t="n">
        <v>37482.26</v>
      </c>
      <c r="G985" s="114" t="inlineStr">
        <is>
          <t>HDFC Securities</t>
        </is>
      </c>
      <c r="H985" s="114" t="inlineStr">
        <is>
          <t>HDFC 5413</t>
        </is>
      </c>
    </row>
    <row r="986">
      <c r="A986" s="113" t="n">
        <v>45237</v>
      </c>
      <c r="B986" s="114" t="inlineStr">
        <is>
          <t>UPIOUT/331111354771/paytmqr1lam17volq@payt
m//5812</t>
        </is>
      </c>
      <c r="C986" s="114" t="inlineStr"/>
      <c r="D986" s="114" t="n">
        <v>20</v>
      </c>
      <c r="E986" s="114" t="n">
        <v>0</v>
      </c>
      <c r="F986" s="114" t="n">
        <v>46617.63</v>
      </c>
      <c r="G986" s="114" t="inlineStr">
        <is>
          <t>Personal</t>
        </is>
      </c>
      <c r="H986" s="114" t="inlineStr">
        <is>
          <t>FEDERAL 0847</t>
        </is>
      </c>
    </row>
    <row r="987">
      <c r="A987" s="113" t="n">
        <v>45237</v>
      </c>
      <c r="B987" s="114" t="inlineStr">
        <is>
          <t>NET PI TO HSL SEC A/C 2554606-00602340029427</t>
        </is>
      </c>
      <c r="C987" s="114" t="inlineStr">
        <is>
          <t>0000000463309725</t>
        </is>
      </c>
      <c r="D987" s="114" t="n">
        <v>8223.719999999999</v>
      </c>
      <c r="E987" s="114" t="n">
        <v>0</v>
      </c>
      <c r="F987" s="114" t="n">
        <v>36017</v>
      </c>
      <c r="G987" s="114" t="inlineStr">
        <is>
          <t>HDFC Securities</t>
        </is>
      </c>
      <c r="H987" s="114" t="inlineStr">
        <is>
          <t>HDFC 5413</t>
        </is>
      </c>
    </row>
    <row r="988">
      <c r="A988" s="113" t="n">
        <v>45237</v>
      </c>
      <c r="B988" s="114" t="inlineStr">
        <is>
          <t>ACH C- TCS2NDINTDIV071123-1911711</t>
        </is>
      </c>
      <c r="C988" s="114" t="inlineStr">
        <is>
          <t>0000006962985637</t>
        </is>
      </c>
      <c r="D988" s="114" t="n">
        <v>0</v>
      </c>
      <c r="E988" s="114" t="n">
        <v>189</v>
      </c>
      <c r="F988" s="114" t="n">
        <v>44240.72</v>
      </c>
      <c r="G988" s="114" t="inlineStr">
        <is>
          <t>Dividend Income</t>
        </is>
      </c>
      <c r="H988" s="114" t="inlineStr">
        <is>
          <t>HDFC 5413</t>
        </is>
      </c>
    </row>
    <row r="989">
      <c r="A989" s="113" t="n">
        <v>45237</v>
      </c>
      <c r="B989" s="114" t="inlineStr">
        <is>
          <t>NFT/NEOSIEXEDDD2023110712362153715 NAVI
Mutual Fun</t>
        </is>
      </c>
      <c r="C989" s="114" t="inlineStr"/>
      <c r="D989" s="114" t="n">
        <v>100</v>
      </c>
      <c r="E989" s="114" t="n">
        <v>0</v>
      </c>
      <c r="F989" s="114" t="n">
        <v>46689.63</v>
      </c>
      <c r="G989" s="114" t="inlineStr">
        <is>
          <t>Investments</t>
        </is>
      </c>
      <c r="H989" s="114" t="inlineStr">
        <is>
          <t>FEDERAL 0847</t>
        </is>
      </c>
    </row>
    <row r="990">
      <c r="A990" s="113" t="n">
        <v>45237</v>
      </c>
      <c r="B990" s="114" t="inlineStr">
        <is>
          <t>UPIOUT/331196009475/pittalkarunakar-1@okhd
fc/0000</t>
        </is>
      </c>
      <c r="C990" s="114" t="inlineStr"/>
      <c r="D990" s="114" t="n">
        <v>28</v>
      </c>
      <c r="E990" s="114" t="n">
        <v>0</v>
      </c>
      <c r="F990" s="114" t="n">
        <v>46661.63</v>
      </c>
      <c r="G990" s="114" t="inlineStr">
        <is>
          <t>Personal</t>
        </is>
      </c>
      <c r="H990" s="114" t="inlineStr">
        <is>
          <t>FEDERAL 0847</t>
        </is>
      </c>
    </row>
    <row r="991">
      <c r="A991" s="113" t="n">
        <v>45237</v>
      </c>
      <c r="B991" s="114" t="inlineStr">
        <is>
          <t>UPIOUT/331110542501/paytmqry3eyiz8yp2@payt
m//5812</t>
        </is>
      </c>
      <c r="C991" s="114" t="inlineStr"/>
      <c r="D991" s="114" t="n">
        <v>24</v>
      </c>
      <c r="E991" s="114" t="n">
        <v>0</v>
      </c>
      <c r="F991" s="114" t="n">
        <v>46637.63</v>
      </c>
      <c r="G991" s="114" t="inlineStr">
        <is>
          <t>Personal</t>
        </is>
      </c>
      <c r="H991" s="114" t="inlineStr">
        <is>
          <t>FEDERAL 0847</t>
        </is>
      </c>
    </row>
    <row r="992">
      <c r="A992" s="113" t="n">
        <v>45237</v>
      </c>
      <c r="B992" s="114" t="inlineStr">
        <is>
          <t>NET PO FROM HSL A/C 2554606-50200085415108</t>
        </is>
      </c>
      <c r="C992" s="114" t="inlineStr">
        <is>
          <t>0000000463072182</t>
        </is>
      </c>
      <c r="D992" s="114" t="n">
        <v>0</v>
      </c>
      <c r="E992" s="114" t="n">
        <v>6342.6</v>
      </c>
      <c r="F992" s="114" t="n">
        <v>44112.5</v>
      </c>
      <c r="G992" s="114" t="inlineStr">
        <is>
          <t>HDFC Securities</t>
        </is>
      </c>
      <c r="H992" s="114" t="inlineStr">
        <is>
          <t>HDFC 5413</t>
        </is>
      </c>
    </row>
    <row r="993">
      <c r="A993" s="113" t="n">
        <v>45237</v>
      </c>
      <c r="B993" s="114" t="inlineStr">
        <is>
          <t>NET PI TO HSL SEC A/C 2554606-00602340029427</t>
        </is>
      </c>
      <c r="C993" s="114" t="inlineStr">
        <is>
          <t>0000000463246733</t>
        </is>
      </c>
      <c r="D993" s="114" t="n">
        <v>60.78</v>
      </c>
      <c r="E993" s="114" t="n">
        <v>0</v>
      </c>
      <c r="F993" s="114" t="n">
        <v>44051.72</v>
      </c>
      <c r="G993" s="114" t="inlineStr">
        <is>
          <t>HDFC Securities</t>
        </is>
      </c>
      <c r="H993" s="114" t="inlineStr">
        <is>
          <t>HDFC 5413</t>
        </is>
      </c>
    </row>
    <row r="994">
      <c r="A994" s="113" t="n">
        <v>45237</v>
      </c>
      <c r="B994" s="114" t="inlineStr">
        <is>
          <t>00602300000434-024470371</t>
        </is>
      </c>
      <c r="C994" s="114" t="inlineStr">
        <is>
          <t>0000311076717944</t>
        </is>
      </c>
      <c r="D994" s="114" t="n">
        <v>0</v>
      </c>
      <c r="E994" s="114" t="n">
        <v>1880</v>
      </c>
      <c r="F994" s="114" t="n">
        <v>37897</v>
      </c>
      <c r="G994" s="114" t="inlineStr">
        <is>
          <t>Suspense</t>
        </is>
      </c>
      <c r="H994" s="114" t="inlineStr">
        <is>
          <t>HDFC 5413</t>
        </is>
      </c>
    </row>
    <row r="995">
      <c r="A995" s="113" t="n">
        <v>45238</v>
      </c>
      <c r="B995" s="114" t="inlineStr">
        <is>
          <t>NFT/NEOSIEXEDDD2023110812363765766 NAVI
Mutual Fun</t>
        </is>
      </c>
      <c r="C995" s="114" t="inlineStr"/>
      <c r="D995" s="114" t="n">
        <v>100</v>
      </c>
      <c r="E995" s="114" t="n">
        <v>0</v>
      </c>
      <c r="F995" s="114" t="n">
        <v>46517.63</v>
      </c>
      <c r="G995" s="114" t="inlineStr">
        <is>
          <t>Investments</t>
        </is>
      </c>
      <c r="H995" s="114" t="inlineStr">
        <is>
          <t>FEDERAL 0847</t>
        </is>
      </c>
    </row>
    <row r="996">
      <c r="A996" s="113" t="n">
        <v>45238</v>
      </c>
      <c r="B996" s="114" t="inlineStr">
        <is>
          <t>UPIOUT/331228317453/paytmqr2810050501011dp
bh/5812</t>
        </is>
      </c>
      <c r="C996" s="114" t="inlineStr"/>
      <c r="D996" s="114" t="n">
        <v>35</v>
      </c>
      <c r="E996" s="114" t="n">
        <v>0</v>
      </c>
      <c r="F996" s="114" t="n">
        <v>46482.63</v>
      </c>
      <c r="G996" s="114" t="inlineStr">
        <is>
          <t>Personal</t>
        </is>
      </c>
      <c r="H996" s="114" t="inlineStr">
        <is>
          <t>FEDERAL 0847</t>
        </is>
      </c>
    </row>
    <row r="997">
      <c r="A997" s="113" t="n">
        <v>45238</v>
      </c>
      <c r="B997" s="114" t="inlineStr">
        <is>
          <t>UPIOUT/331228466445/paytmqrfmo9fujhwg@payt
m//5812</t>
        </is>
      </c>
      <c r="C997" s="114" t="inlineStr"/>
      <c r="D997" s="114" t="n">
        <v>20</v>
      </c>
      <c r="E997" s="114" t="n">
        <v>0</v>
      </c>
      <c r="F997" s="114" t="n">
        <v>46462.63</v>
      </c>
      <c r="G997" s="114" t="inlineStr">
        <is>
          <t>Personal</t>
        </is>
      </c>
      <c r="H997" s="114" t="inlineStr">
        <is>
          <t>FEDERAL 0847</t>
        </is>
      </c>
    </row>
    <row r="998">
      <c r="A998" s="113" t="n">
        <v>45238</v>
      </c>
      <c r="B998" s="114" t="inlineStr">
        <is>
          <t>UPIOUT/331252186883/paytm-76881028@paytm/S
en/4121</t>
        </is>
      </c>
      <c r="C998" s="114" t="inlineStr"/>
      <c r="D998" s="114" t="n">
        <v>23</v>
      </c>
      <c r="E998" s="114" t="n">
        <v>0</v>
      </c>
      <c r="F998" s="114" t="n">
        <v>46439.63</v>
      </c>
      <c r="G998" s="114" t="inlineStr">
        <is>
          <t>Personal</t>
        </is>
      </c>
      <c r="H998" s="114" t="inlineStr">
        <is>
          <t>FEDERAL 0847</t>
        </is>
      </c>
    </row>
    <row r="999">
      <c r="A999" s="113" t="n">
        <v>45238</v>
      </c>
      <c r="B999" s="114" t="inlineStr">
        <is>
          <t>UPIOUT/331252968093/paytmqr17hgjzxr2t@payt
m//5814</t>
        </is>
      </c>
      <c r="C999" s="114" t="inlineStr"/>
      <c r="D999" s="114" t="n">
        <v>50</v>
      </c>
      <c r="E999" s="114" t="n">
        <v>0</v>
      </c>
      <c r="F999" s="114" t="n">
        <v>46389.63</v>
      </c>
      <c r="G999" s="114" t="inlineStr">
        <is>
          <t>Personal</t>
        </is>
      </c>
      <c r="H999" s="114" t="inlineStr">
        <is>
          <t>FEDERAL 0847</t>
        </is>
      </c>
    </row>
    <row r="1000">
      <c r="A1000" s="113" t="n">
        <v>45238</v>
      </c>
      <c r="B1000" s="114" t="inlineStr">
        <is>
          <t>UPIOUT/367810083396/swiggy@yespay/Debit
Mone/5812</t>
        </is>
      </c>
      <c r="C1000" s="114" t="inlineStr"/>
      <c r="D1000" s="114" t="n">
        <v>336</v>
      </c>
      <c r="E1000" s="114" t="n">
        <v>0</v>
      </c>
      <c r="F1000" s="114" t="n">
        <v>46003.63</v>
      </c>
      <c r="G1000" s="114" t="inlineStr">
        <is>
          <t>Food &amp; Dining</t>
        </is>
      </c>
      <c r="H1000" s="114" t="inlineStr">
        <is>
          <t>FEDERAL 0847</t>
        </is>
      </c>
    </row>
    <row r="1001">
      <c r="A1001" s="113" t="n">
        <v>45238</v>
      </c>
      <c r="B1001" s="114" t="inlineStr">
        <is>
          <t>UPIOUT/331254617948/8797652202@airtel/Pay
mo/0000</t>
        </is>
      </c>
      <c r="C1001" s="114" t="inlineStr"/>
      <c r="D1001" s="114" t="n">
        <v>50</v>
      </c>
      <c r="E1001" s="114" t="n">
        <v>0</v>
      </c>
      <c r="F1001" s="114" t="n">
        <v>46339.63</v>
      </c>
      <c r="G1001" s="114" t="inlineStr">
        <is>
          <t>Personal</t>
        </is>
      </c>
      <c r="H1001" s="114" t="inlineStr">
        <is>
          <t>FEDERAL 0847</t>
        </is>
      </c>
    </row>
    <row r="1002">
      <c r="A1002" s="113" t="n">
        <v>45238</v>
      </c>
      <c r="B1002" s="114" t="inlineStr">
        <is>
          <t>NET PI TO HSL SEC A/C 2554606-00602340029427</t>
        </is>
      </c>
      <c r="C1002" s="114" t="inlineStr">
        <is>
          <t>0000000463736783</t>
        </is>
      </c>
      <c r="D1002" s="114" t="n">
        <v>17091.83</v>
      </c>
      <c r="E1002" s="114" t="n">
        <v>0</v>
      </c>
      <c r="F1002" s="114" t="n">
        <v>20333.69</v>
      </c>
      <c r="G1002" s="114" t="inlineStr">
        <is>
          <t>HDFC Securities</t>
        </is>
      </c>
      <c r="H1002" s="114" t="inlineStr">
        <is>
          <t>HDFC 5413</t>
        </is>
      </c>
    </row>
    <row r="1003">
      <c r="A1003" s="113" t="n">
        <v>45238</v>
      </c>
      <c r="B1003" s="114" t="inlineStr">
        <is>
          <t>NET PI TO HSL SEC A/C 2554606-00602340029427</t>
        </is>
      </c>
      <c r="C1003" s="114" t="inlineStr">
        <is>
          <t>0000000463599308</t>
        </is>
      </c>
      <c r="D1003" s="114" t="n">
        <v>56.74</v>
      </c>
      <c r="E1003" s="114" t="n">
        <v>0</v>
      </c>
      <c r="F1003" s="114" t="n">
        <v>37425.52</v>
      </c>
      <c r="G1003" s="114" t="inlineStr">
        <is>
          <t>HDFC Securities</t>
        </is>
      </c>
      <c r="H1003" s="114" t="inlineStr">
        <is>
          <t>HDFC 5413</t>
        </is>
      </c>
    </row>
    <row r="1004">
      <c r="A1004" s="113" t="n">
        <v>45239</v>
      </c>
      <c r="B1004" s="114" t="inlineStr">
        <is>
          <t>UPIOUT/367923024587/paytm-
irctcapp@paytm/Oid/4011</t>
        </is>
      </c>
      <c r="C1004" s="114" t="inlineStr"/>
      <c r="D1004" s="114" t="n">
        <v>983.95</v>
      </c>
      <c r="E1004" s="114" t="n">
        <v>0</v>
      </c>
      <c r="F1004" s="114" t="n">
        <v>44617.68</v>
      </c>
      <c r="G1004" s="114" t="inlineStr">
        <is>
          <t>Travel</t>
        </is>
      </c>
      <c r="H1004" s="114" t="inlineStr">
        <is>
          <t>FEDERAL 0847</t>
        </is>
      </c>
    </row>
    <row r="1005">
      <c r="A1005" s="113" t="n">
        <v>45239</v>
      </c>
      <c r="B1005" s="114" t="inlineStr">
        <is>
          <t>UPIOUT/331310457657/6281052278@ibl/Sent
via /0000</t>
        </is>
      </c>
      <c r="C1005" s="114" t="inlineStr"/>
      <c r="D1005" s="114" t="n">
        <v>340</v>
      </c>
      <c r="E1005" s="114" t="n">
        <v>0</v>
      </c>
      <c r="F1005" s="114" t="n">
        <v>44277.68</v>
      </c>
      <c r="G1005" s="114" t="inlineStr">
        <is>
          <t>Personal</t>
        </is>
      </c>
      <c r="H1005" s="114" t="inlineStr">
        <is>
          <t>FEDERAL 0847</t>
        </is>
      </c>
    </row>
    <row r="1006">
      <c r="A1006" s="113" t="n">
        <v>45239</v>
      </c>
      <c r="B1006" s="114" t="inlineStr">
        <is>
          <t>NET PI TO HSL SEC A/C 2554606-00602340029427</t>
        </is>
      </c>
      <c r="C1006" s="114" t="inlineStr">
        <is>
          <t>0000000464114886</t>
        </is>
      </c>
      <c r="D1006" s="114" t="n">
        <v>1653.99</v>
      </c>
      <c r="E1006" s="114" t="n">
        <v>0</v>
      </c>
      <c r="F1006" s="114" t="n">
        <v>32122.59</v>
      </c>
      <c r="G1006" s="114" t="inlineStr">
        <is>
          <t>HDFC Securities</t>
        </is>
      </c>
      <c r="H1006" s="114" t="inlineStr">
        <is>
          <t>HDFC 5413</t>
        </is>
      </c>
    </row>
    <row r="1007">
      <c r="A1007" s="113" t="n">
        <v>45239</v>
      </c>
      <c r="B1007" s="114" t="inlineStr">
        <is>
          <t>NET PI TO HSL SEC A/C 2554606-00602340029427</t>
        </is>
      </c>
      <c r="C1007" s="114" t="inlineStr">
        <is>
          <t>0000000463964969</t>
        </is>
      </c>
      <c r="D1007" s="114" t="n">
        <v>50.65</v>
      </c>
      <c r="E1007" s="114" t="n">
        <v>0</v>
      </c>
      <c r="F1007" s="114" t="n">
        <v>33776.58</v>
      </c>
      <c r="G1007" s="114" t="inlineStr">
        <is>
          <t>HDFC Securities</t>
        </is>
      </c>
      <c r="H1007" s="114" t="inlineStr">
        <is>
          <t>HDFC 5413</t>
        </is>
      </c>
    </row>
    <row r="1008">
      <c r="A1008" s="113" t="n">
        <v>45239</v>
      </c>
      <c r="B1008" s="114" t="inlineStr">
        <is>
          <t>NET PO FROM HSL A/C 2554606-50200085415108</t>
        </is>
      </c>
      <c r="C1008" s="114" t="inlineStr">
        <is>
          <t>0000000463859853</t>
        </is>
      </c>
      <c r="D1008" s="114" t="n">
        <v>0</v>
      </c>
      <c r="E1008" s="114" t="n">
        <v>13493.54</v>
      </c>
      <c r="F1008" s="114" t="n">
        <v>33827.23</v>
      </c>
      <c r="G1008" s="114" t="inlineStr">
        <is>
          <t>HDFC Securities</t>
        </is>
      </c>
      <c r="H1008" s="114" t="inlineStr">
        <is>
          <t>HDFC 5413</t>
        </is>
      </c>
    </row>
    <row r="1009">
      <c r="A1009" s="113" t="n">
        <v>45239</v>
      </c>
      <c r="B1009" s="114" t="inlineStr">
        <is>
          <t>UPIOUT/331376399582/paytmqrfmo9fujhwg@payt
m//5812</t>
        </is>
      </c>
      <c r="C1009" s="114" t="inlineStr"/>
      <c r="D1009" s="114" t="n">
        <v>100</v>
      </c>
      <c r="E1009" s="114" t="n">
        <v>0</v>
      </c>
      <c r="F1009" s="114" t="n">
        <v>45803.63</v>
      </c>
      <c r="G1009" s="114" t="inlineStr">
        <is>
          <t>Personal</t>
        </is>
      </c>
      <c r="H1009" s="114" t="inlineStr">
        <is>
          <t>FEDERAL 0847</t>
        </is>
      </c>
    </row>
    <row r="1010">
      <c r="A1010" s="113" t="n">
        <v>45239</v>
      </c>
      <c r="B1010" s="114" t="inlineStr">
        <is>
          <t>UPIOUT/331396767216/rapido.rzp@axisbank/Re
ch/4214</t>
        </is>
      </c>
      <c r="C1010" s="114" t="inlineStr"/>
      <c r="D1010" s="114" t="n">
        <v>202</v>
      </c>
      <c r="E1010" s="114" t="n">
        <v>0</v>
      </c>
      <c r="F1010" s="114" t="n">
        <v>45601.63</v>
      </c>
      <c r="G1010" s="114" t="inlineStr">
        <is>
          <t>Transport</t>
        </is>
      </c>
      <c r="H1010" s="114" t="inlineStr">
        <is>
          <t>FEDERAL 0847</t>
        </is>
      </c>
    </row>
    <row r="1011">
      <c r="A1011" s="113" t="n">
        <v>45239</v>
      </c>
      <c r="B1011" s="114" t="inlineStr">
        <is>
          <t>NFT/NEOSIEXEDDD2023110912363337554 NAVI
Mutual Fun</t>
        </is>
      </c>
      <c r="C1011" s="114" t="inlineStr"/>
      <c r="D1011" s="114" t="n">
        <v>100</v>
      </c>
      <c r="E1011" s="114" t="n">
        <v>0</v>
      </c>
      <c r="F1011" s="114" t="n">
        <v>45903.63</v>
      </c>
      <c r="G1011" s="114" t="inlineStr">
        <is>
          <t>Investments</t>
        </is>
      </c>
      <c r="H1011" s="114" t="inlineStr">
        <is>
          <t>FEDERAL 0847</t>
        </is>
      </c>
    </row>
    <row r="1012">
      <c r="A1012" s="113" t="n">
        <v>45240</v>
      </c>
      <c r="B1012" s="114" t="inlineStr">
        <is>
          <t>NET PI TO HSL SEC A/C 2554606-00602340029427</t>
        </is>
      </c>
      <c r="C1012" s="114" t="inlineStr">
        <is>
          <t>0000000464377073</t>
        </is>
      </c>
      <c r="D1012" s="114" t="n">
        <v>63.78</v>
      </c>
      <c r="E1012" s="114" t="n">
        <v>0</v>
      </c>
      <c r="F1012" s="114" t="n">
        <v>52877.43</v>
      </c>
      <c r="G1012" s="114" t="inlineStr">
        <is>
          <t>HDFC Securities</t>
        </is>
      </c>
      <c r="H1012" s="114" t="inlineStr">
        <is>
          <t>HDFC 5413</t>
        </is>
      </c>
    </row>
    <row r="1013">
      <c r="A1013" s="113" t="n">
        <v>45240</v>
      </c>
      <c r="B1013" s="114" t="inlineStr">
        <is>
          <t>NET PO FROM HSL A/C 2554606-50200085415108</t>
        </is>
      </c>
      <c r="C1013" s="114" t="inlineStr">
        <is>
          <t>0000000464234597</t>
        </is>
      </c>
      <c r="D1013" s="114" t="n">
        <v>0</v>
      </c>
      <c r="E1013" s="114" t="n">
        <v>21125.9</v>
      </c>
      <c r="F1013" s="114" t="n">
        <v>53248.49</v>
      </c>
      <c r="G1013" s="114" t="inlineStr">
        <is>
          <t>HDFC Securities</t>
        </is>
      </c>
      <c r="H1013" s="114" t="inlineStr">
        <is>
          <t>HDFC 5413</t>
        </is>
      </c>
    </row>
    <row r="1014">
      <c r="A1014" s="113" t="n">
        <v>45240</v>
      </c>
      <c r="B1014" s="114" t="inlineStr">
        <is>
          <t>ISAQMC-APR-JUN23-417944 031023-MIR2431348541703</t>
        </is>
      </c>
      <c r="C1014" s="114" t="inlineStr">
        <is>
          <t>MIR2431348541703</t>
        </is>
      </c>
      <c r="D1014" s="114" t="n">
        <v>295</v>
      </c>
      <c r="E1014" s="114" t="n">
        <v>0</v>
      </c>
      <c r="F1014" s="114" t="n">
        <v>52953.49</v>
      </c>
      <c r="G1014" s="114" t="inlineStr">
        <is>
          <t>Bank Charges</t>
        </is>
      </c>
      <c r="H1014" s="114" t="inlineStr">
        <is>
          <t>HDFC 5413</t>
        </is>
      </c>
    </row>
    <row r="1015">
      <c r="A1015" s="113" t="n">
        <v>45240</v>
      </c>
      <c r="B1015" s="114" t="inlineStr">
        <is>
          <t>JULSEP23 INSTAALERTCHG 52 SMS 031023-MIR2431348541726</t>
        </is>
      </c>
      <c r="C1015" s="114" t="inlineStr">
        <is>
          <t>MIR2431348541726</t>
        </is>
      </c>
      <c r="D1015" s="114" t="n">
        <v>12.28</v>
      </c>
      <c r="E1015" s="114" t="n">
        <v>0</v>
      </c>
      <c r="F1015" s="114" t="n">
        <v>52941.21</v>
      </c>
      <c r="G1015" s="114" t="inlineStr">
        <is>
          <t>Bank Charges</t>
        </is>
      </c>
      <c r="H1015" s="114" t="inlineStr">
        <is>
          <t>HDFC 5413</t>
        </is>
      </c>
    </row>
    <row r="1016">
      <c r="A1016" s="113" t="n">
        <v>45240</v>
      </c>
      <c r="B1016" s="114" t="inlineStr">
        <is>
          <t>NFT/NEOSIEXEDDD2023111012362651292 NAVI
Mutual Fun</t>
        </is>
      </c>
      <c r="C1016" s="114" t="inlineStr"/>
      <c r="D1016" s="114" t="n">
        <v>100</v>
      </c>
      <c r="E1016" s="114" t="n">
        <v>0</v>
      </c>
      <c r="F1016" s="114" t="n">
        <v>44177.68</v>
      </c>
      <c r="G1016" s="114" t="inlineStr">
        <is>
          <t>Investments</t>
        </is>
      </c>
      <c r="H1016" s="114" t="inlineStr">
        <is>
          <t>FEDERAL 0847</t>
        </is>
      </c>
    </row>
    <row r="1017">
      <c r="A1017" s="113" t="n">
        <v>45240</v>
      </c>
      <c r="B1017" s="114" t="inlineStr">
        <is>
          <t>UPIOUT/331402784766/paytm-
irctcapp@paytm/Oid/4011</t>
        </is>
      </c>
      <c r="C1017" s="114" t="inlineStr"/>
      <c r="D1017" s="114" t="n">
        <v>102.15</v>
      </c>
      <c r="E1017" s="114" t="n">
        <v>0</v>
      </c>
      <c r="F1017" s="114" t="n">
        <v>44075.53</v>
      </c>
      <c r="G1017" s="114" t="inlineStr">
        <is>
          <t>Travel</t>
        </is>
      </c>
      <c r="H1017" s="114" t="inlineStr">
        <is>
          <t>FEDERAL 0847</t>
        </is>
      </c>
    </row>
    <row r="1018">
      <c r="A1018" s="113" t="n">
        <v>45240</v>
      </c>
      <c r="B1018" s="114" t="inlineStr">
        <is>
          <t>NET PI TO HSL SEC A/C 2554606-00602340029427</t>
        </is>
      </c>
      <c r="C1018" s="114" t="inlineStr">
        <is>
          <t>0000000464520315</t>
        </is>
      </c>
      <c r="D1018" s="114" t="n">
        <v>464.7</v>
      </c>
      <c r="E1018" s="114" t="n">
        <v>0</v>
      </c>
      <c r="F1018" s="114" t="n">
        <v>52412.73</v>
      </c>
      <c r="G1018" s="114" t="inlineStr">
        <is>
          <t>HDFC Securities</t>
        </is>
      </c>
      <c r="H1018" s="114" t="inlineStr">
        <is>
          <t>HDFC 5413</t>
        </is>
      </c>
    </row>
    <row r="1019">
      <c r="A1019" s="113" t="n">
        <v>45241</v>
      </c>
      <c r="B1019" s="114" t="inlineStr">
        <is>
          <t>NFT/NEOSIEXEDDD2023111112350979960 NAVI
Mutual Fun</t>
        </is>
      </c>
      <c r="C1019" s="114" t="inlineStr"/>
      <c r="D1019" s="114" t="n">
        <v>100</v>
      </c>
      <c r="E1019" s="114" t="n">
        <v>0</v>
      </c>
      <c r="F1019" s="114" t="n">
        <v>43975.53</v>
      </c>
      <c r="G1019" s="114" t="inlineStr">
        <is>
          <t>Investments</t>
        </is>
      </c>
      <c r="H1019" s="114" t="inlineStr">
        <is>
          <t>FEDERAL 0847</t>
        </is>
      </c>
    </row>
    <row r="1020">
      <c r="A1020" s="113" t="n">
        <v>45241</v>
      </c>
      <c r="B1020" s="114" t="inlineStr">
        <is>
          <t>UPIOUT/331538213140/paytm-
irctcapp@paytm/Oid/4011</t>
        </is>
      </c>
      <c r="C1020" s="114" t="inlineStr"/>
      <c r="D1020" s="114" t="n">
        <v>72.15000000000001</v>
      </c>
      <c r="E1020" s="114" t="n">
        <v>0</v>
      </c>
      <c r="F1020" s="114" t="n">
        <v>43903.38</v>
      </c>
      <c r="G1020" s="114" t="inlineStr">
        <is>
          <t>Travel</t>
        </is>
      </c>
      <c r="H1020" s="114" t="inlineStr">
        <is>
          <t>FEDERAL 0847</t>
        </is>
      </c>
    </row>
    <row r="1021">
      <c r="A1021" s="113" t="n">
        <v>45241</v>
      </c>
      <c r="B1021" s="114" t="inlineStr">
        <is>
          <t>UPI IN/331619684203/irctc.cf@hdfcbank/UPI
Re/0000</t>
        </is>
      </c>
      <c r="C1021" s="114" t="inlineStr"/>
      <c r="D1021" s="114" t="n">
        <v>0</v>
      </c>
      <c r="E1021" s="114" t="n">
        <v>295</v>
      </c>
      <c r="F1021" s="114" t="n">
        <v>44198.38</v>
      </c>
      <c r="G1021" s="114" t="inlineStr">
        <is>
          <t>Travel</t>
        </is>
      </c>
      <c r="H1021" s="114" t="inlineStr">
        <is>
          <t>FEDERAL 0847</t>
        </is>
      </c>
    </row>
    <row r="1022">
      <c r="A1022" s="113" t="n">
        <v>45242</v>
      </c>
      <c r="B1022" s="114" t="inlineStr">
        <is>
          <t>NFT/NEOSIEXEDDD2023111212363920385 NAVI
Mutual Fun</t>
        </is>
      </c>
      <c r="C1022" s="114" t="inlineStr"/>
      <c r="D1022" s="114" t="n">
        <v>100</v>
      </c>
      <c r="E1022" s="114" t="n">
        <v>0</v>
      </c>
      <c r="F1022" s="114" t="n">
        <v>44098.38</v>
      </c>
      <c r="G1022" s="114" t="inlineStr">
        <is>
          <t>Investments</t>
        </is>
      </c>
      <c r="H1022" s="114" t="inlineStr">
        <is>
          <t>FEDERAL 0847</t>
        </is>
      </c>
    </row>
    <row r="1023">
      <c r="A1023" s="113" t="n">
        <v>45243</v>
      </c>
      <c r="B1023" s="114" t="inlineStr">
        <is>
          <t>NET PI TO HSL SEC A/C 2554606-00602340029427</t>
        </is>
      </c>
      <c r="C1023" s="114" t="inlineStr">
        <is>
          <t>0000000465176424</t>
        </is>
      </c>
      <c r="D1023" s="114" t="n">
        <v>730.22</v>
      </c>
      <c r="E1023" s="114" t="n">
        <v>0</v>
      </c>
      <c r="F1023" s="114" t="n">
        <v>48043.83</v>
      </c>
      <c r="G1023" s="114" t="inlineStr">
        <is>
          <t>HDFC Securities</t>
        </is>
      </c>
      <c r="H1023" s="114" t="inlineStr">
        <is>
          <t>HDFC 5413</t>
        </is>
      </c>
    </row>
    <row r="1024">
      <c r="A1024" s="113" t="n">
        <v>45243</v>
      </c>
      <c r="B1024" s="114" t="inlineStr">
        <is>
          <t>NET PO FROM HSL A/C 2554606-50200085415108</t>
        </is>
      </c>
      <c r="C1024" s="114" t="inlineStr">
        <is>
          <t>0000000464886758</t>
        </is>
      </c>
      <c r="D1024" s="114" t="n">
        <v>0</v>
      </c>
      <c r="E1024" s="114" t="n">
        <v>1693.79</v>
      </c>
      <c r="F1024" s="114" t="n">
        <v>48774.05</v>
      </c>
      <c r="G1024" s="114" t="inlineStr">
        <is>
          <t>HDFC Securities</t>
        </is>
      </c>
      <c r="H1024" s="114" t="inlineStr">
        <is>
          <t>HDFC 5413</t>
        </is>
      </c>
    </row>
    <row r="1025">
      <c r="A1025" s="113" t="n">
        <v>45243</v>
      </c>
      <c r="B1025" s="114" t="inlineStr">
        <is>
          <t>NET PI TO HSL SEC A/C 2554606-00602340029427</t>
        </is>
      </c>
      <c r="C1025" s="114" t="inlineStr">
        <is>
          <t>0000000464780823</t>
        </is>
      </c>
      <c r="D1025" s="114" t="n">
        <v>5332.47</v>
      </c>
      <c r="E1025" s="114" t="n">
        <v>0</v>
      </c>
      <c r="F1025" s="114" t="n">
        <v>47080.26</v>
      </c>
      <c r="G1025" s="114" t="inlineStr">
        <is>
          <t>HDFC Securities</t>
        </is>
      </c>
      <c r="H1025" s="114" t="inlineStr">
        <is>
          <t>HDFC 5413</t>
        </is>
      </c>
    </row>
    <row r="1026">
      <c r="A1026" s="113" t="n">
        <v>45243</v>
      </c>
      <c r="B1026" s="114" t="inlineStr">
        <is>
          <t>UPIOUT/331796150755/paytmqr281005050101jd7
t3/5812</t>
        </is>
      </c>
      <c r="C1026" s="114" t="inlineStr"/>
      <c r="D1026" s="114" t="n">
        <v>40</v>
      </c>
      <c r="E1026" s="114" t="n">
        <v>0</v>
      </c>
      <c r="F1026" s="114" t="n">
        <v>43898.38</v>
      </c>
      <c r="G1026" s="114" t="inlineStr">
        <is>
          <t>Personal</t>
        </is>
      </c>
      <c r="H1026" s="114" t="inlineStr">
        <is>
          <t>FEDERAL 0847</t>
        </is>
      </c>
    </row>
    <row r="1027">
      <c r="A1027" s="113" t="n">
        <v>45243</v>
      </c>
      <c r="B1027" s="114" t="inlineStr">
        <is>
          <t>UPIOUT/331711717885/paytmqr2810050501011ov
td/5814</t>
        </is>
      </c>
      <c r="C1027" s="114" t="inlineStr"/>
      <c r="D1027" s="114" t="n">
        <v>15</v>
      </c>
      <c r="E1027" s="114" t="n">
        <v>0</v>
      </c>
      <c r="F1027" s="114" t="n">
        <v>43883.38</v>
      </c>
      <c r="G1027" s="114" t="inlineStr">
        <is>
          <t>Personal</t>
        </is>
      </c>
      <c r="H1027" s="114" t="inlineStr">
        <is>
          <t>FEDERAL 0847</t>
        </is>
      </c>
    </row>
    <row r="1028">
      <c r="A1028" s="113" t="n">
        <v>45243</v>
      </c>
      <c r="B1028" s="114" t="inlineStr">
        <is>
          <t>UPIOUT/331796090152/BHARATPE.90063849287@f
bp/5814</t>
        </is>
      </c>
      <c r="C1028" s="114" t="inlineStr"/>
      <c r="D1028" s="114" t="n">
        <v>60</v>
      </c>
      <c r="E1028" s="114" t="n">
        <v>0</v>
      </c>
      <c r="F1028" s="114" t="n">
        <v>43938.38</v>
      </c>
      <c r="G1028" s="114" t="inlineStr">
        <is>
          <t>Personal</t>
        </is>
      </c>
      <c r="H1028" s="114" t="inlineStr">
        <is>
          <t>FEDERAL 0847</t>
        </is>
      </c>
    </row>
    <row r="1029">
      <c r="A1029" s="113" t="n">
        <v>45243</v>
      </c>
      <c r="B1029" s="114" t="inlineStr">
        <is>
          <t>NFT/NEOSIEXEDDD2023111312352034443 NAVI
Mutual Fun</t>
        </is>
      </c>
      <c r="C1029" s="114" t="inlineStr"/>
      <c r="D1029" s="114" t="n">
        <v>100</v>
      </c>
      <c r="E1029" s="114" t="n">
        <v>0</v>
      </c>
      <c r="F1029" s="114" t="n">
        <v>43998.38</v>
      </c>
      <c r="G1029" s="114" t="inlineStr">
        <is>
          <t>Investments</t>
        </is>
      </c>
      <c r="H1029" s="114" t="inlineStr">
        <is>
          <t>FEDERAL 0847</t>
        </is>
      </c>
    </row>
    <row r="1030">
      <c r="A1030" s="113" t="n">
        <v>45244</v>
      </c>
      <c r="B1030" s="114" t="inlineStr">
        <is>
          <t>UPIOUT/331826207318/uber@axisbank/charge/4
121</t>
        </is>
      </c>
      <c r="C1030" s="114" t="inlineStr"/>
      <c r="D1030" s="114" t="n">
        <v>106.42</v>
      </c>
      <c r="E1030" s="114" t="n">
        <v>0</v>
      </c>
      <c r="F1030" s="114" t="n">
        <v>43676.96</v>
      </c>
      <c r="G1030" s="114" t="inlineStr">
        <is>
          <t>Transport</t>
        </is>
      </c>
      <c r="H1030" s="114" t="inlineStr">
        <is>
          <t>FEDERAL 0847</t>
        </is>
      </c>
    </row>
    <row r="1031">
      <c r="A1031" s="113" t="n">
        <v>45244</v>
      </c>
      <c r="B1031" s="114" t="inlineStr">
        <is>
          <t>UPIOUT/331851486145/paytmqruct2pt8f1w@payt
m//5462</t>
        </is>
      </c>
      <c r="C1031" s="114" t="inlineStr"/>
      <c r="D1031" s="114" t="n">
        <v>40</v>
      </c>
      <c r="E1031" s="114" t="n">
        <v>0</v>
      </c>
      <c r="F1031" s="114" t="n">
        <v>43636.96</v>
      </c>
      <c r="G1031" s="114" t="inlineStr">
        <is>
          <t>Personal</t>
        </is>
      </c>
      <c r="H1031" s="114" t="inlineStr">
        <is>
          <t>FEDERAL 0847</t>
        </is>
      </c>
    </row>
    <row r="1032">
      <c r="A1032" s="113" t="n">
        <v>45244</v>
      </c>
      <c r="B1032" s="114" t="inlineStr">
        <is>
          <t>UPIOUT/331852093335/Q614784165@ybl/Sent
via /5311</t>
        </is>
      </c>
      <c r="C1032" s="114" t="inlineStr"/>
      <c r="D1032" s="114" t="n">
        <v>20</v>
      </c>
      <c r="E1032" s="114" t="n">
        <v>0</v>
      </c>
      <c r="F1032" s="114" t="n">
        <v>43616.96</v>
      </c>
      <c r="G1032" s="114" t="inlineStr">
        <is>
          <t>Personal</t>
        </is>
      </c>
      <c r="H1032" s="114" t="inlineStr">
        <is>
          <t>FEDERAL 0847</t>
        </is>
      </c>
    </row>
    <row r="1033">
      <c r="A1033" s="113" t="n">
        <v>45244</v>
      </c>
      <c r="B1033" s="114" t="inlineStr">
        <is>
          <t>01671000060094-TPT-BORROW FROM AAYUSH-SUNITA GUPTA</t>
        </is>
      </c>
      <c r="C1033" s="114" t="inlineStr">
        <is>
          <t>0000000241451617</t>
        </is>
      </c>
      <c r="D1033" s="114" t="n">
        <v>30000</v>
      </c>
      <c r="E1033" s="114" t="n">
        <v>0</v>
      </c>
      <c r="F1033" s="114" t="n">
        <v>18043.83</v>
      </c>
      <c r="G1033" s="114" t="inlineStr">
        <is>
          <t>Sunita Gupta</t>
        </is>
      </c>
      <c r="H1033" s="114" t="inlineStr">
        <is>
          <t>HDFC 5413</t>
        </is>
      </c>
    </row>
    <row r="1034">
      <c r="A1034" s="113" t="n">
        <v>45244</v>
      </c>
      <c r="B1034" s="114" t="inlineStr">
        <is>
          <t>NFT/NEOSIEXEDDD2023111412351088128 NAVI
Mutual Fun</t>
        </is>
      </c>
      <c r="C1034" s="114" t="inlineStr"/>
      <c r="D1034" s="114" t="n">
        <v>100</v>
      </c>
      <c r="E1034" s="114" t="n">
        <v>0</v>
      </c>
      <c r="F1034" s="114" t="n">
        <v>43783.38</v>
      </c>
      <c r="G1034" s="114" t="inlineStr">
        <is>
          <t>Investments</t>
        </is>
      </c>
      <c r="H1034" s="114" t="inlineStr">
        <is>
          <t>FEDERAL 0847</t>
        </is>
      </c>
    </row>
    <row r="1035">
      <c r="A1035" s="113" t="n">
        <v>45245</v>
      </c>
      <c r="B1035" s="114" t="inlineStr">
        <is>
          <t>DEPOSITORY CHARGES OCT23 - 52812428</t>
        </is>
      </c>
      <c r="C1035" s="114" t="inlineStr">
        <is>
          <t>000000000000000</t>
        </is>
      </c>
      <c r="D1035" s="114" t="n">
        <v>2147.6</v>
      </c>
      <c r="E1035" s="114" t="n">
        <v>0</v>
      </c>
      <c r="F1035" s="114" t="n">
        <v>31910.19</v>
      </c>
      <c r="G1035" s="114" t="inlineStr">
        <is>
          <t>Depository Charges</t>
        </is>
      </c>
      <c r="H1035" s="114" t="inlineStr">
        <is>
          <t>HDFC 5413</t>
        </is>
      </c>
    </row>
    <row r="1036">
      <c r="A1036" s="113" t="n">
        <v>45245</v>
      </c>
      <c r="B1036" s="114" t="inlineStr">
        <is>
          <t>NET PO FROM HSL A/C 2554606-50200085415108</t>
        </is>
      </c>
      <c r="C1036" s="114" t="inlineStr">
        <is>
          <t>0000000465290310</t>
        </is>
      </c>
      <c r="D1036" s="114" t="n">
        <v>0</v>
      </c>
      <c r="E1036" s="114" t="n">
        <v>16142.02</v>
      </c>
      <c r="F1036" s="114" t="n">
        <v>34185.85</v>
      </c>
      <c r="G1036" s="114" t="inlineStr">
        <is>
          <t>HDFC Securities</t>
        </is>
      </c>
      <c r="H1036" s="114" t="inlineStr">
        <is>
          <t>HDFC 5413</t>
        </is>
      </c>
    </row>
    <row r="1037">
      <c r="A1037" s="113" t="n">
        <v>45245</v>
      </c>
      <c r="B1037" s="114" t="inlineStr">
        <is>
          <t>NET PI TO HSL SEC A/C 2554606-00602340029427</t>
        </is>
      </c>
      <c r="C1037" s="114" t="inlineStr">
        <is>
          <t>0000000465440884</t>
        </is>
      </c>
      <c r="D1037" s="114" t="n">
        <v>128.06</v>
      </c>
      <c r="E1037" s="114" t="n">
        <v>0</v>
      </c>
      <c r="F1037" s="114" t="n">
        <v>34057.79</v>
      </c>
      <c r="G1037" s="114" t="inlineStr">
        <is>
          <t>HDFC Securities</t>
        </is>
      </c>
      <c r="H1037" s="114" t="inlineStr">
        <is>
          <t>HDFC 5413</t>
        </is>
      </c>
    </row>
    <row r="1038">
      <c r="A1038" s="113" t="n">
        <v>45245</v>
      </c>
      <c r="B1038" s="114" t="inlineStr">
        <is>
          <t>NET PI TO HSL SEC A/C 2554606-00602340029427</t>
        </is>
      </c>
      <c r="C1038" s="114" t="inlineStr">
        <is>
          <t>0000000465580487</t>
        </is>
      </c>
      <c r="D1038" s="114" t="n">
        <v>4344.39</v>
      </c>
      <c r="E1038" s="114" t="n">
        <v>0</v>
      </c>
      <c r="F1038" s="114" t="n">
        <v>27565.8</v>
      </c>
      <c r="G1038" s="114" t="inlineStr">
        <is>
          <t>HDFC Securities</t>
        </is>
      </c>
      <c r="H1038" s="114" t="inlineStr">
        <is>
          <t>HDFC 5413</t>
        </is>
      </c>
    </row>
    <row r="1039">
      <c r="A1039" s="113" t="n">
        <v>45245</v>
      </c>
      <c r="B1039" s="114" t="inlineStr">
        <is>
          <t>UPIOUT/331995905967/payzomato@hdfcbank/Sen
t /5814</t>
        </is>
      </c>
      <c r="C1039" s="114" t="inlineStr"/>
      <c r="D1039" s="114" t="n">
        <v>275.39</v>
      </c>
      <c r="E1039" s="114" t="n">
        <v>0</v>
      </c>
      <c r="F1039" s="114" t="n">
        <v>43211.57</v>
      </c>
      <c r="G1039" s="114" t="inlineStr">
        <is>
          <t>Food &amp; Dining</t>
        </is>
      </c>
      <c r="H1039" s="114" t="inlineStr">
        <is>
          <t>FEDERAL 0847</t>
        </is>
      </c>
    </row>
    <row r="1040">
      <c r="A1040" s="113" t="n">
        <v>45245</v>
      </c>
      <c r="B1040" s="114" t="inlineStr">
        <is>
          <t>UPIOUT/331976133074/RIOTAAGROOFFLINE@ybl/P
ay/5046</t>
        </is>
      </c>
      <c r="C1040" s="114" t="inlineStr"/>
      <c r="D1040" s="114" t="n">
        <v>30</v>
      </c>
      <c r="E1040" s="114" t="n">
        <v>0</v>
      </c>
      <c r="F1040" s="114" t="n">
        <v>43486.96</v>
      </c>
      <c r="G1040" s="114" t="inlineStr">
        <is>
          <t>Personal</t>
        </is>
      </c>
      <c r="H1040" s="114" t="inlineStr">
        <is>
          <t>FEDERAL 0847</t>
        </is>
      </c>
    </row>
    <row r="1041">
      <c r="A1041" s="113" t="n">
        <v>45245</v>
      </c>
      <c r="B1041" s="114" t="inlineStr">
        <is>
          <t>NFT/NEOSIEXEDDD2023111512364110336 NAVI
Mutual Fun</t>
        </is>
      </c>
      <c r="C1041" s="114" t="inlineStr"/>
      <c r="D1041" s="114" t="n">
        <v>100</v>
      </c>
      <c r="E1041" s="114" t="n">
        <v>0</v>
      </c>
      <c r="F1041" s="114" t="n">
        <v>43516.96</v>
      </c>
      <c r="G1041" s="114" t="inlineStr">
        <is>
          <t>Investments</t>
        </is>
      </c>
      <c r="H1041" s="114" t="inlineStr">
        <is>
          <t>FEDERAL 0847</t>
        </is>
      </c>
    </row>
    <row r="1042">
      <c r="A1042" s="113" t="n">
        <v>45246</v>
      </c>
      <c r="B1042" s="114" t="inlineStr">
        <is>
          <t>01671000060094-TPT-MONEY RETURN TO AAYUSH-SUNITA GUPTA</t>
        </is>
      </c>
      <c r="C1042" s="114" t="inlineStr">
        <is>
          <t>0000000547886248</t>
        </is>
      </c>
      <c r="D1042" s="114" t="n">
        <v>0</v>
      </c>
      <c r="E1042" s="114" t="n">
        <v>30000</v>
      </c>
      <c r="F1042" s="114" t="n">
        <v>57503.32</v>
      </c>
      <c r="G1042" s="114" t="inlineStr">
        <is>
          <t>Sunita Gupta</t>
        </is>
      </c>
      <c r="H1042" s="114" t="inlineStr">
        <is>
          <t>HDFC 5413</t>
        </is>
      </c>
    </row>
    <row r="1043">
      <c r="A1043" s="113" t="n">
        <v>45246</v>
      </c>
      <c r="B1043" s="114" t="inlineStr">
        <is>
          <t>UPIOUT/332033967903/santoshkumargarikimukk
ul/0000</t>
        </is>
      </c>
      <c r="C1043" s="114" t="inlineStr"/>
      <c r="D1043" s="114" t="n">
        <v>10</v>
      </c>
      <c r="E1043" s="114" t="n">
        <v>0</v>
      </c>
      <c r="F1043" s="114" t="n">
        <v>43050.57</v>
      </c>
      <c r="G1043" s="114" t="inlineStr">
        <is>
          <t>Personal</t>
        </is>
      </c>
      <c r="H1043" s="114" t="inlineStr">
        <is>
          <t>FEDERAL 0847</t>
        </is>
      </c>
    </row>
    <row r="1044">
      <c r="A1044" s="113" t="n">
        <v>45246</v>
      </c>
      <c r="B1044" s="114" t="inlineStr">
        <is>
          <t>UPIOUT/332014655702/paytm-76881028@paytm/S
en/4121</t>
        </is>
      </c>
      <c r="C1044" s="114" t="inlineStr"/>
      <c r="D1044" s="114" t="n">
        <v>16</v>
      </c>
      <c r="E1044" s="114" t="n">
        <v>0</v>
      </c>
      <c r="F1044" s="114" t="n">
        <v>43060.57</v>
      </c>
      <c r="G1044" s="114" t="inlineStr">
        <is>
          <t>Personal</t>
        </is>
      </c>
      <c r="H1044" s="114" t="inlineStr">
        <is>
          <t>FEDERAL 0847</t>
        </is>
      </c>
    </row>
    <row r="1045">
      <c r="A1045" s="113" t="n">
        <v>45246</v>
      </c>
      <c r="B1045" s="114" t="inlineStr">
        <is>
          <t>UPIOUT/332012580913/paytmqry3eyiz8yp2@payt
m//5812</t>
        </is>
      </c>
      <c r="C1045" s="114" t="inlineStr"/>
      <c r="D1045" s="114" t="n">
        <v>35</v>
      </c>
      <c r="E1045" s="114" t="n">
        <v>0</v>
      </c>
      <c r="F1045" s="114" t="n">
        <v>43076.57</v>
      </c>
      <c r="G1045" s="114" t="inlineStr">
        <is>
          <t>Personal</t>
        </is>
      </c>
      <c r="H1045" s="114" t="inlineStr">
        <is>
          <t>FEDERAL 0847</t>
        </is>
      </c>
    </row>
    <row r="1046">
      <c r="A1046" s="113" t="n">
        <v>45246</v>
      </c>
      <c r="B1046" s="114" t="inlineStr">
        <is>
          <t>NFT/NEOSIEXEDDD2023111612351325848 NAVI
Mutual Fun</t>
        </is>
      </c>
      <c r="C1046" s="114" t="inlineStr"/>
      <c r="D1046" s="114" t="n">
        <v>100</v>
      </c>
      <c r="E1046" s="114" t="n">
        <v>0</v>
      </c>
      <c r="F1046" s="114" t="n">
        <v>43111.57</v>
      </c>
      <c r="G1046" s="114" t="inlineStr">
        <is>
          <t>Investments</t>
        </is>
      </c>
      <c r="H1046" s="114" t="inlineStr">
        <is>
          <t>FEDERAL 0847</t>
        </is>
      </c>
    </row>
    <row r="1047">
      <c r="A1047" s="113" t="n">
        <v>45246</v>
      </c>
      <c r="B1047" s="114" t="inlineStr">
        <is>
          <t>NET PI TO HSL SEC A/C 2554606-00602340029427</t>
        </is>
      </c>
      <c r="C1047" s="114" t="inlineStr">
        <is>
          <t>0000000465824649</t>
        </is>
      </c>
      <c r="D1047" s="114" t="n">
        <v>62.48</v>
      </c>
      <c r="E1047" s="114" t="n">
        <v>0</v>
      </c>
      <c r="F1047" s="114" t="n">
        <v>27503.32</v>
      </c>
      <c r="G1047" s="114" t="inlineStr">
        <is>
          <t>HDFC Securities</t>
        </is>
      </c>
      <c r="H1047" s="114" t="inlineStr">
        <is>
          <t>HDFC 5413</t>
        </is>
      </c>
    </row>
    <row r="1048">
      <c r="A1048" s="113" t="n">
        <v>45246</v>
      </c>
      <c r="B1048" s="114" t="inlineStr">
        <is>
          <t>UPIOUT/332034349026/Q084270040@ybl/Sent
via /5812</t>
        </is>
      </c>
      <c r="C1048" s="114" t="inlineStr"/>
      <c r="D1048" s="114" t="n">
        <v>40</v>
      </c>
      <c r="E1048" s="114" t="n">
        <v>0</v>
      </c>
      <c r="F1048" s="114" t="n">
        <v>43010.57</v>
      </c>
      <c r="G1048" s="114" t="inlineStr">
        <is>
          <t>Personal</t>
        </is>
      </c>
      <c r="H1048" s="114" t="inlineStr">
        <is>
          <t>FEDERAL 0847</t>
        </is>
      </c>
    </row>
    <row r="1049">
      <c r="A1049" s="113" t="n">
        <v>45246</v>
      </c>
      <c r="B1049" s="114" t="inlineStr">
        <is>
          <t>UPIOUT/332034991781/Q939019145@ybl/Sent
via /5814</t>
        </is>
      </c>
      <c r="C1049" s="114" t="inlineStr"/>
      <c r="D1049" s="114" t="n">
        <v>30</v>
      </c>
      <c r="E1049" s="114" t="n">
        <v>0</v>
      </c>
      <c r="F1049" s="114" t="n">
        <v>42980.57</v>
      </c>
      <c r="G1049" s="114" t="inlineStr">
        <is>
          <t>Personal</t>
        </is>
      </c>
      <c r="H1049" s="114" t="inlineStr">
        <is>
          <t>FEDERAL 0847</t>
        </is>
      </c>
    </row>
    <row r="1050">
      <c r="A1050" s="113" t="n">
        <v>45247</v>
      </c>
      <c r="B1050" s="114" t="inlineStr">
        <is>
          <t>NET PO FROM HSL A/C 2554606-50200085415108</t>
        </is>
      </c>
      <c r="C1050" s="114" t="inlineStr">
        <is>
          <t>0000000466090484</t>
        </is>
      </c>
      <c r="D1050" s="114" t="n">
        <v>0</v>
      </c>
      <c r="E1050" s="114" t="n">
        <v>14895.95</v>
      </c>
      <c r="F1050" s="114" t="n">
        <v>72886.55</v>
      </c>
      <c r="G1050" s="114" t="inlineStr">
        <is>
          <t>HDFC Securities</t>
        </is>
      </c>
      <c r="H1050" s="114" t="inlineStr">
        <is>
          <t>HDFC 5413</t>
        </is>
      </c>
    </row>
    <row r="1051">
      <c r="A1051" s="113" t="n">
        <v>45247</v>
      </c>
      <c r="B1051" s="114" t="inlineStr">
        <is>
          <t>NET PI TO HSL SEC A/C 2554606-00602340029427</t>
        </is>
      </c>
      <c r="C1051" s="114" t="inlineStr">
        <is>
          <t>0000000466204136</t>
        </is>
      </c>
      <c r="D1051" s="114" t="n">
        <v>67.79000000000001</v>
      </c>
      <c r="E1051" s="114" t="n">
        <v>0</v>
      </c>
      <c r="F1051" s="114" t="n">
        <v>72818.75999999999</v>
      </c>
      <c r="G1051" s="114" t="inlineStr">
        <is>
          <t>HDFC Securities</t>
        </is>
      </c>
      <c r="H1051" s="114" t="inlineStr">
        <is>
          <t>HDFC 5413</t>
        </is>
      </c>
    </row>
    <row r="1052">
      <c r="A1052" s="113" t="n">
        <v>45247</v>
      </c>
      <c r="B1052" s="114" t="inlineStr">
        <is>
          <t>NET PI TO HSL SEC A/C 2554606-00602340029427</t>
        </is>
      </c>
      <c r="C1052" s="114" t="inlineStr">
        <is>
          <t>0000000466362530</t>
        </is>
      </c>
      <c r="D1052" s="114" t="n">
        <v>32348.32</v>
      </c>
      <c r="E1052" s="114" t="n">
        <v>0</v>
      </c>
      <c r="F1052" s="114" t="n">
        <v>40470.44</v>
      </c>
      <c r="G1052" s="114" t="inlineStr">
        <is>
          <t>HDFC Securities</t>
        </is>
      </c>
      <c r="H1052" s="114" t="inlineStr">
        <is>
          <t>HDFC 5413</t>
        </is>
      </c>
    </row>
    <row r="1053">
      <c r="A1053" s="113" t="n">
        <v>45247</v>
      </c>
      <c r="B1053" s="114" t="inlineStr">
        <is>
          <t>UPIOUT/332181780137/zomato-
order@paytm/Zomat/5812</t>
        </is>
      </c>
      <c r="C1053" s="114" t="inlineStr"/>
      <c r="D1053" s="114" t="n">
        <v>269.99</v>
      </c>
      <c r="E1053" s="114" t="n">
        <v>0</v>
      </c>
      <c r="F1053" s="114" t="n">
        <v>42499.58</v>
      </c>
      <c r="G1053" s="114" t="inlineStr">
        <is>
          <t>Food &amp; Dining</t>
        </is>
      </c>
      <c r="H1053" s="114" t="inlineStr">
        <is>
          <t>FEDERAL 0847</t>
        </is>
      </c>
    </row>
    <row r="1054">
      <c r="A1054" s="113" t="n">
        <v>45247</v>
      </c>
      <c r="B1054" s="114" t="inlineStr">
        <is>
          <t>UPIOUT/332172953207/Q614784165@ybl/Sent
via /5311</t>
        </is>
      </c>
      <c r="C1054" s="114" t="inlineStr"/>
      <c r="D1054" s="114" t="n">
        <v>20</v>
      </c>
      <c r="E1054" s="114" t="n">
        <v>0</v>
      </c>
      <c r="F1054" s="114" t="n">
        <v>42769.57</v>
      </c>
      <c r="G1054" s="114" t="inlineStr">
        <is>
          <t>Personal</t>
        </is>
      </c>
      <c r="H1054" s="114" t="inlineStr">
        <is>
          <t>FEDERAL 0847</t>
        </is>
      </c>
    </row>
    <row r="1055">
      <c r="A1055" s="113" t="n">
        <v>45247</v>
      </c>
      <c r="B1055" s="114" t="inlineStr">
        <is>
          <t>UPIOUT/332164106579/RIOTAAGROOFFLINE@ybl/P
ay/5046</t>
        </is>
      </c>
      <c r="C1055" s="114" t="inlineStr"/>
      <c r="D1055" s="114" t="n">
        <v>30</v>
      </c>
      <c r="E1055" s="114" t="n">
        <v>0</v>
      </c>
      <c r="F1055" s="114" t="n">
        <v>42789.57</v>
      </c>
      <c r="G1055" s="114" t="inlineStr">
        <is>
          <t>Personal</t>
        </is>
      </c>
      <c r="H1055" s="114" t="inlineStr">
        <is>
          <t>FEDERAL 0847</t>
        </is>
      </c>
    </row>
    <row r="1056">
      <c r="A1056" s="113" t="n">
        <v>45247</v>
      </c>
      <c r="B1056" s="114" t="inlineStr">
        <is>
          <t>UPIOUT/332155943817/8179140461@ybl/Sent
via /0000</t>
        </is>
      </c>
      <c r="C1056" s="114" t="inlineStr"/>
      <c r="D1056" s="114" t="n">
        <v>26</v>
      </c>
      <c r="E1056" s="114" t="n">
        <v>0</v>
      </c>
      <c r="F1056" s="114" t="n">
        <v>42819.57</v>
      </c>
      <c r="G1056" s="114" t="inlineStr">
        <is>
          <t>Personal</t>
        </is>
      </c>
      <c r="H1056" s="114" t="inlineStr">
        <is>
          <t>FEDERAL 0847</t>
        </is>
      </c>
    </row>
    <row r="1057">
      <c r="A1057" s="113" t="n">
        <v>45247</v>
      </c>
      <c r="B1057" s="114" t="inlineStr">
        <is>
          <t>UPIOUT/332152243692/paytmqry3eyiz8yp2@payt
m//5812</t>
        </is>
      </c>
      <c r="C1057" s="114" t="inlineStr"/>
      <c r="D1057" s="114" t="n">
        <v>35</v>
      </c>
      <c r="E1057" s="114" t="n">
        <v>0</v>
      </c>
      <c r="F1057" s="114" t="n">
        <v>42845.57</v>
      </c>
      <c r="G1057" s="114" t="inlineStr">
        <is>
          <t>Personal</t>
        </is>
      </c>
      <c r="H1057" s="114" t="inlineStr">
        <is>
          <t>FEDERAL 0847</t>
        </is>
      </c>
    </row>
    <row r="1058">
      <c r="A1058" s="113" t="n">
        <v>45247</v>
      </c>
      <c r="B1058" s="114" t="inlineStr">
        <is>
          <t>NET PO FROM HSL A/C 2554606-50200085415108</t>
        </is>
      </c>
      <c r="C1058" s="114" t="inlineStr">
        <is>
          <t>0000000466066745</t>
        </is>
      </c>
      <c r="D1058" s="114" t="n">
        <v>0</v>
      </c>
      <c r="E1058" s="114" t="n">
        <v>487.28</v>
      </c>
      <c r="F1058" s="114" t="n">
        <v>57990.6</v>
      </c>
      <c r="G1058" s="114" t="inlineStr">
        <is>
          <t>HDFC Securities</t>
        </is>
      </c>
      <c r="H1058" s="114" t="inlineStr">
        <is>
          <t>HDFC 5413</t>
        </is>
      </c>
    </row>
    <row r="1059">
      <c r="A1059" s="113" t="n">
        <v>45247</v>
      </c>
      <c r="B1059" s="114" t="inlineStr">
        <is>
          <t>NFT/NEOSIEXEDDD2023111712362104738 NAVI
Mutual Fun</t>
        </is>
      </c>
      <c r="C1059" s="114" t="inlineStr"/>
      <c r="D1059" s="114" t="n">
        <v>100</v>
      </c>
      <c r="E1059" s="114" t="n">
        <v>0</v>
      </c>
      <c r="F1059" s="114" t="n">
        <v>42880.57</v>
      </c>
      <c r="G1059" s="114" t="inlineStr">
        <is>
          <t>Investments</t>
        </is>
      </c>
      <c r="H1059" s="114" t="inlineStr">
        <is>
          <t>FEDERAL 0847</t>
        </is>
      </c>
    </row>
    <row r="1060">
      <c r="A1060" s="113" t="n">
        <v>45248</v>
      </c>
      <c r="B1060" s="114" t="inlineStr">
        <is>
          <t>UPIOUT/332210009464/Q092156324@ybl/Sent
via /5814</t>
        </is>
      </c>
      <c r="C1060" s="114" t="inlineStr"/>
      <c r="D1060" s="114" t="n">
        <v>75</v>
      </c>
      <c r="E1060" s="114" t="n">
        <v>0</v>
      </c>
      <c r="F1060" s="114" t="n">
        <v>42324.58</v>
      </c>
      <c r="G1060" s="114" t="inlineStr">
        <is>
          <t>Personal</t>
        </is>
      </c>
      <c r="H1060" s="114" t="inlineStr">
        <is>
          <t>FEDERAL 0847</t>
        </is>
      </c>
    </row>
    <row r="1061">
      <c r="A1061" s="113" t="n">
        <v>45248</v>
      </c>
      <c r="B1061" s="114" t="inlineStr">
        <is>
          <t>UPIOUT/332220728063/zeptonowcashfree@hdfcb
an/5411</t>
        </is>
      </c>
      <c r="C1061" s="114" t="inlineStr"/>
      <c r="D1061" s="114" t="n">
        <v>332</v>
      </c>
      <c r="E1061" s="114" t="n">
        <v>0</v>
      </c>
      <c r="F1061" s="114" t="n">
        <v>41569.57</v>
      </c>
      <c r="G1061" s="114" t="inlineStr">
        <is>
          <t>Groceries</t>
        </is>
      </c>
      <c r="H1061" s="114" t="inlineStr">
        <is>
          <t>FEDERAL 0847</t>
        </is>
      </c>
    </row>
    <row r="1062">
      <c r="A1062" s="113" t="n">
        <v>45248</v>
      </c>
      <c r="B1062" s="114" t="inlineStr">
        <is>
          <t>NFT/NEOSIEXEDDD2023111812352644394 NAVI
Mutual Fun</t>
        </is>
      </c>
      <c r="C1062" s="114" t="inlineStr"/>
      <c r="D1062" s="114" t="n">
        <v>100</v>
      </c>
      <c r="E1062" s="114" t="n">
        <v>0</v>
      </c>
      <c r="F1062" s="114" t="n">
        <v>42399.58</v>
      </c>
      <c r="G1062" s="114" t="inlineStr">
        <is>
          <t>Investments</t>
        </is>
      </c>
      <c r="H1062" s="114" t="inlineStr">
        <is>
          <t>FEDERAL 0847</t>
        </is>
      </c>
    </row>
    <row r="1063">
      <c r="A1063" s="113" t="n">
        <v>45248</v>
      </c>
      <c r="B1063" s="114" t="inlineStr">
        <is>
          <t>UPIOUT/332231635559/Q614784165@ybl/Sent
via /5311</t>
        </is>
      </c>
      <c r="C1063" s="114" t="inlineStr"/>
      <c r="D1063" s="114" t="n">
        <v>20</v>
      </c>
      <c r="E1063" s="114" t="n">
        <v>0</v>
      </c>
      <c r="F1063" s="114" t="n">
        <v>41439.57</v>
      </c>
      <c r="G1063" s="114" t="inlineStr">
        <is>
          <t>Personal</t>
        </is>
      </c>
      <c r="H1063" s="114" t="inlineStr">
        <is>
          <t>FEDERAL 0847</t>
        </is>
      </c>
    </row>
    <row r="1064">
      <c r="A1064" s="113" t="n">
        <v>45248</v>
      </c>
      <c r="B1064" s="114" t="inlineStr">
        <is>
          <t>UPIOUT/332231274369/BHARATPE90727090707@ye
sb/5814</t>
        </is>
      </c>
      <c r="C1064" s="114" t="inlineStr"/>
      <c r="D1064" s="114" t="n">
        <v>20</v>
      </c>
      <c r="E1064" s="114" t="n">
        <v>0</v>
      </c>
      <c r="F1064" s="114" t="n">
        <v>41459.57</v>
      </c>
      <c r="G1064" s="114" t="inlineStr">
        <is>
          <t>Personal</t>
        </is>
      </c>
      <c r="H1064" s="114" t="inlineStr">
        <is>
          <t>FEDERAL 0847</t>
        </is>
      </c>
    </row>
    <row r="1065">
      <c r="A1065" s="113" t="n">
        <v>45248</v>
      </c>
      <c r="B1065" s="114" t="inlineStr">
        <is>
          <t>UPIOUT/332230792421/paytmqr1a2plltyay@payt
m//5812</t>
        </is>
      </c>
      <c r="C1065" s="114" t="inlineStr"/>
      <c r="D1065" s="114" t="n">
        <v>60</v>
      </c>
      <c r="E1065" s="114" t="n">
        <v>0</v>
      </c>
      <c r="F1065" s="114" t="n">
        <v>41479.57</v>
      </c>
      <c r="G1065" s="114" t="inlineStr">
        <is>
          <t>Personal</t>
        </is>
      </c>
      <c r="H1065" s="114" t="inlineStr">
        <is>
          <t>FEDERAL 0847</t>
        </is>
      </c>
    </row>
    <row r="1066">
      <c r="A1066" s="113" t="n">
        <v>45248</v>
      </c>
      <c r="B1066" s="114" t="inlineStr">
        <is>
          <t>UPIOUT/332225101972/paytmqry58zxdl1zx@payt
m//5814</t>
        </is>
      </c>
      <c r="C1066" s="114" t="inlineStr"/>
      <c r="D1066" s="114" t="n">
        <v>30</v>
      </c>
      <c r="E1066" s="114" t="n">
        <v>0</v>
      </c>
      <c r="F1066" s="114" t="n">
        <v>41539.57</v>
      </c>
      <c r="G1066" s="114" t="inlineStr">
        <is>
          <t>Personal</t>
        </is>
      </c>
      <c r="H1066" s="114" t="inlineStr">
        <is>
          <t>FEDERAL 0847</t>
        </is>
      </c>
    </row>
    <row r="1067">
      <c r="A1067" s="113" t="n">
        <v>45248</v>
      </c>
      <c r="B1067" s="114" t="inlineStr">
        <is>
          <t>UPIOUT/332210616891/Q092156324@ybl/Sent
via /5814</t>
        </is>
      </c>
      <c r="C1067" s="114" t="inlineStr"/>
      <c r="D1067" s="114" t="n">
        <v>25</v>
      </c>
      <c r="E1067" s="114" t="n">
        <v>0</v>
      </c>
      <c r="F1067" s="114" t="n">
        <v>42299.58</v>
      </c>
      <c r="G1067" s="114" t="inlineStr">
        <is>
          <t>Personal</t>
        </is>
      </c>
      <c r="H1067" s="114" t="inlineStr">
        <is>
          <t>FEDERAL 0847</t>
        </is>
      </c>
    </row>
    <row r="1068">
      <c r="A1068" s="113" t="n">
        <v>45248</v>
      </c>
      <c r="B1068" s="114" t="inlineStr">
        <is>
          <t>UPIOUT/332232131392/uberrides@hdfcbank/cha
rg/5960</t>
        </is>
      </c>
      <c r="C1068" s="114" t="inlineStr"/>
      <c r="D1068" s="114" t="n">
        <v>99.01000000000001</v>
      </c>
      <c r="E1068" s="114" t="n">
        <v>0</v>
      </c>
      <c r="F1068" s="114" t="n">
        <v>41901.57</v>
      </c>
      <c r="G1068" s="114" t="inlineStr">
        <is>
          <t>Transport</t>
        </is>
      </c>
      <c r="H1068" s="114" t="inlineStr">
        <is>
          <t>FEDERAL 0847</t>
        </is>
      </c>
    </row>
    <row r="1069">
      <c r="A1069" s="113" t="n">
        <v>45248</v>
      </c>
      <c r="B1069" s="114" t="inlineStr">
        <is>
          <t>UPIOUT/332214285798/crosswordbookstoresl.6
16/5942</t>
        </is>
      </c>
      <c r="C1069" s="114" t="inlineStr"/>
      <c r="D1069" s="114" t="n">
        <v>299</v>
      </c>
      <c r="E1069" s="114" t="n">
        <v>0</v>
      </c>
      <c r="F1069" s="114" t="n">
        <v>42000.58</v>
      </c>
      <c r="G1069" s="114" t="inlineStr">
        <is>
          <t>Personal</t>
        </is>
      </c>
      <c r="H1069" s="114" t="inlineStr">
        <is>
          <t>FEDERAL 0847</t>
        </is>
      </c>
    </row>
    <row r="1070">
      <c r="A1070" s="113" t="n">
        <v>45249</v>
      </c>
      <c r="B1070" s="114" t="inlineStr">
        <is>
          <t>UPIOUT/332346610032/paytmqr1ox7m6rgyo@payt
m//5812</t>
        </is>
      </c>
      <c r="C1070" s="114" t="inlineStr"/>
      <c r="D1070" s="114" t="n">
        <v>15</v>
      </c>
      <c r="E1070" s="114" t="n">
        <v>0</v>
      </c>
      <c r="F1070" s="114" t="n">
        <v>41294.57</v>
      </c>
      <c r="G1070" s="114" t="inlineStr">
        <is>
          <t>Personal</t>
        </is>
      </c>
      <c r="H1070" s="114" t="inlineStr">
        <is>
          <t>FEDERAL 0847</t>
        </is>
      </c>
    </row>
    <row r="1071">
      <c r="A1071" s="113" t="n">
        <v>45249</v>
      </c>
      <c r="B1071" s="114" t="inlineStr">
        <is>
          <t>UPIOUT/332346344087/paytmqruct2pt8f1w@payt
m//5462</t>
        </is>
      </c>
      <c r="C1071" s="114" t="inlineStr"/>
      <c r="D1071" s="114" t="n">
        <v>30</v>
      </c>
      <c r="E1071" s="114" t="n">
        <v>0</v>
      </c>
      <c r="F1071" s="114" t="n">
        <v>41309.57</v>
      </c>
      <c r="G1071" s="114" t="inlineStr">
        <is>
          <t>Personal</t>
        </is>
      </c>
      <c r="H1071" s="114" t="inlineStr">
        <is>
          <t>FEDERAL 0847</t>
        </is>
      </c>
    </row>
    <row r="1072">
      <c r="A1072" s="113" t="n">
        <v>45249</v>
      </c>
      <c r="B1072" s="114" t="inlineStr">
        <is>
          <t>NFT/NEOSIEXEDDD2023111912352958631 NAVI
Mutual Fun</t>
        </is>
      </c>
      <c r="C1072" s="114" t="inlineStr"/>
      <c r="D1072" s="114" t="n">
        <v>100</v>
      </c>
      <c r="E1072" s="114" t="n">
        <v>0</v>
      </c>
      <c r="F1072" s="114" t="n">
        <v>41339.57</v>
      </c>
      <c r="G1072" s="114" t="inlineStr">
        <is>
          <t>Investments</t>
        </is>
      </c>
      <c r="H1072" s="114" t="inlineStr">
        <is>
          <t>FEDERAL 0847</t>
        </is>
      </c>
    </row>
    <row r="1073">
      <c r="A1073" s="113" t="n">
        <v>45250</v>
      </c>
      <c r="B1073" s="114" t="inlineStr">
        <is>
          <t>NET PI TO HSL SEC A/C 2554606-00602340029427</t>
        </is>
      </c>
      <c r="C1073" s="114" t="inlineStr">
        <is>
          <t>0000000466671851</t>
        </is>
      </c>
      <c r="D1073" s="114" t="n">
        <v>169.32</v>
      </c>
      <c r="E1073" s="114" t="n">
        <v>0</v>
      </c>
      <c r="F1073" s="114" t="n">
        <v>40301.12</v>
      </c>
      <c r="G1073" s="114" t="inlineStr">
        <is>
          <t>HDFC Securities</t>
        </is>
      </c>
      <c r="H1073" s="114" t="inlineStr">
        <is>
          <t>HDFC 5413</t>
        </is>
      </c>
    </row>
    <row r="1074">
      <c r="A1074" s="113" t="n">
        <v>45250</v>
      </c>
      <c r="B1074" s="114" t="inlineStr">
        <is>
          <t>UPIOUT/332420186974/paytmqr2810050501015w5
z0/5812</t>
        </is>
      </c>
      <c r="C1074" s="114" t="inlineStr"/>
      <c r="D1074" s="114" t="n">
        <v>90</v>
      </c>
      <c r="E1074" s="114" t="n">
        <v>0</v>
      </c>
      <c r="F1074" s="114" t="n">
        <v>41054.57</v>
      </c>
      <c r="G1074" s="114" t="inlineStr">
        <is>
          <t>Personal</t>
        </is>
      </c>
      <c r="H1074" s="114" t="inlineStr">
        <is>
          <t>FEDERAL 0847</t>
        </is>
      </c>
    </row>
    <row r="1075">
      <c r="A1075" s="113" t="n">
        <v>45250</v>
      </c>
      <c r="B1075" s="114" t="inlineStr">
        <is>
          <t>NFT/NEOSIEXEDDD2023112012351458073 NAVI
Mutual Fun</t>
        </is>
      </c>
      <c r="C1075" s="114" t="inlineStr"/>
      <c r="D1075" s="114" t="n">
        <v>100</v>
      </c>
      <c r="E1075" s="114" t="n">
        <v>0</v>
      </c>
      <c r="F1075" s="114" t="n">
        <v>41194.57</v>
      </c>
      <c r="G1075" s="114" t="inlineStr">
        <is>
          <t>Investments</t>
        </is>
      </c>
      <c r="H1075" s="114" t="inlineStr">
        <is>
          <t>FEDERAL 0847</t>
        </is>
      </c>
    </row>
    <row r="1076">
      <c r="A1076" s="113" t="n">
        <v>45250</v>
      </c>
      <c r="B1076" s="114" t="inlineStr">
        <is>
          <t>UPIOUT/332420265088/Q917893938@ybl/Sent
via /5814</t>
        </is>
      </c>
      <c r="C1076" s="114" t="inlineStr"/>
      <c r="D1076" s="114" t="n">
        <v>40</v>
      </c>
      <c r="E1076" s="114" t="n">
        <v>0</v>
      </c>
      <c r="F1076" s="114" t="n">
        <v>41014.57</v>
      </c>
      <c r="G1076" s="114" t="inlineStr">
        <is>
          <t>Personal</t>
        </is>
      </c>
      <c r="H1076" s="114" t="inlineStr">
        <is>
          <t>FEDERAL 0847</t>
        </is>
      </c>
    </row>
    <row r="1077">
      <c r="A1077" s="113" t="n">
        <v>45250</v>
      </c>
      <c r="B1077" s="114" t="inlineStr">
        <is>
          <t>UPIOUT/332411508334/paytmqry58zxdl1zx@payt
m//5814</t>
        </is>
      </c>
      <c r="C1077" s="114" t="inlineStr"/>
      <c r="D1077" s="114" t="n">
        <v>30</v>
      </c>
      <c r="E1077" s="114" t="n">
        <v>0</v>
      </c>
      <c r="F1077" s="114" t="n">
        <v>41164.57</v>
      </c>
      <c r="G1077" s="114" t="inlineStr">
        <is>
          <t>Personal</t>
        </is>
      </c>
      <c r="H1077" s="114" t="inlineStr">
        <is>
          <t>FEDERAL 0847</t>
        </is>
      </c>
    </row>
    <row r="1078">
      <c r="A1078" s="113" t="n">
        <v>45250</v>
      </c>
      <c r="B1078" s="114" t="inlineStr">
        <is>
          <t>UPIOUT/332411630892/paytmqrfmo9fujhwg@payt
m//5812</t>
        </is>
      </c>
      <c r="C1078" s="114" t="inlineStr"/>
      <c r="D1078" s="114" t="n">
        <v>20</v>
      </c>
      <c r="E1078" s="114" t="n">
        <v>0</v>
      </c>
      <c r="F1078" s="114" t="n">
        <v>41144.57</v>
      </c>
      <c r="G1078" s="114" t="inlineStr">
        <is>
          <t>Personal</t>
        </is>
      </c>
      <c r="H1078" s="114" t="inlineStr">
        <is>
          <t>FEDERAL 0847</t>
        </is>
      </c>
    </row>
    <row r="1079">
      <c r="A1079" s="113" t="n">
        <v>45251</v>
      </c>
      <c r="B1079" s="114" t="inlineStr">
        <is>
          <t>NET PI TO HSL SEC A/C 2554606-00602340029427</t>
        </is>
      </c>
      <c r="C1079" s="114" t="inlineStr">
        <is>
          <t>0000000467056442</t>
        </is>
      </c>
      <c r="D1079" s="114" t="n">
        <v>73.68000000000001</v>
      </c>
      <c r="E1079" s="114" t="n">
        <v>0</v>
      </c>
      <c r="F1079" s="114" t="n">
        <v>73657.44</v>
      </c>
      <c r="G1079" s="114" t="inlineStr">
        <is>
          <t>HDFC Securities</t>
        </is>
      </c>
      <c r="H1079" s="114" t="inlineStr">
        <is>
          <t>HDFC 5413</t>
        </is>
      </c>
    </row>
    <row r="1080">
      <c r="A1080" s="113" t="n">
        <v>45251</v>
      </c>
      <c r="B1080" s="114" t="inlineStr">
        <is>
          <t>NET PO FROM HSL A/C 2554606-50200085415108</t>
        </is>
      </c>
      <c r="C1080" s="114" t="inlineStr">
        <is>
          <t>0000000466935494</t>
        </is>
      </c>
      <c r="D1080" s="114" t="n">
        <v>0</v>
      </c>
      <c r="E1080" s="114" t="n">
        <v>235.17</v>
      </c>
      <c r="F1080" s="114" t="n">
        <v>40536.29</v>
      </c>
      <c r="G1080" s="114" t="inlineStr">
        <is>
          <t>HDFC Securities</t>
        </is>
      </c>
      <c r="H1080" s="114" t="inlineStr">
        <is>
          <t>HDFC 5413</t>
        </is>
      </c>
    </row>
    <row r="1081">
      <c r="A1081" s="113" t="n">
        <v>45251</v>
      </c>
      <c r="B1081" s="114" t="inlineStr">
        <is>
          <t>NET PO FROM HSL A/C 2554606-50200085415108</t>
        </is>
      </c>
      <c r="C1081" s="114" t="inlineStr">
        <is>
          <t>0000000466954477</t>
        </is>
      </c>
      <c r="D1081" s="114" t="n">
        <v>0</v>
      </c>
      <c r="E1081" s="114" t="n">
        <v>33194.83</v>
      </c>
      <c r="F1081" s="114" t="n">
        <v>73731.12</v>
      </c>
      <c r="G1081" s="114" t="inlineStr">
        <is>
          <t>HDFC Securities</t>
        </is>
      </c>
      <c r="H1081" s="114" t="inlineStr">
        <is>
          <t>HDFC 5413</t>
        </is>
      </c>
    </row>
    <row r="1082">
      <c r="A1082" s="113" t="n">
        <v>45251</v>
      </c>
      <c r="B1082" s="114" t="inlineStr">
        <is>
          <t>UPIOUT/332542368966/paytmqrfmo9fujhwg@payt
m//5812</t>
        </is>
      </c>
      <c r="C1082" s="114" t="inlineStr"/>
      <c r="D1082" s="114" t="n">
        <v>10</v>
      </c>
      <c r="E1082" s="114" t="n">
        <v>0</v>
      </c>
      <c r="F1082" s="114" t="n">
        <v>38789.57</v>
      </c>
      <c r="G1082" s="114" t="inlineStr">
        <is>
          <t>Personal</t>
        </is>
      </c>
      <c r="H1082" s="114" t="inlineStr">
        <is>
          <t>FEDERAL 0847</t>
        </is>
      </c>
    </row>
    <row r="1083">
      <c r="A1083" s="113" t="n">
        <v>45251</v>
      </c>
      <c r="B1083" s="114" t="inlineStr">
        <is>
          <t>NFT/NEOSIEXEDDD2023112112351466037 NAVI
Mutual Fun</t>
        </is>
      </c>
      <c r="C1083" s="114" t="inlineStr"/>
      <c r="D1083" s="114" t="n">
        <v>100</v>
      </c>
      <c r="E1083" s="114" t="n">
        <v>0</v>
      </c>
      <c r="F1083" s="114" t="n">
        <v>40914.57</v>
      </c>
      <c r="G1083" s="114" t="inlineStr">
        <is>
          <t>Investments</t>
        </is>
      </c>
      <c r="H1083" s="114" t="inlineStr">
        <is>
          <t>FEDERAL 0847</t>
        </is>
      </c>
    </row>
    <row r="1084">
      <c r="A1084" s="113" t="n">
        <v>45251</v>
      </c>
      <c r="B1084" s="114" t="inlineStr">
        <is>
          <t>NFT/NEOSIEXEDDD2023112102390713794 Mirae
Asset Mut</t>
        </is>
      </c>
      <c r="C1084" s="114" t="inlineStr"/>
      <c r="D1084" s="114" t="n">
        <v>1000</v>
      </c>
      <c r="E1084" s="114" t="n">
        <v>0</v>
      </c>
      <c r="F1084" s="114" t="n">
        <v>39914.57</v>
      </c>
      <c r="G1084" s="114" t="inlineStr">
        <is>
          <t>Investments</t>
        </is>
      </c>
      <c r="H1084" s="114" t="inlineStr">
        <is>
          <t>FEDERAL 0847</t>
        </is>
      </c>
    </row>
    <row r="1085">
      <c r="A1085" s="113" t="n">
        <v>45251</v>
      </c>
      <c r="B1085" s="114" t="inlineStr">
        <is>
          <t>UPIOUT/332531317623/paytmqry3eyiz8yp2@payt
m//5812</t>
        </is>
      </c>
      <c r="C1085" s="114" t="inlineStr"/>
      <c r="D1085" s="114" t="n">
        <v>35</v>
      </c>
      <c r="E1085" s="114" t="n">
        <v>0</v>
      </c>
      <c r="F1085" s="114" t="n">
        <v>39879.57</v>
      </c>
      <c r="G1085" s="114" t="inlineStr">
        <is>
          <t>Personal</t>
        </is>
      </c>
      <c r="H1085" s="114" t="inlineStr">
        <is>
          <t>FEDERAL 0847</t>
        </is>
      </c>
    </row>
    <row r="1086">
      <c r="A1086" s="113" t="n">
        <v>45251</v>
      </c>
      <c r="B1086" s="114" t="inlineStr">
        <is>
          <t>UPIOUT/332531554492/paytmqrfmo9fujhwg@payt
m//5812</t>
        </is>
      </c>
      <c r="C1086" s="114" t="inlineStr"/>
      <c r="D1086" s="114" t="n">
        <v>10</v>
      </c>
      <c r="E1086" s="114" t="n">
        <v>0</v>
      </c>
      <c r="F1086" s="114" t="n">
        <v>39869.57</v>
      </c>
      <c r="G1086" s="114" t="inlineStr">
        <is>
          <t>Personal</t>
        </is>
      </c>
      <c r="H1086" s="114" t="inlineStr">
        <is>
          <t>FEDERAL 0847</t>
        </is>
      </c>
    </row>
    <row r="1087">
      <c r="A1087" s="113" t="n">
        <v>45251</v>
      </c>
      <c r="B1087" s="114" t="inlineStr">
        <is>
          <t>NFT/NEOSIEXEDDD2023112103091392679 Quant
Mutual Fu</t>
        </is>
      </c>
      <c r="C1087" s="114" t="inlineStr"/>
      <c r="D1087" s="114" t="n">
        <v>1000</v>
      </c>
      <c r="E1087" s="114" t="n">
        <v>0</v>
      </c>
      <c r="F1087" s="114" t="n">
        <v>38869.57</v>
      </c>
      <c r="G1087" s="114" t="inlineStr">
        <is>
          <t>Investments</t>
        </is>
      </c>
      <c r="H1087" s="114" t="inlineStr">
        <is>
          <t>FEDERAL 0847</t>
        </is>
      </c>
    </row>
    <row r="1088">
      <c r="A1088" s="113" t="n">
        <v>45251</v>
      </c>
      <c r="B1088" s="114" t="inlineStr">
        <is>
          <t>UPIOUT/332541767018/paytmqrfmo9fujhwg@payt
m//5812</t>
        </is>
      </c>
      <c r="C1088" s="114" t="inlineStr"/>
      <c r="D1088" s="114" t="n">
        <v>70</v>
      </c>
      <c r="E1088" s="114" t="n">
        <v>0</v>
      </c>
      <c r="F1088" s="114" t="n">
        <v>38799.57</v>
      </c>
      <c r="G1088" s="114" t="inlineStr">
        <is>
          <t>Personal</t>
        </is>
      </c>
      <c r="H1088" s="114" t="inlineStr">
        <is>
          <t>FEDERAL 0847</t>
        </is>
      </c>
    </row>
    <row r="1089">
      <c r="A1089" s="113" t="n">
        <v>45251</v>
      </c>
      <c r="B1089" s="114" t="inlineStr">
        <is>
          <t>UPIOUT/332556875600/zeptonowcashfree@hdfcb
an/5411</t>
        </is>
      </c>
      <c r="C1089" s="114" t="inlineStr"/>
      <c r="D1089" s="114" t="n">
        <v>329</v>
      </c>
      <c r="E1089" s="114" t="n">
        <v>0</v>
      </c>
      <c r="F1089" s="114" t="n">
        <v>38460.57</v>
      </c>
      <c r="G1089" s="114" t="inlineStr">
        <is>
          <t>Groceries</t>
        </is>
      </c>
      <c r="H1089" s="114" t="inlineStr">
        <is>
          <t>FEDERAL 0847</t>
        </is>
      </c>
    </row>
    <row r="1090">
      <c r="A1090" s="113" t="n">
        <v>45251</v>
      </c>
      <c r="B1090" s="114" t="inlineStr">
        <is>
          <t>UPIOUT/332557795900/paytmqr2810050501015w5
z0/5812</t>
        </is>
      </c>
      <c r="C1090" s="114" t="inlineStr"/>
      <c r="D1090" s="114" t="n">
        <v>80</v>
      </c>
      <c r="E1090" s="114" t="n">
        <v>0</v>
      </c>
      <c r="F1090" s="114" t="n">
        <v>38380.57</v>
      </c>
      <c r="G1090" s="114" t="inlineStr">
        <is>
          <t>Personal</t>
        </is>
      </c>
      <c r="H1090" s="114" t="inlineStr">
        <is>
          <t>FEDERAL 0847</t>
        </is>
      </c>
    </row>
    <row r="1091">
      <c r="A1091" s="113" t="n">
        <v>45252</v>
      </c>
      <c r="B1091" s="114" t="inlineStr">
        <is>
          <t>NET PI TO HSL SEC A/C 2554606-00602340029427</t>
        </is>
      </c>
      <c r="C1091" s="114" t="inlineStr">
        <is>
          <t>0000000467533314</t>
        </is>
      </c>
      <c r="D1091" s="114" t="n">
        <v>9623.809999999999</v>
      </c>
      <c r="E1091" s="114" t="n">
        <v>0</v>
      </c>
      <c r="F1091" s="114" t="n">
        <v>78854.16</v>
      </c>
      <c r="G1091" s="114" t="inlineStr">
        <is>
          <t>HDFC Securities</t>
        </is>
      </c>
      <c r="H1091" s="114" t="inlineStr">
        <is>
          <t>HDFC 5413</t>
        </is>
      </c>
    </row>
    <row r="1092">
      <c r="A1092" s="113" t="n">
        <v>45252</v>
      </c>
      <c r="B1092" s="114" t="inlineStr">
        <is>
          <t>NET PO FROM HSL A/C 2554606-50200085415108</t>
        </is>
      </c>
      <c r="C1092" s="114" t="inlineStr">
        <is>
          <t>0000000467321009</t>
        </is>
      </c>
      <c r="D1092" s="114" t="n">
        <v>0</v>
      </c>
      <c r="E1092" s="114" t="n">
        <v>14746.87</v>
      </c>
      <c r="F1092" s="114" t="n">
        <v>88551.74000000001</v>
      </c>
      <c r="G1092" s="114" t="inlineStr">
        <is>
          <t>HDFC Securities</t>
        </is>
      </c>
      <c r="H1092" s="114" t="inlineStr">
        <is>
          <t>HDFC 5413</t>
        </is>
      </c>
    </row>
    <row r="1093">
      <c r="A1093" s="113" t="n">
        <v>45252</v>
      </c>
      <c r="B1093" s="114" t="inlineStr">
        <is>
          <t>NET PO FROM HSL A/C 2554606-50200085415108</t>
        </is>
      </c>
      <c r="C1093" s="114" t="inlineStr">
        <is>
          <t>0000000467296388</t>
        </is>
      </c>
      <c r="D1093" s="114" t="n">
        <v>0</v>
      </c>
      <c r="E1093" s="114" t="n">
        <v>147.43</v>
      </c>
      <c r="F1093" s="114" t="n">
        <v>73804.87</v>
      </c>
      <c r="G1093" s="114" t="inlineStr">
        <is>
          <t>HDFC Securities</t>
        </is>
      </c>
      <c r="H1093" s="114" t="inlineStr">
        <is>
          <t>HDFC 5413</t>
        </is>
      </c>
    </row>
    <row r="1094">
      <c r="A1094" s="113" t="n">
        <v>45252</v>
      </c>
      <c r="B1094" s="114" t="inlineStr">
        <is>
          <t>UPIOUT/332625464650/swiggyupi@axisbank/Swi
gg/5814</t>
        </is>
      </c>
      <c r="C1094" s="114" t="inlineStr"/>
      <c r="D1094" s="114" t="n">
        <v>236</v>
      </c>
      <c r="E1094" s="114" t="n">
        <v>0</v>
      </c>
      <c r="F1094" s="114" t="n">
        <v>37873.57</v>
      </c>
      <c r="G1094" s="114" t="inlineStr">
        <is>
          <t>Food &amp; Dining</t>
        </is>
      </c>
      <c r="H1094" s="114" t="inlineStr">
        <is>
          <t>FEDERAL 0847</t>
        </is>
      </c>
    </row>
    <row r="1095">
      <c r="A1095" s="113" t="n">
        <v>45252</v>
      </c>
      <c r="B1095" s="114" t="inlineStr">
        <is>
          <t>UPIOUT/332698022973/paytmqr2810050501015w5
z0/5812</t>
        </is>
      </c>
      <c r="C1095" s="114" t="inlineStr"/>
      <c r="D1095" s="114" t="n">
        <v>70</v>
      </c>
      <c r="E1095" s="114" t="n">
        <v>0</v>
      </c>
      <c r="F1095" s="114" t="n">
        <v>38109.57</v>
      </c>
      <c r="G1095" s="114" t="inlineStr">
        <is>
          <t>Personal</t>
        </is>
      </c>
      <c r="H1095" s="114" t="inlineStr">
        <is>
          <t>FEDERAL 0847</t>
        </is>
      </c>
    </row>
    <row r="1096">
      <c r="A1096" s="113" t="n">
        <v>45252</v>
      </c>
      <c r="B1096" s="114" t="inlineStr">
        <is>
          <t>UPIOUT/332673202975/paytmqr2810050501011dp
bh/5812</t>
        </is>
      </c>
      <c r="C1096" s="114" t="inlineStr"/>
      <c r="D1096" s="114" t="n">
        <v>35</v>
      </c>
      <c r="E1096" s="114" t="n">
        <v>0</v>
      </c>
      <c r="F1096" s="114" t="n">
        <v>38245.57</v>
      </c>
      <c r="G1096" s="114" t="inlineStr">
        <is>
          <t>Personal</t>
        </is>
      </c>
      <c r="H1096" s="114" t="inlineStr">
        <is>
          <t>FEDERAL 0847</t>
        </is>
      </c>
    </row>
    <row r="1097">
      <c r="A1097" s="113" t="n">
        <v>45252</v>
      </c>
      <c r="B1097" s="114" t="inlineStr">
        <is>
          <t>UPIOUT/332676363016/paytm-76881028@paytm/S
en/4121</t>
        </is>
      </c>
      <c r="C1097" s="114" t="inlineStr"/>
      <c r="D1097" s="114" t="n">
        <v>26</v>
      </c>
      <c r="E1097" s="114" t="n">
        <v>0</v>
      </c>
      <c r="F1097" s="114" t="n">
        <v>38209.57</v>
      </c>
      <c r="G1097" s="114" t="inlineStr">
        <is>
          <t>Personal</t>
        </is>
      </c>
      <c r="H1097" s="114" t="inlineStr">
        <is>
          <t>FEDERAL 0847</t>
        </is>
      </c>
    </row>
    <row r="1098">
      <c r="A1098" s="113" t="n">
        <v>45252</v>
      </c>
      <c r="B1098" s="114" t="inlineStr">
        <is>
          <t>UPIOUT/332673612287/paytmqrfmo9fujhwg@payt
m//5812</t>
        </is>
      </c>
      <c r="C1098" s="114" t="inlineStr"/>
      <c r="D1098" s="114" t="n">
        <v>10</v>
      </c>
      <c r="E1098" s="114" t="n">
        <v>0</v>
      </c>
      <c r="F1098" s="114" t="n">
        <v>38235.57</v>
      </c>
      <c r="G1098" s="114" t="inlineStr">
        <is>
          <t>Personal</t>
        </is>
      </c>
      <c r="H1098" s="114" t="inlineStr">
        <is>
          <t>FEDERAL 0847</t>
        </is>
      </c>
    </row>
    <row r="1099">
      <c r="A1099" s="113" t="n">
        <v>45252</v>
      </c>
      <c r="B1099" s="114" t="inlineStr">
        <is>
          <t>NET PI TO HSL SEC A/C 2554606-00602340029427</t>
        </is>
      </c>
      <c r="C1099" s="114" t="inlineStr">
        <is>
          <t>0000000467444534</t>
        </is>
      </c>
      <c r="D1099" s="114" t="n">
        <v>73.77</v>
      </c>
      <c r="E1099" s="114" t="n">
        <v>0</v>
      </c>
      <c r="F1099" s="114" t="n">
        <v>88477.97</v>
      </c>
      <c r="G1099" s="114" t="inlineStr">
        <is>
          <t>HDFC Securities</t>
        </is>
      </c>
      <c r="H1099" s="114" t="inlineStr">
        <is>
          <t>HDFC 5413</t>
        </is>
      </c>
    </row>
    <row r="1100">
      <c r="A1100" s="113" t="n">
        <v>45252</v>
      </c>
      <c r="B1100" s="114" t="inlineStr">
        <is>
          <t>NFT/NEOSIEXEDDD2023112212363715976 NAVI
Mutual Fun</t>
        </is>
      </c>
      <c r="C1100" s="114" t="inlineStr"/>
      <c r="D1100" s="114" t="n">
        <v>100</v>
      </c>
      <c r="E1100" s="114" t="n">
        <v>0</v>
      </c>
      <c r="F1100" s="114" t="n">
        <v>38280.57</v>
      </c>
      <c r="G1100" s="114" t="inlineStr">
        <is>
          <t>Investments</t>
        </is>
      </c>
      <c r="H1100" s="114" t="inlineStr">
        <is>
          <t>FEDERAL 0847</t>
        </is>
      </c>
    </row>
    <row r="1101">
      <c r="A1101" s="113" t="n">
        <v>45252</v>
      </c>
      <c r="B1101" s="114" t="inlineStr">
        <is>
          <t>UPIOUT/332686404124/RIOTAAGROOFFLINE@ybl/P
ay/5046</t>
        </is>
      </c>
      <c r="C1101" s="114" t="inlineStr"/>
      <c r="D1101" s="114" t="n">
        <v>30</v>
      </c>
      <c r="E1101" s="114" t="n">
        <v>0</v>
      </c>
      <c r="F1101" s="114" t="n">
        <v>38179.57</v>
      </c>
      <c r="G1101" s="114" t="inlineStr">
        <is>
          <t>Personal</t>
        </is>
      </c>
      <c r="H1101" s="114" t="inlineStr">
        <is>
          <t>FEDERAL 0847</t>
        </is>
      </c>
    </row>
    <row r="1102">
      <c r="A1102" s="113" t="n">
        <v>45252</v>
      </c>
      <c r="B1102" s="114" t="inlineStr">
        <is>
          <t>NET PI TO HSL SEC A/C 2554606-00602340029427</t>
        </is>
      </c>
      <c r="C1102" s="114" t="inlineStr">
        <is>
          <t>0000000467570713</t>
        </is>
      </c>
      <c r="D1102" s="114" t="n">
        <v>10582.64</v>
      </c>
      <c r="E1102" s="114" t="n">
        <v>0</v>
      </c>
      <c r="F1102" s="114" t="n">
        <v>68271.52</v>
      </c>
      <c r="G1102" s="114" t="inlineStr">
        <is>
          <t>HDFC Securities</t>
        </is>
      </c>
      <c r="H1102" s="114" t="inlineStr">
        <is>
          <t>HDFC 5413</t>
        </is>
      </c>
    </row>
    <row r="1103">
      <c r="A1103" s="113" t="n">
        <v>45253</v>
      </c>
      <c r="B1103" s="114" t="inlineStr">
        <is>
          <t>NFT/NEOSIEXEDDD2023112312351574656 NAVI
Mutual Fun</t>
        </is>
      </c>
      <c r="C1103" s="114" t="inlineStr"/>
      <c r="D1103" s="114" t="n">
        <v>100</v>
      </c>
      <c r="E1103" s="114" t="n">
        <v>0</v>
      </c>
      <c r="F1103" s="114" t="n">
        <v>37773.57</v>
      </c>
      <c r="G1103" s="114" t="inlineStr">
        <is>
          <t>Investments</t>
        </is>
      </c>
      <c r="H1103" s="114" t="inlineStr">
        <is>
          <t>FEDERAL 0847</t>
        </is>
      </c>
    </row>
    <row r="1104">
      <c r="A1104" s="113" t="n">
        <v>45253</v>
      </c>
      <c r="B1104" s="114" t="inlineStr">
        <is>
          <t>UPIOUT/332720632860/paytmqry3eyiz8yp2@payt
m//5812</t>
        </is>
      </c>
      <c r="C1104" s="114" t="inlineStr"/>
      <c r="D1104" s="114" t="n">
        <v>35</v>
      </c>
      <c r="E1104" s="114" t="n">
        <v>0</v>
      </c>
      <c r="F1104" s="114" t="n">
        <v>37738.57</v>
      </c>
      <c r="G1104" s="114" t="inlineStr">
        <is>
          <t>Personal</t>
        </is>
      </c>
      <c r="H1104" s="114" t="inlineStr">
        <is>
          <t>FEDERAL 0847</t>
        </is>
      </c>
    </row>
    <row r="1105">
      <c r="A1105" s="113" t="n">
        <v>45253</v>
      </c>
      <c r="B1105" s="114" t="inlineStr">
        <is>
          <t>UPIOUT/332732453913/RIOTAAGROOFFLINE@ybl/P
ay/5046</t>
        </is>
      </c>
      <c r="C1105" s="114" t="inlineStr"/>
      <c r="D1105" s="114" t="n">
        <v>30</v>
      </c>
      <c r="E1105" s="114" t="n">
        <v>0</v>
      </c>
      <c r="F1105" s="114" t="n">
        <v>37672.55</v>
      </c>
      <c r="G1105" s="114" t="inlineStr">
        <is>
          <t>Personal</t>
        </is>
      </c>
      <c r="H1105" s="114" t="inlineStr">
        <is>
          <t>FEDERAL 0847</t>
        </is>
      </c>
    </row>
    <row r="1106">
      <c r="A1106" s="113" t="n">
        <v>45253</v>
      </c>
      <c r="B1106" s="114" t="inlineStr">
        <is>
          <t>NET PI TO HSL SEC A/C 2554606-00602340029427</t>
        </is>
      </c>
      <c r="C1106" s="114" t="inlineStr">
        <is>
          <t>0000000467814380</t>
        </is>
      </c>
      <c r="D1106" s="114" t="n">
        <v>70.05</v>
      </c>
      <c r="E1106" s="114" t="n">
        <v>0</v>
      </c>
      <c r="F1106" s="114" t="n">
        <v>68201.47</v>
      </c>
      <c r="G1106" s="114" t="inlineStr">
        <is>
          <t>HDFC Securities</t>
        </is>
      </c>
      <c r="H1106" s="114" t="inlineStr">
        <is>
          <t>HDFC 5413</t>
        </is>
      </c>
    </row>
    <row r="1107">
      <c r="A1107" s="113" t="n">
        <v>45253</v>
      </c>
      <c r="B1107" s="114" t="inlineStr">
        <is>
          <t>BIRLASOFT DIV 23 2400000000000000038702</t>
        </is>
      </c>
      <c r="C1107" s="114" t="inlineStr">
        <is>
          <t>0000233266717959</t>
        </is>
      </c>
      <c r="D1107" s="114" t="n">
        <v>0</v>
      </c>
      <c r="E1107" s="114" t="n">
        <v>100</v>
      </c>
      <c r="F1107" s="114" t="n">
        <v>68301.47</v>
      </c>
      <c r="G1107" s="114" t="inlineStr">
        <is>
          <t>Dividend Income</t>
        </is>
      </c>
      <c r="H1107" s="114" t="inlineStr">
        <is>
          <t>HDFC 5413</t>
        </is>
      </c>
    </row>
    <row r="1108">
      <c r="A1108" s="113" t="n">
        <v>45253</v>
      </c>
      <c r="B1108" s="114" t="inlineStr">
        <is>
          <t>UPIOUT/332720868095/paytmqrfmo9fujhwg@payt
m//5812</t>
        </is>
      </c>
      <c r="C1108" s="114" t="inlineStr"/>
      <c r="D1108" s="114" t="n">
        <v>10</v>
      </c>
      <c r="E1108" s="114" t="n">
        <v>0</v>
      </c>
      <c r="F1108" s="114" t="n">
        <v>37728.57</v>
      </c>
      <c r="G1108" s="114" t="inlineStr">
        <is>
          <t>Personal</t>
        </is>
      </c>
      <c r="H1108" s="114" t="inlineStr">
        <is>
          <t>FEDERAL 0847</t>
        </is>
      </c>
    </row>
    <row r="1109">
      <c r="A1109" s="113" t="n">
        <v>45253</v>
      </c>
      <c r="B1109" s="114" t="inlineStr">
        <is>
          <t>NET PI TO HSL SEC A/C 2554606-00602340029427</t>
        </is>
      </c>
      <c r="C1109" s="114" t="inlineStr">
        <is>
          <t>0000000467876604</t>
        </is>
      </c>
      <c r="D1109" s="114" t="n">
        <v>1</v>
      </c>
      <c r="E1109" s="114" t="n">
        <v>0</v>
      </c>
      <c r="F1109" s="114" t="n">
        <v>68300.47</v>
      </c>
      <c r="G1109" s="114" t="inlineStr">
        <is>
          <t>HDFC Securities</t>
        </is>
      </c>
      <c r="H1109" s="114" t="inlineStr">
        <is>
          <t>HDFC 5413</t>
        </is>
      </c>
    </row>
    <row r="1110">
      <c r="A1110" s="113" t="n">
        <v>45253</v>
      </c>
      <c r="B1110" s="114" t="inlineStr">
        <is>
          <t>NET PI TO HSL SEC A/C 2554606-00602340029427</t>
        </is>
      </c>
      <c r="C1110" s="114" t="inlineStr">
        <is>
          <t>0000000467922716</t>
        </is>
      </c>
      <c r="D1110" s="114" t="n">
        <v>656.5</v>
      </c>
      <c r="E1110" s="114" t="n">
        <v>0</v>
      </c>
      <c r="F1110" s="114" t="n">
        <v>67643.97</v>
      </c>
      <c r="G1110" s="114" t="inlineStr">
        <is>
          <t>HDFC Securities</t>
        </is>
      </c>
      <c r="H1110" s="114" t="inlineStr">
        <is>
          <t>HDFC 5413</t>
        </is>
      </c>
    </row>
    <row r="1111">
      <c r="A1111" s="113" t="n">
        <v>45253</v>
      </c>
      <c r="B1111" s="114" t="inlineStr">
        <is>
          <t>UPIOUT/332736162562/RIOTAAGROOFFLINE@ybl/P
ay/5046</t>
        </is>
      </c>
      <c r="C1111" s="114" t="inlineStr"/>
      <c r="D1111" s="114" t="n">
        <v>20</v>
      </c>
      <c r="E1111" s="114" t="n">
        <v>0</v>
      </c>
      <c r="F1111" s="114" t="n">
        <v>37652.55</v>
      </c>
      <c r="G1111" s="114" t="inlineStr">
        <is>
          <t>Personal</t>
        </is>
      </c>
      <c r="H1111" s="114" t="inlineStr">
        <is>
          <t>FEDERAL 0847</t>
        </is>
      </c>
    </row>
    <row r="1112">
      <c r="A1112" s="113" t="n">
        <v>45253</v>
      </c>
      <c r="B1112" s="114" t="inlineStr">
        <is>
          <t>UPIOUT/332750446891/Q843449769@ybl/Sent
via /5812</t>
        </is>
      </c>
      <c r="C1112" s="114" t="inlineStr"/>
      <c r="D1112" s="114" t="n">
        <v>255</v>
      </c>
      <c r="E1112" s="114" t="n">
        <v>0</v>
      </c>
      <c r="F1112" s="114" t="n">
        <v>37397.55</v>
      </c>
      <c r="G1112" s="114" t="inlineStr">
        <is>
          <t>Personal</t>
        </is>
      </c>
      <c r="H1112" s="114" t="inlineStr">
        <is>
          <t>FEDERAL 0847</t>
        </is>
      </c>
    </row>
    <row r="1113">
      <c r="A1113" s="113" t="n">
        <v>45253</v>
      </c>
      <c r="B1113" s="114" t="inlineStr">
        <is>
          <t>UPIOUT/332743829329/uberrides@hdfcbank/cha
rg/5960</t>
        </is>
      </c>
      <c r="C1113" s="114" t="inlineStr"/>
      <c r="D1113" s="114" t="n">
        <v>26.02</v>
      </c>
      <c r="E1113" s="114" t="n">
        <v>0</v>
      </c>
      <c r="F1113" s="114" t="n">
        <v>37702.55</v>
      </c>
      <c r="G1113" s="114" t="inlineStr">
        <is>
          <t>Transport</t>
        </is>
      </c>
      <c r="H1113" s="114" t="inlineStr">
        <is>
          <t>FEDERAL 0847</t>
        </is>
      </c>
    </row>
    <row r="1114">
      <c r="A1114" s="113" t="n">
        <v>45254</v>
      </c>
      <c r="B1114" s="114" t="inlineStr">
        <is>
          <t>NFT/NEOSIEXEDDD2023112412351025129 NAVI
Mutual Fun</t>
        </is>
      </c>
      <c r="C1114" s="114" t="inlineStr"/>
      <c r="D1114" s="114" t="n">
        <v>100</v>
      </c>
      <c r="E1114" s="114" t="n">
        <v>0</v>
      </c>
      <c r="F1114" s="114" t="n">
        <v>37297.55</v>
      </c>
      <c r="G1114" s="114" t="inlineStr">
        <is>
          <t>Investments</t>
        </is>
      </c>
      <c r="H1114" s="114" t="inlineStr">
        <is>
          <t>FEDERAL 0847</t>
        </is>
      </c>
    </row>
    <row r="1115">
      <c r="A1115" s="113" t="n">
        <v>45254</v>
      </c>
      <c r="B1115" s="114" t="inlineStr">
        <is>
          <t>UPIOUT/332866539682/paytmqry3eyiz8yp2@payt
m//5812</t>
        </is>
      </c>
      <c r="C1115" s="114" t="inlineStr"/>
      <c r="D1115" s="114" t="n">
        <v>45</v>
      </c>
      <c r="E1115" s="114" t="n">
        <v>0</v>
      </c>
      <c r="F1115" s="114" t="n">
        <v>37252.55</v>
      </c>
      <c r="G1115" s="114" t="inlineStr">
        <is>
          <t>Personal</t>
        </is>
      </c>
      <c r="H1115" s="114" t="inlineStr">
        <is>
          <t>FEDERAL 0847</t>
        </is>
      </c>
    </row>
    <row r="1116">
      <c r="A1116" s="113" t="n">
        <v>45254</v>
      </c>
      <c r="B1116" s="114" t="inlineStr">
        <is>
          <t>UPIOUT/332867026119/paytmqrfmo9fujhwg@payt
m//5812</t>
        </is>
      </c>
      <c r="C1116" s="114" t="inlineStr"/>
      <c r="D1116" s="114" t="n">
        <v>20</v>
      </c>
      <c r="E1116" s="114" t="n">
        <v>0</v>
      </c>
      <c r="F1116" s="114" t="n">
        <v>37232.55</v>
      </c>
      <c r="G1116" s="114" t="inlineStr">
        <is>
          <t>Personal</t>
        </is>
      </c>
      <c r="H1116" s="114" t="inlineStr">
        <is>
          <t>FEDERAL 0847</t>
        </is>
      </c>
    </row>
    <row r="1117">
      <c r="A1117" s="113" t="n">
        <v>45254</v>
      </c>
      <c r="B1117" s="114" t="inlineStr">
        <is>
          <t>UPIOUT/332871427021/paytm-66490784@paytm/S
en/5411</t>
        </is>
      </c>
      <c r="C1117" s="114" t="inlineStr"/>
      <c r="D1117" s="114" t="n">
        <v>210</v>
      </c>
      <c r="E1117" s="114" t="n">
        <v>0</v>
      </c>
      <c r="F1117" s="114" t="n">
        <v>37022.55</v>
      </c>
      <c r="G1117" s="114" t="inlineStr">
        <is>
          <t>Personal</t>
        </is>
      </c>
      <c r="H1117" s="114" t="inlineStr">
        <is>
          <t>FEDERAL 0847</t>
        </is>
      </c>
    </row>
    <row r="1118">
      <c r="A1118" s="113" t="n">
        <v>45254</v>
      </c>
      <c r="B1118" s="114" t="inlineStr">
        <is>
          <t>UPIOUT/332875271438/upiswiggy@icici/UPI/58
14</t>
        </is>
      </c>
      <c r="C1118" s="114" t="inlineStr"/>
      <c r="D1118" s="114" t="n">
        <v>207</v>
      </c>
      <c r="E1118" s="114" t="n">
        <v>0</v>
      </c>
      <c r="F1118" s="114" t="n">
        <v>36815.55</v>
      </c>
      <c r="G1118" s="114" t="inlineStr">
        <is>
          <t>Food &amp; Dining</t>
        </is>
      </c>
      <c r="H1118" s="114" t="inlineStr">
        <is>
          <t>FEDERAL 0847</t>
        </is>
      </c>
    </row>
    <row r="1119">
      <c r="A1119" s="113" t="n">
        <v>45254</v>
      </c>
      <c r="B1119" s="114" t="inlineStr">
        <is>
          <t>NET PO FROM HSL A/C 2554606-50200085415108</t>
        </is>
      </c>
      <c r="C1119" s="114" t="inlineStr">
        <is>
          <t>0000000468297308</t>
        </is>
      </c>
      <c r="D1119" s="114" t="n">
        <v>0</v>
      </c>
      <c r="E1119" s="114" t="n">
        <v>2668.78</v>
      </c>
      <c r="F1119" s="114" t="n">
        <v>70529.82000000001</v>
      </c>
      <c r="G1119" s="114" t="inlineStr">
        <is>
          <t>HDFC Securities</t>
        </is>
      </c>
      <c r="H1119" s="114" t="inlineStr">
        <is>
          <t>HDFC 5413</t>
        </is>
      </c>
    </row>
    <row r="1120">
      <c r="A1120" s="113" t="n">
        <v>45254</v>
      </c>
      <c r="B1120" s="114" t="inlineStr">
        <is>
          <t>ACH C- MPS INT1DIV2024-WN003447CLIN30154</t>
        </is>
      </c>
      <c r="C1120" s="114" t="inlineStr">
        <is>
          <t>0000007990578472</t>
        </is>
      </c>
      <c r="D1120" s="114" t="n">
        <v>0</v>
      </c>
      <c r="E1120" s="114" t="n">
        <v>300</v>
      </c>
      <c r="F1120" s="114" t="n">
        <v>67861.03999999999</v>
      </c>
      <c r="G1120" s="114" t="inlineStr">
        <is>
          <t>Dividend Income</t>
        </is>
      </c>
      <c r="H1120" s="114" t="inlineStr">
        <is>
          <t>HDFC 5413</t>
        </is>
      </c>
    </row>
    <row r="1121">
      <c r="A1121" s="113" t="n">
        <v>45254</v>
      </c>
      <c r="B1121" s="114" t="inlineStr">
        <is>
          <t>NET PI TO HSL SEC A/C 2554606-00602340029427</t>
        </is>
      </c>
      <c r="C1121" s="114" t="inlineStr">
        <is>
          <t>0000000468151053</t>
        </is>
      </c>
      <c r="D1121" s="114" t="n">
        <v>82.93000000000001</v>
      </c>
      <c r="E1121" s="114" t="n">
        <v>0</v>
      </c>
      <c r="F1121" s="114" t="n">
        <v>67561.03999999999</v>
      </c>
      <c r="G1121" s="114" t="inlineStr">
        <is>
          <t>HDFC Securities</t>
        </is>
      </c>
      <c r="H1121" s="114" t="inlineStr">
        <is>
          <t>HDFC 5413</t>
        </is>
      </c>
    </row>
    <row r="1122">
      <c r="A1122" s="113" t="n">
        <v>45254</v>
      </c>
      <c r="B1122" s="114" t="inlineStr">
        <is>
          <t>UPIOUT/332894151724/paytmqr7an11w2eez@payt
m//5812</t>
        </is>
      </c>
      <c r="C1122" s="114" t="inlineStr"/>
      <c r="D1122" s="114" t="n">
        <v>60</v>
      </c>
      <c r="E1122" s="114" t="n">
        <v>0</v>
      </c>
      <c r="F1122" s="114" t="n">
        <v>36755.55</v>
      </c>
      <c r="G1122" s="114" t="inlineStr">
        <is>
          <t>Personal</t>
        </is>
      </c>
      <c r="H1122" s="114" t="inlineStr">
        <is>
          <t>FEDERAL 0847</t>
        </is>
      </c>
    </row>
    <row r="1123">
      <c r="A1123" s="113" t="n">
        <v>45255</v>
      </c>
      <c r="B1123" s="114" t="inlineStr">
        <is>
          <t>NFT/NEOSIEXEDDD2023112512350897847 NAVI
Mutual Fun</t>
        </is>
      </c>
      <c r="C1123" s="114" t="inlineStr"/>
      <c r="D1123" s="114" t="n">
        <v>100</v>
      </c>
      <c r="E1123" s="114" t="n">
        <v>0</v>
      </c>
      <c r="F1123" s="114" t="n">
        <v>36655.55</v>
      </c>
      <c r="G1123" s="114" t="inlineStr">
        <is>
          <t>Investments</t>
        </is>
      </c>
      <c r="H1123" s="114" t="inlineStr">
        <is>
          <t>FEDERAL 0847</t>
        </is>
      </c>
    </row>
    <row r="1124">
      <c r="A1124" s="113" t="n">
        <v>45255</v>
      </c>
      <c r="B1124" s="114" t="inlineStr">
        <is>
          <t>UPIOUT/332909771653/swiggyupi@axisbank/Swi
gg/5814</t>
        </is>
      </c>
      <c r="C1124" s="114" t="inlineStr"/>
      <c r="D1124" s="114" t="n">
        <v>201</v>
      </c>
      <c r="E1124" s="114" t="n">
        <v>0</v>
      </c>
      <c r="F1124" s="114" t="n">
        <v>36374.55</v>
      </c>
      <c r="G1124" s="114" t="inlineStr">
        <is>
          <t>Food &amp; Dining</t>
        </is>
      </c>
      <c r="H1124" s="114" t="inlineStr">
        <is>
          <t>FEDERAL 0847</t>
        </is>
      </c>
    </row>
    <row r="1125">
      <c r="A1125" s="113" t="n">
        <v>45255</v>
      </c>
      <c r="B1125" s="114" t="inlineStr">
        <is>
          <t>UPIOUT/332943592546/paytmqr1a2plltyay@payt
m//5812</t>
        </is>
      </c>
      <c r="C1125" s="114" t="inlineStr"/>
      <c r="D1125" s="114" t="n">
        <v>150</v>
      </c>
      <c r="E1125" s="114" t="n">
        <v>0</v>
      </c>
      <c r="F1125" s="114" t="n">
        <v>36224.55</v>
      </c>
      <c r="G1125" s="114" t="inlineStr">
        <is>
          <t>Personal</t>
        </is>
      </c>
      <c r="H1125" s="114" t="inlineStr">
        <is>
          <t>FEDERAL 0847</t>
        </is>
      </c>
    </row>
    <row r="1126">
      <c r="A1126" s="113" t="n">
        <v>45255</v>
      </c>
      <c r="B1126" s="114" t="inlineStr">
        <is>
          <t>UPIOUT/332943641751/paytmqr1jm24kbgdo@payt
m//5311</t>
        </is>
      </c>
      <c r="C1126" s="114" t="inlineStr"/>
      <c r="D1126" s="114" t="n">
        <v>30</v>
      </c>
      <c r="E1126" s="114" t="n">
        <v>0</v>
      </c>
      <c r="F1126" s="114" t="n">
        <v>36194.55</v>
      </c>
      <c r="G1126" s="114" t="inlineStr">
        <is>
          <t>Personal</t>
        </is>
      </c>
      <c r="H1126" s="114" t="inlineStr">
        <is>
          <t>FEDERAL 0847</t>
        </is>
      </c>
    </row>
    <row r="1127">
      <c r="A1127" s="113" t="n">
        <v>45255</v>
      </c>
      <c r="B1127" s="114" t="inlineStr">
        <is>
          <t>UPIOUT/332915019395/paytmqrfmo9fujhwg@payt
m//5812</t>
        </is>
      </c>
      <c r="C1127" s="114" t="inlineStr"/>
      <c r="D1127" s="114" t="n">
        <v>80</v>
      </c>
      <c r="E1127" s="114" t="n">
        <v>0</v>
      </c>
      <c r="F1127" s="114" t="n">
        <v>36575.55</v>
      </c>
      <c r="G1127" s="114" t="inlineStr">
        <is>
          <t>Personal</t>
        </is>
      </c>
      <c r="H1127" s="114" t="inlineStr">
        <is>
          <t>FEDERAL 0847</t>
        </is>
      </c>
    </row>
    <row r="1128">
      <c r="A1128" s="113" t="n">
        <v>45256</v>
      </c>
      <c r="B1128" s="114" t="inlineStr">
        <is>
          <t>UPIOUT/333039426165/swiggystores@icici/UPI
/5411</t>
        </is>
      </c>
      <c r="C1128" s="114" t="inlineStr"/>
      <c r="D1128" s="114" t="n">
        <v>500</v>
      </c>
      <c r="E1128" s="114" t="n">
        <v>0</v>
      </c>
      <c r="F1128" s="114" t="n">
        <v>35324.55</v>
      </c>
      <c r="G1128" s="114" t="inlineStr">
        <is>
          <t>Food &amp; Dining</t>
        </is>
      </c>
      <c r="H1128" s="114" t="inlineStr">
        <is>
          <t>FEDERAL 0847</t>
        </is>
      </c>
    </row>
    <row r="1129">
      <c r="A1129" s="113" t="n">
        <v>45256</v>
      </c>
      <c r="B1129" s="114" t="inlineStr">
        <is>
          <t>NFT/NEOSIEXEDDD2023112612350733176 NAVI
Mutual Fun</t>
        </is>
      </c>
      <c r="C1129" s="114" t="inlineStr"/>
      <c r="D1129" s="114" t="n">
        <v>100</v>
      </c>
      <c r="E1129" s="114" t="n">
        <v>0</v>
      </c>
      <c r="F1129" s="114" t="n">
        <v>36094.55</v>
      </c>
      <c r="G1129" s="114" t="inlineStr">
        <is>
          <t>Investments</t>
        </is>
      </c>
      <c r="H1129" s="114" t="inlineStr">
        <is>
          <t>FEDERAL 0847</t>
        </is>
      </c>
    </row>
    <row r="1130">
      <c r="A1130" s="113" t="n">
        <v>45256</v>
      </c>
      <c r="B1130" s="114" t="inlineStr">
        <is>
          <t>UPIOUT/333054386841/paytmqry3eyiz8yp2@payt
m//5812</t>
        </is>
      </c>
      <c r="C1130" s="114" t="inlineStr"/>
      <c r="D1130" s="114" t="n">
        <v>50</v>
      </c>
      <c r="E1130" s="114" t="n">
        <v>0</v>
      </c>
      <c r="F1130" s="114" t="n">
        <v>36044.55</v>
      </c>
      <c r="G1130" s="114" t="inlineStr">
        <is>
          <t>Personal</t>
        </is>
      </c>
      <c r="H1130" s="114" t="inlineStr">
        <is>
          <t>FEDERAL 0847</t>
        </is>
      </c>
    </row>
    <row r="1131">
      <c r="A1131" s="113" t="n">
        <v>45256</v>
      </c>
      <c r="B1131" s="114" t="inlineStr">
        <is>
          <t>UPIOUT/333054918027/paytmqrfmo9fujhwg@payt
m//5812</t>
        </is>
      </c>
      <c r="C1131" s="114" t="inlineStr"/>
      <c r="D1131" s="114" t="n">
        <v>20</v>
      </c>
      <c r="E1131" s="114" t="n">
        <v>0</v>
      </c>
      <c r="F1131" s="114" t="n">
        <v>36024.55</v>
      </c>
      <c r="G1131" s="114" t="inlineStr">
        <is>
          <t>Personal</t>
        </is>
      </c>
      <c r="H1131" s="114" t="inlineStr">
        <is>
          <t>FEDERAL 0847</t>
        </is>
      </c>
    </row>
    <row r="1132">
      <c r="A1132" s="113" t="n">
        <v>45256</v>
      </c>
      <c r="B1132" s="114" t="inlineStr">
        <is>
          <t>UPIOUT/333056049473/6301529832@ybl/Sent
via /0000</t>
        </is>
      </c>
      <c r="C1132" s="114" t="inlineStr"/>
      <c r="D1132" s="114" t="n">
        <v>200</v>
      </c>
      <c r="E1132" s="114" t="n">
        <v>0</v>
      </c>
      <c r="F1132" s="114" t="n">
        <v>35824.55</v>
      </c>
      <c r="G1132" s="114" t="inlineStr">
        <is>
          <t>Personal</t>
        </is>
      </c>
      <c r="H1132" s="114" t="inlineStr">
        <is>
          <t>FEDERAL 0847</t>
        </is>
      </c>
    </row>
    <row r="1133">
      <c r="A1133" s="113" t="n">
        <v>45256</v>
      </c>
      <c r="B1133" s="114" t="inlineStr">
        <is>
          <t>UPIOUT/333079173326/BHARATPE90727090707@ye
sb/5814</t>
        </is>
      </c>
      <c r="C1133" s="114" t="inlineStr"/>
      <c r="D1133" s="114" t="n">
        <v>20</v>
      </c>
      <c r="E1133" s="114" t="n">
        <v>0</v>
      </c>
      <c r="F1133" s="114" t="n">
        <v>35204.55</v>
      </c>
      <c r="G1133" s="114" t="inlineStr">
        <is>
          <t>Personal</t>
        </is>
      </c>
      <c r="H1133" s="114" t="inlineStr">
        <is>
          <t>FEDERAL 0847</t>
        </is>
      </c>
    </row>
    <row r="1134">
      <c r="A1134" s="113" t="n">
        <v>45256</v>
      </c>
      <c r="B1134" s="114" t="inlineStr">
        <is>
          <t>UPIOUT/333078534955/paytmqr1a2plltyay@payt
m//5812</t>
        </is>
      </c>
      <c r="C1134" s="114" t="inlineStr"/>
      <c r="D1134" s="114" t="n">
        <v>100</v>
      </c>
      <c r="E1134" s="114" t="n">
        <v>0</v>
      </c>
      <c r="F1134" s="114" t="n">
        <v>35224.55</v>
      </c>
      <c r="G1134" s="114" t="inlineStr">
        <is>
          <t>Personal</t>
        </is>
      </c>
      <c r="H1134" s="114" t="inlineStr">
        <is>
          <t>FEDERAL 0847</t>
        </is>
      </c>
    </row>
    <row r="1135">
      <c r="A1135" s="113" t="n">
        <v>45257</v>
      </c>
      <c r="B1135" s="114" t="inlineStr">
        <is>
          <t>NFT/NEOSIEXEDDD2023112712300713213 NAVI
Mutual Fun</t>
        </is>
      </c>
      <c r="C1135" s="114" t="inlineStr"/>
      <c r="D1135" s="114" t="n">
        <v>100</v>
      </c>
      <c r="E1135" s="114" t="n">
        <v>0</v>
      </c>
      <c r="F1135" s="114" t="n">
        <v>35104.55</v>
      </c>
      <c r="G1135" s="114" t="inlineStr">
        <is>
          <t>Investments</t>
        </is>
      </c>
      <c r="H1135" s="114" t="inlineStr">
        <is>
          <t>FEDERAL 0847</t>
        </is>
      </c>
    </row>
    <row r="1136">
      <c r="A1136" s="113" t="n">
        <v>45257</v>
      </c>
      <c r="B1136" s="114" t="inlineStr">
        <is>
          <t>UPIOUT/333122838612/Q614784165@ybl/Sent
via /5311</t>
        </is>
      </c>
      <c r="C1136" s="114" t="inlineStr"/>
      <c r="D1136" s="114" t="n">
        <v>10</v>
      </c>
      <c r="E1136" s="114" t="n">
        <v>0</v>
      </c>
      <c r="F1136" s="114" t="n">
        <v>34778.55</v>
      </c>
      <c r="G1136" s="114" t="inlineStr">
        <is>
          <t>Personal</t>
        </is>
      </c>
      <c r="H1136" s="114" t="inlineStr">
        <is>
          <t>FEDERAL 0847</t>
        </is>
      </c>
    </row>
    <row r="1137">
      <c r="A1137" s="113" t="n">
        <v>45257</v>
      </c>
      <c r="B1137" s="114" t="inlineStr">
        <is>
          <t>UPIOUT/333122647328/paytmqr1jm24kbgdo@payt
m//5311</t>
        </is>
      </c>
      <c r="C1137" s="114" t="inlineStr"/>
      <c r="D1137" s="114" t="n">
        <v>30</v>
      </c>
      <c r="E1137" s="114" t="n">
        <v>0</v>
      </c>
      <c r="F1137" s="114" t="n">
        <v>34788.55</v>
      </c>
      <c r="G1137" s="114" t="inlineStr">
        <is>
          <t>Personal</t>
        </is>
      </c>
      <c r="H1137" s="114" t="inlineStr">
        <is>
          <t>FEDERAL 0847</t>
        </is>
      </c>
    </row>
    <row r="1138">
      <c r="A1138" s="113" t="n">
        <v>45257</v>
      </c>
      <c r="B1138" s="114" t="inlineStr">
        <is>
          <t>UPIOUT/333121718104/BHARATPE90727090707@ye
sb/5814</t>
        </is>
      </c>
      <c r="C1138" s="114" t="inlineStr"/>
      <c r="D1138" s="114" t="n">
        <v>20</v>
      </c>
      <c r="E1138" s="114" t="n">
        <v>0</v>
      </c>
      <c r="F1138" s="114" t="n">
        <v>34818.55</v>
      </c>
      <c r="G1138" s="114" t="inlineStr">
        <is>
          <t>Personal</t>
        </is>
      </c>
      <c r="H1138" s="114" t="inlineStr">
        <is>
          <t>FEDERAL 0847</t>
        </is>
      </c>
    </row>
    <row r="1139">
      <c r="A1139" s="113" t="n">
        <v>45257</v>
      </c>
      <c r="B1139" s="114" t="inlineStr">
        <is>
          <t>UPIOUT/333121661947/eazypay.2000018932@ici
ci/5812</t>
        </is>
      </c>
      <c r="C1139" s="114" t="inlineStr"/>
      <c r="D1139" s="114" t="n">
        <v>150</v>
      </c>
      <c r="E1139" s="114" t="n">
        <v>0</v>
      </c>
      <c r="F1139" s="114" t="n">
        <v>34838.55</v>
      </c>
      <c r="G1139" s="114" t="inlineStr">
        <is>
          <t>Personal</t>
        </is>
      </c>
      <c r="H1139" s="114" t="inlineStr">
        <is>
          <t>FEDERAL 0847</t>
        </is>
      </c>
    </row>
    <row r="1140">
      <c r="A1140" s="113" t="n">
        <v>45257</v>
      </c>
      <c r="B1140" s="114" t="inlineStr">
        <is>
          <t>UPIOUT/333190905947/paytm-76881028@paytm/S
en/4121</t>
        </is>
      </c>
      <c r="C1140" s="114" t="inlineStr"/>
      <c r="D1140" s="114" t="n">
        <v>26</v>
      </c>
      <c r="E1140" s="114" t="n">
        <v>0</v>
      </c>
      <c r="F1140" s="114" t="n">
        <v>34988.55</v>
      </c>
      <c r="G1140" s="114" t="inlineStr">
        <is>
          <t>Personal</t>
        </is>
      </c>
      <c r="H1140" s="114" t="inlineStr">
        <is>
          <t>FEDERAL 0847</t>
        </is>
      </c>
    </row>
    <row r="1141">
      <c r="A1141" s="113" t="n">
        <v>45257</v>
      </c>
      <c r="B1141" s="114" t="inlineStr">
        <is>
          <t>UPIOUT/333187997813/paytmqrfmo9fujhwg@payt
m//5812</t>
        </is>
      </c>
      <c r="C1141" s="114" t="inlineStr"/>
      <c r="D1141" s="114" t="n">
        <v>70</v>
      </c>
      <c r="E1141" s="114" t="n">
        <v>0</v>
      </c>
      <c r="F1141" s="114" t="n">
        <v>35014.55</v>
      </c>
      <c r="G1141" s="114" t="inlineStr">
        <is>
          <t>Personal</t>
        </is>
      </c>
      <c r="H1141" s="114" t="inlineStr">
        <is>
          <t>FEDERAL 0847</t>
        </is>
      </c>
    </row>
    <row r="1142">
      <c r="A1142" s="113" t="n">
        <v>45257</v>
      </c>
      <c r="B1142" s="114" t="inlineStr">
        <is>
          <t>UPIOUT/333186992138/Q614784165@ybl/Sent
via /5311</t>
        </is>
      </c>
      <c r="C1142" s="114" t="inlineStr"/>
      <c r="D1142" s="114" t="n">
        <v>20</v>
      </c>
      <c r="E1142" s="114" t="n">
        <v>0</v>
      </c>
      <c r="F1142" s="114" t="n">
        <v>35084.55</v>
      </c>
      <c r="G1142" s="114" t="inlineStr">
        <is>
          <t>Personal</t>
        </is>
      </c>
      <c r="H1142" s="114" t="inlineStr">
        <is>
          <t>FEDERAL 0847</t>
        </is>
      </c>
    </row>
    <row r="1143">
      <c r="A1143" s="113" t="n">
        <v>45258</v>
      </c>
      <c r="B1143" s="114" t="inlineStr">
        <is>
          <t>NET PI TO HSL SEC A/C 2554606-00602340029427</t>
        </is>
      </c>
      <c r="C1143" s="114" t="inlineStr">
        <is>
          <t>0000000468604924</t>
        </is>
      </c>
      <c r="D1143" s="114" t="n">
        <v>335.52</v>
      </c>
      <c r="E1143" s="114" t="n">
        <v>0</v>
      </c>
      <c r="F1143" s="114" t="n">
        <v>65194.3</v>
      </c>
      <c r="G1143" s="114" t="inlineStr">
        <is>
          <t>HDFC Securities</t>
        </is>
      </c>
      <c r="H1143" s="114" t="inlineStr">
        <is>
          <t>HDFC 5413</t>
        </is>
      </c>
    </row>
    <row r="1144">
      <c r="A1144" s="113" t="n">
        <v>45258</v>
      </c>
      <c r="B1144" s="114" t="inlineStr">
        <is>
          <t>ACH D- INDIAN CLEARING CORP-P25847674X05</t>
        </is>
      </c>
      <c r="C1144" s="114" t="inlineStr">
        <is>
          <t>0000007976432319</t>
        </is>
      </c>
      <c r="D1144" s="114" t="n">
        <v>5000</v>
      </c>
      <c r="E1144" s="114" t="n">
        <v>0</v>
      </c>
      <c r="F1144" s="114" t="n">
        <v>65529.82</v>
      </c>
      <c r="G1144" s="114" t="inlineStr">
        <is>
          <t>Investments</t>
        </is>
      </c>
      <c r="H1144" s="114" t="inlineStr">
        <is>
          <t>HDFC 5413</t>
        </is>
      </c>
    </row>
    <row r="1145">
      <c r="A1145" s="113" t="n">
        <v>45258</v>
      </c>
      <c r="B1145" s="114" t="inlineStr">
        <is>
          <t>UPIOUT/333262466569/BHARATPE90727090707@ye
sb/5814</t>
        </is>
      </c>
      <c r="C1145" s="114" t="inlineStr"/>
      <c r="D1145" s="114" t="n">
        <v>20</v>
      </c>
      <c r="E1145" s="114" t="n">
        <v>0</v>
      </c>
      <c r="F1145" s="114" t="n">
        <v>33963.55</v>
      </c>
      <c r="G1145" s="114" t="inlineStr">
        <is>
          <t>Personal</t>
        </is>
      </c>
      <c r="H1145" s="114" t="inlineStr">
        <is>
          <t>FEDERAL 0847</t>
        </is>
      </c>
    </row>
    <row r="1146">
      <c r="A1146" s="113" t="n">
        <v>45258</v>
      </c>
      <c r="B1146" s="114" t="inlineStr">
        <is>
          <t>NFT/NEOSIEXEDDD2023112812301431586 NAVI
Mutual Fun</t>
        </is>
      </c>
      <c r="C1146" s="114" t="inlineStr"/>
      <c r="D1146" s="114" t="n">
        <v>100</v>
      </c>
      <c r="E1146" s="114" t="n">
        <v>0</v>
      </c>
      <c r="F1146" s="114" t="n">
        <v>34678.55</v>
      </c>
      <c r="G1146" s="114" t="inlineStr">
        <is>
          <t>Investments</t>
        </is>
      </c>
      <c r="H1146" s="114" t="inlineStr">
        <is>
          <t>FEDERAL 0847</t>
        </is>
      </c>
    </row>
    <row r="1147">
      <c r="A1147" s="113" t="n">
        <v>45258</v>
      </c>
      <c r="B1147" s="114" t="inlineStr">
        <is>
          <t>UPIOUT/333234218723/paytmqrfmo9fujhwg@payt
m//5812</t>
        </is>
      </c>
      <c r="C1147" s="114" t="inlineStr"/>
      <c r="D1147" s="114" t="n">
        <v>70</v>
      </c>
      <c r="E1147" s="114" t="n">
        <v>0</v>
      </c>
      <c r="F1147" s="114" t="n">
        <v>34608.55</v>
      </c>
      <c r="G1147" s="114" t="inlineStr">
        <is>
          <t>Personal</t>
        </is>
      </c>
      <c r="H1147" s="114" t="inlineStr">
        <is>
          <t>FEDERAL 0847</t>
        </is>
      </c>
    </row>
    <row r="1148">
      <c r="A1148" s="113" t="n">
        <v>45258</v>
      </c>
      <c r="B1148" s="114" t="inlineStr">
        <is>
          <t>UPIOUT/333238394836/paytm-76881028@paytm/S
en/4121</t>
        </is>
      </c>
      <c r="C1148" s="114" t="inlineStr"/>
      <c r="D1148" s="114" t="n">
        <v>26</v>
      </c>
      <c r="E1148" s="114" t="n">
        <v>0</v>
      </c>
      <c r="F1148" s="114" t="n">
        <v>34582.55</v>
      </c>
      <c r="G1148" s="114" t="inlineStr">
        <is>
          <t>Personal</t>
        </is>
      </c>
      <c r="H1148" s="114" t="inlineStr">
        <is>
          <t>FEDERAL 0847</t>
        </is>
      </c>
    </row>
    <row r="1149">
      <c r="A1149" s="113" t="n">
        <v>45258</v>
      </c>
      <c r="B1149" s="114" t="inlineStr">
        <is>
          <t>UPIOUT/369837250589/amazonpaygrocery@apl/R
eq/5411</t>
        </is>
      </c>
      <c r="C1149" s="114" t="inlineStr"/>
      <c r="D1149" s="114" t="n">
        <v>499</v>
      </c>
      <c r="E1149" s="114" t="n">
        <v>0</v>
      </c>
      <c r="F1149" s="114" t="n">
        <v>34083.55</v>
      </c>
      <c r="G1149" s="114" t="inlineStr">
        <is>
          <t>Shopping</t>
        </is>
      </c>
      <c r="H1149" s="114" t="inlineStr">
        <is>
          <t>FEDERAL 0847</t>
        </is>
      </c>
    </row>
    <row r="1150">
      <c r="A1150" s="113" t="n">
        <v>45258</v>
      </c>
      <c r="B1150" s="114" t="inlineStr">
        <is>
          <t>UPIOUT/333261853759/paytmqr2810050501015w5
z0/5812</t>
        </is>
      </c>
      <c r="C1150" s="114" t="inlineStr"/>
      <c r="D1150" s="114" t="n">
        <v>100</v>
      </c>
      <c r="E1150" s="114" t="n">
        <v>0</v>
      </c>
      <c r="F1150" s="114" t="n">
        <v>33983.55</v>
      </c>
      <c r="G1150" s="114" t="inlineStr">
        <is>
          <t>Personal</t>
        </is>
      </c>
      <c r="H1150" s="114" t="inlineStr">
        <is>
          <t>FEDERAL 0847</t>
        </is>
      </c>
    </row>
    <row r="1151">
      <c r="A1151" s="113" t="n">
        <v>45258</v>
      </c>
      <c r="B1151" s="114" t="inlineStr">
        <is>
          <t>UPI
IN/333245235981/8555996347@paytm/NA/0000</t>
        </is>
      </c>
      <c r="C1151" s="114" t="inlineStr"/>
      <c r="D1151" s="114" t="n">
        <v>0</v>
      </c>
      <c r="E1151" s="114" t="n">
        <v>299</v>
      </c>
      <c r="F1151" s="114" t="n">
        <v>34262.55</v>
      </c>
      <c r="G1151" s="114" t="inlineStr">
        <is>
          <t>Personal</t>
        </is>
      </c>
      <c r="H1151" s="114" t="inlineStr">
        <is>
          <t>FEDERAL 0847</t>
        </is>
      </c>
    </row>
    <row r="1152">
      <c r="A1152" s="113" t="n">
        <v>45259</v>
      </c>
      <c r="B1152" s="114" t="inlineStr">
        <is>
          <t>INFO EDGE DIV 23 2400000000000000035206</t>
        </is>
      </c>
      <c r="C1152" s="114" t="inlineStr">
        <is>
          <t>0000233327930425</t>
        </is>
      </c>
      <c r="D1152" s="114" t="n">
        <v>0</v>
      </c>
      <c r="E1152" s="114" t="n">
        <v>470</v>
      </c>
      <c r="F1152" s="114" t="n">
        <v>74427.71000000001</v>
      </c>
      <c r="G1152" s="114" t="inlineStr">
        <is>
          <t>Dividend Income</t>
        </is>
      </c>
      <c r="H1152" s="114" t="inlineStr">
        <is>
          <t>HDFC 5413</t>
        </is>
      </c>
    </row>
    <row r="1153">
      <c r="A1153" s="113" t="n">
        <v>45259</v>
      </c>
      <c r="B1153" s="114" t="inlineStr">
        <is>
          <t>NET PO FROM HSL A/C 2554606-50200085415108</t>
        </is>
      </c>
      <c r="C1153" s="114" t="inlineStr">
        <is>
          <t>0000000468864848</t>
        </is>
      </c>
      <c r="D1153" s="114" t="n">
        <v>0</v>
      </c>
      <c r="E1153" s="114" t="n">
        <v>8847.290000000001</v>
      </c>
      <c r="F1153" s="114" t="n">
        <v>74041.59</v>
      </c>
      <c r="G1153" s="114" t="inlineStr">
        <is>
          <t>HDFC Securities</t>
        </is>
      </c>
      <c r="H1153" s="114" t="inlineStr">
        <is>
          <t>HDFC 5413</t>
        </is>
      </c>
    </row>
    <row r="1154">
      <c r="A1154" s="113" t="n">
        <v>45259</v>
      </c>
      <c r="B1154" s="114" t="inlineStr">
        <is>
          <t>NET PI TO HSL SEC A/C 2554606-00602340029427</t>
        </is>
      </c>
      <c r="C1154" s="114" t="inlineStr">
        <is>
          <t>0000000469010399</t>
        </is>
      </c>
      <c r="D1154" s="114" t="n">
        <v>83.88</v>
      </c>
      <c r="E1154" s="114" t="n">
        <v>0</v>
      </c>
      <c r="F1154" s="114" t="n">
        <v>73957.71000000001</v>
      </c>
      <c r="G1154" s="114" t="inlineStr">
        <is>
          <t>HDFC Securities</t>
        </is>
      </c>
      <c r="H1154" s="114" t="inlineStr">
        <is>
          <t>HDFC 5413</t>
        </is>
      </c>
    </row>
    <row r="1155">
      <c r="A1155" s="113" t="n">
        <v>45259</v>
      </c>
      <c r="B1155" s="114" t="inlineStr">
        <is>
          <t>TATAG/2400024058112269-50200036338720</t>
        </is>
      </c>
      <c r="C1155" s="114" t="inlineStr">
        <is>
          <t>0000000407177444</t>
        </is>
      </c>
      <c r="D1155" s="114" t="n">
        <v>15000</v>
      </c>
      <c r="E1155" s="114" t="n">
        <v>0</v>
      </c>
      <c r="F1155" s="114" t="n">
        <v>59427.71</v>
      </c>
      <c r="G1155" s="114" t="inlineStr">
        <is>
          <t>IPO</t>
        </is>
      </c>
      <c r="H1155" s="114" t="inlineStr">
        <is>
          <t>HDFC 5413</t>
        </is>
      </c>
    </row>
    <row r="1156">
      <c r="A1156" s="113" t="n">
        <v>45259</v>
      </c>
      <c r="B1156" s="114" t="inlineStr">
        <is>
          <t>UPIOUT/333399588091/BHARATPE90727090707@ye
sb/5814</t>
        </is>
      </c>
      <c r="C1156" s="114" t="inlineStr"/>
      <c r="D1156" s="114" t="n">
        <v>20</v>
      </c>
      <c r="E1156" s="114" t="n">
        <v>0</v>
      </c>
      <c r="F1156" s="114" t="n">
        <v>33924.55</v>
      </c>
      <c r="G1156" s="114" t="inlineStr">
        <is>
          <t>Personal</t>
        </is>
      </c>
      <c r="H1156" s="114" t="inlineStr">
        <is>
          <t>FEDERAL 0847</t>
        </is>
      </c>
    </row>
    <row r="1157">
      <c r="A1157" s="113" t="n">
        <v>45259</v>
      </c>
      <c r="B1157" s="114" t="inlineStr">
        <is>
          <t>NFT/NEOSIEXEDDD2023112912300722828 NAVI
Mutual Fun</t>
        </is>
      </c>
      <c r="C1157" s="114" t="inlineStr"/>
      <c r="D1157" s="114" t="n">
        <v>100</v>
      </c>
      <c r="E1157" s="114" t="n">
        <v>0</v>
      </c>
      <c r="F1157" s="114" t="n">
        <v>34162.55</v>
      </c>
      <c r="G1157" s="114" t="inlineStr">
        <is>
          <t>Investments</t>
        </is>
      </c>
      <c r="H1157" s="114" t="inlineStr">
        <is>
          <t>FEDERAL 0847</t>
        </is>
      </c>
    </row>
    <row r="1158">
      <c r="A1158" s="113" t="n">
        <v>45259</v>
      </c>
      <c r="B1158" s="114" t="inlineStr">
        <is>
          <t>UPIOUT/333373836794/paytmqry3eyiz8yp2@payt
m//5812</t>
        </is>
      </c>
      <c r="C1158" s="114" t="inlineStr"/>
      <c r="D1158" s="114" t="n">
        <v>35</v>
      </c>
      <c r="E1158" s="114" t="n">
        <v>0</v>
      </c>
      <c r="F1158" s="114" t="n">
        <v>34127.55</v>
      </c>
      <c r="G1158" s="114" t="inlineStr">
        <is>
          <t>Personal</t>
        </is>
      </c>
      <c r="H1158" s="114" t="inlineStr">
        <is>
          <t>FEDERAL 0847</t>
        </is>
      </c>
    </row>
    <row r="1159">
      <c r="A1159" s="113" t="n">
        <v>45259</v>
      </c>
      <c r="B1159" s="114" t="inlineStr">
        <is>
          <t>UPIOUT/333374102210/paytmqrfmo9fujhwg@payt
m//5812</t>
        </is>
      </c>
      <c r="C1159" s="114" t="inlineStr"/>
      <c r="D1159" s="114" t="n">
        <v>10</v>
      </c>
      <c r="E1159" s="114" t="n">
        <v>0</v>
      </c>
      <c r="F1159" s="114" t="n">
        <v>34117.55</v>
      </c>
      <c r="G1159" s="114" t="inlineStr">
        <is>
          <t>Personal</t>
        </is>
      </c>
      <c r="H1159" s="114" t="inlineStr">
        <is>
          <t>FEDERAL 0847</t>
        </is>
      </c>
    </row>
    <row r="1160">
      <c r="A1160" s="113" t="n">
        <v>45259</v>
      </c>
      <c r="B1160" s="114" t="inlineStr">
        <is>
          <t>UPIOUT/333377086297/paytmqr281005050101m7p
xx/5451</t>
        </is>
      </c>
      <c r="C1160" s="114" t="inlineStr"/>
      <c r="D1160" s="114" t="n">
        <v>26</v>
      </c>
      <c r="E1160" s="114" t="n">
        <v>0</v>
      </c>
      <c r="F1160" s="114" t="n">
        <v>34091.55</v>
      </c>
      <c r="G1160" s="114" t="inlineStr">
        <is>
          <t>Personal</t>
        </is>
      </c>
      <c r="H1160" s="114" t="inlineStr">
        <is>
          <t>FEDERAL 0847</t>
        </is>
      </c>
    </row>
    <row r="1161">
      <c r="A1161" s="113" t="n">
        <v>45259</v>
      </c>
      <c r="B1161" s="114" t="inlineStr">
        <is>
          <t>UPIOUT/333396531080/ramanaseggem@axl/Sent
vi/0000</t>
        </is>
      </c>
      <c r="C1161" s="114" t="inlineStr"/>
      <c r="D1161" s="114" t="n">
        <v>27</v>
      </c>
      <c r="E1161" s="114" t="n">
        <v>0</v>
      </c>
      <c r="F1161" s="114" t="n">
        <v>34064.55</v>
      </c>
      <c r="G1161" s="114" t="inlineStr">
        <is>
          <t>Personal</t>
        </is>
      </c>
      <c r="H1161" s="114" t="inlineStr">
        <is>
          <t>FEDERAL 0847</t>
        </is>
      </c>
    </row>
    <row r="1162">
      <c r="A1162" s="113" t="n">
        <v>45259</v>
      </c>
      <c r="B1162" s="114" t="inlineStr">
        <is>
          <t>UPIOUT/333399564994/paytmqr2810050501015w5
z0/5812</t>
        </is>
      </c>
      <c r="C1162" s="114" t="inlineStr"/>
      <c r="D1162" s="114" t="n">
        <v>120</v>
      </c>
      <c r="E1162" s="114" t="n">
        <v>0</v>
      </c>
      <c r="F1162" s="114" t="n">
        <v>33944.55</v>
      </c>
      <c r="G1162" s="114" t="inlineStr">
        <is>
          <t>Personal</t>
        </is>
      </c>
      <c r="H1162" s="114" t="inlineStr">
        <is>
          <t>FEDERAL 0847</t>
        </is>
      </c>
    </row>
    <row r="1163">
      <c r="A1163" s="113" t="n">
        <v>45259</v>
      </c>
      <c r="B1163" s="114" t="inlineStr">
        <is>
          <t>UPIOUT/333310855822/paytmqr1rtk29j3xy@payt
m//5411</t>
        </is>
      </c>
      <c r="C1163" s="114" t="inlineStr"/>
      <c r="D1163" s="114" t="n">
        <v>20</v>
      </c>
      <c r="E1163" s="114" t="n">
        <v>0</v>
      </c>
      <c r="F1163" s="114" t="n">
        <v>33904.55</v>
      </c>
      <c r="G1163" s="114" t="inlineStr">
        <is>
          <t>Personal</t>
        </is>
      </c>
      <c r="H1163" s="114" t="inlineStr">
        <is>
          <t>FEDERAL 0847</t>
        </is>
      </c>
    </row>
    <row r="1164">
      <c r="A1164" s="113" t="n">
        <v>45260</v>
      </c>
      <c r="B1164" s="114" t="inlineStr">
        <is>
          <t>UPIOUT/333419712274/paytmqrfmo9fujhwg@payt
m//5812</t>
        </is>
      </c>
      <c r="C1164" s="114" t="inlineStr"/>
      <c r="D1164" s="114" t="n">
        <v>10</v>
      </c>
      <c r="E1164" s="114" t="n">
        <v>0</v>
      </c>
      <c r="F1164" s="114" t="n">
        <v>56259.55</v>
      </c>
      <c r="G1164" s="114" t="inlineStr">
        <is>
          <t>Personal</t>
        </is>
      </c>
      <c r="H1164" s="114" t="inlineStr">
        <is>
          <t>FEDERAL 0847</t>
        </is>
      </c>
    </row>
    <row r="1165">
      <c r="A1165" s="113" t="n">
        <v>45260</v>
      </c>
      <c r="B1165" s="114" t="inlineStr">
        <is>
          <t>NET PI TO HSL SEC A/C 2554606-00602340029427</t>
        </is>
      </c>
      <c r="C1165" s="114" t="inlineStr">
        <is>
          <t>0000000469389988</t>
        </is>
      </c>
      <c r="D1165" s="114" t="n">
        <v>78.90000000000001</v>
      </c>
      <c r="E1165" s="114" t="n">
        <v>0</v>
      </c>
      <c r="F1165" s="114" t="n">
        <v>138418.08</v>
      </c>
      <c r="G1165" s="114" t="inlineStr">
        <is>
          <t>HDFC Securities</t>
        </is>
      </c>
      <c r="H1165" s="114" t="inlineStr">
        <is>
          <t>HDFC 5413</t>
        </is>
      </c>
    </row>
    <row r="1166">
      <c r="A1166" s="113" t="n">
        <v>45260</v>
      </c>
      <c r="B1166" s="114" t="inlineStr">
        <is>
          <t>NET PO FROM HSL A/C 2554606-50200085415108</t>
        </is>
      </c>
      <c r="C1166" s="114" t="inlineStr">
        <is>
          <t>0000000469236778</t>
        </is>
      </c>
      <c r="D1166" s="114" t="n">
        <v>0</v>
      </c>
      <c r="E1166" s="114" t="n">
        <v>1316.94</v>
      </c>
      <c r="F1166" s="114" t="n">
        <v>60744.65</v>
      </c>
      <c r="G1166" s="114" t="inlineStr">
        <is>
          <t>HDFC Securities</t>
        </is>
      </c>
      <c r="H1166" s="114" t="inlineStr">
        <is>
          <t>HDFC 5413</t>
        </is>
      </c>
    </row>
    <row r="1167">
      <c r="A1167" s="113" t="n">
        <v>45260</v>
      </c>
      <c r="B1167" s="114" t="inlineStr">
        <is>
          <t>ACH D- INDIAN CLEARING CORP-P25847674X05</t>
        </is>
      </c>
      <c r="C1167" s="114" t="inlineStr">
        <is>
          <t>0000008068089377</t>
        </is>
      </c>
      <c r="D1167" s="114" t="n">
        <v>5000</v>
      </c>
      <c r="E1167" s="114" t="n">
        <v>0</v>
      </c>
      <c r="F1167" s="114" t="n">
        <v>138496.98</v>
      </c>
      <c r="G1167" s="114" t="inlineStr">
        <is>
          <t>Investments</t>
        </is>
      </c>
      <c r="H1167" s="114" t="inlineStr">
        <is>
          <t>HDFC 5413</t>
        </is>
      </c>
    </row>
    <row r="1168">
      <c r="A1168" s="113" t="n">
        <v>45260</v>
      </c>
      <c r="B1168" s="114" t="inlineStr">
        <is>
          <t>UPIOUT/333491551840/vijaykumarbhukya99@oks
bi/0000</t>
        </is>
      </c>
      <c r="C1168" s="114" t="inlineStr"/>
      <c r="D1168" s="114" t="n">
        <v>7200</v>
      </c>
      <c r="E1168" s="114" t="n">
        <v>0</v>
      </c>
      <c r="F1168" s="114" t="n">
        <v>48933.22</v>
      </c>
      <c r="G1168" s="114" t="inlineStr">
        <is>
          <t>Personal</t>
        </is>
      </c>
      <c r="H1168" s="114" t="inlineStr">
        <is>
          <t>FEDERAL 0847</t>
        </is>
      </c>
    </row>
    <row r="1169">
      <c r="A1169" s="113" t="n">
        <v>45260</v>
      </c>
      <c r="B1169" s="114" t="inlineStr">
        <is>
          <t>UPIOUT/333421215953/uber@axisbank/charge/4
121</t>
        </is>
      </c>
      <c r="C1169" s="114" t="inlineStr"/>
      <c r="D1169" s="114" t="n">
        <v>106.33</v>
      </c>
      <c r="E1169" s="114" t="n">
        <v>0</v>
      </c>
      <c r="F1169" s="114" t="n">
        <v>56133.22</v>
      </c>
      <c r="G1169" s="114" t="inlineStr">
        <is>
          <t>Transport</t>
        </is>
      </c>
      <c r="H1169" s="114" t="inlineStr">
        <is>
          <t>FEDERAL 0847</t>
        </is>
      </c>
    </row>
    <row r="1170">
      <c r="A1170" s="113" t="n">
        <v>45260</v>
      </c>
      <c r="B1170" s="114" t="inlineStr">
        <is>
          <t>NFT/DR REDDYS LABOR/CITIN23461192319/CITI</t>
        </is>
      </c>
      <c r="C1170" s="114" t="inlineStr"/>
      <c r="D1170" s="114" t="n">
        <v>0</v>
      </c>
      <c r="E1170" s="114" t="n">
        <v>22500</v>
      </c>
      <c r="F1170" s="114" t="n">
        <v>56304.55</v>
      </c>
      <c r="G1170" s="114" t="inlineStr">
        <is>
          <t>Suspense</t>
        </is>
      </c>
      <c r="H1170" s="114" t="inlineStr">
        <is>
          <t>FEDERAL 0847</t>
        </is>
      </c>
    </row>
    <row r="1171">
      <c r="A1171" s="113" t="n">
        <v>45260</v>
      </c>
      <c r="B1171" s="114" t="inlineStr">
        <is>
          <t>UPIOUT/333419649656/paytmqry3eyiz8yp2@payt
m//5812</t>
        </is>
      </c>
      <c r="C1171" s="114" t="inlineStr"/>
      <c r="D1171" s="114" t="n">
        <v>35</v>
      </c>
      <c r="E1171" s="114" t="n">
        <v>0</v>
      </c>
      <c r="F1171" s="114" t="n">
        <v>56269.55</v>
      </c>
      <c r="G1171" s="114" t="inlineStr">
        <is>
          <t>Personal</t>
        </is>
      </c>
      <c r="H1171" s="114" t="inlineStr">
        <is>
          <t>FEDERAL 0847</t>
        </is>
      </c>
    </row>
    <row r="1172">
      <c r="A1172" s="113" t="n">
        <v>45260</v>
      </c>
      <c r="B1172" s="114" t="inlineStr">
        <is>
          <t>STYLAM IND DIV22 2300000000000000006009</t>
        </is>
      </c>
      <c r="C1172" s="114" t="inlineStr">
        <is>
          <t>0000233348425679</t>
        </is>
      </c>
      <c r="D1172" s="114" t="n">
        <v>0</v>
      </c>
      <c r="E1172" s="114" t="n">
        <v>75</v>
      </c>
      <c r="F1172" s="114" t="n">
        <v>138493.08</v>
      </c>
      <c r="G1172" s="114" t="inlineStr">
        <is>
          <t>Dividend Income</t>
        </is>
      </c>
      <c r="H1172" s="114" t="inlineStr">
        <is>
          <t>HDFC 5413</t>
        </is>
      </c>
    </row>
    <row r="1173">
      <c r="A1173" s="113" t="n">
        <v>45260</v>
      </c>
      <c r="B1173" s="114" t="inlineStr">
        <is>
          <t>NFT/NEOSIEXEDDD2023113012300670545 NAVI
Mutual Fun</t>
        </is>
      </c>
      <c r="C1173" s="114" t="inlineStr"/>
      <c r="D1173" s="114" t="n">
        <v>100</v>
      </c>
      <c r="E1173" s="114" t="n">
        <v>0</v>
      </c>
      <c r="F1173" s="114" t="n">
        <v>33804.55</v>
      </c>
      <c r="G1173" s="114" t="inlineStr">
        <is>
          <t>Investments</t>
        </is>
      </c>
      <c r="H1173" s="114" t="inlineStr">
        <is>
          <t>FEDERAL 0847</t>
        </is>
      </c>
    </row>
    <row r="1174">
      <c r="A1174" s="113" t="n">
        <v>45260</v>
      </c>
      <c r="B1174" s="114" t="inlineStr">
        <is>
          <t>NET PO FROM HSL A/C 2554606-50200085415108</t>
        </is>
      </c>
      <c r="C1174" s="114" t="inlineStr">
        <is>
          <t>0000000469263647</t>
        </is>
      </c>
      <c r="D1174" s="114" t="n">
        <v>0</v>
      </c>
      <c r="E1174" s="114" t="n">
        <v>82752.33</v>
      </c>
      <c r="F1174" s="114" t="n">
        <v>143496.98</v>
      </c>
      <c r="G1174" s="114" t="inlineStr">
        <is>
          <t>HDFC Securities</t>
        </is>
      </c>
      <c r="H1174" s="114" t="inlineStr">
        <is>
          <t>HDFC 5413</t>
        </is>
      </c>
    </row>
    <row r="1175">
      <c r="A1175" s="113" t="n">
        <v>45260</v>
      </c>
      <c r="B1175" s="114" t="inlineStr">
        <is>
          <t>UPIOUT/333471057148/jdsrinu1-3@okhdfcbank/
UP/0000</t>
        </is>
      </c>
      <c r="C1175" s="114" t="inlineStr"/>
      <c r="D1175" s="114" t="n">
        <v>20</v>
      </c>
      <c r="E1175" s="114" t="n">
        <v>0</v>
      </c>
      <c r="F1175" s="114" t="n">
        <v>56239.55</v>
      </c>
      <c r="G1175" s="114" t="inlineStr">
        <is>
          <t>Personal</t>
        </is>
      </c>
      <c r="H1175" s="114" t="inlineStr">
        <is>
          <t>FEDERAL 0847</t>
        </is>
      </c>
    </row>
    <row r="1176">
      <c r="A1176" s="113" t="n">
        <v>45260</v>
      </c>
      <c r="B1176" s="114" t="inlineStr">
        <is>
          <t>NET PI TO HSL SEC A/C 2554606-00602340029427</t>
        </is>
      </c>
      <c r="C1176" s="114" t="inlineStr">
        <is>
          <t>0000000469543605</t>
        </is>
      </c>
      <c r="D1176" s="114" t="n">
        <v>11211.63</v>
      </c>
      <c r="E1176" s="114" t="n">
        <v>0</v>
      </c>
      <c r="F1176" s="114" t="n">
        <v>127281.45</v>
      </c>
      <c r="G1176" s="114" t="inlineStr">
        <is>
          <t>HDFC Securities</t>
        </is>
      </c>
      <c r="H1176" s="114" t="inlineStr">
        <is>
          <t>HDFC 5413</t>
        </is>
      </c>
    </row>
    <row r="1177">
      <c r="A1177" s="113" t="n">
        <v>45261</v>
      </c>
      <c r="B1177" s="114" t="inlineStr">
        <is>
          <t>ISAQMC-JUL-SEP23-417944 261023-MIR2433506603891</t>
        </is>
      </c>
      <c r="C1177" s="114" t="inlineStr">
        <is>
          <t>MIR2433506603891</t>
        </is>
      </c>
      <c r="D1177" s="114" t="n">
        <v>295</v>
      </c>
      <c r="E1177" s="114" t="n">
        <v>0</v>
      </c>
      <c r="F1177" s="114" t="n">
        <v>126911.07</v>
      </c>
      <c r="G1177" s="114" t="inlineStr">
        <is>
          <t>Bank Charges</t>
        </is>
      </c>
      <c r="H1177" s="114" t="inlineStr">
        <is>
          <t>HDFC 5413</t>
        </is>
      </c>
    </row>
    <row r="1178">
      <c r="A1178" s="113" t="n">
        <v>45261</v>
      </c>
      <c r="B1178" s="114" t="inlineStr">
        <is>
          <t>UPIOUT/333530884713/paytmqr2810050501015w5
z0/5812</t>
        </is>
      </c>
      <c r="C1178" s="114" t="inlineStr"/>
      <c r="D1178" s="114" t="n">
        <v>60</v>
      </c>
      <c r="E1178" s="114" t="n">
        <v>0</v>
      </c>
      <c r="F1178" s="114" t="n">
        <v>48539.42</v>
      </c>
      <c r="G1178" s="114" t="inlineStr">
        <is>
          <t>Personal</t>
        </is>
      </c>
      <c r="H1178" s="114" t="inlineStr">
        <is>
          <t>FEDERAL 0847</t>
        </is>
      </c>
    </row>
    <row r="1179">
      <c r="A1179" s="113" t="n">
        <v>45261</v>
      </c>
      <c r="B1179" s="114" t="inlineStr">
        <is>
          <t>01671000085930-TPT-BORROW FROM AAYUSH TO AKG-AJAY KUMAR GUPTA</t>
        </is>
      </c>
      <c r="C1179" s="114" t="inlineStr">
        <is>
          <t>0000000399738223</t>
        </is>
      </c>
      <c r="D1179" s="114" t="n">
        <v>75000</v>
      </c>
      <c r="E1179" s="114" t="n">
        <v>0</v>
      </c>
      <c r="F1179" s="114" t="n">
        <v>51911.07</v>
      </c>
      <c r="G1179" s="114" t="inlineStr">
        <is>
          <t>Ajay Gupta</t>
        </is>
      </c>
      <c r="H1179" s="114" t="inlineStr">
        <is>
          <t>HDFC 5413</t>
        </is>
      </c>
    </row>
    <row r="1180">
      <c r="A1180" s="113" t="n">
        <v>45261</v>
      </c>
      <c r="B1180" s="114" t="inlineStr">
        <is>
          <t>NET PI TO HSL SEC A/C 2554606-00602340029427</t>
        </is>
      </c>
      <c r="C1180" s="114" t="inlineStr">
        <is>
          <t>0000000469857121</t>
        </is>
      </c>
      <c r="D1180" s="114" t="n">
        <v>75.38</v>
      </c>
      <c r="E1180" s="114" t="n">
        <v>0</v>
      </c>
      <c r="F1180" s="114" t="n">
        <v>127206.07</v>
      </c>
      <c r="G1180" s="114" t="inlineStr">
        <is>
          <t>HDFC Securities</t>
        </is>
      </c>
      <c r="H1180" s="114" t="inlineStr">
        <is>
          <t>HDFC 5413</t>
        </is>
      </c>
    </row>
    <row r="1181">
      <c r="A1181" s="113" t="n">
        <v>45261</v>
      </c>
      <c r="B1181" s="114" t="inlineStr">
        <is>
          <t>NET PO FROM HSL A/C 2554606-50200085415108</t>
        </is>
      </c>
      <c r="C1181" s="114" t="inlineStr">
        <is>
          <t>0000000470034943</t>
        </is>
      </c>
      <c r="D1181" s="114" t="n">
        <v>0</v>
      </c>
      <c r="E1181" s="114" t="n">
        <v>520.5599999999999</v>
      </c>
      <c r="F1181" s="114" t="n">
        <v>52431.63</v>
      </c>
      <c r="G1181" s="114" t="inlineStr">
        <is>
          <t>HDFC Securities</t>
        </is>
      </c>
      <c r="H1181" s="114" t="inlineStr">
        <is>
          <t>HDFC 5413</t>
        </is>
      </c>
    </row>
    <row r="1182">
      <c r="A1182" s="113" t="n">
        <v>45261</v>
      </c>
      <c r="B1182" s="114" t="inlineStr">
        <is>
          <t>UPIOUT/333564640882/uberrides@hdfcbank/cha
rg/5960</t>
        </is>
      </c>
      <c r="C1182" s="114" t="inlineStr"/>
      <c r="D1182" s="114" t="n">
        <v>167.78</v>
      </c>
      <c r="E1182" s="114" t="n">
        <v>0</v>
      </c>
      <c r="F1182" s="114" t="n">
        <v>48665.44</v>
      </c>
      <c r="G1182" s="114" t="inlineStr">
        <is>
          <t>Transport</t>
        </is>
      </c>
      <c r="H1182" s="114" t="inlineStr">
        <is>
          <t>FEDERAL 0847</t>
        </is>
      </c>
    </row>
    <row r="1183">
      <c r="A1183" s="113" t="n">
        <v>45261</v>
      </c>
      <c r="B1183" s="114" t="inlineStr">
        <is>
          <t>UPIOUT/333531579508/paytmqrfmo9fujhwg@payt
m//5812</t>
        </is>
      </c>
      <c r="C1183" s="114" t="inlineStr"/>
      <c r="D1183" s="114" t="n">
        <v>20</v>
      </c>
      <c r="E1183" s="114" t="n">
        <v>0</v>
      </c>
      <c r="F1183" s="114" t="n">
        <v>48489.42</v>
      </c>
      <c r="G1183" s="114" t="inlineStr">
        <is>
          <t>Personal</t>
        </is>
      </c>
      <c r="H1183" s="114" t="inlineStr">
        <is>
          <t>FEDERAL 0847</t>
        </is>
      </c>
    </row>
    <row r="1184">
      <c r="A1184" s="113" t="n">
        <v>45261</v>
      </c>
      <c r="B1184" s="114" t="inlineStr">
        <is>
          <t>UPIOUT/333530977180/paytmqr1jm24kbgdo@payt
m//5311</t>
        </is>
      </c>
      <c r="C1184" s="114" t="inlineStr"/>
      <c r="D1184" s="114" t="n">
        <v>30</v>
      </c>
      <c r="E1184" s="114" t="n">
        <v>0</v>
      </c>
      <c r="F1184" s="114" t="n">
        <v>48509.42</v>
      </c>
      <c r="G1184" s="114" t="inlineStr">
        <is>
          <t>Personal</t>
        </is>
      </c>
      <c r="H1184" s="114" t="inlineStr">
        <is>
          <t>FEDERAL 0847</t>
        </is>
      </c>
    </row>
    <row r="1185">
      <c r="A1185" s="113" t="n">
        <v>45261</v>
      </c>
      <c r="B1185" s="114" t="inlineStr">
        <is>
          <t>UPIOUT/333530363884/paytmqruct2pt8f1w@payt
m//5462</t>
        </is>
      </c>
      <c r="C1185" s="114" t="inlineStr"/>
      <c r="D1185" s="114" t="n">
        <v>30</v>
      </c>
      <c r="E1185" s="114" t="n">
        <v>0</v>
      </c>
      <c r="F1185" s="114" t="n">
        <v>48599.42</v>
      </c>
      <c r="G1185" s="114" t="inlineStr">
        <is>
          <t>Personal</t>
        </is>
      </c>
      <c r="H1185" s="114" t="inlineStr">
        <is>
          <t>FEDERAL 0847</t>
        </is>
      </c>
    </row>
    <row r="1186">
      <c r="A1186" s="113" t="n">
        <v>45261</v>
      </c>
      <c r="B1186" s="114" t="inlineStr">
        <is>
          <t>UPIOUT/333520940077/santhosh.sanga09-1@oks
bi/0000</t>
        </is>
      </c>
      <c r="C1186" s="114" t="inlineStr"/>
      <c r="D1186" s="114" t="n">
        <v>10</v>
      </c>
      <c r="E1186" s="114" t="n">
        <v>0</v>
      </c>
      <c r="F1186" s="114" t="n">
        <v>48629.42</v>
      </c>
      <c r="G1186" s="114" t="inlineStr">
        <is>
          <t>Personal</t>
        </is>
      </c>
      <c r="H1186" s="114" t="inlineStr">
        <is>
          <t>FEDERAL 0847</t>
        </is>
      </c>
    </row>
    <row r="1187">
      <c r="A1187" s="113" t="n">
        <v>45261</v>
      </c>
      <c r="B1187" s="114" t="inlineStr">
        <is>
          <t>UPIOUT/333564892233/uberrides@hdfcbank/cha
rg/5960</t>
        </is>
      </c>
      <c r="C1187" s="114" t="inlineStr"/>
      <c r="D1187" s="114" t="n">
        <v>26.02</v>
      </c>
      <c r="E1187" s="114" t="n">
        <v>0</v>
      </c>
      <c r="F1187" s="114" t="n">
        <v>48639.42</v>
      </c>
      <c r="G1187" s="114" t="inlineStr">
        <is>
          <t>Transport</t>
        </is>
      </c>
      <c r="H1187" s="114" t="inlineStr">
        <is>
          <t>FEDERAL 0847</t>
        </is>
      </c>
    </row>
    <row r="1188">
      <c r="A1188" s="113" t="n">
        <v>45261</v>
      </c>
      <c r="B1188" s="114" t="inlineStr">
        <is>
          <t>NFT/NEOSIEXEDDD2023120112302472066 NAVI
Mutual Fun</t>
        </is>
      </c>
      <c r="C1188" s="114" t="inlineStr"/>
      <c r="D1188" s="114" t="n">
        <v>100</v>
      </c>
      <c r="E1188" s="114" t="n">
        <v>0</v>
      </c>
      <c r="F1188" s="114" t="n">
        <v>48833.22</v>
      </c>
      <c r="G1188" s="114" t="inlineStr">
        <is>
          <t>Investments</t>
        </is>
      </c>
      <c r="H1188" s="114" t="inlineStr">
        <is>
          <t>FEDERAL 0847</t>
        </is>
      </c>
    </row>
    <row r="1189">
      <c r="A1189" s="113" t="n">
        <v>45261</v>
      </c>
      <c r="B1189" s="114" t="inlineStr">
        <is>
          <t>SMS Alert Fee</t>
        </is>
      </c>
      <c r="C1189" s="113" t="n">
        <v>45312</v>
      </c>
      <c r="D1189" s="114" t="n">
        <v>1</v>
      </c>
      <c r="E1189" s="114" t="n">
        <v>1</v>
      </c>
      <c r="F1189" s="114" t="n">
        <v/>
      </c>
      <c r="G1189" s="114" t="inlineStr">
        <is>
          <t>Bank Charges</t>
        </is>
      </c>
      <c r="H1189" s="114" t="inlineStr">
        <is>
          <t>AXIS</t>
        </is>
      </c>
    </row>
    <row r="1190">
      <c r="A1190" s="113" t="n">
        <v>45262</v>
      </c>
      <c r="B1190" s="114" t="inlineStr">
        <is>
          <t>UPIOUT/333635901611/gpay-11216810770@okbiz
ax/5331</t>
        </is>
      </c>
      <c r="C1190" s="114" t="inlineStr"/>
      <c r="D1190" s="114" t="n">
        <v>30</v>
      </c>
      <c r="E1190" s="114" t="n">
        <v>0</v>
      </c>
      <c r="F1190" s="114" t="n">
        <v>48041.42</v>
      </c>
      <c r="G1190" s="114" t="inlineStr">
        <is>
          <t>Personal</t>
        </is>
      </c>
      <c r="H1190" s="114" t="inlineStr">
        <is>
          <t>FEDERAL 0847</t>
        </is>
      </c>
    </row>
    <row r="1191">
      <c r="A1191" s="113" t="n">
        <v>45262</v>
      </c>
      <c r="B1191" s="114" t="inlineStr">
        <is>
          <t>UPIOUT/333635831256/paytmqrfmo9fujhwg@payt
m//5812</t>
        </is>
      </c>
      <c r="C1191" s="114" t="inlineStr"/>
      <c r="D1191" s="114" t="n">
        <v>280</v>
      </c>
      <c r="E1191" s="114" t="n">
        <v>0</v>
      </c>
      <c r="F1191" s="114" t="n">
        <v>48071.42</v>
      </c>
      <c r="G1191" s="114" t="inlineStr">
        <is>
          <t>Personal</t>
        </is>
      </c>
      <c r="H1191" s="114" t="inlineStr">
        <is>
          <t>FEDERAL 0847</t>
        </is>
      </c>
    </row>
    <row r="1192">
      <c r="A1192" s="113" t="n">
        <v>45262</v>
      </c>
      <c r="B1192" s="114" t="inlineStr">
        <is>
          <t>UPIOUT/333634793996/paytmqr1ox7m6rgyo@payt
m//5812</t>
        </is>
      </c>
      <c r="C1192" s="114" t="inlineStr"/>
      <c r="D1192" s="114" t="n">
        <v>23</v>
      </c>
      <c r="E1192" s="114" t="n">
        <v>0</v>
      </c>
      <c r="F1192" s="114" t="n">
        <v>48351.42</v>
      </c>
      <c r="G1192" s="114" t="inlineStr">
        <is>
          <t>Personal</t>
        </is>
      </c>
      <c r="H1192" s="114" t="inlineStr">
        <is>
          <t>FEDERAL 0847</t>
        </is>
      </c>
    </row>
    <row r="1193">
      <c r="A1193" s="113" t="n">
        <v>45262</v>
      </c>
      <c r="B1193" s="114" t="inlineStr">
        <is>
          <t>UPIOUT/333637779469/Q614784165@ybl/Sent
via /5311</t>
        </is>
      </c>
      <c r="C1193" s="114" t="inlineStr"/>
      <c r="D1193" s="114" t="n">
        <v>20</v>
      </c>
      <c r="E1193" s="114" t="n">
        <v>0</v>
      </c>
      <c r="F1193" s="114" t="n">
        <v>47931.42</v>
      </c>
      <c r="G1193" s="114" t="inlineStr">
        <is>
          <t>Personal</t>
        </is>
      </c>
      <c r="H1193" s="114" t="inlineStr">
        <is>
          <t>FEDERAL 0847</t>
        </is>
      </c>
    </row>
    <row r="1194">
      <c r="A1194" s="113" t="n">
        <v>45262</v>
      </c>
      <c r="B1194" s="114" t="inlineStr">
        <is>
          <t>NFT/NEOSIEXEDDD2023120212303416809 NAVI
Mutual Fun</t>
        </is>
      </c>
      <c r="C1194" s="114" t="inlineStr"/>
      <c r="D1194" s="114" t="n">
        <v>100</v>
      </c>
      <c r="E1194" s="114" t="n">
        <v>0</v>
      </c>
      <c r="F1194" s="114" t="n">
        <v>48389.42</v>
      </c>
      <c r="G1194" s="114" t="inlineStr">
        <is>
          <t>Investments</t>
        </is>
      </c>
      <c r="H1194" s="114" t="inlineStr">
        <is>
          <t>FEDERAL 0847</t>
        </is>
      </c>
    </row>
    <row r="1195">
      <c r="A1195" s="113" t="n">
        <v>45262</v>
      </c>
      <c r="B1195" s="114" t="inlineStr">
        <is>
          <t>UPIOUT/333637758848/BHARATPE90727090707@ye
sb/5814</t>
        </is>
      </c>
      <c r="C1195" s="114" t="inlineStr"/>
      <c r="D1195" s="114" t="n">
        <v>20</v>
      </c>
      <c r="E1195" s="114" t="n">
        <v>0</v>
      </c>
      <c r="F1195" s="114" t="n">
        <v>47951.42</v>
      </c>
      <c r="G1195" s="114" t="inlineStr">
        <is>
          <t>Personal</t>
        </is>
      </c>
      <c r="H1195" s="114" t="inlineStr">
        <is>
          <t>FEDERAL 0847</t>
        </is>
      </c>
    </row>
    <row r="1196">
      <c r="A1196" s="113" t="n">
        <v>45262</v>
      </c>
      <c r="B1196" s="114" t="inlineStr">
        <is>
          <t>UPIOUT/333634763711/Q621411559@ybl/Sent
via /5441</t>
        </is>
      </c>
      <c r="C1196" s="114" t="inlineStr"/>
      <c r="D1196" s="114" t="n">
        <v>15</v>
      </c>
      <c r="E1196" s="114" t="n">
        <v>0</v>
      </c>
      <c r="F1196" s="114" t="n">
        <v>48374.42</v>
      </c>
      <c r="G1196" s="114" t="inlineStr">
        <is>
          <t>Personal</t>
        </is>
      </c>
      <c r="H1196" s="114" t="inlineStr">
        <is>
          <t>FEDERAL 0847</t>
        </is>
      </c>
    </row>
    <row r="1197">
      <c r="A1197" s="113" t="n">
        <v>45262</v>
      </c>
      <c r="B1197" s="114" t="inlineStr">
        <is>
          <t>UPIOUT/333637695245/paytmqr1a2plltyay@payt
m//5812</t>
        </is>
      </c>
      <c r="C1197" s="114" t="inlineStr"/>
      <c r="D1197" s="114" t="n">
        <v>70</v>
      </c>
      <c r="E1197" s="114" t="n">
        <v>0</v>
      </c>
      <c r="F1197" s="114" t="n">
        <v>47971.42</v>
      </c>
      <c r="G1197" s="114" t="inlineStr">
        <is>
          <t>Personal</t>
        </is>
      </c>
      <c r="H1197" s="114" t="inlineStr">
        <is>
          <t>FEDERAL 0847</t>
        </is>
      </c>
    </row>
    <row r="1198">
      <c r="A1198" s="113" t="n">
        <v>45263</v>
      </c>
      <c r="B1198" s="114" t="inlineStr">
        <is>
          <t>UPIOUT/333795406047/swiggy@yespay/Pay for
me/5812</t>
        </is>
      </c>
      <c r="C1198" s="114" t="inlineStr"/>
      <c r="D1198" s="114" t="n">
        <v>355</v>
      </c>
      <c r="E1198" s="114" t="n">
        <v>0</v>
      </c>
      <c r="F1198" s="114" t="n">
        <v>47406.42</v>
      </c>
      <c r="G1198" s="114" t="inlineStr">
        <is>
          <t>Food &amp; Dining</t>
        </is>
      </c>
      <c r="H1198" s="114" t="inlineStr">
        <is>
          <t>FEDERAL 0847</t>
        </is>
      </c>
    </row>
    <row r="1199">
      <c r="A1199" s="113" t="n">
        <v>45263</v>
      </c>
      <c r="B1199" s="114" t="inlineStr">
        <is>
          <t>UPIOUT/333740189823/paytmqrfmo9fujhwg@payt
m//5812</t>
        </is>
      </c>
      <c r="C1199" s="114" t="inlineStr"/>
      <c r="D1199" s="114" t="n">
        <v>70</v>
      </c>
      <c r="E1199" s="114" t="n">
        <v>0</v>
      </c>
      <c r="F1199" s="114" t="n">
        <v>47761.42</v>
      </c>
      <c r="G1199" s="114" t="inlineStr">
        <is>
          <t>Personal</t>
        </is>
      </c>
      <c r="H1199" s="114" t="inlineStr">
        <is>
          <t>FEDERAL 0847</t>
        </is>
      </c>
    </row>
    <row r="1200">
      <c r="A1200" s="113" t="n">
        <v>45263</v>
      </c>
      <c r="B1200" s="114" t="inlineStr">
        <is>
          <t>NFT/NEOSIEXEDDD2023120312302093915 NAVI
Mutual Fun</t>
        </is>
      </c>
      <c r="C1200" s="114" t="inlineStr"/>
      <c r="D1200" s="114" t="n">
        <v>100</v>
      </c>
      <c r="E1200" s="114" t="n">
        <v>0</v>
      </c>
      <c r="F1200" s="114" t="n">
        <v>47831.42</v>
      </c>
      <c r="G1200" s="114" t="inlineStr">
        <is>
          <t>Investments</t>
        </is>
      </c>
      <c r="H1200" s="114" t="inlineStr">
        <is>
          <t>FEDERAL 0847</t>
        </is>
      </c>
    </row>
    <row r="1201">
      <c r="A1201" s="113" t="n">
        <v>45264</v>
      </c>
      <c r="B1201" s="114" t="inlineStr">
        <is>
          <t>UPIOUT/333848096419/paytmqr2810050501015w5
z0/5812</t>
        </is>
      </c>
      <c r="C1201" s="114" t="inlineStr"/>
      <c r="D1201" s="114" t="n">
        <v>60</v>
      </c>
      <c r="E1201" s="114" t="n">
        <v>0</v>
      </c>
      <c r="F1201" s="114" t="n">
        <v>47176.42</v>
      </c>
      <c r="G1201" s="114" t="inlineStr">
        <is>
          <t>Personal</t>
        </is>
      </c>
      <c r="H1201" s="114" t="inlineStr">
        <is>
          <t>FEDERAL 0847</t>
        </is>
      </c>
    </row>
    <row r="1202">
      <c r="A1202" s="113" t="n">
        <v>45264</v>
      </c>
      <c r="B1202" s="114" t="inlineStr">
        <is>
          <t>NFT/NEOSIEXEDDD2023120412301691539 NAVI
Mutual Fun</t>
        </is>
      </c>
      <c r="C1202" s="114" t="inlineStr"/>
      <c r="D1202" s="114" t="n">
        <v>100</v>
      </c>
      <c r="E1202" s="114" t="n">
        <v>0</v>
      </c>
      <c r="F1202" s="114" t="n">
        <v>47306.42</v>
      </c>
      <c r="G1202" s="114" t="inlineStr">
        <is>
          <t>Investments</t>
        </is>
      </c>
      <c r="H1202" s="114" t="inlineStr">
        <is>
          <t>FEDERAL 0847</t>
        </is>
      </c>
    </row>
    <row r="1203">
      <c r="A1203" s="113" t="n">
        <v>45264</v>
      </c>
      <c r="B1203" s="114" t="inlineStr">
        <is>
          <t>UPIOUT/333844992771/paytmqry3eyiz8yp2@payt
m//5812</t>
        </is>
      </c>
      <c r="C1203" s="114" t="inlineStr"/>
      <c r="D1203" s="114" t="n">
        <v>35</v>
      </c>
      <c r="E1203" s="114" t="n">
        <v>0</v>
      </c>
      <c r="F1203" s="114" t="n">
        <v>47271.42</v>
      </c>
      <c r="G1203" s="114" t="inlineStr">
        <is>
          <t>Personal</t>
        </is>
      </c>
      <c r="H1203" s="114" t="inlineStr">
        <is>
          <t>FEDERAL 0847</t>
        </is>
      </c>
    </row>
    <row r="1204">
      <c r="A1204" s="113" t="n">
        <v>45264</v>
      </c>
      <c r="B1204" s="114" t="inlineStr">
        <is>
          <t>UPIOUT/333845022027/paytmqrfmo9fujhwg@payt
m//5812</t>
        </is>
      </c>
      <c r="C1204" s="114" t="inlineStr"/>
      <c r="D1204" s="114" t="n">
        <v>10</v>
      </c>
      <c r="E1204" s="114" t="n">
        <v>0</v>
      </c>
      <c r="F1204" s="114" t="n">
        <v>47261.42</v>
      </c>
      <c r="G1204" s="114" t="inlineStr">
        <is>
          <t>Personal</t>
        </is>
      </c>
      <c r="H1204" s="114" t="inlineStr">
        <is>
          <t>FEDERAL 0847</t>
        </is>
      </c>
    </row>
    <row r="1205">
      <c r="A1205" s="113" t="n">
        <v>45264</v>
      </c>
      <c r="B1205" s="114" t="inlineStr">
        <is>
          <t>NET PO FROM HSL A/C 2554606-50200085415108</t>
        </is>
      </c>
      <c r="C1205" s="114" t="inlineStr">
        <is>
          <t>0000000470228870</t>
        </is>
      </c>
      <c r="D1205" s="114" t="n">
        <v>0</v>
      </c>
      <c r="E1205" s="114" t="n">
        <v>36344.18</v>
      </c>
      <c r="F1205" s="114" t="n">
        <v>88775.81</v>
      </c>
      <c r="G1205" s="114" t="inlineStr">
        <is>
          <t>HDFC Securities</t>
        </is>
      </c>
      <c r="H1205" s="114" t="inlineStr">
        <is>
          <t>HDFC 5413</t>
        </is>
      </c>
    </row>
    <row r="1206">
      <c r="A1206" s="113" t="n">
        <v>45264</v>
      </c>
      <c r="B1206" s="114" t="inlineStr">
        <is>
          <t>NET PI TO HSL SEC A/C 2554606-00602340029427</t>
        </is>
      </c>
      <c r="C1206" s="114" t="inlineStr">
        <is>
          <t>0000000470404128</t>
        </is>
      </c>
      <c r="D1206" s="114" t="n">
        <v>267.6</v>
      </c>
      <c r="E1206" s="114" t="n">
        <v>0</v>
      </c>
      <c r="F1206" s="114" t="n">
        <v>88508.21000000001</v>
      </c>
      <c r="G1206" s="114" t="inlineStr">
        <is>
          <t>HDFC Securities</t>
        </is>
      </c>
      <c r="H1206" s="114" t="inlineStr">
        <is>
          <t>HDFC 5413</t>
        </is>
      </c>
    </row>
    <row r="1207">
      <c r="A1207" s="113" t="n">
        <v>45264</v>
      </c>
      <c r="B1207" s="114" t="inlineStr">
        <is>
          <t>NET PI TO HSL SEC A/C 2554606-00602340029427</t>
        </is>
      </c>
      <c r="C1207" s="114" t="inlineStr">
        <is>
          <t>0000000470501993</t>
        </is>
      </c>
      <c r="D1207" s="114" t="n">
        <v>16222.68</v>
      </c>
      <c r="E1207" s="114" t="n">
        <v>0</v>
      </c>
      <c r="F1207" s="114" t="n">
        <v>72285.53</v>
      </c>
      <c r="G1207" s="114" t="inlineStr">
        <is>
          <t>HDFC Securities</t>
        </is>
      </c>
      <c r="H1207" s="114" t="inlineStr">
        <is>
          <t>HDFC 5413</t>
        </is>
      </c>
    </row>
    <row r="1208">
      <c r="A1208" s="113" t="n">
        <v>45264</v>
      </c>
      <c r="B1208" s="114" t="inlineStr">
        <is>
          <t>NET PI TO HSL SEC A/C 2554606-00602340029427</t>
        </is>
      </c>
      <c r="C1208" s="114" t="inlineStr">
        <is>
          <t>0000000470552832</t>
        </is>
      </c>
      <c r="D1208" s="114" t="n">
        <v>9331.790000000001</v>
      </c>
      <c r="E1208" s="114" t="n">
        <v>0</v>
      </c>
      <c r="F1208" s="114" t="n">
        <v>62953.74</v>
      </c>
      <c r="G1208" s="114" t="inlineStr">
        <is>
          <t>HDFC Securities</t>
        </is>
      </c>
      <c r="H1208" s="114" t="inlineStr">
        <is>
          <t>HDFC 5413</t>
        </is>
      </c>
    </row>
    <row r="1209">
      <c r="A1209" s="113" t="n">
        <v>45264</v>
      </c>
      <c r="B1209" s="114" t="inlineStr">
        <is>
          <t>UPIOUT/333873146038/uberrides@hdfcbank/cha
rg/5960</t>
        </is>
      </c>
      <c r="C1209" s="114" t="inlineStr"/>
      <c r="D1209" s="114" t="n">
        <v>25</v>
      </c>
      <c r="E1209" s="114" t="n">
        <v>0</v>
      </c>
      <c r="F1209" s="114" t="n">
        <v>47236.42</v>
      </c>
      <c r="G1209" s="114" t="inlineStr">
        <is>
          <t>Transport</t>
        </is>
      </c>
      <c r="H1209" s="114" t="inlineStr">
        <is>
          <t>FEDERAL 0847</t>
        </is>
      </c>
    </row>
    <row r="1210">
      <c r="A1210" s="113" t="n">
        <v>45264</v>
      </c>
      <c r="B1210" s="114" t="inlineStr">
        <is>
          <t>UPIOUT/333848106598/Q648842547@ybl/Sent
via /5441</t>
        </is>
      </c>
      <c r="C1210" s="114" t="inlineStr"/>
      <c r="D1210" s="114" t="n">
        <v>30</v>
      </c>
      <c r="E1210" s="114" t="n">
        <v>0</v>
      </c>
      <c r="F1210" s="114" t="n">
        <v>47146.42</v>
      </c>
      <c r="G1210" s="114" t="inlineStr">
        <is>
          <t>Personal</t>
        </is>
      </c>
      <c r="H1210" s="114" t="inlineStr">
        <is>
          <t>FEDERAL 0847</t>
        </is>
      </c>
    </row>
    <row r="1211">
      <c r="A1211" s="113" t="n">
        <v>45265</v>
      </c>
      <c r="B1211" s="114" t="inlineStr">
        <is>
          <t>UPIOUT/333953647539/paytmqr1a2plltyay@payt
m//5812</t>
        </is>
      </c>
      <c r="C1211" s="114" t="inlineStr"/>
      <c r="D1211" s="114" t="n">
        <v>90</v>
      </c>
      <c r="E1211" s="114" t="n">
        <v>0</v>
      </c>
      <c r="F1211" s="114" t="n">
        <v>46871.73</v>
      </c>
      <c r="G1211" s="114" t="inlineStr">
        <is>
          <t>Personal</t>
        </is>
      </c>
      <c r="H1211" s="114" t="inlineStr">
        <is>
          <t>FEDERAL 0847</t>
        </is>
      </c>
    </row>
    <row r="1212">
      <c r="A1212" s="113" t="n">
        <v>45265</v>
      </c>
      <c r="B1212" s="114" t="inlineStr">
        <is>
          <t>UPIOUT/333953005204/paytmqr21phwr5buv@payt
m//5411</t>
        </is>
      </c>
      <c r="C1212" s="114" t="inlineStr"/>
      <c r="D1212" s="114" t="n">
        <v>10</v>
      </c>
      <c r="E1212" s="114" t="n">
        <v>0</v>
      </c>
      <c r="F1212" s="114" t="n">
        <v>46961.73</v>
      </c>
      <c r="G1212" s="114" t="inlineStr">
        <is>
          <t>Personal</t>
        </is>
      </c>
      <c r="H1212" s="114" t="inlineStr">
        <is>
          <t>FEDERAL 0847</t>
        </is>
      </c>
    </row>
    <row r="1213">
      <c r="A1213" s="113" t="n">
        <v>45265</v>
      </c>
      <c r="B1213" s="114" t="inlineStr">
        <is>
          <t>UPIOUT/333976093552/uberrides@hdfcbank/cha
rg/5960</t>
        </is>
      </c>
      <c r="C1213" s="114" t="inlineStr"/>
      <c r="D1213" s="114" t="n">
        <v>29.69</v>
      </c>
      <c r="E1213" s="114" t="n">
        <v>0</v>
      </c>
      <c r="F1213" s="114" t="n">
        <v>46971.73</v>
      </c>
      <c r="G1213" s="114" t="inlineStr">
        <is>
          <t>Transport</t>
        </is>
      </c>
      <c r="H1213" s="114" t="inlineStr">
        <is>
          <t>FEDERAL 0847</t>
        </is>
      </c>
    </row>
    <row r="1214">
      <c r="A1214" s="113" t="n">
        <v>45265</v>
      </c>
      <c r="B1214" s="114" t="inlineStr">
        <is>
          <t>UPIOUT/333950148089/paytmqrfmo9fujhwg@payt
m//5812</t>
        </is>
      </c>
      <c r="C1214" s="114" t="inlineStr"/>
      <c r="D1214" s="114" t="n">
        <v>10</v>
      </c>
      <c r="E1214" s="114" t="n">
        <v>0</v>
      </c>
      <c r="F1214" s="114" t="n">
        <v>47001.42</v>
      </c>
      <c r="G1214" s="114" t="inlineStr">
        <is>
          <t>Personal</t>
        </is>
      </c>
      <c r="H1214" s="114" t="inlineStr">
        <is>
          <t>FEDERAL 0847</t>
        </is>
      </c>
    </row>
    <row r="1215">
      <c r="A1215" s="113" t="n">
        <v>45265</v>
      </c>
      <c r="B1215" s="114" t="inlineStr">
        <is>
          <t>NET PI TO HSL SEC A/C 2554606-00602340029427</t>
        </is>
      </c>
      <c r="C1215" s="114" t="inlineStr">
        <is>
          <t>0000000471023214</t>
        </is>
      </c>
      <c r="D1215" s="114" t="n">
        <v>7773.14</v>
      </c>
      <c r="E1215" s="114" t="n">
        <v>0</v>
      </c>
      <c r="F1215" s="114" t="n">
        <v>53094.73</v>
      </c>
      <c r="G1215" s="114" t="inlineStr">
        <is>
          <t>HDFC Securities</t>
        </is>
      </c>
      <c r="H1215" s="114" t="inlineStr">
        <is>
          <t>HDFC 5413</t>
        </is>
      </c>
    </row>
    <row r="1216">
      <c r="A1216" s="113" t="n">
        <v>45265</v>
      </c>
      <c r="B1216" s="114" t="inlineStr">
        <is>
          <t>NFT/NEOSIEXEDDD2023120512304167777 NAVI
Mutual Fun</t>
        </is>
      </c>
      <c r="C1216" s="114" t="inlineStr"/>
      <c r="D1216" s="114" t="n">
        <v>100</v>
      </c>
      <c r="E1216" s="114" t="n">
        <v>0</v>
      </c>
      <c r="F1216" s="114" t="n">
        <v>47046.42</v>
      </c>
      <c r="G1216" s="114" t="inlineStr">
        <is>
          <t>Investments</t>
        </is>
      </c>
      <c r="H1216" s="114" t="inlineStr">
        <is>
          <t>FEDERAL 0847</t>
        </is>
      </c>
    </row>
    <row r="1217">
      <c r="A1217" s="113" t="n">
        <v>45265</v>
      </c>
      <c r="B1217" s="114" t="inlineStr">
        <is>
          <t>ATW-652166XXXXXX7402-S1ANMN04-NASHIK</t>
        </is>
      </c>
      <c r="C1217" s="114" t="inlineStr">
        <is>
          <t>0000000000007680</t>
        </is>
      </c>
      <c r="D1217" s="114" t="n">
        <v>2000</v>
      </c>
      <c r="E1217" s="114" t="n">
        <v>0</v>
      </c>
      <c r="F1217" s="114" t="n">
        <v>60867.87</v>
      </c>
      <c r="G1217" s="114" t="inlineStr">
        <is>
          <t>Cash</t>
        </is>
      </c>
      <c r="H1217" s="114" t="inlineStr">
        <is>
          <t>HDFC 5413</t>
        </is>
      </c>
    </row>
    <row r="1218">
      <c r="A1218" s="113" t="n">
        <v>45265</v>
      </c>
      <c r="B1218" s="114" t="inlineStr">
        <is>
          <t>NET PI TO HSL SEC A/C 2554606-00602340029427</t>
        </is>
      </c>
      <c r="C1218" s="114" t="inlineStr">
        <is>
          <t>0000000470861877</t>
        </is>
      </c>
      <c r="D1218" s="114" t="n">
        <v>85.87</v>
      </c>
      <c r="E1218" s="114" t="n">
        <v>0</v>
      </c>
      <c r="F1218" s="114" t="n">
        <v>62867.87</v>
      </c>
      <c r="G1218" s="114" t="inlineStr">
        <is>
          <t>HDFC Securities</t>
        </is>
      </c>
      <c r="H1218" s="114" t="inlineStr">
        <is>
          <t>HDFC 5413</t>
        </is>
      </c>
    </row>
    <row r="1219">
      <c r="A1219" s="113" t="n">
        <v>45265</v>
      </c>
      <c r="B1219" s="114" t="inlineStr">
        <is>
          <t>UPIOUT/333950144109/BHARATPE.90066462056@f
bp/5814</t>
        </is>
      </c>
      <c r="C1219" s="114" t="inlineStr"/>
      <c r="D1219" s="114" t="n">
        <v>35</v>
      </c>
      <c r="E1219" s="114" t="n">
        <v>0</v>
      </c>
      <c r="F1219" s="114" t="n">
        <v>47011.42</v>
      </c>
      <c r="G1219" s="114" t="inlineStr">
        <is>
          <t>Personal</t>
        </is>
      </c>
      <c r="H1219" s="114" t="inlineStr">
        <is>
          <t>FEDERAL 0847</t>
        </is>
      </c>
    </row>
    <row r="1220">
      <c r="A1220" s="113" t="n">
        <v>45265</v>
      </c>
      <c r="B1220" s="114" t="inlineStr">
        <is>
          <t>UPIOUT/333953651185/BHARATPE90727090707@ye
sb/5814</t>
        </is>
      </c>
      <c r="C1220" s="114" t="inlineStr"/>
      <c r="D1220" s="114" t="n">
        <v>20</v>
      </c>
      <c r="E1220" s="114" t="n">
        <v>0</v>
      </c>
      <c r="F1220" s="114" t="n">
        <v>46851.73</v>
      </c>
      <c r="G1220" s="114" t="inlineStr">
        <is>
          <t>Personal</t>
        </is>
      </c>
      <c r="H1220" s="114" t="inlineStr">
        <is>
          <t>FEDERAL 0847</t>
        </is>
      </c>
    </row>
    <row r="1221">
      <c r="A1221" s="113" t="n">
        <v>45266</v>
      </c>
      <c r="B1221" s="114" t="inlineStr">
        <is>
          <t>NET PI TO HSL SEC A/C 2554606-00602340029427</t>
        </is>
      </c>
      <c r="C1221" s="114" t="inlineStr">
        <is>
          <t>0000000471458687</t>
        </is>
      </c>
      <c r="D1221" s="114" t="n">
        <v>83125.39999999999</v>
      </c>
      <c r="E1221" s="114" t="n">
        <v>0</v>
      </c>
      <c r="F1221" s="114" t="n">
        <v>16443.41</v>
      </c>
      <c r="G1221" s="114" t="inlineStr">
        <is>
          <t>HDFC Securities</t>
        </is>
      </c>
      <c r="H1221" s="114" t="inlineStr">
        <is>
          <t>HDFC 5413</t>
        </is>
      </c>
    </row>
    <row r="1222">
      <c r="A1222" s="113" t="n">
        <v>45266</v>
      </c>
      <c r="B1222" s="114" t="inlineStr">
        <is>
          <t>NFT/NEOSIEXEDDD2023120612304350297 NAVI
Mutual Fun</t>
        </is>
      </c>
      <c r="C1222" s="114" t="inlineStr"/>
      <c r="D1222" s="114" t="n">
        <v>100</v>
      </c>
      <c r="E1222" s="114" t="n">
        <v>0</v>
      </c>
      <c r="F1222" s="114" t="n">
        <v>46751.73</v>
      </c>
      <c r="G1222" s="114" t="inlineStr">
        <is>
          <t>Investments</t>
        </is>
      </c>
      <c r="H1222" s="114" t="inlineStr">
        <is>
          <t>FEDERAL 0847</t>
        </is>
      </c>
    </row>
    <row r="1223">
      <c r="A1223" s="113" t="n">
        <v>45266</v>
      </c>
      <c r="B1223" s="114" t="inlineStr">
        <is>
          <t>UPIOUT/334056060188/paytmqry3eyiz8yp2@payt
m//5812</t>
        </is>
      </c>
      <c r="C1223" s="114" t="inlineStr"/>
      <c r="D1223" s="114" t="n">
        <v>35</v>
      </c>
      <c r="E1223" s="114" t="n">
        <v>0</v>
      </c>
      <c r="F1223" s="114" t="n">
        <v>46716.73</v>
      </c>
      <c r="G1223" s="114" t="inlineStr">
        <is>
          <t>Personal</t>
        </is>
      </c>
      <c r="H1223" s="114" t="inlineStr">
        <is>
          <t>FEDERAL 0847</t>
        </is>
      </c>
    </row>
    <row r="1224">
      <c r="A1224" s="113" t="n">
        <v>45266</v>
      </c>
      <c r="B1224" s="114" t="inlineStr">
        <is>
          <t>UPIOUT/334196966530/amazonupi@apl/Request
fr/5262</t>
        </is>
      </c>
      <c r="C1224" s="114" t="inlineStr"/>
      <c r="D1224" s="114" t="n">
        <v>783</v>
      </c>
      <c r="E1224" s="114" t="n">
        <v>0</v>
      </c>
      <c r="F1224" s="114" t="n">
        <v>45486.73</v>
      </c>
      <c r="G1224" s="114" t="inlineStr">
        <is>
          <t>Shopping</t>
        </is>
      </c>
      <c r="H1224" s="114" t="inlineStr">
        <is>
          <t>FEDERAL 0847</t>
        </is>
      </c>
    </row>
    <row r="1225">
      <c r="A1225" s="113" t="n">
        <v>45266</v>
      </c>
      <c r="B1225" s="114" t="inlineStr">
        <is>
          <t>NET PO FROM HSL A/C 2554606-50200085415108</t>
        </is>
      </c>
      <c r="C1225" s="114" t="inlineStr">
        <is>
          <t>0000000471164284</t>
        </is>
      </c>
      <c r="D1225" s="114" t="n">
        <v>0</v>
      </c>
      <c r="E1225" s="114" t="n">
        <v>46569.07</v>
      </c>
      <c r="F1225" s="114" t="n">
        <v>99663.8</v>
      </c>
      <c r="G1225" s="114" t="inlineStr">
        <is>
          <t>HDFC Securities</t>
        </is>
      </c>
      <c r="H1225" s="114" t="inlineStr">
        <is>
          <t>HDFC 5413</t>
        </is>
      </c>
    </row>
    <row r="1226">
      <c r="A1226" s="113" t="n">
        <v>45266</v>
      </c>
      <c r="B1226" s="114" t="inlineStr">
        <is>
          <t>UPIOUT/334059854247/paytmqrfmo9fujhwg@payt
m//5812</t>
        </is>
      </c>
      <c r="C1226" s="114" t="inlineStr"/>
      <c r="D1226" s="114" t="n">
        <v>20</v>
      </c>
      <c r="E1226" s="114" t="n">
        <v>0</v>
      </c>
      <c r="F1226" s="114" t="n">
        <v>46550.73</v>
      </c>
      <c r="G1226" s="114" t="inlineStr">
        <is>
          <t>Personal</t>
        </is>
      </c>
      <c r="H1226" s="114" t="inlineStr">
        <is>
          <t>FEDERAL 0847</t>
        </is>
      </c>
    </row>
    <row r="1227">
      <c r="A1227" s="113" t="n">
        <v>45266</v>
      </c>
      <c r="B1227" s="114" t="inlineStr">
        <is>
          <t>UPIOUT/334017537261/upiswiggy@icici/UPI/58
14</t>
        </is>
      </c>
      <c r="C1227" s="114" t="inlineStr"/>
      <c r="D1227" s="114" t="n">
        <v>281</v>
      </c>
      <c r="E1227" s="114" t="n">
        <v>0</v>
      </c>
      <c r="F1227" s="114" t="n">
        <v>46269.73</v>
      </c>
      <c r="G1227" s="114" t="inlineStr">
        <is>
          <t>Food &amp; Dining</t>
        </is>
      </c>
      <c r="H1227" s="114" t="inlineStr">
        <is>
          <t>FEDERAL 0847</t>
        </is>
      </c>
    </row>
    <row r="1228">
      <c r="A1228" s="113" t="n">
        <v>45266</v>
      </c>
      <c r="B1228" s="114" t="inlineStr">
        <is>
          <t>UPIOUT/334059405736/paytmqr1a2plltyay@payt
m//5812</t>
        </is>
      </c>
      <c r="C1228" s="114" t="inlineStr"/>
      <c r="D1228" s="114" t="n">
        <v>90</v>
      </c>
      <c r="E1228" s="114" t="n">
        <v>0</v>
      </c>
      <c r="F1228" s="114" t="n">
        <v>46590.73</v>
      </c>
      <c r="G1228" s="114" t="inlineStr">
        <is>
          <t>Personal</t>
        </is>
      </c>
      <c r="H1228" s="114" t="inlineStr">
        <is>
          <t>FEDERAL 0847</t>
        </is>
      </c>
    </row>
    <row r="1229">
      <c r="A1229" s="113" t="n">
        <v>45266</v>
      </c>
      <c r="B1229" s="114" t="inlineStr">
        <is>
          <t>UPIOUT/334056471414/karnasiddipogu143@ybl/
Se/0000</t>
        </is>
      </c>
      <c r="C1229" s="114" t="inlineStr"/>
      <c r="D1229" s="114" t="n">
        <v>26</v>
      </c>
      <c r="E1229" s="114" t="n">
        <v>0</v>
      </c>
      <c r="F1229" s="114" t="n">
        <v>46680.73</v>
      </c>
      <c r="G1229" s="114" t="inlineStr">
        <is>
          <t>Personal</t>
        </is>
      </c>
      <c r="H1229" s="114" t="inlineStr">
        <is>
          <t>FEDERAL 0847</t>
        </is>
      </c>
    </row>
    <row r="1230">
      <c r="A1230" s="113" t="n">
        <v>45266</v>
      </c>
      <c r="B1230" s="114" t="inlineStr">
        <is>
          <t>UPIOUT/334056100325/paytmqrfmo9fujhwg@payt
m//5812</t>
        </is>
      </c>
      <c r="C1230" s="114" t="inlineStr"/>
      <c r="D1230" s="114" t="n">
        <v>10</v>
      </c>
      <c r="E1230" s="114" t="n">
        <v>0</v>
      </c>
      <c r="F1230" s="114" t="n">
        <v>46706.73</v>
      </c>
      <c r="G1230" s="114" t="inlineStr">
        <is>
          <t>Personal</t>
        </is>
      </c>
      <c r="H1230" s="114" t="inlineStr">
        <is>
          <t>FEDERAL 0847</t>
        </is>
      </c>
    </row>
    <row r="1231">
      <c r="A1231" s="113" t="n">
        <v>45266</v>
      </c>
      <c r="B1231" s="114" t="inlineStr">
        <is>
          <t>UPIOUT/334059424593/paytmqr1rtk29j3xy@payt
m//5411</t>
        </is>
      </c>
      <c r="C1231" s="114" t="inlineStr"/>
      <c r="D1231" s="114" t="n">
        <v>20</v>
      </c>
      <c r="E1231" s="114" t="n">
        <v>0</v>
      </c>
      <c r="F1231" s="114" t="n">
        <v>46570.73</v>
      </c>
      <c r="G1231" s="114" t="inlineStr">
        <is>
          <t>Personal</t>
        </is>
      </c>
      <c r="H1231" s="114" t="inlineStr">
        <is>
          <t>FEDERAL 0847</t>
        </is>
      </c>
    </row>
    <row r="1232">
      <c r="A1232" s="113" t="n">
        <v>45266</v>
      </c>
      <c r="B1232" s="114" t="inlineStr">
        <is>
          <t>NET PI TO HSL SEC A/C 2554606-00602340029427</t>
        </is>
      </c>
      <c r="C1232" s="114" t="inlineStr">
        <is>
          <t>0000000471284712</t>
        </is>
      </c>
      <c r="D1232" s="114" t="n">
        <v>94.98999999999999</v>
      </c>
      <c r="E1232" s="114" t="n">
        <v>0</v>
      </c>
      <c r="F1232" s="114" t="n">
        <v>99568.81</v>
      </c>
      <c r="G1232" s="114" t="inlineStr">
        <is>
          <t>HDFC Securities</t>
        </is>
      </c>
      <c r="H1232" s="114" t="inlineStr">
        <is>
          <t>HDFC 5413</t>
        </is>
      </c>
    </row>
    <row r="1233">
      <c r="A1233" s="113" t="n">
        <v>45267</v>
      </c>
      <c r="B1233" s="114" t="inlineStr">
        <is>
          <t>FT- ADITYA BSLMF-POOL RED A/C - BIRLA MF-RED-DC-F NO.  1040257989- 16</t>
        </is>
      </c>
      <c r="C1233" s="114" t="inlineStr">
        <is>
          <t>0000000508316072</t>
        </is>
      </c>
      <c r="D1233" s="114" t="n">
        <v>0</v>
      </c>
      <c r="E1233" s="114" t="n">
        <v>118595.14</v>
      </c>
      <c r="F1233" s="114" t="n">
        <v>180726.4</v>
      </c>
      <c r="G1233" s="114" t="inlineStr">
        <is>
          <t>Mutual Funds</t>
        </is>
      </c>
      <c r="H1233" s="114" t="inlineStr">
        <is>
          <t>HDFC 5413</t>
        </is>
      </c>
    </row>
    <row r="1234">
      <c r="A1234" s="113" t="n">
        <v>45267</v>
      </c>
      <c r="B1234" s="114" t="inlineStr">
        <is>
          <t>NET PO FROM HSL A/C 2554606-50200085415108</t>
        </is>
      </c>
      <c r="C1234" s="114" t="inlineStr">
        <is>
          <t>0000000471607853</t>
        </is>
      </c>
      <c r="D1234" s="114" t="n">
        <v>0</v>
      </c>
      <c r="E1234" s="114" t="n">
        <v>45687.85</v>
      </c>
      <c r="F1234" s="114" t="n">
        <v>62131.26</v>
      </c>
      <c r="G1234" s="114" t="inlineStr">
        <is>
          <t>HDFC Securities</t>
        </is>
      </c>
      <c r="H1234" s="114" t="inlineStr">
        <is>
          <t>HDFC 5413</t>
        </is>
      </c>
    </row>
    <row r="1235">
      <c r="A1235" s="113" t="n">
        <v>45267</v>
      </c>
      <c r="B1235" s="114" t="inlineStr">
        <is>
          <t>NET PI TO HSL SEC A/C 2554606-00602340029427</t>
        </is>
      </c>
      <c r="C1235" s="114" t="inlineStr">
        <is>
          <t>0000000471737942</t>
        </is>
      </c>
      <c r="D1235" s="114" t="n">
        <v>72.64</v>
      </c>
      <c r="E1235" s="114" t="n">
        <v>0</v>
      </c>
      <c r="F1235" s="114" t="n">
        <v>180653.76</v>
      </c>
      <c r="G1235" s="114" t="inlineStr">
        <is>
          <t>HDFC Securities</t>
        </is>
      </c>
      <c r="H1235" s="114" t="inlineStr">
        <is>
          <t>HDFC 5413</t>
        </is>
      </c>
    </row>
    <row r="1236">
      <c r="A1236" s="113" t="n">
        <v>45267</v>
      </c>
      <c r="B1236" s="114" t="inlineStr">
        <is>
          <t>YHDF2165733280/BILLDKINDIANCLEARING</t>
        </is>
      </c>
      <c r="C1236" s="114" t="inlineStr">
        <is>
          <t>0002334135667698</t>
        </is>
      </c>
      <c r="D1236" s="114" t="n">
        <v>120000</v>
      </c>
      <c r="E1236" s="114" t="n">
        <v>0</v>
      </c>
      <c r="F1236" s="114" t="n">
        <v>60653.76</v>
      </c>
      <c r="G1236" s="114" t="inlineStr">
        <is>
          <t>SIP</t>
        </is>
      </c>
      <c r="H1236" s="114" t="inlineStr">
        <is>
          <t>HDFC 5413</t>
        </is>
      </c>
    </row>
    <row r="1237">
      <c r="A1237" s="113" t="n">
        <v>45267</v>
      </c>
      <c r="B1237" s="114" t="inlineStr">
        <is>
          <t>ACH C- POWER FINANCE CORPOR-12156202</t>
        </is>
      </c>
      <c r="C1237" s="114" t="inlineStr">
        <is>
          <t>0000008349801515</t>
        </is>
      </c>
      <c r="D1237" s="114" t="n">
        <v>0</v>
      </c>
      <c r="E1237" s="114" t="n">
        <v>81</v>
      </c>
      <c r="F1237" s="114" t="n">
        <v>60734.76</v>
      </c>
      <c r="G1237" s="114" t="inlineStr">
        <is>
          <t>Dividend Income</t>
        </is>
      </c>
      <c r="H1237" s="114" t="inlineStr">
        <is>
          <t>HDFC 5413</t>
        </is>
      </c>
    </row>
    <row r="1238">
      <c r="A1238" s="113" t="n">
        <v>45267</v>
      </c>
      <c r="B1238" s="114" t="inlineStr">
        <is>
          <t>00602300000434-024929018</t>
        </is>
      </c>
      <c r="C1238" s="114" t="inlineStr">
        <is>
          <t>0000312073084366</t>
        </is>
      </c>
      <c r="D1238" s="114" t="n">
        <v>0</v>
      </c>
      <c r="E1238" s="114" t="n">
        <v>1880</v>
      </c>
      <c r="F1238" s="114" t="n">
        <v>62614.76</v>
      </c>
      <c r="G1238" s="114" t="inlineStr">
        <is>
          <t>Suspense</t>
        </is>
      </c>
      <c r="H1238" s="114" t="inlineStr">
        <is>
          <t>HDFC 5413</t>
        </is>
      </c>
    </row>
    <row r="1239">
      <c r="A1239" s="113" t="n">
        <v>45267</v>
      </c>
      <c r="B1239" s="114" t="inlineStr">
        <is>
          <t>NET PI TO HSL SEC A/C 2554606-00602340029427</t>
        </is>
      </c>
      <c r="C1239" s="114" t="inlineStr">
        <is>
          <t>0000000471906737</t>
        </is>
      </c>
      <c r="D1239" s="114" t="n">
        <v>22187.2</v>
      </c>
      <c r="E1239" s="114" t="n">
        <v>0</v>
      </c>
      <c r="F1239" s="114" t="n">
        <v>40427.56</v>
      </c>
      <c r="G1239" s="114" t="inlineStr">
        <is>
          <t>HDFC Securities</t>
        </is>
      </c>
      <c r="H1239" s="114" t="inlineStr">
        <is>
          <t>HDFC 5413</t>
        </is>
      </c>
    </row>
    <row r="1240">
      <c r="A1240" s="113" t="n">
        <v>45267</v>
      </c>
      <c r="B1240" s="114" t="inlineStr">
        <is>
          <t>NFT/NEOSIEXEDDD2023120712301671340 NAVI
Mutual Fun</t>
        </is>
      </c>
      <c r="C1240" s="114" t="inlineStr"/>
      <c r="D1240" s="114" t="n">
        <v>100</v>
      </c>
      <c r="E1240" s="114" t="n">
        <v>0</v>
      </c>
      <c r="F1240" s="114" t="n">
        <v>45386.73</v>
      </c>
      <c r="G1240" s="114" t="inlineStr">
        <is>
          <t>Investments</t>
        </is>
      </c>
      <c r="H1240" s="114" t="inlineStr">
        <is>
          <t>FEDERAL 0847</t>
        </is>
      </c>
    </row>
    <row r="1241">
      <c r="A1241" s="113" t="n">
        <v>45267</v>
      </c>
      <c r="B1241" s="114" t="inlineStr">
        <is>
          <t>UPIOUT/334165140294/paytmqr1ox7m6rgyo@payt
m//5812</t>
        </is>
      </c>
      <c r="C1241" s="114" t="inlineStr"/>
      <c r="D1241" s="114" t="n">
        <v>15</v>
      </c>
      <c r="E1241" s="114" t="n">
        <v>0</v>
      </c>
      <c r="F1241" s="114" t="n">
        <v>45268.73</v>
      </c>
      <c r="G1241" s="114" t="inlineStr">
        <is>
          <t>Personal</t>
        </is>
      </c>
      <c r="H1241" s="114" t="inlineStr">
        <is>
          <t>FEDERAL 0847</t>
        </is>
      </c>
    </row>
    <row r="1242">
      <c r="A1242" s="113" t="n">
        <v>45267</v>
      </c>
      <c r="B1242" s="114" t="inlineStr">
        <is>
          <t>UPIOUT/334165088628/Q084270040@ybl/Sent
via /5812</t>
        </is>
      </c>
      <c r="C1242" s="114" t="inlineStr"/>
      <c r="D1242" s="114" t="n">
        <v>80</v>
      </c>
      <c r="E1242" s="114" t="n">
        <v>0</v>
      </c>
      <c r="F1242" s="114" t="n">
        <v>45283.73</v>
      </c>
      <c r="G1242" s="114" t="inlineStr">
        <is>
          <t>Personal</t>
        </is>
      </c>
      <c r="H1242" s="114" t="inlineStr">
        <is>
          <t>FEDERAL 0847</t>
        </is>
      </c>
    </row>
    <row r="1243">
      <c r="A1243" s="113" t="n">
        <v>45267</v>
      </c>
      <c r="B1243" s="114" t="inlineStr">
        <is>
          <t>UPIOUT/334162446076/rapido.rzp@icici/Payme
nt/4121</t>
        </is>
      </c>
      <c r="C1243" s="114" t="inlineStr"/>
      <c r="D1243" s="114" t="n">
        <v>23</v>
      </c>
      <c r="E1243" s="114" t="n">
        <v>0</v>
      </c>
      <c r="F1243" s="114" t="n">
        <v>45363.73</v>
      </c>
      <c r="G1243" s="114" t="inlineStr">
        <is>
          <t>Transport</t>
        </is>
      </c>
      <c r="H1243" s="114" t="inlineStr">
        <is>
          <t>FEDERAL 0847</t>
        </is>
      </c>
    </row>
    <row r="1244">
      <c r="A1244" s="113" t="n">
        <v>45268</v>
      </c>
      <c r="B1244" s="114" t="inlineStr">
        <is>
          <t>UPIOUT/334270815614/ksri97671@ybl/Sent via
J/0000</t>
        </is>
      </c>
      <c r="C1244" s="114" t="inlineStr"/>
      <c r="D1244" s="114" t="n">
        <v>26</v>
      </c>
      <c r="E1244" s="114" t="n">
        <v>0</v>
      </c>
      <c r="F1244" s="114" t="n">
        <v>42719.73</v>
      </c>
      <c r="G1244" s="114" t="inlineStr">
        <is>
          <t>Personal</t>
        </is>
      </c>
      <c r="H1244" s="114" t="inlineStr">
        <is>
          <t>FEDERAL 0847</t>
        </is>
      </c>
    </row>
    <row r="1245">
      <c r="A1245" s="113" t="n">
        <v>45268</v>
      </c>
      <c r="B1245" s="114" t="inlineStr">
        <is>
          <t>UPIOUT/334267789806/paytmqrfmo9fujhwg@payt
m//5812</t>
        </is>
      </c>
      <c r="C1245" s="114" t="inlineStr"/>
      <c r="D1245" s="114" t="n">
        <v>20</v>
      </c>
      <c r="E1245" s="114" t="n">
        <v>0</v>
      </c>
      <c r="F1245" s="114" t="n">
        <v>45148.73</v>
      </c>
      <c r="G1245" s="114" t="inlineStr">
        <is>
          <t>Personal</t>
        </is>
      </c>
      <c r="H1245" s="114" t="inlineStr">
        <is>
          <t>FEDERAL 0847</t>
        </is>
      </c>
    </row>
    <row r="1246">
      <c r="A1246" s="113" t="n">
        <v>45268</v>
      </c>
      <c r="B1246" s="114" t="inlineStr">
        <is>
          <t>NFT/NEOSIEXEDDD2023120812303654824 NAVI
Mutual Fun</t>
        </is>
      </c>
      <c r="C1246" s="114" t="inlineStr"/>
      <c r="D1246" s="114" t="n">
        <v>100</v>
      </c>
      <c r="E1246" s="114" t="n">
        <v>0</v>
      </c>
      <c r="F1246" s="114" t="n">
        <v>45168.73</v>
      </c>
      <c r="G1246" s="114" t="inlineStr">
        <is>
          <t>Investments</t>
        </is>
      </c>
      <c r="H1246" s="114" t="inlineStr">
        <is>
          <t>FEDERAL 0847</t>
        </is>
      </c>
    </row>
    <row r="1247">
      <c r="A1247" s="113" t="n">
        <v>45268</v>
      </c>
      <c r="B1247" s="114" t="inlineStr">
        <is>
          <t>NET PI TO HSL SEC A/C 2554606-00602340029427</t>
        </is>
      </c>
      <c r="C1247" s="114" t="inlineStr">
        <is>
          <t>0000000472177992</t>
        </is>
      </c>
      <c r="D1247" s="114" t="n">
        <v>101.43</v>
      </c>
      <c r="E1247" s="114" t="n">
        <v>0</v>
      </c>
      <c r="F1247" s="114" t="n">
        <v>40326.13</v>
      </c>
      <c r="G1247" s="114" t="inlineStr">
        <is>
          <t>HDFC Securities</t>
        </is>
      </c>
      <c r="H1247" s="114" t="inlineStr">
        <is>
          <t>HDFC 5413</t>
        </is>
      </c>
    </row>
    <row r="1248">
      <c r="A1248" s="113" t="n">
        <v>45268</v>
      </c>
      <c r="B1248" s="114" t="inlineStr">
        <is>
          <t>DEPOSITORY CHARGES NOV23 - 52812428</t>
        </is>
      </c>
      <c r="C1248" s="114" t="inlineStr">
        <is>
          <t>000000000000000</t>
        </is>
      </c>
      <c r="D1248" s="114" t="n">
        <v>1101.32</v>
      </c>
      <c r="E1248" s="114" t="n">
        <v>0</v>
      </c>
      <c r="F1248" s="114" t="n">
        <v>39224.81</v>
      </c>
      <c r="G1248" s="114" t="inlineStr">
        <is>
          <t>Depository Charges</t>
        </is>
      </c>
      <c r="H1248" s="114" t="inlineStr">
        <is>
          <t>HDFC 5413</t>
        </is>
      </c>
    </row>
    <row r="1249">
      <c r="A1249" s="113" t="n">
        <v>45268</v>
      </c>
      <c r="B1249" s="114" t="inlineStr">
        <is>
          <t>NET PI TO HSL SEC A/C 2554606-00602340029427</t>
        </is>
      </c>
      <c r="C1249" s="114" t="inlineStr">
        <is>
          <t>0000000472361797</t>
        </is>
      </c>
      <c r="D1249" s="114" t="n">
        <v>1117.75</v>
      </c>
      <c r="E1249" s="114" t="n">
        <v>0</v>
      </c>
      <c r="F1249" s="114" t="n">
        <v>38107.06</v>
      </c>
      <c r="G1249" s="114" t="inlineStr">
        <is>
          <t>HDFC Securities</t>
        </is>
      </c>
      <c r="H1249" s="114" t="inlineStr">
        <is>
          <t>HDFC 5413</t>
        </is>
      </c>
    </row>
    <row r="1250">
      <c r="A1250" s="113" t="n">
        <v>45268</v>
      </c>
      <c r="B1250" s="114" t="inlineStr">
        <is>
          <t>UPIOUT/334268092637/paytmqry3eyiz8yp2@payt
m//5812</t>
        </is>
      </c>
      <c r="C1250" s="114" t="inlineStr"/>
      <c r="D1250" s="114" t="n">
        <v>35</v>
      </c>
      <c r="E1250" s="114" t="n">
        <v>0</v>
      </c>
      <c r="F1250" s="114" t="n">
        <v>45113.73</v>
      </c>
      <c r="G1250" s="114" t="inlineStr">
        <is>
          <t>Personal</t>
        </is>
      </c>
      <c r="H1250" s="114" t="inlineStr">
        <is>
          <t>FEDERAL 0847</t>
        </is>
      </c>
    </row>
    <row r="1251">
      <c r="A1251" s="113" t="n">
        <v>45268</v>
      </c>
      <c r="B1251" s="114" t="inlineStr">
        <is>
          <t>UPIOUT/334270921355/paytmqrfmo9fujhwg@payt
m//5812</t>
        </is>
      </c>
      <c r="C1251" s="114" t="inlineStr"/>
      <c r="D1251" s="114" t="n">
        <v>75</v>
      </c>
      <c r="E1251" s="114" t="n">
        <v>0</v>
      </c>
      <c r="F1251" s="114" t="n">
        <v>42644.73</v>
      </c>
      <c r="G1251" s="114" t="inlineStr">
        <is>
          <t>Personal</t>
        </is>
      </c>
      <c r="H1251" s="114" t="inlineStr">
        <is>
          <t>FEDERAL 0847</t>
        </is>
      </c>
    </row>
    <row r="1252">
      <c r="A1252" s="113" t="n">
        <v>45268</v>
      </c>
      <c r="B1252" s="114" t="inlineStr">
        <is>
          <t>UPI
IN/334218375972/8555996347@paytm/NA/0000</t>
        </is>
      </c>
      <c r="C1252" s="114" t="inlineStr"/>
      <c r="D1252" s="114" t="n">
        <v>0</v>
      </c>
      <c r="E1252" s="114" t="n">
        <v>200</v>
      </c>
      <c r="F1252" s="114" t="n">
        <v>45290.73</v>
      </c>
      <c r="G1252" s="114" t="inlineStr">
        <is>
          <t>Personal</t>
        </is>
      </c>
      <c r="H1252" s="114" t="inlineStr">
        <is>
          <t>FEDERAL 0847</t>
        </is>
      </c>
    </row>
    <row r="1253">
      <c r="A1253" s="113" t="n">
        <v>45268</v>
      </c>
      <c r="B1253" s="114" t="inlineStr">
        <is>
          <t>UPIOUT/334269795620/jupiterbillpay2@fbl/BB
PS/4814</t>
        </is>
      </c>
      <c r="C1253" s="114" t="inlineStr"/>
      <c r="D1253" s="114" t="n">
        <v>2545</v>
      </c>
      <c r="E1253" s="114" t="n">
        <v>0</v>
      </c>
      <c r="F1253" s="114" t="n">
        <v>42745.73</v>
      </c>
      <c r="G1253" s="114" t="inlineStr">
        <is>
          <t>Personal</t>
        </is>
      </c>
      <c r="H1253" s="114" t="inlineStr">
        <is>
          <t>FEDERAL 0847</t>
        </is>
      </c>
    </row>
    <row r="1254">
      <c r="A1254" s="113" t="n">
        <v>45268</v>
      </c>
      <c r="B1254" s="114" t="inlineStr">
        <is>
          <t>UPIOUT/334268513626/8985259112@ybl/Sent
via /0000</t>
        </is>
      </c>
      <c r="C1254" s="114" t="inlineStr"/>
      <c r="D1254" s="114" t="n">
        <v>23</v>
      </c>
      <c r="E1254" s="114" t="n">
        <v>0</v>
      </c>
      <c r="F1254" s="114" t="n">
        <v>45090.73</v>
      </c>
      <c r="G1254" s="114" t="inlineStr">
        <is>
          <t>Personal</t>
        </is>
      </c>
      <c r="H1254" s="114" t="inlineStr">
        <is>
          <t>FEDERAL 0847</t>
        </is>
      </c>
    </row>
    <row r="1255">
      <c r="A1255" s="113" t="n">
        <v>45268</v>
      </c>
      <c r="B1255" s="114" t="inlineStr">
        <is>
          <t>UPIOUT/334271546117/paytmqruct2pt8f1w@payt
m//5462</t>
        </is>
      </c>
      <c r="C1255" s="114" t="inlineStr"/>
      <c r="D1255" s="114" t="n">
        <v>550</v>
      </c>
      <c r="E1255" s="114" t="n">
        <v>0</v>
      </c>
      <c r="F1255" s="114" t="n">
        <v>42094.73</v>
      </c>
      <c r="G1255" s="114" t="inlineStr">
        <is>
          <t>Personal</t>
        </is>
      </c>
      <c r="H1255" s="114" t="inlineStr">
        <is>
          <t>FEDERAL 0847</t>
        </is>
      </c>
    </row>
    <row r="1256">
      <c r="A1256" s="113" t="n">
        <v>45268</v>
      </c>
      <c r="B1256" s="114" t="inlineStr">
        <is>
          <t>UPIOUT/334271779793/rapido.rzp@icici/Payme
nt/4121</t>
        </is>
      </c>
      <c r="C1256" s="114" t="inlineStr"/>
      <c r="D1256" s="114" t="n">
        <v>136</v>
      </c>
      <c r="E1256" s="114" t="n">
        <v>0</v>
      </c>
      <c r="F1256" s="114" t="n">
        <v>41958.73</v>
      </c>
      <c r="G1256" s="114" t="inlineStr">
        <is>
          <t>Transport</t>
        </is>
      </c>
      <c r="H1256" s="114" t="inlineStr">
        <is>
          <t>FEDERAL 0847</t>
        </is>
      </c>
    </row>
    <row r="1257">
      <c r="A1257" s="113" t="n">
        <v>45269</v>
      </c>
      <c r="B1257" s="114" t="inlineStr">
        <is>
          <t>UPIOUT/334376404668/9381446903@ibl/Sent
via /0000</t>
        </is>
      </c>
      <c r="C1257" s="114" t="inlineStr"/>
      <c r="D1257" s="114" t="n">
        <v>284</v>
      </c>
      <c r="E1257" s="114" t="n">
        <v>0</v>
      </c>
      <c r="F1257" s="114" t="n">
        <v>41574.73</v>
      </c>
      <c r="G1257" s="114" t="inlineStr">
        <is>
          <t>Personal</t>
        </is>
      </c>
      <c r="H1257" s="114" t="inlineStr">
        <is>
          <t>FEDERAL 0847</t>
        </is>
      </c>
    </row>
    <row r="1258">
      <c r="A1258" s="113" t="n">
        <v>45269</v>
      </c>
      <c r="B1258" s="114" t="inlineStr">
        <is>
          <t>NFT/NEOSIEXEDDD2023120912302028385 NAVI
Mutual Fun</t>
        </is>
      </c>
      <c r="C1258" s="114" t="inlineStr"/>
      <c r="D1258" s="114" t="n">
        <v>100</v>
      </c>
      <c r="E1258" s="114" t="n">
        <v>0</v>
      </c>
      <c r="F1258" s="114" t="n">
        <v>41858.73</v>
      </c>
      <c r="G1258" s="114" t="inlineStr">
        <is>
          <t>Investments</t>
        </is>
      </c>
      <c r="H1258" s="114" t="inlineStr">
        <is>
          <t>FEDERAL 0847</t>
        </is>
      </c>
    </row>
    <row r="1259">
      <c r="A1259" s="113" t="n">
        <v>45270</v>
      </c>
      <c r="B1259" s="114" t="inlineStr">
        <is>
          <t>UPIOUT/334481895246/paytmqr2810050501018c7
c5/5411</t>
        </is>
      </c>
      <c r="C1259" s="114" t="inlineStr"/>
      <c r="D1259" s="114" t="n">
        <v>15</v>
      </c>
      <c r="E1259" s="114" t="n">
        <v>0</v>
      </c>
      <c r="F1259" s="114" t="n">
        <v>41459.73</v>
      </c>
      <c r="G1259" s="114" t="inlineStr">
        <is>
          <t>Personal</t>
        </is>
      </c>
      <c r="H1259" s="114" t="inlineStr">
        <is>
          <t>FEDERAL 0847</t>
        </is>
      </c>
    </row>
    <row r="1260">
      <c r="A1260" s="113" t="n">
        <v>45270</v>
      </c>
      <c r="B1260" s="114" t="inlineStr">
        <is>
          <t>UPIOUT/334482690102/paytmqr1e8fr6nm0n@payt
m//5812</t>
        </is>
      </c>
      <c r="C1260" s="114" t="inlineStr"/>
      <c r="D1260" s="114" t="n">
        <v>75</v>
      </c>
      <c r="E1260" s="114" t="n">
        <v>0</v>
      </c>
      <c r="F1260" s="114" t="n">
        <v>41279.61</v>
      </c>
      <c r="G1260" s="114" t="inlineStr">
        <is>
          <t>Personal</t>
        </is>
      </c>
      <c r="H1260" s="114" t="inlineStr">
        <is>
          <t>FEDERAL 0847</t>
        </is>
      </c>
    </row>
    <row r="1261">
      <c r="A1261" s="113" t="n">
        <v>45270</v>
      </c>
      <c r="B1261" s="114" t="inlineStr">
        <is>
          <t>UPIOUT/334482050808/rapido.rzp@icici/Payme
nt/4121</t>
        </is>
      </c>
      <c r="C1261" s="114" t="inlineStr"/>
      <c r="D1261" s="114" t="n">
        <v>61</v>
      </c>
      <c r="E1261" s="114" t="n">
        <v>0</v>
      </c>
      <c r="F1261" s="114" t="n">
        <v>41398.73</v>
      </c>
      <c r="G1261" s="114" t="inlineStr">
        <is>
          <t>Transport</t>
        </is>
      </c>
      <c r="H1261" s="114" t="inlineStr">
        <is>
          <t>FEDERAL 0847</t>
        </is>
      </c>
    </row>
    <row r="1262">
      <c r="A1262" s="113" t="n">
        <v>45270</v>
      </c>
      <c r="B1262" s="114" t="inlineStr">
        <is>
          <t>NFT/NEOSIEXEDDD2023121012302341654 NAVI
Mutual Fun</t>
        </is>
      </c>
      <c r="C1262" s="114" t="inlineStr"/>
      <c r="D1262" s="114" t="n">
        <v>100</v>
      </c>
      <c r="E1262" s="114" t="n">
        <v>0</v>
      </c>
      <c r="F1262" s="114" t="n">
        <v>41474.73</v>
      </c>
      <c r="G1262" s="114" t="inlineStr">
        <is>
          <t>Investments</t>
        </is>
      </c>
      <c r="H1262" s="114" t="inlineStr">
        <is>
          <t>FEDERAL 0847</t>
        </is>
      </c>
    </row>
    <row r="1263">
      <c r="A1263" s="113" t="n">
        <v>45270</v>
      </c>
      <c r="B1263" s="114" t="inlineStr">
        <is>
          <t>UPIOUT/334489935580/uberrides@hdfcbank/cha
rg/5960</t>
        </is>
      </c>
      <c r="C1263" s="114" t="inlineStr"/>
      <c r="D1263" s="114" t="n">
        <v>44.12</v>
      </c>
      <c r="E1263" s="114" t="n">
        <v>0</v>
      </c>
      <c r="F1263" s="114" t="n">
        <v>41354.61</v>
      </c>
      <c r="G1263" s="114" t="inlineStr">
        <is>
          <t>Transport</t>
        </is>
      </c>
      <c r="H1263" s="114" t="inlineStr">
        <is>
          <t>FEDERAL 0847</t>
        </is>
      </c>
    </row>
    <row r="1264">
      <c r="A1264" s="113" t="n">
        <v>45271</v>
      </c>
      <c r="B1264" s="114" t="inlineStr">
        <is>
          <t>UPIOUT/334592863968/uberrides@hdfcbank/cha
rg/5960</t>
        </is>
      </c>
      <c r="C1264" s="114" t="inlineStr"/>
      <c r="D1264" s="114" t="n">
        <v>44.37</v>
      </c>
      <c r="E1264" s="114" t="n">
        <v>0</v>
      </c>
      <c r="F1264" s="114" t="n">
        <v>41135.24</v>
      </c>
      <c r="G1264" s="114" t="inlineStr">
        <is>
          <t>Transport</t>
        </is>
      </c>
      <c r="H1264" s="114" t="inlineStr">
        <is>
          <t>FEDERAL 0847</t>
        </is>
      </c>
    </row>
    <row r="1265">
      <c r="A1265" s="113" t="n">
        <v>45271</v>
      </c>
      <c r="B1265" s="114" t="inlineStr">
        <is>
          <t>NFT/NEOSIEXEDDD2023121112302655420 NAVI
Mutual Fun</t>
        </is>
      </c>
      <c r="C1265" s="114" t="inlineStr"/>
      <c r="D1265" s="114" t="n">
        <v>100</v>
      </c>
      <c r="E1265" s="114" t="n">
        <v>0</v>
      </c>
      <c r="F1265" s="114" t="n">
        <v>41179.61</v>
      </c>
      <c r="G1265" s="114" t="inlineStr">
        <is>
          <t>Investments</t>
        </is>
      </c>
      <c r="H1265" s="114" t="inlineStr">
        <is>
          <t>FEDERAL 0847</t>
        </is>
      </c>
    </row>
    <row r="1266">
      <c r="A1266" s="113" t="n">
        <v>45271</v>
      </c>
      <c r="B1266" s="114" t="inlineStr">
        <is>
          <t>NET PI TO HSL SEC A/C 2554606-00602340029427</t>
        </is>
      </c>
      <c r="C1266" s="114" t="inlineStr">
        <is>
          <t>0000000472720682</t>
        </is>
      </c>
      <c r="D1266" s="114" t="n">
        <v>366.69</v>
      </c>
      <c r="E1266" s="114" t="n">
        <v>0</v>
      </c>
      <c r="F1266" s="114" t="n">
        <v>37740.37</v>
      </c>
      <c r="G1266" s="114" t="inlineStr">
        <is>
          <t>HDFC Securities</t>
        </is>
      </c>
      <c r="H1266" s="114" t="inlineStr">
        <is>
          <t>HDFC 5413</t>
        </is>
      </c>
    </row>
    <row r="1267">
      <c r="A1267" s="113" t="n">
        <v>45271</v>
      </c>
      <c r="B1267" s="114" t="inlineStr">
        <is>
          <t>UPI-AJAY KUMAR GUPTA-AJAYGUPTANEL@AXL-HDFC0000167-371131486874-TRANSFER FROM AAYU</t>
        </is>
      </c>
      <c r="C1267" s="114" t="inlineStr">
        <is>
          <t>0000371131486874</t>
        </is>
      </c>
      <c r="D1267" s="114" t="n">
        <v>10000</v>
      </c>
      <c r="E1267" s="114" t="n">
        <v>0</v>
      </c>
      <c r="F1267" s="114" t="n">
        <v>27740.37</v>
      </c>
      <c r="G1267" s="114" t="inlineStr">
        <is>
          <t>Ajay Gupta</t>
        </is>
      </c>
      <c r="H1267" s="114" t="inlineStr">
        <is>
          <t>HDFC 5413</t>
        </is>
      </c>
    </row>
    <row r="1268">
      <c r="A1268" s="113" t="n">
        <v>45272</v>
      </c>
      <c r="B1268" s="114" t="inlineStr">
        <is>
          <t>NET PO FROM HSL A/C 2554606-50200085415108</t>
        </is>
      </c>
      <c r="C1268" s="114" t="inlineStr">
        <is>
          <t>0000000473063224</t>
        </is>
      </c>
      <c r="D1268" s="114" t="n">
        <v>0</v>
      </c>
      <c r="E1268" s="114" t="n">
        <v>1448.7</v>
      </c>
      <c r="F1268" s="114" t="n">
        <v>29189.07</v>
      </c>
      <c r="G1268" s="114" t="inlineStr">
        <is>
          <t>HDFC Securities</t>
        </is>
      </c>
      <c r="H1268" s="114" t="inlineStr">
        <is>
          <t>HDFC 5413</t>
        </is>
      </c>
    </row>
    <row r="1269">
      <c r="A1269" s="113" t="n">
        <v>45272</v>
      </c>
      <c r="B1269" s="114" t="inlineStr">
        <is>
          <t>NET PO FROM HSL A/C 2554606-50200085415108</t>
        </is>
      </c>
      <c r="C1269" s="114" t="inlineStr">
        <is>
          <t>0000000473087245</t>
        </is>
      </c>
      <c r="D1269" s="114" t="n">
        <v>0</v>
      </c>
      <c r="E1269" s="114" t="n">
        <v>24070.43</v>
      </c>
      <c r="F1269" s="114" t="n">
        <v>53259.5</v>
      </c>
      <c r="G1269" s="114" t="inlineStr">
        <is>
          <t>HDFC Securities</t>
        </is>
      </c>
      <c r="H1269" s="114" t="inlineStr">
        <is>
          <t>HDFC 5413</t>
        </is>
      </c>
    </row>
    <row r="1270">
      <c r="A1270" s="113" t="n">
        <v>45272</v>
      </c>
      <c r="B1270" s="114" t="inlineStr">
        <is>
          <t>UPI-AJAY KUMAR GUPTA-AJAYGUPTANEL@YBL-HDFC0000167-371248964667-RETURNED TO AAYUSH</t>
        </is>
      </c>
      <c r="C1270" s="114" t="inlineStr">
        <is>
          <t>0000371248964667</t>
        </is>
      </c>
      <c r="D1270" s="114" t="n">
        <v>0</v>
      </c>
      <c r="E1270" s="114" t="n">
        <v>10000</v>
      </c>
      <c r="F1270" s="114" t="n">
        <v>63259.5</v>
      </c>
      <c r="G1270" s="114" t="inlineStr">
        <is>
          <t>Ajay Gupta</t>
        </is>
      </c>
      <c r="H1270" s="114" t="inlineStr">
        <is>
          <t>HDFC 5413</t>
        </is>
      </c>
    </row>
    <row r="1271">
      <c r="A1271" s="113" t="n">
        <v>45272</v>
      </c>
      <c r="B1271" s="114" t="inlineStr">
        <is>
          <t>NET PI TO HSL SEC A/C 2554606-00602340029427</t>
        </is>
      </c>
      <c r="C1271" s="114" t="inlineStr">
        <is>
          <t>0000000473387884</t>
        </is>
      </c>
      <c r="D1271" s="114" t="n">
        <v>1555.7</v>
      </c>
      <c r="E1271" s="114" t="n">
        <v>0</v>
      </c>
      <c r="F1271" s="114" t="n">
        <v>61581.57</v>
      </c>
      <c r="G1271" s="114" t="inlineStr">
        <is>
          <t>HDFC Securities</t>
        </is>
      </c>
      <c r="H1271" s="114" t="inlineStr">
        <is>
          <t>HDFC 5413</t>
        </is>
      </c>
    </row>
    <row r="1272">
      <c r="A1272" s="113" t="n">
        <v>45272</v>
      </c>
      <c r="B1272" s="114" t="inlineStr">
        <is>
          <t>NFT/NEOSIEXEDDD2023121212302466761 NAVI
Mutual Fun</t>
        </is>
      </c>
      <c r="C1272" s="114" t="inlineStr"/>
      <c r="D1272" s="114" t="n">
        <v>100</v>
      </c>
      <c r="E1272" s="114" t="n">
        <v>0</v>
      </c>
      <c r="F1272" s="114" t="n">
        <v>41035.24</v>
      </c>
      <c r="G1272" s="114" t="inlineStr">
        <is>
          <t>Investments</t>
        </is>
      </c>
      <c r="H1272" s="114" t="inlineStr">
        <is>
          <t>FEDERAL 0847</t>
        </is>
      </c>
    </row>
    <row r="1273">
      <c r="A1273" s="113" t="n">
        <v>45272</v>
      </c>
      <c r="B1273" s="114" t="inlineStr">
        <is>
          <t>UPIOUT/334693639394/RIOTAAGROOFFLINE@ybl/P
ay/5046</t>
        </is>
      </c>
      <c r="C1273" s="114" t="inlineStr"/>
      <c r="D1273" s="114" t="n">
        <v>30</v>
      </c>
      <c r="E1273" s="114" t="n">
        <v>0</v>
      </c>
      <c r="F1273" s="114" t="n">
        <v>41005.24</v>
      </c>
      <c r="G1273" s="114" t="inlineStr">
        <is>
          <t>Personal</t>
        </is>
      </c>
      <c r="H1273" s="114" t="inlineStr">
        <is>
          <t>FEDERAL 0847</t>
        </is>
      </c>
    </row>
    <row r="1274">
      <c r="A1274" s="113" t="n">
        <v>45272</v>
      </c>
      <c r="B1274" s="114" t="inlineStr">
        <is>
          <t>NET PI TO HSL SEC A/C 2554606-00602340029427</t>
        </is>
      </c>
      <c r="C1274" s="114" t="inlineStr">
        <is>
          <t>0000000473206037</t>
        </is>
      </c>
      <c r="D1274" s="114" t="n">
        <v>122.23</v>
      </c>
      <c r="E1274" s="114" t="n">
        <v>0</v>
      </c>
      <c r="F1274" s="114" t="n">
        <v>63137.27</v>
      </c>
      <c r="G1274" s="114" t="inlineStr">
        <is>
          <t>HDFC Securities</t>
        </is>
      </c>
      <c r="H1274" s="114" t="inlineStr">
        <is>
          <t>HDFC 5413</t>
        </is>
      </c>
    </row>
    <row r="1275">
      <c r="A1275" s="113" t="n">
        <v>45273</v>
      </c>
      <c r="B1275" s="114" t="inlineStr">
        <is>
          <t>NFT/NEOSIEXEDDD2023121312302308225 NAVI
Mutual Fun</t>
        </is>
      </c>
      <c r="C1275" s="114" t="inlineStr"/>
      <c r="D1275" s="114" t="n">
        <v>100</v>
      </c>
      <c r="E1275" s="114" t="n">
        <v>0</v>
      </c>
      <c r="F1275" s="114" t="n">
        <v>40905.24</v>
      </c>
      <c r="G1275" s="114" t="inlineStr">
        <is>
          <t>Investments</t>
        </is>
      </c>
      <c r="H1275" s="114" t="inlineStr">
        <is>
          <t>FEDERAL 0847</t>
        </is>
      </c>
    </row>
    <row r="1276">
      <c r="A1276" s="113" t="n">
        <v>45273</v>
      </c>
      <c r="B1276" s="114" t="inlineStr">
        <is>
          <t>NET PI TO HSL SEC A/C 2554606-00602340029427</t>
        </is>
      </c>
      <c r="C1276" s="114" t="inlineStr">
        <is>
          <t>0000000473642390</t>
        </is>
      </c>
      <c r="D1276" s="114" t="n">
        <v>122.19</v>
      </c>
      <c r="E1276" s="114" t="n">
        <v>0</v>
      </c>
      <c r="F1276" s="114" t="n">
        <v>90509.38</v>
      </c>
      <c r="G1276" s="114" t="inlineStr">
        <is>
          <t>HDFC Securities</t>
        </is>
      </c>
      <c r="H1276" s="114" t="inlineStr">
        <is>
          <t>HDFC 5413</t>
        </is>
      </c>
    </row>
    <row r="1277">
      <c r="A1277" s="113" t="n">
        <v>45273</v>
      </c>
      <c r="B1277" s="114" t="inlineStr">
        <is>
          <t>NET PO FROM HSL A/C 2554606-50200085415108</t>
        </is>
      </c>
      <c r="C1277" s="114" t="inlineStr">
        <is>
          <t>0000000473533593</t>
        </is>
      </c>
      <c r="D1277" s="114" t="n">
        <v>0</v>
      </c>
      <c r="E1277" s="114" t="n">
        <v>29050</v>
      </c>
      <c r="F1277" s="114" t="n">
        <v>90631.57000000001</v>
      </c>
      <c r="G1277" s="114" t="inlineStr">
        <is>
          <t>HDFC Securities</t>
        </is>
      </c>
      <c r="H1277" s="114" t="inlineStr">
        <is>
          <t>HDFC 5413</t>
        </is>
      </c>
    </row>
    <row r="1278">
      <c r="A1278" s="113" t="n">
        <v>45273</v>
      </c>
      <c r="B1278" s="114" t="inlineStr">
        <is>
          <t>NET PI TO HSL SEC A/C 2554606-00602340029427</t>
        </is>
      </c>
      <c r="C1278" s="114" t="inlineStr">
        <is>
          <t>0000000473809710</t>
        </is>
      </c>
      <c r="D1278" s="114" t="n">
        <v>44091.23</v>
      </c>
      <c r="E1278" s="114" t="n">
        <v>0</v>
      </c>
      <c r="F1278" s="114" t="n">
        <v>46418.15</v>
      </c>
      <c r="G1278" s="114" t="inlineStr">
        <is>
          <t>HDFC Securities</t>
        </is>
      </c>
      <c r="H1278" s="114" t="inlineStr">
        <is>
          <t>HDFC 5413</t>
        </is>
      </c>
    </row>
    <row r="1279">
      <c r="A1279" s="113" t="n">
        <v>45274</v>
      </c>
      <c r="B1279" s="114" t="inlineStr">
        <is>
          <t>NFT/NEOSIEXEDDD2023121412301073433 NAVI
Mutual Fun</t>
        </is>
      </c>
      <c r="C1279" s="114" t="inlineStr"/>
      <c r="D1279" s="114" t="n">
        <v>100</v>
      </c>
      <c r="E1279" s="114" t="n">
        <v>0</v>
      </c>
      <c r="F1279" s="114" t="n">
        <v>40805.24</v>
      </c>
      <c r="G1279" s="114" t="inlineStr">
        <is>
          <t>Investments</t>
        </is>
      </c>
      <c r="H1279" s="114" t="inlineStr">
        <is>
          <t>FEDERAL 0847</t>
        </is>
      </c>
    </row>
    <row r="1280">
      <c r="A1280" s="113" t="n">
        <v>45274</v>
      </c>
      <c r="B1280" s="114" t="inlineStr">
        <is>
          <t>UPIOUT/334816473192/uber@axisbank/charge/4
121</t>
        </is>
      </c>
      <c r="C1280" s="114" t="inlineStr"/>
      <c r="D1280" s="114" t="n">
        <v>166.66</v>
      </c>
      <c r="E1280" s="114" t="n">
        <v>0</v>
      </c>
      <c r="F1280" s="114" t="n">
        <v>40638.58</v>
      </c>
      <c r="G1280" s="114" t="inlineStr">
        <is>
          <t>Transport</t>
        </is>
      </c>
      <c r="H1280" s="114" t="inlineStr">
        <is>
          <t>FEDERAL 0847</t>
        </is>
      </c>
    </row>
    <row r="1281">
      <c r="A1281" s="113" t="n">
        <v>45274</v>
      </c>
      <c r="B1281" s="114" t="inlineStr">
        <is>
          <t>01671000085930-TPT-TRANSFER FROM AJAY HDFC-AJAY KUMAR GUPTA</t>
        </is>
      </c>
      <c r="C1281" s="114" t="inlineStr">
        <is>
          <t>0000000350320214</t>
        </is>
      </c>
      <c r="D1281" s="114" t="n">
        <v>0</v>
      </c>
      <c r="E1281" s="114" t="n">
        <v>100000</v>
      </c>
      <c r="F1281" s="114" t="n">
        <v>146418.15</v>
      </c>
      <c r="G1281" s="114" t="inlineStr">
        <is>
          <t>Ajay Gupta</t>
        </is>
      </c>
      <c r="H1281" s="114" t="inlineStr">
        <is>
          <t>HDFC 5413</t>
        </is>
      </c>
    </row>
    <row r="1282">
      <c r="A1282" s="113" t="n">
        <v>45274</v>
      </c>
      <c r="B1282" s="114" t="inlineStr">
        <is>
          <t>01671000085930-TPT-FROM HDFC AKG-AJAY KUMAR GUPTA</t>
        </is>
      </c>
      <c r="C1282" s="114" t="inlineStr">
        <is>
          <t>0000000353788029</t>
        </is>
      </c>
      <c r="D1282" s="114" t="n">
        <v>0</v>
      </c>
      <c r="E1282" s="114" t="n">
        <v>30000</v>
      </c>
      <c r="F1282" s="114" t="n">
        <v>176311.66</v>
      </c>
      <c r="G1282" s="114" t="inlineStr">
        <is>
          <t>Ajay Gupta</t>
        </is>
      </c>
      <c r="H1282" s="114" t="inlineStr">
        <is>
          <t>HDFC 5413</t>
        </is>
      </c>
    </row>
    <row r="1283">
      <c r="A1283" s="113" t="n">
        <v>45274</v>
      </c>
      <c r="B1283" s="114" t="inlineStr">
        <is>
          <t>NET PI TO HSL SEC A/C 2554606-00602340029427</t>
        </is>
      </c>
      <c r="C1283" s="114" t="inlineStr">
        <is>
          <t>0000000474064670</t>
        </is>
      </c>
      <c r="D1283" s="114" t="n">
        <v>106.49</v>
      </c>
      <c r="E1283" s="114" t="n">
        <v>0</v>
      </c>
      <c r="F1283" s="114" t="n">
        <v>146311.66</v>
      </c>
      <c r="G1283" s="114" t="inlineStr">
        <is>
          <t>HDFC Securities</t>
        </is>
      </c>
      <c r="H1283" s="114" t="inlineStr">
        <is>
          <t>HDFC 5413</t>
        </is>
      </c>
    </row>
    <row r="1284">
      <c r="A1284" s="113" t="n">
        <v>45275</v>
      </c>
      <c r="B1284" s="114" t="inlineStr">
        <is>
          <t>UPIOUT/334930178753/olacabs.rzp@axisbank/P
ay/4121</t>
        </is>
      </c>
      <c r="C1284" s="114" t="inlineStr"/>
      <c r="D1284" s="114" t="n">
        <v>100</v>
      </c>
      <c r="E1284" s="114" t="n">
        <v>0</v>
      </c>
      <c r="F1284" s="114" t="n">
        <v>40338.58</v>
      </c>
      <c r="G1284" s="114" t="inlineStr">
        <is>
          <t>Transport</t>
        </is>
      </c>
      <c r="H1284" s="114" t="inlineStr">
        <is>
          <t>FEDERAL 0847</t>
        </is>
      </c>
    </row>
    <row r="1285">
      <c r="A1285" s="113" t="n">
        <v>45275</v>
      </c>
      <c r="B1285" s="114" t="inlineStr">
        <is>
          <t>NET PI TO HSL SEC A/C 2554606-00602340029427</t>
        </is>
      </c>
      <c r="C1285" s="114" t="inlineStr">
        <is>
          <t>0000000474504051</t>
        </is>
      </c>
      <c r="D1285" s="114" t="n">
        <v>65.40000000000001</v>
      </c>
      <c r="E1285" s="114" t="n">
        <v>0</v>
      </c>
      <c r="F1285" s="114" t="n">
        <v>77493.78999999999</v>
      </c>
      <c r="G1285" s="114" t="inlineStr">
        <is>
          <t>HDFC Securities</t>
        </is>
      </c>
      <c r="H1285" s="114" t="inlineStr">
        <is>
          <t>HDFC 5413</t>
        </is>
      </c>
    </row>
    <row r="1286">
      <c r="A1286" s="113" t="n">
        <v>45275</v>
      </c>
      <c r="B1286" s="114" t="inlineStr">
        <is>
          <t>NET PO FROM HSL A/C 2554606-50200085415108</t>
        </is>
      </c>
      <c r="C1286" s="114" t="inlineStr">
        <is>
          <t>0000000474362870</t>
        </is>
      </c>
      <c r="D1286" s="114" t="n">
        <v>0</v>
      </c>
      <c r="E1286" s="114" t="n">
        <v>16614.38</v>
      </c>
      <c r="F1286" s="114" t="n">
        <v>77559.19</v>
      </c>
      <c r="G1286" s="114" t="inlineStr">
        <is>
          <t>HDFC Securities</t>
        </is>
      </c>
      <c r="H1286" s="114" t="inlineStr">
        <is>
          <t>HDFC 5413</t>
        </is>
      </c>
    </row>
    <row r="1287">
      <c r="A1287" s="113" t="n">
        <v>45275</v>
      </c>
      <c r="B1287" s="114" t="inlineStr">
        <is>
          <t>NET PI TO HSL SEC A/C 2554606-00602340029427</t>
        </is>
      </c>
      <c r="C1287" s="114" t="inlineStr">
        <is>
          <t>0000000474220571</t>
        </is>
      </c>
      <c r="D1287" s="114" t="n">
        <v>115366.85</v>
      </c>
      <c r="E1287" s="114" t="n">
        <v>0</v>
      </c>
      <c r="F1287" s="114" t="n">
        <v>60944.81</v>
      </c>
      <c r="G1287" s="114" t="inlineStr">
        <is>
          <t>HDFC Securities</t>
        </is>
      </c>
      <c r="H1287" s="114" t="inlineStr">
        <is>
          <t>HDFC 5413</t>
        </is>
      </c>
    </row>
    <row r="1288">
      <c r="A1288" s="113" t="n">
        <v>45275</v>
      </c>
      <c r="B1288" s="114" t="inlineStr">
        <is>
          <t>NFT/NEOSIEXEDDD2023121512301975541 NAVI
Mutual Fun</t>
        </is>
      </c>
      <c r="C1288" s="114" t="inlineStr"/>
      <c r="D1288" s="114" t="n">
        <v>100</v>
      </c>
      <c r="E1288" s="114" t="n">
        <v>0</v>
      </c>
      <c r="F1288" s="114" t="n">
        <v>40538.58</v>
      </c>
      <c r="G1288" s="114" t="inlineStr">
        <is>
          <t>Investments</t>
        </is>
      </c>
      <c r="H1288" s="114" t="inlineStr">
        <is>
          <t>FEDERAL 0847</t>
        </is>
      </c>
    </row>
    <row r="1289">
      <c r="A1289" s="113" t="n">
        <v>45275</v>
      </c>
      <c r="B1289" s="114" t="inlineStr">
        <is>
          <t>UPIOUT/334925078097/olacabs.rzp@axisbank/P
ay/4121</t>
        </is>
      </c>
      <c r="C1289" s="114" t="inlineStr"/>
      <c r="D1289" s="114" t="n">
        <v>100</v>
      </c>
      <c r="E1289" s="114" t="n">
        <v>0</v>
      </c>
      <c r="F1289" s="114" t="n">
        <v>40438.58</v>
      </c>
      <c r="G1289" s="114" t="inlineStr">
        <is>
          <t>Transport</t>
        </is>
      </c>
      <c r="H1289" s="114" t="inlineStr">
        <is>
          <t>FEDERAL 0847</t>
        </is>
      </c>
    </row>
    <row r="1290">
      <c r="A1290" s="113" t="n">
        <v>45276</v>
      </c>
      <c r="B1290" s="114" t="inlineStr">
        <is>
          <t>UPIOUT/335181762956/euronetgpay.playrc@ici
ci/6540</t>
        </is>
      </c>
      <c r="C1290" s="114" t="inlineStr"/>
      <c r="D1290" s="114" t="n">
        <v>199</v>
      </c>
      <c r="E1290" s="114" t="n">
        <v>0</v>
      </c>
      <c r="F1290" s="114" t="n">
        <v>31415.98</v>
      </c>
      <c r="G1290" s="114" t="inlineStr">
        <is>
          <t>Personal</t>
        </is>
      </c>
      <c r="H1290" s="114" t="inlineStr">
        <is>
          <t>FEDERAL 0847</t>
        </is>
      </c>
    </row>
    <row r="1291">
      <c r="A1291" s="113" t="n">
        <v>45276</v>
      </c>
      <c r="B1291" s="114" t="inlineStr">
        <is>
          <t>UPIOUT/335038146592/paytm-651536@paytm/Sen
t /4011</t>
        </is>
      </c>
      <c r="C1291" s="114" t="inlineStr"/>
      <c r="D1291" s="114" t="n">
        <v>983.6</v>
      </c>
      <c r="E1291" s="114" t="n">
        <v>0</v>
      </c>
      <c r="F1291" s="114" t="n">
        <v>31684.98</v>
      </c>
      <c r="G1291" s="114" t="inlineStr">
        <is>
          <t>Personal</t>
        </is>
      </c>
      <c r="H1291" s="114" t="inlineStr">
        <is>
          <t>FEDERAL 0847</t>
        </is>
      </c>
    </row>
    <row r="1292">
      <c r="A1292" s="113" t="n">
        <v>45276</v>
      </c>
      <c r="B1292" s="114" t="inlineStr">
        <is>
          <t>UPIOUT/335037356674/paytmqr2810050501011im
q4/5411</t>
        </is>
      </c>
      <c r="C1292" s="114" t="inlineStr"/>
      <c r="D1292" s="114" t="n">
        <v>70</v>
      </c>
      <c r="E1292" s="114" t="n">
        <v>0</v>
      </c>
      <c r="F1292" s="114" t="n">
        <v>32668.58</v>
      </c>
      <c r="G1292" s="114" t="inlineStr">
        <is>
          <t>Personal</t>
        </is>
      </c>
      <c r="H1292" s="114" t="inlineStr">
        <is>
          <t>FEDERAL 0847</t>
        </is>
      </c>
    </row>
    <row r="1293">
      <c r="A1293" s="113" t="n">
        <v>45276</v>
      </c>
      <c r="B1293" s="114" t="inlineStr">
        <is>
          <t>UPIOUT/335038538043/paytmqr2810050501011im
q4/5411</t>
        </is>
      </c>
      <c r="C1293" s="114" t="inlineStr"/>
      <c r="D1293" s="114" t="n">
        <v>70</v>
      </c>
      <c r="E1293" s="114" t="n">
        <v>0</v>
      </c>
      <c r="F1293" s="114" t="n">
        <v>31614.98</v>
      </c>
      <c r="G1293" s="114" t="inlineStr">
        <is>
          <t>Personal</t>
        </is>
      </c>
      <c r="H1293" s="114" t="inlineStr">
        <is>
          <t>FEDERAL 0847</t>
        </is>
      </c>
    </row>
    <row r="1294">
      <c r="A1294" s="113" t="n">
        <v>45276</v>
      </c>
      <c r="B1294" s="114" t="inlineStr">
        <is>
          <t>NFT/NEOSIEXEDDD2023121612302581390 NAVI
Mutual Fun</t>
        </is>
      </c>
      <c r="C1294" s="114" t="inlineStr"/>
      <c r="D1294" s="114" t="n">
        <v>100</v>
      </c>
      <c r="E1294" s="114" t="n">
        <v>0</v>
      </c>
      <c r="F1294" s="114" t="n">
        <v>40238.58</v>
      </c>
      <c r="G1294" s="114" t="inlineStr">
        <is>
          <t>Investments</t>
        </is>
      </c>
      <c r="H1294" s="114" t="inlineStr">
        <is>
          <t>FEDERAL 0847</t>
        </is>
      </c>
    </row>
    <row r="1295">
      <c r="A1295" s="113" t="n">
        <v>45276</v>
      </c>
      <c r="B1295" s="114" t="inlineStr">
        <is>
          <t>UPIOUT/335037277710/narendrareddy923@ybl/S
en/0000</t>
        </is>
      </c>
      <c r="C1295" s="114" t="inlineStr"/>
      <c r="D1295" s="114" t="n">
        <v>7500</v>
      </c>
      <c r="E1295" s="114" t="n">
        <v>0</v>
      </c>
      <c r="F1295" s="114" t="n">
        <v>32738.58</v>
      </c>
      <c r="G1295" s="114" t="inlineStr">
        <is>
          <t>Personal</t>
        </is>
      </c>
      <c r="H1295" s="114" t="inlineStr">
        <is>
          <t>FEDERAL 0847</t>
        </is>
      </c>
    </row>
    <row r="1296">
      <c r="A1296" s="113" t="n">
        <v>45277</v>
      </c>
      <c r="B1296" s="114" t="inlineStr">
        <is>
          <t>01671000060094-TPT-FROM AAYUSH-SUNITA GUPTA</t>
        </is>
      </c>
      <c r="C1296" s="114" t="inlineStr">
        <is>
          <t>0000000762824930</t>
        </is>
      </c>
      <c r="D1296" s="114" t="n">
        <v>10000</v>
      </c>
      <c r="E1296" s="114" t="n">
        <v>0</v>
      </c>
      <c r="F1296" s="114" t="n">
        <v>67493.78999999999</v>
      </c>
      <c r="G1296" s="114" t="inlineStr">
        <is>
          <t>Sunita Gupta</t>
        </is>
      </c>
      <c r="H1296" s="114" t="inlineStr">
        <is>
          <t>HDFC 5413</t>
        </is>
      </c>
    </row>
    <row r="1297">
      <c r="A1297" s="113" t="n">
        <v>45277</v>
      </c>
      <c r="B1297" s="114" t="inlineStr">
        <is>
          <t>NFT/NEOSIEXEDDD2023121712310738332 NAVI
Mutual Fun</t>
        </is>
      </c>
      <c r="C1297" s="114" t="inlineStr"/>
      <c r="D1297" s="114" t="n">
        <v>100</v>
      </c>
      <c r="E1297" s="114" t="n">
        <v>0</v>
      </c>
      <c r="F1297" s="114" t="n">
        <v>31315.98</v>
      </c>
      <c r="G1297" s="114" t="inlineStr">
        <is>
          <t>Investments</t>
        </is>
      </c>
      <c r="H1297" s="114" t="inlineStr">
        <is>
          <t>FEDERAL 0847</t>
        </is>
      </c>
    </row>
    <row r="1298">
      <c r="A1298" s="113" t="n">
        <v>45277</v>
      </c>
      <c r="B1298" s="114" t="inlineStr">
        <is>
          <t>UPIOUT/335140291831/Q780689862@ybl/Sent
via /5814</t>
        </is>
      </c>
      <c r="C1298" s="114" t="inlineStr"/>
      <c r="D1298" s="114" t="n">
        <v>30</v>
      </c>
      <c r="E1298" s="114" t="n">
        <v>0</v>
      </c>
      <c r="F1298" s="114" t="n">
        <v>31285.98</v>
      </c>
      <c r="G1298" s="114" t="inlineStr">
        <is>
          <t>Personal</t>
        </is>
      </c>
      <c r="H1298" s="114" t="inlineStr">
        <is>
          <t>FEDERAL 0847</t>
        </is>
      </c>
    </row>
    <row r="1299">
      <c r="A1299" s="113" t="n">
        <v>45277</v>
      </c>
      <c r="B1299" s="114" t="inlineStr">
        <is>
          <t>UPIOUT/335140403964/paytm-66819319@paytm/S
en/5411</t>
        </is>
      </c>
      <c r="C1299" s="114" t="inlineStr"/>
      <c r="D1299" s="114" t="n">
        <v>164</v>
      </c>
      <c r="E1299" s="114" t="n">
        <v>0</v>
      </c>
      <c r="F1299" s="114" t="n">
        <v>31121.98</v>
      </c>
      <c r="G1299" s="114" t="inlineStr">
        <is>
          <t>Personal</t>
        </is>
      </c>
      <c r="H1299" s="114" t="inlineStr">
        <is>
          <t>FEDERAL 0847</t>
        </is>
      </c>
    </row>
    <row r="1300">
      <c r="A1300" s="113" t="n">
        <v>45277</v>
      </c>
      <c r="B1300" s="114" t="inlineStr">
        <is>
          <t>UPIOUT/335140869306/paytmqr281005050101121
ip/7230</t>
        </is>
      </c>
      <c r="C1300" s="114" t="inlineStr"/>
      <c r="D1300" s="114" t="n">
        <v>250</v>
      </c>
      <c r="E1300" s="114" t="n">
        <v>0</v>
      </c>
      <c r="F1300" s="114" t="n">
        <v>30871.98</v>
      </c>
      <c r="G1300" s="114" t="inlineStr">
        <is>
          <t>Personal</t>
        </is>
      </c>
      <c r="H1300" s="114" t="inlineStr">
        <is>
          <t>FEDERAL 0847</t>
        </is>
      </c>
    </row>
    <row r="1301">
      <c r="A1301" s="113" t="n">
        <v>45277</v>
      </c>
      <c r="B1301" s="114" t="inlineStr">
        <is>
          <t>UPIOUT/335141950276/paytmqr1l47y8otva@payt
m//5411</t>
        </is>
      </c>
      <c r="C1301" s="114" t="inlineStr"/>
      <c r="D1301" s="114" t="n">
        <v>75</v>
      </c>
      <c r="E1301" s="114" t="n">
        <v>0</v>
      </c>
      <c r="F1301" s="114" t="n">
        <v>30796.98</v>
      </c>
      <c r="G1301" s="114" t="inlineStr">
        <is>
          <t>Personal</t>
        </is>
      </c>
      <c r="H1301" s="114" t="inlineStr">
        <is>
          <t>FEDERAL 0847</t>
        </is>
      </c>
    </row>
    <row r="1302">
      <c r="A1302" s="113" t="n">
        <v>45277</v>
      </c>
      <c r="B1302" s="114" t="inlineStr">
        <is>
          <t>UPIOUT/335142878505/paytmqr1l47y8otva@payt
m//5411</t>
        </is>
      </c>
      <c r="C1302" s="114" t="inlineStr"/>
      <c r="D1302" s="114" t="n">
        <v>20</v>
      </c>
      <c r="E1302" s="114" t="n">
        <v>0</v>
      </c>
      <c r="F1302" s="114" t="n">
        <v>30776.98</v>
      </c>
      <c r="G1302" s="114" t="inlineStr">
        <is>
          <t>Personal</t>
        </is>
      </c>
      <c r="H1302" s="114" t="inlineStr">
        <is>
          <t>FEDERAL 0847</t>
        </is>
      </c>
    </row>
    <row r="1303">
      <c r="A1303" s="113" t="n">
        <v>45277</v>
      </c>
      <c r="B1303" s="114" t="inlineStr">
        <is>
          <t>UPIOUT/335143471798/paytmqr281005050101ac5
gq/5812</t>
        </is>
      </c>
      <c r="C1303" s="114" t="inlineStr"/>
      <c r="D1303" s="114" t="n">
        <v>65</v>
      </c>
      <c r="E1303" s="114" t="n">
        <v>0</v>
      </c>
      <c r="F1303" s="114" t="n">
        <v>30711.98</v>
      </c>
      <c r="G1303" s="114" t="inlineStr">
        <is>
          <t>Personal</t>
        </is>
      </c>
      <c r="H1303" s="114" t="inlineStr">
        <is>
          <t>FEDERAL 0847</t>
        </is>
      </c>
    </row>
    <row r="1304">
      <c r="A1304" s="113" t="n">
        <v>45278</v>
      </c>
      <c r="B1304" s="114" t="inlineStr">
        <is>
          <t>NET PO FROM HSL A/C 2554606-50200085415108</t>
        </is>
      </c>
      <c r="C1304" s="114" t="inlineStr">
        <is>
          <t>0000000474779537</t>
        </is>
      </c>
      <c r="D1304" s="114" t="n">
        <v>0</v>
      </c>
      <c r="E1304" s="114" t="n">
        <v>547.2</v>
      </c>
      <c r="F1304" s="114" t="n">
        <v>68040.99000000001</v>
      </c>
      <c r="G1304" s="114" t="inlineStr">
        <is>
          <t>HDFC Securities</t>
        </is>
      </c>
      <c r="H1304" s="114" t="inlineStr">
        <is>
          <t>HDFC 5413</t>
        </is>
      </c>
    </row>
    <row r="1305">
      <c r="A1305" s="113" t="n">
        <v>45278</v>
      </c>
      <c r="B1305" s="114" t="inlineStr">
        <is>
          <t>UPIOUT/335253394296/paytmqr281005050101qwu
ha/5411</t>
        </is>
      </c>
      <c r="C1305" s="114" t="inlineStr"/>
      <c r="D1305" s="114" t="n">
        <v>85</v>
      </c>
      <c r="E1305" s="114" t="n">
        <v>0</v>
      </c>
      <c r="F1305" s="114" t="n">
        <v>30458.98</v>
      </c>
      <c r="G1305" s="114" t="inlineStr">
        <is>
          <t>Personal</t>
        </is>
      </c>
      <c r="H1305" s="114" t="inlineStr">
        <is>
          <t>FEDERAL 0847</t>
        </is>
      </c>
    </row>
    <row r="1306">
      <c r="A1306" s="113" t="n">
        <v>45278</v>
      </c>
      <c r="B1306" s="114" t="inlineStr">
        <is>
          <t>UPIOUT/335253248157/rapido.rzp@icici/Payme
nt/4121</t>
        </is>
      </c>
      <c r="C1306" s="114" t="inlineStr"/>
      <c r="D1306" s="114" t="n">
        <v>29</v>
      </c>
      <c r="E1306" s="114" t="n">
        <v>0</v>
      </c>
      <c r="F1306" s="114" t="n">
        <v>30543.98</v>
      </c>
      <c r="G1306" s="114" t="inlineStr">
        <is>
          <t>Transport</t>
        </is>
      </c>
      <c r="H1306" s="114" t="inlineStr">
        <is>
          <t>FEDERAL 0847</t>
        </is>
      </c>
    </row>
    <row r="1307">
      <c r="A1307" s="113" t="n">
        <v>45278</v>
      </c>
      <c r="B1307" s="114" t="inlineStr">
        <is>
          <t>UPIOUT/335253819076/gpay-11239378766@okbiz
ax/5411</t>
        </is>
      </c>
      <c r="C1307" s="114" t="inlineStr"/>
      <c r="D1307" s="114" t="n">
        <v>100</v>
      </c>
      <c r="E1307" s="114" t="n">
        <v>0</v>
      </c>
      <c r="F1307" s="114" t="n">
        <v>30358.98</v>
      </c>
      <c r="G1307" s="114" t="inlineStr">
        <is>
          <t>Personal</t>
        </is>
      </c>
      <c r="H1307" s="114" t="inlineStr">
        <is>
          <t>FEDERAL 0847</t>
        </is>
      </c>
    </row>
    <row r="1308">
      <c r="A1308" s="113" t="n">
        <v>45278</v>
      </c>
      <c r="B1308" s="114" t="inlineStr">
        <is>
          <t>UPIOUT/335246763117/paytmqr1dm5qwb31d@payt
m//5411</t>
        </is>
      </c>
      <c r="C1308" s="114" t="inlineStr"/>
      <c r="D1308" s="114" t="n">
        <v>15</v>
      </c>
      <c r="E1308" s="114" t="n">
        <v>0</v>
      </c>
      <c r="F1308" s="114" t="n">
        <v>30596.98</v>
      </c>
      <c r="G1308" s="114" t="inlineStr">
        <is>
          <t>Personal</t>
        </is>
      </c>
      <c r="H1308" s="114" t="inlineStr">
        <is>
          <t>FEDERAL 0847</t>
        </is>
      </c>
    </row>
    <row r="1309">
      <c r="A1309" s="113" t="n">
        <v>45278</v>
      </c>
      <c r="B1309" s="114" t="inlineStr">
        <is>
          <t>NFT/NEOSIEXEDDD2023121812311862422 NAVI
Mutual Fun</t>
        </is>
      </c>
      <c r="C1309" s="114" t="inlineStr"/>
      <c r="D1309" s="114" t="n">
        <v>100</v>
      </c>
      <c r="E1309" s="114" t="n">
        <v>0</v>
      </c>
      <c r="F1309" s="114" t="n">
        <v>30611.98</v>
      </c>
      <c r="G1309" s="114" t="inlineStr">
        <is>
          <t>Investments</t>
        </is>
      </c>
      <c r="H1309" s="114" t="inlineStr">
        <is>
          <t>FEDERAL 0847</t>
        </is>
      </c>
    </row>
    <row r="1310">
      <c r="A1310" s="113" t="n">
        <v>45278</v>
      </c>
      <c r="B1310" s="114" t="inlineStr">
        <is>
          <t>UPIOUT/335247591638/rapido.rzp@icici/Payme
nt/4121</t>
        </is>
      </c>
      <c r="C1310" s="114" t="inlineStr"/>
      <c r="D1310" s="114" t="n">
        <v>24</v>
      </c>
      <c r="E1310" s="114" t="n">
        <v>0</v>
      </c>
      <c r="F1310" s="114" t="n">
        <v>30572.98</v>
      </c>
      <c r="G1310" s="114" t="inlineStr">
        <is>
          <t>Transport</t>
        </is>
      </c>
      <c r="H1310" s="114" t="inlineStr">
        <is>
          <t>FEDERAL 0847</t>
        </is>
      </c>
    </row>
    <row r="1311">
      <c r="A1311" s="113" t="n">
        <v>45278</v>
      </c>
      <c r="B1311" s="114" t="inlineStr">
        <is>
          <t>NET PI TO HSL SEC A/C 2554606-00602340029427</t>
        </is>
      </c>
      <c r="C1311" s="114" t="inlineStr">
        <is>
          <t>0000000474965024</t>
        </is>
      </c>
      <c r="D1311" s="114" t="n">
        <v>564.99</v>
      </c>
      <c r="E1311" s="114" t="n">
        <v>0</v>
      </c>
      <c r="F1311" s="114" t="n">
        <v>67476</v>
      </c>
      <c r="G1311" s="114" t="inlineStr">
        <is>
          <t>HDFC Securities</t>
        </is>
      </c>
      <c r="H1311" s="114" t="inlineStr">
        <is>
          <t>HDFC 5413</t>
        </is>
      </c>
    </row>
    <row r="1312">
      <c r="A1312" s="113" t="n">
        <v>45279</v>
      </c>
      <c r="B1312" s="114" t="inlineStr">
        <is>
          <t>NET PO FROM HSL A/C 2554606-50200085415108</t>
        </is>
      </c>
      <c r="C1312" s="114" t="inlineStr">
        <is>
          <t>0000000475240023</t>
        </is>
      </c>
      <c r="D1312" s="114" t="n">
        <v>0</v>
      </c>
      <c r="E1312" s="114" t="n">
        <v>22577.66</v>
      </c>
      <c r="F1312" s="114" t="n">
        <v>90053.66</v>
      </c>
      <c r="G1312" s="114" t="inlineStr">
        <is>
          <t>HDFC Securities</t>
        </is>
      </c>
      <c r="H1312" s="114" t="inlineStr">
        <is>
          <t>HDFC 5413</t>
        </is>
      </c>
    </row>
    <row r="1313">
      <c r="A1313" s="113" t="n">
        <v>45279</v>
      </c>
      <c r="B1313" s="114" t="inlineStr">
        <is>
          <t>NFT/NEOSIEXEDDD2023121912303376552 NAVI
Mutual Fun</t>
        </is>
      </c>
      <c r="C1313" s="114" t="inlineStr"/>
      <c r="D1313" s="114" t="n">
        <v>100</v>
      </c>
      <c r="E1313" s="114" t="n">
        <v>0</v>
      </c>
      <c r="F1313" s="114" t="n">
        <v>30258.98</v>
      </c>
      <c r="G1313" s="114" t="inlineStr">
        <is>
          <t>Investments</t>
        </is>
      </c>
      <c r="H1313" s="114" t="inlineStr">
        <is>
          <t>FEDERAL 0847</t>
        </is>
      </c>
    </row>
    <row r="1314">
      <c r="A1314" s="113" t="n">
        <v>45279</v>
      </c>
      <c r="B1314" s="114" t="inlineStr">
        <is>
          <t>UPIOUT/335358420836/tiwarigopal32@ybl/Sent
v/0000</t>
        </is>
      </c>
      <c r="C1314" s="114" t="inlineStr"/>
      <c r="D1314" s="114" t="n">
        <v>75</v>
      </c>
      <c r="E1314" s="114" t="n">
        <v>0</v>
      </c>
      <c r="F1314" s="114" t="n">
        <v>30183.98</v>
      </c>
      <c r="G1314" s="114" t="inlineStr">
        <is>
          <t>Personal</t>
        </is>
      </c>
      <c r="H1314" s="114" t="inlineStr">
        <is>
          <t>FEDERAL 0847</t>
        </is>
      </c>
    </row>
    <row r="1315">
      <c r="A1315" s="113" t="n">
        <v>45279</v>
      </c>
      <c r="B1315" s="114" t="inlineStr">
        <is>
          <t>UPIOUT/335358775310/uber@axisbank/charge/4
121</t>
        </is>
      </c>
      <c r="C1315" s="114" t="inlineStr"/>
      <c r="D1315" s="114" t="n">
        <v>28.67</v>
      </c>
      <c r="E1315" s="114" t="n">
        <v>0</v>
      </c>
      <c r="F1315" s="114" t="n">
        <v>30155.31</v>
      </c>
      <c r="G1315" s="114" t="inlineStr">
        <is>
          <t>Transport</t>
        </is>
      </c>
      <c r="H1315" s="114" t="inlineStr">
        <is>
          <t>FEDERAL 0847</t>
        </is>
      </c>
    </row>
    <row r="1316">
      <c r="A1316" s="113" t="n">
        <v>45279</v>
      </c>
      <c r="B1316" s="114" t="inlineStr">
        <is>
          <t>UPIOUT/335365941986/9010488465@paytm/Sent
vi/0000</t>
        </is>
      </c>
      <c r="C1316" s="114" t="inlineStr"/>
      <c r="D1316" s="114" t="n">
        <v>100</v>
      </c>
      <c r="E1316" s="114" t="n">
        <v>0</v>
      </c>
      <c r="F1316" s="114" t="n">
        <v>30055.31</v>
      </c>
      <c r="G1316" s="114" t="inlineStr">
        <is>
          <t>Personal</t>
        </is>
      </c>
      <c r="H1316" s="114" t="inlineStr">
        <is>
          <t>FEDERAL 0847</t>
        </is>
      </c>
    </row>
    <row r="1317">
      <c r="A1317" s="113" t="n">
        <v>45279</v>
      </c>
      <c r="B1317" s="114" t="inlineStr">
        <is>
          <t>NET PI TO HSL SEC A/C 2554606-00602340029427</t>
        </is>
      </c>
      <c r="C1317" s="114" t="inlineStr">
        <is>
          <t>0000000475384792</t>
        </is>
      </c>
      <c r="D1317" s="114" t="n">
        <v>188.52</v>
      </c>
      <c r="E1317" s="114" t="n">
        <v>0</v>
      </c>
      <c r="F1317" s="114" t="n">
        <v>89865.14</v>
      </c>
      <c r="G1317" s="114" t="inlineStr">
        <is>
          <t>HDFC Securities</t>
        </is>
      </c>
      <c r="H1317" s="114" t="inlineStr">
        <is>
          <t>HDFC 5413</t>
        </is>
      </c>
    </row>
    <row r="1318">
      <c r="A1318" s="113" t="n">
        <v>45280</v>
      </c>
      <c r="B1318" s="114" t="inlineStr">
        <is>
          <t>NET PO FROM HSL A/C 2554606-50200085415108</t>
        </is>
      </c>
      <c r="C1318" s="114" t="inlineStr">
        <is>
          <t>0000000475649263</t>
        </is>
      </c>
      <c r="D1318" s="114" t="n">
        <v>0</v>
      </c>
      <c r="E1318" s="114" t="n">
        <v>12168.37</v>
      </c>
      <c r="F1318" s="114" t="n">
        <v>102033.51</v>
      </c>
      <c r="G1318" s="114" t="inlineStr">
        <is>
          <t>HDFC Securities</t>
        </is>
      </c>
      <c r="H1318" s="114" t="inlineStr">
        <is>
          <t>HDFC 5413</t>
        </is>
      </c>
    </row>
    <row r="1319">
      <c r="A1319" s="113" t="n">
        <v>45280</v>
      </c>
      <c r="B1319" s="114" t="inlineStr">
        <is>
          <t>NET PO FROM HSL A/C 2554606-50200085415108</t>
        </is>
      </c>
      <c r="C1319" s="114" t="inlineStr">
        <is>
          <t>0000000475670286</t>
        </is>
      </c>
      <c r="D1319" s="114" t="n">
        <v>0</v>
      </c>
      <c r="E1319" s="114" t="n">
        <v>52195.67</v>
      </c>
      <c r="F1319" s="114" t="n">
        <v>154229.18</v>
      </c>
      <c r="G1319" s="114" t="inlineStr">
        <is>
          <t>HDFC Securities</t>
        </is>
      </c>
      <c r="H1319" s="114" t="inlineStr">
        <is>
          <t>HDFC 5413</t>
        </is>
      </c>
    </row>
    <row r="1320">
      <c r="A1320" s="113" t="n">
        <v>45280</v>
      </c>
      <c r="B1320" s="114" t="inlineStr">
        <is>
          <t>NET PI TO HSL SEC A/C 2554606-00602340029427</t>
        </is>
      </c>
      <c r="C1320" s="114" t="inlineStr">
        <is>
          <t>0000000475790271</t>
        </is>
      </c>
      <c r="D1320" s="114" t="n">
        <v>174.49</v>
      </c>
      <c r="E1320" s="114" t="n">
        <v>0</v>
      </c>
      <c r="F1320" s="114" t="n">
        <v>154054.69</v>
      </c>
      <c r="G1320" s="114" t="inlineStr">
        <is>
          <t>HDFC Securities</t>
        </is>
      </c>
      <c r="H1320" s="114" t="inlineStr">
        <is>
          <t>HDFC 5413</t>
        </is>
      </c>
    </row>
    <row r="1321">
      <c r="A1321" s="113" t="n">
        <v>45280</v>
      </c>
      <c r="B1321" s="114" t="inlineStr">
        <is>
          <t>UPIOUT/335421652239/uberrides@hdfcbank/cha
rg/5960</t>
        </is>
      </c>
      <c r="C1321" s="114" t="inlineStr"/>
      <c r="D1321" s="114" t="n">
        <v>40.42</v>
      </c>
      <c r="E1321" s="114" t="n">
        <v>0</v>
      </c>
      <c r="F1321" s="114" t="n">
        <v>28831.89</v>
      </c>
      <c r="G1321" s="114" t="inlineStr">
        <is>
          <t>Transport</t>
        </is>
      </c>
      <c r="H1321" s="114" t="inlineStr">
        <is>
          <t>FEDERAL 0847</t>
        </is>
      </c>
    </row>
    <row r="1322">
      <c r="A1322" s="113" t="n">
        <v>45280</v>
      </c>
      <c r="B1322" s="114" t="inlineStr">
        <is>
          <t>UPIOUT/335468843331/paytmqr2810050501011ht
rr/5812</t>
        </is>
      </c>
      <c r="C1322" s="114" t="inlineStr"/>
      <c r="D1322" s="114" t="n">
        <v>100</v>
      </c>
      <c r="E1322" s="114" t="n">
        <v>0</v>
      </c>
      <c r="F1322" s="114" t="n">
        <v>29855.31</v>
      </c>
      <c r="G1322" s="114" t="inlineStr">
        <is>
          <t>Personal</t>
        </is>
      </c>
      <c r="H1322" s="114" t="inlineStr">
        <is>
          <t>FEDERAL 0847</t>
        </is>
      </c>
    </row>
    <row r="1323">
      <c r="A1323" s="113" t="n">
        <v>45280</v>
      </c>
      <c r="B1323" s="114" t="inlineStr">
        <is>
          <t>UPIOUT/335476926122/9391599419@ybl/Sent
via /0000</t>
        </is>
      </c>
      <c r="C1323" s="114" t="inlineStr"/>
      <c r="D1323" s="114" t="n">
        <v>100</v>
      </c>
      <c r="E1323" s="114" t="n">
        <v>0</v>
      </c>
      <c r="F1323" s="114" t="n">
        <v>29755.31</v>
      </c>
      <c r="G1323" s="114" t="inlineStr">
        <is>
          <t>Personal</t>
        </is>
      </c>
      <c r="H1323" s="114" t="inlineStr">
        <is>
          <t>FEDERAL 0847</t>
        </is>
      </c>
    </row>
    <row r="1324">
      <c r="A1324" s="113" t="n">
        <v>45280</v>
      </c>
      <c r="B1324" s="114" t="inlineStr">
        <is>
          <t>UPIOUT/335477929609/md7179219@okaxis/Sent
vi/0000</t>
        </is>
      </c>
      <c r="C1324" s="114" t="inlineStr"/>
      <c r="D1324" s="114" t="n">
        <v>50</v>
      </c>
      <c r="E1324" s="114" t="n">
        <v>0</v>
      </c>
      <c r="F1324" s="114" t="n">
        <v>29705.31</v>
      </c>
      <c r="G1324" s="114" t="inlineStr">
        <is>
          <t>Personal</t>
        </is>
      </c>
      <c r="H1324" s="114" t="inlineStr">
        <is>
          <t>FEDERAL 0847</t>
        </is>
      </c>
    </row>
    <row r="1325">
      <c r="A1325" s="113" t="n">
        <v>45280</v>
      </c>
      <c r="B1325" s="114" t="inlineStr">
        <is>
          <t>UPIOUT/335418918572/swiggy5@kotak/PayViaRa
zo/5814</t>
        </is>
      </c>
      <c r="C1325" s="114" t="inlineStr"/>
      <c r="D1325" s="114" t="n">
        <v>833</v>
      </c>
      <c r="E1325" s="114" t="n">
        <v>0</v>
      </c>
      <c r="F1325" s="114" t="n">
        <v>28872.31</v>
      </c>
      <c r="G1325" s="114" t="inlineStr">
        <is>
          <t>Food &amp; Dining</t>
        </is>
      </c>
      <c r="H1325" s="114" t="inlineStr">
        <is>
          <t>FEDERAL 0847</t>
        </is>
      </c>
    </row>
    <row r="1326">
      <c r="A1326" s="113" t="n">
        <v>45280</v>
      </c>
      <c r="B1326" s="114" t="inlineStr">
        <is>
          <t>UPI IN/335443572042/paytm-651536@paytm/exp
re/0000</t>
        </is>
      </c>
      <c r="C1326" s="114" t="inlineStr"/>
      <c r="D1326" s="114" t="n">
        <v>0</v>
      </c>
      <c r="E1326" s="114" t="n">
        <v>895</v>
      </c>
      <c r="F1326" s="114" t="n">
        <v>29726.89</v>
      </c>
      <c r="G1326" s="114" t="inlineStr">
        <is>
          <t>Personal</t>
        </is>
      </c>
      <c r="H1326" s="114" t="inlineStr">
        <is>
          <t>FEDERAL 0847</t>
        </is>
      </c>
    </row>
    <row r="1327">
      <c r="A1327" s="113" t="n">
        <v>45280</v>
      </c>
      <c r="B1327" s="114" t="inlineStr">
        <is>
          <t>NFT/NEOSIEXEDDD2023122012312254146 NAVI
Mutual Fun</t>
        </is>
      </c>
      <c r="C1327" s="114" t="inlineStr"/>
      <c r="D1327" s="114" t="n">
        <v>100</v>
      </c>
      <c r="E1327" s="114" t="n">
        <v>0</v>
      </c>
      <c r="F1327" s="114" t="n">
        <v>29955.31</v>
      </c>
      <c r="G1327" s="114" t="inlineStr">
        <is>
          <t>Investments</t>
        </is>
      </c>
      <c r="H1327" s="114" t="inlineStr">
        <is>
          <t>FEDERAL 0847</t>
        </is>
      </c>
    </row>
    <row r="1328">
      <c r="A1328" s="113" t="n">
        <v>45281</v>
      </c>
      <c r="B1328" s="114" t="inlineStr">
        <is>
          <t>NET PO FROM HSL A/C 2554606-50200085415108</t>
        </is>
      </c>
      <c r="C1328" s="114" t="inlineStr">
        <is>
          <t>0000000476135115</t>
        </is>
      </c>
      <c r="D1328" s="114" t="n">
        <v>0</v>
      </c>
      <c r="E1328" s="114" t="n">
        <v>47174.26</v>
      </c>
      <c r="F1328" s="114" t="n">
        <v>201228.95</v>
      </c>
      <c r="G1328" s="114" t="inlineStr">
        <is>
          <t>HDFC Securities</t>
        </is>
      </c>
      <c r="H1328" s="114" t="inlineStr">
        <is>
          <t>HDFC 5413</t>
        </is>
      </c>
    </row>
    <row r="1329">
      <c r="A1329" s="113" t="n">
        <v>45281</v>
      </c>
      <c r="B1329" s="114" t="inlineStr">
        <is>
          <t>NET PO FROM HSL A/C 2554606-50200085415108</t>
        </is>
      </c>
      <c r="C1329" s="114" t="inlineStr">
        <is>
          <t>0000000476151579</t>
        </is>
      </c>
      <c r="D1329" s="114" t="n">
        <v>0</v>
      </c>
      <c r="E1329" s="114" t="n">
        <v>38358.06</v>
      </c>
      <c r="F1329" s="114" t="n">
        <v>239587.01</v>
      </c>
      <c r="G1329" s="114" t="inlineStr">
        <is>
          <t>HDFC Securities</t>
        </is>
      </c>
      <c r="H1329" s="114" t="inlineStr">
        <is>
          <t>HDFC 5413</t>
        </is>
      </c>
    </row>
    <row r="1330">
      <c r="A1330" s="113" t="n">
        <v>45281</v>
      </c>
      <c r="B1330" s="114" t="inlineStr">
        <is>
          <t>NET PI TO HSL SEC A/C 2554606-00602340029427</t>
        </is>
      </c>
      <c r="C1330" s="114" t="inlineStr">
        <is>
          <t>0000000476292448</t>
        </is>
      </c>
      <c r="D1330" s="114" t="n">
        <v>167.69</v>
      </c>
      <c r="E1330" s="114" t="n">
        <v>0</v>
      </c>
      <c r="F1330" s="114" t="n">
        <v>239419.32</v>
      </c>
      <c r="G1330" s="114" t="inlineStr">
        <is>
          <t>HDFC Securities</t>
        </is>
      </c>
      <c r="H1330" s="114" t="inlineStr">
        <is>
          <t>HDFC 5413</t>
        </is>
      </c>
    </row>
    <row r="1331">
      <c r="A1331" s="113" t="n">
        <v>45281</v>
      </c>
      <c r="B1331" s="114" t="inlineStr">
        <is>
          <t>NET PI TO HSL SEC A/C 2554606-00602340029427</t>
        </is>
      </c>
      <c r="C1331" s="114" t="inlineStr">
        <is>
          <t>0000000476431559</t>
        </is>
      </c>
      <c r="D1331" s="114" t="n">
        <v>1624.73</v>
      </c>
      <c r="E1331" s="114" t="n">
        <v>0</v>
      </c>
      <c r="F1331" s="114" t="n">
        <v>237794.59</v>
      </c>
      <c r="G1331" s="114" t="inlineStr">
        <is>
          <t>HDFC Securities</t>
        </is>
      </c>
      <c r="H1331" s="114" t="inlineStr">
        <is>
          <t>HDFC 5413</t>
        </is>
      </c>
    </row>
    <row r="1332">
      <c r="A1332" s="113" t="n">
        <v>45281</v>
      </c>
      <c r="B1332" s="114" t="inlineStr">
        <is>
          <t>UPIOUT/335586825201/Q780515718@ybl/Sent
via /5814</t>
        </is>
      </c>
      <c r="C1332" s="114" t="inlineStr"/>
      <c r="D1332" s="114" t="n">
        <v>40</v>
      </c>
      <c r="E1332" s="114" t="n">
        <v>0</v>
      </c>
      <c r="F1332" s="114" t="n">
        <v>27453.89</v>
      </c>
      <c r="G1332" s="114" t="inlineStr">
        <is>
          <t>Personal</t>
        </is>
      </c>
      <c r="H1332" s="114" t="inlineStr">
        <is>
          <t>FEDERAL 0847</t>
        </is>
      </c>
    </row>
    <row r="1333">
      <c r="A1333" s="113" t="n">
        <v>45281</v>
      </c>
      <c r="B1333" s="114" t="inlineStr">
        <is>
          <t>NFT/NEOSIEXEDDD2023122112312568136 NAVI
Mutual Fun</t>
        </is>
      </c>
      <c r="C1333" s="114" t="inlineStr"/>
      <c r="D1333" s="114" t="n">
        <v>100</v>
      </c>
      <c r="E1333" s="114" t="n">
        <v>0</v>
      </c>
      <c r="F1333" s="114" t="n">
        <v>29626.89</v>
      </c>
      <c r="G1333" s="114" t="inlineStr">
        <is>
          <t>Investments</t>
        </is>
      </c>
      <c r="H1333" s="114" t="inlineStr">
        <is>
          <t>FEDERAL 0847</t>
        </is>
      </c>
    </row>
    <row r="1334">
      <c r="A1334" s="113" t="n">
        <v>45281</v>
      </c>
      <c r="B1334" s="114" t="inlineStr">
        <is>
          <t>NFT/NEOSIEXEDDD2023122102304265647 Mirae
Asset Mut</t>
        </is>
      </c>
      <c r="C1334" s="114" t="inlineStr"/>
      <c r="D1334" s="114" t="n">
        <v>1000</v>
      </c>
      <c r="E1334" s="114" t="n">
        <v>0</v>
      </c>
      <c r="F1334" s="114" t="n">
        <v>28626.89</v>
      </c>
      <c r="G1334" s="114" t="inlineStr">
        <is>
          <t>Investments</t>
        </is>
      </c>
      <c r="H1334" s="114" t="inlineStr">
        <is>
          <t>FEDERAL 0847</t>
        </is>
      </c>
    </row>
    <row r="1335">
      <c r="A1335" s="113" t="n">
        <v>45281</v>
      </c>
      <c r="B1335" s="114" t="inlineStr">
        <is>
          <t>NFT/NEOSIEXEDDD2023122103002683353 Quant
Mutual Fu</t>
        </is>
      </c>
      <c r="C1335" s="114" t="inlineStr"/>
      <c r="D1335" s="114" t="n">
        <v>1000</v>
      </c>
      <c r="E1335" s="114" t="n">
        <v>0</v>
      </c>
      <c r="F1335" s="114" t="n">
        <v>27626.89</v>
      </c>
      <c r="G1335" s="114" t="inlineStr">
        <is>
          <t>Investments</t>
        </is>
      </c>
      <c r="H1335" s="114" t="inlineStr">
        <is>
          <t>FEDERAL 0847</t>
        </is>
      </c>
    </row>
    <row r="1336">
      <c r="A1336" s="113" t="n">
        <v>45281</v>
      </c>
      <c r="B1336" s="114" t="inlineStr">
        <is>
          <t>UPIOUT/335580614536/8179554361@ibl/Sent
via /0000</t>
        </is>
      </c>
      <c r="C1336" s="114" t="inlineStr"/>
      <c r="D1336" s="114" t="n">
        <v>100</v>
      </c>
      <c r="E1336" s="114" t="n">
        <v>0</v>
      </c>
      <c r="F1336" s="114" t="n">
        <v>27526.89</v>
      </c>
      <c r="G1336" s="114" t="inlineStr">
        <is>
          <t>Personal</t>
        </is>
      </c>
      <c r="H1336" s="114" t="inlineStr">
        <is>
          <t>FEDERAL 0847</t>
        </is>
      </c>
    </row>
    <row r="1337">
      <c r="A1337" s="113" t="n">
        <v>45281</v>
      </c>
      <c r="B1337" s="114" t="inlineStr">
        <is>
          <t>UPIOUT/335586445145/paytm-76881028@paytm/S
en/4121</t>
        </is>
      </c>
      <c r="C1337" s="114" t="inlineStr"/>
      <c r="D1337" s="114" t="n">
        <v>33</v>
      </c>
      <c r="E1337" s="114" t="n">
        <v>0</v>
      </c>
      <c r="F1337" s="114" t="n">
        <v>27493.89</v>
      </c>
      <c r="G1337" s="114" t="inlineStr">
        <is>
          <t>Personal</t>
        </is>
      </c>
      <c r="H1337" s="114" t="inlineStr">
        <is>
          <t>FEDERAL 0847</t>
        </is>
      </c>
    </row>
    <row r="1338">
      <c r="A1338" s="113" t="n">
        <v>45281</v>
      </c>
      <c r="B1338" s="114" t="inlineStr">
        <is>
          <t>UPIOUT/335587052689/gpay-11232719093@okbiz
ax/4215</t>
        </is>
      </c>
      <c r="C1338" s="114" t="inlineStr"/>
      <c r="D1338" s="114" t="n">
        <v>75</v>
      </c>
      <c r="E1338" s="114" t="n">
        <v>0</v>
      </c>
      <c r="F1338" s="114" t="n">
        <v>27378.89</v>
      </c>
      <c r="G1338" s="114" t="inlineStr">
        <is>
          <t>Personal</t>
        </is>
      </c>
      <c r="H1338" s="114" t="inlineStr">
        <is>
          <t>FEDERAL 0847</t>
        </is>
      </c>
    </row>
    <row r="1339">
      <c r="A1339" s="113" t="n">
        <v>45282</v>
      </c>
      <c r="B1339" s="114" t="inlineStr">
        <is>
          <t>UPIOUT/335696622010/paytmqri5ciai3vuc@payt
m//5812</t>
        </is>
      </c>
      <c r="C1339" s="114" t="inlineStr"/>
      <c r="D1339" s="114" t="n">
        <v>60</v>
      </c>
      <c r="E1339" s="114" t="n">
        <v>0</v>
      </c>
      <c r="F1339" s="114" t="n">
        <v>26919.89</v>
      </c>
      <c r="G1339" s="114" t="inlineStr">
        <is>
          <t>Personal</t>
        </is>
      </c>
      <c r="H1339" s="114" t="inlineStr">
        <is>
          <t>FEDERAL 0847</t>
        </is>
      </c>
    </row>
    <row r="1340">
      <c r="A1340" s="113" t="n">
        <v>45282</v>
      </c>
      <c r="B1340" s="114" t="inlineStr">
        <is>
          <t>UPIOUT/335697308444/paytmqr281005050101w32
ji/5912</t>
        </is>
      </c>
      <c r="C1340" s="114" t="inlineStr"/>
      <c r="D1340" s="114" t="n">
        <v>120</v>
      </c>
      <c r="E1340" s="114" t="n">
        <v>0</v>
      </c>
      <c r="F1340" s="114" t="n">
        <v>26799.89</v>
      </c>
      <c r="G1340" s="114" t="inlineStr">
        <is>
          <t>Personal</t>
        </is>
      </c>
      <c r="H1340" s="114" t="inlineStr">
        <is>
          <t>FEDERAL 0847</t>
        </is>
      </c>
    </row>
    <row r="1341">
      <c r="A1341" s="113" t="n">
        <v>45282</v>
      </c>
      <c r="B1341" s="114" t="inlineStr">
        <is>
          <t>UPIOUT/335696527659/paytmqr281005050101ac5
gq/5812</t>
        </is>
      </c>
      <c r="C1341" s="114" t="inlineStr"/>
      <c r="D1341" s="114" t="n">
        <v>70</v>
      </c>
      <c r="E1341" s="114" t="n">
        <v>0</v>
      </c>
      <c r="F1341" s="114" t="n">
        <v>26979.89</v>
      </c>
      <c r="G1341" s="114" t="inlineStr">
        <is>
          <t>Personal</t>
        </is>
      </c>
      <c r="H1341" s="114" t="inlineStr">
        <is>
          <t>FEDERAL 0847</t>
        </is>
      </c>
    </row>
    <row r="1342">
      <c r="A1342" s="113" t="n">
        <v>45282</v>
      </c>
      <c r="B1342" s="114" t="inlineStr">
        <is>
          <t>UPIOUT/335696239664/paytmqr281005050101ec4
sp/5912</t>
        </is>
      </c>
      <c r="C1342" s="114" t="inlineStr"/>
      <c r="D1342" s="114" t="n">
        <v>100</v>
      </c>
      <c r="E1342" s="114" t="n">
        <v>0</v>
      </c>
      <c r="F1342" s="114" t="n">
        <v>27049.89</v>
      </c>
      <c r="G1342" s="114" t="inlineStr">
        <is>
          <t>Personal</t>
        </is>
      </c>
      <c r="H1342" s="114" t="inlineStr">
        <is>
          <t>FEDERAL 0847</t>
        </is>
      </c>
    </row>
    <row r="1343">
      <c r="A1343" s="113" t="n">
        <v>45282</v>
      </c>
      <c r="B1343" s="114" t="inlineStr">
        <is>
          <t>UPIOUT/335695757687/rapido.rzp@icici/Payme
nt/4121</t>
        </is>
      </c>
      <c r="C1343" s="114" t="inlineStr"/>
      <c r="D1343" s="114" t="n">
        <v>29</v>
      </c>
      <c r="E1343" s="114" t="n">
        <v>0</v>
      </c>
      <c r="F1343" s="114" t="n">
        <v>27149.89</v>
      </c>
      <c r="G1343" s="114" t="inlineStr">
        <is>
          <t>Transport</t>
        </is>
      </c>
      <c r="H1343" s="114" t="inlineStr">
        <is>
          <t>FEDERAL 0847</t>
        </is>
      </c>
    </row>
    <row r="1344">
      <c r="A1344" s="113" t="n">
        <v>45282</v>
      </c>
      <c r="B1344" s="114" t="inlineStr">
        <is>
          <t>UPIOUT/335690294618/paytmqr1kmef7abcr@payt
m//7407</t>
        </is>
      </c>
      <c r="C1344" s="114" t="inlineStr"/>
      <c r="D1344" s="114" t="n">
        <v>100</v>
      </c>
      <c r="E1344" s="114" t="n">
        <v>0</v>
      </c>
      <c r="F1344" s="114" t="n">
        <v>27178.89</v>
      </c>
      <c r="G1344" s="114" t="inlineStr">
        <is>
          <t>Personal</t>
        </is>
      </c>
      <c r="H1344" s="114" t="inlineStr">
        <is>
          <t>FEDERAL 0847</t>
        </is>
      </c>
    </row>
    <row r="1345">
      <c r="A1345" s="113" t="n">
        <v>45282</v>
      </c>
      <c r="B1345" s="114" t="inlineStr">
        <is>
          <t>NFT/NEOSIEXEDDD2023122212303073095 NAVI
Mutual Fun</t>
        </is>
      </c>
      <c r="C1345" s="114" t="inlineStr"/>
      <c r="D1345" s="114" t="n">
        <v>100</v>
      </c>
      <c r="E1345" s="114" t="n">
        <v>0</v>
      </c>
      <c r="F1345" s="114" t="n">
        <v>27278.89</v>
      </c>
      <c r="G1345" s="114" t="inlineStr">
        <is>
          <t>Investments</t>
        </is>
      </c>
      <c r="H1345" s="114" t="inlineStr">
        <is>
          <t>FEDERAL 0847</t>
        </is>
      </c>
    </row>
    <row r="1346">
      <c r="A1346" s="113" t="n">
        <v>45282</v>
      </c>
      <c r="B1346" s="114" t="inlineStr">
        <is>
          <t>NET PI TO HSL SEC A/C 2554606-00602340029427</t>
        </is>
      </c>
      <c r="C1346" s="114" t="inlineStr">
        <is>
          <t>0000000476709095</t>
        </is>
      </c>
      <c r="D1346" s="114" t="n">
        <v>137.1</v>
      </c>
      <c r="E1346" s="114" t="n">
        <v>0</v>
      </c>
      <c r="F1346" s="114" t="n">
        <v>237657.49</v>
      </c>
      <c r="G1346" s="114" t="inlineStr">
        <is>
          <t>HDFC Securities</t>
        </is>
      </c>
      <c r="H1346" s="114" t="inlineStr">
        <is>
          <t>HDFC 5413</t>
        </is>
      </c>
    </row>
    <row r="1347">
      <c r="A1347" s="113" t="n">
        <v>45282</v>
      </c>
      <c r="B1347" s="114" t="inlineStr">
        <is>
          <t>NET PI TO HSL SEC A/C 2554606-00602340029427</t>
        </is>
      </c>
      <c r="C1347" s="114" t="inlineStr">
        <is>
          <t>0000000476835565</t>
        </is>
      </c>
      <c r="D1347" s="114" t="n">
        <v>43088.45</v>
      </c>
      <c r="E1347" s="114" t="n">
        <v>0</v>
      </c>
      <c r="F1347" s="114" t="n">
        <v>194569.04</v>
      </c>
      <c r="G1347" s="114" t="inlineStr">
        <is>
          <t>HDFC Securities</t>
        </is>
      </c>
      <c r="H1347" s="114" t="inlineStr">
        <is>
          <t>HDFC 5413</t>
        </is>
      </c>
    </row>
    <row r="1348">
      <c r="A1348" s="113" t="n">
        <v>45283</v>
      </c>
      <c r="B1348" s="114" t="inlineStr">
        <is>
          <t>SBINT:23-09-2023 to
22-12-2023[77770101840847]</t>
        </is>
      </c>
      <c r="C1348" s="114" t="inlineStr"/>
      <c r="D1348" s="114" t="n">
        <v>0</v>
      </c>
      <c r="E1348" s="114" t="n">
        <v>219</v>
      </c>
      <c r="F1348" s="114" t="n">
        <v>27018.89</v>
      </c>
      <c r="G1348" s="114" t="inlineStr">
        <is>
          <t>Bank Interest</t>
        </is>
      </c>
      <c r="H1348" s="114" t="inlineStr">
        <is>
          <t>FEDERAL 0847</t>
        </is>
      </c>
    </row>
    <row r="1349">
      <c r="A1349" s="113" t="n">
        <v>45283</v>
      </c>
      <c r="B1349" s="114" t="inlineStr">
        <is>
          <t>UPIOUT/335710145424/paytmqr1l47y8otva@payt
m//5411</t>
        </is>
      </c>
      <c r="C1349" s="114" t="inlineStr"/>
      <c r="D1349" s="114" t="n">
        <v>60</v>
      </c>
      <c r="E1349" s="114" t="n">
        <v>0</v>
      </c>
      <c r="F1349" s="114" t="n">
        <v>26958.89</v>
      </c>
      <c r="G1349" s="114" t="inlineStr">
        <is>
          <t>Personal</t>
        </is>
      </c>
      <c r="H1349" s="114" t="inlineStr">
        <is>
          <t>FEDERAL 0847</t>
        </is>
      </c>
    </row>
    <row r="1350">
      <c r="A1350" s="113" t="n">
        <v>45283</v>
      </c>
      <c r="B1350" s="114" t="inlineStr">
        <is>
          <t>UPIOUT/335710332853/Q884724626@ybl/Sent
via /5812</t>
        </is>
      </c>
      <c r="C1350" s="114" t="inlineStr"/>
      <c r="D1350" s="114" t="n">
        <v>15</v>
      </c>
      <c r="E1350" s="114" t="n">
        <v>0</v>
      </c>
      <c r="F1350" s="114" t="n">
        <v>26943.89</v>
      </c>
      <c r="G1350" s="114" t="inlineStr">
        <is>
          <t>Personal</t>
        </is>
      </c>
      <c r="H1350" s="114" t="inlineStr">
        <is>
          <t>FEDERAL 0847</t>
        </is>
      </c>
    </row>
    <row r="1351">
      <c r="A1351" s="113" t="n">
        <v>45283</v>
      </c>
      <c r="B1351" s="114" t="inlineStr">
        <is>
          <t>UPIOUT/335712479969/paytmqr1rwdf0o4v1@payt
m//5812</t>
        </is>
      </c>
      <c r="C1351" s="114" t="inlineStr"/>
      <c r="D1351" s="114" t="n">
        <v>264</v>
      </c>
      <c r="E1351" s="114" t="n">
        <v>0</v>
      </c>
      <c r="F1351" s="114" t="n">
        <v>26679.89</v>
      </c>
      <c r="G1351" s="114" t="inlineStr">
        <is>
          <t>Personal</t>
        </is>
      </c>
      <c r="H1351" s="114" t="inlineStr">
        <is>
          <t>FEDERAL 0847</t>
        </is>
      </c>
    </row>
    <row r="1352">
      <c r="A1352" s="113" t="n">
        <v>45284</v>
      </c>
      <c r="B1352" s="114" t="inlineStr">
        <is>
          <t>UPIOUT/335816954430/Q402731021@ybl/Sent
via /5812</t>
        </is>
      </c>
      <c r="C1352" s="114" t="inlineStr"/>
      <c r="D1352" s="114" t="n">
        <v>40</v>
      </c>
      <c r="E1352" s="114" t="n">
        <v>0</v>
      </c>
      <c r="F1352" s="114" t="n">
        <v>24672.69</v>
      </c>
      <c r="G1352" s="114" t="inlineStr">
        <is>
          <t>Personal</t>
        </is>
      </c>
      <c r="H1352" s="114" t="inlineStr">
        <is>
          <t>FEDERAL 0847</t>
        </is>
      </c>
    </row>
    <row r="1353">
      <c r="A1353" s="113" t="n">
        <v>45284</v>
      </c>
      <c r="B1353" s="114" t="inlineStr">
        <is>
          <t>UPIOUT/335832822889/irctc.cf@hdfcbank/IRCT
C /4722</t>
        </is>
      </c>
      <c r="C1353" s="114" t="inlineStr"/>
      <c r="D1353" s="114" t="n">
        <v>983.6</v>
      </c>
      <c r="E1353" s="114" t="n">
        <v>0</v>
      </c>
      <c r="F1353" s="114" t="n">
        <v>24712.69</v>
      </c>
      <c r="G1353" s="114" t="inlineStr">
        <is>
          <t>Travel</t>
        </is>
      </c>
      <c r="H1353" s="114" t="inlineStr">
        <is>
          <t>FEDERAL 0847</t>
        </is>
      </c>
    </row>
    <row r="1354">
      <c r="A1354" s="113" t="n">
        <v>45284</v>
      </c>
      <c r="B1354" s="114" t="inlineStr">
        <is>
          <t>UPIOUT/335817011245/paytmqr1vkus7yoxi@payt
m//5812</t>
        </is>
      </c>
      <c r="C1354" s="114" t="inlineStr"/>
      <c r="D1354" s="114" t="n">
        <v>25</v>
      </c>
      <c r="E1354" s="114" t="n">
        <v>0</v>
      </c>
      <c r="F1354" s="114" t="n">
        <v>24647.69</v>
      </c>
      <c r="G1354" s="114" t="inlineStr">
        <is>
          <t>Personal</t>
        </is>
      </c>
      <c r="H1354" s="114" t="inlineStr">
        <is>
          <t>FEDERAL 0847</t>
        </is>
      </c>
    </row>
    <row r="1355">
      <c r="A1355" s="113" t="n">
        <v>45284</v>
      </c>
      <c r="B1355" s="114" t="inlineStr">
        <is>
          <t>UPIOUT/335832830420/irctc.cf@hdfcbank/IRCT
C /4722</t>
        </is>
      </c>
      <c r="C1355" s="114" t="inlineStr"/>
      <c r="D1355" s="114" t="n">
        <v>983.6</v>
      </c>
      <c r="E1355" s="114" t="n">
        <v>0</v>
      </c>
      <c r="F1355" s="114" t="n">
        <v>25696.29</v>
      </c>
      <c r="G1355" s="114" t="inlineStr">
        <is>
          <t>Travel</t>
        </is>
      </c>
      <c r="H1355" s="114" t="inlineStr">
        <is>
          <t>FEDERAL 0847</t>
        </is>
      </c>
    </row>
    <row r="1356">
      <c r="A1356" s="113" t="n">
        <v>45285</v>
      </c>
      <c r="B1356" s="114" t="inlineStr">
        <is>
          <t>NFT/NEOSIEXEDDD2023122502153954593 Nippon
India Mu</t>
        </is>
      </c>
      <c r="C1356" s="114" t="inlineStr"/>
      <c r="D1356" s="114" t="n">
        <v>2000</v>
      </c>
      <c r="E1356" s="114" t="n">
        <v>0</v>
      </c>
      <c r="F1356" s="114" t="n">
        <v>22647.69</v>
      </c>
      <c r="G1356" s="114" t="inlineStr">
        <is>
          <t>Investments</t>
        </is>
      </c>
      <c r="H1356" s="114" t="inlineStr">
        <is>
          <t>FEDERAL 0847</t>
        </is>
      </c>
    </row>
    <row r="1357">
      <c r="A1357" s="113" t="n">
        <v>45286</v>
      </c>
      <c r="B1357" s="114" t="inlineStr">
        <is>
          <t>NET PI TO HSL SEC A/C 2554606-00602340029427</t>
        </is>
      </c>
      <c r="C1357" s="114" t="inlineStr">
        <is>
          <t>0000000477186573</t>
        </is>
      </c>
      <c r="D1357" s="114" t="n">
        <v>508.32</v>
      </c>
      <c r="E1357" s="114" t="n">
        <v>0</v>
      </c>
      <c r="F1357" s="114" t="n">
        <v>194060.72</v>
      </c>
      <c r="G1357" s="114" t="inlineStr">
        <is>
          <t>HDFC Securities</t>
        </is>
      </c>
      <c r="H1357" s="114" t="inlineStr">
        <is>
          <t>HDFC 5413</t>
        </is>
      </c>
    </row>
    <row r="1358">
      <c r="A1358" s="113" t="n">
        <v>45286</v>
      </c>
      <c r="B1358" s="114" t="inlineStr">
        <is>
          <t>NET PI TO HSL SEC A/C 2554606-00602340029427</t>
        </is>
      </c>
      <c r="C1358" s="114" t="inlineStr">
        <is>
          <t>0000000477340133</t>
        </is>
      </c>
      <c r="D1358" s="114" t="n">
        <v>60341.51</v>
      </c>
      <c r="E1358" s="114" t="n">
        <v>0</v>
      </c>
      <c r="F1358" s="114" t="n">
        <v>133719.21</v>
      </c>
      <c r="G1358" s="114" t="inlineStr">
        <is>
          <t>HDFC Securities</t>
        </is>
      </c>
      <c r="H1358" s="114" t="inlineStr">
        <is>
          <t>HDFC 5413</t>
        </is>
      </c>
    </row>
    <row r="1359">
      <c r="A1359" s="113" t="n">
        <v>45286</v>
      </c>
      <c r="B1359" s="114" t="inlineStr">
        <is>
          <t>UPIOUT/336033721494/Q780515718@ybl/Sent
via /5814</t>
        </is>
      </c>
      <c r="C1359" s="114" t="inlineStr"/>
      <c r="D1359" s="114" t="n">
        <v>40</v>
      </c>
      <c r="E1359" s="114" t="n">
        <v>0</v>
      </c>
      <c r="F1359" s="114" t="n">
        <v>22257.69</v>
      </c>
      <c r="G1359" s="114" t="inlineStr">
        <is>
          <t>Personal</t>
        </is>
      </c>
      <c r="H1359" s="114" t="inlineStr">
        <is>
          <t>FEDERAL 0847</t>
        </is>
      </c>
    </row>
    <row r="1360">
      <c r="A1360" s="113" t="n">
        <v>45286</v>
      </c>
      <c r="B1360" s="114" t="inlineStr">
        <is>
          <t>UPIOUT/336031981458/nitinfas3@okicici/Sent
v/0000</t>
        </is>
      </c>
      <c r="C1360" s="114" t="inlineStr"/>
      <c r="D1360" s="114" t="n">
        <v>200</v>
      </c>
      <c r="E1360" s="114" t="n">
        <v>0</v>
      </c>
      <c r="F1360" s="114" t="n">
        <v>22297.69</v>
      </c>
      <c r="G1360" s="114" t="inlineStr">
        <is>
          <t>Personal</t>
        </is>
      </c>
      <c r="H1360" s="114" t="inlineStr">
        <is>
          <t>FEDERAL 0847</t>
        </is>
      </c>
    </row>
    <row r="1361">
      <c r="A1361" s="113" t="n">
        <v>45286</v>
      </c>
      <c r="B1361" s="114" t="inlineStr">
        <is>
          <t>UPIOUT/336031103669/RIOTAAGROOFFLINE@ybl/P
ay/5046</t>
        </is>
      </c>
      <c r="C1361" s="114" t="inlineStr"/>
      <c r="D1361" s="114" t="n">
        <v>30</v>
      </c>
      <c r="E1361" s="114" t="n">
        <v>0</v>
      </c>
      <c r="F1361" s="114" t="n">
        <v>22497.69</v>
      </c>
      <c r="G1361" s="114" t="inlineStr">
        <is>
          <t>Personal</t>
        </is>
      </c>
      <c r="H1361" s="114" t="inlineStr">
        <is>
          <t>FEDERAL 0847</t>
        </is>
      </c>
    </row>
    <row r="1362">
      <c r="A1362" s="113" t="n">
        <v>45286</v>
      </c>
      <c r="B1362" s="114" t="inlineStr">
        <is>
          <t>UPIOUT/336030644529/raasoori@ybl/Sent via
Ju/0000</t>
        </is>
      </c>
      <c r="C1362" s="114" t="inlineStr"/>
      <c r="D1362" s="114" t="n">
        <v>120</v>
      </c>
      <c r="E1362" s="114" t="n">
        <v>0</v>
      </c>
      <c r="F1362" s="114" t="n">
        <v>22527.69</v>
      </c>
      <c r="G1362" s="114" t="inlineStr">
        <is>
          <t>Personal</t>
        </is>
      </c>
      <c r="H1362" s="114" t="inlineStr">
        <is>
          <t>FEDERAL 0847</t>
        </is>
      </c>
    </row>
    <row r="1363">
      <c r="A1363" s="113" t="n">
        <v>45287</v>
      </c>
      <c r="B1363" s="114" t="inlineStr">
        <is>
          <t>NET PI TO HSL SEC A/C 2554606-00602340029427</t>
        </is>
      </c>
      <c r="C1363" s="114" t="inlineStr">
        <is>
          <t>0000000477597932</t>
        </is>
      </c>
      <c r="D1363" s="114" t="n">
        <v>153.84</v>
      </c>
      <c r="E1363" s="114" t="n">
        <v>0</v>
      </c>
      <c r="F1363" s="114" t="n">
        <v>133565.37</v>
      </c>
      <c r="G1363" s="114" t="inlineStr">
        <is>
          <t>HDFC Securities</t>
        </is>
      </c>
      <c r="H1363" s="114" t="inlineStr">
        <is>
          <t>HDFC 5413</t>
        </is>
      </c>
    </row>
    <row r="1364">
      <c r="A1364" s="113" t="n">
        <v>45287</v>
      </c>
      <c r="B1364" s="114" t="inlineStr">
        <is>
          <t>UPIOUT/336141024437/irctc.cf@hdfcbank/IRCT
C /4722</t>
        </is>
      </c>
      <c r="C1364" s="114" t="inlineStr"/>
      <c r="D1364" s="114" t="n">
        <v>72.15000000000001</v>
      </c>
      <c r="E1364" s="114" t="n">
        <v>0</v>
      </c>
      <c r="F1364" s="114" t="n">
        <v>21914.15</v>
      </c>
      <c r="G1364" s="114" t="inlineStr">
        <is>
          <t>Travel</t>
        </is>
      </c>
      <c r="H1364" s="114" t="inlineStr">
        <is>
          <t>FEDERAL 0847</t>
        </is>
      </c>
    </row>
    <row r="1365">
      <c r="A1365" s="113" t="n">
        <v>45287</v>
      </c>
      <c r="B1365" s="114" t="inlineStr">
        <is>
          <t>UPIOUT/336139286950/uber@axisbank/charge/4
121</t>
        </is>
      </c>
      <c r="C1365" s="114" t="inlineStr"/>
      <c r="D1365" s="114" t="n">
        <v>212.85</v>
      </c>
      <c r="E1365" s="114" t="n">
        <v>0</v>
      </c>
      <c r="F1365" s="114" t="n">
        <v>22044.84</v>
      </c>
      <c r="G1365" s="114" t="inlineStr">
        <is>
          <t>Transport</t>
        </is>
      </c>
      <c r="H1365" s="114" t="inlineStr">
        <is>
          <t>FEDERAL 0847</t>
        </is>
      </c>
    </row>
    <row r="1366">
      <c r="A1366" s="113" t="n">
        <v>45287</v>
      </c>
      <c r="B1366" s="114" t="inlineStr">
        <is>
          <t>UPIOUT/336139363222/uber@axisbank/charge/4
121</t>
        </is>
      </c>
      <c r="C1366" s="114" t="inlineStr"/>
      <c r="D1366" s="114" t="n">
        <v>58.54</v>
      </c>
      <c r="E1366" s="114" t="n">
        <v>0</v>
      </c>
      <c r="F1366" s="114" t="n">
        <v>21986.3</v>
      </c>
      <c r="G1366" s="114" t="inlineStr">
        <is>
          <t>Transport</t>
        </is>
      </c>
      <c r="H1366" s="114" t="inlineStr">
        <is>
          <t>FEDERAL 0847</t>
        </is>
      </c>
    </row>
    <row r="1367">
      <c r="A1367" s="113" t="n">
        <v>45288</v>
      </c>
      <c r="B1367" s="114" t="inlineStr">
        <is>
          <t>NET PI TO HSL SEC A/C 2554606-00602340029427</t>
        </is>
      </c>
      <c r="C1367" s="114" t="inlineStr">
        <is>
          <t>0000000478002383</t>
        </is>
      </c>
      <c r="D1367" s="114" t="n">
        <v>147.26</v>
      </c>
      <c r="E1367" s="114" t="n">
        <v>0</v>
      </c>
      <c r="F1367" s="114" t="n">
        <v>109938.19</v>
      </c>
      <c r="G1367" s="114" t="inlineStr">
        <is>
          <t>HDFC Securities</t>
        </is>
      </c>
      <c r="H1367" s="114" t="inlineStr">
        <is>
          <t>HDFC 5413</t>
        </is>
      </c>
    </row>
    <row r="1368">
      <c r="A1368" s="113" t="n">
        <v>45288</v>
      </c>
      <c r="B1368" s="114" t="inlineStr">
        <is>
          <t>UPIOUT/372813743689/euronetgpay.playrc@ici
ci/6540</t>
        </is>
      </c>
      <c r="C1368" s="114" t="inlineStr"/>
      <c r="D1368" s="114" t="n">
        <v>199</v>
      </c>
      <c r="E1368" s="114" t="n">
        <v>0</v>
      </c>
      <c r="F1368" s="114" t="n">
        <v>21690.15</v>
      </c>
      <c r="G1368" s="114" t="inlineStr">
        <is>
          <t>Personal</t>
        </is>
      </c>
      <c r="H1368" s="114" t="inlineStr">
        <is>
          <t>FEDERAL 0847</t>
        </is>
      </c>
    </row>
    <row r="1369">
      <c r="A1369" s="113" t="n">
        <v>45288</v>
      </c>
      <c r="B1369" s="114" t="inlineStr">
        <is>
          <t>UPIOUT/336245640758/Q423659019@ybl/Sent
via /5311</t>
        </is>
      </c>
      <c r="C1369" s="114" t="inlineStr"/>
      <c r="D1369" s="114" t="n">
        <v>25</v>
      </c>
      <c r="E1369" s="114" t="n">
        <v>0</v>
      </c>
      <c r="F1369" s="114" t="n">
        <v>21889.15</v>
      </c>
      <c r="G1369" s="114" t="inlineStr">
        <is>
          <t>Personal</t>
        </is>
      </c>
      <c r="H1369" s="114" t="inlineStr">
        <is>
          <t>FEDERAL 0847</t>
        </is>
      </c>
    </row>
    <row r="1370">
      <c r="A1370" s="113" t="n">
        <v>45288</v>
      </c>
      <c r="B1370" s="114" t="inlineStr">
        <is>
          <t>NET PI TO HSL SEC A/C 2554606-00602340029427</t>
        </is>
      </c>
      <c r="C1370" s="114" t="inlineStr">
        <is>
          <t>0000000477744263</t>
        </is>
      </c>
      <c r="D1370" s="114" t="n">
        <v>18479.92</v>
      </c>
      <c r="E1370" s="114" t="n">
        <v>0</v>
      </c>
      <c r="F1370" s="114" t="n">
        <v>115085.45</v>
      </c>
      <c r="G1370" s="114" t="inlineStr">
        <is>
          <t>HDFC Securities</t>
        </is>
      </c>
      <c r="H1370" s="114" t="inlineStr">
        <is>
          <t>HDFC 5413</t>
        </is>
      </c>
    </row>
    <row r="1371">
      <c r="A1371" s="113" t="n">
        <v>45288</v>
      </c>
      <c r="B1371" s="114" t="inlineStr">
        <is>
          <t>ACH D- TP ACH INDIANESIGN-1322787437</t>
        </is>
      </c>
      <c r="C1371" s="114" t="inlineStr">
        <is>
          <t>0000008905687513</t>
        </is>
      </c>
      <c r="D1371" s="114" t="n">
        <v>5000</v>
      </c>
      <c r="E1371" s="114" t="n">
        <v>0</v>
      </c>
      <c r="F1371" s="114" t="n">
        <v>110085.45</v>
      </c>
      <c r="G1371" s="114" t="inlineStr">
        <is>
          <t>SIP</t>
        </is>
      </c>
      <c r="H1371" s="114" t="inlineStr">
        <is>
          <t>HDFC 5413</t>
        </is>
      </c>
    </row>
    <row r="1372">
      <c r="A1372" s="113" t="n">
        <v>45289</v>
      </c>
      <c r="B1372" s="114" t="inlineStr">
        <is>
          <t>UPIOUT/336351664327/paytmqr2810050501016jc
mc/5411</t>
        </is>
      </c>
      <c r="C1372" s="114" t="inlineStr"/>
      <c r="D1372" s="114" t="n">
        <v>90</v>
      </c>
      <c r="E1372" s="114" t="n">
        <v>0</v>
      </c>
      <c r="F1372" s="114" t="n">
        <v>21600.15</v>
      </c>
      <c r="G1372" s="114" t="inlineStr">
        <is>
          <t>Personal</t>
        </is>
      </c>
      <c r="H1372" s="114" t="inlineStr">
        <is>
          <t>FEDERAL 0847</t>
        </is>
      </c>
    </row>
    <row r="1373">
      <c r="A1373" s="113" t="n">
        <v>45289</v>
      </c>
      <c r="B1373" s="114" t="inlineStr">
        <is>
          <t>UPIOUT/336351698550/Q267751124@ybl/Sent
via /5441</t>
        </is>
      </c>
      <c r="C1373" s="114" t="inlineStr"/>
      <c r="D1373" s="114" t="n">
        <v>70</v>
      </c>
      <c r="E1373" s="114" t="n">
        <v>0</v>
      </c>
      <c r="F1373" s="114" t="n">
        <v>21530.15</v>
      </c>
      <c r="G1373" s="114" t="inlineStr">
        <is>
          <t>Personal</t>
        </is>
      </c>
      <c r="H1373" s="114" t="inlineStr">
        <is>
          <t>FEDERAL 0847</t>
        </is>
      </c>
    </row>
    <row r="1374">
      <c r="A1374" s="113" t="n">
        <v>45289</v>
      </c>
      <c r="B1374" s="114" t="inlineStr">
        <is>
          <t>NET PO FROM HSL A/C 2554606-50200085415108</t>
        </is>
      </c>
      <c r="C1374" s="114" t="inlineStr">
        <is>
          <t>0000000478288317</t>
        </is>
      </c>
      <c r="D1374" s="114" t="n">
        <v>0</v>
      </c>
      <c r="E1374" s="114" t="n">
        <v>321.45</v>
      </c>
      <c r="F1374" s="114" t="n">
        <v>110259.64</v>
      </c>
      <c r="G1374" s="114" t="inlineStr">
        <is>
          <t>HDFC Securities</t>
        </is>
      </c>
      <c r="H1374" s="114" t="inlineStr">
        <is>
          <t>HDFC 5413</t>
        </is>
      </c>
    </row>
    <row r="1375">
      <c r="A1375" s="113" t="n">
        <v>45289</v>
      </c>
      <c r="B1375" s="114" t="inlineStr">
        <is>
          <t>NET PI TO HSL SEC A/C 2554606-00602340029427</t>
        </is>
      </c>
      <c r="C1375" s="114" t="inlineStr">
        <is>
          <t>0000000478413971</t>
        </is>
      </c>
      <c r="D1375" s="114" t="n">
        <v>170.11</v>
      </c>
      <c r="E1375" s="114" t="n">
        <v>0</v>
      </c>
      <c r="F1375" s="114" t="n">
        <v>110089.53</v>
      </c>
      <c r="G1375" s="114" t="inlineStr">
        <is>
          <t>HDFC Securities</t>
        </is>
      </c>
      <c r="H1375" s="114" t="inlineStr">
        <is>
          <t>HDFC 5413</t>
        </is>
      </c>
    </row>
    <row r="1376">
      <c r="A1376" s="113" t="n">
        <v>45289</v>
      </c>
      <c r="B1376" s="114" t="inlineStr">
        <is>
          <t>NET PI TO HSL SEC A/C 2554606-00602340029427</t>
        </is>
      </c>
      <c r="C1376" s="114" t="inlineStr">
        <is>
          <t>0000000478578118</t>
        </is>
      </c>
      <c r="D1376" s="114" t="n">
        <v>65206.15</v>
      </c>
      <c r="E1376" s="114" t="n">
        <v>0</v>
      </c>
      <c r="F1376" s="114" t="n">
        <v>44883.38</v>
      </c>
      <c r="G1376" s="114" t="inlineStr">
        <is>
          <t>HDFC Securities</t>
        </is>
      </c>
      <c r="H1376" s="114" t="inlineStr">
        <is>
          <t>HDFC 5413</t>
        </is>
      </c>
    </row>
    <row r="1377">
      <c r="A1377" s="113" t="n">
        <v>45290</v>
      </c>
      <c r="B1377" s="114" t="inlineStr">
        <is>
          <t>NFT/DR REDDYS LABOR/CITIN23476712141/CITI</t>
        </is>
      </c>
      <c r="C1377" s="114" t="inlineStr"/>
      <c r="D1377" s="114" t="n">
        <v>0</v>
      </c>
      <c r="E1377" s="114" t="n">
        <v>22500</v>
      </c>
      <c r="F1377" s="114" t="n">
        <v>44030.15</v>
      </c>
      <c r="G1377" s="114" t="inlineStr">
        <is>
          <t>Suspense</t>
        </is>
      </c>
      <c r="H1377" s="114" t="inlineStr">
        <is>
          <t>FEDERAL 0847</t>
        </is>
      </c>
    </row>
    <row r="1378">
      <c r="A1378" s="113" t="n">
        <v>45291</v>
      </c>
      <c r="B1378" s="114" t="inlineStr">
        <is>
          <t>UPIOUT/336560333920/uber@axisbank/charge/4
121</t>
        </is>
      </c>
      <c r="C1378" s="114" t="inlineStr"/>
      <c r="D1378" s="114" t="n">
        <v>79.02</v>
      </c>
      <c r="E1378" s="114" t="n">
        <v>0</v>
      </c>
      <c r="F1378" s="114" t="n">
        <v>43951.13</v>
      </c>
      <c r="G1378" s="114" t="inlineStr">
        <is>
          <t>Transport</t>
        </is>
      </c>
      <c r="H1378" s="114" t="inlineStr">
        <is>
          <t>FEDERAL 0847</t>
        </is>
      </c>
    </row>
    <row r="1379">
      <c r="A1379" s="113" t="n">
        <v>45291</v>
      </c>
      <c r="B1379" s="114" t="inlineStr">
        <is>
          <t>UPIOUT/336562980452/udemyindiallp.bdpg@ici
ci/8299</t>
        </is>
      </c>
      <c r="C1379" s="114" t="inlineStr"/>
      <c r="D1379" s="114" t="n">
        <v>529</v>
      </c>
      <c r="E1379" s="114" t="n">
        <v>0</v>
      </c>
      <c r="F1379" s="114" t="n">
        <v>43422.13</v>
      </c>
      <c r="G1379" s="114" t="inlineStr">
        <is>
          <t>Personal</t>
        </is>
      </c>
      <c r="H1379" s="114" t="inlineStr">
        <is>
          <t>FEDERAL 0847</t>
        </is>
      </c>
    </row>
    <row r="1380">
      <c r="A1380" s="113" t="n">
        <v>45291</v>
      </c>
      <c r="B1380" s="114" t="inlineStr">
        <is>
          <t>01671000060094-TPT-MONEY RETURNED FROM AAYUSH TO SUNITA-SUNITA GUPTA</t>
        </is>
      </c>
      <c r="C1380" s="114" t="inlineStr">
        <is>
          <t>0000000314565761</t>
        </is>
      </c>
      <c r="D1380" s="114" t="n">
        <v>0</v>
      </c>
      <c r="E1380" s="114" t="n">
        <v>10000</v>
      </c>
      <c r="F1380" s="114" t="n">
        <v>54883.38</v>
      </c>
      <c r="G1380" s="114" t="inlineStr">
        <is>
          <t>Sunita Gupta</t>
        </is>
      </c>
      <c r="H1380" s="114" t="inlineStr">
        <is>
          <t>HDFC 5413</t>
        </is>
      </c>
    </row>
    <row r="1381">
      <c r="A1381" s="113" t="n">
        <v>45292</v>
      </c>
      <c r="B1381" s="114" t="inlineStr">
        <is>
          <t>UPIOUT/400168935458/Q644952300@ybl/Sent
via /5451</t>
        </is>
      </c>
      <c r="C1381" s="114" t="inlineStr"/>
      <c r="D1381" s="114" t="n">
        <v>50</v>
      </c>
      <c r="E1381" s="114" t="n">
        <v>0</v>
      </c>
      <c r="F1381" s="114" t="n">
        <v>42721.13</v>
      </c>
      <c r="G1381" s="114" t="inlineStr">
        <is>
          <t>Personal</t>
        </is>
      </c>
      <c r="H1381" s="114" t="inlineStr">
        <is>
          <t>FEDERAL 0847</t>
        </is>
      </c>
    </row>
    <row r="1382">
      <c r="A1382" s="113" t="n">
        <v>45292</v>
      </c>
      <c r="B1382" s="114" t="inlineStr">
        <is>
          <t>UPIOUT/400166701661/rzpmebigolabspvtltd@ye
sb/2741</t>
        </is>
      </c>
      <c r="C1382" s="114" t="inlineStr"/>
      <c r="D1382" s="114" t="n">
        <v>359</v>
      </c>
      <c r="E1382" s="114" t="n">
        <v>0</v>
      </c>
      <c r="F1382" s="114" t="n">
        <v>42771.13</v>
      </c>
      <c r="G1382" s="114" t="inlineStr">
        <is>
          <t>Personal</t>
        </is>
      </c>
      <c r="H1382" s="114" t="inlineStr">
        <is>
          <t>FEDERAL 0847</t>
        </is>
      </c>
    </row>
    <row r="1383">
      <c r="A1383" s="113" t="n">
        <v>45292</v>
      </c>
      <c r="B1383" s="114" t="inlineStr">
        <is>
          <t>UPIOUT/436708916299/paytm-56505013@paytm/O
id/5722</t>
        </is>
      </c>
      <c r="C1383" s="114" t="inlineStr"/>
      <c r="D1383" s="114" t="n">
        <v>292</v>
      </c>
      <c r="E1383" s="114" t="n">
        <v>0</v>
      </c>
      <c r="F1383" s="114" t="n">
        <v>43130.13</v>
      </c>
      <c r="G1383" s="114" t="inlineStr">
        <is>
          <t>Personal</t>
        </is>
      </c>
      <c r="H1383" s="114" t="inlineStr">
        <is>
          <t>FEDERAL 0847</t>
        </is>
      </c>
    </row>
    <row r="1384">
      <c r="A1384" s="113" t="n">
        <v>45292</v>
      </c>
      <c r="B1384" s="114" t="inlineStr">
        <is>
          <t>CREDIT INTEREST CAPITALISED</t>
        </is>
      </c>
      <c r="C1384" s="114" t="inlineStr">
        <is>
          <t>000000000000000</t>
        </is>
      </c>
      <c r="D1384" s="114" t="n">
        <v>0</v>
      </c>
      <c r="E1384" s="114" t="n">
        <v>524</v>
      </c>
      <c r="F1384" s="114" t="n">
        <v>55407.38</v>
      </c>
      <c r="G1384" s="114" t="inlineStr">
        <is>
          <t>Bank Interest</t>
        </is>
      </c>
      <c r="H1384" s="114" t="inlineStr">
        <is>
          <t>HDFC 5413</t>
        </is>
      </c>
    </row>
    <row r="1385">
      <c r="A1385" s="113" t="n">
        <v>45292</v>
      </c>
      <c r="B1385" s="114" t="inlineStr">
        <is>
          <t>NET PI TO HSL SEC A/C 2554606-00602340029427</t>
        </is>
      </c>
      <c r="C1385" s="114" t="inlineStr">
        <is>
          <t>0000000478919237</t>
        </is>
      </c>
      <c r="D1385" s="114" t="n">
        <v>441</v>
      </c>
      <c r="E1385" s="114" t="n">
        <v>0</v>
      </c>
      <c r="F1385" s="114" t="n">
        <v>49966.38</v>
      </c>
      <c r="G1385" s="114" t="inlineStr">
        <is>
          <t>HDFC Securities</t>
        </is>
      </c>
      <c r="H1385" s="114" t="inlineStr">
        <is>
          <t>HDFC 5413</t>
        </is>
      </c>
    </row>
    <row r="1386">
      <c r="A1386" s="113" t="n">
        <v>45292</v>
      </c>
      <c r="B1386" s="114" t="inlineStr">
        <is>
          <t>ACH D- TP ACH INDIANESIGN-1325427826</t>
        </is>
      </c>
      <c r="C1386" s="114" t="inlineStr">
        <is>
          <t>0000008979329207</t>
        </is>
      </c>
      <c r="D1386" s="114" t="n">
        <v>5000</v>
      </c>
      <c r="E1386" s="114" t="n">
        <v>0</v>
      </c>
      <c r="F1386" s="114" t="n">
        <v>50407.38</v>
      </c>
      <c r="G1386" s="114" t="inlineStr">
        <is>
          <t>SIP</t>
        </is>
      </c>
      <c r="H1386" s="114" t="inlineStr">
        <is>
          <t>HDFC 5413</t>
        </is>
      </c>
    </row>
    <row r="1387">
      <c r="A1387" s="113" t="n">
        <v>45292</v>
      </c>
      <c r="B1387" s="114" t="inlineStr">
        <is>
          <t>915010020334307:Int.Pd:01-10-2023 to 31-12-2023</t>
        </is>
      </c>
      <c r="C1387" s="114" t="inlineStr">
        <is>
          <t>-</t>
        </is>
      </c>
      <c r="D1387" s="114" t="n">
        <v>0</v>
      </c>
      <c r="E1387" s="114" t="n">
        <v>211</v>
      </c>
      <c r="F1387" s="114" t="n">
        <v>16723.39</v>
      </c>
      <c r="G1387" s="114" t="inlineStr">
        <is>
          <t>Bank Interest</t>
        </is>
      </c>
      <c r="H1387" s="114" t="inlineStr">
        <is>
          <t>AXIS</t>
        </is>
      </c>
    </row>
    <row r="1388">
      <c r="A1388" s="113" t="n">
        <v>45292</v>
      </c>
      <c r="B1388" s="114" t="inlineStr">
        <is>
          <t>NET PI TO HSL SEC A/C 2554606-00602340029427</t>
        </is>
      </c>
      <c r="C1388" s="114" t="inlineStr">
        <is>
          <t>0000000479096520</t>
        </is>
      </c>
      <c r="D1388" s="114" t="n">
        <v>41407.31</v>
      </c>
      <c r="E1388" s="114" t="n">
        <v>0</v>
      </c>
      <c r="F1388" s="114" t="n">
        <v>8559.07</v>
      </c>
      <c r="G1388" s="114" t="inlineStr">
        <is>
          <t>HDFC Securities</t>
        </is>
      </c>
      <c r="H1388" s="114" t="inlineStr">
        <is>
          <t>HDFC 5413</t>
        </is>
      </c>
    </row>
    <row r="1389">
      <c r="A1389" s="113" t="n">
        <v>45293</v>
      </c>
      <c r="B1389" s="114" t="inlineStr">
        <is>
          <t>NET PI TO HSL SEC A/C 2554606-00602340029427</t>
        </is>
      </c>
      <c r="C1389" s="114" t="inlineStr">
        <is>
          <t>0000000479359348</t>
        </is>
      </c>
      <c r="D1389" s="114" t="n">
        <v>132.25</v>
      </c>
      <c r="E1389" s="114" t="n">
        <v>0</v>
      </c>
      <c r="F1389" s="114" t="n">
        <v>8426.82</v>
      </c>
      <c r="G1389" s="114" t="inlineStr">
        <is>
          <t>HDFC Securities</t>
        </is>
      </c>
      <c r="H1389" s="114" t="inlineStr">
        <is>
          <t>HDFC 5413</t>
        </is>
      </c>
    </row>
    <row r="1390">
      <c r="A1390" s="113" t="n">
        <v>45293</v>
      </c>
      <c r="B1390" s="114" t="inlineStr">
        <is>
          <t>UPIOUT/400271061452/paytmqr131obboa1j@payt
m//5411</t>
        </is>
      </c>
      <c r="C1390" s="114" t="inlineStr"/>
      <c r="D1390" s="114" t="n">
        <v>20</v>
      </c>
      <c r="E1390" s="114" t="n">
        <v>0</v>
      </c>
      <c r="F1390" s="114" t="n">
        <v>42701.13</v>
      </c>
      <c r="G1390" s="114" t="inlineStr">
        <is>
          <t>Personal</t>
        </is>
      </c>
      <c r="H1390" s="114" t="inlineStr">
        <is>
          <t>FEDERAL 0847</t>
        </is>
      </c>
    </row>
    <row r="1391">
      <c r="A1391" s="113" t="n">
        <v>45293</v>
      </c>
      <c r="B1391" s="114" t="inlineStr">
        <is>
          <t>UPIOUT/400272432304/Q868176613@ybl/Sent
via /5311</t>
        </is>
      </c>
      <c r="C1391" s="114" t="inlineStr"/>
      <c r="D1391" s="114" t="n">
        <v>300</v>
      </c>
      <c r="E1391" s="114" t="n">
        <v>0</v>
      </c>
      <c r="F1391" s="114" t="n">
        <v>42401.13</v>
      </c>
      <c r="G1391" s="114" t="inlineStr">
        <is>
          <t>Personal</t>
        </is>
      </c>
      <c r="H1391" s="114" t="inlineStr">
        <is>
          <t>FEDERAL 0847</t>
        </is>
      </c>
    </row>
    <row r="1392">
      <c r="A1392" s="113" t="n">
        <v>45293</v>
      </c>
      <c r="B1392" s="114" t="inlineStr">
        <is>
          <t>UPIOUT/400273812144/Q352615776@ybl/Sent
via /0000</t>
        </is>
      </c>
      <c r="C1392" s="114" t="inlineStr"/>
      <c r="D1392" s="114" t="n">
        <v>20</v>
      </c>
      <c r="E1392" s="114" t="n">
        <v>0</v>
      </c>
      <c r="F1392" s="114" t="n">
        <v>42381.13</v>
      </c>
      <c r="G1392" s="114" t="inlineStr">
        <is>
          <t>Personal</t>
        </is>
      </c>
      <c r="H1392" s="114" t="inlineStr">
        <is>
          <t>FEDERAL 0847</t>
        </is>
      </c>
    </row>
    <row r="1393">
      <c r="A1393" s="113" t="n">
        <v>45293</v>
      </c>
      <c r="B1393" s="114" t="inlineStr">
        <is>
          <t>UPIOUT/400273830449/Q704640317@ybl/Sent
via /5812</t>
        </is>
      </c>
      <c r="C1393" s="114" t="inlineStr"/>
      <c r="D1393" s="114" t="n">
        <v>15</v>
      </c>
      <c r="E1393" s="114" t="n">
        <v>0</v>
      </c>
      <c r="F1393" s="114" t="n">
        <v>42366.13</v>
      </c>
      <c r="G1393" s="114" t="inlineStr">
        <is>
          <t>Personal</t>
        </is>
      </c>
      <c r="H1393" s="114" t="inlineStr">
        <is>
          <t>FEDERAL 0847</t>
        </is>
      </c>
    </row>
    <row r="1394">
      <c r="A1394" s="113" t="n">
        <v>45293</v>
      </c>
      <c r="B1394" s="114" t="inlineStr">
        <is>
          <t>NET PI TO HSL SEC A/C 2554606-00602340029427</t>
        </is>
      </c>
      <c r="C1394" s="114" t="inlineStr">
        <is>
          <t>0000000479522255</t>
        </is>
      </c>
      <c r="D1394" s="114" t="n">
        <v>16611.3</v>
      </c>
      <c r="E1394" s="114" t="n">
        <v>0</v>
      </c>
      <c r="F1394" s="114" t="n">
        <v>21815.52</v>
      </c>
      <c r="G1394" s="114" t="inlineStr">
        <is>
          <t>HDFC Securities</t>
        </is>
      </c>
      <c r="H1394" s="114" t="inlineStr">
        <is>
          <t>HDFC 5413</t>
        </is>
      </c>
    </row>
    <row r="1395">
      <c r="A1395" s="113" t="n">
        <v>45293</v>
      </c>
      <c r="B1395" s="114" t="inlineStr">
        <is>
          <t>01671000060094-TPT-BORROW FROM SUNITA TO AAYUSH-SUNITA GUPTA</t>
        </is>
      </c>
      <c r="C1395" s="114" t="inlineStr">
        <is>
          <t>0000000121852334</t>
        </is>
      </c>
      <c r="D1395" s="114" t="n">
        <v>0</v>
      </c>
      <c r="E1395" s="114" t="n">
        <v>30000</v>
      </c>
      <c r="F1395" s="114" t="n">
        <v>38426.82</v>
      </c>
      <c r="G1395" s="114" t="inlineStr">
        <is>
          <t>Sunita Gupta</t>
        </is>
      </c>
      <c r="H1395" s="114" t="inlineStr">
        <is>
          <t>HDFC 5413</t>
        </is>
      </c>
    </row>
    <row r="1396">
      <c r="A1396" s="113" t="n">
        <v>45294</v>
      </c>
      <c r="B1396" s="114" t="inlineStr">
        <is>
          <t>NET PI TO HSL SEC A/C 2554606-00602340029427</t>
        </is>
      </c>
      <c r="C1396" s="114" t="inlineStr">
        <is>
          <t>0000000479963225</t>
        </is>
      </c>
      <c r="D1396" s="114" t="n">
        <v>12535.13</v>
      </c>
      <c r="E1396" s="114" t="n">
        <v>0</v>
      </c>
      <c r="F1396" s="114" t="n">
        <v>9105.139999999999</v>
      </c>
      <c r="G1396" s="114" t="inlineStr">
        <is>
          <t>HDFC Securities</t>
        </is>
      </c>
      <c r="H1396" s="114" t="inlineStr">
        <is>
          <t>HDFC 5413</t>
        </is>
      </c>
    </row>
    <row r="1397">
      <c r="A1397" s="113" t="n">
        <v>45294</v>
      </c>
      <c r="B1397" s="114" t="inlineStr">
        <is>
          <t>NFT/NEOSIEXEDDD2024010304151238759 NAVI
Mutual Fun</t>
        </is>
      </c>
      <c r="C1397" s="114" t="inlineStr"/>
      <c r="D1397" s="114" t="n">
        <v>1000</v>
      </c>
      <c r="E1397" s="114" t="n">
        <v>0</v>
      </c>
      <c r="F1397" s="114" t="n">
        <v>41366.13</v>
      </c>
      <c r="G1397" s="114" t="inlineStr">
        <is>
          <t>Investments</t>
        </is>
      </c>
      <c r="H1397" s="114" t="inlineStr">
        <is>
          <t>FEDERAL 0847</t>
        </is>
      </c>
    </row>
    <row r="1398">
      <c r="A1398" s="113" t="n">
        <v>45294</v>
      </c>
      <c r="B1398" s="114" t="inlineStr">
        <is>
          <t>UPIOUT/400359873139/uberrides@hdfcbank/cha
rg/5960</t>
        </is>
      </c>
      <c r="C1398" s="114" t="inlineStr"/>
      <c r="D1398" s="114" t="n">
        <v>66.37</v>
      </c>
      <c r="E1398" s="114" t="n">
        <v>0</v>
      </c>
      <c r="F1398" s="114" t="n">
        <v>41299.76</v>
      </c>
      <c r="G1398" s="114" t="inlineStr">
        <is>
          <t>Transport</t>
        </is>
      </c>
      <c r="H1398" s="114" t="inlineStr">
        <is>
          <t>FEDERAL 0847</t>
        </is>
      </c>
    </row>
    <row r="1399">
      <c r="A1399" s="113" t="n">
        <v>45294</v>
      </c>
      <c r="B1399" s="114" t="inlineStr">
        <is>
          <t>NET PI TO HSL SEC A/C 2554606-00602340029427</t>
        </is>
      </c>
      <c r="C1399" s="114" t="inlineStr">
        <is>
          <t>0000000479800546</t>
        </is>
      </c>
      <c r="D1399" s="114" t="n">
        <v>175.25</v>
      </c>
      <c r="E1399" s="114" t="n">
        <v>0</v>
      </c>
      <c r="F1399" s="114" t="n">
        <v>21640.27</v>
      </c>
      <c r="G1399" s="114" t="inlineStr">
        <is>
          <t>HDFC Securities</t>
        </is>
      </c>
      <c r="H1399" s="114" t="inlineStr">
        <is>
          <t>HDFC 5413</t>
        </is>
      </c>
    </row>
    <row r="1400">
      <c r="A1400" s="113" t="n">
        <v>45295</v>
      </c>
      <c r="B1400" s="114" t="inlineStr">
        <is>
          <t>NET PI TO HSL SEC A/C 2554606-00602340029427</t>
        </is>
      </c>
      <c r="C1400" s="114" t="inlineStr">
        <is>
          <t>0000000480248337</t>
        </is>
      </c>
      <c r="D1400" s="114" t="n">
        <v>195.72</v>
      </c>
      <c r="E1400" s="114" t="n">
        <v>0</v>
      </c>
      <c r="F1400" s="114" t="n">
        <v>8909.42</v>
      </c>
      <c r="G1400" s="114" t="inlineStr">
        <is>
          <t>HDFC Securities</t>
        </is>
      </c>
      <c r="H1400" s="114" t="inlineStr">
        <is>
          <t>HDFC 5413</t>
        </is>
      </c>
    </row>
    <row r="1401">
      <c r="A1401" s="113" t="n">
        <v>45295</v>
      </c>
      <c r="B1401" s="114" t="inlineStr">
        <is>
          <t>UPIOUT/400481108034/jyadav250692@ybl/Sent
vi/0000</t>
        </is>
      </c>
      <c r="C1401" s="114" t="inlineStr"/>
      <c r="D1401" s="114" t="n">
        <v>95</v>
      </c>
      <c r="E1401" s="114" t="n">
        <v>0</v>
      </c>
      <c r="F1401" s="114" t="n">
        <v>41204.76</v>
      </c>
      <c r="G1401" s="114" t="inlineStr">
        <is>
          <t>Personal</t>
        </is>
      </c>
      <c r="H1401" s="114" t="inlineStr">
        <is>
          <t>FEDERAL 0847</t>
        </is>
      </c>
    </row>
    <row r="1402">
      <c r="A1402" s="113" t="n">
        <v>45295</v>
      </c>
      <c r="B1402" s="114" t="inlineStr">
        <is>
          <t>UPIOUT/400481218325/rapido.rzp@icici/Payme
nt/4121</t>
        </is>
      </c>
      <c r="C1402" s="114" t="inlineStr"/>
      <c r="D1402" s="114" t="n">
        <v>40</v>
      </c>
      <c r="E1402" s="114" t="n">
        <v>0</v>
      </c>
      <c r="F1402" s="114" t="n">
        <v>41164.76</v>
      </c>
      <c r="G1402" s="114" t="inlineStr">
        <is>
          <t>Transport</t>
        </is>
      </c>
      <c r="H1402" s="114" t="inlineStr">
        <is>
          <t>FEDERAL 0847</t>
        </is>
      </c>
    </row>
    <row r="1403">
      <c r="A1403" s="113" t="n">
        <v>45295</v>
      </c>
      <c r="B1403" s="114" t="inlineStr">
        <is>
          <t>UPIOUT/400484118098/9059531663@axl/Sent
via /0000</t>
        </is>
      </c>
      <c r="C1403" s="114" t="inlineStr"/>
      <c r="D1403" s="114" t="n">
        <v>130</v>
      </c>
      <c r="E1403" s="114" t="n">
        <v>0</v>
      </c>
      <c r="F1403" s="114" t="n">
        <v>41034.76</v>
      </c>
      <c r="G1403" s="114" t="inlineStr">
        <is>
          <t>Personal</t>
        </is>
      </c>
      <c r="H1403" s="114" t="inlineStr">
        <is>
          <t>FEDERAL 0847</t>
        </is>
      </c>
    </row>
    <row r="1404">
      <c r="A1404" s="113" t="n">
        <v>45295</v>
      </c>
      <c r="B1404" s="114" t="inlineStr">
        <is>
          <t>UPIOUT/400484784253/9603897717@ybl/Sent
via /0000</t>
        </is>
      </c>
      <c r="C1404" s="114" t="inlineStr"/>
      <c r="D1404" s="114" t="n">
        <v>244</v>
      </c>
      <c r="E1404" s="114" t="n">
        <v>0</v>
      </c>
      <c r="F1404" s="114" t="n">
        <v>40790.76</v>
      </c>
      <c r="G1404" s="114" t="inlineStr">
        <is>
          <t>Personal</t>
        </is>
      </c>
      <c r="H1404" s="114" t="inlineStr">
        <is>
          <t>FEDERAL 0847</t>
        </is>
      </c>
    </row>
    <row r="1405">
      <c r="A1405" s="113" t="n">
        <v>45296</v>
      </c>
      <c r="B1405" s="114" t="inlineStr">
        <is>
          <t>NET PO FROM HSL A/C 2554606-50200085415108</t>
        </is>
      </c>
      <c r="C1405" s="114" t="inlineStr">
        <is>
          <t>0000000480532279</t>
        </is>
      </c>
      <c r="D1405" s="114" t="n">
        <v>0</v>
      </c>
      <c r="E1405" s="114" t="n">
        <v>10025.81</v>
      </c>
      <c r="F1405" s="114" t="n">
        <v>18935.23</v>
      </c>
      <c r="G1405" s="114" t="inlineStr">
        <is>
          <t>HDFC Securities</t>
        </is>
      </c>
      <c r="H1405" s="114" t="inlineStr">
        <is>
          <t>HDFC 5413</t>
        </is>
      </c>
    </row>
    <row r="1406">
      <c r="A1406" s="113" t="n">
        <v>45296</v>
      </c>
      <c r="B1406" s="114" t="inlineStr">
        <is>
          <t>NET PI TO HSL SEC A/C 2554606-00602340029427</t>
        </is>
      </c>
      <c r="C1406" s="114" t="inlineStr">
        <is>
          <t>0000000480843159</t>
        </is>
      </c>
      <c r="D1406" s="114" t="n">
        <v>824.52</v>
      </c>
      <c r="E1406" s="114" t="n">
        <v>0</v>
      </c>
      <c r="F1406" s="114" t="n">
        <v>18110.71</v>
      </c>
      <c r="G1406" s="114" t="inlineStr">
        <is>
          <t>HDFC Securities</t>
        </is>
      </c>
      <c r="H1406" s="114" t="inlineStr">
        <is>
          <t>HDFC 5413</t>
        </is>
      </c>
    </row>
    <row r="1407">
      <c r="A1407" s="113" t="n">
        <v>45296</v>
      </c>
      <c r="B1407" s="114" t="inlineStr">
        <is>
          <t>UPIOUT/400589500453/paytmqr281005050101183
o5/5812</t>
        </is>
      </c>
      <c r="C1407" s="114" t="inlineStr"/>
      <c r="D1407" s="114" t="n">
        <v>65</v>
      </c>
      <c r="E1407" s="114" t="n">
        <v>0</v>
      </c>
      <c r="F1407" s="114" t="n">
        <v>40695.76</v>
      </c>
      <c r="G1407" s="114" t="inlineStr">
        <is>
          <t>Personal</t>
        </is>
      </c>
      <c r="H1407" s="114" t="inlineStr">
        <is>
          <t>FEDERAL 0847</t>
        </is>
      </c>
    </row>
    <row r="1408">
      <c r="A1408" s="113" t="n">
        <v>45296</v>
      </c>
      <c r="B1408" s="114" t="inlineStr">
        <is>
          <t>UPIOUT/400586851771/paytmqr2810050501018y8
x4/5451</t>
        </is>
      </c>
      <c r="C1408" s="114" t="inlineStr"/>
      <c r="D1408" s="114" t="n">
        <v>30</v>
      </c>
      <c r="E1408" s="114" t="n">
        <v>0</v>
      </c>
      <c r="F1408" s="114" t="n">
        <v>40760.76</v>
      </c>
      <c r="G1408" s="114" t="inlineStr">
        <is>
          <t>Personal</t>
        </is>
      </c>
      <c r="H1408" s="114" t="inlineStr">
        <is>
          <t>FEDERAL 0847</t>
        </is>
      </c>
    </row>
    <row r="1409">
      <c r="A1409" s="113" t="n">
        <v>45296</v>
      </c>
      <c r="B1409" s="114" t="inlineStr">
        <is>
          <t>UPIOUT/400589668505/Q061226296@ybl/Sent
via /5411</t>
        </is>
      </c>
      <c r="C1409" s="114" t="inlineStr"/>
      <c r="D1409" s="114" t="n">
        <v>15</v>
      </c>
      <c r="E1409" s="114" t="n">
        <v>0</v>
      </c>
      <c r="F1409" s="114" t="n">
        <v>40680.76</v>
      </c>
      <c r="G1409" s="114" t="inlineStr">
        <is>
          <t>Personal</t>
        </is>
      </c>
      <c r="H1409" s="114" t="inlineStr">
        <is>
          <t>FEDERAL 0847</t>
        </is>
      </c>
    </row>
    <row r="1410">
      <c r="A1410" s="113" t="n">
        <v>45297</v>
      </c>
      <c r="B1410" s="114" t="inlineStr">
        <is>
          <t>UPIOUT/400695237318/Q832428843@ybl/Sent
via /5814</t>
        </is>
      </c>
      <c r="C1410" s="114" t="inlineStr"/>
      <c r="D1410" s="114" t="n">
        <v>15</v>
      </c>
      <c r="E1410" s="114" t="n">
        <v>0</v>
      </c>
      <c r="F1410" s="114" t="n">
        <v>40525.76</v>
      </c>
      <c r="G1410" s="114" t="inlineStr">
        <is>
          <t>Personal</t>
        </is>
      </c>
      <c r="H1410" s="114" t="inlineStr">
        <is>
          <t>FEDERAL 0847</t>
        </is>
      </c>
    </row>
    <row r="1411">
      <c r="A1411" s="113" t="n">
        <v>45297</v>
      </c>
      <c r="B1411" s="114" t="inlineStr">
        <is>
          <t>UPIOUT/400692907367/Q513775428@ybl/Sent
via /5311</t>
        </is>
      </c>
      <c r="C1411" s="114" t="inlineStr"/>
      <c r="D1411" s="114" t="n">
        <v>15</v>
      </c>
      <c r="E1411" s="114" t="n">
        <v>0</v>
      </c>
      <c r="F1411" s="114" t="n">
        <v>40600.76</v>
      </c>
      <c r="G1411" s="114" t="inlineStr">
        <is>
          <t>Personal</t>
        </is>
      </c>
      <c r="H1411" s="114" t="inlineStr">
        <is>
          <t>FEDERAL 0847</t>
        </is>
      </c>
    </row>
    <row r="1412">
      <c r="A1412" s="113" t="n">
        <v>45297</v>
      </c>
      <c r="B1412" s="114" t="inlineStr">
        <is>
          <t>UPIOUT/400695177461/Q963866768@ybl/Sent
via /5814</t>
        </is>
      </c>
      <c r="C1412" s="114" t="inlineStr"/>
      <c r="D1412" s="114" t="n">
        <v>40</v>
      </c>
      <c r="E1412" s="114" t="n">
        <v>0</v>
      </c>
      <c r="F1412" s="114" t="n">
        <v>40560.76</v>
      </c>
      <c r="G1412" s="114" t="inlineStr">
        <is>
          <t>Personal</t>
        </is>
      </c>
      <c r="H1412" s="114" t="inlineStr">
        <is>
          <t>FEDERAL 0847</t>
        </is>
      </c>
    </row>
    <row r="1413">
      <c r="A1413" s="113" t="n">
        <v>45297</v>
      </c>
      <c r="B1413" s="114" t="inlineStr">
        <is>
          <t>UPIOUT/400695194432/shileshmail19@okaxis/S
en/0000</t>
        </is>
      </c>
      <c r="C1413" s="114" t="inlineStr"/>
      <c r="D1413" s="114" t="n">
        <v>20</v>
      </c>
      <c r="E1413" s="114" t="n">
        <v>0</v>
      </c>
      <c r="F1413" s="114" t="n">
        <v>40540.76</v>
      </c>
      <c r="G1413" s="114" t="inlineStr">
        <is>
          <t>Personal</t>
        </is>
      </c>
      <c r="H1413" s="114" t="inlineStr">
        <is>
          <t>FEDERAL 0847</t>
        </is>
      </c>
    </row>
    <row r="1414">
      <c r="A1414" s="113" t="n">
        <v>45297</v>
      </c>
      <c r="B1414" s="114" t="inlineStr">
        <is>
          <t>UPIOUT/400695957601/paytmqr5xtfo6rqay@payt
m//5451</t>
        </is>
      </c>
      <c r="C1414" s="114" t="inlineStr"/>
      <c r="D1414" s="114" t="n">
        <v>117</v>
      </c>
      <c r="E1414" s="114" t="n">
        <v>0</v>
      </c>
      <c r="F1414" s="114" t="n">
        <v>40408.76</v>
      </c>
      <c r="G1414" s="114" t="inlineStr">
        <is>
          <t>Personal</t>
        </is>
      </c>
      <c r="H1414" s="114" t="inlineStr">
        <is>
          <t>FEDERAL 0847</t>
        </is>
      </c>
    </row>
    <row r="1415">
      <c r="A1415" s="113" t="n">
        <v>45297</v>
      </c>
      <c r="B1415" s="114" t="inlineStr">
        <is>
          <t>UPIOUT/400692533763/paytmqrq7x35rdmzv@payt
m//5411</t>
        </is>
      </c>
      <c r="C1415" s="114" t="inlineStr"/>
      <c r="D1415" s="114" t="n">
        <v>65</v>
      </c>
      <c r="E1415" s="114" t="n">
        <v>0</v>
      </c>
      <c r="F1415" s="114" t="n">
        <v>40615.76</v>
      </c>
      <c r="G1415" s="114" t="inlineStr">
        <is>
          <t>Personal</t>
        </is>
      </c>
      <c r="H1415" s="114" t="inlineStr">
        <is>
          <t>FEDERAL 0847</t>
        </is>
      </c>
    </row>
    <row r="1416">
      <c r="A1416" s="113" t="n">
        <v>45298</v>
      </c>
      <c r="B1416" s="114" t="inlineStr">
        <is>
          <t>UPIOUT/400797891818/Q172816524@ybl/Sent
via /5814</t>
        </is>
      </c>
      <c r="C1416" s="114" t="inlineStr"/>
      <c r="D1416" s="114" t="n">
        <v>15</v>
      </c>
      <c r="E1416" s="114" t="n">
        <v>0</v>
      </c>
      <c r="F1416" s="114" t="n">
        <v>40393.76</v>
      </c>
      <c r="G1416" s="114" t="inlineStr">
        <is>
          <t>Personal</t>
        </is>
      </c>
      <c r="H1416" s="114" t="inlineStr">
        <is>
          <t>FEDERAL 0847</t>
        </is>
      </c>
    </row>
    <row r="1417">
      <c r="A1417" s="113" t="n">
        <v>45298</v>
      </c>
      <c r="B1417" s="114" t="inlineStr">
        <is>
          <t>UPIOUT/400799107956/paytmqrfuea1l7gm2@payt
m//5812</t>
        </is>
      </c>
      <c r="C1417" s="114" t="inlineStr"/>
      <c r="D1417" s="114" t="n">
        <v>329</v>
      </c>
      <c r="E1417" s="114" t="n">
        <v>0</v>
      </c>
      <c r="F1417" s="114" t="n">
        <v>40064.76</v>
      </c>
      <c r="G1417" s="114" t="inlineStr">
        <is>
          <t>Personal</t>
        </is>
      </c>
      <c r="H1417" s="114" t="inlineStr">
        <is>
          <t>FEDERAL 0847</t>
        </is>
      </c>
    </row>
    <row r="1418">
      <c r="A1418" s="113" t="n">
        <v>45298</v>
      </c>
      <c r="B1418" s="114" t="inlineStr">
        <is>
          <t>UPIOUT/400799131327/Q080504479@ybl/Sent
via /5812</t>
        </is>
      </c>
      <c r="C1418" s="114" t="inlineStr"/>
      <c r="D1418" s="114" t="n">
        <v>20</v>
      </c>
      <c r="E1418" s="114" t="n">
        <v>0</v>
      </c>
      <c r="F1418" s="114" t="n">
        <v>40044.76</v>
      </c>
      <c r="G1418" s="114" t="inlineStr">
        <is>
          <t>Personal</t>
        </is>
      </c>
      <c r="H1418" s="114" t="inlineStr">
        <is>
          <t>FEDERAL 0847</t>
        </is>
      </c>
    </row>
    <row r="1419">
      <c r="A1419" s="113" t="n">
        <v>45298</v>
      </c>
      <c r="B1419" s="114" t="inlineStr">
        <is>
          <t>UPIOUT/400711080613/Q832428843@ybl/Sent
via /5814</t>
        </is>
      </c>
      <c r="C1419" s="114" t="inlineStr"/>
      <c r="D1419" s="114" t="n">
        <v>10</v>
      </c>
      <c r="E1419" s="114" t="n">
        <v>0</v>
      </c>
      <c r="F1419" s="114" t="n">
        <v>40034.76</v>
      </c>
      <c r="G1419" s="114" t="inlineStr">
        <is>
          <t>Personal</t>
        </is>
      </c>
      <c r="H1419" s="114" t="inlineStr">
        <is>
          <t>FEDERAL 0847</t>
        </is>
      </c>
    </row>
    <row r="1420">
      <c r="A1420" s="113" t="n">
        <v>45299</v>
      </c>
      <c r="B1420" s="114" t="inlineStr">
        <is>
          <t>UPIOUT/400813100240/rapido.rzp@icici/Payme
nt/4121</t>
        </is>
      </c>
      <c r="C1420" s="114" t="inlineStr"/>
      <c r="D1420" s="114" t="n">
        <v>30</v>
      </c>
      <c r="E1420" s="114" t="n">
        <v>0</v>
      </c>
      <c r="F1420" s="114" t="n">
        <v>40004.76</v>
      </c>
      <c r="G1420" s="114" t="inlineStr">
        <is>
          <t>Transport</t>
        </is>
      </c>
      <c r="H1420" s="114" t="inlineStr">
        <is>
          <t>FEDERAL 0847</t>
        </is>
      </c>
    </row>
    <row r="1421">
      <c r="A1421" s="113" t="n">
        <v>45299</v>
      </c>
      <c r="B1421" s="114" t="inlineStr">
        <is>
          <t>UPIOUT/400815845153/8125820265@ibl/Sent
via /0000</t>
        </is>
      </c>
      <c r="C1421" s="114" t="inlineStr"/>
      <c r="D1421" s="114" t="n">
        <v>10</v>
      </c>
      <c r="E1421" s="114" t="n">
        <v>0</v>
      </c>
      <c r="F1421" s="114" t="n">
        <v>39994.76</v>
      </c>
      <c r="G1421" s="114" t="inlineStr">
        <is>
          <t>Personal</t>
        </is>
      </c>
      <c r="H1421" s="114" t="inlineStr">
        <is>
          <t>FEDERAL 0847</t>
        </is>
      </c>
    </row>
    <row r="1422">
      <c r="A1422" s="113" t="n">
        <v>45299</v>
      </c>
      <c r="B1422" s="114" t="inlineStr">
        <is>
          <t>UPIOUT/400815901669/Q009697312@ybl/Sent
via /5814</t>
        </is>
      </c>
      <c r="C1422" s="114" t="inlineStr"/>
      <c r="D1422" s="114" t="n">
        <v>40</v>
      </c>
      <c r="E1422" s="114" t="n">
        <v>0</v>
      </c>
      <c r="F1422" s="114" t="n">
        <v>39954.76</v>
      </c>
      <c r="G1422" s="114" t="inlineStr">
        <is>
          <t>Personal</t>
        </is>
      </c>
      <c r="H1422" s="114" t="inlineStr">
        <is>
          <t>FEDERAL 0847</t>
        </is>
      </c>
    </row>
    <row r="1423">
      <c r="A1423" s="113" t="n">
        <v>45299</v>
      </c>
      <c r="B1423" s="114" t="inlineStr">
        <is>
          <t>UPIOUT/400815951173/Q832428843@ybl/Sent
via /5814</t>
        </is>
      </c>
      <c r="C1423" s="114" t="inlineStr"/>
      <c r="D1423" s="114" t="n">
        <v>10</v>
      </c>
      <c r="E1423" s="114" t="n">
        <v>0</v>
      </c>
      <c r="F1423" s="114" t="n">
        <v>39944.76</v>
      </c>
      <c r="G1423" s="114" t="inlineStr">
        <is>
          <t>Personal</t>
        </is>
      </c>
      <c r="H1423" s="114" t="inlineStr">
        <is>
          <t>FEDERAL 0847</t>
        </is>
      </c>
    </row>
    <row r="1424">
      <c r="A1424" s="113" t="n">
        <v>45299</v>
      </c>
      <c r="B1424" s="114" t="inlineStr">
        <is>
          <t>UPIOUT/400816648585/Vyapar.168625347624@hd
fc/7011</t>
        </is>
      </c>
      <c r="C1424" s="114" t="inlineStr"/>
      <c r="D1424" s="114" t="n">
        <v>15000</v>
      </c>
      <c r="E1424" s="114" t="n">
        <v>0</v>
      </c>
      <c r="F1424" s="114" t="n">
        <v>24944.76</v>
      </c>
      <c r="G1424" s="114" t="inlineStr">
        <is>
          <t>Personal</t>
        </is>
      </c>
      <c r="H1424" s="114" t="inlineStr">
        <is>
          <t>FEDERAL 0847</t>
        </is>
      </c>
    </row>
    <row r="1425">
      <c r="A1425" s="113" t="n">
        <v>45299</v>
      </c>
      <c r="B1425" s="114" t="inlineStr">
        <is>
          <t>00602300000434-025399570</t>
        </is>
      </c>
      <c r="C1425" s="114" t="inlineStr">
        <is>
          <t>0000401083570231</t>
        </is>
      </c>
      <c r="D1425" s="114" t="n">
        <v>0</v>
      </c>
      <c r="E1425" s="114" t="n">
        <v>1880</v>
      </c>
      <c r="F1425" s="114" t="n">
        <v>19990.71</v>
      </c>
      <c r="G1425" s="114" t="inlineStr">
        <is>
          <t>Suspense</t>
        </is>
      </c>
      <c r="H1425" s="114" t="inlineStr">
        <is>
          <t>HDFC 5413</t>
        </is>
      </c>
    </row>
    <row r="1426">
      <c r="A1426" s="113" t="n">
        <v>45299</v>
      </c>
      <c r="B1426" s="114" t="inlineStr">
        <is>
          <t>NET PI TO HSL SEC A/C 2554606-00602340029427</t>
        </is>
      </c>
      <c r="C1426" s="114" t="inlineStr">
        <is>
          <t>0000000481367127</t>
        </is>
      </c>
      <c r="D1426" s="114" t="n">
        <v>2764.57</v>
      </c>
      <c r="E1426" s="114" t="n">
        <v>0</v>
      </c>
      <c r="F1426" s="114" t="n">
        <v>17226.14</v>
      </c>
      <c r="G1426" s="114" t="inlineStr">
        <is>
          <t>HDFC Securities</t>
        </is>
      </c>
      <c r="H1426" s="114" t="inlineStr">
        <is>
          <t>HDFC 5413</t>
        </is>
      </c>
    </row>
    <row r="1427">
      <c r="A1427" s="113" t="n">
        <v>45300</v>
      </c>
      <c r="B1427" s="114" t="inlineStr">
        <is>
          <t>NET PI TO HSL SEC A/C 2554606-00602340029427</t>
        </is>
      </c>
      <c r="C1427" s="114" t="inlineStr">
        <is>
          <t>0000000481644045</t>
        </is>
      </c>
      <c r="D1427" s="114" t="n">
        <v>204.72</v>
      </c>
      <c r="E1427" s="114" t="n">
        <v>0</v>
      </c>
      <c r="F1427" s="114" t="n">
        <v>57984.94</v>
      </c>
      <c r="G1427" s="114" t="inlineStr">
        <is>
          <t>HDFC Securities</t>
        </is>
      </c>
      <c r="H1427" s="114" t="inlineStr">
        <is>
          <t>HDFC 5413</t>
        </is>
      </c>
    </row>
    <row r="1428">
      <c r="A1428" s="113" t="n">
        <v>45300</v>
      </c>
      <c r="B1428" s="114" t="inlineStr">
        <is>
          <t>NET PO FROM HSL A/C 2554606-50200085415108</t>
        </is>
      </c>
      <c r="C1428" s="114" t="inlineStr">
        <is>
          <t>0000000481542941</t>
        </is>
      </c>
      <c r="D1428" s="114" t="n">
        <v>0</v>
      </c>
      <c r="E1428" s="114" t="n">
        <v>40963.52</v>
      </c>
      <c r="F1428" s="114" t="n">
        <v>58189.66</v>
      </c>
      <c r="G1428" s="114" t="inlineStr">
        <is>
          <t>HDFC Securities</t>
        </is>
      </c>
      <c r="H1428" s="114" t="inlineStr">
        <is>
          <t>HDFC 5413</t>
        </is>
      </c>
    </row>
    <row r="1429">
      <c r="A1429" s="113" t="n">
        <v>45300</v>
      </c>
      <c r="B1429" s="114" t="inlineStr">
        <is>
          <t>UPIOUT/400918896471/7842871935@ibl/Sent
via /0000</t>
        </is>
      </c>
      <c r="C1429" s="114" t="inlineStr"/>
      <c r="D1429" s="114" t="n">
        <v>2000</v>
      </c>
      <c r="E1429" s="114" t="n">
        <v>0</v>
      </c>
      <c r="F1429" s="114" t="n">
        <v>22914.76</v>
      </c>
      <c r="G1429" s="114" t="inlineStr">
        <is>
          <t>Personal</t>
        </is>
      </c>
      <c r="H1429" s="114" t="inlineStr">
        <is>
          <t>FEDERAL 0847</t>
        </is>
      </c>
    </row>
    <row r="1430">
      <c r="A1430" s="113" t="n">
        <v>45300</v>
      </c>
      <c r="B1430" s="114" t="inlineStr">
        <is>
          <t>UPIOUT/437533773514/revellythirupathi111@o
kh/0000</t>
        </is>
      </c>
      <c r="C1430" s="114" t="inlineStr"/>
      <c r="D1430" s="114" t="n">
        <v>10</v>
      </c>
      <c r="E1430" s="114" t="n">
        <v>0</v>
      </c>
      <c r="F1430" s="114" t="n">
        <v>22904.76</v>
      </c>
      <c r="G1430" s="114" t="inlineStr">
        <is>
          <t>Personal</t>
        </is>
      </c>
      <c r="H1430" s="114" t="inlineStr">
        <is>
          <t>FEDERAL 0847</t>
        </is>
      </c>
    </row>
    <row r="1431">
      <c r="A1431" s="113" t="n">
        <v>45300</v>
      </c>
      <c r="B1431" s="114" t="inlineStr">
        <is>
          <t>UPIOUT/400922049972/paytmqr2810050501015xg
zt/5411</t>
        </is>
      </c>
      <c r="C1431" s="114" t="inlineStr"/>
      <c r="D1431" s="114" t="n">
        <v>40</v>
      </c>
      <c r="E1431" s="114" t="n">
        <v>0</v>
      </c>
      <c r="F1431" s="114" t="n">
        <v>22864.76</v>
      </c>
      <c r="G1431" s="114" t="inlineStr">
        <is>
          <t>Personal</t>
        </is>
      </c>
      <c r="H1431" s="114" t="inlineStr">
        <is>
          <t>FEDERAL 0847</t>
        </is>
      </c>
    </row>
    <row r="1432">
      <c r="A1432" s="113" t="n">
        <v>45300</v>
      </c>
      <c r="B1432" s="114" t="inlineStr">
        <is>
          <t>UPIOUT/400918603553/paytm-76881028@paytm/S
en/4121</t>
        </is>
      </c>
      <c r="C1432" s="114" t="inlineStr"/>
      <c r="D1432" s="114" t="n">
        <v>30</v>
      </c>
      <c r="E1432" s="114" t="n">
        <v>0</v>
      </c>
      <c r="F1432" s="114" t="n">
        <v>24914.76</v>
      </c>
      <c r="G1432" s="114" t="inlineStr">
        <is>
          <t>Personal</t>
        </is>
      </c>
      <c r="H1432" s="114" t="inlineStr">
        <is>
          <t>FEDERAL 0847</t>
        </is>
      </c>
    </row>
    <row r="1433">
      <c r="A1433" s="113" t="n">
        <v>45300</v>
      </c>
      <c r="B1433" s="114" t="inlineStr">
        <is>
          <t>UPIOUT/400922138682/Q832428843@ybl/Sent
via /5814</t>
        </is>
      </c>
      <c r="C1433" s="114" t="inlineStr"/>
      <c r="D1433" s="114" t="n">
        <v>10</v>
      </c>
      <c r="E1433" s="114" t="n">
        <v>0</v>
      </c>
      <c r="F1433" s="114" t="n">
        <v>22854.76</v>
      </c>
      <c r="G1433" s="114" t="inlineStr">
        <is>
          <t>Personal</t>
        </is>
      </c>
      <c r="H1433" s="114" t="inlineStr">
        <is>
          <t>FEDERAL 0847</t>
        </is>
      </c>
    </row>
    <row r="1434">
      <c r="A1434" s="113" t="n">
        <v>45301</v>
      </c>
      <c r="B1434" s="114" t="inlineStr">
        <is>
          <t>UPIOUT/401024493632/Q832428843@ybl/Sent
via /5814</t>
        </is>
      </c>
      <c r="C1434" s="114" t="inlineStr"/>
      <c r="D1434" s="114" t="n">
        <v>10</v>
      </c>
      <c r="E1434" s="114" t="n">
        <v>0</v>
      </c>
      <c r="F1434" s="114" t="n">
        <v>22844.76</v>
      </c>
      <c r="G1434" s="114" t="inlineStr">
        <is>
          <t>Personal</t>
        </is>
      </c>
      <c r="H1434" s="114" t="inlineStr">
        <is>
          <t>FEDERAL 0847</t>
        </is>
      </c>
    </row>
    <row r="1435">
      <c r="A1435" s="113" t="n">
        <v>45301</v>
      </c>
      <c r="B1435" s="114" t="inlineStr">
        <is>
          <t>UPIOUT/401024552860/espetashivakumar19@okh
df/0000</t>
        </is>
      </c>
      <c r="C1435" s="114" t="inlineStr"/>
      <c r="D1435" s="114" t="n">
        <v>1030</v>
      </c>
      <c r="E1435" s="114" t="n">
        <v>0</v>
      </c>
      <c r="F1435" s="114" t="n">
        <v>21814.76</v>
      </c>
      <c r="G1435" s="114" t="inlineStr">
        <is>
          <t>Personal</t>
        </is>
      </c>
      <c r="H1435" s="114" t="inlineStr">
        <is>
          <t>FEDERAL 0847</t>
        </is>
      </c>
    </row>
    <row r="1436">
      <c r="A1436" s="113" t="n">
        <v>45301</v>
      </c>
      <c r="B1436" s="114" t="inlineStr">
        <is>
          <t>NET PI TO HSL SEC A/C 2554606-00602340029427</t>
        </is>
      </c>
      <c r="C1436" s="114" t="inlineStr">
        <is>
          <t>0000000482163796</t>
        </is>
      </c>
      <c r="D1436" s="114" t="n">
        <v>204.72</v>
      </c>
      <c r="E1436" s="114" t="n">
        <v>0</v>
      </c>
      <c r="F1436" s="114" t="n">
        <v>117172.91</v>
      </c>
      <c r="G1436" s="114" t="inlineStr">
        <is>
          <t>HDFC Securities</t>
        </is>
      </c>
      <c r="H1436" s="114" t="inlineStr">
        <is>
          <t>HDFC 5413</t>
        </is>
      </c>
    </row>
    <row r="1437">
      <c r="A1437" s="113" t="n">
        <v>45301</v>
      </c>
      <c r="B1437" s="114" t="inlineStr">
        <is>
          <t>UPIOUT/401027273243/sankar.challa.ss1@axl/
Se/0000</t>
        </is>
      </c>
      <c r="C1437" s="114" t="inlineStr"/>
      <c r="D1437" s="114" t="n">
        <v>34</v>
      </c>
      <c r="E1437" s="114" t="n">
        <v>0</v>
      </c>
      <c r="F1437" s="114" t="n">
        <v>21780.76</v>
      </c>
      <c r="G1437" s="114" t="inlineStr">
        <is>
          <t>Personal</t>
        </is>
      </c>
      <c r="H1437" s="114" t="inlineStr">
        <is>
          <t>FEDERAL 0847</t>
        </is>
      </c>
    </row>
    <row r="1438">
      <c r="A1438" s="113" t="n">
        <v>45301</v>
      </c>
      <c r="B1438" s="114" t="inlineStr">
        <is>
          <t>UPIOUT/401028044382/paytmqr281005050101183
o5/5812</t>
        </is>
      </c>
      <c r="C1438" s="114" t="inlineStr"/>
      <c r="D1438" s="114" t="n">
        <v>65</v>
      </c>
      <c r="E1438" s="114" t="n">
        <v>0</v>
      </c>
      <c r="F1438" s="114" t="n">
        <v>21715.76</v>
      </c>
      <c r="G1438" s="114" t="inlineStr">
        <is>
          <t>Personal</t>
        </is>
      </c>
      <c r="H1438" s="114" t="inlineStr">
        <is>
          <t>FEDERAL 0847</t>
        </is>
      </c>
    </row>
    <row r="1439">
      <c r="A1439" s="113" t="n">
        <v>45301</v>
      </c>
      <c r="B1439" s="114" t="inlineStr">
        <is>
          <t>NET PO FROM HSL A/C 2554606-50200085415108</t>
        </is>
      </c>
      <c r="C1439" s="114" t="inlineStr">
        <is>
          <t>0000000481971200</t>
        </is>
      </c>
      <c r="D1439" s="114" t="n">
        <v>0</v>
      </c>
      <c r="E1439" s="114" t="n">
        <v>40931.08</v>
      </c>
      <c r="F1439" s="114" t="n">
        <v>98916.02</v>
      </c>
      <c r="G1439" s="114" t="inlineStr">
        <is>
          <t>HDFC Securities</t>
        </is>
      </c>
      <c r="H1439" s="114" t="inlineStr">
        <is>
          <t>HDFC 5413</t>
        </is>
      </c>
    </row>
    <row r="1440">
      <c r="A1440" s="113" t="n">
        <v>45301</v>
      </c>
      <c r="B1440" s="114" t="inlineStr">
        <is>
          <t>NET PO FROM HSL A/C 2554606-50200085415108</t>
        </is>
      </c>
      <c r="C1440" s="114" t="inlineStr">
        <is>
          <t>0000000481992059</t>
        </is>
      </c>
      <c r="D1440" s="114" t="n">
        <v>0</v>
      </c>
      <c r="E1440" s="114" t="n">
        <v>18461.61</v>
      </c>
      <c r="F1440" s="114" t="n">
        <v>117377.63</v>
      </c>
      <c r="G1440" s="114" t="inlineStr">
        <is>
          <t>HDFC Securities</t>
        </is>
      </c>
      <c r="H1440" s="114" t="inlineStr">
        <is>
          <t>HDFC 5413</t>
        </is>
      </c>
    </row>
    <row r="1441">
      <c r="A1441" s="113" t="n">
        <v>45301</v>
      </c>
      <c r="B1441" s="114" t="inlineStr">
        <is>
          <t>NET PI TO HSL SEC A/C 2554606-00602340029427</t>
        </is>
      </c>
      <c r="C1441" s="114" t="inlineStr">
        <is>
          <t>0000000482326754</t>
        </is>
      </c>
      <c r="D1441" s="114" t="n">
        <v>72572.81</v>
      </c>
      <c r="E1441" s="114" t="n">
        <v>0</v>
      </c>
      <c r="F1441" s="114" t="n">
        <v>44600.1</v>
      </c>
      <c r="G1441" s="114" t="inlineStr">
        <is>
          <t>HDFC Securities</t>
        </is>
      </c>
      <c r="H1441" s="114" t="inlineStr">
        <is>
          <t>HDFC 5413</t>
        </is>
      </c>
    </row>
    <row r="1442">
      <c r="A1442" s="113" t="n">
        <v>45302</v>
      </c>
      <c r="B1442" s="114" t="inlineStr">
        <is>
          <t>DEPOSITORY CHARGES DEC23 - 52812428</t>
        </is>
      </c>
      <c r="C1442" s="114" t="inlineStr">
        <is>
          <t>000000000000000</t>
        </is>
      </c>
      <c r="D1442" s="114" t="n">
        <v>1617.67</v>
      </c>
      <c r="E1442" s="114" t="n">
        <v>0</v>
      </c>
      <c r="F1442" s="114" t="n">
        <v>79637.82000000001</v>
      </c>
      <c r="G1442" s="114" t="inlineStr">
        <is>
          <t>Depository Charges</t>
        </is>
      </c>
      <c r="H1442" s="114" t="inlineStr">
        <is>
          <t>HDFC 5413</t>
        </is>
      </c>
    </row>
    <row r="1443">
      <c r="A1443" s="113" t="n">
        <v>45302</v>
      </c>
      <c r="B1443" s="114" t="inlineStr">
        <is>
          <t>NET PI TO HSL SEC A/C 2554606-00602340029427</t>
        </is>
      </c>
      <c r="C1443" s="114" t="inlineStr">
        <is>
          <t>0000000482614428</t>
        </is>
      </c>
      <c r="D1443" s="114" t="n">
        <v>173.41</v>
      </c>
      <c r="E1443" s="114" t="n">
        <v>0</v>
      </c>
      <c r="F1443" s="114" t="n">
        <v>81255.49000000001</v>
      </c>
      <c r="G1443" s="114" t="inlineStr">
        <is>
          <t>HDFC Securities</t>
        </is>
      </c>
      <c r="H1443" s="114" t="inlineStr">
        <is>
          <t>HDFC 5413</t>
        </is>
      </c>
    </row>
    <row r="1444">
      <c r="A1444" s="113" t="n">
        <v>45302</v>
      </c>
      <c r="B1444" s="114" t="inlineStr">
        <is>
          <t>NET PO FROM HSL A/C 2554606-50200085415108</t>
        </is>
      </c>
      <c r="C1444" s="114" t="inlineStr">
        <is>
          <t>0000000482476600</t>
        </is>
      </c>
      <c r="D1444" s="114" t="n">
        <v>0</v>
      </c>
      <c r="E1444" s="114" t="n">
        <v>36828.8</v>
      </c>
      <c r="F1444" s="114" t="n">
        <v>81428.89999999999</v>
      </c>
      <c r="G1444" s="114" t="inlineStr">
        <is>
          <t>HDFC Securities</t>
        </is>
      </c>
      <c r="H1444" s="114" t="inlineStr">
        <is>
          <t>HDFC 5413</t>
        </is>
      </c>
    </row>
    <row r="1445">
      <c r="A1445" s="113" t="n">
        <v>45302</v>
      </c>
      <c r="B1445" s="114" t="inlineStr">
        <is>
          <t>NET PI TO HSL SEC A/C 2554606-00602340029427</t>
        </is>
      </c>
      <c r="C1445" s="114" t="inlineStr">
        <is>
          <t>0000000482779377</t>
        </is>
      </c>
      <c r="D1445" s="114" t="n">
        <v>6897</v>
      </c>
      <c r="E1445" s="114" t="n">
        <v>0</v>
      </c>
      <c r="F1445" s="114" t="n">
        <v>72740.82000000001</v>
      </c>
      <c r="G1445" s="114" t="inlineStr">
        <is>
          <t>HDFC Securities</t>
        </is>
      </c>
      <c r="H1445" s="114" t="inlineStr">
        <is>
          <t>HDFC 5413</t>
        </is>
      </c>
    </row>
    <row r="1446">
      <c r="A1446" s="113" t="n">
        <v>45302</v>
      </c>
      <c r="B1446" s="114" t="inlineStr">
        <is>
          <t>UPIOUT/401135358103/Q521384260@ybl/Sent
via /5814</t>
        </is>
      </c>
      <c r="C1446" s="114" t="inlineStr"/>
      <c r="D1446" s="114" t="n">
        <v>230</v>
      </c>
      <c r="E1446" s="114" t="n">
        <v>0</v>
      </c>
      <c r="F1446" s="114" t="n">
        <v>21455.76</v>
      </c>
      <c r="G1446" s="114" t="inlineStr">
        <is>
          <t>Personal</t>
        </is>
      </c>
      <c r="H1446" s="114" t="inlineStr">
        <is>
          <t>FEDERAL 0847</t>
        </is>
      </c>
    </row>
    <row r="1447">
      <c r="A1447" s="113" t="n">
        <v>45302</v>
      </c>
      <c r="B1447" s="114" t="inlineStr">
        <is>
          <t>UPIOUT/401130789136/paytm-76881028@paytm/S
en/4121</t>
        </is>
      </c>
      <c r="C1447" s="114" t="inlineStr"/>
      <c r="D1447" s="114" t="n">
        <v>30</v>
      </c>
      <c r="E1447" s="114" t="n">
        <v>0</v>
      </c>
      <c r="F1447" s="114" t="n">
        <v>21685.76</v>
      </c>
      <c r="G1447" s="114" t="inlineStr">
        <is>
          <t>Personal</t>
        </is>
      </c>
      <c r="H1447" s="114" t="inlineStr">
        <is>
          <t>FEDERAL 0847</t>
        </is>
      </c>
    </row>
    <row r="1448">
      <c r="A1448" s="113" t="n">
        <v>45303</v>
      </c>
      <c r="B1448" s="114" t="inlineStr">
        <is>
          <t>UPIOUT/401249302545/ks8808006-3@oksbi/UPI/
0000</t>
        </is>
      </c>
      <c r="C1448" s="114" t="inlineStr"/>
      <c r="D1448" s="114" t="n">
        <v>10</v>
      </c>
      <c r="E1448" s="114" t="n">
        <v>0</v>
      </c>
      <c r="F1448" s="114" t="n">
        <v>21405.76</v>
      </c>
      <c r="G1448" s="114" t="inlineStr">
        <is>
          <t>Personal</t>
        </is>
      </c>
      <c r="H1448" s="114" t="inlineStr">
        <is>
          <t>FEDERAL 0847</t>
        </is>
      </c>
    </row>
    <row r="1449">
      <c r="A1449" s="113" t="n">
        <v>45303</v>
      </c>
      <c r="B1449" s="114" t="inlineStr">
        <is>
          <t>UPIOUT/401237597854/paytm-76881028@paytm/S
en/4121</t>
        </is>
      </c>
      <c r="C1449" s="114" t="inlineStr"/>
      <c r="D1449" s="114" t="n">
        <v>30</v>
      </c>
      <c r="E1449" s="114" t="n">
        <v>0</v>
      </c>
      <c r="F1449" s="114" t="n">
        <v>21415.76</v>
      </c>
      <c r="G1449" s="114" t="inlineStr">
        <is>
          <t>Personal</t>
        </is>
      </c>
      <c r="H1449" s="114" t="inlineStr">
        <is>
          <t>FEDERAL 0847</t>
        </is>
      </c>
    </row>
    <row r="1450">
      <c r="A1450" s="113" t="n">
        <v>45303</v>
      </c>
      <c r="B1450" s="114" t="inlineStr">
        <is>
          <t>NET PO FROM HSL A/C 2554606-50200085415108</t>
        </is>
      </c>
      <c r="C1450" s="114" t="inlineStr">
        <is>
          <t>0000000482911491</t>
        </is>
      </c>
      <c r="D1450" s="114" t="n">
        <v>0</v>
      </c>
      <c r="E1450" s="114" t="n">
        <v>1681</v>
      </c>
      <c r="F1450" s="114" t="n">
        <v>74421.82000000001</v>
      </c>
      <c r="G1450" s="114" t="inlineStr">
        <is>
          <t>HDFC Securities</t>
        </is>
      </c>
      <c r="H1450" s="114" t="inlineStr">
        <is>
          <t>HDFC 5413</t>
        </is>
      </c>
    </row>
    <row r="1451">
      <c r="A1451" s="113" t="n">
        <v>45303</v>
      </c>
      <c r="B1451" s="114" t="inlineStr">
        <is>
          <t>NET PO FROM HSL A/C 2554606-50200085415108</t>
        </is>
      </c>
      <c r="C1451" s="114" t="inlineStr">
        <is>
          <t>0000000482935582</t>
        </is>
      </c>
      <c r="D1451" s="114" t="n">
        <v>0</v>
      </c>
      <c r="E1451" s="114" t="n">
        <v>28606.73</v>
      </c>
      <c r="F1451" s="114" t="n">
        <v>103028.55</v>
      </c>
      <c r="G1451" s="114" t="inlineStr">
        <is>
          <t>HDFC Securities</t>
        </is>
      </c>
      <c r="H1451" s="114" t="inlineStr">
        <is>
          <t>HDFC 5413</t>
        </is>
      </c>
    </row>
    <row r="1452">
      <c r="A1452" s="113" t="n">
        <v>45303</v>
      </c>
      <c r="B1452" s="114" t="inlineStr">
        <is>
          <t>UPIOUT/401237185950/BHARATPE.90061609177@f
bp/5499</t>
        </is>
      </c>
      <c r="C1452" s="114" t="inlineStr"/>
      <c r="D1452" s="114" t="n">
        <v>10</v>
      </c>
      <c r="E1452" s="114" t="n">
        <v>0</v>
      </c>
      <c r="F1452" s="114" t="n">
        <v>21445.76</v>
      </c>
      <c r="G1452" s="114" t="inlineStr">
        <is>
          <t>Personal</t>
        </is>
      </c>
      <c r="H1452" s="114" t="inlineStr">
        <is>
          <t>FEDERAL 0847</t>
        </is>
      </c>
    </row>
    <row r="1453">
      <c r="A1453" s="113" t="n">
        <v>45303</v>
      </c>
      <c r="B1453" s="114" t="inlineStr">
        <is>
          <t>NET PI TO HSL SEC A/C 2554606-00602340029427</t>
        </is>
      </c>
      <c r="C1453" s="114" t="inlineStr">
        <is>
          <t>0000000483232991</t>
        </is>
      </c>
      <c r="D1453" s="114" t="n">
        <v>30998.58</v>
      </c>
      <c r="E1453" s="114" t="n">
        <v>0</v>
      </c>
      <c r="F1453" s="114" t="n">
        <v>71838.07000000001</v>
      </c>
      <c r="G1453" s="114" t="inlineStr">
        <is>
          <t>HDFC Securities</t>
        </is>
      </c>
      <c r="H1453" s="114" t="inlineStr">
        <is>
          <t>HDFC 5413</t>
        </is>
      </c>
    </row>
    <row r="1454">
      <c r="A1454" s="113" t="n">
        <v>45303</v>
      </c>
      <c r="B1454" s="114" t="inlineStr">
        <is>
          <t>NET PI TO HSL SEC A/C 2554606-00602340029427</t>
        </is>
      </c>
      <c r="C1454" s="114" t="inlineStr">
        <is>
          <t>0000000483068767</t>
        </is>
      </c>
      <c r="D1454" s="114" t="n">
        <v>191.9</v>
      </c>
      <c r="E1454" s="114" t="n">
        <v>0</v>
      </c>
      <c r="F1454" s="114" t="n">
        <v>102836.65</v>
      </c>
      <c r="G1454" s="114" t="inlineStr">
        <is>
          <t>HDFC Securities</t>
        </is>
      </c>
      <c r="H1454" s="114" t="inlineStr">
        <is>
          <t>HDFC 5413</t>
        </is>
      </c>
    </row>
    <row r="1455">
      <c r="A1455" s="113" t="n">
        <v>45303</v>
      </c>
      <c r="B1455" s="114" t="inlineStr">
        <is>
          <t>UPIOUT/401240092486/paytmqr281005050101ac5
gq/5812</t>
        </is>
      </c>
      <c r="C1455" s="114" t="inlineStr"/>
      <c r="D1455" s="114" t="n">
        <v>45</v>
      </c>
      <c r="E1455" s="114" t="n">
        <v>0</v>
      </c>
      <c r="F1455" s="114" t="n">
        <v>21360.76</v>
      </c>
      <c r="G1455" s="114" t="inlineStr">
        <is>
          <t>Personal</t>
        </is>
      </c>
      <c r="H1455" s="114" t="inlineStr">
        <is>
          <t>FEDERAL 0847</t>
        </is>
      </c>
    </row>
    <row r="1456">
      <c r="A1456" s="113" t="n">
        <v>45304</v>
      </c>
      <c r="B1456" s="114" t="inlineStr">
        <is>
          <t>UPI IN/401370251051/8333022213@ybl/Payment
f/0000</t>
        </is>
      </c>
      <c r="C1456" s="114" t="inlineStr"/>
      <c r="D1456" s="114" t="n">
        <v>0</v>
      </c>
      <c r="E1456" s="114" t="n">
        <v>500</v>
      </c>
      <c r="F1456" s="114" t="n">
        <v>18618.56</v>
      </c>
      <c r="G1456" s="114" t="inlineStr">
        <is>
          <t>Personal</t>
        </is>
      </c>
      <c r="H1456" s="114" t="inlineStr">
        <is>
          <t>FEDERAL 0847</t>
        </is>
      </c>
    </row>
    <row r="1457">
      <c r="A1457" s="113" t="n">
        <v>45304</v>
      </c>
      <c r="B1457" s="114" t="inlineStr">
        <is>
          <t>UPIOUT/401343024733/paytm-651536@paytm/Sen
t /4112</t>
        </is>
      </c>
      <c r="C1457" s="114" t="inlineStr"/>
      <c r="D1457" s="114" t="n">
        <v>1583.6</v>
      </c>
      <c r="E1457" s="114" t="n">
        <v>0</v>
      </c>
      <c r="F1457" s="114" t="n">
        <v>18138.56</v>
      </c>
      <c r="G1457" s="114" t="inlineStr">
        <is>
          <t>Personal</t>
        </is>
      </c>
      <c r="H1457" s="114" t="inlineStr">
        <is>
          <t>FEDERAL 0847</t>
        </is>
      </c>
    </row>
    <row r="1458">
      <c r="A1458" s="113" t="n">
        <v>45304</v>
      </c>
      <c r="B1458" s="114" t="inlineStr">
        <is>
          <t>UPIOUT/401343001326/paytm-651536@paytm/Sen
t /4112</t>
        </is>
      </c>
      <c r="C1458" s="114" t="inlineStr"/>
      <c r="D1458" s="114" t="n">
        <v>1583.6</v>
      </c>
      <c r="E1458" s="114" t="n">
        <v>0</v>
      </c>
      <c r="F1458" s="114" t="n">
        <v>19722.16</v>
      </c>
      <c r="G1458" s="114" t="inlineStr">
        <is>
          <t>Personal</t>
        </is>
      </c>
      <c r="H1458" s="114" t="inlineStr">
        <is>
          <t>FEDERAL 0847</t>
        </is>
      </c>
    </row>
    <row r="1459">
      <c r="A1459" s="113" t="n">
        <v>45304</v>
      </c>
      <c r="B1459" s="114" t="inlineStr">
        <is>
          <t>UPIOUT/401342720248/paytmqr1fgibktb57@payt
m//5812</t>
        </is>
      </c>
      <c r="C1459" s="114" t="inlineStr"/>
      <c r="D1459" s="114" t="n">
        <v>40</v>
      </c>
      <c r="E1459" s="114" t="n">
        <v>0</v>
      </c>
      <c r="F1459" s="114" t="n">
        <v>21320.76</v>
      </c>
      <c r="G1459" s="114" t="inlineStr">
        <is>
          <t>Personal</t>
        </is>
      </c>
      <c r="H1459" s="114" t="inlineStr">
        <is>
          <t>FEDERAL 0847</t>
        </is>
      </c>
    </row>
    <row r="1460">
      <c r="A1460" s="113" t="n">
        <v>45304</v>
      </c>
      <c r="B1460" s="114" t="inlineStr">
        <is>
          <t>UPIOUT/401344512286/Q080504479@ybl/Sent
via /5812</t>
        </is>
      </c>
      <c r="C1460" s="114" t="inlineStr"/>
      <c r="D1460" s="114" t="n">
        <v>20</v>
      </c>
      <c r="E1460" s="114" t="n">
        <v>0</v>
      </c>
      <c r="F1460" s="114" t="n">
        <v>18118.56</v>
      </c>
      <c r="G1460" s="114" t="inlineStr">
        <is>
          <t>Personal</t>
        </is>
      </c>
      <c r="H1460" s="114" t="inlineStr">
        <is>
          <t>FEDERAL 0847</t>
        </is>
      </c>
    </row>
    <row r="1461">
      <c r="A1461" s="113" t="n">
        <v>45304</v>
      </c>
      <c r="B1461" s="114" t="inlineStr">
        <is>
          <t>UPIOUT/401342753385/Q832428843@ybl/Sent
via /5814</t>
        </is>
      </c>
      <c r="C1461" s="114" t="inlineStr"/>
      <c r="D1461" s="114" t="n">
        <v>15</v>
      </c>
      <c r="E1461" s="114" t="n">
        <v>0</v>
      </c>
      <c r="F1461" s="114" t="n">
        <v>21305.76</v>
      </c>
      <c r="G1461" s="114" t="inlineStr">
        <is>
          <t>Personal</t>
        </is>
      </c>
      <c r="H1461" s="114" t="inlineStr">
        <is>
          <t>FEDERAL 0847</t>
        </is>
      </c>
    </row>
    <row r="1462">
      <c r="A1462" s="113" t="n">
        <v>45305</v>
      </c>
      <c r="B1462" s="114" t="inlineStr">
        <is>
          <t>UPIOUT/401451019112/Q463323667@ybl/Sent
via /5812</t>
        </is>
      </c>
      <c r="C1462" s="114" t="inlineStr"/>
      <c r="D1462" s="114" t="n">
        <v>130</v>
      </c>
      <c r="E1462" s="114" t="n">
        <v>0</v>
      </c>
      <c r="F1462" s="114" t="n">
        <v>18468.56</v>
      </c>
      <c r="G1462" s="114" t="inlineStr">
        <is>
          <t>Personal</t>
        </is>
      </c>
      <c r="H1462" s="114" t="inlineStr">
        <is>
          <t>FEDERAL 0847</t>
        </is>
      </c>
    </row>
    <row r="1463">
      <c r="A1463" s="113" t="n">
        <v>45305</v>
      </c>
      <c r="B1463" s="114" t="inlineStr">
        <is>
          <t>UPIOUT/401449857168/paytmqr2810050501011vq
tq/5697</t>
        </is>
      </c>
      <c r="C1463" s="114" t="inlineStr"/>
      <c r="D1463" s="114" t="n">
        <v>20</v>
      </c>
      <c r="E1463" s="114" t="n">
        <v>0</v>
      </c>
      <c r="F1463" s="114" t="n">
        <v>18598.56</v>
      </c>
      <c r="G1463" s="114" t="inlineStr">
        <is>
          <t>Personal</t>
        </is>
      </c>
      <c r="H1463" s="114" t="inlineStr">
        <is>
          <t>FEDERAL 0847</t>
        </is>
      </c>
    </row>
    <row r="1464">
      <c r="A1464" s="113" t="n">
        <v>45306</v>
      </c>
      <c r="B1464" s="114" t="inlineStr">
        <is>
          <t>UPIOUT/401573119507/swapnil.kandale@okicic
i//0000</t>
        </is>
      </c>
      <c r="C1464" s="114" t="inlineStr"/>
      <c r="D1464" s="114" t="n">
        <v>230</v>
      </c>
      <c r="E1464" s="114" t="n">
        <v>0</v>
      </c>
      <c r="F1464" s="114" t="n">
        <v>17958.56</v>
      </c>
      <c r="G1464" s="114" t="inlineStr">
        <is>
          <t>Personal</t>
        </is>
      </c>
      <c r="H1464" s="114" t="inlineStr">
        <is>
          <t>FEDERAL 0847</t>
        </is>
      </c>
    </row>
    <row r="1465">
      <c r="A1465" s="113" t="n">
        <v>45306</v>
      </c>
      <c r="B1465" s="114" t="inlineStr">
        <is>
          <t>UPIOUT/401558721655/Q122299144@ybl/Sent
via /5814</t>
        </is>
      </c>
      <c r="C1465" s="114" t="inlineStr"/>
      <c r="D1465" s="114" t="n">
        <v>180</v>
      </c>
      <c r="E1465" s="114" t="n">
        <v>0</v>
      </c>
      <c r="F1465" s="114" t="n">
        <v>18188.56</v>
      </c>
      <c r="G1465" s="114" t="inlineStr">
        <is>
          <t>Personal</t>
        </is>
      </c>
      <c r="H1465" s="114" t="inlineStr">
        <is>
          <t>FEDERAL 0847</t>
        </is>
      </c>
    </row>
    <row r="1466">
      <c r="A1466" s="113" t="n">
        <v>45306</v>
      </c>
      <c r="B1466" s="114" t="inlineStr">
        <is>
          <t>UPIOUT/401557550024/paytmqr281005050101yr4
8i/5411</t>
        </is>
      </c>
      <c r="C1466" s="114" t="inlineStr"/>
      <c r="D1466" s="114" t="n">
        <v>40</v>
      </c>
      <c r="E1466" s="114" t="n">
        <v>0</v>
      </c>
      <c r="F1466" s="114" t="n">
        <v>18368.56</v>
      </c>
      <c r="G1466" s="114" t="inlineStr">
        <is>
          <t>Personal</t>
        </is>
      </c>
      <c r="H1466" s="114" t="inlineStr">
        <is>
          <t>FEDERAL 0847</t>
        </is>
      </c>
    </row>
    <row r="1467">
      <c r="A1467" s="113" t="n">
        <v>45306</v>
      </c>
      <c r="B1467" s="114" t="inlineStr">
        <is>
          <t>UPIOUT/401555369700/Q798355992@ybl/Sent
via /7407</t>
        </is>
      </c>
      <c r="C1467" s="114" t="inlineStr"/>
      <c r="D1467" s="114" t="n">
        <v>60</v>
      </c>
      <c r="E1467" s="114" t="n">
        <v>0</v>
      </c>
      <c r="F1467" s="114" t="n">
        <v>18408.56</v>
      </c>
      <c r="G1467" s="114" t="inlineStr">
        <is>
          <t>Personal</t>
        </is>
      </c>
      <c r="H1467" s="114" t="inlineStr">
        <is>
          <t>FEDERAL 0847</t>
        </is>
      </c>
    </row>
    <row r="1468">
      <c r="A1468" s="113" t="n">
        <v>45306</v>
      </c>
      <c r="B1468" s="114" t="inlineStr">
        <is>
          <t>NET PI TO HSL SEC A/C 2554606-00602340029427</t>
        </is>
      </c>
      <c r="C1468" s="114" t="inlineStr">
        <is>
          <t>0000000483700742</t>
        </is>
      </c>
      <c r="D1468" s="114" t="n">
        <v>568.41</v>
      </c>
      <c r="E1468" s="114" t="n">
        <v>0</v>
      </c>
      <c r="F1468" s="114" t="n">
        <v>72701.09</v>
      </c>
      <c r="G1468" s="114" t="inlineStr">
        <is>
          <t>HDFC Securities</t>
        </is>
      </c>
      <c r="H1468" s="114" t="inlineStr">
        <is>
          <t>HDFC 5413</t>
        </is>
      </c>
    </row>
    <row r="1469">
      <c r="A1469" s="113" t="n">
        <v>45306</v>
      </c>
      <c r="B1469" s="114" t="inlineStr">
        <is>
          <t>NET PI TO HSL SEC A/C 2554606-00602340029427</t>
        </is>
      </c>
      <c r="C1469" s="114" t="inlineStr">
        <is>
          <t>0000000483880631</t>
        </is>
      </c>
      <c r="D1469" s="114" t="n">
        <v>8950.17</v>
      </c>
      <c r="E1469" s="114" t="n">
        <v>0</v>
      </c>
      <c r="F1469" s="114" t="n">
        <v>63750.92</v>
      </c>
      <c r="G1469" s="114" t="inlineStr">
        <is>
          <t>HDFC Securities</t>
        </is>
      </c>
      <c r="H1469" s="114" t="inlineStr">
        <is>
          <t>HDFC 5413</t>
        </is>
      </c>
    </row>
    <row r="1470">
      <c r="A1470" s="113" t="n">
        <v>45306</v>
      </c>
      <c r="B1470" s="114" t="inlineStr">
        <is>
          <t>NET PO FROM HSL A/C 2554606-50200085415108</t>
        </is>
      </c>
      <c r="C1470" s="114" t="inlineStr">
        <is>
          <t>0000000483499892</t>
        </is>
      </c>
      <c r="D1470" s="114" t="n">
        <v>0</v>
      </c>
      <c r="E1470" s="114" t="n">
        <v>1431.43</v>
      </c>
      <c r="F1470" s="114" t="n">
        <v>73269.5</v>
      </c>
      <c r="G1470" s="114" t="inlineStr">
        <is>
          <t>HDFC Securities</t>
        </is>
      </c>
      <c r="H1470" s="114" t="inlineStr">
        <is>
          <t>HDFC 5413</t>
        </is>
      </c>
    </row>
    <row r="1471">
      <c r="A1471" s="113" t="n">
        <v>45307</v>
      </c>
      <c r="B1471" s="114" t="inlineStr">
        <is>
          <t>NET PO FROM HSL A/C 2554606-50200085415108</t>
        </is>
      </c>
      <c r="C1471" s="114" t="inlineStr">
        <is>
          <t>0000000484015725</t>
        </is>
      </c>
      <c r="D1471" s="114" t="n">
        <v>0</v>
      </c>
      <c r="E1471" s="114" t="n">
        <v>301.03</v>
      </c>
      <c r="F1471" s="114" t="n">
        <v>64051.95</v>
      </c>
      <c r="G1471" s="114" t="inlineStr">
        <is>
          <t>HDFC Securities</t>
        </is>
      </c>
      <c r="H1471" s="114" t="inlineStr">
        <is>
          <t>HDFC 5413</t>
        </is>
      </c>
    </row>
    <row r="1472">
      <c r="A1472" s="113" t="n">
        <v>45307</v>
      </c>
      <c r="B1472" s="114" t="inlineStr">
        <is>
          <t>NET PI TO HSL SEC A/C 2554606-00602340029427</t>
        </is>
      </c>
      <c r="C1472" s="114" t="inlineStr">
        <is>
          <t>0000000484176504</t>
        </is>
      </c>
      <c r="D1472" s="114" t="n">
        <v>216.37</v>
      </c>
      <c r="E1472" s="114" t="n">
        <v>0</v>
      </c>
      <c r="F1472" s="114" t="n">
        <v>63835.58</v>
      </c>
      <c r="G1472" s="114" t="inlineStr">
        <is>
          <t>HDFC Securities</t>
        </is>
      </c>
      <c r="H1472" s="114" t="inlineStr">
        <is>
          <t>HDFC 5413</t>
        </is>
      </c>
    </row>
    <row r="1473">
      <c r="A1473" s="113" t="n">
        <v>45307</v>
      </c>
      <c r="B1473" s="114" t="inlineStr">
        <is>
          <t>UPIOUT/401662805161/Q753196172@ybl/Sent
via /5441</t>
        </is>
      </c>
      <c r="C1473" s="114" t="inlineStr"/>
      <c r="D1473" s="114" t="n">
        <v>40</v>
      </c>
      <c r="E1473" s="114" t="n">
        <v>0</v>
      </c>
      <c r="F1473" s="114" t="n">
        <v>17918.56</v>
      </c>
      <c r="G1473" s="114" t="inlineStr">
        <is>
          <t>Personal</t>
        </is>
      </c>
      <c r="H1473" s="114" t="inlineStr">
        <is>
          <t>FEDERAL 0847</t>
        </is>
      </c>
    </row>
    <row r="1474">
      <c r="A1474" s="113" t="n">
        <v>45307</v>
      </c>
      <c r="B1474" s="114" t="inlineStr">
        <is>
          <t>NET PI TO HSL SEC A/C 2554606-00602340029427</t>
        </is>
      </c>
      <c r="C1474" s="114" t="inlineStr">
        <is>
          <t>0000000484351024</t>
        </is>
      </c>
      <c r="D1474" s="114" t="n">
        <v>35367.75</v>
      </c>
      <c r="E1474" s="114" t="n">
        <v>0</v>
      </c>
      <c r="F1474" s="114" t="n">
        <v>28467.83</v>
      </c>
      <c r="G1474" s="114" t="inlineStr">
        <is>
          <t>HDFC Securities</t>
        </is>
      </c>
      <c r="H1474" s="114" t="inlineStr">
        <is>
          <t>HDFC 5413</t>
        </is>
      </c>
    </row>
    <row r="1475">
      <c r="A1475" s="113" t="n">
        <v>45308</v>
      </c>
      <c r="B1475" s="114" t="inlineStr">
        <is>
          <t>NET PI TO HSL SEC A/C 2554606-00602340029427</t>
        </is>
      </c>
      <c r="C1475" s="114" t="inlineStr">
        <is>
          <t>0000000484617157</t>
        </is>
      </c>
      <c r="D1475" s="114" t="n">
        <v>197.24</v>
      </c>
      <c r="E1475" s="114" t="n">
        <v>0</v>
      </c>
      <c r="F1475" s="114" t="n">
        <v>28270.59</v>
      </c>
      <c r="G1475" s="114" t="inlineStr">
        <is>
          <t>HDFC Securities</t>
        </is>
      </c>
      <c r="H1475" s="114" t="inlineStr">
        <is>
          <t>HDFC 5413</t>
        </is>
      </c>
    </row>
    <row r="1476">
      <c r="A1476" s="113" t="n">
        <v>45308</v>
      </c>
      <c r="B1476" s="114" t="inlineStr">
        <is>
          <t>UPIOUT/401767500777/RIOTAAGROOFFLINE@ybl/P
ay/5046</t>
        </is>
      </c>
      <c r="C1476" s="114" t="inlineStr"/>
      <c r="D1476" s="114" t="n">
        <v>30</v>
      </c>
      <c r="E1476" s="114" t="n">
        <v>0</v>
      </c>
      <c r="F1476" s="114" t="n">
        <v>17888.56</v>
      </c>
      <c r="G1476" s="114" t="inlineStr">
        <is>
          <t>Personal</t>
        </is>
      </c>
      <c r="H1476" s="114" t="inlineStr">
        <is>
          <t>FEDERAL 0847</t>
        </is>
      </c>
    </row>
    <row r="1477">
      <c r="A1477" s="113" t="n">
        <v>45309</v>
      </c>
      <c r="B1477" s="114" t="inlineStr">
        <is>
          <t>NET PI TO HSL SEC A/C 2554606-00602340029427</t>
        </is>
      </c>
      <c r="C1477" s="114" t="inlineStr">
        <is>
          <t>0000000485166715</t>
        </is>
      </c>
      <c r="D1477" s="114" t="n">
        <v>192.98</v>
      </c>
      <c r="E1477" s="114" t="n">
        <v>0</v>
      </c>
      <c r="F1477" s="114" t="n">
        <v>52996.6</v>
      </c>
      <c r="G1477" s="114" t="inlineStr">
        <is>
          <t>HDFC Securities</t>
        </is>
      </c>
      <c r="H1477" s="114" t="inlineStr">
        <is>
          <t>HDFC 5413</t>
        </is>
      </c>
    </row>
    <row r="1478">
      <c r="A1478" s="113" t="n">
        <v>45309</v>
      </c>
      <c r="B1478" s="114" t="inlineStr">
        <is>
          <t>UPIOUT/401872440662/paytm-76881028@paytm/S
en/4121</t>
        </is>
      </c>
      <c r="C1478" s="114" t="inlineStr"/>
      <c r="D1478" s="114" t="n">
        <v>30</v>
      </c>
      <c r="E1478" s="114" t="n">
        <v>0</v>
      </c>
      <c r="F1478" s="114" t="n">
        <v>17858.56</v>
      </c>
      <c r="G1478" s="114" t="inlineStr">
        <is>
          <t>Personal</t>
        </is>
      </c>
      <c r="H1478" s="114" t="inlineStr">
        <is>
          <t>FEDERAL 0847</t>
        </is>
      </c>
    </row>
    <row r="1479">
      <c r="A1479" s="113" t="n">
        <v>45309</v>
      </c>
      <c r="B1479" s="114" t="inlineStr">
        <is>
          <t>UPIOUT/401876380307/Q403256487@ybl/Sent
via /5812</t>
        </is>
      </c>
      <c r="C1479" s="114" t="inlineStr"/>
      <c r="D1479" s="114" t="n">
        <v>70</v>
      </c>
      <c r="E1479" s="114" t="n">
        <v>0</v>
      </c>
      <c r="F1479" s="114" t="n">
        <v>17788.56</v>
      </c>
      <c r="G1479" s="114" t="inlineStr">
        <is>
          <t>Personal</t>
        </is>
      </c>
      <c r="H1479" s="114" t="inlineStr">
        <is>
          <t>FEDERAL 0847</t>
        </is>
      </c>
    </row>
    <row r="1480">
      <c r="A1480" s="113" t="n">
        <v>45309</v>
      </c>
      <c r="B1480" s="114" t="inlineStr">
        <is>
          <t>NET PI TO HSL SEC A/C 2554606-00602340029427</t>
        </is>
      </c>
      <c r="C1480" s="114" t="inlineStr">
        <is>
          <t>0000000485368995</t>
        </is>
      </c>
      <c r="D1480" s="114" t="n">
        <v>2791.46</v>
      </c>
      <c r="E1480" s="114" t="n">
        <v>0</v>
      </c>
      <c r="F1480" s="114" t="n">
        <v>50205.14</v>
      </c>
      <c r="G1480" s="114" t="inlineStr">
        <is>
          <t>HDFC Securities</t>
        </is>
      </c>
      <c r="H1480" s="114" t="inlineStr">
        <is>
          <t>HDFC 5413</t>
        </is>
      </c>
    </row>
    <row r="1481">
      <c r="A1481" s="113" t="n">
        <v>45309</v>
      </c>
      <c r="B1481" s="114" t="inlineStr">
        <is>
          <t>NET PI TO HSL SEC A/C 2554606-00602340029427</t>
        </is>
      </c>
      <c r="C1481" s="114" t="inlineStr">
        <is>
          <t>0000000484868036</t>
        </is>
      </c>
      <c r="D1481" s="114" t="n">
        <v>11949.82</v>
      </c>
      <c r="E1481" s="114" t="n">
        <v>0</v>
      </c>
      <c r="F1481" s="114" t="n">
        <v>16320.77</v>
      </c>
      <c r="G1481" s="114" t="inlineStr">
        <is>
          <t>HDFC Securities</t>
        </is>
      </c>
      <c r="H1481" s="114" t="inlineStr">
        <is>
          <t>HDFC 5413</t>
        </is>
      </c>
    </row>
    <row r="1482">
      <c r="A1482" s="113" t="n">
        <v>45309</v>
      </c>
      <c r="B1482" s="114" t="inlineStr">
        <is>
          <t>NET PO FROM HSL A/C 2554606-50200085415108</t>
        </is>
      </c>
      <c r="C1482" s="114" t="inlineStr">
        <is>
          <t>0000000485032850</t>
        </is>
      </c>
      <c r="D1482" s="114" t="n">
        <v>0</v>
      </c>
      <c r="E1482" s="114" t="n">
        <v>36868.81</v>
      </c>
      <c r="F1482" s="114" t="n">
        <v>53189.58</v>
      </c>
      <c r="G1482" s="114" t="inlineStr">
        <is>
          <t>HDFC Securities</t>
        </is>
      </c>
      <c r="H1482" s="114" t="inlineStr">
        <is>
          <t>HDFC 5413</t>
        </is>
      </c>
    </row>
    <row r="1483">
      <c r="A1483" s="113" t="n">
        <v>45310</v>
      </c>
      <c r="B1483" s="114" t="inlineStr">
        <is>
          <t>UPIOUT/401980625234/Q463323667@ybl/Sent
via /5812</t>
        </is>
      </c>
      <c r="C1483" s="114" t="inlineStr"/>
      <c r="D1483" s="114" t="n">
        <v>50</v>
      </c>
      <c r="E1483" s="114" t="n">
        <v>0</v>
      </c>
      <c r="F1483" s="114" t="n">
        <v>15090.56</v>
      </c>
      <c r="G1483" s="114" t="inlineStr">
        <is>
          <t>Personal</t>
        </is>
      </c>
      <c r="H1483" s="114" t="inlineStr">
        <is>
          <t>FEDERAL 0847</t>
        </is>
      </c>
    </row>
    <row r="1484">
      <c r="A1484" s="113" t="n">
        <v>45310</v>
      </c>
      <c r="B1484" s="114" t="inlineStr">
        <is>
          <t>UPIOUT/401980484344/Q079360809@ybl/Sent
via /5814</t>
        </is>
      </c>
      <c r="C1484" s="114" t="inlineStr"/>
      <c r="D1484" s="114" t="n">
        <v>80</v>
      </c>
      <c r="E1484" s="114" t="n">
        <v>0</v>
      </c>
      <c r="F1484" s="114" t="n">
        <v>15140.56</v>
      </c>
      <c r="G1484" s="114" t="inlineStr">
        <is>
          <t>Personal</t>
        </is>
      </c>
      <c r="H1484" s="114" t="inlineStr">
        <is>
          <t>FEDERAL 0847</t>
        </is>
      </c>
    </row>
    <row r="1485">
      <c r="A1485" s="113" t="n">
        <v>45310</v>
      </c>
      <c r="B1485" s="114" t="inlineStr">
        <is>
          <t>UPIOUT/401998980420/vijaykumarbhukya99@oks
bi/0000</t>
        </is>
      </c>
      <c r="C1485" s="114" t="inlineStr"/>
      <c r="D1485" s="114" t="n">
        <v>2500</v>
      </c>
      <c r="E1485" s="114" t="n">
        <v>0</v>
      </c>
      <c r="F1485" s="114" t="n">
        <v>15220.56</v>
      </c>
      <c r="G1485" s="114" t="inlineStr">
        <is>
          <t>Personal</t>
        </is>
      </c>
      <c r="H1485" s="114" t="inlineStr">
        <is>
          <t>FEDERAL 0847</t>
        </is>
      </c>
    </row>
    <row r="1486">
      <c r="A1486" s="113" t="n">
        <v>45310</v>
      </c>
      <c r="B1486" s="114" t="inlineStr">
        <is>
          <t>UPIOUT/401978948221/Q832428843@ybl/Sent
via /5814</t>
        </is>
      </c>
      <c r="C1486" s="114" t="inlineStr"/>
      <c r="D1486" s="114" t="n">
        <v>18</v>
      </c>
      <c r="E1486" s="114" t="n">
        <v>0</v>
      </c>
      <c r="F1486" s="114" t="n">
        <v>17720.56</v>
      </c>
      <c r="G1486" s="114" t="inlineStr">
        <is>
          <t>Personal</t>
        </is>
      </c>
      <c r="H1486" s="114" t="inlineStr">
        <is>
          <t>FEDERAL 0847</t>
        </is>
      </c>
    </row>
    <row r="1487">
      <c r="A1487" s="113" t="n">
        <v>45310</v>
      </c>
      <c r="B1487" s="114" t="inlineStr">
        <is>
          <t>UPIOUT/401978922833/paytmqr9cdfhlia2w@payt
m//5812</t>
        </is>
      </c>
      <c r="C1487" s="114" t="inlineStr"/>
      <c r="D1487" s="114" t="n">
        <v>35</v>
      </c>
      <c r="E1487" s="114" t="n">
        <v>0</v>
      </c>
      <c r="F1487" s="114" t="n">
        <v>17738.56</v>
      </c>
      <c r="G1487" s="114" t="inlineStr">
        <is>
          <t>Personal</t>
        </is>
      </c>
      <c r="H1487" s="114" t="inlineStr">
        <is>
          <t>FEDERAL 0847</t>
        </is>
      </c>
    </row>
    <row r="1488">
      <c r="A1488" s="113" t="n">
        <v>45310</v>
      </c>
      <c r="B1488" s="114" t="inlineStr">
        <is>
          <t>UPIOUT/401977651933/paytmqri5ciai3vuc@payt
m//5812</t>
        </is>
      </c>
      <c r="C1488" s="114" t="inlineStr"/>
      <c r="D1488" s="114" t="n">
        <v>15</v>
      </c>
      <c r="E1488" s="114" t="n">
        <v>0</v>
      </c>
      <c r="F1488" s="114" t="n">
        <v>17773.56</v>
      </c>
      <c r="G1488" s="114" t="inlineStr">
        <is>
          <t>Personal</t>
        </is>
      </c>
      <c r="H1488" s="114" t="inlineStr">
        <is>
          <t>FEDERAL 0847</t>
        </is>
      </c>
    </row>
    <row r="1489">
      <c r="A1489" s="113" t="n">
        <v>45310</v>
      </c>
      <c r="B1489" s="114" t="inlineStr">
        <is>
          <t>NET PI TO HSL SEC A/C 2554606-00602340029427</t>
        </is>
      </c>
      <c r="C1489" s="114" t="inlineStr">
        <is>
          <t>0000000485671917</t>
        </is>
      </c>
      <c r="D1489" s="114" t="n">
        <v>200.49</v>
      </c>
      <c r="E1489" s="114" t="n">
        <v>0</v>
      </c>
      <c r="F1489" s="114" t="n">
        <v>50004.65</v>
      </c>
      <c r="G1489" s="114" t="inlineStr">
        <is>
          <t>HDFC Securities</t>
        </is>
      </c>
      <c r="H1489" s="114" t="inlineStr">
        <is>
          <t>HDFC 5413</t>
        </is>
      </c>
    </row>
    <row r="1490">
      <c r="A1490" s="113" t="n">
        <v>45310</v>
      </c>
      <c r="B1490" s="114" t="inlineStr">
        <is>
          <t>NET PI TO HSL SEC A/C 2554606-00602340029427</t>
        </is>
      </c>
      <c r="C1490" s="114" t="inlineStr">
        <is>
          <t>0000000485701510</t>
        </is>
      </c>
      <c r="D1490" s="114" t="n">
        <v>34795.31</v>
      </c>
      <c r="E1490" s="114" t="n">
        <v>0</v>
      </c>
      <c r="F1490" s="114" t="n">
        <v>15209.34</v>
      </c>
      <c r="G1490" s="114" t="inlineStr">
        <is>
          <t>HDFC Securities</t>
        </is>
      </c>
      <c r="H1490" s="114" t="inlineStr">
        <is>
          <t>HDFC 5413</t>
        </is>
      </c>
    </row>
    <row r="1491">
      <c r="A1491" s="113" t="n">
        <v>45311</v>
      </c>
      <c r="B1491" s="114" t="inlineStr">
        <is>
          <t>OCTDEC23 INSTAALERTCHG 27 SMS 050124-MIR2401935428412</t>
        </is>
      </c>
      <c r="C1491" s="114" t="inlineStr">
        <is>
          <t>MIR2401935428412</t>
        </is>
      </c>
      <c r="D1491" s="114" t="n">
        <v>6.38</v>
      </c>
      <c r="E1491" s="114" t="n">
        <v>0</v>
      </c>
      <c r="F1491" s="114" t="n">
        <v>74053.67999999999</v>
      </c>
      <c r="G1491" s="114" t="inlineStr">
        <is>
          <t>Bank Charges</t>
        </is>
      </c>
      <c r="H1491" s="114" t="inlineStr">
        <is>
          <t>HDFC 5413</t>
        </is>
      </c>
    </row>
    <row r="1492">
      <c r="A1492" s="113" t="n">
        <v>45311</v>
      </c>
      <c r="B1492" s="114" t="inlineStr">
        <is>
          <t>NET PO FROM HSL A/C 2554606-50200085415108</t>
        </is>
      </c>
      <c r="C1492" s="114" t="inlineStr">
        <is>
          <t>0000000485862487</t>
        </is>
      </c>
      <c r="D1492" s="114" t="n">
        <v>0</v>
      </c>
      <c r="E1492" s="114" t="n">
        <v>24264.54</v>
      </c>
      <c r="F1492" s="114" t="n">
        <v>39473.88</v>
      </c>
      <c r="G1492" s="114" t="inlineStr">
        <is>
          <t>HDFC Securities</t>
        </is>
      </c>
      <c r="H1492" s="114" t="inlineStr">
        <is>
          <t>HDFC 5413</t>
        </is>
      </c>
    </row>
    <row r="1493">
      <c r="A1493" s="113" t="n">
        <v>45311</v>
      </c>
      <c r="B1493" s="114" t="inlineStr">
        <is>
          <t>NET PO FROM HSL A/C 2554606-50200085415108</t>
        </is>
      </c>
      <c r="C1493" s="114" t="inlineStr">
        <is>
          <t>0000000485927124</t>
        </is>
      </c>
      <c r="D1493" s="114" t="n">
        <v>0</v>
      </c>
      <c r="E1493" s="114" t="n">
        <v>34795.31</v>
      </c>
      <c r="F1493" s="114" t="n">
        <v>74269.19</v>
      </c>
      <c r="G1493" s="114" t="inlineStr">
        <is>
          <t>HDFC Securities</t>
        </is>
      </c>
      <c r="H1493" s="114" t="inlineStr">
        <is>
          <t>HDFC 5413</t>
        </is>
      </c>
    </row>
    <row r="1494">
      <c r="A1494" s="113" t="n">
        <v>45311</v>
      </c>
      <c r="B1494" s="114" t="inlineStr">
        <is>
          <t>UPIOUT/402085175073/Q407907754@ybl/Sent
via /5812</t>
        </is>
      </c>
      <c r="C1494" s="114" t="inlineStr"/>
      <c r="D1494" s="114" t="n">
        <v>70</v>
      </c>
      <c r="E1494" s="114" t="n">
        <v>0</v>
      </c>
      <c r="F1494" s="114" t="n">
        <v>14990.56</v>
      </c>
      <c r="G1494" s="114" t="inlineStr">
        <is>
          <t>Personal</t>
        </is>
      </c>
      <c r="H1494" s="114" t="inlineStr">
        <is>
          <t>FEDERAL 0847</t>
        </is>
      </c>
    </row>
    <row r="1495">
      <c r="A1495" s="113" t="n">
        <v>45311</v>
      </c>
      <c r="B1495" s="114" t="inlineStr">
        <is>
          <t>UPIOUT/402083280790/Q832428843@ybl/Sent
via /5814</t>
        </is>
      </c>
      <c r="C1495" s="114" t="inlineStr"/>
      <c r="D1495" s="114" t="n">
        <v>30</v>
      </c>
      <c r="E1495" s="114" t="n">
        <v>0</v>
      </c>
      <c r="F1495" s="114" t="n">
        <v>15060.56</v>
      </c>
      <c r="G1495" s="114" t="inlineStr">
        <is>
          <t>Personal</t>
        </is>
      </c>
      <c r="H1495" s="114" t="inlineStr">
        <is>
          <t>FEDERAL 0847</t>
        </is>
      </c>
    </row>
    <row r="1496">
      <c r="A1496" s="113" t="n">
        <v>45311</v>
      </c>
      <c r="B1496" s="114" t="inlineStr">
        <is>
          <t>NET PI TO HSL SEC A/C 2554606-00602340029427</t>
        </is>
      </c>
      <c r="C1496" s="114" t="inlineStr">
        <is>
          <t>0000000486249249</t>
        </is>
      </c>
      <c r="D1496" s="114" t="n">
        <v>25340.33</v>
      </c>
      <c r="E1496" s="114" t="n">
        <v>0</v>
      </c>
      <c r="F1496" s="114" t="n">
        <v>48713.35</v>
      </c>
      <c r="G1496" s="114" t="inlineStr">
        <is>
          <t>HDFC Securities</t>
        </is>
      </c>
      <c r="H1496" s="114" t="inlineStr">
        <is>
          <t>HDFC 5413</t>
        </is>
      </c>
    </row>
    <row r="1497">
      <c r="A1497" s="113" t="n">
        <v>45311</v>
      </c>
      <c r="B1497" s="114" t="inlineStr">
        <is>
          <t>UPIOUT/402085961127/Q832428843@ybl/Sent
via /5814</t>
        </is>
      </c>
      <c r="C1497" s="114" t="inlineStr"/>
      <c r="D1497" s="114" t="n">
        <v>25</v>
      </c>
      <c r="E1497" s="114" t="n">
        <v>0</v>
      </c>
      <c r="F1497" s="114" t="n">
        <v>14965.56</v>
      </c>
      <c r="G1497" s="114" t="inlineStr">
        <is>
          <t>Personal</t>
        </is>
      </c>
      <c r="H1497" s="114" t="inlineStr">
        <is>
          <t>FEDERAL 0847</t>
        </is>
      </c>
    </row>
    <row r="1498">
      <c r="A1498" s="113" t="n">
        <v>45311</v>
      </c>
      <c r="B1498" s="114" t="inlineStr">
        <is>
          <t>UPIOUT/402087456215/Q132942392@ybl/Sent
via /5451</t>
        </is>
      </c>
      <c r="C1498" s="114" t="inlineStr"/>
      <c r="D1498" s="114" t="n">
        <v>70</v>
      </c>
      <c r="E1498" s="114" t="n">
        <v>0</v>
      </c>
      <c r="F1498" s="114" t="n">
        <v>14895.56</v>
      </c>
      <c r="G1498" s="114" t="inlineStr">
        <is>
          <t>Personal</t>
        </is>
      </c>
      <c r="H1498" s="114" t="inlineStr">
        <is>
          <t>FEDERAL 0847</t>
        </is>
      </c>
    </row>
    <row r="1499">
      <c r="A1499" s="113" t="n">
        <v>45311</v>
      </c>
      <c r="B1499" s="114" t="inlineStr">
        <is>
          <t>NET PI TO HSL SEC A/C 2554606-00602340029427</t>
        </is>
      </c>
      <c r="C1499" s="114" t="inlineStr">
        <is>
          <t>0000000486122449</t>
        </is>
      </c>
      <c r="D1499" s="114" t="n">
        <v>209.13</v>
      </c>
      <c r="E1499" s="114" t="n">
        <v>0</v>
      </c>
      <c r="F1499" s="114" t="n">
        <v>74060.06</v>
      </c>
      <c r="G1499" s="114" t="inlineStr">
        <is>
          <t>HDFC Securities</t>
        </is>
      </c>
      <c r="H1499" s="114" t="inlineStr">
        <is>
          <t>HDFC 5413</t>
        </is>
      </c>
    </row>
    <row r="1500">
      <c r="A1500" s="113" t="n">
        <v>45312</v>
      </c>
      <c r="B1500" s="114" t="inlineStr">
        <is>
          <t>NFT/NEOSIEXEDDD2024012102303226443 Mirae
Asset Mut</t>
        </is>
      </c>
      <c r="C1500" s="114" t="inlineStr"/>
      <c r="D1500" s="114" t="n">
        <v>1000</v>
      </c>
      <c r="E1500" s="114" t="n">
        <v>0</v>
      </c>
      <c r="F1500" s="114" t="n">
        <v>13895.56</v>
      </c>
      <c r="G1500" s="114" t="inlineStr">
        <is>
          <t>Investments</t>
        </is>
      </c>
      <c r="H1500" s="114" t="inlineStr">
        <is>
          <t>FEDERAL 0847</t>
        </is>
      </c>
    </row>
    <row r="1501">
      <c r="A1501" s="113" t="n">
        <v>45312</v>
      </c>
      <c r="B1501" s="114" t="inlineStr">
        <is>
          <t>NFT/NEOSIEXEDDD2024012103010575057 Quant
Mutual Fu</t>
        </is>
      </c>
      <c r="C1501" s="114" t="inlineStr"/>
      <c r="D1501" s="114" t="n">
        <v>1000</v>
      </c>
      <c r="E1501" s="114" t="n">
        <v>0</v>
      </c>
      <c r="F1501" s="114" t="n">
        <v>12895.56</v>
      </c>
      <c r="G1501" s="114" t="inlineStr">
        <is>
          <t>Investments</t>
        </is>
      </c>
      <c r="H1501" s="114" t="inlineStr">
        <is>
          <t>FEDERAL 0847</t>
        </is>
      </c>
    </row>
    <row r="1502">
      <c r="A1502" s="113" t="n">
        <v>45312</v>
      </c>
      <c r="B1502" s="114" t="inlineStr">
        <is>
          <t>UPIOUT/402189137235/Q832428843@ybl/Sent
via /5814</t>
        </is>
      </c>
      <c r="C1502" s="114" t="inlineStr"/>
      <c r="D1502" s="114" t="n">
        <v>18</v>
      </c>
      <c r="E1502" s="114" t="n">
        <v>0</v>
      </c>
      <c r="F1502" s="114" t="n">
        <v>12877.56</v>
      </c>
      <c r="G1502" s="114" t="inlineStr">
        <is>
          <t>Personal</t>
        </is>
      </c>
      <c r="H1502" s="114" t="inlineStr">
        <is>
          <t>FEDERAL 0847</t>
        </is>
      </c>
    </row>
    <row r="1503">
      <c r="A1503" s="113" t="n">
        <v>45312</v>
      </c>
      <c r="B1503" s="114" t="inlineStr">
        <is>
          <t>UPIOUT/402190244416/Q252365001@ybl/Sent
via /5814</t>
        </is>
      </c>
      <c r="C1503" s="114" t="inlineStr"/>
      <c r="D1503" s="114" t="n">
        <v>160</v>
      </c>
      <c r="E1503" s="114" t="n">
        <v>0</v>
      </c>
      <c r="F1503" s="114" t="n">
        <v>12437.56</v>
      </c>
      <c r="G1503" s="114" t="inlineStr">
        <is>
          <t>Personal</t>
        </is>
      </c>
      <c r="H1503" s="114" t="inlineStr">
        <is>
          <t>FEDERAL 0847</t>
        </is>
      </c>
    </row>
    <row r="1504">
      <c r="A1504" s="113" t="n">
        <v>45312</v>
      </c>
      <c r="B1504" s="114" t="inlineStr">
        <is>
          <t>UPIOUT/402191272774/Q079360809@ybl/Sent
via /5814</t>
        </is>
      </c>
      <c r="C1504" s="114" t="inlineStr"/>
      <c r="D1504" s="114" t="n">
        <v>90</v>
      </c>
      <c r="E1504" s="114" t="n">
        <v>0</v>
      </c>
      <c r="F1504" s="114" t="n">
        <v>12347.56</v>
      </c>
      <c r="G1504" s="114" t="inlineStr">
        <is>
          <t>Personal</t>
        </is>
      </c>
      <c r="H1504" s="114" t="inlineStr">
        <is>
          <t>FEDERAL 0847</t>
        </is>
      </c>
    </row>
    <row r="1505">
      <c r="A1505" s="113" t="n">
        <v>45312</v>
      </c>
      <c r="B1505" s="114" t="inlineStr">
        <is>
          <t>UPIOUT/402191418505/Q463323667@ybl/Sent
via /5812</t>
        </is>
      </c>
      <c r="C1505" s="114" t="inlineStr"/>
      <c r="D1505" s="114" t="n">
        <v>100</v>
      </c>
      <c r="E1505" s="114" t="n">
        <v>0</v>
      </c>
      <c r="F1505" s="114" t="n">
        <v>12247.56</v>
      </c>
      <c r="G1505" s="114" t="inlineStr">
        <is>
          <t>Personal</t>
        </is>
      </c>
      <c r="H1505" s="114" t="inlineStr">
        <is>
          <t>FEDERAL 0847</t>
        </is>
      </c>
    </row>
    <row r="1506">
      <c r="A1506" s="113" t="n">
        <v>45312</v>
      </c>
      <c r="B1506" s="114" t="inlineStr">
        <is>
          <t>SMS Alerts Chrgs Incl GST</t>
        </is>
      </c>
      <c r="C1506" s="114" t="inlineStr">
        <is>
          <t>-</t>
        </is>
      </c>
      <c r="D1506" s="114" t="n">
        <v>1.18</v>
      </c>
      <c r="E1506" s="114" t="n">
        <v>0</v>
      </c>
      <c r="F1506" s="114" t="n">
        <v>16722.21</v>
      </c>
      <c r="G1506" s="114" t="inlineStr">
        <is>
          <t>Bank Charges</t>
        </is>
      </c>
      <c r="H1506" s="114" t="inlineStr">
        <is>
          <t>AXIS</t>
        </is>
      </c>
    </row>
    <row r="1507">
      <c r="A1507" s="113" t="n">
        <v>45312</v>
      </c>
      <c r="B1507" s="114" t="inlineStr">
        <is>
          <t>UPIOUT/402189348005/paytmqr281005050101121
ip/7230</t>
        </is>
      </c>
      <c r="C1507" s="114" t="inlineStr"/>
      <c r="D1507" s="114" t="n">
        <v>280</v>
      </c>
      <c r="E1507" s="114" t="n">
        <v>0</v>
      </c>
      <c r="F1507" s="114" t="n">
        <v>12597.56</v>
      </c>
      <c r="G1507" s="114" t="inlineStr">
        <is>
          <t>Personal</t>
        </is>
      </c>
      <c r="H1507" s="114" t="inlineStr">
        <is>
          <t>FEDERAL 0847</t>
        </is>
      </c>
    </row>
    <row r="1508">
      <c r="A1508" s="113" t="n">
        <v>45313</v>
      </c>
      <c r="B1508" s="114" t="inlineStr">
        <is>
          <t>UPIOUT/402294217399/8885885198@paytm/Sent
vi/0000</t>
        </is>
      </c>
      <c r="C1508" s="114" t="inlineStr"/>
      <c r="D1508" s="114" t="n">
        <v>30</v>
      </c>
      <c r="E1508" s="114" t="n">
        <v>0</v>
      </c>
      <c r="F1508" s="114" t="n">
        <v>12217.56</v>
      </c>
      <c r="G1508" s="114" t="inlineStr">
        <is>
          <t>Personal</t>
        </is>
      </c>
      <c r="H1508" s="114" t="inlineStr">
        <is>
          <t>FEDERAL 0847</t>
        </is>
      </c>
    </row>
    <row r="1509">
      <c r="A1509" s="113" t="n">
        <v>45313</v>
      </c>
      <c r="B1509" s="114" t="inlineStr">
        <is>
          <t>UPIOUT/402296058764/Q798355992@ybl/Sent
via /7407</t>
        </is>
      </c>
      <c r="C1509" s="114" t="inlineStr"/>
      <c r="D1509" s="114" t="n">
        <v>20</v>
      </c>
      <c r="E1509" s="114" t="n">
        <v>0</v>
      </c>
      <c r="F1509" s="114" t="n">
        <v>12197.56</v>
      </c>
      <c r="G1509" s="114" t="inlineStr">
        <is>
          <t>Personal</t>
        </is>
      </c>
      <c r="H1509" s="114" t="inlineStr">
        <is>
          <t>FEDERAL 0847</t>
        </is>
      </c>
    </row>
    <row r="1510">
      <c r="A1510" s="113" t="n">
        <v>45313</v>
      </c>
      <c r="B1510" s="114" t="inlineStr">
        <is>
          <t>UPIOUT/402296553613/Q463323667@ybl/Sent
via /5812</t>
        </is>
      </c>
      <c r="C1510" s="114" t="inlineStr"/>
      <c r="D1510" s="114" t="n">
        <v>40</v>
      </c>
      <c r="E1510" s="114" t="n">
        <v>0</v>
      </c>
      <c r="F1510" s="114" t="n">
        <v>12157.56</v>
      </c>
      <c r="G1510" s="114" t="inlineStr">
        <is>
          <t>Personal</t>
        </is>
      </c>
      <c r="H1510" s="114" t="inlineStr">
        <is>
          <t>FEDERAL 0847</t>
        </is>
      </c>
    </row>
    <row r="1511">
      <c r="A1511" s="113" t="n">
        <v>45313</v>
      </c>
      <c r="B1511" s="114" t="inlineStr">
        <is>
          <t>UPIOUT/402296939009/paytmqr281005050101ac5
gq/5812</t>
        </is>
      </c>
      <c r="C1511" s="114" t="inlineStr"/>
      <c r="D1511" s="114" t="n">
        <v>70</v>
      </c>
      <c r="E1511" s="114" t="n">
        <v>0</v>
      </c>
      <c r="F1511" s="114" t="n">
        <v>12087.56</v>
      </c>
      <c r="G1511" s="114" t="inlineStr">
        <is>
          <t>Personal</t>
        </is>
      </c>
      <c r="H1511" s="114" t="inlineStr">
        <is>
          <t>FEDERAL 0847</t>
        </is>
      </c>
    </row>
    <row r="1512">
      <c r="A1512" s="113" t="n">
        <v>45313</v>
      </c>
      <c r="B1512" s="114" t="inlineStr">
        <is>
          <t>UPIOUT/402297023884/paytmqricl8fehbdn@payt
m//5411</t>
        </is>
      </c>
      <c r="C1512" s="114" t="inlineStr"/>
      <c r="D1512" s="114" t="n">
        <v>20</v>
      </c>
      <c r="E1512" s="114" t="n">
        <v>0</v>
      </c>
      <c r="F1512" s="114" t="n">
        <v>12067.56</v>
      </c>
      <c r="G1512" s="114" t="inlineStr">
        <is>
          <t>Personal</t>
        </is>
      </c>
      <c r="H1512" s="114" t="inlineStr">
        <is>
          <t>FEDERAL 0847</t>
        </is>
      </c>
    </row>
    <row r="1513">
      <c r="A1513" s="113" t="n">
        <v>45313</v>
      </c>
      <c r="B1513" s="114" t="inlineStr">
        <is>
          <t>UPIOUT/402319494242/swiggy@yespay/Pay for
me/5812</t>
        </is>
      </c>
      <c r="C1513" s="114" t="inlineStr"/>
      <c r="D1513" s="114" t="n">
        <v>160</v>
      </c>
      <c r="E1513" s="114" t="n">
        <v>0</v>
      </c>
      <c r="F1513" s="114" t="n">
        <v>11907.56</v>
      </c>
      <c r="G1513" s="114" t="inlineStr">
        <is>
          <t>Food &amp; Dining</t>
        </is>
      </c>
      <c r="H1513" s="114" t="inlineStr">
        <is>
          <t>FEDERAL 0847</t>
        </is>
      </c>
    </row>
    <row r="1514">
      <c r="A1514" s="113" t="n">
        <v>45314</v>
      </c>
      <c r="B1514" s="114" t="inlineStr">
        <is>
          <t>NET PI TO HSL SEC A/C 2554606-00602340029427</t>
        </is>
      </c>
      <c r="C1514" s="114" t="inlineStr">
        <is>
          <t>0000000486598654</t>
        </is>
      </c>
      <c r="D1514" s="114" t="n">
        <v>600.33</v>
      </c>
      <c r="E1514" s="114" t="n">
        <v>0</v>
      </c>
      <c r="F1514" s="114" t="n">
        <v>52297.26</v>
      </c>
      <c r="G1514" s="114" t="inlineStr">
        <is>
          <t>HDFC Securities</t>
        </is>
      </c>
      <c r="H1514" s="114" t="inlineStr">
        <is>
          <t>HDFC 5413</t>
        </is>
      </c>
    </row>
    <row r="1515">
      <c r="A1515" s="113" t="n">
        <v>45314</v>
      </c>
      <c r="B1515" s="114" t="inlineStr">
        <is>
          <t>NET PO FROM HSL A/C 2554606-50200085415108</t>
        </is>
      </c>
      <c r="C1515" s="114" t="inlineStr">
        <is>
          <t>0000000486358679</t>
        </is>
      </c>
      <c r="D1515" s="114" t="n">
        <v>0</v>
      </c>
      <c r="E1515" s="114" t="n">
        <v>4184.24</v>
      </c>
      <c r="F1515" s="114" t="n">
        <v>52897.59</v>
      </c>
      <c r="G1515" s="114" t="inlineStr">
        <is>
          <t>HDFC Securities</t>
        </is>
      </c>
      <c r="H1515" s="114" t="inlineStr">
        <is>
          <t>HDFC 5413</t>
        </is>
      </c>
    </row>
    <row r="1516">
      <c r="A1516" s="113" t="n">
        <v>45314</v>
      </c>
      <c r="B1516" s="114" t="inlineStr">
        <is>
          <t>UPIOUT/402312785722/Q832428843@ybl/Sent
via /5814</t>
        </is>
      </c>
      <c r="C1516" s="114" t="inlineStr"/>
      <c r="D1516" s="114" t="n">
        <v>18</v>
      </c>
      <c r="E1516" s="114" t="n">
        <v>0</v>
      </c>
      <c r="F1516" s="114" t="n">
        <v>11819.56</v>
      </c>
      <c r="G1516" s="114" t="inlineStr">
        <is>
          <t>Personal</t>
        </is>
      </c>
      <c r="H1516" s="114" t="inlineStr">
        <is>
          <t>FEDERAL 0847</t>
        </is>
      </c>
    </row>
    <row r="1517">
      <c r="A1517" s="113" t="n">
        <v>45314</v>
      </c>
      <c r="B1517" s="114" t="inlineStr">
        <is>
          <t>UPIOUT/402398858011/9704030744@ybl/Sent
via /0000</t>
        </is>
      </c>
      <c r="C1517" s="114" t="inlineStr"/>
      <c r="D1517" s="114" t="n">
        <v>30</v>
      </c>
      <c r="E1517" s="114" t="n">
        <v>0</v>
      </c>
      <c r="F1517" s="114" t="n">
        <v>11877.56</v>
      </c>
      <c r="G1517" s="114" t="inlineStr">
        <is>
          <t>Personal</t>
        </is>
      </c>
      <c r="H1517" s="114" t="inlineStr">
        <is>
          <t>FEDERAL 0847</t>
        </is>
      </c>
    </row>
    <row r="1518">
      <c r="A1518" s="113" t="n">
        <v>45314</v>
      </c>
      <c r="B1518" s="114" t="inlineStr">
        <is>
          <t>UPIOUT/402312770524/Q963866768@ybl/Sent
via /5814</t>
        </is>
      </c>
      <c r="C1518" s="114" t="inlineStr"/>
      <c r="D1518" s="114" t="n">
        <v>40</v>
      </c>
      <c r="E1518" s="114" t="n">
        <v>0</v>
      </c>
      <c r="F1518" s="114" t="n">
        <v>11837.56</v>
      </c>
      <c r="G1518" s="114" t="inlineStr">
        <is>
          <t>Personal</t>
        </is>
      </c>
      <c r="H1518" s="114" t="inlineStr">
        <is>
          <t>FEDERAL 0847</t>
        </is>
      </c>
    </row>
    <row r="1519">
      <c r="A1519" s="113" t="n">
        <v>45315</v>
      </c>
      <c r="B1519" s="114" t="inlineStr">
        <is>
          <t>UPIOUT/402420105085/Q505505464@ybl/Sent
via /5814</t>
        </is>
      </c>
      <c r="C1519" s="114" t="inlineStr"/>
      <c r="D1519" s="114" t="n">
        <v>30</v>
      </c>
      <c r="E1519" s="114" t="n">
        <v>0</v>
      </c>
      <c r="F1519" s="114" t="n">
        <v>11381.56</v>
      </c>
      <c r="G1519" s="114" t="inlineStr">
        <is>
          <t>Personal</t>
        </is>
      </c>
      <c r="H1519" s="114" t="inlineStr">
        <is>
          <t>FEDERAL 0847</t>
        </is>
      </c>
    </row>
    <row r="1520">
      <c r="A1520" s="113" t="n">
        <v>45315</v>
      </c>
      <c r="B1520" s="114" t="inlineStr">
        <is>
          <t>UPIOUT/402420090538/paytmqr1c4oe5e6z8@payt
m//5812</t>
        </is>
      </c>
      <c r="C1520" s="114" t="inlineStr"/>
      <c r="D1520" s="114" t="n">
        <v>273</v>
      </c>
      <c r="E1520" s="114" t="n">
        <v>0</v>
      </c>
      <c r="F1520" s="114" t="n">
        <v>11411.56</v>
      </c>
      <c r="G1520" s="114" t="inlineStr">
        <is>
          <t>Personal</t>
        </is>
      </c>
      <c r="H1520" s="114" t="inlineStr">
        <is>
          <t>FEDERAL 0847</t>
        </is>
      </c>
    </row>
    <row r="1521">
      <c r="A1521" s="113" t="n">
        <v>45315</v>
      </c>
      <c r="B1521" s="114" t="inlineStr">
        <is>
          <t>UPIOUT/402419186591/Q435774742@ybl/Sent
via /5441</t>
        </is>
      </c>
      <c r="C1521" s="114" t="inlineStr"/>
      <c r="D1521" s="114" t="n">
        <v>30</v>
      </c>
      <c r="E1521" s="114" t="n">
        <v>0</v>
      </c>
      <c r="F1521" s="114" t="n">
        <v>11684.56</v>
      </c>
      <c r="G1521" s="114" t="inlineStr">
        <is>
          <t>Personal</t>
        </is>
      </c>
      <c r="H1521" s="114" t="inlineStr">
        <is>
          <t>FEDERAL 0847</t>
        </is>
      </c>
    </row>
    <row r="1522">
      <c r="A1522" s="113" t="n">
        <v>45315</v>
      </c>
      <c r="B1522" s="114" t="inlineStr">
        <is>
          <t>UPIOUT/402419132634/paytmqr281005050101ac5
gq/5812</t>
        </is>
      </c>
      <c r="C1522" s="114" t="inlineStr"/>
      <c r="D1522" s="114" t="n">
        <v>45</v>
      </c>
      <c r="E1522" s="114" t="n">
        <v>0</v>
      </c>
      <c r="F1522" s="114" t="n">
        <v>11714.56</v>
      </c>
      <c r="G1522" s="114" t="inlineStr">
        <is>
          <t>Personal</t>
        </is>
      </c>
      <c r="H1522" s="114" t="inlineStr">
        <is>
          <t>FEDERAL 0847</t>
        </is>
      </c>
    </row>
    <row r="1523">
      <c r="A1523" s="113" t="n">
        <v>45315</v>
      </c>
      <c r="B1523" s="114" t="inlineStr">
        <is>
          <t>UPIOUT/402415473092/paytm-76881028@paytm/S
en/4121</t>
        </is>
      </c>
      <c r="C1523" s="114" t="inlineStr"/>
      <c r="D1523" s="114" t="n">
        <v>30</v>
      </c>
      <c r="E1523" s="114" t="n">
        <v>0</v>
      </c>
      <c r="F1523" s="114" t="n">
        <v>11789.56</v>
      </c>
      <c r="G1523" s="114" t="inlineStr">
        <is>
          <t>Personal</t>
        </is>
      </c>
      <c r="H1523" s="114" t="inlineStr">
        <is>
          <t>FEDERAL 0847</t>
        </is>
      </c>
    </row>
    <row r="1524">
      <c r="A1524" s="113" t="n">
        <v>45315</v>
      </c>
      <c r="B1524" s="114" t="inlineStr">
        <is>
          <t>UPIOUT/402415586199/RIOTAAGROOFFLINE@ybl/P
ay/5046</t>
        </is>
      </c>
      <c r="C1524" s="114" t="inlineStr"/>
      <c r="D1524" s="114" t="n">
        <v>30</v>
      </c>
      <c r="E1524" s="114" t="n">
        <v>0</v>
      </c>
      <c r="F1524" s="114" t="n">
        <v>11759.56</v>
      </c>
      <c r="G1524" s="114" t="inlineStr">
        <is>
          <t>Personal</t>
        </is>
      </c>
      <c r="H1524" s="114" t="inlineStr">
        <is>
          <t>FEDERAL 0847</t>
        </is>
      </c>
    </row>
    <row r="1525">
      <c r="A1525" s="113" t="n">
        <v>45315</v>
      </c>
      <c r="B1525" s="114" t="inlineStr">
        <is>
          <t>NET PI TO HSL SEC A/C 2554606-00602340029427</t>
        </is>
      </c>
      <c r="C1525" s="114" t="inlineStr">
        <is>
          <t>0000000487173033</t>
        </is>
      </c>
      <c r="D1525" s="114" t="n">
        <v>197.93</v>
      </c>
      <c r="E1525" s="114" t="n">
        <v>0</v>
      </c>
      <c r="F1525" s="114" t="n">
        <v>43506.35</v>
      </c>
      <c r="G1525" s="114" t="inlineStr">
        <is>
          <t>HDFC Securities</t>
        </is>
      </c>
      <c r="H1525" s="114" t="inlineStr">
        <is>
          <t>HDFC 5413</t>
        </is>
      </c>
    </row>
    <row r="1526">
      <c r="A1526" s="113" t="n">
        <v>45315</v>
      </c>
      <c r="B1526" s="114" t="inlineStr">
        <is>
          <t>NET PI TO HSL SEC A/C 2554606-00602340029427</t>
        </is>
      </c>
      <c r="C1526" s="114" t="inlineStr">
        <is>
          <t>0000000486873257</t>
        </is>
      </c>
      <c r="D1526" s="114" t="n">
        <v>8592.98</v>
      </c>
      <c r="E1526" s="114" t="n">
        <v>0</v>
      </c>
      <c r="F1526" s="114" t="n">
        <v>43704.28</v>
      </c>
      <c r="G1526" s="114" t="inlineStr">
        <is>
          <t>HDFC Securities</t>
        </is>
      </c>
      <c r="H1526" s="114" t="inlineStr">
        <is>
          <t>HDFC 5413</t>
        </is>
      </c>
    </row>
    <row r="1527">
      <c r="A1527" s="113" t="n">
        <v>45316</v>
      </c>
      <c r="B1527" s="114" t="inlineStr">
        <is>
          <t>UPIOUT/402526562228/Q832428843@ybl/Sent
via /5814</t>
        </is>
      </c>
      <c r="C1527" s="114" t="inlineStr"/>
      <c r="D1527" s="114" t="n">
        <v>21</v>
      </c>
      <c r="E1527" s="114" t="n">
        <v>0</v>
      </c>
      <c r="F1527" s="114" t="n">
        <v>9300.559999999999</v>
      </c>
      <c r="G1527" s="114" t="inlineStr">
        <is>
          <t>Personal</t>
        </is>
      </c>
      <c r="H1527" s="114" t="inlineStr">
        <is>
          <t>FEDERAL 0847</t>
        </is>
      </c>
    </row>
    <row r="1528">
      <c r="A1528" s="113" t="n">
        <v>45316</v>
      </c>
      <c r="B1528" s="114" t="inlineStr">
        <is>
          <t>NET PI TO HSL SEC A/C 2554606-00602340029427</t>
        </is>
      </c>
      <c r="C1528" s="114" t="inlineStr">
        <is>
          <t>0000000487619615</t>
        </is>
      </c>
      <c r="D1528" s="114" t="n">
        <v>197.93</v>
      </c>
      <c r="E1528" s="114" t="n">
        <v>0</v>
      </c>
      <c r="F1528" s="114" t="n">
        <v>105017.02</v>
      </c>
      <c r="G1528" s="114" t="inlineStr">
        <is>
          <t>HDFC Securities</t>
        </is>
      </c>
      <c r="H1528" s="114" t="inlineStr">
        <is>
          <t>HDFC 5413</t>
        </is>
      </c>
    </row>
    <row r="1529">
      <c r="A1529" s="113" t="n">
        <v>45316</v>
      </c>
      <c r="B1529" s="114" t="inlineStr">
        <is>
          <t>NET PO FROM HSL A/C 2554606-50200085415108</t>
        </is>
      </c>
      <c r="C1529" s="114" t="inlineStr">
        <is>
          <t>0000000487473509</t>
        </is>
      </c>
      <c r="D1529" s="114" t="n">
        <v>0</v>
      </c>
      <c r="E1529" s="114" t="n">
        <v>61708.6</v>
      </c>
      <c r="F1529" s="114" t="n">
        <v>105214.95</v>
      </c>
      <c r="G1529" s="114" t="inlineStr">
        <is>
          <t>HDFC Securities</t>
        </is>
      </c>
      <c r="H1529" s="114" t="inlineStr">
        <is>
          <t>HDFC 5413</t>
        </is>
      </c>
    </row>
    <row r="1530">
      <c r="A1530" s="113" t="n">
        <v>45316</v>
      </c>
      <c r="B1530" s="114" t="inlineStr">
        <is>
          <t>NFT/NEOSIEXEDDD2024012502152924125 Nippon
India Mu</t>
        </is>
      </c>
      <c r="C1530" s="114" t="inlineStr"/>
      <c r="D1530" s="114" t="n">
        <v>2000</v>
      </c>
      <c r="E1530" s="114" t="n">
        <v>0</v>
      </c>
      <c r="F1530" s="114" t="n">
        <v>9381.559999999999</v>
      </c>
      <c r="G1530" s="114" t="inlineStr">
        <is>
          <t>Investments</t>
        </is>
      </c>
      <c r="H1530" s="114" t="inlineStr">
        <is>
          <t>FEDERAL 0847</t>
        </is>
      </c>
    </row>
    <row r="1531">
      <c r="A1531" s="113" t="n">
        <v>45316</v>
      </c>
      <c r="B1531" s="114" t="inlineStr">
        <is>
          <t>UPIOUT/402522042812/paytm-76881028@paytm/S
en/4121</t>
        </is>
      </c>
      <c r="C1531" s="114" t="inlineStr"/>
      <c r="D1531" s="114" t="n">
        <v>30</v>
      </c>
      <c r="E1531" s="114" t="n">
        <v>0</v>
      </c>
      <c r="F1531" s="114" t="n">
        <v>9351.559999999999</v>
      </c>
      <c r="G1531" s="114" t="inlineStr">
        <is>
          <t>Personal</t>
        </is>
      </c>
      <c r="H1531" s="114" t="inlineStr">
        <is>
          <t>FEDERAL 0847</t>
        </is>
      </c>
    </row>
    <row r="1532">
      <c r="A1532" s="113" t="n">
        <v>45316</v>
      </c>
      <c r="B1532" s="114" t="inlineStr">
        <is>
          <t>UPIOUT/402526377473/Q435774742@ybl/Sent
via /5441</t>
        </is>
      </c>
      <c r="C1532" s="114" t="inlineStr"/>
      <c r="D1532" s="114" t="n">
        <v>30</v>
      </c>
      <c r="E1532" s="114" t="n">
        <v>0</v>
      </c>
      <c r="F1532" s="114" t="n">
        <v>9321.559999999999</v>
      </c>
      <c r="G1532" s="114" t="inlineStr">
        <is>
          <t>Personal</t>
        </is>
      </c>
      <c r="H1532" s="114" t="inlineStr">
        <is>
          <t>FEDERAL 0847</t>
        </is>
      </c>
    </row>
    <row r="1533">
      <c r="A1533" s="113" t="n">
        <v>45316</v>
      </c>
      <c r="B1533" s="114" t="inlineStr">
        <is>
          <t>UPIOUT/402527518709/Q277191441@ybl/Sent
via /5812</t>
        </is>
      </c>
      <c r="C1533" s="114" t="inlineStr"/>
      <c r="D1533" s="114" t="n">
        <v>40</v>
      </c>
      <c r="E1533" s="114" t="n">
        <v>0</v>
      </c>
      <c r="F1533" s="114" t="n">
        <v>9260.559999999999</v>
      </c>
      <c r="G1533" s="114" t="inlineStr">
        <is>
          <t>Personal</t>
        </is>
      </c>
      <c r="H1533" s="114" t="inlineStr">
        <is>
          <t>FEDERAL 0847</t>
        </is>
      </c>
    </row>
    <row r="1534">
      <c r="A1534" s="113" t="n">
        <v>45317</v>
      </c>
      <c r="B1534" s="114" t="inlineStr">
        <is>
          <t>UPIOUT/402632654676/Q407907754@ybl/Sent
via /5812</t>
        </is>
      </c>
      <c r="C1534" s="114" t="inlineStr"/>
      <c r="D1534" s="114" t="n">
        <v>250</v>
      </c>
      <c r="E1534" s="114" t="n">
        <v>0</v>
      </c>
      <c r="F1534" s="114" t="n">
        <v>8823.559999999999</v>
      </c>
      <c r="G1534" s="114" t="inlineStr">
        <is>
          <t>Personal</t>
        </is>
      </c>
      <c r="H1534" s="114" t="inlineStr">
        <is>
          <t>FEDERAL 0847</t>
        </is>
      </c>
    </row>
    <row r="1535">
      <c r="A1535" s="113" t="n">
        <v>45317</v>
      </c>
      <c r="B1535" s="114" t="inlineStr">
        <is>
          <t>UPIOUT/402632066482/Q832428843@ybl/Sent
via /5814</t>
        </is>
      </c>
      <c r="C1535" s="114" t="inlineStr"/>
      <c r="D1535" s="114" t="n">
        <v>22</v>
      </c>
      <c r="E1535" s="114" t="n">
        <v>0</v>
      </c>
      <c r="F1535" s="114" t="n">
        <v>9073.559999999999</v>
      </c>
      <c r="G1535" s="114" t="inlineStr">
        <is>
          <t>Personal</t>
        </is>
      </c>
      <c r="H1535" s="114" t="inlineStr">
        <is>
          <t>FEDERAL 0847</t>
        </is>
      </c>
    </row>
    <row r="1536">
      <c r="A1536" s="113" t="n">
        <v>45317</v>
      </c>
      <c r="B1536" s="114" t="inlineStr">
        <is>
          <t>UPIOUT/402632057970/Q435774742@ybl/Sent
via /5441</t>
        </is>
      </c>
      <c r="C1536" s="114" t="inlineStr"/>
      <c r="D1536" s="114" t="n">
        <v>30</v>
      </c>
      <c r="E1536" s="114" t="n">
        <v>0</v>
      </c>
      <c r="F1536" s="114" t="n">
        <v>9095.559999999999</v>
      </c>
      <c r="G1536" s="114" t="inlineStr">
        <is>
          <t>Personal</t>
        </is>
      </c>
      <c r="H1536" s="114" t="inlineStr">
        <is>
          <t>FEDERAL 0847</t>
        </is>
      </c>
    </row>
    <row r="1537">
      <c r="A1537" s="113" t="n">
        <v>45317</v>
      </c>
      <c r="B1537" s="114" t="inlineStr">
        <is>
          <t>UPIOUT/402630884042/paytmqricl8fehbdn@payt
m//5411</t>
        </is>
      </c>
      <c r="C1537" s="114" t="inlineStr"/>
      <c r="D1537" s="114" t="n">
        <v>40</v>
      </c>
      <c r="E1537" s="114" t="n">
        <v>0</v>
      </c>
      <c r="F1537" s="114" t="n">
        <v>9125.559999999999</v>
      </c>
      <c r="G1537" s="114" t="inlineStr">
        <is>
          <t>Personal</t>
        </is>
      </c>
      <c r="H1537" s="114" t="inlineStr">
        <is>
          <t>FEDERAL 0847</t>
        </is>
      </c>
    </row>
    <row r="1538">
      <c r="A1538" s="113" t="n">
        <v>45317</v>
      </c>
      <c r="B1538" s="114" t="inlineStr">
        <is>
          <t>NET PI TO HSL SEC A/C 2554606-00602340029427</t>
        </is>
      </c>
      <c r="C1538" s="114" t="inlineStr">
        <is>
          <t>0000000487808035</t>
        </is>
      </c>
      <c r="D1538" s="114" t="n">
        <v>73510.92999999999</v>
      </c>
      <c r="E1538" s="114" t="n">
        <v>0</v>
      </c>
      <c r="F1538" s="114" t="n">
        <v>31506.09</v>
      </c>
      <c r="G1538" s="114" t="inlineStr">
        <is>
          <t>HDFC Securities</t>
        </is>
      </c>
      <c r="H1538" s="114" t="inlineStr">
        <is>
          <t>HDFC 5413</t>
        </is>
      </c>
    </row>
    <row r="1539">
      <c r="A1539" s="113" t="n">
        <v>45317</v>
      </c>
      <c r="B1539" s="114" t="inlineStr">
        <is>
          <t>UPIOUT/402629668578/paytmqr7dy7acqk9s@payt
m//5812</t>
        </is>
      </c>
      <c r="C1539" s="114" t="inlineStr"/>
      <c r="D1539" s="114" t="n">
        <v>70</v>
      </c>
      <c r="E1539" s="114" t="n">
        <v>0</v>
      </c>
      <c r="F1539" s="114" t="n">
        <v>9190.559999999999</v>
      </c>
      <c r="G1539" s="114" t="inlineStr">
        <is>
          <t>Personal</t>
        </is>
      </c>
      <c r="H1539" s="114" t="inlineStr">
        <is>
          <t>FEDERAL 0847</t>
        </is>
      </c>
    </row>
    <row r="1540">
      <c r="A1540" s="113" t="n">
        <v>45317</v>
      </c>
      <c r="B1540" s="114" t="inlineStr">
        <is>
          <t>01671000060094-TPT-MONEY RETURNED BY AAYUSH TO SUNITA-SUNITA GUPTA</t>
        </is>
      </c>
      <c r="C1540" s="114" t="inlineStr">
        <is>
          <t>0000000618740593</t>
        </is>
      </c>
      <c r="D1540" s="114" t="n">
        <v>20000</v>
      </c>
      <c r="E1540" s="114" t="n">
        <v>0</v>
      </c>
      <c r="F1540" s="114" t="n">
        <v>11506.09</v>
      </c>
      <c r="G1540" s="114" t="inlineStr">
        <is>
          <t>Sunita Gupta</t>
        </is>
      </c>
      <c r="H1540" s="114" t="inlineStr">
        <is>
          <t>HDFC 5413</t>
        </is>
      </c>
    </row>
    <row r="1541">
      <c r="A1541" s="113" t="n">
        <v>45317</v>
      </c>
      <c r="B1541" s="114" t="inlineStr">
        <is>
          <t>UPIOUT/402629733436/Q832428843@ybl/Sent
via /5814</t>
        </is>
      </c>
      <c r="C1541" s="114" t="inlineStr"/>
      <c r="D1541" s="114" t="n">
        <v>25</v>
      </c>
      <c r="E1541" s="114" t="n">
        <v>0</v>
      </c>
      <c r="F1541" s="114" t="n">
        <v>9165.559999999999</v>
      </c>
      <c r="G1541" s="114" t="inlineStr">
        <is>
          <t>Personal</t>
        </is>
      </c>
      <c r="H1541" s="114" t="inlineStr">
        <is>
          <t>FEDERAL 0847</t>
        </is>
      </c>
    </row>
    <row r="1542">
      <c r="A1542" s="113" t="n">
        <v>45318</v>
      </c>
      <c r="B1542" s="114" t="inlineStr">
        <is>
          <t>UPIOUT/402735496693/paytmqr281005050101135
op/5411</t>
        </is>
      </c>
      <c r="C1542" s="114" t="inlineStr"/>
      <c r="D1542" s="114" t="n">
        <v>45</v>
      </c>
      <c r="E1542" s="114" t="n">
        <v>0</v>
      </c>
      <c r="F1542" s="114" t="n">
        <v>8733.559999999999</v>
      </c>
      <c r="G1542" s="114" t="inlineStr">
        <is>
          <t>Personal</t>
        </is>
      </c>
      <c r="H1542" s="114" t="inlineStr">
        <is>
          <t>FEDERAL 0847</t>
        </is>
      </c>
    </row>
    <row r="1543">
      <c r="A1543" s="113" t="n">
        <v>45318</v>
      </c>
      <c r="B1543" s="114" t="inlineStr">
        <is>
          <t>UPIOUT/402734417853/Q832428843@ybl/Sent
via /5814</t>
        </is>
      </c>
      <c r="C1543" s="114" t="inlineStr"/>
      <c r="D1543" s="114" t="n">
        <v>15</v>
      </c>
      <c r="E1543" s="114" t="n">
        <v>0</v>
      </c>
      <c r="F1543" s="114" t="n">
        <v>8808.559999999999</v>
      </c>
      <c r="G1543" s="114" t="inlineStr">
        <is>
          <t>Personal</t>
        </is>
      </c>
      <c r="H1543" s="114" t="inlineStr">
        <is>
          <t>FEDERAL 0847</t>
        </is>
      </c>
    </row>
    <row r="1544">
      <c r="A1544" s="113" t="n">
        <v>45318</v>
      </c>
      <c r="B1544" s="114" t="inlineStr">
        <is>
          <t>UPIOUT/402735554762/Q832428843@ybl/Sent
via /5814</t>
        </is>
      </c>
      <c r="C1544" s="114" t="inlineStr"/>
      <c r="D1544" s="114" t="n">
        <v>18</v>
      </c>
      <c r="E1544" s="114" t="n">
        <v>0</v>
      </c>
      <c r="F1544" s="114" t="n">
        <v>8715.559999999999</v>
      </c>
      <c r="G1544" s="114" t="inlineStr">
        <is>
          <t>Personal</t>
        </is>
      </c>
      <c r="H1544" s="114" t="inlineStr">
        <is>
          <t>FEDERAL 0847</t>
        </is>
      </c>
    </row>
    <row r="1545">
      <c r="A1545" s="113" t="n">
        <v>45318</v>
      </c>
      <c r="B1545" s="114" t="inlineStr">
        <is>
          <t>UPIOUT/402735485919/Q663960260@ybl/Sent
via /5814</t>
        </is>
      </c>
      <c r="C1545" s="114" t="inlineStr"/>
      <c r="D1545" s="114" t="n">
        <v>30</v>
      </c>
      <c r="E1545" s="114" t="n">
        <v>0</v>
      </c>
      <c r="F1545" s="114" t="n">
        <v>8778.559999999999</v>
      </c>
      <c r="G1545" s="114" t="inlineStr">
        <is>
          <t>Personal</t>
        </is>
      </c>
      <c r="H1545" s="114" t="inlineStr">
        <is>
          <t>FEDERAL 0847</t>
        </is>
      </c>
    </row>
    <row r="1546">
      <c r="A1546" s="113" t="n">
        <v>45320</v>
      </c>
      <c r="B1546" s="114" t="inlineStr">
        <is>
          <t>UPIOUT/402962261017/q832428843@ybl/UPI/581
4</t>
        </is>
      </c>
      <c r="C1546" s="114" t="inlineStr"/>
      <c r="D1546" s="114" t="n">
        <v>20</v>
      </c>
      <c r="E1546" s="114" t="n">
        <v>0</v>
      </c>
      <c r="F1546" s="114" t="n">
        <v>8547.559999999999</v>
      </c>
      <c r="G1546" s="114" t="inlineStr">
        <is>
          <t>Personal</t>
        </is>
      </c>
      <c r="H1546" s="114" t="inlineStr">
        <is>
          <t>FEDERAL 0847</t>
        </is>
      </c>
    </row>
    <row r="1547">
      <c r="A1547" s="113" t="n">
        <v>45320</v>
      </c>
      <c r="B1547" s="114" t="inlineStr">
        <is>
          <t>UPIOUT/402947659656/Q963866768@ybl/Sent
via /5814</t>
        </is>
      </c>
      <c r="C1547" s="114" t="inlineStr"/>
      <c r="D1547" s="114" t="n">
        <v>40</v>
      </c>
      <c r="E1547" s="114" t="n">
        <v>0</v>
      </c>
      <c r="F1547" s="114" t="n">
        <v>8567.559999999999</v>
      </c>
      <c r="G1547" s="114" t="inlineStr">
        <is>
          <t>Personal</t>
        </is>
      </c>
      <c r="H1547" s="114" t="inlineStr">
        <is>
          <t>FEDERAL 0847</t>
        </is>
      </c>
    </row>
    <row r="1548">
      <c r="A1548" s="113" t="n">
        <v>45320</v>
      </c>
      <c r="B1548" s="114" t="inlineStr">
        <is>
          <t>UPIOUT/402947571271/BHARATPE.90069165751@f
bp/5814</t>
        </is>
      </c>
      <c r="C1548" s="114" t="inlineStr"/>
      <c r="D1548" s="114" t="n">
        <v>65</v>
      </c>
      <c r="E1548" s="114" t="n">
        <v>0</v>
      </c>
      <c r="F1548" s="114" t="n">
        <v>8607.559999999999</v>
      </c>
      <c r="G1548" s="114" t="inlineStr">
        <is>
          <t>Personal</t>
        </is>
      </c>
      <c r="H1548" s="114" t="inlineStr">
        <is>
          <t>FEDERAL 0847</t>
        </is>
      </c>
    </row>
    <row r="1549">
      <c r="A1549" s="113" t="n">
        <v>45320</v>
      </c>
      <c r="B1549" s="114" t="inlineStr">
        <is>
          <t>UPIOUT/402946035595/RIOTAAGROOFFLINE@ybl/P
ay/5046</t>
        </is>
      </c>
      <c r="C1549" s="114" t="inlineStr"/>
      <c r="D1549" s="114" t="n">
        <v>25</v>
      </c>
      <c r="E1549" s="114" t="n">
        <v>0</v>
      </c>
      <c r="F1549" s="114" t="n">
        <v>8672.559999999999</v>
      </c>
      <c r="G1549" s="114" t="inlineStr">
        <is>
          <t>Personal</t>
        </is>
      </c>
      <c r="H1549" s="114" t="inlineStr">
        <is>
          <t>FEDERAL 0847</t>
        </is>
      </c>
    </row>
    <row r="1550">
      <c r="A1550" s="113" t="n">
        <v>45320</v>
      </c>
      <c r="B1550" s="114" t="inlineStr">
        <is>
          <t>UPIOUT/402944155385/Q832428843@ybl/Sent
via /5814</t>
        </is>
      </c>
      <c r="C1550" s="114" t="inlineStr"/>
      <c r="D1550" s="114" t="n">
        <v>18</v>
      </c>
      <c r="E1550" s="114" t="n">
        <v>0</v>
      </c>
      <c r="F1550" s="114" t="n">
        <v>8697.559999999999</v>
      </c>
      <c r="G1550" s="114" t="inlineStr">
        <is>
          <t>Personal</t>
        </is>
      </c>
      <c r="H1550" s="114" t="inlineStr">
        <is>
          <t>FEDERAL 0847</t>
        </is>
      </c>
    </row>
    <row r="1551">
      <c r="A1551" s="113" t="n">
        <v>45320</v>
      </c>
      <c r="B1551" s="114" t="inlineStr">
        <is>
          <t>UPIOUT/402948440605/BHARATPE09893450319@ye
sb/5814</t>
        </is>
      </c>
      <c r="C1551" s="114" t="inlineStr"/>
      <c r="D1551" s="114" t="n">
        <v>40</v>
      </c>
      <c r="E1551" s="114" t="n">
        <v>0</v>
      </c>
      <c r="F1551" s="114" t="n">
        <v>8507.559999999999</v>
      </c>
      <c r="G1551" s="114" t="inlineStr">
        <is>
          <t>Personal</t>
        </is>
      </c>
      <c r="H1551" s="114" t="inlineStr">
        <is>
          <t>FEDERAL 0847</t>
        </is>
      </c>
    </row>
    <row r="1552">
      <c r="A1552" s="113" t="n">
        <v>45320</v>
      </c>
      <c r="B1552" s="114" t="inlineStr">
        <is>
          <t>NET PI TO HSL SEC A/C 2554606-00602340029427</t>
        </is>
      </c>
      <c r="C1552" s="114" t="inlineStr">
        <is>
          <t>0000000488176629</t>
        </is>
      </c>
      <c r="D1552" s="114" t="n">
        <v>577.36</v>
      </c>
      <c r="E1552" s="114" t="n">
        <v>0</v>
      </c>
      <c r="F1552" s="114" t="n">
        <v>5928.73</v>
      </c>
      <c r="G1552" s="114" t="inlineStr">
        <is>
          <t>HDFC Securities</t>
        </is>
      </c>
      <c r="H1552" s="114" t="inlineStr">
        <is>
          <t>HDFC 5413</t>
        </is>
      </c>
    </row>
    <row r="1553">
      <c r="A1553" s="113" t="n">
        <v>45320</v>
      </c>
      <c r="B1553" s="114" t="inlineStr">
        <is>
          <t>ACH D- TP ACH INDIANESIGN-1346368480</t>
        </is>
      </c>
      <c r="C1553" s="114" t="inlineStr">
        <is>
          <t>0000009809927850</t>
        </is>
      </c>
      <c r="D1553" s="114" t="n">
        <v>5000</v>
      </c>
      <c r="E1553" s="114" t="n">
        <v>0</v>
      </c>
      <c r="F1553" s="114" t="n">
        <v>6506.09</v>
      </c>
      <c r="G1553" s="114" t="inlineStr">
        <is>
          <t>SIP</t>
        </is>
      </c>
      <c r="H1553" s="114" t="inlineStr">
        <is>
          <t>HDFC 5413</t>
        </is>
      </c>
    </row>
    <row r="1554">
      <c r="A1554" s="113" t="n">
        <v>45321</v>
      </c>
      <c r="B1554" s="114" t="inlineStr">
        <is>
          <t>UPIOUT/403054645483/paytmqr3pwjgh0ago@payt
m//5411</t>
        </is>
      </c>
      <c r="C1554" s="114" t="inlineStr"/>
      <c r="D1554" s="114" t="n">
        <v>20</v>
      </c>
      <c r="E1554" s="114" t="n">
        <v>0</v>
      </c>
      <c r="F1554" s="114" t="n">
        <v>8417.559999999999</v>
      </c>
      <c r="G1554" s="114" t="inlineStr">
        <is>
          <t>Personal</t>
        </is>
      </c>
      <c r="H1554" s="114" t="inlineStr">
        <is>
          <t>FEDERAL 0847</t>
        </is>
      </c>
    </row>
    <row r="1555">
      <c r="A1555" s="113" t="n">
        <v>45321</v>
      </c>
      <c r="B1555" s="114" t="inlineStr">
        <is>
          <t>UPIOUT/403054639044/Q963866768@ybl/Sent
via /5814</t>
        </is>
      </c>
      <c r="C1555" s="114" t="inlineStr"/>
      <c r="D1555" s="114" t="n">
        <v>40</v>
      </c>
      <c r="E1555" s="114" t="n">
        <v>0</v>
      </c>
      <c r="F1555" s="114" t="n">
        <v>8437.559999999999</v>
      </c>
      <c r="G1555" s="114" t="inlineStr">
        <is>
          <t>Personal</t>
        </is>
      </c>
      <c r="H1555" s="114" t="inlineStr">
        <is>
          <t>FEDERAL 0847</t>
        </is>
      </c>
    </row>
    <row r="1556">
      <c r="A1556" s="113" t="n">
        <v>45321</v>
      </c>
      <c r="B1556" s="114" t="inlineStr">
        <is>
          <t>NET PI TO HSL SEC A/C 2554606-00602340029427</t>
        </is>
      </c>
      <c r="C1556" s="114" t="inlineStr">
        <is>
          <t>0000000488659769</t>
        </is>
      </c>
      <c r="D1556" s="114" t="n">
        <v>180.33</v>
      </c>
      <c r="E1556" s="114" t="n">
        <v>0</v>
      </c>
      <c r="F1556" s="114" t="n">
        <v>3643.78</v>
      </c>
      <c r="G1556" s="114" t="inlineStr">
        <is>
          <t>HDFC Securities</t>
        </is>
      </c>
      <c r="H1556" s="114" t="inlineStr">
        <is>
          <t>HDFC 5413</t>
        </is>
      </c>
    </row>
    <row r="1557">
      <c r="A1557" s="113" t="n">
        <v>45321</v>
      </c>
      <c r="B1557" s="114" t="inlineStr">
        <is>
          <t>DEBIT CARD ANNUAL FEE-JAN-2024 190124-MIR2403064274725</t>
        </is>
      </c>
      <c r="C1557" s="114" t="inlineStr">
        <is>
          <t>MIR2403064274725</t>
        </is>
      </c>
      <c r="D1557" s="114" t="n">
        <v>236</v>
      </c>
      <c r="E1557" s="114" t="n">
        <v>0</v>
      </c>
      <c r="F1557" s="114" t="n">
        <v>3824.11</v>
      </c>
      <c r="G1557" s="114" t="inlineStr">
        <is>
          <t>Bank Charges</t>
        </is>
      </c>
      <c r="H1557" s="114" t="inlineStr">
        <is>
          <t>HDFC 5413</t>
        </is>
      </c>
    </row>
    <row r="1558">
      <c r="A1558" s="113" t="n">
        <v>45321</v>
      </c>
      <c r="B1558" s="114" t="inlineStr">
        <is>
          <t>ISAQMC-OCT-DEC23-417944 250124-MIR2403065287373</t>
        </is>
      </c>
      <c r="C1558" s="114" t="inlineStr">
        <is>
          <t>MIR2403065287373</t>
        </is>
      </c>
      <c r="D1558" s="114" t="n">
        <v>295</v>
      </c>
      <c r="E1558" s="114" t="n">
        <v>0</v>
      </c>
      <c r="F1558" s="114" t="n">
        <v>4060.11</v>
      </c>
      <c r="G1558" s="114" t="inlineStr">
        <is>
          <t>Bank Charges</t>
        </is>
      </c>
      <c r="H1558" s="114" t="inlineStr">
        <is>
          <t>HDFC 5413</t>
        </is>
      </c>
    </row>
    <row r="1559">
      <c r="A1559" s="113" t="n">
        <v>45321</v>
      </c>
      <c r="B1559" s="114" t="inlineStr">
        <is>
          <t>ACH D- TP ACH INDIANESIGN-1349137374</t>
        </is>
      </c>
      <c r="C1559" s="114" t="inlineStr">
        <is>
          <t>0000009834809464</t>
        </is>
      </c>
      <c r="D1559" s="114" t="n">
        <v>5000</v>
      </c>
      <c r="E1559" s="114" t="n">
        <v>0</v>
      </c>
      <c r="F1559" s="114" t="n">
        <v>4355.11</v>
      </c>
      <c r="G1559" s="114" t="inlineStr">
        <is>
          <t>SIP</t>
        </is>
      </c>
      <c r="H1559" s="114" t="inlineStr">
        <is>
          <t>HDFC 5413</t>
        </is>
      </c>
    </row>
    <row r="1560">
      <c r="A1560" s="113" t="n">
        <v>45321</v>
      </c>
      <c r="B1560" s="114" t="inlineStr">
        <is>
          <t>NET PO FROM HSL A/C 2554606-50200085415108</t>
        </is>
      </c>
      <c r="C1560" s="114" t="inlineStr">
        <is>
          <t>0000000488510488</t>
        </is>
      </c>
      <c r="D1560" s="114" t="n">
        <v>0</v>
      </c>
      <c r="E1560" s="114" t="n">
        <v>3426.38</v>
      </c>
      <c r="F1560" s="114" t="n">
        <v>9355.110000000001</v>
      </c>
      <c r="G1560" s="114" t="inlineStr">
        <is>
          <t>HDFC Securities</t>
        </is>
      </c>
      <c r="H1560" s="114" t="inlineStr">
        <is>
          <t>HDFC 5413</t>
        </is>
      </c>
    </row>
    <row r="1561">
      <c r="A1561" s="113" t="n">
        <v>45321</v>
      </c>
      <c r="B1561" s="114" t="inlineStr">
        <is>
          <t>UPIOUT/403050104307/paytm-76881028@paytm/S
en/4121</t>
        </is>
      </c>
      <c r="C1561" s="114" t="inlineStr"/>
      <c r="D1561" s="114" t="n">
        <v>30</v>
      </c>
      <c r="E1561" s="114" t="n">
        <v>0</v>
      </c>
      <c r="F1561" s="114" t="n">
        <v>8477.559999999999</v>
      </c>
      <c r="G1561" s="114" t="inlineStr">
        <is>
          <t>Personal</t>
        </is>
      </c>
      <c r="H1561" s="114" t="inlineStr">
        <is>
          <t>FEDERAL 0847</t>
        </is>
      </c>
    </row>
    <row r="1562">
      <c r="A1562" s="113" t="n">
        <v>45321</v>
      </c>
      <c r="B1562" s="114" t="inlineStr">
        <is>
          <t>UPIOUT/403054706192/BHARATPE60000005202@ye
sb/5651</t>
        </is>
      </c>
      <c r="C1562" s="114" t="inlineStr"/>
      <c r="D1562" s="114" t="n">
        <v>200</v>
      </c>
      <c r="E1562" s="114" t="n">
        <v>0</v>
      </c>
      <c r="F1562" s="114" t="n">
        <v>8217.559999999999</v>
      </c>
      <c r="G1562" s="114" t="inlineStr">
        <is>
          <t>Personal</t>
        </is>
      </c>
      <c r="H1562" s="114" t="inlineStr">
        <is>
          <t>FEDERAL 0847</t>
        </is>
      </c>
    </row>
    <row r="1563">
      <c r="A1563" s="113" t="n">
        <v>45321</v>
      </c>
      <c r="B1563" s="114" t="inlineStr">
        <is>
          <t>UPIOUT/403055463282/paytmqricl8fehbdn@payt
m//5411</t>
        </is>
      </c>
      <c r="C1563" s="114" t="inlineStr"/>
      <c r="D1563" s="114" t="n">
        <v>40</v>
      </c>
      <c r="E1563" s="114" t="n">
        <v>0</v>
      </c>
      <c r="F1563" s="114" t="n">
        <v>8177.56</v>
      </c>
      <c r="G1563" s="114" t="inlineStr">
        <is>
          <t>Personal</t>
        </is>
      </c>
      <c r="H1563" s="114" t="inlineStr">
        <is>
          <t>FEDERAL 0847</t>
        </is>
      </c>
    </row>
    <row r="1564">
      <c r="A1564" s="113" t="n">
        <v>45322</v>
      </c>
      <c r="B1564" s="114" t="inlineStr">
        <is>
          <t>UPIOUT/403157016307/Q832428843@ybl/Sent
via /5814</t>
        </is>
      </c>
      <c r="C1564" s="114" t="inlineStr"/>
      <c r="D1564" s="114" t="n">
        <v>18</v>
      </c>
      <c r="E1564" s="114" t="n">
        <v>0</v>
      </c>
      <c r="F1564" s="114" t="n">
        <v>8159.56</v>
      </c>
      <c r="G1564" s="114" t="inlineStr">
        <is>
          <t>Personal</t>
        </is>
      </c>
      <c r="H1564" s="114" t="inlineStr">
        <is>
          <t>FEDERAL 0847</t>
        </is>
      </c>
    </row>
    <row r="1565">
      <c r="A1565" s="113" t="n">
        <v>45322</v>
      </c>
      <c r="B1565" s="114" t="inlineStr">
        <is>
          <t>UPIOUT/403158429476/Q407907754@ybl/Sent
via /5812</t>
        </is>
      </c>
      <c r="C1565" s="114" t="inlineStr"/>
      <c r="D1565" s="114" t="n">
        <v>225</v>
      </c>
      <c r="E1565" s="114" t="n">
        <v>0</v>
      </c>
      <c r="F1565" s="114" t="n">
        <v>7934.56</v>
      </c>
      <c r="G1565" s="114" t="inlineStr">
        <is>
          <t>Personal</t>
        </is>
      </c>
      <c r="H1565" s="114" t="inlineStr">
        <is>
          <t>FEDERAL 0847</t>
        </is>
      </c>
    </row>
    <row r="1566">
      <c r="A1566" s="113" t="n">
        <v>45322</v>
      </c>
      <c r="B1566" s="114" t="inlineStr">
        <is>
          <t>UPIOUT/403158446410/paytmqrpw51via7kn@payt
m//5912</t>
        </is>
      </c>
      <c r="C1566" s="114" t="inlineStr"/>
      <c r="D1566" s="114" t="n">
        <v>30</v>
      </c>
      <c r="E1566" s="114" t="n">
        <v>0</v>
      </c>
      <c r="F1566" s="114" t="n">
        <v>7904.56</v>
      </c>
      <c r="G1566" s="114" t="inlineStr">
        <is>
          <t>Personal</t>
        </is>
      </c>
      <c r="H1566" s="114" t="inlineStr">
        <is>
          <t>FEDERAL 0847</t>
        </is>
      </c>
    </row>
    <row r="1567">
      <c r="A1567" s="113" t="n">
        <v>45322</v>
      </c>
      <c r="B1567" s="114" t="inlineStr">
        <is>
          <t>UPIOUT/403158503122/Q185949983@ybl/Sent
via /5451</t>
        </is>
      </c>
      <c r="C1567" s="114" t="inlineStr"/>
      <c r="D1567" s="114" t="n">
        <v>10</v>
      </c>
      <c r="E1567" s="114" t="n">
        <v>0</v>
      </c>
      <c r="F1567" s="114" t="n">
        <v>7894.56</v>
      </c>
      <c r="G1567" s="114" t="inlineStr">
        <is>
          <t>Personal</t>
        </is>
      </c>
      <c r="H1567" s="114" t="inlineStr">
        <is>
          <t>FEDERAL 0847</t>
        </is>
      </c>
    </row>
    <row r="1568">
      <c r="A1568" s="113" t="n">
        <v>45322</v>
      </c>
      <c r="B1568" s="114" t="inlineStr">
        <is>
          <t>NFT/DR REDDYS LABOR/CITIN24416493217/CITI</t>
        </is>
      </c>
      <c r="C1568" s="114" t="inlineStr"/>
      <c r="D1568" s="114" t="n">
        <v>0</v>
      </c>
      <c r="E1568" s="114" t="n">
        <v>22500</v>
      </c>
      <c r="F1568" s="114" t="n">
        <v>30337.56</v>
      </c>
      <c r="G1568" s="114" t="inlineStr">
        <is>
          <t>Suspense</t>
        </is>
      </c>
      <c r="H1568" s="114" t="inlineStr">
        <is>
          <t>FEDERAL 0847</t>
        </is>
      </c>
    </row>
    <row r="1569">
      <c r="A1569" s="113" t="n">
        <v>45322</v>
      </c>
      <c r="B1569" s="114" t="inlineStr">
        <is>
          <t>UPIOUT/403160164019/Q082521920@ybl/Sent
via /5814</t>
        </is>
      </c>
      <c r="C1569" s="114" t="inlineStr"/>
      <c r="D1569" s="114" t="n">
        <v>17</v>
      </c>
      <c r="E1569" s="114" t="n">
        <v>0</v>
      </c>
      <c r="F1569" s="114" t="n">
        <v>7837.56</v>
      </c>
      <c r="G1569" s="114" t="inlineStr">
        <is>
          <t>Personal</t>
        </is>
      </c>
      <c r="H1569" s="114" t="inlineStr">
        <is>
          <t>FEDERAL 0847</t>
        </is>
      </c>
    </row>
    <row r="1570">
      <c r="A1570" s="113" t="n">
        <v>45322</v>
      </c>
      <c r="B1570" s="114" t="inlineStr">
        <is>
          <t>NET PO FROM HSL A/C 2554606-50200085415108</t>
        </is>
      </c>
      <c r="C1570" s="114" t="inlineStr">
        <is>
          <t>0000000489025036</t>
        </is>
      </c>
      <c r="D1570" s="114" t="n">
        <v>0</v>
      </c>
      <c r="E1570" s="114" t="n">
        <v>11450.46</v>
      </c>
      <c r="F1570" s="114" t="n">
        <v>15094.24</v>
      </c>
      <c r="G1570" s="114" t="inlineStr">
        <is>
          <t>HDFC Securities</t>
        </is>
      </c>
      <c r="H1570" s="114" t="inlineStr">
        <is>
          <t>HDFC 5413</t>
        </is>
      </c>
    </row>
    <row r="1571">
      <c r="A1571" s="113" t="n">
        <v>45322</v>
      </c>
      <c r="B1571" s="114" t="inlineStr">
        <is>
          <t>NET PI TO HSL SEC A/C 2554606-00602340029427</t>
        </is>
      </c>
      <c r="C1571" s="114" t="inlineStr">
        <is>
          <t>0000000489157497</t>
        </is>
      </c>
      <c r="D1571" s="114" t="n">
        <v>181.55</v>
      </c>
      <c r="E1571" s="114" t="n">
        <v>0</v>
      </c>
      <c r="F1571" s="114" t="n">
        <v>14912.69</v>
      </c>
      <c r="G1571" s="114" t="inlineStr">
        <is>
          <t>HDFC Securities</t>
        </is>
      </c>
      <c r="H1571" s="114" t="inlineStr">
        <is>
          <t>HDFC 5413</t>
        </is>
      </c>
    </row>
    <row r="1572">
      <c r="A1572" s="113" t="n">
        <v>45322</v>
      </c>
      <c r="B1572" s="114" t="inlineStr">
        <is>
          <t>UPIOUT/403160070092/Q151311187@ybl/Sent
via /5814</t>
        </is>
      </c>
      <c r="C1572" s="114" t="inlineStr"/>
      <c r="D1572" s="114" t="n">
        <v>40</v>
      </c>
      <c r="E1572" s="114" t="n">
        <v>0</v>
      </c>
      <c r="F1572" s="114" t="n">
        <v>7854.56</v>
      </c>
      <c r="G1572" s="114" t="inlineStr">
        <is>
          <t>Personal</t>
        </is>
      </c>
      <c r="H1572" s="114" t="inlineStr">
        <is>
          <t>FEDERAL 0847</t>
        </is>
      </c>
    </row>
    <row r="1573">
      <c r="A1573" s="113" t="n">
        <v>45323</v>
      </c>
      <c r="B1573" s="114" t="inlineStr">
        <is>
          <t>NET PO FROM HSL A/C 2554606-50200085415108</t>
        </is>
      </c>
      <c r="C1573" s="114" t="inlineStr">
        <is>
          <t>0000000489501854</t>
        </is>
      </c>
      <c r="D1573" s="114" t="n">
        <v>0</v>
      </c>
      <c r="E1573" s="114" t="n">
        <v>17235.04</v>
      </c>
      <c r="F1573" s="114" t="n">
        <v>32147.73</v>
      </c>
      <c r="G1573" s="114" t="inlineStr">
        <is>
          <t>HDFC Securities</t>
        </is>
      </c>
      <c r="H1573" s="114" t="inlineStr">
        <is>
          <t>HDFC 5413</t>
        </is>
      </c>
    </row>
    <row r="1574">
      <c r="A1574" s="113" t="n">
        <v>45323</v>
      </c>
      <c r="B1574" s="114" t="inlineStr">
        <is>
          <t>NET PO FROM HSL A/C 2554606-50200085415108</t>
        </is>
      </c>
      <c r="C1574" s="114" t="inlineStr">
        <is>
          <t>0000000489530404</t>
        </is>
      </c>
      <c r="D1574" s="114" t="n">
        <v>0</v>
      </c>
      <c r="E1574" s="114" t="n">
        <v>43496.53</v>
      </c>
      <c r="F1574" s="114" t="n">
        <v>75644.25999999999</v>
      </c>
      <c r="G1574" s="114" t="inlineStr">
        <is>
          <t>HDFC Securities</t>
        </is>
      </c>
      <c r="H1574" s="114" t="inlineStr">
        <is>
          <t>HDFC 5413</t>
        </is>
      </c>
    </row>
    <row r="1575">
      <c r="A1575" s="113" t="n">
        <v>45323</v>
      </c>
      <c r="B1575" s="114" t="inlineStr">
        <is>
          <t>NET PI TO HSL SEC A/C 2554606-00602340029427</t>
        </is>
      </c>
      <c r="C1575" s="114" t="inlineStr">
        <is>
          <t>0000000489890964</t>
        </is>
      </c>
      <c r="D1575" s="114" t="n">
        <v>37574.6</v>
      </c>
      <c r="E1575" s="114" t="n">
        <v>0</v>
      </c>
      <c r="F1575" s="114" t="n">
        <v>37892.6</v>
      </c>
      <c r="G1575" s="114" t="inlineStr">
        <is>
          <t>HDFC Securities</t>
        </is>
      </c>
      <c r="H1575" s="114" t="inlineStr">
        <is>
          <t>HDFC 5413</t>
        </is>
      </c>
    </row>
    <row r="1576">
      <c r="A1576" s="113" t="n">
        <v>45323</v>
      </c>
      <c r="B1576" s="114" t="inlineStr">
        <is>
          <t>NET PI TO HSL SEC A/C 2554606-00602340029427</t>
        </is>
      </c>
      <c r="C1576" s="114" t="inlineStr">
        <is>
          <t>0000000489944868</t>
        </is>
      </c>
      <c r="D1576" s="114" t="n">
        <v>15263.75</v>
      </c>
      <c r="E1576" s="114" t="n">
        <v>0</v>
      </c>
      <c r="F1576" s="114" t="n">
        <v>22628.85</v>
      </c>
      <c r="G1576" s="114" t="inlineStr">
        <is>
          <t>HDFC Securities</t>
        </is>
      </c>
      <c r="H1576" s="114" t="inlineStr">
        <is>
          <t>HDFC 5413</t>
        </is>
      </c>
    </row>
    <row r="1577">
      <c r="A1577" s="113" t="n">
        <v>45323</v>
      </c>
      <c r="B1577" s="114" t="inlineStr">
        <is>
          <t>NET PI TO HSL SEC A/C 2554606-00602340029427</t>
        </is>
      </c>
      <c r="C1577" s="114" t="inlineStr">
        <is>
          <t>0000000489694139</t>
        </is>
      </c>
      <c r="D1577" s="114" t="n">
        <v>177.06</v>
      </c>
      <c r="E1577" s="114" t="n">
        <v>0</v>
      </c>
      <c r="F1577" s="114" t="n">
        <v>75467.2</v>
      </c>
      <c r="G1577" s="114" t="inlineStr">
        <is>
          <t>HDFC Securities</t>
        </is>
      </c>
      <c r="H1577" s="114" t="inlineStr">
        <is>
          <t>HDFC 5413</t>
        </is>
      </c>
    </row>
    <row r="1578">
      <c r="A1578" s="113" t="n">
        <v>45324</v>
      </c>
      <c r="B1578" s="114" t="inlineStr">
        <is>
          <t>NET PI TO HSL SEC A/C 2554606-00602340029427</t>
        </is>
      </c>
      <c r="C1578" s="114" t="inlineStr">
        <is>
          <t>0000000490233454</t>
        </is>
      </c>
      <c r="D1578" s="114" t="n">
        <v>166.79</v>
      </c>
      <c r="E1578" s="114" t="n">
        <v>0</v>
      </c>
      <c r="F1578" s="114" t="n">
        <v>22462.06</v>
      </c>
      <c r="G1578" s="114" t="inlineStr">
        <is>
          <t>HDFC Securities</t>
        </is>
      </c>
      <c r="H1578" s="114" t="inlineStr">
        <is>
          <t>HDFC 5413</t>
        </is>
      </c>
    </row>
    <row r="1579">
      <c r="A1579" s="113" t="n">
        <v>45324</v>
      </c>
      <c r="B1579" s="114" t="inlineStr">
        <is>
          <t>NET PO FROM HSL A/C 2554606-50200085415108</t>
        </is>
      </c>
      <c r="C1579" s="114" t="inlineStr">
        <is>
          <t>0000000490482304</t>
        </is>
      </c>
      <c r="D1579" s="114" t="n">
        <v>0</v>
      </c>
      <c r="E1579" s="114" t="n">
        <v>7492.75</v>
      </c>
      <c r="F1579" s="114" t="n">
        <v>29954.81</v>
      </c>
      <c r="G1579" s="114" t="inlineStr">
        <is>
          <t>HDFC Securities</t>
        </is>
      </c>
      <c r="H1579" s="114" t="inlineStr">
        <is>
          <t>HDFC 5413</t>
        </is>
      </c>
    </row>
    <row r="1580">
      <c r="A1580" s="113" t="n">
        <v>45324</v>
      </c>
      <c r="B1580" s="114" t="inlineStr">
        <is>
          <t>UPIOUT/403372353754/Q463323667@ybl/Sent
via /5812</t>
        </is>
      </c>
      <c r="C1580" s="114" t="inlineStr"/>
      <c r="D1580" s="114" t="n">
        <v>40</v>
      </c>
      <c r="E1580" s="114" t="n">
        <v>0</v>
      </c>
      <c r="F1580" s="114" t="n">
        <v>30297.56</v>
      </c>
      <c r="G1580" s="114" t="inlineStr">
        <is>
          <t>Personal</t>
        </is>
      </c>
      <c r="H1580" s="114" t="inlineStr">
        <is>
          <t>FEDERAL 0847</t>
        </is>
      </c>
    </row>
    <row r="1581">
      <c r="A1581" s="113" t="n">
        <v>45324</v>
      </c>
      <c r="B1581" s="114" t="inlineStr">
        <is>
          <t>UPIOUT/403372362550/aayush20gupta@oksbi/Se
nt/0000</t>
        </is>
      </c>
      <c r="C1581" s="114" t="inlineStr"/>
      <c r="D1581" s="114" t="n">
        <v>9297.559999999999</v>
      </c>
      <c r="E1581" s="114" t="n">
        <v>0</v>
      </c>
      <c r="F1581" s="114" t="n">
        <v>21000</v>
      </c>
      <c r="G1581" s="114" t="inlineStr">
        <is>
          <t>KOTAK 0333</t>
        </is>
      </c>
      <c r="H1581" s="114" t="inlineStr">
        <is>
          <t>FEDERAL 0847</t>
        </is>
      </c>
    </row>
    <row r="1582">
      <c r="A1582" s="113" t="n">
        <v>45324</v>
      </c>
      <c r="B1582" s="114" t="inlineStr">
        <is>
          <t>UPIOUT/403373170568/Q079360809@ybl/Sent
via /5814</t>
        </is>
      </c>
      <c r="C1582" s="114" t="inlineStr"/>
      <c r="D1582" s="114" t="n">
        <v>90</v>
      </c>
      <c r="E1582" s="114" t="n">
        <v>0</v>
      </c>
      <c r="F1582" s="114" t="n">
        <v>20910</v>
      </c>
      <c r="G1582" s="114" t="inlineStr">
        <is>
          <t>Personal</t>
        </is>
      </c>
      <c r="H1582" s="114" t="inlineStr">
        <is>
          <t>FEDERAL 0847</t>
        </is>
      </c>
    </row>
    <row r="1583">
      <c r="A1583" s="113" t="n">
        <v>45325</v>
      </c>
      <c r="B1583" s="114" t="inlineStr">
        <is>
          <t>NFT/NEOSIEXEDDD2024020304151808688 NAVI
Mutual Fun</t>
        </is>
      </c>
      <c r="C1583" s="114" t="inlineStr"/>
      <c r="D1583" s="114" t="n">
        <v>1000</v>
      </c>
      <c r="E1583" s="114" t="n">
        <v>0</v>
      </c>
      <c r="F1583" s="114" t="n">
        <v>19910</v>
      </c>
      <c r="G1583" s="114" t="inlineStr">
        <is>
          <t>Investments</t>
        </is>
      </c>
      <c r="H1583" s="114" t="inlineStr">
        <is>
          <t>FEDERAL 0847</t>
        </is>
      </c>
    </row>
    <row r="1584">
      <c r="A1584" s="113" t="n">
        <v>45325</v>
      </c>
      <c r="B1584" s="114" t="inlineStr">
        <is>
          <t>UPIOUT/403476780982/paytmqr46ql4xg6hq@payt
m//5411</t>
        </is>
      </c>
      <c r="C1584" s="114" t="inlineStr"/>
      <c r="D1584" s="114" t="n">
        <v>50</v>
      </c>
      <c r="E1584" s="114" t="n">
        <v>0</v>
      </c>
      <c r="F1584" s="114" t="n">
        <v>19782</v>
      </c>
      <c r="G1584" s="114" t="inlineStr">
        <is>
          <t>Personal</t>
        </is>
      </c>
      <c r="H1584" s="114" t="inlineStr">
        <is>
          <t>FEDERAL 0847</t>
        </is>
      </c>
    </row>
    <row r="1585">
      <c r="A1585" s="113" t="n">
        <v>45325</v>
      </c>
      <c r="B1585" s="114" t="inlineStr">
        <is>
          <t>UPIOUT/403476548481/paytmqricl8fehbdn@payt
m//5411</t>
        </is>
      </c>
      <c r="C1585" s="114" t="inlineStr"/>
      <c r="D1585" s="114" t="n">
        <v>78</v>
      </c>
      <c r="E1585" s="114" t="n">
        <v>0</v>
      </c>
      <c r="F1585" s="114" t="n">
        <v>19832</v>
      </c>
      <c r="G1585" s="114" t="inlineStr">
        <is>
          <t>Personal</t>
        </is>
      </c>
      <c r="H1585" s="114" t="inlineStr">
        <is>
          <t>FEDERAL 0847</t>
        </is>
      </c>
    </row>
    <row r="1586">
      <c r="A1586" s="113" t="n">
        <v>45325</v>
      </c>
      <c r="B1586" s="114" t="inlineStr">
        <is>
          <t>UPIOUT/403478205168/BHARATPE.0105308277@in
du/5065</t>
        </is>
      </c>
      <c r="C1586" s="114" t="inlineStr"/>
      <c r="D1586" s="114" t="n">
        <v>37</v>
      </c>
      <c r="E1586" s="114" t="n">
        <v>0</v>
      </c>
      <c r="F1586" s="114" t="n">
        <v>19745</v>
      </c>
      <c r="G1586" s="114" t="inlineStr">
        <is>
          <t>Personal</t>
        </is>
      </c>
      <c r="H1586" s="114" t="inlineStr">
        <is>
          <t>FEDERAL 0847</t>
        </is>
      </c>
    </row>
    <row r="1587">
      <c r="A1587" s="113" t="n">
        <v>45325</v>
      </c>
      <c r="B1587" s="114" t="inlineStr">
        <is>
          <t>UPIOUT/403478870895/Q435774742@ybl/Sent
via /5441</t>
        </is>
      </c>
      <c r="C1587" s="114" t="inlineStr"/>
      <c r="D1587" s="114" t="n">
        <v>30</v>
      </c>
      <c r="E1587" s="114" t="n">
        <v>0</v>
      </c>
      <c r="F1587" s="114" t="n">
        <v>19715</v>
      </c>
      <c r="G1587" s="114" t="inlineStr">
        <is>
          <t>Personal</t>
        </is>
      </c>
      <c r="H1587" s="114" t="inlineStr">
        <is>
          <t>FEDERAL 0847</t>
        </is>
      </c>
    </row>
    <row r="1588">
      <c r="A1588" s="113" t="n">
        <v>45325</v>
      </c>
      <c r="B1588" s="114" t="inlineStr">
        <is>
          <t>UPIOUT/403479545954/Q510171333@ybl/Sent
via /5311</t>
        </is>
      </c>
      <c r="C1588" s="114" t="inlineStr"/>
      <c r="D1588" s="114" t="n">
        <v>40</v>
      </c>
      <c r="E1588" s="114" t="n">
        <v>0</v>
      </c>
      <c r="F1588" s="114" t="n">
        <v>19675</v>
      </c>
      <c r="G1588" s="114" t="inlineStr">
        <is>
          <t>Personal</t>
        </is>
      </c>
      <c r="H1588" s="114" t="inlineStr">
        <is>
          <t>FEDERAL 0847</t>
        </is>
      </c>
    </row>
    <row r="1589">
      <c r="A1589" s="113" t="n">
        <v>45326</v>
      </c>
      <c r="B1589" s="114" t="inlineStr">
        <is>
          <t>UPIOUT/403581606581/Q832428843@ybl/Sent
via /5814</t>
        </is>
      </c>
      <c r="C1589" s="114" t="inlineStr"/>
      <c r="D1589" s="114" t="n">
        <v>18</v>
      </c>
      <c r="E1589" s="114" t="n">
        <v>0</v>
      </c>
      <c r="F1589" s="114" t="n">
        <v>19657</v>
      </c>
      <c r="G1589" s="114" t="inlineStr">
        <is>
          <t>Personal</t>
        </is>
      </c>
      <c r="H1589" s="114" t="inlineStr">
        <is>
          <t>FEDERAL 0847</t>
        </is>
      </c>
    </row>
    <row r="1590">
      <c r="A1590" s="113" t="n">
        <v>45326</v>
      </c>
      <c r="B1590" s="114" t="inlineStr">
        <is>
          <t>UPIOUT/403583490912/BHARATPE.0105308277@in
du/5065</t>
        </is>
      </c>
      <c r="C1590" s="114" t="inlineStr"/>
      <c r="D1590" s="114" t="n">
        <v>17</v>
      </c>
      <c r="E1590" s="114" t="n">
        <v>0</v>
      </c>
      <c r="F1590" s="114" t="n">
        <v>19640</v>
      </c>
      <c r="G1590" s="114" t="inlineStr">
        <is>
          <t>Personal</t>
        </is>
      </c>
      <c r="H1590" s="114" t="inlineStr">
        <is>
          <t>FEDERAL 0847</t>
        </is>
      </c>
    </row>
    <row r="1591">
      <c r="A1591" s="113" t="n">
        <v>45326</v>
      </c>
      <c r="B1591" s="114" t="inlineStr">
        <is>
          <t>UPIOUT/403584051473/Q407907754@ybl/Sent
via /5812</t>
        </is>
      </c>
      <c r="C1591" s="114" t="inlineStr"/>
      <c r="D1591" s="114" t="n">
        <v>30</v>
      </c>
      <c r="E1591" s="114" t="n">
        <v>0</v>
      </c>
      <c r="F1591" s="114" t="n">
        <v>19610</v>
      </c>
      <c r="G1591" s="114" t="inlineStr">
        <is>
          <t>Personal</t>
        </is>
      </c>
      <c r="H1591" s="114" t="inlineStr">
        <is>
          <t>FEDERAL 0847</t>
        </is>
      </c>
    </row>
    <row r="1592">
      <c r="A1592" s="113" t="n">
        <v>45326</v>
      </c>
      <c r="B1592" s="114" t="inlineStr">
        <is>
          <t>UPIOUT/403584334756/Q780515718@ybl/Sent
via /5814</t>
        </is>
      </c>
      <c r="C1592" s="114" t="inlineStr"/>
      <c r="D1592" s="114" t="n">
        <v>60</v>
      </c>
      <c r="E1592" s="114" t="n">
        <v>0</v>
      </c>
      <c r="F1592" s="114" t="n">
        <v>19550</v>
      </c>
      <c r="G1592" s="114" t="inlineStr">
        <is>
          <t>Personal</t>
        </is>
      </c>
      <c r="H1592" s="114" t="inlineStr">
        <is>
          <t>FEDERAL 0847</t>
        </is>
      </c>
    </row>
    <row r="1593">
      <c r="A1593" s="113" t="n">
        <v>45326</v>
      </c>
      <c r="B1593" s="114" t="inlineStr">
        <is>
          <t>UPIOUT/403584916498/Q234107384@ybl/Sent
via /5441</t>
        </is>
      </c>
      <c r="C1593" s="114" t="inlineStr"/>
      <c r="D1593" s="114" t="n">
        <v>293</v>
      </c>
      <c r="E1593" s="114" t="n">
        <v>0</v>
      </c>
      <c r="F1593" s="114" t="n">
        <v>19257</v>
      </c>
      <c r="G1593" s="114" t="inlineStr">
        <is>
          <t>Personal</t>
        </is>
      </c>
      <c r="H1593" s="114" t="inlineStr">
        <is>
          <t>FEDERAL 0847</t>
        </is>
      </c>
    </row>
    <row r="1594">
      <c r="A1594" s="113" t="n">
        <v>45327</v>
      </c>
      <c r="B1594" s="114" t="inlineStr">
        <is>
          <t>ACH C- TCS3RDINTDIV050224-1765778</t>
        </is>
      </c>
      <c r="C1594" s="114" t="inlineStr">
        <is>
          <t>0000009963701270</t>
        </is>
      </c>
      <c r="D1594" s="114" t="n">
        <v>0</v>
      </c>
      <c r="E1594" s="114" t="n">
        <v>432</v>
      </c>
      <c r="F1594" s="114" t="n">
        <v>30687.58</v>
      </c>
      <c r="G1594" s="114" t="inlineStr">
        <is>
          <t>Dividend Income</t>
        </is>
      </c>
      <c r="H1594" s="114" t="inlineStr">
        <is>
          <t>HDFC 5413</t>
        </is>
      </c>
    </row>
    <row r="1595">
      <c r="A1595" s="113" t="n">
        <v>45327</v>
      </c>
      <c r="B1595" s="114" t="inlineStr">
        <is>
          <t>UPIOUT/403691092455/BHARATPE90726409079@ye
sb/5065</t>
        </is>
      </c>
      <c r="C1595" s="114" t="inlineStr"/>
      <c r="D1595" s="114" t="n">
        <v>10</v>
      </c>
      <c r="E1595" s="114" t="n">
        <v>0</v>
      </c>
      <c r="F1595" s="114" t="n">
        <v>19157</v>
      </c>
      <c r="G1595" s="114" t="inlineStr">
        <is>
          <t>Personal</t>
        </is>
      </c>
      <c r="H1595" s="114" t="inlineStr">
        <is>
          <t>FEDERAL 0847</t>
        </is>
      </c>
    </row>
    <row r="1596">
      <c r="A1596" s="113" t="n">
        <v>45327</v>
      </c>
      <c r="B1596" s="114" t="inlineStr">
        <is>
          <t>UPIOUT/403690014574/Q435774742@ybl/Sent
via /5441</t>
        </is>
      </c>
      <c r="C1596" s="114" t="inlineStr"/>
      <c r="D1596" s="114" t="n">
        <v>30</v>
      </c>
      <c r="E1596" s="114" t="n">
        <v>0</v>
      </c>
      <c r="F1596" s="114" t="n">
        <v>19167</v>
      </c>
      <c r="G1596" s="114" t="inlineStr">
        <is>
          <t>Personal</t>
        </is>
      </c>
      <c r="H1596" s="114" t="inlineStr">
        <is>
          <t>FEDERAL 0847</t>
        </is>
      </c>
    </row>
    <row r="1597">
      <c r="A1597" s="113" t="n">
        <v>45327</v>
      </c>
      <c r="B1597" s="114" t="inlineStr">
        <is>
          <t>UPIOUT/403690003533/Q798355992@ybl/Sent
via /7407</t>
        </is>
      </c>
      <c r="C1597" s="114" t="inlineStr"/>
      <c r="D1597" s="114" t="n">
        <v>20</v>
      </c>
      <c r="E1597" s="114" t="n">
        <v>0</v>
      </c>
      <c r="F1597" s="114" t="n">
        <v>19197</v>
      </c>
      <c r="G1597" s="114" t="inlineStr">
        <is>
          <t>Personal</t>
        </is>
      </c>
      <c r="H1597" s="114" t="inlineStr">
        <is>
          <t>FEDERAL 0847</t>
        </is>
      </c>
    </row>
    <row r="1598">
      <c r="A1598" s="113" t="n">
        <v>45327</v>
      </c>
      <c r="B1598" s="114" t="inlineStr">
        <is>
          <t>NET PO FROM HSL A/C 2554606-50200085415108</t>
        </is>
      </c>
      <c r="C1598" s="114" t="inlineStr">
        <is>
          <t>0000000490688323</t>
        </is>
      </c>
      <c r="D1598" s="114" t="n">
        <v>0</v>
      </c>
      <c r="E1598" s="114" t="n">
        <v>300.77</v>
      </c>
      <c r="F1598" s="114" t="n">
        <v>30255.58</v>
      </c>
      <c r="G1598" s="114" t="inlineStr">
        <is>
          <t>HDFC Securities</t>
        </is>
      </c>
      <c r="H1598" s="114" t="inlineStr">
        <is>
          <t>HDFC 5413</t>
        </is>
      </c>
    </row>
    <row r="1599">
      <c r="A1599" s="113" t="n">
        <v>45327</v>
      </c>
      <c r="B1599" s="114" t="inlineStr">
        <is>
          <t>UPIOUT/403687486460/paytmqrldb7adipi0@payt
m//4121</t>
        </is>
      </c>
      <c r="C1599" s="114" t="inlineStr"/>
      <c r="D1599" s="114" t="n">
        <v>30</v>
      </c>
      <c r="E1599" s="114" t="n">
        <v>0</v>
      </c>
      <c r="F1599" s="114" t="n">
        <v>19227</v>
      </c>
      <c r="G1599" s="114" t="inlineStr">
        <is>
          <t>Personal</t>
        </is>
      </c>
      <c r="H1599" s="114" t="inlineStr">
        <is>
          <t>FEDERAL 0847</t>
        </is>
      </c>
    </row>
    <row r="1600">
      <c r="A1600" s="113" t="n">
        <v>45327</v>
      </c>
      <c r="B1600" s="114" t="inlineStr">
        <is>
          <t>UPIOUT/403689875646/paytmqr1w3dfry5ew@payt
m//4121</t>
        </is>
      </c>
      <c r="C1600" s="114" t="inlineStr"/>
      <c r="D1600" s="114" t="n">
        <v>10</v>
      </c>
      <c r="E1600" s="114" t="n">
        <v>0</v>
      </c>
      <c r="F1600" s="114" t="n">
        <v>19217</v>
      </c>
      <c r="G1600" s="114" t="inlineStr">
        <is>
          <t>Personal</t>
        </is>
      </c>
      <c r="H1600" s="114" t="inlineStr">
        <is>
          <t>FEDERAL 0847</t>
        </is>
      </c>
    </row>
    <row r="1601">
      <c r="A1601" s="113" t="n">
        <v>45328</v>
      </c>
      <c r="B1601" s="114" t="inlineStr">
        <is>
          <t>NET PO FROM HSL A/C 2554606-50200085415108</t>
        </is>
      </c>
      <c r="C1601" s="114" t="inlineStr">
        <is>
          <t>0000000491268972</t>
        </is>
      </c>
      <c r="D1601" s="114" t="n">
        <v>0</v>
      </c>
      <c r="E1601" s="114" t="n">
        <v>9327.370000000001</v>
      </c>
      <c r="F1601" s="114" t="n">
        <v>40014.95</v>
      </c>
      <c r="G1601" s="114" t="inlineStr">
        <is>
          <t>HDFC Securities</t>
        </is>
      </c>
      <c r="H1601" s="114" t="inlineStr">
        <is>
          <t>HDFC 5413</t>
        </is>
      </c>
    </row>
    <row r="1602">
      <c r="A1602" s="113" t="n">
        <v>45328</v>
      </c>
      <c r="B1602" s="114" t="inlineStr">
        <is>
          <t>NET PI TO HSL SEC A/C 2554606-00602340029427</t>
        </is>
      </c>
      <c r="C1602" s="114" t="inlineStr">
        <is>
          <t>0000000491424396</t>
        </is>
      </c>
      <c r="D1602" s="114" t="n">
        <v>178.43</v>
      </c>
      <c r="E1602" s="114" t="n">
        <v>0</v>
      </c>
      <c r="F1602" s="114" t="n">
        <v>39836.52</v>
      </c>
      <c r="G1602" s="114" t="inlineStr">
        <is>
          <t>HDFC Securities</t>
        </is>
      </c>
      <c r="H1602" s="114" t="inlineStr">
        <is>
          <t>HDFC 5413</t>
        </is>
      </c>
    </row>
    <row r="1603">
      <c r="A1603" s="113" t="n">
        <v>45328</v>
      </c>
      <c r="B1603" s="114" t="inlineStr">
        <is>
          <t>NET PI TO HSL SEC A/C 2554606-00602340029427</t>
        </is>
      </c>
      <c r="C1603" s="114" t="inlineStr">
        <is>
          <t>0000000491630877</t>
        </is>
      </c>
      <c r="D1603" s="114" t="n">
        <v>12313.45</v>
      </c>
      <c r="E1603" s="114" t="n">
        <v>0</v>
      </c>
      <c r="F1603" s="114" t="n">
        <v>27523.07</v>
      </c>
      <c r="G1603" s="114" t="inlineStr">
        <is>
          <t>HDFC Securities</t>
        </is>
      </c>
      <c r="H1603" s="114" t="inlineStr">
        <is>
          <t>HDFC 5413</t>
        </is>
      </c>
    </row>
    <row r="1604">
      <c r="A1604" s="113" t="n">
        <v>45328</v>
      </c>
      <c r="B1604" s="114" t="inlineStr">
        <is>
          <t>UPIOUT/403792641625/BHARATPE90726409079@ye
sb/5065</t>
        </is>
      </c>
      <c r="C1604" s="114" t="inlineStr"/>
      <c r="D1604" s="114" t="n">
        <v>10</v>
      </c>
      <c r="E1604" s="114" t="n">
        <v>0</v>
      </c>
      <c r="F1604" s="114" t="n">
        <v>19147</v>
      </c>
      <c r="G1604" s="114" t="inlineStr">
        <is>
          <t>Personal</t>
        </is>
      </c>
      <c r="H1604" s="114" t="inlineStr">
        <is>
          <t>FEDERAL 0847</t>
        </is>
      </c>
    </row>
    <row r="1605">
      <c r="A1605" s="113" t="n">
        <v>45328</v>
      </c>
      <c r="B1605" s="114" t="inlineStr">
        <is>
          <t>UPIOUT/403794054659/Q407907754@ybl/Sent
via /5812</t>
        </is>
      </c>
      <c r="C1605" s="114" t="inlineStr"/>
      <c r="D1605" s="114" t="n">
        <v>70</v>
      </c>
      <c r="E1605" s="114" t="n">
        <v>0</v>
      </c>
      <c r="F1605" s="114" t="n">
        <v>19077</v>
      </c>
      <c r="G1605" s="114" t="inlineStr">
        <is>
          <t>Personal</t>
        </is>
      </c>
      <c r="H1605" s="114" t="inlineStr">
        <is>
          <t>FEDERAL 0847</t>
        </is>
      </c>
    </row>
    <row r="1606">
      <c r="A1606" s="113" t="n">
        <v>45328</v>
      </c>
      <c r="B1606" s="114" t="inlineStr">
        <is>
          <t>UPIOUT/403795478267/Q463323667@ybl/Sent
via /5812</t>
        </is>
      </c>
      <c r="C1606" s="114" t="inlineStr"/>
      <c r="D1606" s="114" t="n">
        <v>40</v>
      </c>
      <c r="E1606" s="114" t="n">
        <v>0</v>
      </c>
      <c r="F1606" s="114" t="n">
        <v>18867</v>
      </c>
      <c r="G1606" s="114" t="inlineStr">
        <is>
          <t>Personal</t>
        </is>
      </c>
      <c r="H1606" s="114" t="inlineStr">
        <is>
          <t>FEDERAL 0847</t>
        </is>
      </c>
    </row>
    <row r="1607">
      <c r="A1607" s="113" t="n">
        <v>45328</v>
      </c>
      <c r="B1607" s="114" t="inlineStr">
        <is>
          <t>UPIOUT/403795561949/Q651613968@ybl/Sent
via /5311</t>
        </is>
      </c>
      <c r="C1607" s="114" t="inlineStr"/>
      <c r="D1607" s="114" t="n">
        <v>10</v>
      </c>
      <c r="E1607" s="114" t="n">
        <v>0</v>
      </c>
      <c r="F1607" s="114" t="n">
        <v>18857</v>
      </c>
      <c r="G1607" s="114" t="inlineStr">
        <is>
          <t>Personal</t>
        </is>
      </c>
      <c r="H1607" s="114" t="inlineStr">
        <is>
          <t>FEDERAL 0847</t>
        </is>
      </c>
    </row>
    <row r="1608">
      <c r="A1608" s="113" t="n">
        <v>45328</v>
      </c>
      <c r="B1608" s="114" t="inlineStr">
        <is>
          <t>UPIOUT/403796412657/Q832428843@ybl/Sent
via /5814</t>
        </is>
      </c>
      <c r="C1608" s="114" t="inlineStr"/>
      <c r="D1608" s="114" t="n">
        <v>25</v>
      </c>
      <c r="E1608" s="114" t="n">
        <v>0</v>
      </c>
      <c r="F1608" s="114" t="n">
        <v>18832</v>
      </c>
      <c r="G1608" s="114" t="inlineStr">
        <is>
          <t>Personal</t>
        </is>
      </c>
      <c r="H1608" s="114" t="inlineStr">
        <is>
          <t>FEDERAL 0847</t>
        </is>
      </c>
    </row>
    <row r="1609">
      <c r="A1609" s="113" t="n">
        <v>45328</v>
      </c>
      <c r="B1609" s="114" t="inlineStr">
        <is>
          <t>UPIOUT/403797151179/Q651613968@ybl/Sent
via /5311</t>
        </is>
      </c>
      <c r="C1609" s="114" t="inlineStr"/>
      <c r="D1609" s="114" t="n">
        <v>70</v>
      </c>
      <c r="E1609" s="114" t="n">
        <v>0</v>
      </c>
      <c r="F1609" s="114" t="n">
        <v>18762</v>
      </c>
      <c r="G1609" s="114" t="inlineStr">
        <is>
          <t>Personal</t>
        </is>
      </c>
      <c r="H1609" s="114" t="inlineStr">
        <is>
          <t>FEDERAL 0847</t>
        </is>
      </c>
    </row>
    <row r="1610">
      <c r="A1610" s="113" t="n">
        <v>45328</v>
      </c>
      <c r="B1610" s="114" t="inlineStr">
        <is>
          <t>UPIOUT/403795456554/Q122299144@ybl/Sent
via /5814</t>
        </is>
      </c>
      <c r="C1610" s="114" t="inlineStr"/>
      <c r="D1610" s="114" t="n">
        <v>170</v>
      </c>
      <c r="E1610" s="114" t="n">
        <v>0</v>
      </c>
      <c r="F1610" s="114" t="n">
        <v>18907</v>
      </c>
      <c r="G1610" s="114" t="inlineStr">
        <is>
          <t>Personal</t>
        </is>
      </c>
      <c r="H1610" s="114" t="inlineStr">
        <is>
          <t>FEDERAL 0847</t>
        </is>
      </c>
    </row>
    <row r="1611">
      <c r="A1611" s="113" t="n">
        <v>45329</v>
      </c>
      <c r="B1611" s="114" t="inlineStr">
        <is>
          <t>00602300000434-025891325</t>
        </is>
      </c>
      <c r="C1611" s="114" t="inlineStr">
        <is>
          <t>0000402071935708</t>
        </is>
      </c>
      <c r="D1611" s="114" t="n">
        <v>0</v>
      </c>
      <c r="E1611" s="114" t="n">
        <v>1880</v>
      </c>
      <c r="F1611" s="114" t="n">
        <v>100094.25</v>
      </c>
      <c r="G1611" s="114" t="inlineStr">
        <is>
          <t>Suspense</t>
        </is>
      </c>
      <c r="H1611" s="114" t="inlineStr">
        <is>
          <t>HDFC 5413</t>
        </is>
      </c>
    </row>
    <row r="1612">
      <c r="A1612" s="113" t="n">
        <v>45329</v>
      </c>
      <c r="B1612" s="114" t="inlineStr">
        <is>
          <t>UPIOUT/403889285514/q022439579@ybl/UPI/581
2</t>
        </is>
      </c>
      <c r="C1612" s="114" t="inlineStr"/>
      <c r="D1612" s="114" t="n">
        <v>45</v>
      </c>
      <c r="E1612" s="114" t="n">
        <v>0</v>
      </c>
      <c r="F1612" s="114" t="n">
        <v>18717</v>
      </c>
      <c r="G1612" s="114" t="inlineStr">
        <is>
          <t>Personal</t>
        </is>
      </c>
      <c r="H1612" s="114" t="inlineStr">
        <is>
          <t>FEDERAL 0847</t>
        </is>
      </c>
    </row>
    <row r="1613">
      <c r="A1613" s="113" t="n">
        <v>45329</v>
      </c>
      <c r="B1613" s="114" t="inlineStr">
        <is>
          <t>UPIOUT/403810691726/Q407907754@ybl/Sent
via /5812</t>
        </is>
      </c>
      <c r="C1613" s="114" t="inlineStr"/>
      <c r="D1613" s="114" t="n">
        <v>80</v>
      </c>
      <c r="E1613" s="114" t="n">
        <v>0</v>
      </c>
      <c r="F1613" s="114" t="n">
        <v>18637</v>
      </c>
      <c r="G1613" s="114" t="inlineStr">
        <is>
          <t>Personal</t>
        </is>
      </c>
      <c r="H1613" s="114" t="inlineStr">
        <is>
          <t>FEDERAL 0847</t>
        </is>
      </c>
    </row>
    <row r="1614">
      <c r="A1614" s="113" t="n">
        <v>45329</v>
      </c>
      <c r="B1614" s="114" t="inlineStr">
        <is>
          <t>UPIOUT/403812623512/Q463323667@ybl/Sent
via /5812</t>
        </is>
      </c>
      <c r="C1614" s="114" t="inlineStr"/>
      <c r="D1614" s="114" t="n">
        <v>80</v>
      </c>
      <c r="E1614" s="114" t="n">
        <v>0</v>
      </c>
      <c r="F1614" s="114" t="n">
        <v>18557</v>
      </c>
      <c r="G1614" s="114" t="inlineStr">
        <is>
          <t>Personal</t>
        </is>
      </c>
      <c r="H1614" s="114" t="inlineStr">
        <is>
          <t>FEDERAL 0847</t>
        </is>
      </c>
    </row>
    <row r="1615">
      <c r="A1615" s="113" t="n">
        <v>45329</v>
      </c>
      <c r="B1615" s="114" t="inlineStr">
        <is>
          <t>UPIOUT/403813199530/paytmqr281005050101183
o5/5812</t>
        </is>
      </c>
      <c r="C1615" s="114" t="inlineStr"/>
      <c r="D1615" s="114" t="n">
        <v>75</v>
      </c>
      <c r="E1615" s="114" t="n">
        <v>0</v>
      </c>
      <c r="F1615" s="114" t="n">
        <v>18482</v>
      </c>
      <c r="G1615" s="114" t="inlineStr">
        <is>
          <t>Personal</t>
        </is>
      </c>
      <c r="H1615" s="114" t="inlineStr">
        <is>
          <t>FEDERAL 0847</t>
        </is>
      </c>
    </row>
    <row r="1616">
      <c r="A1616" s="113" t="n">
        <v>45329</v>
      </c>
      <c r="B1616" s="114" t="inlineStr">
        <is>
          <t>NET PO FROM HSL A/C 2554606-50200085415108</t>
        </is>
      </c>
      <c r="C1616" s="114" t="inlineStr">
        <is>
          <t>0000000491783342</t>
        </is>
      </c>
      <c r="D1616" s="114" t="n">
        <v>0</v>
      </c>
      <c r="E1616" s="114" t="n">
        <v>2364.11</v>
      </c>
      <c r="F1616" s="114" t="n">
        <v>29887.18</v>
      </c>
      <c r="G1616" s="114" t="inlineStr">
        <is>
          <t>HDFC Securities</t>
        </is>
      </c>
      <c r="H1616" s="114" t="inlineStr">
        <is>
          <t>HDFC 5413</t>
        </is>
      </c>
    </row>
    <row r="1617">
      <c r="A1617" s="113" t="n">
        <v>45329</v>
      </c>
      <c r="B1617" s="114" t="inlineStr">
        <is>
          <t>NET PO FROM HSL A/C 2554606-50200085415108</t>
        </is>
      </c>
      <c r="C1617" s="114" t="inlineStr">
        <is>
          <t>0000000491809841</t>
        </is>
      </c>
      <c r="D1617" s="114" t="n">
        <v>0</v>
      </c>
      <c r="E1617" s="114" t="n">
        <v>68498.41</v>
      </c>
      <c r="F1617" s="114" t="n">
        <v>98385.59</v>
      </c>
      <c r="G1617" s="114" t="inlineStr">
        <is>
          <t>HDFC Securities</t>
        </is>
      </c>
      <c r="H1617" s="114" t="inlineStr">
        <is>
          <t>HDFC 5413</t>
        </is>
      </c>
    </row>
    <row r="1618">
      <c r="A1618" s="113" t="n">
        <v>45329</v>
      </c>
      <c r="B1618" s="114" t="inlineStr">
        <is>
          <t>NET PI TO HSL SEC A/C 2554606-00602340029427</t>
        </is>
      </c>
      <c r="C1618" s="114" t="inlineStr">
        <is>
          <t>0000000491957789</t>
        </is>
      </c>
      <c r="D1618" s="114" t="n">
        <v>171.34</v>
      </c>
      <c r="E1618" s="114" t="n">
        <v>0</v>
      </c>
      <c r="F1618" s="114" t="n">
        <v>98214.25</v>
      </c>
      <c r="G1618" s="114" t="inlineStr">
        <is>
          <t>HDFC Securities</t>
        </is>
      </c>
      <c r="H1618" s="114" t="inlineStr">
        <is>
          <t>HDFC 5413</t>
        </is>
      </c>
    </row>
    <row r="1619">
      <c r="A1619" s="113" t="n">
        <v>45329</v>
      </c>
      <c r="B1619" s="114" t="inlineStr">
        <is>
          <t>NET PI TO HSL SEC A/C 2554606-00602340029427</t>
        </is>
      </c>
      <c r="C1619" s="114" t="inlineStr">
        <is>
          <t>0000000492201709</t>
        </is>
      </c>
      <c r="D1619" s="114" t="n">
        <v>72149.03</v>
      </c>
      <c r="E1619" s="114" t="n">
        <v>0</v>
      </c>
      <c r="F1619" s="114" t="n">
        <v>27945.22</v>
      </c>
      <c r="G1619" s="114" t="inlineStr">
        <is>
          <t>HDFC Securities</t>
        </is>
      </c>
      <c r="H1619" s="114" t="inlineStr">
        <is>
          <t>HDFC 5413</t>
        </is>
      </c>
    </row>
    <row r="1620">
      <c r="A1620" s="113" t="n">
        <v>45330</v>
      </c>
      <c r="B1620" s="114" t="inlineStr">
        <is>
          <t>NET PI TO HSL SEC A/C 2554606-00602340029427</t>
        </is>
      </c>
      <c r="C1620" s="114" t="inlineStr">
        <is>
          <t>0000000492522137</t>
        </is>
      </c>
      <c r="D1620" s="114" t="n">
        <v>159.99</v>
      </c>
      <c r="E1620" s="114" t="n">
        <v>0</v>
      </c>
      <c r="F1620" s="114" t="n">
        <v>27785.23</v>
      </c>
      <c r="G1620" s="114" t="inlineStr">
        <is>
          <t>HDFC Securities</t>
        </is>
      </c>
      <c r="H1620" s="114" t="inlineStr">
        <is>
          <t>HDFC 5413</t>
        </is>
      </c>
    </row>
    <row r="1621">
      <c r="A1621" s="113" t="n">
        <v>45330</v>
      </c>
      <c r="B1621" s="114" t="inlineStr">
        <is>
          <t>NET PI TO HSL SEC A/C 2554606-00602340029427</t>
        </is>
      </c>
      <c r="C1621" s="114" t="inlineStr">
        <is>
          <t>0000000492788095</t>
        </is>
      </c>
      <c r="D1621" s="114" t="n">
        <v>5756.81</v>
      </c>
      <c r="E1621" s="114" t="n">
        <v>0</v>
      </c>
      <c r="F1621" s="114" t="n">
        <v>22028.42</v>
      </c>
      <c r="G1621" s="114" t="inlineStr">
        <is>
          <t>HDFC Securities</t>
        </is>
      </c>
      <c r="H1621" s="114" t="inlineStr">
        <is>
          <t>HDFC 5413</t>
        </is>
      </c>
    </row>
    <row r="1622">
      <c r="A1622" s="113" t="n">
        <v>45330</v>
      </c>
      <c r="B1622" s="114" t="inlineStr">
        <is>
          <t>UPIOUT/403916559040/rapido.rzp@icici/Payme
nt/4121</t>
        </is>
      </c>
      <c r="C1622" s="114" t="inlineStr"/>
      <c r="D1622" s="114" t="n">
        <v>31</v>
      </c>
      <c r="E1622" s="114" t="n">
        <v>0</v>
      </c>
      <c r="F1622" s="114" t="n">
        <v>18451</v>
      </c>
      <c r="G1622" s="114" t="inlineStr">
        <is>
          <t>Transport</t>
        </is>
      </c>
      <c r="H1622" s="114" t="inlineStr">
        <is>
          <t>FEDERAL 0847</t>
        </is>
      </c>
    </row>
    <row r="1623">
      <c r="A1623" s="113" t="n">
        <v>45330</v>
      </c>
      <c r="B1623" s="114" t="inlineStr">
        <is>
          <t>UPIOUT/403919213904/Q221048493@ybl/Sent
via /7407</t>
        </is>
      </c>
      <c r="C1623" s="114" t="inlineStr"/>
      <c r="D1623" s="114" t="n">
        <v>10</v>
      </c>
      <c r="E1623" s="114" t="n">
        <v>0</v>
      </c>
      <c r="F1623" s="114" t="n">
        <v>18441</v>
      </c>
      <c r="G1623" s="114" t="inlineStr">
        <is>
          <t>Personal</t>
        </is>
      </c>
      <c r="H1623" s="114" t="inlineStr">
        <is>
          <t>FEDERAL 0847</t>
        </is>
      </c>
    </row>
    <row r="1624">
      <c r="A1624" s="113" t="n">
        <v>45330</v>
      </c>
      <c r="B1624" s="114" t="inlineStr">
        <is>
          <t>UPIOUT/403919599895/paytmqr281005050101ac5
gq/5812</t>
        </is>
      </c>
      <c r="C1624" s="114" t="inlineStr"/>
      <c r="D1624" s="114" t="n">
        <v>70</v>
      </c>
      <c r="E1624" s="114" t="n">
        <v>0</v>
      </c>
      <c r="F1624" s="114" t="n">
        <v>18371</v>
      </c>
      <c r="G1624" s="114" t="inlineStr">
        <is>
          <t>Personal</t>
        </is>
      </c>
      <c r="H1624" s="114" t="inlineStr">
        <is>
          <t>FEDERAL 0847</t>
        </is>
      </c>
    </row>
    <row r="1625">
      <c r="A1625" s="113" t="n">
        <v>45330</v>
      </c>
      <c r="B1625" s="114" t="inlineStr">
        <is>
          <t>UPIOUT/403919710558/Q510171333@ybl/Sent
via /5311</t>
        </is>
      </c>
      <c r="C1625" s="114" t="inlineStr"/>
      <c r="D1625" s="114" t="n">
        <v>10</v>
      </c>
      <c r="E1625" s="114" t="n">
        <v>0</v>
      </c>
      <c r="F1625" s="114" t="n">
        <v>18361</v>
      </c>
      <c r="G1625" s="114" t="inlineStr">
        <is>
          <t>Personal</t>
        </is>
      </c>
      <c r="H1625" s="114" t="inlineStr">
        <is>
          <t>FEDERAL 0847</t>
        </is>
      </c>
    </row>
    <row r="1626">
      <c r="A1626" s="113" t="n">
        <v>45330</v>
      </c>
      <c r="B1626" s="114" t="inlineStr">
        <is>
          <t>UPIOUT/403919918144/Q463323667@ybl/Sent
via /5812</t>
        </is>
      </c>
      <c r="C1626" s="114" t="inlineStr"/>
      <c r="D1626" s="114" t="n">
        <v>50</v>
      </c>
      <c r="E1626" s="114" t="n">
        <v>0</v>
      </c>
      <c r="F1626" s="114" t="n">
        <v>18311</v>
      </c>
      <c r="G1626" s="114" t="inlineStr">
        <is>
          <t>Personal</t>
        </is>
      </c>
      <c r="H1626" s="114" t="inlineStr">
        <is>
          <t>FEDERAL 0847</t>
        </is>
      </c>
    </row>
    <row r="1627">
      <c r="A1627" s="113" t="n">
        <v>45331</v>
      </c>
      <c r="B1627" s="114" t="inlineStr">
        <is>
          <t>UPIOUT/404027184063/Q753196172@ybl/Sent
via /5441</t>
        </is>
      </c>
      <c r="C1627" s="114" t="inlineStr"/>
      <c r="D1627" s="114" t="n">
        <v>30</v>
      </c>
      <c r="E1627" s="114" t="n">
        <v>0</v>
      </c>
      <c r="F1627" s="114" t="n">
        <v>18202</v>
      </c>
      <c r="G1627" s="114" t="inlineStr">
        <is>
          <t>Personal</t>
        </is>
      </c>
      <c r="H1627" s="114" t="inlineStr">
        <is>
          <t>FEDERAL 0847</t>
        </is>
      </c>
    </row>
    <row r="1628">
      <c r="A1628" s="113" t="n">
        <v>45331</v>
      </c>
      <c r="B1628" s="114" t="inlineStr">
        <is>
          <t>NET PI TO HSL SEC A/C 2554606-00602340029427</t>
        </is>
      </c>
      <c r="C1628" s="114" t="inlineStr">
        <is>
          <t>0000000493110178</t>
        </is>
      </c>
      <c r="D1628" s="114" t="n">
        <v>186.47</v>
      </c>
      <c r="E1628" s="114" t="n">
        <v>0</v>
      </c>
      <c r="F1628" s="114" t="n">
        <v>21841.95</v>
      </c>
      <c r="G1628" s="114" t="inlineStr">
        <is>
          <t>HDFC Securities</t>
        </is>
      </c>
      <c r="H1628" s="114" t="inlineStr">
        <is>
          <t>HDFC 5413</t>
        </is>
      </c>
    </row>
    <row r="1629">
      <c r="A1629" s="113" t="n">
        <v>45331</v>
      </c>
      <c r="B1629" s="114" t="inlineStr">
        <is>
          <t>NET PO FROM HSL A/C 2554606-50200085415108</t>
        </is>
      </c>
      <c r="C1629" s="114" t="inlineStr">
        <is>
          <t>0000000493379334</t>
        </is>
      </c>
      <c r="D1629" s="114" t="n">
        <v>0</v>
      </c>
      <c r="E1629" s="114" t="n">
        <v>10311.6</v>
      </c>
      <c r="F1629" s="114" t="n">
        <v>32153.55</v>
      </c>
      <c r="G1629" s="114" t="inlineStr">
        <is>
          <t>HDFC Securities</t>
        </is>
      </c>
      <c r="H1629" s="114" t="inlineStr">
        <is>
          <t>HDFC 5413</t>
        </is>
      </c>
    </row>
    <row r="1630">
      <c r="A1630" s="113" t="n">
        <v>45331</v>
      </c>
      <c r="B1630" s="114" t="inlineStr">
        <is>
          <t>UPIOUT/404027005819/9542070375692@paytm/Se
nt/0000</t>
        </is>
      </c>
      <c r="C1630" s="114" t="inlineStr"/>
      <c r="D1630" s="114" t="n">
        <v>10</v>
      </c>
      <c r="E1630" s="114" t="n">
        <v>0</v>
      </c>
      <c r="F1630" s="114" t="n">
        <v>18232</v>
      </c>
      <c r="G1630" s="114" t="inlineStr">
        <is>
          <t>Personal</t>
        </is>
      </c>
      <c r="H1630" s="114" t="inlineStr">
        <is>
          <t>FEDERAL 0847</t>
        </is>
      </c>
    </row>
    <row r="1631">
      <c r="A1631" s="113" t="n">
        <v>45331</v>
      </c>
      <c r="B1631" s="114" t="inlineStr">
        <is>
          <t>UPIOUT/404021708967/Q082521920@ybl/Sent
via /5814</t>
        </is>
      </c>
      <c r="C1631" s="114" t="inlineStr"/>
      <c r="D1631" s="114" t="n">
        <v>18</v>
      </c>
      <c r="E1631" s="114" t="n">
        <v>0</v>
      </c>
      <c r="F1631" s="114" t="n">
        <v>18293</v>
      </c>
      <c r="G1631" s="114" t="inlineStr">
        <is>
          <t>Personal</t>
        </is>
      </c>
      <c r="H1631" s="114" t="inlineStr">
        <is>
          <t>FEDERAL 0847</t>
        </is>
      </c>
    </row>
    <row r="1632">
      <c r="A1632" s="113" t="n">
        <v>45331</v>
      </c>
      <c r="B1632" s="114" t="inlineStr">
        <is>
          <t>UPIOUT/404022455683/paytm-76881028@paytm/S
en/4121</t>
        </is>
      </c>
      <c r="C1632" s="114" t="inlineStr"/>
      <c r="D1632" s="114" t="n">
        <v>30</v>
      </c>
      <c r="E1632" s="114" t="n">
        <v>0</v>
      </c>
      <c r="F1632" s="114" t="n">
        <v>18263</v>
      </c>
      <c r="G1632" s="114" t="inlineStr">
        <is>
          <t>Personal</t>
        </is>
      </c>
      <c r="H1632" s="114" t="inlineStr">
        <is>
          <t>FEDERAL 0847</t>
        </is>
      </c>
    </row>
    <row r="1633">
      <c r="A1633" s="113" t="n">
        <v>45331</v>
      </c>
      <c r="B1633" s="114" t="inlineStr">
        <is>
          <t>UPIOUT/404026956609/paytmqr1u63j3b6yq@payt
m//5812</t>
        </is>
      </c>
      <c r="C1633" s="114" t="inlineStr"/>
      <c r="D1633" s="114" t="n">
        <v>21</v>
      </c>
      <c r="E1633" s="114" t="n">
        <v>0</v>
      </c>
      <c r="F1633" s="114" t="n">
        <v>18242</v>
      </c>
      <c r="G1633" s="114" t="inlineStr">
        <is>
          <t>Personal</t>
        </is>
      </c>
      <c r="H1633" s="114" t="inlineStr">
        <is>
          <t>FEDERAL 0847</t>
        </is>
      </c>
    </row>
    <row r="1634">
      <c r="A1634" s="113" t="n">
        <v>45331</v>
      </c>
      <c r="B1634" s="114" t="inlineStr">
        <is>
          <t>UPIOUT/404029328016/Q407907754@ybl/Sent
via /5812</t>
        </is>
      </c>
      <c r="C1634" s="114" t="inlineStr"/>
      <c r="D1634" s="114" t="n">
        <v>690</v>
      </c>
      <c r="E1634" s="114" t="n">
        <v>0</v>
      </c>
      <c r="F1634" s="114" t="n">
        <v>17452</v>
      </c>
      <c r="G1634" s="114" t="inlineStr">
        <is>
          <t>Personal</t>
        </is>
      </c>
      <c r="H1634" s="114" t="inlineStr">
        <is>
          <t>FEDERAL 0847</t>
        </is>
      </c>
    </row>
    <row r="1635">
      <c r="A1635" s="113" t="n">
        <v>45331</v>
      </c>
      <c r="B1635" s="114" t="inlineStr">
        <is>
          <t>UPIOUT/404027628486/paytmqr281005050101ac5
gq/5812</t>
        </is>
      </c>
      <c r="C1635" s="114" t="inlineStr"/>
      <c r="D1635" s="114" t="n">
        <v>60</v>
      </c>
      <c r="E1635" s="114" t="n">
        <v>0</v>
      </c>
      <c r="F1635" s="114" t="n">
        <v>18142</v>
      </c>
      <c r="G1635" s="114" t="inlineStr">
        <is>
          <t>Personal</t>
        </is>
      </c>
      <c r="H1635" s="114" t="inlineStr">
        <is>
          <t>FEDERAL 0847</t>
        </is>
      </c>
    </row>
    <row r="1636">
      <c r="A1636" s="113" t="n">
        <v>45332</v>
      </c>
      <c r="B1636" s="114" t="inlineStr">
        <is>
          <t>UPIOUT/404134742882/Q302371189@ybl/Sent
via /5451</t>
        </is>
      </c>
      <c r="C1636" s="114" t="inlineStr"/>
      <c r="D1636" s="114" t="n">
        <v>10</v>
      </c>
      <c r="E1636" s="114" t="n">
        <v>0</v>
      </c>
      <c r="F1636" s="114" t="n">
        <v>5189.85</v>
      </c>
      <c r="G1636" s="114" t="inlineStr">
        <is>
          <t>Personal</t>
        </is>
      </c>
      <c r="H1636" s="114" t="inlineStr">
        <is>
          <t>FEDERAL 0847</t>
        </is>
      </c>
    </row>
    <row r="1637">
      <c r="A1637" s="113" t="n">
        <v>45332</v>
      </c>
      <c r="B1637" s="114" t="inlineStr">
        <is>
          <t>UPIOUT/404134355759/Vyapar.168625347624@hd
fc/7011</t>
        </is>
      </c>
      <c r="C1637" s="114" t="inlineStr"/>
      <c r="D1637" s="114" t="n">
        <v>12000</v>
      </c>
      <c r="E1637" s="114" t="n">
        <v>0</v>
      </c>
      <c r="F1637" s="114" t="n">
        <v>5199.85</v>
      </c>
      <c r="G1637" s="114" t="inlineStr">
        <is>
          <t>Personal</t>
        </is>
      </c>
      <c r="H1637" s="114" t="inlineStr">
        <is>
          <t>FEDERAL 0847</t>
        </is>
      </c>
    </row>
    <row r="1638">
      <c r="A1638" s="113" t="n">
        <v>45332</v>
      </c>
      <c r="B1638" s="114" t="inlineStr">
        <is>
          <t>UPIOUT/404131425859/Q082521920@ybl/Sent
via /5814</t>
        </is>
      </c>
      <c r="C1638" s="114" t="inlineStr"/>
      <c r="D1638" s="114" t="n">
        <v>20</v>
      </c>
      <c r="E1638" s="114" t="n">
        <v>0</v>
      </c>
      <c r="F1638" s="114" t="n">
        <v>17432</v>
      </c>
      <c r="G1638" s="114" t="inlineStr">
        <is>
          <t>Personal</t>
        </is>
      </c>
      <c r="H1638" s="114" t="inlineStr">
        <is>
          <t>FEDERAL 0847</t>
        </is>
      </c>
    </row>
    <row r="1639">
      <c r="A1639" s="113" t="n">
        <v>45332</v>
      </c>
      <c r="B1639" s="114" t="inlineStr">
        <is>
          <t>UPIOUT/404127167813/paytm-76208552@paytm/U
PI/4112</t>
        </is>
      </c>
      <c r="C1639" s="114" t="inlineStr"/>
      <c r="D1639" s="114" t="n">
        <v>187.15</v>
      </c>
      <c r="E1639" s="114" t="n">
        <v>0</v>
      </c>
      <c r="F1639" s="114" t="n">
        <v>17244.85</v>
      </c>
      <c r="G1639" s="114" t="inlineStr">
        <is>
          <t>Personal</t>
        </is>
      </c>
      <c r="H1639" s="114" t="inlineStr">
        <is>
          <t>FEDERAL 0847</t>
        </is>
      </c>
    </row>
    <row r="1640">
      <c r="A1640" s="113" t="n">
        <v>45332</v>
      </c>
      <c r="B1640" s="114" t="inlineStr">
        <is>
          <t>UPIOUT/404133402417/Q162409196@ybl/Sent
via /5814</t>
        </is>
      </c>
      <c r="C1640" s="114" t="inlineStr"/>
      <c r="D1640" s="114" t="n">
        <v>45</v>
      </c>
      <c r="E1640" s="114" t="n">
        <v>0</v>
      </c>
      <c r="F1640" s="114" t="n">
        <v>17199.85</v>
      </c>
      <c r="G1640" s="114" t="inlineStr">
        <is>
          <t>Personal</t>
        </is>
      </c>
      <c r="H1640" s="114" t="inlineStr">
        <is>
          <t>FEDERAL 0847</t>
        </is>
      </c>
    </row>
    <row r="1641">
      <c r="A1641" s="113" t="n">
        <v>45333</v>
      </c>
      <c r="B1641" s="114" t="inlineStr">
        <is>
          <t>UPIOUT/404237835142/paytm-64422255@paytm/S
en/5411</t>
        </is>
      </c>
      <c r="C1641" s="114" t="inlineStr"/>
      <c r="D1641" s="114" t="n">
        <v>5</v>
      </c>
      <c r="E1641" s="114" t="n">
        <v>0</v>
      </c>
      <c r="F1641" s="114" t="n">
        <v>5184.85</v>
      </c>
      <c r="G1641" s="114" t="inlineStr">
        <is>
          <t>Personal</t>
        </is>
      </c>
      <c r="H1641" s="114" t="inlineStr">
        <is>
          <t>FEDERAL 0847</t>
        </is>
      </c>
    </row>
    <row r="1642">
      <c r="A1642" s="113" t="n">
        <v>45333</v>
      </c>
      <c r="B1642" s="114" t="inlineStr">
        <is>
          <t>UPIOUT/404239521873/BHARATPE90726368113@ye
sb/5912</t>
        </is>
      </c>
      <c r="C1642" s="114" t="inlineStr"/>
      <c r="D1642" s="114" t="n">
        <v>30</v>
      </c>
      <c r="E1642" s="114" t="n">
        <v>0</v>
      </c>
      <c r="F1642" s="114" t="n">
        <v>5154.85</v>
      </c>
      <c r="G1642" s="114" t="inlineStr">
        <is>
          <t>Personal</t>
        </is>
      </c>
      <c r="H1642" s="114" t="inlineStr">
        <is>
          <t>FEDERAL 0847</t>
        </is>
      </c>
    </row>
    <row r="1643">
      <c r="A1643" s="113" t="n">
        <v>45333</v>
      </c>
      <c r="B1643" s="114" t="inlineStr">
        <is>
          <t>UPIOUT/404239954151/Q463323667@ybl/Sent
via /5812</t>
        </is>
      </c>
      <c r="C1643" s="114" t="inlineStr"/>
      <c r="D1643" s="114" t="n">
        <v>50</v>
      </c>
      <c r="E1643" s="114" t="n">
        <v>0</v>
      </c>
      <c r="F1643" s="114" t="n">
        <v>5104.85</v>
      </c>
      <c r="G1643" s="114" t="inlineStr">
        <is>
          <t>Personal</t>
        </is>
      </c>
      <c r="H1643" s="114" t="inlineStr">
        <is>
          <t>FEDERAL 0847</t>
        </is>
      </c>
    </row>
    <row r="1644">
      <c r="A1644" s="113" t="n">
        <v>45334</v>
      </c>
      <c r="B1644" s="114" t="inlineStr">
        <is>
          <t>UPIOUT/404346527024/Q185949983@ybl/Sent
via /5451</t>
        </is>
      </c>
      <c r="C1644" s="114" t="inlineStr"/>
      <c r="D1644" s="114" t="n">
        <v>10</v>
      </c>
      <c r="E1644" s="114" t="n">
        <v>0</v>
      </c>
      <c r="F1644" s="114" t="n">
        <v>4729.85</v>
      </c>
      <c r="G1644" s="114" t="inlineStr">
        <is>
          <t>Personal</t>
        </is>
      </c>
      <c r="H1644" s="114" t="inlineStr">
        <is>
          <t>FEDERAL 0847</t>
        </is>
      </c>
    </row>
    <row r="1645">
      <c r="A1645" s="113" t="n">
        <v>45334</v>
      </c>
      <c r="B1645" s="114" t="inlineStr">
        <is>
          <t>UPIOUT/404346467019/Q407907754@ybl/Sent
via /5812</t>
        </is>
      </c>
      <c r="C1645" s="114" t="inlineStr"/>
      <c r="D1645" s="114" t="n">
        <v>245</v>
      </c>
      <c r="E1645" s="114" t="n">
        <v>0</v>
      </c>
      <c r="F1645" s="114" t="n">
        <v>4739.85</v>
      </c>
      <c r="G1645" s="114" t="inlineStr">
        <is>
          <t>Personal</t>
        </is>
      </c>
      <c r="H1645" s="114" t="inlineStr">
        <is>
          <t>FEDERAL 0847</t>
        </is>
      </c>
    </row>
    <row r="1646">
      <c r="A1646" s="113" t="n">
        <v>45334</v>
      </c>
      <c r="B1646" s="114" t="inlineStr">
        <is>
          <t>UPIOUT/404303672367/q463323667@ybl/UPI/581
2</t>
        </is>
      </c>
      <c r="C1646" s="114" t="inlineStr"/>
      <c r="D1646" s="114" t="n">
        <v>40</v>
      </c>
      <c r="E1646" s="114" t="n">
        <v>0</v>
      </c>
      <c r="F1646" s="114" t="n">
        <v>4984.85</v>
      </c>
      <c r="G1646" s="114" t="inlineStr">
        <is>
          <t>Personal</t>
        </is>
      </c>
      <c r="H1646" s="114" t="inlineStr">
        <is>
          <t>FEDERAL 0847</t>
        </is>
      </c>
    </row>
    <row r="1647">
      <c r="A1647" s="113" t="n">
        <v>45334</v>
      </c>
      <c r="B1647" s="114" t="inlineStr">
        <is>
          <t>UPIOUT/404345448317/Q897116130@ybl/Sent
via /5814</t>
        </is>
      </c>
      <c r="C1647" s="114" t="inlineStr"/>
      <c r="D1647" s="114" t="n">
        <v>40</v>
      </c>
      <c r="E1647" s="114" t="n">
        <v>0</v>
      </c>
      <c r="F1647" s="114" t="n">
        <v>5044.85</v>
      </c>
      <c r="G1647" s="114" t="inlineStr">
        <is>
          <t>Personal</t>
        </is>
      </c>
      <c r="H1647" s="114" t="inlineStr">
        <is>
          <t>FEDERAL 0847</t>
        </is>
      </c>
    </row>
    <row r="1648">
      <c r="A1648" s="113" t="n">
        <v>45334</v>
      </c>
      <c r="B1648" s="114" t="inlineStr">
        <is>
          <t>UPIOUT/404345404452/Q722485674@ybl/Sent
via /5411</t>
        </is>
      </c>
      <c r="C1648" s="114" t="inlineStr"/>
      <c r="D1648" s="114" t="n">
        <v>10</v>
      </c>
      <c r="E1648" s="114" t="n">
        <v>0</v>
      </c>
      <c r="F1648" s="114" t="n">
        <v>5084.85</v>
      </c>
      <c r="G1648" s="114" t="inlineStr">
        <is>
          <t>Personal</t>
        </is>
      </c>
      <c r="H1648" s="114" t="inlineStr">
        <is>
          <t>FEDERAL 0847</t>
        </is>
      </c>
    </row>
    <row r="1649">
      <c r="A1649" s="113" t="n">
        <v>45334</v>
      </c>
      <c r="B1649" s="114" t="inlineStr">
        <is>
          <t>NET PI TO HSL SEC A/C 2554606-00602340029427</t>
        </is>
      </c>
      <c r="C1649" s="114" t="inlineStr">
        <is>
          <t>0000000494041038</t>
        </is>
      </c>
      <c r="D1649" s="114" t="n">
        <v>19464.98</v>
      </c>
      <c r="E1649" s="114" t="n">
        <v>0</v>
      </c>
      <c r="F1649" s="114" t="n">
        <v>12099.31</v>
      </c>
      <c r="G1649" s="114" t="inlineStr">
        <is>
          <t>HDFC Securities</t>
        </is>
      </c>
      <c r="H1649" s="114" t="inlineStr">
        <is>
          <t>HDFC 5413</t>
        </is>
      </c>
    </row>
    <row r="1650">
      <c r="A1650" s="113" t="n">
        <v>45334</v>
      </c>
      <c r="B1650" s="114" t="inlineStr">
        <is>
          <t>UPIOUT/404345512973/Q897116130@ybl/Sent
via /5814</t>
        </is>
      </c>
      <c r="C1650" s="114" t="inlineStr"/>
      <c r="D1650" s="114" t="n">
        <v>20</v>
      </c>
      <c r="E1650" s="114" t="n">
        <v>0</v>
      </c>
      <c r="F1650" s="114" t="n">
        <v>5024.85</v>
      </c>
      <c r="G1650" s="114" t="inlineStr">
        <is>
          <t>Personal</t>
        </is>
      </c>
      <c r="H1650" s="114" t="inlineStr">
        <is>
          <t>FEDERAL 0847</t>
        </is>
      </c>
    </row>
    <row r="1651">
      <c r="A1651" s="113" t="n">
        <v>45334</v>
      </c>
      <c r="B1651" s="114" t="inlineStr">
        <is>
          <t>NET PI TO HSL SEC A/C 2554606-00602340029427</t>
        </is>
      </c>
      <c r="C1651" s="114" t="inlineStr">
        <is>
          <t>0000000493743356</t>
        </is>
      </c>
      <c r="D1651" s="114" t="n">
        <v>589.26</v>
      </c>
      <c r="E1651" s="114" t="n">
        <v>0</v>
      </c>
      <c r="F1651" s="114" t="n">
        <v>31564.29</v>
      </c>
      <c r="G1651" s="114" t="inlineStr">
        <is>
          <t>HDFC Securities</t>
        </is>
      </c>
      <c r="H1651" s="114" t="inlineStr">
        <is>
          <t>HDFC 5413</t>
        </is>
      </c>
    </row>
    <row r="1652">
      <c r="A1652" s="113" t="n">
        <v>45334</v>
      </c>
      <c r="B1652" s="114" t="inlineStr">
        <is>
          <t>UPIOUT/404345220956/mdkhaseem819-1@oksbi/S
en/0000</t>
        </is>
      </c>
      <c r="C1652" s="114" t="inlineStr"/>
      <c r="D1652" s="114" t="n">
        <v>10</v>
      </c>
      <c r="E1652" s="114" t="n">
        <v>0</v>
      </c>
      <c r="F1652" s="114" t="n">
        <v>5094.85</v>
      </c>
      <c r="G1652" s="114" t="inlineStr">
        <is>
          <t>Personal</t>
        </is>
      </c>
      <c r="H1652" s="114" t="inlineStr">
        <is>
          <t>FEDERAL 0847</t>
        </is>
      </c>
    </row>
    <row r="1653">
      <c r="A1653" s="113" t="n">
        <v>45335</v>
      </c>
      <c r="B1653" s="114" t="inlineStr">
        <is>
          <t>UPIOUT/404453583564/Q079360809@ybl/Sent
via /5814</t>
        </is>
      </c>
      <c r="C1653" s="114" t="inlineStr"/>
      <c r="D1653" s="114" t="n">
        <v>90</v>
      </c>
      <c r="E1653" s="114" t="n">
        <v>0</v>
      </c>
      <c r="F1653" s="114" t="n">
        <v>4539.85</v>
      </c>
      <c r="G1653" s="114" t="inlineStr">
        <is>
          <t>Personal</t>
        </is>
      </c>
      <c r="H1653" s="114" t="inlineStr">
        <is>
          <t>FEDERAL 0847</t>
        </is>
      </c>
    </row>
    <row r="1654">
      <c r="A1654" s="113" t="n">
        <v>45335</v>
      </c>
      <c r="B1654" s="114" t="inlineStr">
        <is>
          <t>UPIOUT/404453591116/Q463323667@ybl/Sent
via /5812</t>
        </is>
      </c>
      <c r="C1654" s="114" t="inlineStr"/>
      <c r="D1654" s="114" t="n">
        <v>130</v>
      </c>
      <c r="E1654" s="114" t="n">
        <v>0</v>
      </c>
      <c r="F1654" s="114" t="n">
        <v>4409.85</v>
      </c>
      <c r="G1654" s="114" t="inlineStr">
        <is>
          <t>Personal</t>
        </is>
      </c>
      <c r="H1654" s="114" t="inlineStr">
        <is>
          <t>FEDERAL 0847</t>
        </is>
      </c>
    </row>
    <row r="1655">
      <c r="A1655" s="113" t="n">
        <v>45335</v>
      </c>
      <c r="B1655" s="114" t="inlineStr">
        <is>
          <t>UPIOUT/404418742586/rgindham-1@okicici/UPI
/0000</t>
        </is>
      </c>
      <c r="C1655" s="114" t="inlineStr"/>
      <c r="D1655" s="114" t="n">
        <v>10</v>
      </c>
      <c r="E1655" s="114" t="n">
        <v>0</v>
      </c>
      <c r="F1655" s="114" t="n">
        <v>4719.85</v>
      </c>
      <c r="G1655" s="114" t="inlineStr">
        <is>
          <t>Personal</t>
        </is>
      </c>
      <c r="H1655" s="114" t="inlineStr">
        <is>
          <t>FEDERAL 0847</t>
        </is>
      </c>
    </row>
    <row r="1656">
      <c r="A1656" s="113" t="n">
        <v>45335</v>
      </c>
      <c r="B1656" s="114" t="inlineStr">
        <is>
          <t>DEPOSITORY CHARGES JAN24 - 52812428</t>
        </is>
      </c>
      <c r="C1656" s="114" t="inlineStr">
        <is>
          <t>000000000000000</t>
        </is>
      </c>
      <c r="D1656" s="114" t="n">
        <v>1817.2</v>
      </c>
      <c r="E1656" s="114" t="n">
        <v>0</v>
      </c>
      <c r="F1656" s="114" t="n">
        <v>10282.11</v>
      </c>
      <c r="G1656" s="114" t="inlineStr">
        <is>
          <t>Depository Charges</t>
        </is>
      </c>
      <c r="H1656" s="114" t="inlineStr">
        <is>
          <t>HDFC 5413</t>
        </is>
      </c>
    </row>
    <row r="1657">
      <c r="A1657" s="113" t="n">
        <v>45335</v>
      </c>
      <c r="B1657" s="114" t="inlineStr">
        <is>
          <t>UPIOUT/404453432949/Q079360809@ybl/Sent
via /5814</t>
        </is>
      </c>
      <c r="C1657" s="114" t="inlineStr"/>
      <c r="D1657" s="114" t="n">
        <v>90</v>
      </c>
      <c r="E1657" s="114" t="n">
        <v>0</v>
      </c>
      <c r="F1657" s="114" t="n">
        <v>4629.85</v>
      </c>
      <c r="G1657" s="114" t="inlineStr">
        <is>
          <t>Personal</t>
        </is>
      </c>
      <c r="H1657" s="114" t="inlineStr">
        <is>
          <t>FEDERAL 0847</t>
        </is>
      </c>
    </row>
    <row r="1658">
      <c r="A1658" s="113" t="n">
        <v>45336</v>
      </c>
      <c r="B1658" s="114" t="inlineStr">
        <is>
          <t>UPIOUT/404555383297/Q082521920@ybl/Sent
via /5814</t>
        </is>
      </c>
      <c r="C1658" s="114" t="inlineStr"/>
      <c r="D1658" s="114" t="n">
        <v>20</v>
      </c>
      <c r="E1658" s="114" t="n">
        <v>0</v>
      </c>
      <c r="F1658" s="114" t="n">
        <v>4389.85</v>
      </c>
      <c r="G1658" s="114" t="inlineStr">
        <is>
          <t>Personal</t>
        </is>
      </c>
      <c r="H1658" s="114" t="inlineStr">
        <is>
          <t>FEDERAL 0847</t>
        </is>
      </c>
    </row>
    <row r="1659">
      <c r="A1659" s="113" t="n">
        <v>45336</v>
      </c>
      <c r="B1659" s="114" t="inlineStr">
        <is>
          <t>UPIOUT/404555539426/paytmqr281005050101ac5
gq/5812</t>
        </is>
      </c>
      <c r="C1659" s="114" t="inlineStr"/>
      <c r="D1659" s="114" t="n">
        <v>60</v>
      </c>
      <c r="E1659" s="114" t="n">
        <v>0</v>
      </c>
      <c r="F1659" s="114" t="n">
        <v>4329.85</v>
      </c>
      <c r="G1659" s="114" t="inlineStr">
        <is>
          <t>Personal</t>
        </is>
      </c>
      <c r="H1659" s="114" t="inlineStr">
        <is>
          <t>FEDERAL 0847</t>
        </is>
      </c>
    </row>
    <row r="1660">
      <c r="A1660" s="113" t="n">
        <v>45336</v>
      </c>
      <c r="B1660" s="114" t="inlineStr">
        <is>
          <t>UPIOUT/404555653458/8185061658@ibl/Sent
via /0000</t>
        </is>
      </c>
      <c r="C1660" s="114" t="inlineStr"/>
      <c r="D1660" s="114" t="n">
        <v>15</v>
      </c>
      <c r="E1660" s="114" t="n">
        <v>0</v>
      </c>
      <c r="F1660" s="114" t="n">
        <v>4314.85</v>
      </c>
      <c r="G1660" s="114" t="inlineStr">
        <is>
          <t>Personal</t>
        </is>
      </c>
      <c r="H1660" s="114" t="inlineStr">
        <is>
          <t>FEDERAL 0847</t>
        </is>
      </c>
    </row>
    <row r="1661">
      <c r="A1661" s="113" t="n">
        <v>45336</v>
      </c>
      <c r="B1661" s="114" t="inlineStr">
        <is>
          <t>UPIOUT/404559766130/Q407907754@ybl/Sent
via /5812</t>
        </is>
      </c>
      <c r="C1661" s="114" t="inlineStr"/>
      <c r="D1661" s="114" t="n">
        <v>70</v>
      </c>
      <c r="E1661" s="114" t="n">
        <v>0</v>
      </c>
      <c r="F1661" s="114" t="n">
        <v>4202.85</v>
      </c>
      <c r="G1661" s="114" t="inlineStr">
        <is>
          <t>Personal</t>
        </is>
      </c>
      <c r="H1661" s="114" t="inlineStr">
        <is>
          <t>FEDERAL 0847</t>
        </is>
      </c>
    </row>
    <row r="1662">
      <c r="A1662" s="113" t="n">
        <v>45336</v>
      </c>
      <c r="B1662" s="114" t="inlineStr">
        <is>
          <t>UPIOUT/404559853630/Q463323667@ybl/Sent
via /5812</t>
        </is>
      </c>
      <c r="C1662" s="114" t="inlineStr"/>
      <c r="D1662" s="114" t="n">
        <v>80</v>
      </c>
      <c r="E1662" s="114" t="n">
        <v>0</v>
      </c>
      <c r="F1662" s="114" t="n">
        <v>4122.85</v>
      </c>
      <c r="G1662" s="114" t="inlineStr">
        <is>
          <t>Personal</t>
        </is>
      </c>
      <c r="H1662" s="114" t="inlineStr">
        <is>
          <t>FEDERAL 0847</t>
        </is>
      </c>
    </row>
    <row r="1663">
      <c r="A1663" s="113" t="n">
        <v>45336</v>
      </c>
      <c r="B1663" s="114" t="inlineStr">
        <is>
          <t>NET PI TO HSL SEC A/C 2554606-00602340029427</t>
        </is>
      </c>
      <c r="C1663" s="114" t="inlineStr">
        <is>
          <t>0000000494966556</t>
        </is>
      </c>
      <c r="D1663" s="114" t="n">
        <v>45350.64</v>
      </c>
      <c r="E1663" s="114" t="n">
        <v>0</v>
      </c>
      <c r="F1663" s="114" t="n">
        <v>49517.97</v>
      </c>
      <c r="G1663" s="114" t="inlineStr">
        <is>
          <t>HDFC Securities</t>
        </is>
      </c>
      <c r="H1663" s="114" t="inlineStr">
        <is>
          <t>HDFC 5413</t>
        </is>
      </c>
    </row>
    <row r="1664">
      <c r="A1664" s="113" t="n">
        <v>45336</v>
      </c>
      <c r="B1664" s="114" t="inlineStr">
        <is>
          <t>NET PI TO HSL SEC A/C 2554606-00602340029427</t>
        </is>
      </c>
      <c r="C1664" s="114" t="inlineStr">
        <is>
          <t>0000000494743022</t>
        </is>
      </c>
      <c r="D1664" s="114" t="n">
        <v>166.17</v>
      </c>
      <c r="E1664" s="114" t="n">
        <v>0</v>
      </c>
      <c r="F1664" s="114" t="n">
        <v>94868.61</v>
      </c>
      <c r="G1664" s="114" t="inlineStr">
        <is>
          <t>HDFC Securities</t>
        </is>
      </c>
      <c r="H1664" s="114" t="inlineStr">
        <is>
          <t>HDFC 5413</t>
        </is>
      </c>
    </row>
    <row r="1665">
      <c r="A1665" s="113" t="n">
        <v>45336</v>
      </c>
      <c r="B1665" s="114" t="inlineStr">
        <is>
          <t>NET PO FROM HSL A/C 2554606-50200085415108</t>
        </is>
      </c>
      <c r="C1665" s="114" t="inlineStr">
        <is>
          <t>0000000494628387</t>
        </is>
      </c>
      <c r="D1665" s="114" t="n">
        <v>0</v>
      </c>
      <c r="E1665" s="114" t="n">
        <v>53119.4</v>
      </c>
      <c r="F1665" s="114" t="n">
        <v>95034.78</v>
      </c>
      <c r="G1665" s="114" t="inlineStr">
        <is>
          <t>HDFC Securities</t>
        </is>
      </c>
      <c r="H1665" s="114" t="inlineStr">
        <is>
          <t>HDFC 5413</t>
        </is>
      </c>
    </row>
    <row r="1666">
      <c r="A1666" s="113" t="n">
        <v>45336</v>
      </c>
      <c r="B1666" s="114" t="inlineStr">
        <is>
          <t>NET PO FROM HSL A/C 2554606-50200085415108</t>
        </is>
      </c>
      <c r="C1666" s="114" t="inlineStr">
        <is>
          <t>0000000494603561</t>
        </is>
      </c>
      <c r="D1666" s="114" t="n">
        <v>0</v>
      </c>
      <c r="E1666" s="114" t="n">
        <v>31633.27</v>
      </c>
      <c r="F1666" s="114" t="n">
        <v>41915.38</v>
      </c>
      <c r="G1666" s="114" t="inlineStr">
        <is>
          <t>HDFC Securities</t>
        </is>
      </c>
      <c r="H1666" s="114" t="inlineStr">
        <is>
          <t>HDFC 5413</t>
        </is>
      </c>
    </row>
    <row r="1667">
      <c r="A1667" s="113" t="n">
        <v>45336</v>
      </c>
      <c r="B1667" s="114" t="inlineStr">
        <is>
          <t>UPIOUT/404555700036/srinivasedigi96@okhdfc
ba/0000</t>
        </is>
      </c>
      <c r="C1667" s="114" t="inlineStr"/>
      <c r="D1667" s="114" t="n">
        <v>10</v>
      </c>
      <c r="E1667" s="114" t="n">
        <v>0</v>
      </c>
      <c r="F1667" s="114" t="n">
        <v>4304.85</v>
      </c>
      <c r="G1667" s="114" t="inlineStr">
        <is>
          <t>Personal</t>
        </is>
      </c>
      <c r="H1667" s="114" t="inlineStr">
        <is>
          <t>FEDERAL 0847</t>
        </is>
      </c>
    </row>
    <row r="1668">
      <c r="A1668" s="113" t="n">
        <v>45336</v>
      </c>
      <c r="B1668" s="114" t="inlineStr">
        <is>
          <t>UPIOUT/404558811907/8367309385@ibl/Sent
via /0000</t>
        </is>
      </c>
      <c r="C1668" s="114" t="inlineStr"/>
      <c r="D1668" s="114" t="n">
        <v>32</v>
      </c>
      <c r="E1668" s="114" t="n">
        <v>0</v>
      </c>
      <c r="F1668" s="114" t="n">
        <v>4272.85</v>
      </c>
      <c r="G1668" s="114" t="inlineStr">
        <is>
          <t>Personal</t>
        </is>
      </c>
      <c r="H1668" s="114" t="inlineStr">
        <is>
          <t>FEDERAL 0847</t>
        </is>
      </c>
    </row>
    <row r="1669">
      <c r="A1669" s="113" t="n">
        <v>45337</v>
      </c>
      <c r="B1669" s="114" t="inlineStr">
        <is>
          <t>UPIOUT/404667241676/paytmqr28100505010119u
g9/5661</t>
        </is>
      </c>
      <c r="C1669" s="114" t="inlineStr"/>
      <c r="D1669" s="114" t="n">
        <v>499</v>
      </c>
      <c r="E1669" s="114" t="n">
        <v>0</v>
      </c>
      <c r="F1669" s="114" t="n">
        <v>1174.4</v>
      </c>
      <c r="G1669" s="114" t="inlineStr">
        <is>
          <t>Personal</t>
        </is>
      </c>
      <c r="H1669" s="114" t="inlineStr">
        <is>
          <t>FEDERAL 0847</t>
        </is>
      </c>
    </row>
    <row r="1670">
      <c r="A1670" s="113" t="n">
        <v>45337</v>
      </c>
      <c r="B1670" s="114" t="inlineStr">
        <is>
          <t>UPIOUT/404667912691/olacabs.rzp@axisbank/P
ay/4121</t>
        </is>
      </c>
      <c r="C1670" s="114" t="inlineStr"/>
      <c r="D1670" s="114" t="n">
        <v>373</v>
      </c>
      <c r="E1670" s="114" t="n">
        <v>0</v>
      </c>
      <c r="F1670" s="114" t="n">
        <v>801.4</v>
      </c>
      <c r="G1670" s="114" t="inlineStr">
        <is>
          <t>Transport</t>
        </is>
      </c>
      <c r="H1670" s="114" t="inlineStr">
        <is>
          <t>FEDERAL 0847</t>
        </is>
      </c>
    </row>
    <row r="1671">
      <c r="A1671" s="113" t="n">
        <v>45337</v>
      </c>
      <c r="B1671" s="114" t="inlineStr">
        <is>
          <t>UPIOUT/404667188650/paytm-78551797@paytm/S
en/5137</t>
        </is>
      </c>
      <c r="C1671" s="114" t="inlineStr"/>
      <c r="D1671" s="114" t="n">
        <v>899</v>
      </c>
      <c r="E1671" s="114" t="n">
        <v>0</v>
      </c>
      <c r="F1671" s="114" t="n">
        <v>1673.4</v>
      </c>
      <c r="G1671" s="114" t="inlineStr">
        <is>
          <t>Personal</t>
        </is>
      </c>
      <c r="H1671" s="114" t="inlineStr">
        <is>
          <t>FEDERAL 0847</t>
        </is>
      </c>
    </row>
    <row r="1672">
      <c r="A1672" s="113" t="n">
        <v>45337</v>
      </c>
      <c r="B1672" s="114" t="inlineStr">
        <is>
          <t>UPIOUT/404615451511/airtelpaymentsbanklimi
te/4812</t>
        </is>
      </c>
      <c r="C1672" s="114" t="inlineStr"/>
      <c r="D1672" s="114" t="n">
        <v>148</v>
      </c>
      <c r="E1672" s="114" t="n">
        <v>0</v>
      </c>
      <c r="F1672" s="114" t="n">
        <v>2572.4</v>
      </c>
      <c r="G1672" s="114" t="inlineStr">
        <is>
          <t>Personal</t>
        </is>
      </c>
      <c r="H1672" s="114" t="inlineStr">
        <is>
          <t>FEDERAL 0847</t>
        </is>
      </c>
    </row>
    <row r="1673">
      <c r="A1673" s="113" t="n">
        <v>45337</v>
      </c>
      <c r="B1673" s="114" t="inlineStr">
        <is>
          <t>UPIOUT/404666834176/P539PRAGATHINAGARHYD.2
72/5814</t>
        </is>
      </c>
      <c r="C1673" s="114" t="inlineStr"/>
      <c r="D1673" s="114" t="n">
        <v>387.45</v>
      </c>
      <c r="E1673" s="114" t="n">
        <v>0</v>
      </c>
      <c r="F1673" s="114" t="n">
        <v>2720.4</v>
      </c>
      <c r="G1673" s="114" t="inlineStr">
        <is>
          <t>Personal</t>
        </is>
      </c>
      <c r="H1673" s="114" t="inlineStr">
        <is>
          <t>FEDERAL 0847</t>
        </is>
      </c>
    </row>
    <row r="1674">
      <c r="A1674" s="113" t="n">
        <v>45337</v>
      </c>
      <c r="B1674" s="114" t="inlineStr">
        <is>
          <t>UPIOUT/404666781168/Q311614304@ybl/Sent
via /5814</t>
        </is>
      </c>
      <c r="C1674" s="114" t="inlineStr"/>
      <c r="D1674" s="114" t="n">
        <v>30</v>
      </c>
      <c r="E1674" s="114" t="n">
        <v>0</v>
      </c>
      <c r="F1674" s="114" t="n">
        <v>3107.85</v>
      </c>
      <c r="G1674" s="114" t="inlineStr">
        <is>
          <t>Personal</t>
        </is>
      </c>
      <c r="H1674" s="114" t="inlineStr">
        <is>
          <t>FEDERAL 0847</t>
        </is>
      </c>
    </row>
    <row r="1675">
      <c r="A1675" s="113" t="n">
        <v>45337</v>
      </c>
      <c r="B1675" s="114" t="inlineStr">
        <is>
          <t>UPIOUT/404666719569/Q099545511@ybl/Sent
via /5310</t>
        </is>
      </c>
      <c r="C1675" s="114" t="inlineStr"/>
      <c r="D1675" s="114" t="n">
        <v>945</v>
      </c>
      <c r="E1675" s="114" t="n">
        <v>0</v>
      </c>
      <c r="F1675" s="114" t="n">
        <v>3137.85</v>
      </c>
      <c r="G1675" s="114" t="inlineStr">
        <is>
          <t>Personal</t>
        </is>
      </c>
      <c r="H1675" s="114" t="inlineStr">
        <is>
          <t>FEDERAL 0847</t>
        </is>
      </c>
    </row>
    <row r="1676">
      <c r="A1676" s="113" t="n">
        <v>45337</v>
      </c>
      <c r="B1676" s="114" t="inlineStr">
        <is>
          <t>UPIOUT/404662581805/Q783081478@ybl/Sent
via /4722</t>
        </is>
      </c>
      <c r="C1676" s="114" t="inlineStr"/>
      <c r="D1676" s="114" t="n">
        <v>10</v>
      </c>
      <c r="E1676" s="114" t="n">
        <v>0</v>
      </c>
      <c r="F1676" s="114" t="n">
        <v>4082.85</v>
      </c>
      <c r="G1676" s="114" t="inlineStr">
        <is>
          <t>Personal</t>
        </is>
      </c>
      <c r="H1676" s="114" t="inlineStr">
        <is>
          <t>FEDERAL 0847</t>
        </is>
      </c>
    </row>
    <row r="1677">
      <c r="A1677" s="113" t="n">
        <v>45337</v>
      </c>
      <c r="B1677" s="114" t="inlineStr">
        <is>
          <t>UPIOUT/404662558273/ekbalmd84999@okhdfcban
k//0000</t>
        </is>
      </c>
      <c r="C1677" s="114" t="inlineStr"/>
      <c r="D1677" s="114" t="n">
        <v>10</v>
      </c>
      <c r="E1677" s="114" t="n">
        <v>0</v>
      </c>
      <c r="F1677" s="114" t="n">
        <v>4092.85</v>
      </c>
      <c r="G1677" s="114" t="inlineStr">
        <is>
          <t>Personal</t>
        </is>
      </c>
      <c r="H1677" s="114" t="inlineStr">
        <is>
          <t>FEDERAL 0847</t>
        </is>
      </c>
    </row>
    <row r="1678">
      <c r="A1678" s="113" t="n">
        <v>45337</v>
      </c>
      <c r="B1678" s="114" t="inlineStr">
        <is>
          <t>NET PI TO HSL SEC A/C 2554606-00602340029427</t>
        </is>
      </c>
      <c r="C1678" s="114" t="inlineStr">
        <is>
          <t>0000000495265893</t>
        </is>
      </c>
      <c r="D1678" s="114" t="n">
        <v>137.31</v>
      </c>
      <c r="E1678" s="114" t="n">
        <v>0</v>
      </c>
      <c r="F1678" s="114" t="n">
        <v>49380.66</v>
      </c>
      <c r="G1678" s="114" t="inlineStr">
        <is>
          <t>HDFC Securities</t>
        </is>
      </c>
      <c r="H1678" s="114" t="inlineStr">
        <is>
          <t>HDFC 5413</t>
        </is>
      </c>
    </row>
    <row r="1679">
      <c r="A1679" s="113" t="n">
        <v>45337</v>
      </c>
      <c r="B1679" s="114" t="inlineStr">
        <is>
          <t>ACH C- SONABLWPRECISION-0000000000000236</t>
        </is>
      </c>
      <c r="C1679" s="114" t="inlineStr">
        <is>
          <t>0000007064668046</t>
        </is>
      </c>
      <c r="D1679" s="114" t="n">
        <v>0</v>
      </c>
      <c r="E1679" s="114" t="n">
        <v>107.1</v>
      </c>
      <c r="F1679" s="114" t="n">
        <v>49487.76</v>
      </c>
      <c r="G1679" s="114" t="inlineStr">
        <is>
          <t>Dividend Income</t>
        </is>
      </c>
      <c r="H1679" s="114" t="inlineStr">
        <is>
          <t>HDFC 5413</t>
        </is>
      </c>
    </row>
    <row r="1680">
      <c r="A1680" s="113" t="n">
        <v>45337</v>
      </c>
      <c r="B1680" s="114" t="inlineStr">
        <is>
          <t>UPIOUT/404661675145/Q249817394@ybl/Sent
via /5814</t>
        </is>
      </c>
      <c r="C1680" s="114" t="inlineStr"/>
      <c r="D1680" s="114" t="n">
        <v>20</v>
      </c>
      <c r="E1680" s="114" t="n">
        <v>0</v>
      </c>
      <c r="F1680" s="114" t="n">
        <v>4102.85</v>
      </c>
      <c r="G1680" s="114" t="inlineStr">
        <is>
          <t>Personal</t>
        </is>
      </c>
      <c r="H1680" s="114" t="inlineStr">
        <is>
          <t>FEDERAL 0847</t>
        </is>
      </c>
    </row>
    <row r="1681">
      <c r="A1681" s="113" t="n">
        <v>45338</v>
      </c>
      <c r="B1681" s="114" t="inlineStr">
        <is>
          <t>NET PO FROM HSL A/C 2554606-50200085415108</t>
        </is>
      </c>
      <c r="C1681" s="114" t="inlineStr">
        <is>
          <t>0000000495892980</t>
        </is>
      </c>
      <c r="D1681" s="114" t="n">
        <v>0</v>
      </c>
      <c r="E1681" s="114" t="n">
        <v>1447.36</v>
      </c>
      <c r="F1681" s="114" t="n">
        <v>83309.97</v>
      </c>
      <c r="G1681" s="114" t="inlineStr">
        <is>
          <t>HDFC Securities</t>
        </is>
      </c>
      <c r="H1681" s="114" t="inlineStr">
        <is>
          <t>HDFC 5413</t>
        </is>
      </c>
    </row>
    <row r="1682">
      <c r="A1682" s="113" t="n">
        <v>45338</v>
      </c>
      <c r="B1682" s="114" t="inlineStr">
        <is>
          <t>NET PI TO HSL SEC A/C 2554606-00602340029427</t>
        </is>
      </c>
      <c r="C1682" s="114" t="inlineStr">
        <is>
          <t>0000000495708883</t>
        </is>
      </c>
      <c r="D1682" s="114" t="n">
        <v>159.31</v>
      </c>
      <c r="E1682" s="114" t="n">
        <v>0</v>
      </c>
      <c r="F1682" s="114" t="n">
        <v>81862.61</v>
      </c>
      <c r="G1682" s="114" t="inlineStr">
        <is>
          <t>HDFC Securities</t>
        </is>
      </c>
      <c r="H1682" s="114" t="inlineStr">
        <is>
          <t>HDFC 5413</t>
        </is>
      </c>
    </row>
    <row r="1683">
      <c r="A1683" s="113" t="n">
        <v>45338</v>
      </c>
      <c r="B1683" s="114" t="inlineStr">
        <is>
          <t>NET PO FROM HSL A/C 2554606-50200085415108</t>
        </is>
      </c>
      <c r="C1683" s="114" t="inlineStr">
        <is>
          <t>0000000495565915</t>
        </is>
      </c>
      <c r="D1683" s="114" t="n">
        <v>0</v>
      </c>
      <c r="E1683" s="114" t="n">
        <v>32534.16</v>
      </c>
      <c r="F1683" s="114" t="n">
        <v>82021.92</v>
      </c>
      <c r="G1683" s="114" t="inlineStr">
        <is>
          <t>HDFC Securities</t>
        </is>
      </c>
      <c r="H1683" s="114" t="inlineStr">
        <is>
          <t>HDFC 5413</t>
        </is>
      </c>
    </row>
    <row r="1684">
      <c r="A1684" s="113" t="n">
        <v>45338</v>
      </c>
      <c r="B1684" s="114" t="inlineStr">
        <is>
          <t>UPIOUT/404770002530/Q631030271@ybl/Sent
via /5411</t>
        </is>
      </c>
      <c r="C1684" s="114" t="inlineStr"/>
      <c r="D1684" s="114" t="n">
        <v>20</v>
      </c>
      <c r="E1684" s="114" t="n">
        <v>0</v>
      </c>
      <c r="F1684" s="114" t="n">
        <v>781.4</v>
      </c>
      <c r="G1684" s="114" t="inlineStr">
        <is>
          <t>Personal</t>
        </is>
      </c>
      <c r="H1684" s="114" t="inlineStr">
        <is>
          <t>FEDERAL 0847</t>
        </is>
      </c>
    </row>
    <row r="1685">
      <c r="A1685" s="113" t="n">
        <v>45339</v>
      </c>
      <c r="B1685" s="114" t="inlineStr">
        <is>
          <t>UPI IN/441419198927/paytm-76208552@paytm/e
xp/0000</t>
        </is>
      </c>
      <c r="C1685" s="114" t="inlineStr"/>
      <c r="D1685" s="114" t="n">
        <v>0</v>
      </c>
      <c r="E1685" s="114" t="n">
        <v>55.28</v>
      </c>
      <c r="F1685" s="114" t="n">
        <v>836.6799999999999</v>
      </c>
      <c r="G1685" s="114" t="inlineStr">
        <is>
          <t>Personal</t>
        </is>
      </c>
      <c r="H1685" s="114" t="inlineStr">
        <is>
          <t>FEDERAL 0847</t>
        </is>
      </c>
    </row>
    <row r="1686">
      <c r="A1686" s="113" t="n">
        <v>45340</v>
      </c>
      <c r="B1686" s="114" t="inlineStr">
        <is>
          <t>UPIOUT/404917807151/paytm-76208552@paytm/U
PI/4112</t>
        </is>
      </c>
      <c r="C1686" s="114" t="inlineStr"/>
      <c r="D1686" s="114" t="n">
        <v>538.15</v>
      </c>
      <c r="E1686" s="114" t="n">
        <v>0</v>
      </c>
      <c r="F1686" s="114" t="n">
        <v>298.53</v>
      </c>
      <c r="G1686" s="114" t="inlineStr">
        <is>
          <t>Personal</t>
        </is>
      </c>
      <c r="H1686" s="114" t="inlineStr">
        <is>
          <t>FEDERAL 0847</t>
        </is>
      </c>
    </row>
    <row r="1687">
      <c r="A1687" s="113" t="n">
        <v>45340</v>
      </c>
      <c r="B1687" s="114" t="inlineStr">
        <is>
          <t>UPI IN/404947484435/paytm-76208552@paytm/e
xp/0000</t>
        </is>
      </c>
      <c r="C1687" s="114" t="inlineStr"/>
      <c r="D1687" s="114" t="n">
        <v>0</v>
      </c>
      <c r="E1687" s="114" t="n">
        <v>538.15</v>
      </c>
      <c r="F1687" s="114" t="n">
        <v>836.6799999999999</v>
      </c>
      <c r="G1687" s="114" t="inlineStr">
        <is>
          <t>Personal</t>
        </is>
      </c>
      <c r="H1687" s="114" t="inlineStr">
        <is>
          <t>FEDERAL 0847</t>
        </is>
      </c>
    </row>
    <row r="1688">
      <c r="A1688" s="113" t="n">
        <v>45341</v>
      </c>
      <c r="B1688" s="114" t="inlineStr">
        <is>
          <t>NET PI TO HSL SEC A/C 2554606-00602340029427</t>
        </is>
      </c>
      <c r="C1688" s="114" t="inlineStr">
        <is>
          <t>0000000496159843</t>
        </is>
      </c>
      <c r="D1688" s="114" t="n">
        <v>435.18</v>
      </c>
      <c r="E1688" s="114" t="n">
        <v>0</v>
      </c>
      <c r="F1688" s="114" t="n">
        <v>82874.78999999999</v>
      </c>
      <c r="G1688" s="114" t="inlineStr">
        <is>
          <t>HDFC Securities</t>
        </is>
      </c>
      <c r="H1688" s="114" t="inlineStr">
        <is>
          <t>HDFC 5413</t>
        </is>
      </c>
    </row>
    <row r="1689">
      <c r="A1689" s="113" t="n">
        <v>45342</v>
      </c>
      <c r="B1689" s="114" t="inlineStr">
        <is>
          <t>NET PO FROM HSL A/C 2554606-50200085415108</t>
        </is>
      </c>
      <c r="C1689" s="114" t="inlineStr">
        <is>
          <t>0000000496450423</t>
        </is>
      </c>
      <c r="D1689" s="114" t="n">
        <v>0</v>
      </c>
      <c r="E1689" s="114" t="n">
        <v>7216.93</v>
      </c>
      <c r="F1689" s="114" t="n">
        <v>90091.72</v>
      </c>
      <c r="G1689" s="114" t="inlineStr">
        <is>
          <t>HDFC Securities</t>
        </is>
      </c>
      <c r="H1689" s="114" t="inlineStr">
        <is>
          <t>HDFC 5413</t>
        </is>
      </c>
    </row>
    <row r="1690">
      <c r="A1690" s="113" t="n">
        <v>45342</v>
      </c>
      <c r="B1690" s="114" t="inlineStr">
        <is>
          <t>NET PO FROM HSL A/C 2554606-50200085415108</t>
        </is>
      </c>
      <c r="C1690" s="114" t="inlineStr">
        <is>
          <t>0000000496483089</t>
        </is>
      </c>
      <c r="D1690" s="114" t="n">
        <v>0</v>
      </c>
      <c r="E1690" s="114" t="n">
        <v>23823.55</v>
      </c>
      <c r="F1690" s="114" t="n">
        <v>113915.27</v>
      </c>
      <c r="G1690" s="114" t="inlineStr">
        <is>
          <t>HDFC Securities</t>
        </is>
      </c>
      <c r="H1690" s="114" t="inlineStr">
        <is>
          <t>HDFC 5413</t>
        </is>
      </c>
    </row>
    <row r="1691">
      <c r="A1691" s="113" t="n">
        <v>45342</v>
      </c>
      <c r="B1691" s="114" t="inlineStr">
        <is>
          <t>UPI IN/405190815024/9594435259@jupiteraxis
/A/0000</t>
        </is>
      </c>
      <c r="C1691" s="114" t="inlineStr"/>
      <c r="D1691" s="114" t="n">
        <v>0</v>
      </c>
      <c r="E1691" s="114" t="n">
        <v>5000</v>
      </c>
      <c r="F1691" s="114" t="n">
        <v>5836.68</v>
      </c>
      <c r="G1691" s="114" t="inlineStr">
        <is>
          <t>KOTAK 0333</t>
        </is>
      </c>
      <c r="H1691" s="114" t="inlineStr">
        <is>
          <t>FEDERAL 0847</t>
        </is>
      </c>
    </row>
    <row r="1692">
      <c r="A1692" s="113" t="n">
        <v>45342</v>
      </c>
      <c r="B1692" s="114" t="inlineStr">
        <is>
          <t>NET PI TO HSL SEC A/C 2554606-00602340029427</t>
        </is>
      </c>
      <c r="C1692" s="114" t="inlineStr">
        <is>
          <t>0000000496643881</t>
        </is>
      </c>
      <c r="D1692" s="114" t="n">
        <v>145.06</v>
      </c>
      <c r="E1692" s="114" t="n">
        <v>0</v>
      </c>
      <c r="F1692" s="114" t="n">
        <v>113770.21</v>
      </c>
      <c r="G1692" s="114" t="inlineStr">
        <is>
          <t>HDFC Securities</t>
        </is>
      </c>
      <c r="H1692" s="114" t="inlineStr">
        <is>
          <t>HDFC 5413</t>
        </is>
      </c>
    </row>
    <row r="1693">
      <c r="A1693" s="113" t="n">
        <v>45343</v>
      </c>
      <c r="B1693" s="114" t="inlineStr">
        <is>
          <t>UPIOUT/405299065455/Q463323667@ybl/Sent
via /5812</t>
        </is>
      </c>
      <c r="C1693" s="114" t="inlineStr"/>
      <c r="D1693" s="114" t="n">
        <v>50</v>
      </c>
      <c r="E1693" s="114" t="n">
        <v>0</v>
      </c>
      <c r="F1693" s="114" t="n">
        <v>3746.68</v>
      </c>
      <c r="G1693" s="114" t="inlineStr">
        <is>
          <t>Personal</t>
        </is>
      </c>
      <c r="H1693" s="114" t="inlineStr">
        <is>
          <t>FEDERAL 0847</t>
        </is>
      </c>
    </row>
    <row r="1694">
      <c r="A1694" s="113" t="n">
        <v>45343</v>
      </c>
      <c r="B1694" s="114" t="inlineStr">
        <is>
          <t>NET PI TO HSL SEC A/C 2554606-00602340029427</t>
        </is>
      </c>
      <c r="C1694" s="114" t="inlineStr">
        <is>
          <t>0000000497275920</t>
        </is>
      </c>
      <c r="D1694" s="114" t="n">
        <v>2183.3</v>
      </c>
      <c r="E1694" s="114" t="n">
        <v>0</v>
      </c>
      <c r="F1694" s="114" t="n">
        <v>113284.59</v>
      </c>
      <c r="G1694" s="114" t="inlineStr">
        <is>
          <t>HDFC Securities</t>
        </is>
      </c>
      <c r="H1694" s="114" t="inlineStr">
        <is>
          <t>HDFC 5413</t>
        </is>
      </c>
    </row>
    <row r="1695">
      <c r="A1695" s="113" t="n">
        <v>45343</v>
      </c>
      <c r="B1695" s="114" t="inlineStr">
        <is>
          <t>NFT/NEOSIEXEDDD2024022103002420196 Quant
Mutual Fu</t>
        </is>
      </c>
      <c r="C1695" s="114" t="inlineStr"/>
      <c r="D1695" s="114" t="n">
        <v>1000</v>
      </c>
      <c r="E1695" s="114" t="n">
        <v>0</v>
      </c>
      <c r="F1695" s="114" t="n">
        <v>3836.68</v>
      </c>
      <c r="G1695" s="114" t="inlineStr">
        <is>
          <t>Investments</t>
        </is>
      </c>
      <c r="H1695" s="114" t="inlineStr">
        <is>
          <t>FEDERAL 0847</t>
        </is>
      </c>
    </row>
    <row r="1696">
      <c r="A1696" s="113" t="n">
        <v>45343</v>
      </c>
      <c r="B1696" s="114" t="inlineStr">
        <is>
          <t>NFT/NEOSIEXEDDD2024022102305208166 Mirae
Asset Mut</t>
        </is>
      </c>
      <c r="C1696" s="114" t="inlineStr"/>
      <c r="D1696" s="114" t="n">
        <v>1000</v>
      </c>
      <c r="E1696" s="114" t="n">
        <v>0</v>
      </c>
      <c r="F1696" s="114" t="n">
        <v>4836.68</v>
      </c>
      <c r="G1696" s="114" t="inlineStr">
        <is>
          <t>Investments</t>
        </is>
      </c>
      <c r="H1696" s="114" t="inlineStr">
        <is>
          <t>FEDERAL 0847</t>
        </is>
      </c>
    </row>
    <row r="1697">
      <c r="A1697" s="113" t="n">
        <v>45343</v>
      </c>
      <c r="B1697" s="114" t="inlineStr">
        <is>
          <t>NET PO FROM HSL A/C 2554606-50200085415108</t>
        </is>
      </c>
      <c r="C1697" s="114" t="inlineStr">
        <is>
          <t>0000000496947747</t>
        </is>
      </c>
      <c r="D1697" s="114" t="n">
        <v>0</v>
      </c>
      <c r="E1697" s="114" t="n">
        <v>1837.18</v>
      </c>
      <c r="F1697" s="114" t="n">
        <v>115607.39</v>
      </c>
      <c r="G1697" s="114" t="inlineStr">
        <is>
          <t>HDFC Securities</t>
        </is>
      </c>
      <c r="H1697" s="114" t="inlineStr">
        <is>
          <t>HDFC 5413</t>
        </is>
      </c>
    </row>
    <row r="1698">
      <c r="A1698" s="113" t="n">
        <v>45343</v>
      </c>
      <c r="B1698" s="114" t="inlineStr">
        <is>
          <t>UPIOUT/405298398123/Q780515718@ybl/Sent
via /5814</t>
        </is>
      </c>
      <c r="C1698" s="114" t="inlineStr"/>
      <c r="D1698" s="114" t="n">
        <v>40</v>
      </c>
      <c r="E1698" s="114" t="n">
        <v>0</v>
      </c>
      <c r="F1698" s="114" t="n">
        <v>3796.68</v>
      </c>
      <c r="G1698" s="114" t="inlineStr">
        <is>
          <t>Personal</t>
        </is>
      </c>
      <c r="H1698" s="114" t="inlineStr">
        <is>
          <t>FEDERAL 0847</t>
        </is>
      </c>
    </row>
    <row r="1699">
      <c r="A1699" s="113" t="n">
        <v>45343</v>
      </c>
      <c r="B1699" s="114" t="inlineStr">
        <is>
          <t>NET PI TO HSL SEC A/C 2554606-00602340029427</t>
        </is>
      </c>
      <c r="C1699" s="114" t="inlineStr">
        <is>
          <t>0000000497094621</t>
        </is>
      </c>
      <c r="D1699" s="114" t="n">
        <v>139.5</v>
      </c>
      <c r="E1699" s="114" t="n">
        <v>0</v>
      </c>
      <c r="F1699" s="114" t="n">
        <v>115467.89</v>
      </c>
      <c r="G1699" s="114" t="inlineStr">
        <is>
          <t>HDFC Securities</t>
        </is>
      </c>
      <c r="H1699" s="114" t="inlineStr">
        <is>
          <t>HDFC 5413</t>
        </is>
      </c>
    </row>
    <row r="1700">
      <c r="A1700" s="113" t="n">
        <v>45344</v>
      </c>
      <c r="B1700" s="114" t="inlineStr">
        <is>
          <t>NET PI TO HSL SEC A/C 2554606-00602340029427</t>
        </is>
      </c>
      <c r="C1700" s="114" t="inlineStr">
        <is>
          <t>0000000497547067</t>
        </is>
      </c>
      <c r="D1700" s="114" t="n">
        <v>139.38</v>
      </c>
      <c r="E1700" s="114" t="n">
        <v>0</v>
      </c>
      <c r="F1700" s="114" t="n">
        <v>113145.21</v>
      </c>
      <c r="G1700" s="114" t="inlineStr">
        <is>
          <t>HDFC Securities</t>
        </is>
      </c>
      <c r="H1700" s="114" t="inlineStr">
        <is>
          <t>HDFC 5413</t>
        </is>
      </c>
    </row>
    <row r="1701">
      <c r="A1701" s="113" t="n">
        <v>45344</v>
      </c>
      <c r="B1701" s="114" t="inlineStr">
        <is>
          <t>ACH C- KPIT TECHNOLOGIES-3082623</t>
        </is>
      </c>
      <c r="C1701" s="114" t="inlineStr">
        <is>
          <t>0000000655901329</t>
        </is>
      </c>
      <c r="D1701" s="114" t="n">
        <v>0</v>
      </c>
      <c r="E1701" s="114" t="n">
        <v>52.5</v>
      </c>
      <c r="F1701" s="114" t="n">
        <v>113197.71</v>
      </c>
      <c r="G1701" s="114" t="inlineStr">
        <is>
          <t>Dividend Income</t>
        </is>
      </c>
      <c r="H1701" s="114" t="inlineStr">
        <is>
          <t>HDFC 5413</t>
        </is>
      </c>
    </row>
    <row r="1702">
      <c r="A1702" s="113" t="n">
        <v>45344</v>
      </c>
      <c r="B1702" s="114" t="inlineStr">
        <is>
          <t>NET PI TO HSL SEC A/C 2554606-00602340029427</t>
        </is>
      </c>
      <c r="C1702" s="114" t="inlineStr">
        <is>
          <t>0000000497698271</t>
        </is>
      </c>
      <c r="D1702" s="114" t="n">
        <v>23164.73</v>
      </c>
      <c r="E1702" s="114" t="n">
        <v>0</v>
      </c>
      <c r="F1702" s="114" t="n">
        <v>90032.98</v>
      </c>
      <c r="G1702" s="114" t="inlineStr">
        <is>
          <t>HDFC Securities</t>
        </is>
      </c>
      <c r="H1702" s="114" t="inlineStr">
        <is>
          <t>HDFC 5413</t>
        </is>
      </c>
    </row>
    <row r="1703">
      <c r="A1703" s="113" t="n">
        <v>45345</v>
      </c>
      <c r="B1703" s="114" t="inlineStr">
        <is>
          <t>UPIOUT/405415996623/Q818010939@ybl/Sent
via /5411</t>
        </is>
      </c>
      <c r="C1703" s="114" t="inlineStr"/>
      <c r="D1703" s="114" t="n">
        <v>40</v>
      </c>
      <c r="E1703" s="114" t="n">
        <v>0</v>
      </c>
      <c r="F1703" s="114" t="n">
        <v>3706.68</v>
      </c>
      <c r="G1703" s="114" t="inlineStr">
        <is>
          <t>Personal</t>
        </is>
      </c>
      <c r="H1703" s="114" t="inlineStr">
        <is>
          <t>FEDERAL 0847</t>
        </is>
      </c>
    </row>
    <row r="1704">
      <c r="A1704" s="113" t="n">
        <v>45345</v>
      </c>
      <c r="B1704" s="114" t="inlineStr">
        <is>
          <t>UPIOUT/405418593746/Q463323667@ybl/Sent
via /5812</t>
        </is>
      </c>
      <c r="C1704" s="114" t="inlineStr"/>
      <c r="D1704" s="114" t="n">
        <v>40</v>
      </c>
      <c r="E1704" s="114" t="n">
        <v>0</v>
      </c>
      <c r="F1704" s="114" t="n">
        <v>3666.68</v>
      </c>
      <c r="G1704" s="114" t="inlineStr">
        <is>
          <t>Personal</t>
        </is>
      </c>
      <c r="H1704" s="114" t="inlineStr">
        <is>
          <t>FEDERAL 0847</t>
        </is>
      </c>
    </row>
    <row r="1705">
      <c r="A1705" s="113" t="n">
        <v>45345</v>
      </c>
      <c r="B1705" s="114" t="inlineStr">
        <is>
          <t>NET PI TO HSL SEC A/C 2554606-00602340029427</t>
        </is>
      </c>
      <c r="C1705" s="114" t="inlineStr">
        <is>
          <t>0000000497967778</t>
        </is>
      </c>
      <c r="D1705" s="114" t="n">
        <v>131.13</v>
      </c>
      <c r="E1705" s="114" t="n">
        <v>0</v>
      </c>
      <c r="F1705" s="114" t="n">
        <v>89901.85000000001</v>
      </c>
      <c r="G1705" s="114" t="inlineStr">
        <is>
          <t>HDFC Securities</t>
        </is>
      </c>
      <c r="H1705" s="114" t="inlineStr">
        <is>
          <t>HDFC 5413</t>
        </is>
      </c>
    </row>
    <row r="1706">
      <c r="A1706" s="113" t="n">
        <v>45345</v>
      </c>
      <c r="B1706" s="114" t="inlineStr">
        <is>
          <t>NET PO FROM HSL A/C 2554606-50200085415108</t>
        </is>
      </c>
      <c r="C1706" s="114" t="inlineStr">
        <is>
          <t>0000000498129815</t>
        </is>
      </c>
      <c r="D1706" s="114" t="n">
        <v>0</v>
      </c>
      <c r="E1706" s="114" t="n">
        <v>14593.32</v>
      </c>
      <c r="F1706" s="114" t="n">
        <v>104495.17</v>
      </c>
      <c r="G1706" s="114" t="inlineStr">
        <is>
          <t>HDFC Securities</t>
        </is>
      </c>
      <c r="H1706" s="114" t="inlineStr">
        <is>
          <t>HDFC 5413</t>
        </is>
      </c>
    </row>
    <row r="1707">
      <c r="A1707" s="113" t="n">
        <v>45347</v>
      </c>
      <c r="B1707" s="114" t="inlineStr">
        <is>
          <t>NFT/NEOSIEXEDDD2024022502153984272 Nippon
India Mu</t>
        </is>
      </c>
      <c r="C1707" s="114" t="inlineStr"/>
      <c r="D1707" s="114" t="n">
        <v>2000</v>
      </c>
      <c r="E1707" s="114" t="n">
        <v>0</v>
      </c>
      <c r="F1707" s="114" t="n">
        <v>1666.68</v>
      </c>
      <c r="G1707" s="114" t="inlineStr">
        <is>
          <t>Investments</t>
        </is>
      </c>
      <c r="H1707" s="114" t="inlineStr">
        <is>
          <t>FEDERAL 0847</t>
        </is>
      </c>
    </row>
    <row r="1708">
      <c r="A1708" s="113" t="n">
        <v>45348</v>
      </c>
      <c r="B1708" s="114" t="inlineStr">
        <is>
          <t>NET PO FROM HSL A/C 2554606-50200085415108</t>
        </is>
      </c>
      <c r="C1708" s="114" t="inlineStr">
        <is>
          <t>0000000498288634</t>
        </is>
      </c>
      <c r="D1708" s="114" t="n">
        <v>0</v>
      </c>
      <c r="E1708" s="114" t="n">
        <v>7777.98</v>
      </c>
      <c r="F1708" s="114" t="n">
        <v>112273.15</v>
      </c>
      <c r="G1708" s="114" t="inlineStr">
        <is>
          <t>HDFC Securities</t>
        </is>
      </c>
      <c r="H1708" s="114" t="inlineStr">
        <is>
          <t>HDFC 5413</t>
        </is>
      </c>
    </row>
    <row r="1709">
      <c r="A1709" s="113" t="n">
        <v>45348</v>
      </c>
      <c r="B1709" s="114" t="inlineStr">
        <is>
          <t>NET PI TO HSL SEC A/C 2554606-00602340029427</t>
        </is>
      </c>
      <c r="C1709" s="114" t="inlineStr">
        <is>
          <t>0000000498610490</t>
        </is>
      </c>
      <c r="D1709" s="114" t="n">
        <v>8031.85</v>
      </c>
      <c r="E1709" s="114" t="n">
        <v>0</v>
      </c>
      <c r="F1709" s="114" t="n">
        <v>104241.3</v>
      </c>
      <c r="G1709" s="114" t="inlineStr">
        <is>
          <t>HDFC Securities</t>
        </is>
      </c>
      <c r="H1709" s="114" t="inlineStr">
        <is>
          <t>HDFC 5413</t>
        </is>
      </c>
    </row>
    <row r="1710">
      <c r="A1710" s="113" t="n">
        <v>45349</v>
      </c>
      <c r="B1710" s="114" t="inlineStr">
        <is>
          <t>UPIOUT/405840117409/Q463323667@ybl/Sent
via /5812</t>
        </is>
      </c>
      <c r="C1710" s="114" t="inlineStr"/>
      <c r="D1710" s="114" t="n">
        <v>80</v>
      </c>
      <c r="E1710" s="114" t="n">
        <v>0</v>
      </c>
      <c r="F1710" s="114" t="n">
        <v>1586.68</v>
      </c>
      <c r="G1710" s="114" t="inlineStr">
        <is>
          <t>Personal</t>
        </is>
      </c>
      <c r="H1710" s="114" t="inlineStr">
        <is>
          <t>FEDERAL 0847</t>
        </is>
      </c>
    </row>
    <row r="1711">
      <c r="A1711" s="113" t="n">
        <v>45349</v>
      </c>
      <c r="B1711" s="114" t="inlineStr">
        <is>
          <t>NET PI TO HSL SEC A/C 2554606-00602340029427</t>
        </is>
      </c>
      <c r="C1711" s="114" t="inlineStr">
        <is>
          <t>0000000499065614</t>
        </is>
      </c>
      <c r="D1711" s="114" t="n">
        <v>16855.75</v>
      </c>
      <c r="E1711" s="114" t="n">
        <v>0</v>
      </c>
      <c r="F1711" s="114" t="n">
        <v>113295.98</v>
      </c>
      <c r="G1711" s="114" t="inlineStr">
        <is>
          <t>HDFC Securities</t>
        </is>
      </c>
      <c r="H1711" s="114" t="inlineStr">
        <is>
          <t>HDFC 5413</t>
        </is>
      </c>
    </row>
    <row r="1712">
      <c r="A1712" s="113" t="n">
        <v>45349</v>
      </c>
      <c r="B1712" s="114" t="inlineStr">
        <is>
          <t>ACH C- TRIVENI TURBINE LTD-74163</t>
        </is>
      </c>
      <c r="C1712" s="114" t="inlineStr">
        <is>
          <t>0000000842938654</t>
        </is>
      </c>
      <c r="D1712" s="114" t="n">
        <v>0</v>
      </c>
      <c r="E1712" s="114" t="n">
        <v>230</v>
      </c>
      <c r="F1712" s="114" t="n">
        <v>130151.73</v>
      </c>
      <c r="G1712" s="114" t="inlineStr">
        <is>
          <t>Dividend Income</t>
        </is>
      </c>
      <c r="H1712" s="114" t="inlineStr">
        <is>
          <t>HDFC 5413</t>
        </is>
      </c>
    </row>
    <row r="1713">
      <c r="A1713" s="113" t="n">
        <v>45349</v>
      </c>
      <c r="B1713" s="114" t="inlineStr">
        <is>
          <t>NET PI TO HSL SEC A/C 2554606-00602340029427</t>
        </is>
      </c>
      <c r="C1713" s="114" t="inlineStr">
        <is>
          <t>0000000498869823</t>
        </is>
      </c>
      <c r="D1713" s="114" t="n">
        <v>138.19</v>
      </c>
      <c r="E1713" s="114" t="n">
        <v>0</v>
      </c>
      <c r="F1713" s="114" t="n">
        <v>129921.73</v>
      </c>
      <c r="G1713" s="114" t="inlineStr">
        <is>
          <t>HDFC Securities</t>
        </is>
      </c>
      <c r="H1713" s="114" t="inlineStr">
        <is>
          <t>HDFC 5413</t>
        </is>
      </c>
    </row>
    <row r="1714">
      <c r="A1714" s="113" t="n">
        <v>45349</v>
      </c>
      <c r="B1714" s="114" t="inlineStr">
        <is>
          <t>NET PO FROM HSL A/C 2554606-50200085415108</t>
        </is>
      </c>
      <c r="C1714" s="114" t="inlineStr">
        <is>
          <t>0000000498762344</t>
        </is>
      </c>
      <c r="D1714" s="114" t="n">
        <v>0</v>
      </c>
      <c r="E1714" s="114" t="n">
        <v>25818.62</v>
      </c>
      <c r="F1714" s="114" t="n">
        <v>130059.92</v>
      </c>
      <c r="G1714" s="114" t="inlineStr">
        <is>
          <t>HDFC Securities</t>
        </is>
      </c>
      <c r="H1714" s="114" t="inlineStr">
        <is>
          <t>HDFC 5413</t>
        </is>
      </c>
    </row>
    <row r="1715">
      <c r="A1715" s="113" t="n">
        <v>45350</v>
      </c>
      <c r="B1715" s="114" t="inlineStr">
        <is>
          <t>UPIOUT/405946179434/Q520292571@ybl/Sent
via /5814</t>
        </is>
      </c>
      <c r="C1715" s="114" t="inlineStr"/>
      <c r="D1715" s="114" t="n">
        <v>40</v>
      </c>
      <c r="E1715" s="114" t="n">
        <v>0</v>
      </c>
      <c r="F1715" s="114" t="n">
        <v>1516.68</v>
      </c>
      <c r="G1715" s="114" t="inlineStr">
        <is>
          <t>Personal</t>
        </is>
      </c>
      <c r="H1715" s="114" t="inlineStr">
        <is>
          <t>FEDERAL 0847</t>
        </is>
      </c>
    </row>
    <row r="1716">
      <c r="A1716" s="113" t="n">
        <v>45350</v>
      </c>
      <c r="B1716" s="114" t="inlineStr">
        <is>
          <t>NET PI TO HSL SEC A/C 2554606-00602340029427</t>
        </is>
      </c>
      <c r="C1716" s="114" t="inlineStr">
        <is>
          <t>0000000499533589</t>
        </is>
      </c>
      <c r="D1716" s="114" t="n">
        <v>49984.6</v>
      </c>
      <c r="E1716" s="114" t="n">
        <v>0</v>
      </c>
      <c r="F1716" s="114" t="n">
        <v>103548.3</v>
      </c>
      <c r="G1716" s="114" t="inlineStr">
        <is>
          <t>HDFC Securities</t>
        </is>
      </c>
      <c r="H1716" s="114" t="inlineStr">
        <is>
          <t>HDFC 5413</t>
        </is>
      </c>
    </row>
    <row r="1717">
      <c r="A1717" s="113" t="n">
        <v>45350</v>
      </c>
      <c r="B1717" s="114" t="inlineStr">
        <is>
          <t>NET PI TO HSL SEC A/C 2554606-00602340029427</t>
        </is>
      </c>
      <c r="C1717" s="114" t="inlineStr">
        <is>
          <t>0000000499344364</t>
        </is>
      </c>
      <c r="D1717" s="114" t="n">
        <v>140.76</v>
      </c>
      <c r="E1717" s="114" t="n">
        <v>0</v>
      </c>
      <c r="F1717" s="114" t="n">
        <v>153532.9</v>
      </c>
      <c r="G1717" s="114" t="inlineStr">
        <is>
          <t>HDFC Securities</t>
        </is>
      </c>
      <c r="H1717" s="114" t="inlineStr">
        <is>
          <t>HDFC 5413</t>
        </is>
      </c>
    </row>
    <row r="1718">
      <c r="A1718" s="113" t="n">
        <v>45350</v>
      </c>
      <c r="B1718" s="114" t="inlineStr">
        <is>
          <t>ACH D- TP ACH INDIANESIGN-1374175425</t>
        </is>
      </c>
      <c r="C1718" s="114" t="inlineStr">
        <is>
          <t>0000000875682587</t>
        </is>
      </c>
      <c r="D1718" s="114" t="n">
        <v>5000</v>
      </c>
      <c r="E1718" s="114" t="n">
        <v>0</v>
      </c>
      <c r="F1718" s="114" t="n">
        <v>153673.66</v>
      </c>
      <c r="G1718" s="114" t="inlineStr">
        <is>
          <t>SIP</t>
        </is>
      </c>
      <c r="H1718" s="114" t="inlineStr">
        <is>
          <t>HDFC 5413</t>
        </is>
      </c>
    </row>
    <row r="1719">
      <c r="A1719" s="113" t="n">
        <v>45350</v>
      </c>
      <c r="B1719" s="114" t="inlineStr">
        <is>
          <t>NET PO FROM HSL A/C 2554606-50200085415108</t>
        </is>
      </c>
      <c r="C1719" s="114" t="inlineStr">
        <is>
          <t>0000000499203961</t>
        </is>
      </c>
      <c r="D1719" s="114" t="n">
        <v>0</v>
      </c>
      <c r="E1719" s="114" t="n">
        <v>45377.68</v>
      </c>
      <c r="F1719" s="114" t="n">
        <v>158673.66</v>
      </c>
      <c r="G1719" s="114" t="inlineStr">
        <is>
          <t>HDFC Securities</t>
        </is>
      </c>
      <c r="H1719" s="114" t="inlineStr">
        <is>
          <t>HDFC 5413</t>
        </is>
      </c>
    </row>
    <row r="1720">
      <c r="A1720" s="113" t="n">
        <v>45350</v>
      </c>
      <c r="B1720" s="114" t="inlineStr">
        <is>
          <t>UPIOUT/405945947150/swapnil.kandale@okicic
i//0000</t>
        </is>
      </c>
      <c r="C1720" s="114" t="inlineStr"/>
      <c r="D1720" s="114" t="n">
        <v>30</v>
      </c>
      <c r="E1720" s="114" t="n">
        <v>0</v>
      </c>
      <c r="F1720" s="114" t="n">
        <v>1556.68</v>
      </c>
      <c r="G1720" s="114" t="inlineStr">
        <is>
          <t>Personal</t>
        </is>
      </c>
      <c r="H1720" s="114" t="inlineStr">
        <is>
          <t>FEDERAL 0847</t>
        </is>
      </c>
    </row>
    <row r="1721">
      <c r="A1721" s="113" t="n">
        <v>45350</v>
      </c>
      <c r="B1721" s="114" t="inlineStr">
        <is>
          <t>UPIOUT/405946262554/Q463323667@ybl/Sent
via /5812</t>
        </is>
      </c>
      <c r="C1721" s="114" t="inlineStr"/>
      <c r="D1721" s="114" t="n">
        <v>50</v>
      </c>
      <c r="E1721" s="114" t="n">
        <v>0</v>
      </c>
      <c r="F1721" s="114" t="n">
        <v>1466.68</v>
      </c>
      <c r="G1721" s="114" t="inlineStr">
        <is>
          <t>Personal</t>
        </is>
      </c>
      <c r="H1721" s="114" t="inlineStr">
        <is>
          <t>FEDERAL 0847</t>
        </is>
      </c>
    </row>
    <row r="1722">
      <c r="A1722" s="113" t="n">
        <v>45351</v>
      </c>
      <c r="B1722" s="114" t="inlineStr">
        <is>
          <t>01671000085930-TPT-BORROW FROM AKG-AJAY KUMAR GUPTA</t>
        </is>
      </c>
      <c r="C1722" s="114" t="inlineStr">
        <is>
          <t>0000000458916628</t>
        </is>
      </c>
      <c r="D1722" s="114" t="n">
        <v>0</v>
      </c>
      <c r="E1722" s="114" t="n">
        <v>50000</v>
      </c>
      <c r="F1722" s="114" t="n">
        <v>148488.35</v>
      </c>
      <c r="G1722" s="114" t="inlineStr">
        <is>
          <t>Ajay Gupta</t>
        </is>
      </c>
      <c r="H1722" s="114" t="inlineStr">
        <is>
          <t>HDFC 5413</t>
        </is>
      </c>
    </row>
    <row r="1723">
      <c r="A1723" s="113" t="n">
        <v>45351</v>
      </c>
      <c r="B1723" s="114" t="inlineStr">
        <is>
          <t>ACH C- POWER FINANCE CORPOR-12924441</t>
        </is>
      </c>
      <c r="C1723" s="114" t="inlineStr">
        <is>
          <t>0000000925613897</t>
        </is>
      </c>
      <c r="D1723" s="114" t="n">
        <v>0</v>
      </c>
      <c r="E1723" s="114" t="n">
        <v>63</v>
      </c>
      <c r="F1723" s="114" t="n">
        <v>98488.35000000001</v>
      </c>
      <c r="G1723" s="114" t="inlineStr">
        <is>
          <t>Dividend Income</t>
        </is>
      </c>
      <c r="H1723" s="114" t="inlineStr">
        <is>
          <t>HDFC 5413</t>
        </is>
      </c>
    </row>
    <row r="1724">
      <c r="A1724" s="113" t="n">
        <v>45351</v>
      </c>
      <c r="B1724" s="114" t="inlineStr">
        <is>
          <t>NET PI TO HSL SEC A/C 2554606-00602340029427</t>
        </is>
      </c>
      <c r="C1724" s="114" t="inlineStr">
        <is>
          <t>0000000499809526</t>
        </is>
      </c>
      <c r="D1724" s="114" t="n">
        <v>122.95</v>
      </c>
      <c r="E1724" s="114" t="n">
        <v>0</v>
      </c>
      <c r="F1724" s="114" t="n">
        <v>98425.35000000001</v>
      </c>
      <c r="G1724" s="114" t="inlineStr">
        <is>
          <t>HDFC Securities</t>
        </is>
      </c>
      <c r="H1724" s="114" t="inlineStr">
        <is>
          <t>HDFC 5413</t>
        </is>
      </c>
    </row>
    <row r="1725">
      <c r="A1725" s="113" t="n">
        <v>45351</v>
      </c>
      <c r="B1725" s="114" t="inlineStr">
        <is>
          <t>ACH D- TP ACH INDIANESIGN-1374583428</t>
        </is>
      </c>
      <c r="C1725" s="114" t="inlineStr">
        <is>
          <t>0000000917555035</t>
        </is>
      </c>
      <c r="D1725" s="114" t="n">
        <v>5000</v>
      </c>
      <c r="E1725" s="114" t="n">
        <v>0</v>
      </c>
      <c r="F1725" s="114" t="n">
        <v>98548.3</v>
      </c>
      <c r="G1725" s="114" t="inlineStr">
        <is>
          <t>SIP</t>
        </is>
      </c>
      <c r="H1725" s="114" t="inlineStr">
        <is>
          <t>HDFC 5413</t>
        </is>
      </c>
    </row>
    <row r="1726">
      <c r="A1726" s="113" t="n">
        <v>45351</v>
      </c>
      <c r="B1726" s="114" t="inlineStr">
        <is>
          <t>UPIOUT/406055344328/9398132619@paytm/Sent
vi/0000</t>
        </is>
      </c>
      <c r="C1726" s="114" t="inlineStr"/>
      <c r="D1726" s="114" t="n">
        <v>140</v>
      </c>
      <c r="E1726" s="114" t="n">
        <v>0</v>
      </c>
      <c r="F1726" s="114" t="n">
        <v>1176.68</v>
      </c>
      <c r="G1726" s="114" t="inlineStr">
        <is>
          <t>Personal</t>
        </is>
      </c>
      <c r="H1726" s="114" t="inlineStr">
        <is>
          <t>FEDERAL 0847</t>
        </is>
      </c>
    </row>
    <row r="1727">
      <c r="A1727" s="113" t="n">
        <v>45351</v>
      </c>
      <c r="B1727" s="114" t="inlineStr">
        <is>
          <t>UPIOUT/406082073212/raisunilkumar882@okici
ci/0000</t>
        </is>
      </c>
      <c r="C1727" s="114" t="inlineStr"/>
      <c r="D1727" s="114" t="n">
        <v>150</v>
      </c>
      <c r="E1727" s="114" t="n">
        <v>0</v>
      </c>
      <c r="F1727" s="114" t="n">
        <v>1316.68</v>
      </c>
      <c r="G1727" s="114" t="inlineStr">
        <is>
          <t>Personal</t>
        </is>
      </c>
      <c r="H1727" s="114" t="inlineStr">
        <is>
          <t>FEDERAL 0847</t>
        </is>
      </c>
    </row>
    <row r="1728">
      <c r="A1728" s="113" t="n">
        <v>45351</v>
      </c>
      <c r="B1728" s="114" t="inlineStr">
        <is>
          <t>UPIOUT/406055960109/praveenkumar.goud1@ybl
/S/0000</t>
        </is>
      </c>
      <c r="C1728" s="114" t="inlineStr"/>
      <c r="D1728" s="114" t="n">
        <v>100</v>
      </c>
      <c r="E1728" s="114" t="n">
        <v>0</v>
      </c>
      <c r="F1728" s="114" t="n">
        <v>1036.68</v>
      </c>
      <c r="G1728" s="114" t="inlineStr">
        <is>
          <t>Personal</t>
        </is>
      </c>
      <c r="H1728" s="114" t="inlineStr">
        <is>
          <t>FEDERAL 0847</t>
        </is>
      </c>
    </row>
    <row r="1729">
      <c r="A1729" s="113" t="n">
        <v>45351</v>
      </c>
      <c r="B1729" s="114" t="inlineStr">
        <is>
          <t>UPIOUT/406055979570/Q620964543@ybl/Sent
via /5814</t>
        </is>
      </c>
      <c r="C1729" s="114" t="inlineStr"/>
      <c r="D1729" s="114" t="n">
        <v>85</v>
      </c>
      <c r="E1729" s="114" t="n">
        <v>0</v>
      </c>
      <c r="F1729" s="114" t="n">
        <v>951.6799999999999</v>
      </c>
      <c r="G1729" s="114" t="inlineStr">
        <is>
          <t>Personal</t>
        </is>
      </c>
      <c r="H1729" s="114" t="inlineStr">
        <is>
          <t>FEDERAL 0847</t>
        </is>
      </c>
    </row>
    <row r="1730">
      <c r="A1730" s="113" t="n">
        <v>45351</v>
      </c>
      <c r="B1730" s="114" t="inlineStr">
        <is>
          <t>UPIOUT/406056320300/Q463323667@ybl/Sent
via /5812</t>
        </is>
      </c>
      <c r="C1730" s="114" t="inlineStr"/>
      <c r="D1730" s="114" t="n">
        <v>80</v>
      </c>
      <c r="E1730" s="114" t="n">
        <v>0</v>
      </c>
      <c r="F1730" s="114" t="n">
        <v>871.6799999999999</v>
      </c>
      <c r="G1730" s="114" t="inlineStr">
        <is>
          <t>Personal</t>
        </is>
      </c>
      <c r="H1730" s="114" t="inlineStr">
        <is>
          <t>FEDERAL 0847</t>
        </is>
      </c>
    </row>
    <row r="1731">
      <c r="A1731" s="113" t="n">
        <v>45351</v>
      </c>
      <c r="B1731" s="114" t="inlineStr">
        <is>
          <t>UPIOUT/406055630229/gpay-11242430272@okbiz
ax/4121</t>
        </is>
      </c>
      <c r="C1731" s="114" t="inlineStr"/>
      <c r="D1731" s="114" t="n">
        <v>40</v>
      </c>
      <c r="E1731" s="114" t="n">
        <v>0</v>
      </c>
      <c r="F1731" s="114" t="n">
        <v>1136.68</v>
      </c>
      <c r="G1731" s="114" t="inlineStr">
        <is>
          <t>Personal</t>
        </is>
      </c>
      <c r="H1731" s="114" t="inlineStr">
        <is>
          <t>FEDERAL 0847</t>
        </is>
      </c>
    </row>
    <row r="1732">
      <c r="A1732" s="113" t="n">
        <v>45352</v>
      </c>
      <c r="B1732" s="114" t="inlineStr">
        <is>
          <t>NET PI TO HSL SEC A/C 2554606-00602340029427</t>
        </is>
      </c>
      <c r="C1732" s="114" t="inlineStr">
        <is>
          <t>0000000500326156</t>
        </is>
      </c>
      <c r="D1732" s="114" t="n">
        <v>122.95</v>
      </c>
      <c r="E1732" s="114" t="n">
        <v>0</v>
      </c>
      <c r="F1732" s="114" t="n">
        <v>197830</v>
      </c>
      <c r="G1732" s="114" t="inlineStr">
        <is>
          <t>HDFC Securities</t>
        </is>
      </c>
      <c r="H1732" s="114" t="inlineStr">
        <is>
          <t>HDFC 5413</t>
        </is>
      </c>
    </row>
    <row r="1733">
      <c r="A1733" s="113" t="n">
        <v>45352</v>
      </c>
      <c r="B1733" s="114" t="inlineStr">
        <is>
          <t>NET PO FROM HSL A/C 2554606-50200085415108</t>
        </is>
      </c>
      <c r="C1733" s="114" t="inlineStr">
        <is>
          <t>0000000500141677</t>
        </is>
      </c>
      <c r="D1733" s="114" t="n">
        <v>0</v>
      </c>
      <c r="E1733" s="114" t="n">
        <v>36237.34</v>
      </c>
      <c r="F1733" s="114" t="n">
        <v>197952.95</v>
      </c>
      <c r="G1733" s="114" t="inlineStr">
        <is>
          <t>HDFC Securities</t>
        </is>
      </c>
      <c r="H1733" s="114" t="inlineStr">
        <is>
          <t>HDFC 5413</t>
        </is>
      </c>
    </row>
    <row r="1734">
      <c r="A1734" s="113" t="n">
        <v>45352</v>
      </c>
      <c r="B1734" s="114" t="inlineStr">
        <is>
          <t>NET PO FROM HSL A/C 2554606-50200085415108</t>
        </is>
      </c>
      <c r="C1734" s="114" t="inlineStr">
        <is>
          <t>0000000500118242</t>
        </is>
      </c>
      <c r="D1734" s="114" t="n">
        <v>0</v>
      </c>
      <c r="E1734" s="114" t="n">
        <v>13227.26</v>
      </c>
      <c r="F1734" s="114" t="n">
        <v>161715.61</v>
      </c>
      <c r="G1734" s="114" t="inlineStr">
        <is>
          <t>HDFC Securities</t>
        </is>
      </c>
      <c r="H1734" s="114" t="inlineStr">
        <is>
          <t>HDFC 5413</t>
        </is>
      </c>
    </row>
    <row r="1735">
      <c r="A1735" s="113" t="n">
        <v>45352</v>
      </c>
      <c r="B1735" s="114" t="inlineStr">
        <is>
          <t>UPIOUT/406166020242/paytmqr19isap9s8r@payt
m//5812</t>
        </is>
      </c>
      <c r="C1735" s="114" t="inlineStr"/>
      <c r="D1735" s="114" t="n">
        <v>746</v>
      </c>
      <c r="E1735" s="114" t="n">
        <v>0</v>
      </c>
      <c r="F1735" s="114" t="n">
        <v>20939.68</v>
      </c>
      <c r="G1735" s="114" t="inlineStr">
        <is>
          <t>Personal</t>
        </is>
      </c>
      <c r="H1735" s="114" t="inlineStr">
        <is>
          <t>FEDERAL 0847</t>
        </is>
      </c>
    </row>
    <row r="1736">
      <c r="A1736" s="113" t="n">
        <v>45352</v>
      </c>
      <c r="B1736" s="114" t="inlineStr">
        <is>
          <t>UPIOUT/406164839909/Q923022406@ybl/Sent
via /5814</t>
        </is>
      </c>
      <c r="C1736" s="114" t="inlineStr"/>
      <c r="D1736" s="114" t="n">
        <v>100</v>
      </c>
      <c r="E1736" s="114" t="n">
        <v>0</v>
      </c>
      <c r="F1736" s="114" t="n">
        <v>21685.68</v>
      </c>
      <c r="G1736" s="114" t="inlineStr">
        <is>
          <t>Personal</t>
        </is>
      </c>
      <c r="H1736" s="114" t="inlineStr">
        <is>
          <t>FEDERAL 0847</t>
        </is>
      </c>
    </row>
    <row r="1737">
      <c r="A1737" s="113" t="n">
        <v>45352</v>
      </c>
      <c r="B1737" s="114" t="inlineStr">
        <is>
          <t>UPIOUT/406164819034/Q241229658@ybl/Sent
via /5411</t>
        </is>
      </c>
      <c r="C1737" s="114" t="inlineStr"/>
      <c r="D1737" s="114" t="n">
        <v>1240</v>
      </c>
      <c r="E1737" s="114" t="n">
        <v>0</v>
      </c>
      <c r="F1737" s="114" t="n">
        <v>21785.68</v>
      </c>
      <c r="G1737" s="114" t="inlineStr">
        <is>
          <t>Personal</t>
        </is>
      </c>
      <c r="H1737" s="114" t="inlineStr">
        <is>
          <t>FEDERAL 0847</t>
        </is>
      </c>
    </row>
    <row r="1738">
      <c r="A1738" s="113" t="n">
        <v>45352</v>
      </c>
      <c r="B1738" s="114" t="inlineStr">
        <is>
          <t>NFT/DR REDDYS LABOR/CITIN24432370705/CITI</t>
        </is>
      </c>
      <c r="C1738" s="114" t="inlineStr"/>
      <c r="D1738" s="114" t="n">
        <v>0</v>
      </c>
      <c r="E1738" s="114" t="n">
        <v>22500</v>
      </c>
      <c r="F1738" s="114" t="n">
        <v>23225.68</v>
      </c>
      <c r="G1738" s="114" t="inlineStr">
        <is>
          <t>Suspense</t>
        </is>
      </c>
      <c r="H1738" s="114" t="inlineStr">
        <is>
          <t>FEDERAL 0847</t>
        </is>
      </c>
    </row>
    <row r="1739">
      <c r="A1739" s="113" t="n">
        <v>45352</v>
      </c>
      <c r="B1739" s="114" t="inlineStr">
        <is>
          <t>UPIOUT/406162435231/paytmqr19isap9s8r@payt
m//5812</t>
        </is>
      </c>
      <c r="C1739" s="114" t="inlineStr"/>
      <c r="D1739" s="114" t="n">
        <v>126</v>
      </c>
      <c r="E1739" s="114" t="n">
        <v>0</v>
      </c>
      <c r="F1739" s="114" t="n">
        <v>725.6799999999999</v>
      </c>
      <c r="G1739" s="114" t="inlineStr">
        <is>
          <t>Personal</t>
        </is>
      </c>
      <c r="H1739" s="114" t="inlineStr">
        <is>
          <t>FEDERAL 0847</t>
        </is>
      </c>
    </row>
    <row r="1740">
      <c r="A1740" s="113" t="n">
        <v>45352</v>
      </c>
      <c r="B1740" s="114" t="inlineStr">
        <is>
          <t>UPIOUT/406162282439/Q407907754@ybl/Sent
via /5812</t>
        </is>
      </c>
      <c r="C1740" s="114" t="inlineStr"/>
      <c r="D1740" s="114" t="n">
        <v>20</v>
      </c>
      <c r="E1740" s="114" t="n">
        <v>0</v>
      </c>
      <c r="F1740" s="114" t="n">
        <v>851.6799999999999</v>
      </c>
      <c r="G1740" s="114" t="inlineStr">
        <is>
          <t>Personal</t>
        </is>
      </c>
      <c r="H1740" s="114" t="inlineStr">
        <is>
          <t>FEDERAL 0847</t>
        </is>
      </c>
    </row>
    <row r="1741">
      <c r="A1741" s="113" t="n">
        <v>45352</v>
      </c>
      <c r="B1741" s="114" t="inlineStr">
        <is>
          <t>NET PO FROM HSL A/C 2554606-50200085415108</t>
        </is>
      </c>
      <c r="C1741" s="114" t="inlineStr">
        <is>
          <t>0000000500467386</t>
        </is>
      </c>
      <c r="D1741" s="114" t="n">
        <v>0</v>
      </c>
      <c r="E1741" s="114" t="n">
        <v>1807.09</v>
      </c>
      <c r="F1741" s="114" t="n">
        <v>199721.09</v>
      </c>
      <c r="G1741" s="114" t="inlineStr">
        <is>
          <t>HDFC Securities</t>
        </is>
      </c>
      <c r="H1741" s="114" t="inlineStr">
        <is>
          <t>HDFC 5413</t>
        </is>
      </c>
    </row>
    <row r="1742">
      <c r="A1742" s="113" t="n">
        <v>45352</v>
      </c>
      <c r="B1742" s="114" t="inlineStr">
        <is>
          <t>UPIOUT/406164001983/Q015480866@ybl/Sent
via /7230</t>
        </is>
      </c>
      <c r="C1742" s="114" t="inlineStr"/>
      <c r="D1742" s="114" t="n">
        <v>200</v>
      </c>
      <c r="E1742" s="114" t="n">
        <v>0</v>
      </c>
      <c r="F1742" s="114" t="n">
        <v>23025.68</v>
      </c>
      <c r="G1742" s="114" t="inlineStr">
        <is>
          <t>Personal</t>
        </is>
      </c>
      <c r="H1742" s="114" t="inlineStr">
        <is>
          <t>FEDERAL 0847</t>
        </is>
      </c>
    </row>
    <row r="1743">
      <c r="A1743" s="113" t="n">
        <v>45352</v>
      </c>
      <c r="B1743" s="114" t="inlineStr">
        <is>
          <t>ACH C- APOLLO HOSP.IDIV2024-AHLIN3015495</t>
        </is>
      </c>
      <c r="C1743" s="114" t="inlineStr">
        <is>
          <t>0000001103907062</t>
        </is>
      </c>
      <c r="D1743" s="114" t="n">
        <v>0</v>
      </c>
      <c r="E1743" s="114" t="n">
        <v>84</v>
      </c>
      <c r="F1743" s="114" t="n">
        <v>197914</v>
      </c>
      <c r="G1743" s="114" t="inlineStr">
        <is>
          <t>Dividend Income</t>
        </is>
      </c>
      <c r="H1743" s="114" t="inlineStr">
        <is>
          <t>HDFC 5413</t>
        </is>
      </c>
    </row>
    <row r="1744">
      <c r="A1744" s="113" t="n">
        <v>45353</v>
      </c>
      <c r="B1744" s="114" t="inlineStr">
        <is>
          <t>NET PI TO HSL SEC A/C 2554606-00602340029427</t>
        </is>
      </c>
      <c r="C1744" s="114" t="inlineStr">
        <is>
          <t>0000000500709716</t>
        </is>
      </c>
      <c r="D1744" s="114" t="n">
        <v>7149.85</v>
      </c>
      <c r="E1744" s="114" t="n">
        <v>0</v>
      </c>
      <c r="F1744" s="114" t="n">
        <v>132571.24</v>
      </c>
      <c r="G1744" s="114" t="inlineStr">
        <is>
          <t>HDFC Securities</t>
        </is>
      </c>
      <c r="H1744" s="114" t="inlineStr">
        <is>
          <t>HDFC 5413</t>
        </is>
      </c>
    </row>
    <row r="1745">
      <c r="A1745" s="113" t="n">
        <v>45353</v>
      </c>
      <c r="B1745" s="114" t="inlineStr">
        <is>
          <t>01671000085930-TPT-MONEY RETURNED TO AKG-AJAY KUMAR GUPTA</t>
        </is>
      </c>
      <c r="C1745" s="114" t="inlineStr">
        <is>
          <t>0000000871002262</t>
        </is>
      </c>
      <c r="D1745" s="114" t="n">
        <v>50000</v>
      </c>
      <c r="E1745" s="114" t="n">
        <v>0</v>
      </c>
      <c r="F1745" s="114" t="n">
        <v>149721.09</v>
      </c>
      <c r="G1745" s="114" t="inlineStr">
        <is>
          <t>Ajay Gupta</t>
        </is>
      </c>
      <c r="H1745" s="114" t="inlineStr">
        <is>
          <t>HDFC 5413</t>
        </is>
      </c>
    </row>
    <row r="1746">
      <c r="A1746" s="113" t="n">
        <v>45353</v>
      </c>
      <c r="B1746" s="114" t="inlineStr">
        <is>
          <t>UPIOUT/406267647856/paytmqr1v2gimch4w@payt
m//5411</t>
        </is>
      </c>
      <c r="C1746" s="114" t="inlineStr"/>
      <c r="D1746" s="114" t="n">
        <v>62</v>
      </c>
      <c r="E1746" s="114" t="n">
        <v>0</v>
      </c>
      <c r="F1746" s="114" t="n">
        <v>20166.68</v>
      </c>
      <c r="G1746" s="114" t="inlineStr">
        <is>
          <t>Personal</t>
        </is>
      </c>
      <c r="H1746" s="114" t="inlineStr">
        <is>
          <t>FEDERAL 0847</t>
        </is>
      </c>
    </row>
    <row r="1747">
      <c r="A1747" s="113" t="n">
        <v>45353</v>
      </c>
      <c r="B1747" s="114" t="inlineStr">
        <is>
          <t>01671000060094-TPT-MONEY RETURNED TO SUNITA-SUNITA GUPTA</t>
        </is>
      </c>
      <c r="C1747" s="114" t="inlineStr">
        <is>
          <t>0000000871245627</t>
        </is>
      </c>
      <c r="D1747" s="114" t="n">
        <v>10000</v>
      </c>
      <c r="E1747" s="114" t="n">
        <v>0</v>
      </c>
      <c r="F1747" s="114" t="n">
        <v>139721.09</v>
      </c>
      <c r="G1747" s="114" t="inlineStr">
        <is>
          <t>Sunita Gupta</t>
        </is>
      </c>
      <c r="H1747" s="114" t="inlineStr">
        <is>
          <t>HDFC 5413</t>
        </is>
      </c>
    </row>
    <row r="1748">
      <c r="A1748" s="113" t="n">
        <v>45353</v>
      </c>
      <c r="B1748" s="114" t="inlineStr">
        <is>
          <t>UPIOUT/406253592441/dmartready.42536023@hd
fc/5411</t>
        </is>
      </c>
      <c r="C1748" s="114" t="inlineStr"/>
      <c r="D1748" s="114" t="n">
        <v>699</v>
      </c>
      <c r="E1748" s="114" t="n">
        <v>0</v>
      </c>
      <c r="F1748" s="114" t="n">
        <v>20228.68</v>
      </c>
      <c r="G1748" s="114" t="inlineStr">
        <is>
          <t>Groceries</t>
        </is>
      </c>
      <c r="H1748" s="114" t="inlineStr">
        <is>
          <t>FEDERAL 0847</t>
        </is>
      </c>
    </row>
    <row r="1749">
      <c r="A1749" s="113" t="n">
        <v>45353</v>
      </c>
      <c r="B1749" s="114" t="inlineStr">
        <is>
          <t>UPIOUT/406255701422/q588259285@ybl/UPI/544
1</t>
        </is>
      </c>
      <c r="C1749" s="114" t="inlineStr"/>
      <c r="D1749" s="114" t="n">
        <v>578</v>
      </c>
      <c r="E1749" s="114" t="n">
        <v>0</v>
      </c>
      <c r="F1749" s="114" t="n">
        <v>19588.68</v>
      </c>
      <c r="G1749" s="114" t="inlineStr">
        <is>
          <t>Personal</t>
        </is>
      </c>
      <c r="H1749" s="114" t="inlineStr">
        <is>
          <t>FEDERAL 0847</t>
        </is>
      </c>
    </row>
    <row r="1750">
      <c r="A1750" s="113" t="n">
        <v>45353</v>
      </c>
      <c r="B1750" s="114" t="inlineStr">
        <is>
          <t>UPIOUT/406267376037/Q832428843@ybl/Sent
via /5814</t>
        </is>
      </c>
      <c r="C1750" s="114" t="inlineStr"/>
      <c r="D1750" s="114" t="n">
        <v>12</v>
      </c>
      <c r="E1750" s="114" t="n">
        <v>0</v>
      </c>
      <c r="F1750" s="114" t="n">
        <v>20927.68</v>
      </c>
      <c r="G1750" s="114" t="inlineStr">
        <is>
          <t>Personal</t>
        </is>
      </c>
      <c r="H1750" s="114" t="inlineStr">
        <is>
          <t>FEDERAL 0847</t>
        </is>
      </c>
    </row>
    <row r="1751">
      <c r="A1751" s="113" t="n">
        <v>45353</v>
      </c>
      <c r="B1751" s="114" t="inlineStr">
        <is>
          <t>UPIOUT/406245825171/uberrides@hdfcbank/cha
rg/5960</t>
        </is>
      </c>
      <c r="C1751" s="114" t="inlineStr"/>
      <c r="D1751" s="114" t="n">
        <v>484.25</v>
      </c>
      <c r="E1751" s="114" t="n">
        <v>0</v>
      </c>
      <c r="F1751" s="114" t="n">
        <v>19104.43</v>
      </c>
      <c r="G1751" s="114" t="inlineStr">
        <is>
          <t>Transport</t>
        </is>
      </c>
      <c r="H1751" s="114" t="inlineStr">
        <is>
          <t>FEDERAL 0847</t>
        </is>
      </c>
    </row>
    <row r="1752">
      <c r="A1752" s="113" t="n">
        <v>45354</v>
      </c>
      <c r="B1752" s="114" t="inlineStr">
        <is>
          <t>UPIOUT/406481154896/uber@axisbank/charge/4
121</t>
        </is>
      </c>
      <c r="C1752" s="114" t="inlineStr"/>
      <c r="D1752" s="114" t="n">
        <v>43.05</v>
      </c>
      <c r="E1752" s="114" t="n">
        <v>0</v>
      </c>
      <c r="F1752" s="114" t="n">
        <v>16658.8</v>
      </c>
      <c r="G1752" s="114" t="inlineStr">
        <is>
          <t>Transport</t>
        </is>
      </c>
      <c r="H1752" s="114" t="inlineStr">
        <is>
          <t>FEDERAL 0847</t>
        </is>
      </c>
    </row>
    <row r="1753">
      <c r="A1753" s="113" t="n">
        <v>45354</v>
      </c>
      <c r="B1753" s="114" t="inlineStr">
        <is>
          <t>UPIOUT/406375538078/Q07483153@ybl/Sent via
J/5813</t>
        </is>
      </c>
      <c r="C1753" s="114" t="inlineStr"/>
      <c r="D1753" s="114" t="n">
        <v>263</v>
      </c>
      <c r="E1753" s="114" t="n">
        <v>0</v>
      </c>
      <c r="F1753" s="114" t="n">
        <v>18470.43</v>
      </c>
      <c r="G1753" s="114" t="inlineStr">
        <is>
          <t>Personal</t>
        </is>
      </c>
      <c r="H1753" s="114" t="inlineStr">
        <is>
          <t>FEDERAL 0847</t>
        </is>
      </c>
    </row>
    <row r="1754">
      <c r="A1754" s="113" t="n">
        <v>45354</v>
      </c>
      <c r="B1754" s="114" t="inlineStr">
        <is>
          <t>NFT/NEOSIEXEDDD2024030304151178179 NAVI
Mutual Fun</t>
        </is>
      </c>
      <c r="C1754" s="114" t="inlineStr"/>
      <c r="D1754" s="114" t="n">
        <v>1000</v>
      </c>
      <c r="E1754" s="114" t="n">
        <v>0</v>
      </c>
      <c r="F1754" s="114" t="n">
        <v>17470.43</v>
      </c>
      <c r="G1754" s="114" t="inlineStr">
        <is>
          <t>Investments</t>
        </is>
      </c>
      <c r="H1754" s="114" t="inlineStr">
        <is>
          <t>FEDERAL 0847</t>
        </is>
      </c>
    </row>
    <row r="1755">
      <c r="A1755" s="113" t="n">
        <v>45354</v>
      </c>
      <c r="B1755" s="114" t="inlineStr">
        <is>
          <t>UPIOUT/406377760682/Q07483153@ybl/Sent via
J/5813</t>
        </is>
      </c>
      <c r="C1755" s="114" t="inlineStr"/>
      <c r="D1755" s="114" t="n">
        <v>477</v>
      </c>
      <c r="E1755" s="114" t="n">
        <v>0</v>
      </c>
      <c r="F1755" s="114" t="n">
        <v>16993.43</v>
      </c>
      <c r="G1755" s="114" t="inlineStr">
        <is>
          <t>Personal</t>
        </is>
      </c>
      <c r="H1755" s="114" t="inlineStr">
        <is>
          <t>FEDERAL 0847</t>
        </is>
      </c>
    </row>
    <row r="1756">
      <c r="A1756" s="113" t="n">
        <v>45354</v>
      </c>
      <c r="B1756" s="114" t="inlineStr">
        <is>
          <t>UPIOUT/406379187069/Q50245732@ybl/Sent via
J/5813</t>
        </is>
      </c>
      <c r="C1756" s="114" t="inlineStr"/>
      <c r="D1756" s="114" t="n">
        <v>103</v>
      </c>
      <c r="E1756" s="114" t="n">
        <v>0</v>
      </c>
      <c r="F1756" s="114" t="n">
        <v>16890.43</v>
      </c>
      <c r="G1756" s="114" t="inlineStr">
        <is>
          <t>Personal</t>
        </is>
      </c>
      <c r="H1756" s="114" t="inlineStr">
        <is>
          <t>FEDERAL 0847</t>
        </is>
      </c>
    </row>
    <row r="1757">
      <c r="A1757" s="113" t="n">
        <v>45354</v>
      </c>
      <c r="B1757" s="114" t="inlineStr">
        <is>
          <t>UPIOUT/406380181787/Q75895864@ybl/Sent via
J/5813</t>
        </is>
      </c>
      <c r="C1757" s="114" t="inlineStr"/>
      <c r="D1757" s="114" t="n">
        <v>156</v>
      </c>
      <c r="E1757" s="114" t="n">
        <v>0</v>
      </c>
      <c r="F1757" s="114" t="n">
        <v>16734.43</v>
      </c>
      <c r="G1757" s="114" t="inlineStr">
        <is>
          <t>Personal</t>
        </is>
      </c>
      <c r="H1757" s="114" t="inlineStr">
        <is>
          <t>FEDERAL 0847</t>
        </is>
      </c>
    </row>
    <row r="1758">
      <c r="A1758" s="113" t="n">
        <v>45354</v>
      </c>
      <c r="B1758" s="114" t="inlineStr">
        <is>
          <t>UPIOUT/406349558815/uberrides@hdfcbank/cha
rg/5960</t>
        </is>
      </c>
      <c r="C1758" s="114" t="inlineStr"/>
      <c r="D1758" s="114" t="n">
        <v>32.58</v>
      </c>
      <c r="E1758" s="114" t="n">
        <v>0</v>
      </c>
      <c r="F1758" s="114" t="n">
        <v>16701.85</v>
      </c>
      <c r="G1758" s="114" t="inlineStr">
        <is>
          <t>Transport</t>
        </is>
      </c>
      <c r="H1758" s="114" t="inlineStr">
        <is>
          <t>FEDERAL 0847</t>
        </is>
      </c>
    </row>
    <row r="1759">
      <c r="A1759" s="113" t="n">
        <v>45354</v>
      </c>
      <c r="B1759" s="114" t="inlineStr">
        <is>
          <t>UPIOUT/406375219315/gpay-11239420124@okbiz
ax/5814</t>
        </is>
      </c>
      <c r="C1759" s="114" t="inlineStr"/>
      <c r="D1759" s="114" t="n">
        <v>371</v>
      </c>
      <c r="E1759" s="114" t="n">
        <v>0</v>
      </c>
      <c r="F1759" s="114" t="n">
        <v>18733.43</v>
      </c>
      <c r="G1759" s="114" t="inlineStr">
        <is>
          <t>Personal</t>
        </is>
      </c>
      <c r="H1759" s="114" t="inlineStr">
        <is>
          <t>FEDERAL 0847</t>
        </is>
      </c>
    </row>
    <row r="1760">
      <c r="A1760" s="113" t="n">
        <v>45355</v>
      </c>
      <c r="B1760" s="114" t="inlineStr">
        <is>
          <t>UPIOUT/406563666578/sudhirmalil415@okicici
/U/0000</t>
        </is>
      </c>
      <c r="C1760" s="114" t="inlineStr"/>
      <c r="D1760" s="114" t="n">
        <v>115</v>
      </c>
      <c r="E1760" s="114" t="n">
        <v>0</v>
      </c>
      <c r="F1760" s="114" t="n">
        <v>15637.8</v>
      </c>
      <c r="G1760" s="114" t="inlineStr">
        <is>
          <t>Personal</t>
        </is>
      </c>
      <c r="H1760" s="114" t="inlineStr">
        <is>
          <t>FEDERAL 0847</t>
        </is>
      </c>
    </row>
    <row r="1761">
      <c r="A1761" s="113" t="n">
        <v>45355</v>
      </c>
      <c r="B1761" s="114" t="inlineStr">
        <is>
          <t>NET PI TO HSL SEC A/C 2554606-00602340029427</t>
        </is>
      </c>
      <c r="C1761" s="114" t="inlineStr">
        <is>
          <t>0000000500977375</t>
        </is>
      </c>
      <c r="D1761" s="114" t="n">
        <v>349.17</v>
      </c>
      <c r="E1761" s="114" t="n">
        <v>0</v>
      </c>
      <c r="F1761" s="114" t="n">
        <v>132222.07</v>
      </c>
      <c r="G1761" s="114" t="inlineStr">
        <is>
          <t>HDFC Securities</t>
        </is>
      </c>
      <c r="H1761" s="114" t="inlineStr">
        <is>
          <t>HDFC 5413</t>
        </is>
      </c>
    </row>
    <row r="1762">
      <c r="A1762" s="113" t="n">
        <v>45355</v>
      </c>
      <c r="B1762" s="114" t="inlineStr">
        <is>
          <t>UPIOUT/406490565934/Q80015469@ybl/Sent via
J/5813</t>
        </is>
      </c>
      <c r="C1762" s="114" t="inlineStr"/>
      <c r="D1762" s="114" t="n">
        <v>906</v>
      </c>
      <c r="E1762" s="114" t="n">
        <v>0</v>
      </c>
      <c r="F1762" s="114" t="n">
        <v>15752.8</v>
      </c>
      <c r="G1762" s="114" t="inlineStr">
        <is>
          <t>Personal</t>
        </is>
      </c>
      <c r="H1762" s="114" t="inlineStr">
        <is>
          <t>FEDERAL 0847</t>
        </is>
      </c>
    </row>
    <row r="1763">
      <c r="A1763" s="113" t="n">
        <v>45356</v>
      </c>
      <c r="B1763" s="114" t="inlineStr">
        <is>
          <t>UPIOUT/406592707984/Q07483153@ybl/Sent via
J/5813</t>
        </is>
      </c>
      <c r="C1763" s="114" t="inlineStr"/>
      <c r="D1763" s="114" t="n">
        <v>156</v>
      </c>
      <c r="E1763" s="114" t="n">
        <v>0</v>
      </c>
      <c r="F1763" s="114" t="n">
        <v>15481.8</v>
      </c>
      <c r="G1763" s="114" t="inlineStr">
        <is>
          <t>Personal</t>
        </is>
      </c>
      <c r="H1763" s="114" t="inlineStr">
        <is>
          <t>FEDERAL 0847</t>
        </is>
      </c>
    </row>
    <row r="1764">
      <c r="A1764" s="113" t="n">
        <v>45356</v>
      </c>
      <c r="B1764" s="114" t="inlineStr">
        <is>
          <t>UPIOUT/406593865507/paytmqrhdex80dh4r@payt
m//5812</t>
        </is>
      </c>
      <c r="C1764" s="114" t="inlineStr"/>
      <c r="D1764" s="114" t="n">
        <v>110</v>
      </c>
      <c r="E1764" s="114" t="n">
        <v>0</v>
      </c>
      <c r="F1764" s="114" t="n">
        <v>15371.8</v>
      </c>
      <c r="G1764" s="114" t="inlineStr">
        <is>
          <t>Personal</t>
        </is>
      </c>
      <c r="H1764" s="114" t="inlineStr">
        <is>
          <t>FEDERAL 0847</t>
        </is>
      </c>
    </row>
    <row r="1765">
      <c r="A1765" s="113" t="n">
        <v>45356</v>
      </c>
      <c r="B1765" s="114" t="inlineStr">
        <is>
          <t>NET PI TO HSL SEC A/C 2554606-00602340029427</t>
        </is>
      </c>
      <c r="C1765" s="114" t="inlineStr">
        <is>
          <t>0000000501134260</t>
        </is>
      </c>
      <c r="D1765" s="114" t="n">
        <v>228</v>
      </c>
      <c r="E1765" s="114" t="n">
        <v>0</v>
      </c>
      <c r="F1765" s="114" t="n">
        <v>131994.07</v>
      </c>
      <c r="G1765" s="114" t="inlineStr">
        <is>
          <t>HDFC Securities</t>
        </is>
      </c>
      <c r="H1765" s="114" t="inlineStr">
        <is>
          <t>HDFC 5413</t>
        </is>
      </c>
    </row>
    <row r="1766">
      <c r="A1766" s="113" t="n">
        <v>45356</v>
      </c>
      <c r="B1766" s="114" t="inlineStr">
        <is>
          <t>NET PI TO HSL SEC A/C 2554606-00602340029427</t>
        </is>
      </c>
      <c r="C1766" s="114" t="inlineStr">
        <is>
          <t>0000000501442635</t>
        </is>
      </c>
      <c r="D1766" s="114" t="n">
        <v>122.56</v>
      </c>
      <c r="E1766" s="114" t="n">
        <v>0</v>
      </c>
      <c r="F1766" s="114" t="n">
        <v>131871.51</v>
      </c>
      <c r="G1766" s="114" t="inlineStr">
        <is>
          <t>HDFC Securities</t>
        </is>
      </c>
      <c r="H1766" s="114" t="inlineStr">
        <is>
          <t>HDFC 5413</t>
        </is>
      </c>
    </row>
    <row r="1767">
      <c r="A1767" s="113" t="n">
        <v>45356</v>
      </c>
      <c r="B1767" s="114" t="inlineStr">
        <is>
          <t>NET PI TO HSL SEC A/C 2554606-00602340029427</t>
        </is>
      </c>
      <c r="C1767" s="114" t="inlineStr">
        <is>
          <t>0000000501610267</t>
        </is>
      </c>
      <c r="D1767" s="114" t="n">
        <v>412.95</v>
      </c>
      <c r="E1767" s="114" t="n">
        <v>0</v>
      </c>
      <c r="F1767" s="114" t="n">
        <v>131458.56</v>
      </c>
      <c r="G1767" s="114" t="inlineStr">
        <is>
          <t>HDFC Securities</t>
        </is>
      </c>
      <c r="H1767" s="114" t="inlineStr">
        <is>
          <t>HDFC 5413</t>
        </is>
      </c>
    </row>
    <row r="1768">
      <c r="A1768" s="113" t="n">
        <v>45356</v>
      </c>
      <c r="B1768" s="114" t="inlineStr">
        <is>
          <t>UPIOUT/406595994183/Q75895864@ybl/Sent via
J/5813</t>
        </is>
      </c>
      <c r="C1768" s="114" t="inlineStr"/>
      <c r="D1768" s="114" t="n">
        <v>437</v>
      </c>
      <c r="E1768" s="114" t="n">
        <v>0</v>
      </c>
      <c r="F1768" s="114" t="n">
        <v>14934.8</v>
      </c>
      <c r="G1768" s="114" t="inlineStr">
        <is>
          <t>Personal</t>
        </is>
      </c>
      <c r="H1768" s="114" t="inlineStr">
        <is>
          <t>FEDERAL 0847</t>
        </is>
      </c>
    </row>
    <row r="1769">
      <c r="A1769" s="113" t="n">
        <v>45357</v>
      </c>
      <c r="B1769" s="114" t="inlineStr">
        <is>
          <t>NET PI TO HSL SEC A/C 2554606-00602340029427</t>
        </is>
      </c>
      <c r="C1769" s="114" t="inlineStr">
        <is>
          <t>0000000501901862</t>
        </is>
      </c>
      <c r="D1769" s="114" t="n">
        <v>122.41</v>
      </c>
      <c r="E1769" s="114" t="n">
        <v>0</v>
      </c>
      <c r="F1769" s="114" t="n">
        <v>131336.15</v>
      </c>
      <c r="G1769" s="114" t="inlineStr">
        <is>
          <t>HDFC Securities</t>
        </is>
      </c>
      <c r="H1769" s="114" t="inlineStr">
        <is>
          <t>HDFC 5413</t>
        </is>
      </c>
    </row>
    <row r="1770">
      <c r="A1770" s="113" t="n">
        <v>45357</v>
      </c>
      <c r="B1770" s="114" t="inlineStr">
        <is>
          <t>NET PI TO HSL SEC A/C 2554606-00602340029427</t>
        </is>
      </c>
      <c r="C1770" s="114" t="inlineStr">
        <is>
          <t>0000000502074901</t>
        </is>
      </c>
      <c r="D1770" s="114" t="n">
        <v>2509.54</v>
      </c>
      <c r="E1770" s="114" t="n">
        <v>0</v>
      </c>
      <c r="F1770" s="114" t="n">
        <v>128826.61</v>
      </c>
      <c r="G1770" s="114" t="inlineStr">
        <is>
          <t>HDFC Securities</t>
        </is>
      </c>
      <c r="H1770" s="114" t="inlineStr">
        <is>
          <t>HDFC 5413</t>
        </is>
      </c>
    </row>
    <row r="1771">
      <c r="A1771" s="113" t="n">
        <v>45357</v>
      </c>
      <c r="B1771" s="114" t="inlineStr">
        <is>
          <t>UPIOUT/406611297335/Q07483153@ybl/Sent via
J/5813</t>
        </is>
      </c>
      <c r="C1771" s="114" t="inlineStr"/>
      <c r="D1771" s="114" t="n">
        <v>156</v>
      </c>
      <c r="E1771" s="114" t="n">
        <v>0</v>
      </c>
      <c r="F1771" s="114" t="n">
        <v>14626.55</v>
      </c>
      <c r="G1771" s="114" t="inlineStr">
        <is>
          <t>Personal</t>
        </is>
      </c>
      <c r="H1771" s="114" t="inlineStr">
        <is>
          <t>FEDERAL 0847</t>
        </is>
      </c>
    </row>
    <row r="1772">
      <c r="A1772" s="113" t="n">
        <v>45357</v>
      </c>
      <c r="B1772" s="114" t="inlineStr">
        <is>
          <t>UPIOUT/406612766804/zomatoonlineorder.rzp@
ic/5811</t>
        </is>
      </c>
      <c r="C1772" s="114" t="inlineStr"/>
      <c r="D1772" s="114" t="n">
        <v>183.7</v>
      </c>
      <c r="E1772" s="114" t="n">
        <v>0</v>
      </c>
      <c r="F1772" s="114" t="n">
        <v>14117.85</v>
      </c>
      <c r="G1772" s="114" t="inlineStr">
        <is>
          <t>Food &amp; Dining</t>
        </is>
      </c>
      <c r="H1772" s="114" t="inlineStr">
        <is>
          <t>FEDERAL 0847</t>
        </is>
      </c>
    </row>
    <row r="1773">
      <c r="A1773" s="113" t="n">
        <v>45357</v>
      </c>
      <c r="B1773" s="114" t="inlineStr">
        <is>
          <t>UPIOUT/406612066664/Q248421440@ybl/Sent
via /5812</t>
        </is>
      </c>
      <c r="C1773" s="114" t="inlineStr"/>
      <c r="D1773" s="114" t="n">
        <v>35</v>
      </c>
      <c r="E1773" s="114" t="n">
        <v>0</v>
      </c>
      <c r="F1773" s="114" t="n">
        <v>14301.55</v>
      </c>
      <c r="G1773" s="114" t="inlineStr">
        <is>
          <t>Personal</t>
        </is>
      </c>
      <c r="H1773" s="114" t="inlineStr">
        <is>
          <t>FEDERAL 0847</t>
        </is>
      </c>
    </row>
    <row r="1774">
      <c r="A1774" s="113" t="n">
        <v>45357</v>
      </c>
      <c r="B1774" s="114" t="inlineStr">
        <is>
          <t>UPIOUT/406614399474/paytm-14464838@paytm/U
PI/5812</t>
        </is>
      </c>
      <c r="C1774" s="114" t="inlineStr"/>
      <c r="D1774" s="114" t="n">
        <v>152.25</v>
      </c>
      <c r="E1774" s="114" t="n">
        <v>0</v>
      </c>
      <c r="F1774" s="114" t="n">
        <v>14782.55</v>
      </c>
      <c r="G1774" s="114" t="inlineStr">
        <is>
          <t>Personal</t>
        </is>
      </c>
      <c r="H1774" s="114" t="inlineStr">
        <is>
          <t>FEDERAL 0847</t>
        </is>
      </c>
    </row>
    <row r="1775">
      <c r="A1775" s="113" t="n">
        <v>45357</v>
      </c>
      <c r="B1775" s="114" t="inlineStr">
        <is>
          <t>UPIOUT/406611597260/Q07483153@ybl/Sent via
J/5813</t>
        </is>
      </c>
      <c r="C1775" s="114" t="inlineStr"/>
      <c r="D1775" s="114" t="n">
        <v>290</v>
      </c>
      <c r="E1775" s="114" t="n">
        <v>0</v>
      </c>
      <c r="F1775" s="114" t="n">
        <v>14336.55</v>
      </c>
      <c r="G1775" s="114" t="inlineStr">
        <is>
          <t>Personal</t>
        </is>
      </c>
      <c r="H1775" s="114" t="inlineStr">
        <is>
          <t>FEDERAL 0847</t>
        </is>
      </c>
    </row>
    <row r="1776">
      <c r="A1776" s="113" t="n">
        <v>45358</v>
      </c>
      <c r="B1776" s="114" t="inlineStr">
        <is>
          <t>NET PI TO HSL SEC A/C 2554606-00602340029427</t>
        </is>
      </c>
      <c r="C1776" s="114" t="inlineStr">
        <is>
          <t>0000000502520670</t>
        </is>
      </c>
      <c r="D1776" s="114" t="n">
        <v>28006.35</v>
      </c>
      <c r="E1776" s="114" t="n">
        <v>0</v>
      </c>
      <c r="F1776" s="114" t="n">
        <v>21670.13</v>
      </c>
      <c r="G1776" s="114" t="inlineStr">
        <is>
          <t>HDFC Securities</t>
        </is>
      </c>
      <c r="H1776" s="114" t="inlineStr">
        <is>
          <t>HDFC 5413</t>
        </is>
      </c>
    </row>
    <row r="1777">
      <c r="A1777" s="113" t="n">
        <v>45358</v>
      </c>
      <c r="B1777" s="114" t="inlineStr">
        <is>
          <t>UPIOUT/406720780563/zomato-
order@paytm/Zomat/5812</t>
        </is>
      </c>
      <c r="C1777" s="114" t="inlineStr"/>
      <c r="D1777" s="114" t="n">
        <v>354.42</v>
      </c>
      <c r="E1777" s="114" t="n">
        <v>0</v>
      </c>
      <c r="F1777" s="114" t="n">
        <v>13009.43</v>
      </c>
      <c r="G1777" s="114" t="inlineStr">
        <is>
          <t>Food &amp; Dining</t>
        </is>
      </c>
      <c r="H1777" s="114" t="inlineStr">
        <is>
          <t>FEDERAL 0847</t>
        </is>
      </c>
    </row>
    <row r="1778">
      <c r="A1778" s="113" t="n">
        <v>45358</v>
      </c>
      <c r="B1778" s="114" t="inlineStr">
        <is>
          <t>UPIOUT/406773167734/airtel66.payu@icici/UP
II/4812</t>
        </is>
      </c>
      <c r="C1778" s="114" t="inlineStr"/>
      <c r="D1778" s="114" t="n">
        <v>301</v>
      </c>
      <c r="E1778" s="114" t="n">
        <v>0</v>
      </c>
      <c r="F1778" s="114" t="n">
        <v>13363.85</v>
      </c>
      <c r="G1778" s="114" t="inlineStr">
        <is>
          <t>Personal</t>
        </is>
      </c>
      <c r="H1778" s="114" t="inlineStr">
        <is>
          <t>FEDERAL 0847</t>
        </is>
      </c>
    </row>
    <row r="1779">
      <c r="A1779" s="113" t="n">
        <v>45358</v>
      </c>
      <c r="B1779" s="114" t="inlineStr">
        <is>
          <t>UPIOUT/406720249162/Q248421440@ybl/Sent
via /5812</t>
        </is>
      </c>
      <c r="C1779" s="114" t="inlineStr"/>
      <c r="D1779" s="114" t="n">
        <v>40</v>
      </c>
      <c r="E1779" s="114" t="n">
        <v>0</v>
      </c>
      <c r="F1779" s="114" t="n">
        <v>13664.85</v>
      </c>
      <c r="G1779" s="114" t="inlineStr">
        <is>
          <t>Personal</t>
        </is>
      </c>
      <c r="H1779" s="114" t="inlineStr">
        <is>
          <t>FEDERAL 0847</t>
        </is>
      </c>
    </row>
    <row r="1780">
      <c r="A1780" s="113" t="n">
        <v>45358</v>
      </c>
      <c r="B1780" s="114" t="inlineStr">
        <is>
          <t>UPIOUT/406719333882/Q80015469@ybl/Sent via
J/5813</t>
        </is>
      </c>
      <c r="C1780" s="114" t="inlineStr"/>
      <c r="D1780" s="114" t="n">
        <v>353</v>
      </c>
      <c r="E1780" s="114" t="n">
        <v>0</v>
      </c>
      <c r="F1780" s="114" t="n">
        <v>13704.85</v>
      </c>
      <c r="G1780" s="114" t="inlineStr">
        <is>
          <t>Personal</t>
        </is>
      </c>
      <c r="H1780" s="114" t="inlineStr">
        <is>
          <t>FEDERAL 0847</t>
        </is>
      </c>
    </row>
    <row r="1781">
      <c r="A1781" s="113" t="n">
        <v>45358</v>
      </c>
      <c r="B1781" s="114" t="inlineStr">
        <is>
          <t>UPIOUT/406793215766/paytm-14464838@paytm/U
PI/5812</t>
        </is>
      </c>
      <c r="C1781" s="114" t="inlineStr"/>
      <c r="D1781" s="114" t="n">
        <v>60</v>
      </c>
      <c r="E1781" s="114" t="n">
        <v>0</v>
      </c>
      <c r="F1781" s="114" t="n">
        <v>14057.85</v>
      </c>
      <c r="G1781" s="114" t="inlineStr">
        <is>
          <t>Personal</t>
        </is>
      </c>
      <c r="H1781" s="114" t="inlineStr">
        <is>
          <t>FEDERAL 0847</t>
        </is>
      </c>
    </row>
    <row r="1782">
      <c r="A1782" s="113" t="n">
        <v>45358</v>
      </c>
      <c r="B1782" s="114" t="inlineStr">
        <is>
          <t>00602300000434-026424492</t>
        </is>
      </c>
      <c r="C1782" s="114" t="inlineStr">
        <is>
          <t>0000403078196807</t>
        </is>
      </c>
      <c r="D1782" s="114" t="n">
        <v>0</v>
      </c>
      <c r="E1782" s="114" t="n">
        <v>1880</v>
      </c>
      <c r="F1782" s="114" t="n">
        <v>49676.48</v>
      </c>
      <c r="G1782" s="114" t="inlineStr">
        <is>
          <t>Suspense</t>
        </is>
      </c>
      <c r="H1782" s="114" t="inlineStr">
        <is>
          <t>HDFC 5413</t>
        </is>
      </c>
    </row>
    <row r="1783">
      <c r="A1783" s="113" t="n">
        <v>45358</v>
      </c>
      <c r="B1783" s="114" t="inlineStr">
        <is>
          <t>50200000003402   23560474 HLIC INST</t>
        </is>
      </c>
      <c r="C1783" s="114" t="inlineStr">
        <is>
          <t>000000000000000</t>
        </is>
      </c>
      <c r="D1783" s="114" t="n">
        <v>102250</v>
      </c>
      <c r="E1783" s="114" t="n">
        <v>0</v>
      </c>
      <c r="F1783" s="114" t="n">
        <v>26576.61</v>
      </c>
      <c r="G1783" s="114" t="inlineStr">
        <is>
          <t>Life Insurance</t>
        </is>
      </c>
      <c r="H1783" s="114" t="inlineStr">
        <is>
          <t>HDFC 5413</t>
        </is>
      </c>
    </row>
    <row r="1784">
      <c r="A1784" s="113" t="n">
        <v>45358</v>
      </c>
      <c r="B1784" s="114" t="inlineStr">
        <is>
          <t>NET PO FROM HSL A/C 2554606-50200085415108</t>
        </is>
      </c>
      <c r="C1784" s="114" t="inlineStr">
        <is>
          <t>0000000502233936</t>
        </is>
      </c>
      <c r="D1784" s="114" t="n">
        <v>0</v>
      </c>
      <c r="E1784" s="114" t="n">
        <v>21341.39</v>
      </c>
      <c r="F1784" s="114" t="n">
        <v>47918</v>
      </c>
      <c r="G1784" s="114" t="inlineStr">
        <is>
          <t>HDFC Securities</t>
        </is>
      </c>
      <c r="H1784" s="114" t="inlineStr">
        <is>
          <t>HDFC 5413</t>
        </is>
      </c>
    </row>
    <row r="1785">
      <c r="A1785" s="113" t="n">
        <v>45358</v>
      </c>
      <c r="B1785" s="114" t="inlineStr">
        <is>
          <t>NET PI TO HSL SEC A/C 2554606-00602340029427</t>
        </is>
      </c>
      <c r="C1785" s="114" t="inlineStr">
        <is>
          <t>0000000502369686</t>
        </is>
      </c>
      <c r="D1785" s="114" t="n">
        <v>121.52</v>
      </c>
      <c r="E1785" s="114" t="n">
        <v>0</v>
      </c>
      <c r="F1785" s="114" t="n">
        <v>47796.48</v>
      </c>
      <c r="G1785" s="114" t="inlineStr">
        <is>
          <t>HDFC Securities</t>
        </is>
      </c>
      <c r="H1785" s="114" t="inlineStr">
        <is>
          <t>HDFC 5413</t>
        </is>
      </c>
    </row>
    <row r="1786">
      <c r="A1786" s="113" t="n">
        <v>45359</v>
      </c>
      <c r="B1786" s="114" t="inlineStr">
        <is>
          <t>UPIOUT/406824997361/zomatoindia@icici/Payv
ia/5814</t>
        </is>
      </c>
      <c r="C1786" s="114" t="inlineStr"/>
      <c r="D1786" s="114" t="n">
        <v>176.17</v>
      </c>
      <c r="E1786" s="114" t="n">
        <v>0</v>
      </c>
      <c r="F1786" s="114" t="n">
        <v>12703.26</v>
      </c>
      <c r="G1786" s="114" t="inlineStr">
        <is>
          <t>Food &amp; Dining</t>
        </is>
      </c>
      <c r="H1786" s="114" t="inlineStr">
        <is>
          <t>FEDERAL 0847</t>
        </is>
      </c>
    </row>
    <row r="1787">
      <c r="A1787" s="113" t="n">
        <v>45359</v>
      </c>
      <c r="B1787" s="114" t="inlineStr">
        <is>
          <t>UPIOUT/406891710108/paytm-14464838@paytm/U
PI/5812</t>
        </is>
      </c>
      <c r="C1787" s="114" t="inlineStr"/>
      <c r="D1787" s="114" t="n">
        <v>80</v>
      </c>
      <c r="E1787" s="114" t="n">
        <v>0</v>
      </c>
      <c r="F1787" s="114" t="n">
        <v>12879.43</v>
      </c>
      <c r="G1787" s="114" t="inlineStr">
        <is>
          <t>Personal</t>
        </is>
      </c>
      <c r="H1787" s="114" t="inlineStr">
        <is>
          <t>FEDERAL 0847</t>
        </is>
      </c>
    </row>
    <row r="1788">
      <c r="A1788" s="113" t="n">
        <v>45359</v>
      </c>
      <c r="B1788" s="114" t="inlineStr">
        <is>
          <t>UPIOUT/406826024779/payzomato@hdfcbank/Sen
t /5814</t>
        </is>
      </c>
      <c r="C1788" s="114" t="inlineStr"/>
      <c r="D1788" s="114" t="n">
        <v>206.42</v>
      </c>
      <c r="E1788" s="114" t="n">
        <v>0</v>
      </c>
      <c r="F1788" s="114" t="n">
        <v>12496.84</v>
      </c>
      <c r="G1788" s="114" t="inlineStr">
        <is>
          <t>Food &amp; Dining</t>
        </is>
      </c>
      <c r="H1788" s="114" t="inlineStr">
        <is>
          <t>FEDERAL 0847</t>
        </is>
      </c>
    </row>
    <row r="1789">
      <c r="A1789" s="113" t="n">
        <v>45359</v>
      </c>
      <c r="B1789" s="114" t="inlineStr">
        <is>
          <t>UPIOUT/406822431591/paytmqr1gs01dt6zx@payt
m//5812</t>
        </is>
      </c>
      <c r="C1789" s="114" t="inlineStr"/>
      <c r="D1789" s="114" t="n">
        <v>50</v>
      </c>
      <c r="E1789" s="114" t="n">
        <v>0</v>
      </c>
      <c r="F1789" s="114" t="n">
        <v>12959.43</v>
      </c>
      <c r="G1789" s="114" t="inlineStr">
        <is>
          <t>Personal</t>
        </is>
      </c>
      <c r="H1789" s="114" t="inlineStr">
        <is>
          <t>FEDERAL 0847</t>
        </is>
      </c>
    </row>
    <row r="1790">
      <c r="A1790" s="113" t="n">
        <v>45360</v>
      </c>
      <c r="B1790" s="114" t="inlineStr">
        <is>
          <t>UPIOUT/406930540309/paytmqr158p3xx8vj@payt
m//5814</t>
        </is>
      </c>
      <c r="C1790" s="114" t="inlineStr"/>
      <c r="D1790" s="114" t="n">
        <v>35</v>
      </c>
      <c r="E1790" s="114" t="n">
        <v>0</v>
      </c>
      <c r="F1790" s="114" t="n">
        <v>8165.09</v>
      </c>
      <c r="G1790" s="114" t="inlineStr">
        <is>
          <t>Personal</t>
        </is>
      </c>
      <c r="H1790" s="114" t="inlineStr">
        <is>
          <t>FEDERAL 0847</t>
        </is>
      </c>
    </row>
    <row r="1791">
      <c r="A1791" s="113" t="n">
        <v>45360</v>
      </c>
      <c r="B1791" s="114" t="inlineStr">
        <is>
          <t>UPIOUT/406929595818/qnendo126-1@oksbi/Sent
v/0000</t>
        </is>
      </c>
      <c r="C1791" s="114" t="inlineStr"/>
      <c r="D1791" s="114" t="n">
        <v>53</v>
      </c>
      <c r="E1791" s="114" t="n">
        <v>0</v>
      </c>
      <c r="F1791" s="114" t="n">
        <v>11780.09</v>
      </c>
      <c r="G1791" s="114" t="inlineStr">
        <is>
          <t>Personal</t>
        </is>
      </c>
      <c r="H1791" s="114" t="inlineStr">
        <is>
          <t>FEDERAL 0847</t>
        </is>
      </c>
    </row>
    <row r="1792">
      <c r="A1792" s="113" t="n">
        <v>45360</v>
      </c>
      <c r="B1792" s="114" t="inlineStr">
        <is>
          <t>UPIOUT/406930130208/paytm-76881028@paytm/S
en/4121</t>
        </is>
      </c>
      <c r="C1792" s="114" t="inlineStr"/>
      <c r="D1792" s="114" t="n">
        <v>41</v>
      </c>
      <c r="E1792" s="114" t="n">
        <v>0</v>
      </c>
      <c r="F1792" s="114" t="n">
        <v>8835.09</v>
      </c>
      <c r="G1792" s="114" t="inlineStr">
        <is>
          <t>Personal</t>
        </is>
      </c>
      <c r="H1792" s="114" t="inlineStr">
        <is>
          <t>FEDERAL 0847</t>
        </is>
      </c>
    </row>
    <row r="1793">
      <c r="A1793" s="113" t="n">
        <v>45360</v>
      </c>
      <c r="B1793" s="114" t="inlineStr">
        <is>
          <t>UPIOUT/406930029598/westside.42529089@hdfc
ba/5699</t>
        </is>
      </c>
      <c r="C1793" s="114" t="inlineStr"/>
      <c r="D1793" s="114" t="n">
        <v>2904</v>
      </c>
      <c r="E1793" s="114" t="n">
        <v>0</v>
      </c>
      <c r="F1793" s="114" t="n">
        <v>8876.09</v>
      </c>
      <c r="G1793" s="114" t="inlineStr">
        <is>
          <t>Personal</t>
        </is>
      </c>
      <c r="H1793" s="114" t="inlineStr">
        <is>
          <t>FEDERAL 0847</t>
        </is>
      </c>
    </row>
    <row r="1794">
      <c r="A1794" s="113" t="n">
        <v>45360</v>
      </c>
      <c r="B1794" s="114" t="inlineStr">
        <is>
          <t>UPIOUT/406930580891/zomato1paytm@hdfcbank/
Zo/5814</t>
        </is>
      </c>
      <c r="C1794" s="114" t="inlineStr"/>
      <c r="D1794" s="114" t="n">
        <v>292.07</v>
      </c>
      <c r="E1794" s="114" t="n">
        <v>0</v>
      </c>
      <c r="F1794" s="114" t="n">
        <v>7873.02</v>
      </c>
      <c r="G1794" s="114" t="inlineStr">
        <is>
          <t>Food &amp; Dining</t>
        </is>
      </c>
      <c r="H1794" s="114" t="inlineStr">
        <is>
          <t>FEDERAL 0847</t>
        </is>
      </c>
    </row>
    <row r="1795">
      <c r="A1795" s="113" t="n">
        <v>45360</v>
      </c>
      <c r="B1795" s="114" t="inlineStr">
        <is>
          <t>UPIOUT/406928612130/Q75895864@ybl/Sent via
J/5813</t>
        </is>
      </c>
      <c r="C1795" s="114" t="inlineStr"/>
      <c r="D1795" s="114" t="n">
        <v>201</v>
      </c>
      <c r="E1795" s="114" t="n">
        <v>0</v>
      </c>
      <c r="F1795" s="114" t="n">
        <v>11833.09</v>
      </c>
      <c r="G1795" s="114" t="inlineStr">
        <is>
          <t>Personal</t>
        </is>
      </c>
      <c r="H1795" s="114" t="inlineStr">
        <is>
          <t>FEDERAL 0847</t>
        </is>
      </c>
    </row>
    <row r="1796">
      <c r="A1796" s="113" t="n">
        <v>45360</v>
      </c>
      <c r="B1796" s="114" t="inlineStr">
        <is>
          <t>UPIOUT/406928270847/zomato4.payu@icici/UPI
In/5411</t>
        </is>
      </c>
      <c r="C1796" s="114" t="inlineStr"/>
      <c r="D1796" s="114" t="n">
        <v>406.75</v>
      </c>
      <c r="E1796" s="114" t="n">
        <v>0</v>
      </c>
      <c r="F1796" s="114" t="n">
        <v>12034.09</v>
      </c>
      <c r="G1796" s="114" t="inlineStr">
        <is>
          <t>Food &amp; Dining</t>
        </is>
      </c>
      <c r="H1796" s="114" t="inlineStr">
        <is>
          <t>FEDERAL 0847</t>
        </is>
      </c>
    </row>
    <row r="1797">
      <c r="A1797" s="113" t="n">
        <v>45360</v>
      </c>
      <c r="B1797" s="114" t="inlineStr">
        <is>
          <t>UPIOUT/406927171652/paytmqr13tn390hmf@payt
m//5812</t>
        </is>
      </c>
      <c r="C1797" s="114" t="inlineStr"/>
      <c r="D1797" s="114" t="n">
        <v>56</v>
      </c>
      <c r="E1797" s="114" t="n">
        <v>0</v>
      </c>
      <c r="F1797" s="114" t="n">
        <v>12440.84</v>
      </c>
      <c r="G1797" s="114" t="inlineStr">
        <is>
          <t>Personal</t>
        </is>
      </c>
      <c r="H1797" s="114" t="inlineStr">
        <is>
          <t>FEDERAL 0847</t>
        </is>
      </c>
    </row>
    <row r="1798">
      <c r="A1798" s="113" t="n">
        <v>45360</v>
      </c>
      <c r="B1798" s="114" t="inlineStr">
        <is>
          <t>UPIOUT/406930454809/paytmqr2810050501011if
wv/5411</t>
        </is>
      </c>
      <c r="C1798" s="114" t="inlineStr"/>
      <c r="D1798" s="114" t="n">
        <v>635</v>
      </c>
      <c r="E1798" s="114" t="n">
        <v>0</v>
      </c>
      <c r="F1798" s="114" t="n">
        <v>8200.09</v>
      </c>
      <c r="G1798" s="114" t="inlineStr">
        <is>
          <t>Personal</t>
        </is>
      </c>
      <c r="H1798" s="114" t="inlineStr">
        <is>
          <t>FEDERAL 0847</t>
        </is>
      </c>
    </row>
    <row r="1799">
      <c r="A1799" s="113" t="n">
        <v>45361</v>
      </c>
      <c r="B1799" s="114" t="inlineStr">
        <is>
          <t>UPIOUT/407036445165/payzomato@hdfcbank/Sen
t /5814</t>
        </is>
      </c>
      <c r="C1799" s="114" t="inlineStr"/>
      <c r="D1799" s="114" t="n">
        <v>506.17</v>
      </c>
      <c r="E1799" s="114" t="n">
        <v>0</v>
      </c>
      <c r="F1799" s="114" t="n">
        <v>6495.85</v>
      </c>
      <c r="G1799" s="114" t="inlineStr">
        <is>
          <t>Food &amp; Dining</t>
        </is>
      </c>
      <c r="H1799" s="114" t="inlineStr">
        <is>
          <t>FEDERAL 0847</t>
        </is>
      </c>
    </row>
    <row r="1800">
      <c r="A1800" s="113" t="n">
        <v>45361</v>
      </c>
      <c r="B1800" s="114" t="inlineStr">
        <is>
          <t>UPIOUT/407035339327/rapido.rzp@icici/Payme
nt/4121</t>
        </is>
      </c>
      <c r="C1800" s="114" t="inlineStr"/>
      <c r="D1800" s="114" t="n">
        <v>41</v>
      </c>
      <c r="E1800" s="114" t="n">
        <v>0</v>
      </c>
      <c r="F1800" s="114" t="n">
        <v>7707.02</v>
      </c>
      <c r="G1800" s="114" t="inlineStr">
        <is>
          <t>Transport</t>
        </is>
      </c>
      <c r="H1800" s="114" t="inlineStr">
        <is>
          <t>FEDERAL 0847</t>
        </is>
      </c>
    </row>
    <row r="1801">
      <c r="A1801" s="113" t="n">
        <v>45361</v>
      </c>
      <c r="B1801" s="114" t="inlineStr">
        <is>
          <t>UPIOUT/407035079807/paytmqr3zacjjhvyp@payt
m//5462</t>
        </is>
      </c>
      <c r="C1801" s="114" t="inlineStr"/>
      <c r="D1801" s="114" t="n">
        <v>10</v>
      </c>
      <c r="E1801" s="114" t="n">
        <v>0</v>
      </c>
      <c r="F1801" s="114" t="n">
        <v>7748.02</v>
      </c>
      <c r="G1801" s="114" t="inlineStr">
        <is>
          <t>Personal</t>
        </is>
      </c>
      <c r="H1801" s="114" t="inlineStr">
        <is>
          <t>FEDERAL 0847</t>
        </is>
      </c>
    </row>
    <row r="1802">
      <c r="A1802" s="113" t="n">
        <v>45361</v>
      </c>
      <c r="B1802" s="114" t="inlineStr">
        <is>
          <t>UPIOUT/407035573732/9880305563@okbizaxis/S
en/7221</t>
        </is>
      </c>
      <c r="C1802" s="114" t="inlineStr"/>
      <c r="D1802" s="114" t="n">
        <v>600</v>
      </c>
      <c r="E1802" s="114" t="n">
        <v>0</v>
      </c>
      <c r="F1802" s="114" t="n">
        <v>7107.02</v>
      </c>
      <c r="G1802" s="114" t="inlineStr">
        <is>
          <t>Personal</t>
        </is>
      </c>
      <c r="H1802" s="114" t="inlineStr">
        <is>
          <t>FEDERAL 0847</t>
        </is>
      </c>
    </row>
    <row r="1803">
      <c r="A1803" s="113" t="n">
        <v>45361</v>
      </c>
      <c r="B1803" s="114" t="inlineStr">
        <is>
          <t>UPIOUT/407033267925/maheshadhi1992@okhdfcb
an/0000</t>
        </is>
      </c>
      <c r="C1803" s="114" t="inlineStr"/>
      <c r="D1803" s="114" t="n">
        <v>105</v>
      </c>
      <c r="E1803" s="114" t="n">
        <v>0</v>
      </c>
      <c r="F1803" s="114" t="n">
        <v>7758.02</v>
      </c>
      <c r="G1803" s="114" t="inlineStr">
        <is>
          <t>Personal</t>
        </is>
      </c>
      <c r="H1803" s="114" t="inlineStr">
        <is>
          <t>FEDERAL 0847</t>
        </is>
      </c>
    </row>
    <row r="1804">
      <c r="A1804" s="113" t="n">
        <v>45361</v>
      </c>
      <c r="B1804" s="114" t="inlineStr">
        <is>
          <t>UPIOUT/407032697581/paytmqr1hw4xx85bm@payt
m//5812</t>
        </is>
      </c>
      <c r="C1804" s="114" t="inlineStr"/>
      <c r="D1804" s="114" t="n">
        <v>10</v>
      </c>
      <c r="E1804" s="114" t="n">
        <v>0</v>
      </c>
      <c r="F1804" s="114" t="n">
        <v>7863.02</v>
      </c>
      <c r="G1804" s="114" t="inlineStr">
        <is>
          <t>Personal</t>
        </is>
      </c>
      <c r="H1804" s="114" t="inlineStr">
        <is>
          <t>FEDERAL 0847</t>
        </is>
      </c>
    </row>
    <row r="1805">
      <c r="A1805" s="113" t="n">
        <v>45361</v>
      </c>
      <c r="B1805" s="114" t="inlineStr">
        <is>
          <t>UPI-AJAY KUMAR GUPTA-AJAYGUPTANEL@AXL-HDFC0000167-443693565719-TRANSFER FROM AKG</t>
        </is>
      </c>
      <c r="C1805" s="114" t="inlineStr">
        <is>
          <t>0000443693565719</t>
        </is>
      </c>
      <c r="D1805" s="114" t="n">
        <v>0</v>
      </c>
      <c r="E1805" s="114" t="n">
        <v>10000</v>
      </c>
      <c r="F1805" s="114" t="n">
        <v>31670.13</v>
      </c>
      <c r="G1805" s="114" t="inlineStr">
        <is>
          <t>Ajay Gupta</t>
        </is>
      </c>
      <c r="H1805" s="114" t="inlineStr">
        <is>
          <t>HDFC 5413</t>
        </is>
      </c>
    </row>
    <row r="1806">
      <c r="A1806" s="113" t="n">
        <v>45361</v>
      </c>
      <c r="B1806" s="114" t="inlineStr">
        <is>
          <t>UPIOUT/407035805226/paytmqr158p3xx8vj@payt
m//5814</t>
        </is>
      </c>
      <c r="C1806" s="114" t="inlineStr"/>
      <c r="D1806" s="114" t="n">
        <v>105</v>
      </c>
      <c r="E1806" s="114" t="n">
        <v>0</v>
      </c>
      <c r="F1806" s="114" t="n">
        <v>7002.02</v>
      </c>
      <c r="G1806" s="114" t="inlineStr">
        <is>
          <t>Personal</t>
        </is>
      </c>
      <c r="H1806" s="114" t="inlineStr">
        <is>
          <t>FEDERAL 0847</t>
        </is>
      </c>
    </row>
    <row r="1807">
      <c r="A1807" s="113" t="n">
        <v>45362</v>
      </c>
      <c r="B1807" s="114" t="inlineStr">
        <is>
          <t>UPIOUT/407142083986/Vyapar.168072300538@hd
fc/5812</t>
        </is>
      </c>
      <c r="C1807" s="114" t="inlineStr"/>
      <c r="D1807" s="114" t="n">
        <v>90</v>
      </c>
      <c r="E1807" s="114" t="n">
        <v>0</v>
      </c>
      <c r="F1807" s="114" t="n">
        <v>6345.85</v>
      </c>
      <c r="G1807" s="114" t="inlineStr">
        <is>
          <t>Personal</t>
        </is>
      </c>
      <c r="H1807" s="114" t="inlineStr">
        <is>
          <t>FEDERAL 0847</t>
        </is>
      </c>
    </row>
    <row r="1808">
      <c r="A1808" s="113" t="n">
        <v>45362</v>
      </c>
      <c r="B1808" s="114" t="inlineStr">
        <is>
          <t>UPIOUT/443744709527/amazonpaygrocery@yapl/
Yo/5411</t>
        </is>
      </c>
      <c r="C1808" s="114" t="inlineStr"/>
      <c r="D1808" s="114" t="n">
        <v>784.1799999999999</v>
      </c>
      <c r="E1808" s="114" t="n">
        <v>0</v>
      </c>
      <c r="F1808" s="114" t="n">
        <v>5534.67</v>
      </c>
      <c r="G1808" s="114" t="inlineStr">
        <is>
          <t>Shopping</t>
        </is>
      </c>
      <c r="H1808" s="114" t="inlineStr">
        <is>
          <t>FEDERAL 0847</t>
        </is>
      </c>
    </row>
    <row r="1809">
      <c r="A1809" s="113" t="n">
        <v>45362</v>
      </c>
      <c r="B1809" s="114" t="inlineStr">
        <is>
          <t>UPIOUT/407143589992/paytmqr3zacjjhvyp@payt
m//5462</t>
        </is>
      </c>
      <c r="C1809" s="114" t="inlineStr"/>
      <c r="D1809" s="114" t="n">
        <v>40</v>
      </c>
      <c r="E1809" s="114" t="n">
        <v>0</v>
      </c>
      <c r="F1809" s="114" t="n">
        <v>5494.67</v>
      </c>
      <c r="G1809" s="114" t="inlineStr">
        <is>
          <t>Personal</t>
        </is>
      </c>
      <c r="H1809" s="114" t="inlineStr">
        <is>
          <t>FEDERAL 0847</t>
        </is>
      </c>
    </row>
    <row r="1810">
      <c r="A1810" s="113" t="n">
        <v>45362</v>
      </c>
      <c r="B1810" s="114" t="inlineStr">
        <is>
          <t>UPIOUT/407103347338/paytm-14464838@paytm/U
PI/5812</t>
        </is>
      </c>
      <c r="C1810" s="114" t="inlineStr"/>
      <c r="D1810" s="114" t="n">
        <v>60</v>
      </c>
      <c r="E1810" s="114" t="n">
        <v>0</v>
      </c>
      <c r="F1810" s="114" t="n">
        <v>6435.85</v>
      </c>
      <c r="G1810" s="114" t="inlineStr">
        <is>
          <t>Personal</t>
        </is>
      </c>
      <c r="H1810" s="114" t="inlineStr">
        <is>
          <t>FEDERAL 0847</t>
        </is>
      </c>
    </row>
    <row r="1811">
      <c r="A1811" s="113" t="n">
        <v>45362</v>
      </c>
      <c r="B1811" s="114" t="inlineStr">
        <is>
          <t>NET PI TO HSL SEC A/C 2554606-00602340029427</t>
        </is>
      </c>
      <c r="C1811" s="114" t="inlineStr">
        <is>
          <t>0000000502928380</t>
        </is>
      </c>
      <c r="D1811" s="114" t="n">
        <v>446.16</v>
      </c>
      <c r="E1811" s="114" t="n">
        <v>0</v>
      </c>
      <c r="F1811" s="114" t="n">
        <v>31223.97</v>
      </c>
      <c r="G1811" s="114" t="inlineStr">
        <is>
          <t>HDFC Securities</t>
        </is>
      </c>
      <c r="H1811" s="114" t="inlineStr">
        <is>
          <t>HDFC 5413</t>
        </is>
      </c>
    </row>
    <row r="1812">
      <c r="A1812" s="113" t="n">
        <v>45362</v>
      </c>
      <c r="B1812" s="114" t="inlineStr">
        <is>
          <t>NET PI TO HSL SEC A/C 2554606-00602340029427</t>
        </is>
      </c>
      <c r="C1812" s="114" t="inlineStr">
        <is>
          <t>0000000503028672</t>
        </is>
      </c>
      <c r="D1812" s="114" t="n">
        <v>22735.05</v>
      </c>
      <c r="E1812" s="114" t="n">
        <v>0</v>
      </c>
      <c r="F1812" s="114" t="n">
        <v>8488.92</v>
      </c>
      <c r="G1812" s="114" t="inlineStr">
        <is>
          <t>HDFC Securities</t>
        </is>
      </c>
      <c r="H1812" s="114" t="inlineStr">
        <is>
          <t>HDFC 5413</t>
        </is>
      </c>
    </row>
    <row r="1813">
      <c r="A1813" s="113" t="n">
        <v>45362</v>
      </c>
      <c r="B1813" s="114" t="inlineStr">
        <is>
          <t>NET PI TO HSL SEC A/C 2554606-00602340029427</t>
        </is>
      </c>
      <c r="C1813" s="114" t="inlineStr">
        <is>
          <t>0000000503122615</t>
        </is>
      </c>
      <c r="D1813" s="114" t="n">
        <v>2667.69</v>
      </c>
      <c r="E1813" s="114" t="n">
        <v>0</v>
      </c>
      <c r="F1813" s="114" t="n">
        <v>5821.23</v>
      </c>
      <c r="G1813" s="114" t="inlineStr">
        <is>
          <t>HDFC Securities</t>
        </is>
      </c>
      <c r="H1813" s="114" t="inlineStr">
        <is>
          <t>HDFC 5413</t>
        </is>
      </c>
    </row>
    <row r="1814">
      <c r="A1814" s="113" t="n">
        <v>45362</v>
      </c>
      <c r="B1814" s="114" t="inlineStr">
        <is>
          <t>UPIOUT/407142262140/paytmqr281005050101ql6
bn/5411</t>
        </is>
      </c>
      <c r="C1814" s="114" t="inlineStr"/>
      <c r="D1814" s="114" t="n">
        <v>27</v>
      </c>
      <c r="E1814" s="114" t="n">
        <v>0</v>
      </c>
      <c r="F1814" s="114" t="n">
        <v>6318.85</v>
      </c>
      <c r="G1814" s="114" t="inlineStr">
        <is>
          <t>Personal</t>
        </is>
      </c>
      <c r="H1814" s="114" t="inlineStr">
        <is>
          <t>FEDERAL 0847</t>
        </is>
      </c>
    </row>
    <row r="1815">
      <c r="A1815" s="113" t="n">
        <v>45363</v>
      </c>
      <c r="B1815" s="114" t="inlineStr">
        <is>
          <t>NET PI TO HSL SEC A/C 2554606-00602340029427</t>
        </is>
      </c>
      <c r="C1815" s="114" t="inlineStr">
        <is>
          <t>0000000503522196</t>
        </is>
      </c>
      <c r="D1815" s="114" t="n">
        <v>1818.06</v>
      </c>
      <c r="E1815" s="114" t="n">
        <v>0</v>
      </c>
      <c r="F1815" s="114" t="n">
        <v>4603.17</v>
      </c>
      <c r="G1815" s="114" t="inlineStr">
        <is>
          <t>HDFC Securities</t>
        </is>
      </c>
      <c r="H1815" s="114" t="inlineStr">
        <is>
          <t>HDFC 5413</t>
        </is>
      </c>
    </row>
    <row r="1816">
      <c r="A1816" s="113" t="n">
        <v>45363</v>
      </c>
      <c r="B1816" s="114" t="inlineStr">
        <is>
          <t>ACH C- NATIONAL ALUMINIUM C-NAT0INT02024</t>
        </is>
      </c>
      <c r="C1816" s="114" t="inlineStr">
        <is>
          <t>0000001538448705</t>
        </is>
      </c>
      <c r="D1816" s="114" t="n">
        <v>0</v>
      </c>
      <c r="E1816" s="114" t="n">
        <v>600</v>
      </c>
      <c r="F1816" s="114" t="n">
        <v>6421.23</v>
      </c>
      <c r="G1816" s="114" t="inlineStr">
        <is>
          <t>Dividend Income</t>
        </is>
      </c>
      <c r="H1816" s="114" t="inlineStr">
        <is>
          <t>HDFC 5413</t>
        </is>
      </c>
    </row>
    <row r="1817">
      <c r="A1817" s="113" t="n">
        <v>45363</v>
      </c>
      <c r="B1817" s="114" t="inlineStr">
        <is>
          <t>UPIOUT/407245055193/paytmqrnyyib5udfr@payt
m//7210</t>
        </is>
      </c>
      <c r="C1817" s="114" t="inlineStr"/>
      <c r="D1817" s="114" t="n">
        <v>10</v>
      </c>
      <c r="E1817" s="114" t="n">
        <v>0</v>
      </c>
      <c r="F1817" s="114" t="n">
        <v>5484.67</v>
      </c>
      <c r="G1817" s="114" t="inlineStr">
        <is>
          <t>Personal</t>
        </is>
      </c>
      <c r="H1817" s="114" t="inlineStr">
        <is>
          <t>FEDERAL 0847</t>
        </is>
      </c>
    </row>
    <row r="1818">
      <c r="A1818" s="113" t="n">
        <v>45363</v>
      </c>
      <c r="B1818" s="114" t="inlineStr">
        <is>
          <t>UPIOUT/407239347227/toboxventuresprivatel.
pa/5812</t>
        </is>
      </c>
      <c r="C1818" s="114" t="inlineStr"/>
      <c r="D1818" s="114" t="n">
        <v>160</v>
      </c>
      <c r="E1818" s="114" t="n">
        <v>0</v>
      </c>
      <c r="F1818" s="114" t="n">
        <v>5324.67</v>
      </c>
      <c r="G1818" s="114" t="inlineStr">
        <is>
          <t>Personal</t>
        </is>
      </c>
      <c r="H1818" s="114" t="inlineStr">
        <is>
          <t>FEDERAL 0847</t>
        </is>
      </c>
    </row>
    <row r="1819">
      <c r="A1819" s="113" t="n">
        <v>45363</v>
      </c>
      <c r="B1819" s="114" t="inlineStr">
        <is>
          <t>UPIOUT/407240772902/toboxventuresprivatel.
pa/5812</t>
        </is>
      </c>
      <c r="C1819" s="114" t="inlineStr"/>
      <c r="D1819" s="114" t="n">
        <v>25</v>
      </c>
      <c r="E1819" s="114" t="n">
        <v>0</v>
      </c>
      <c r="F1819" s="114" t="n">
        <v>5299.67</v>
      </c>
      <c r="G1819" s="114" t="inlineStr">
        <is>
          <t>Personal</t>
        </is>
      </c>
      <c r="H1819" s="114" t="inlineStr">
        <is>
          <t>FEDERAL 0847</t>
        </is>
      </c>
    </row>
    <row r="1820">
      <c r="A1820" s="113" t="n">
        <v>45363</v>
      </c>
      <c r="B1820" s="114" t="inlineStr">
        <is>
          <t>UPIOUT/407248838909/TRENTWESTSIDE@ybl/Paym
en/5691</t>
        </is>
      </c>
      <c r="C1820" s="114" t="inlineStr"/>
      <c r="D1820" s="114" t="n">
        <v>300</v>
      </c>
      <c r="E1820" s="114" t="n">
        <v>0</v>
      </c>
      <c r="F1820" s="114" t="n">
        <v>4999.67</v>
      </c>
      <c r="G1820" s="114" t="inlineStr">
        <is>
          <t>Personal</t>
        </is>
      </c>
      <c r="H1820" s="114" t="inlineStr">
        <is>
          <t>FEDERAL 0847</t>
        </is>
      </c>
    </row>
    <row r="1821">
      <c r="A1821" s="113" t="n">
        <v>45363</v>
      </c>
      <c r="B1821" s="114" t="inlineStr">
        <is>
          <t>UPIOUT/407248965230/8457962044@ybl/Sent
via /0000</t>
        </is>
      </c>
      <c r="C1821" s="114" t="inlineStr"/>
      <c r="D1821" s="114" t="n">
        <v>43</v>
      </c>
      <c r="E1821" s="114" t="n">
        <v>0</v>
      </c>
      <c r="F1821" s="114" t="n">
        <v>4956.67</v>
      </c>
      <c r="G1821" s="114" t="inlineStr">
        <is>
          <t>Personal</t>
        </is>
      </c>
      <c r="H1821" s="114" t="inlineStr">
        <is>
          <t>FEDERAL 0847</t>
        </is>
      </c>
    </row>
    <row r="1822">
      <c r="A1822" s="113" t="n">
        <v>45363</v>
      </c>
      <c r="B1822" s="114" t="inlineStr">
        <is>
          <t>UPIOUT/407253791097/q248421440@ybl/UPI/581
2</t>
        </is>
      </c>
      <c r="C1822" s="114" t="inlineStr"/>
      <c r="D1822" s="114" t="n">
        <v>35</v>
      </c>
      <c r="E1822" s="114" t="n">
        <v>0</v>
      </c>
      <c r="F1822" s="114" t="n">
        <v>4921.67</v>
      </c>
      <c r="G1822" s="114" t="inlineStr">
        <is>
          <t>Personal</t>
        </is>
      </c>
      <c r="H1822" s="114" t="inlineStr">
        <is>
          <t>FEDERAL 0847</t>
        </is>
      </c>
    </row>
    <row r="1823">
      <c r="A1823" s="113" t="n">
        <v>45363</v>
      </c>
      <c r="B1823" s="114" t="inlineStr">
        <is>
          <t>UPIOUT/407249646306/paytmqr110em392r1@payt
m//5462</t>
        </is>
      </c>
      <c r="C1823" s="114" t="inlineStr"/>
      <c r="D1823" s="114" t="n">
        <v>20</v>
      </c>
      <c r="E1823" s="114" t="n">
        <v>0</v>
      </c>
      <c r="F1823" s="114" t="n">
        <v>4901.67</v>
      </c>
      <c r="G1823" s="114" t="inlineStr">
        <is>
          <t>Personal</t>
        </is>
      </c>
      <c r="H1823" s="114" t="inlineStr">
        <is>
          <t>FEDERAL 0847</t>
        </is>
      </c>
    </row>
    <row r="1824">
      <c r="A1824" s="113" t="n">
        <v>45364</v>
      </c>
      <c r="B1824" s="114" t="inlineStr">
        <is>
          <t>UPIOUT/407356960767/paytmqr281005050101ql6
bn/5411</t>
        </is>
      </c>
      <c r="C1824" s="114" t="inlineStr"/>
      <c r="D1824" s="114" t="n">
        <v>40</v>
      </c>
      <c r="E1824" s="114" t="n">
        <v>0</v>
      </c>
      <c r="F1824" s="114" t="n">
        <v>4831.67</v>
      </c>
      <c r="G1824" s="114" t="inlineStr">
        <is>
          <t>Personal</t>
        </is>
      </c>
      <c r="H1824" s="114" t="inlineStr">
        <is>
          <t>FEDERAL 0847</t>
        </is>
      </c>
    </row>
    <row r="1825">
      <c r="A1825" s="113" t="n">
        <v>45364</v>
      </c>
      <c r="B1825" s="114" t="inlineStr">
        <is>
          <t>UPIOUT/407355964180/Q780242764@ybl/Sent
via /5814</t>
        </is>
      </c>
      <c r="C1825" s="114" t="inlineStr"/>
      <c r="D1825" s="114" t="n">
        <v>30</v>
      </c>
      <c r="E1825" s="114" t="n">
        <v>0</v>
      </c>
      <c r="F1825" s="114" t="n">
        <v>4871.67</v>
      </c>
      <c r="G1825" s="114" t="inlineStr">
        <is>
          <t>Personal</t>
        </is>
      </c>
      <c r="H1825" s="114" t="inlineStr">
        <is>
          <t>FEDERAL 0847</t>
        </is>
      </c>
    </row>
    <row r="1826">
      <c r="A1826" s="113" t="n">
        <v>45364</v>
      </c>
      <c r="B1826" s="114" t="inlineStr">
        <is>
          <t>NET PI TO HSL SEC A/C 2554606-00602340029427</t>
        </is>
      </c>
      <c r="C1826" s="114" t="inlineStr">
        <is>
          <t>0000000504024743</t>
        </is>
      </c>
      <c r="D1826" s="114" t="n">
        <v>12617.13</v>
      </c>
      <c r="E1826" s="114" t="n">
        <v>0</v>
      </c>
      <c r="F1826" s="114" t="n">
        <v>21602.49</v>
      </c>
      <c r="G1826" s="114" t="inlineStr">
        <is>
          <t>HDFC Securities</t>
        </is>
      </c>
      <c r="H1826" s="114" t="inlineStr">
        <is>
          <t>HDFC 5413</t>
        </is>
      </c>
    </row>
    <row r="1827">
      <c r="A1827" s="113" t="n">
        <v>45364</v>
      </c>
      <c r="B1827" s="114" t="inlineStr">
        <is>
          <t>UPI-AJAY KUMAR GUPTA-AJAYGUPTANEL@AXL-HDFC0000167-443983561883-RETURN FROM AAYUSH</t>
        </is>
      </c>
      <c r="C1827" s="114" t="inlineStr">
        <is>
          <t>0000443983561883</t>
        </is>
      </c>
      <c r="D1827" s="114" t="n">
        <v>0</v>
      </c>
      <c r="E1827" s="114" t="n">
        <v>10000</v>
      </c>
      <c r="F1827" s="114" t="n">
        <v>56064.23</v>
      </c>
      <c r="G1827" s="114" t="inlineStr">
        <is>
          <t>Ajay Gupta</t>
        </is>
      </c>
      <c r="H1827" s="114" t="inlineStr">
        <is>
          <t>HDFC 5413</t>
        </is>
      </c>
    </row>
    <row r="1828">
      <c r="A1828" s="113" t="n">
        <v>45364</v>
      </c>
      <c r="B1828" s="114" t="inlineStr">
        <is>
          <t>UPI-AJAY KUMAR GUPTA-AJAYGUPTANEL@AXL-HDFC0000167-443973513039-MONEY RETURNED FRO</t>
        </is>
      </c>
      <c r="C1828" s="114" t="inlineStr">
        <is>
          <t>0000443973513039</t>
        </is>
      </c>
      <c r="D1828" s="114" t="n">
        <v>20000</v>
      </c>
      <c r="E1828" s="114" t="n">
        <v>0</v>
      </c>
      <c r="F1828" s="114" t="n">
        <v>36064.23</v>
      </c>
      <c r="G1828" s="114" t="inlineStr">
        <is>
          <t>Ajay Gupta</t>
        </is>
      </c>
      <c r="H1828" s="114" t="inlineStr">
        <is>
          <t>HDFC 5413</t>
        </is>
      </c>
    </row>
    <row r="1829">
      <c r="A1829" s="113" t="n">
        <v>45364</v>
      </c>
      <c r="B1829" s="114" t="inlineStr">
        <is>
          <t>NET PI TO HSL SEC A/C 2554606-00602340029427</t>
        </is>
      </c>
      <c r="C1829" s="114" t="inlineStr">
        <is>
          <t>0000000503787027</t>
        </is>
      </c>
      <c r="D1829" s="114" t="n">
        <v>137.99</v>
      </c>
      <c r="E1829" s="114" t="n">
        <v>0</v>
      </c>
      <c r="F1829" s="114" t="n">
        <v>35926.24</v>
      </c>
      <c r="G1829" s="114" t="inlineStr">
        <is>
          <t>HDFC Securities</t>
        </is>
      </c>
      <c r="H1829" s="114" t="inlineStr">
        <is>
          <t>HDFC 5413</t>
        </is>
      </c>
    </row>
    <row r="1830">
      <c r="A1830" s="113" t="n">
        <v>45364</v>
      </c>
      <c r="B1830" s="114" t="inlineStr">
        <is>
          <t>DEPOSITORY CHARGES FEB24 - 52812428</t>
        </is>
      </c>
      <c r="C1830" s="114" t="inlineStr">
        <is>
          <t>000000000000000</t>
        </is>
      </c>
      <c r="D1830" s="114" t="n">
        <v>1706.62</v>
      </c>
      <c r="E1830" s="114" t="n">
        <v>0</v>
      </c>
      <c r="F1830" s="114" t="n">
        <v>34219.62</v>
      </c>
      <c r="G1830" s="114" t="inlineStr">
        <is>
          <t>Depository Charges</t>
        </is>
      </c>
      <c r="H1830" s="114" t="inlineStr">
        <is>
          <t>HDFC 5413</t>
        </is>
      </c>
    </row>
    <row r="1831">
      <c r="A1831" s="113" t="n">
        <v>45364</v>
      </c>
      <c r="B1831" s="114" t="inlineStr">
        <is>
          <t>NET PO FROM HSL A/C 2554606-50200085415108</t>
        </is>
      </c>
      <c r="C1831" s="114" t="inlineStr">
        <is>
          <t>0000000503674029</t>
        </is>
      </c>
      <c r="D1831" s="114" t="n">
        <v>0</v>
      </c>
      <c r="E1831" s="114" t="n">
        <v>41461.06</v>
      </c>
      <c r="F1831" s="114" t="n">
        <v>46064.23</v>
      </c>
      <c r="G1831" s="114" t="inlineStr">
        <is>
          <t>HDFC Securities</t>
        </is>
      </c>
      <c r="H1831" s="114" t="inlineStr">
        <is>
          <t>HDFC 5413</t>
        </is>
      </c>
    </row>
    <row r="1832">
      <c r="A1832" s="113" t="n">
        <v>45365</v>
      </c>
      <c r="B1832" s="114" t="inlineStr">
        <is>
          <t>NET PI TO HSL SEC A/C 2554606-00602340029427</t>
        </is>
      </c>
      <c r="C1832" s="114" t="inlineStr">
        <is>
          <t>0000000504311400</t>
        </is>
      </c>
      <c r="D1832" s="114" t="n">
        <v>133.5</v>
      </c>
      <c r="E1832" s="114" t="n">
        <v>0</v>
      </c>
      <c r="F1832" s="114" t="n">
        <v>21468.99</v>
      </c>
      <c r="G1832" s="114" t="inlineStr">
        <is>
          <t>HDFC Securities</t>
        </is>
      </c>
      <c r="H1832" s="114" t="inlineStr">
        <is>
          <t>HDFC 5413</t>
        </is>
      </c>
    </row>
    <row r="1833">
      <c r="A1833" s="113" t="n">
        <v>45365</v>
      </c>
      <c r="B1833" s="114" t="inlineStr">
        <is>
          <t>UPIOUT/407413363619/toboxventuresprivatel.
pa/5812</t>
        </is>
      </c>
      <c r="C1833" s="114" t="inlineStr"/>
      <c r="D1833" s="114" t="n">
        <v>75</v>
      </c>
      <c r="E1833" s="114" t="n">
        <v>0</v>
      </c>
      <c r="F1833" s="114" t="n">
        <v>4736.67</v>
      </c>
      <c r="G1833" s="114" t="inlineStr">
        <is>
          <t>Personal</t>
        </is>
      </c>
      <c r="H1833" s="114" t="inlineStr">
        <is>
          <t>FEDERAL 0847</t>
        </is>
      </c>
    </row>
    <row r="1834">
      <c r="A1834" s="113" t="n">
        <v>45365</v>
      </c>
      <c r="B1834" s="114" t="inlineStr">
        <is>
          <t>UPIOUT/407405707015/amazonupi@apl/Request
fr/5262</t>
        </is>
      </c>
      <c r="C1834" s="114" t="inlineStr"/>
      <c r="D1834" s="114" t="n">
        <v>2274</v>
      </c>
      <c r="E1834" s="114" t="n">
        <v>0</v>
      </c>
      <c r="F1834" s="114" t="n">
        <v>2462.67</v>
      </c>
      <c r="G1834" s="114" t="inlineStr">
        <is>
          <t>Shopping</t>
        </is>
      </c>
      <c r="H1834" s="114" t="inlineStr">
        <is>
          <t>FEDERAL 0847</t>
        </is>
      </c>
    </row>
    <row r="1835">
      <c r="A1835" s="113" t="n">
        <v>45365</v>
      </c>
      <c r="B1835" s="114" t="inlineStr">
        <is>
          <t>UPIOUT/407459133092/paytmqrnyyib5udfr@payt
m//7210</t>
        </is>
      </c>
      <c r="C1835" s="114" t="inlineStr"/>
      <c r="D1835" s="114" t="n">
        <v>20</v>
      </c>
      <c r="E1835" s="114" t="n">
        <v>0</v>
      </c>
      <c r="F1835" s="114" t="n">
        <v>4811.67</v>
      </c>
      <c r="G1835" s="114" t="inlineStr">
        <is>
          <t>Personal</t>
        </is>
      </c>
      <c r="H1835" s="114" t="inlineStr">
        <is>
          <t>FEDERAL 0847</t>
        </is>
      </c>
    </row>
    <row r="1836">
      <c r="A1836" s="113" t="n">
        <v>45366</v>
      </c>
      <c r="B1836" s="114" t="inlineStr">
        <is>
          <t>UPIOUT/444107705947/paytm-56505013@paytm/O
id/5399</t>
        </is>
      </c>
      <c r="C1836" s="114" t="inlineStr"/>
      <c r="D1836" s="114" t="n">
        <v>2099</v>
      </c>
      <c r="E1836" s="114" t="n">
        <v>0</v>
      </c>
      <c r="F1836" s="114" t="n">
        <v>363.67</v>
      </c>
      <c r="G1836" s="114" t="inlineStr">
        <is>
          <t>Personal</t>
        </is>
      </c>
      <c r="H1836" s="114" t="inlineStr">
        <is>
          <t>FEDERAL 0847</t>
        </is>
      </c>
    </row>
    <row r="1837">
      <c r="A1837" s="113" t="n">
        <v>45366</v>
      </c>
      <c r="B1837" s="114" t="inlineStr">
        <is>
          <t>UPI IN/407565255440/9594435259@jupiteraxis
/A/0000</t>
        </is>
      </c>
      <c r="C1837" s="114" t="inlineStr"/>
      <c r="D1837" s="114" t="n">
        <v>0</v>
      </c>
      <c r="E1837" s="114" t="n">
        <v>5000</v>
      </c>
      <c r="F1837" s="114" t="n">
        <v>5638.67</v>
      </c>
      <c r="G1837" s="114" t="inlineStr">
        <is>
          <t>KOTAK 0333</t>
        </is>
      </c>
      <c r="H1837" s="114" t="inlineStr">
        <is>
          <t>FEDERAL 0847</t>
        </is>
      </c>
    </row>
    <row r="1838">
      <c r="A1838" s="113" t="n">
        <v>45366</v>
      </c>
      <c r="B1838" s="114" t="inlineStr">
        <is>
          <t>UPIOUT/407567942187/paytmqrhdex80dh4r@payt
m//5812</t>
        </is>
      </c>
      <c r="C1838" s="114" t="inlineStr"/>
      <c r="D1838" s="114" t="n">
        <v>90</v>
      </c>
      <c r="E1838" s="114" t="n">
        <v>0</v>
      </c>
      <c r="F1838" s="114" t="n">
        <v>5537.67</v>
      </c>
      <c r="G1838" s="114" t="inlineStr">
        <is>
          <t>Personal</t>
        </is>
      </c>
      <c r="H1838" s="114" t="inlineStr">
        <is>
          <t>FEDERAL 0847</t>
        </is>
      </c>
    </row>
    <row r="1839">
      <c r="A1839" s="113" t="n">
        <v>45366</v>
      </c>
      <c r="B1839" s="114" t="inlineStr">
        <is>
          <t>UPIOUT/407565433805/paytmqr3zacjjhvyp@payt
m//5462</t>
        </is>
      </c>
      <c r="C1839" s="114" t="inlineStr"/>
      <c r="D1839" s="114" t="n">
        <v>10</v>
      </c>
      <c r="E1839" s="114" t="n">
        <v>0</v>
      </c>
      <c r="F1839" s="114" t="n">
        <v>3628.67</v>
      </c>
      <c r="G1839" s="114" t="inlineStr">
        <is>
          <t>Personal</t>
        </is>
      </c>
      <c r="H1839" s="114" t="inlineStr">
        <is>
          <t>FEDERAL 0847</t>
        </is>
      </c>
    </row>
    <row r="1840">
      <c r="A1840" s="113" t="n">
        <v>45366</v>
      </c>
      <c r="B1840" s="114" t="inlineStr">
        <is>
          <t>UPI IN/407566501968/amazon.refunds@axisban
k//0000</t>
        </is>
      </c>
      <c r="C1840" s="114" t="inlineStr"/>
      <c r="D1840" s="114" t="n">
        <v>0</v>
      </c>
      <c r="E1840" s="114" t="n">
        <v>1999</v>
      </c>
      <c r="F1840" s="114" t="n">
        <v>5627.67</v>
      </c>
      <c r="G1840" s="114" t="inlineStr">
        <is>
          <t>Misc Income</t>
        </is>
      </c>
      <c r="H1840" s="114" t="inlineStr">
        <is>
          <t>FEDERAL 0847</t>
        </is>
      </c>
    </row>
    <row r="1841">
      <c r="A1841" s="113" t="n">
        <v>45366</v>
      </c>
      <c r="B1841" s="114" t="inlineStr">
        <is>
          <t>UPIOUT/407569825797/paytmqr12a3hwe9xy@payt
m//5411</t>
        </is>
      </c>
      <c r="C1841" s="114" t="inlineStr"/>
      <c r="D1841" s="114" t="n">
        <v>110</v>
      </c>
      <c r="E1841" s="114" t="n">
        <v>0</v>
      </c>
      <c r="F1841" s="114" t="n">
        <v>5427.67</v>
      </c>
      <c r="G1841" s="114" t="inlineStr">
        <is>
          <t>Personal</t>
        </is>
      </c>
      <c r="H1841" s="114" t="inlineStr">
        <is>
          <t>FEDERAL 0847</t>
        </is>
      </c>
    </row>
    <row r="1842">
      <c r="A1842" s="113" t="n">
        <v>45366</v>
      </c>
      <c r="B1842" s="114" t="inlineStr">
        <is>
          <t>UPIOUT/407570910552/Q403465439@ybl/Sent
via /5812</t>
        </is>
      </c>
      <c r="C1842" s="114" t="inlineStr"/>
      <c r="D1842" s="114" t="n">
        <v>40</v>
      </c>
      <c r="E1842" s="114" t="n">
        <v>0</v>
      </c>
      <c r="F1842" s="114" t="n">
        <v>5387.67</v>
      </c>
      <c r="G1842" s="114" t="inlineStr">
        <is>
          <t>Personal</t>
        </is>
      </c>
      <c r="H1842" s="114" t="inlineStr">
        <is>
          <t>FEDERAL 0847</t>
        </is>
      </c>
    </row>
    <row r="1843">
      <c r="A1843" s="113" t="n">
        <v>45366</v>
      </c>
      <c r="B1843" s="114" t="inlineStr">
        <is>
          <t>NFT/NEOSIEXEDDD2024031502301538967 Mirae
Asset Mut</t>
        </is>
      </c>
      <c r="C1843" s="114" t="inlineStr"/>
      <c r="D1843" s="114" t="n">
        <v>2000</v>
      </c>
      <c r="E1843" s="114" t="n">
        <v>0</v>
      </c>
      <c r="F1843" s="114" t="n">
        <v>3638.67</v>
      </c>
      <c r="G1843" s="114" t="inlineStr">
        <is>
          <t>Investments</t>
        </is>
      </c>
      <c r="H1843" s="114" t="inlineStr">
        <is>
          <t>FEDERAL 0847</t>
        </is>
      </c>
    </row>
    <row r="1844">
      <c r="A1844" s="113" t="n">
        <v>45366</v>
      </c>
      <c r="B1844" s="114" t="inlineStr">
        <is>
          <t>TRANS</t>
        </is>
      </c>
      <c r="C1844" s="114" t="inlineStr">
        <is>
          <t>FCM-24031594KVJN</t>
        </is>
      </c>
      <c r="D1844" s="114" t="n">
        <v>0</v>
      </c>
      <c r="E1844" s="114" t="n">
        <v>9109</v>
      </c>
      <c r="F1844" s="114" t="n">
        <v>9109</v>
      </c>
      <c r="G1844" s="114" t="inlineStr">
        <is>
          <t>Auto Sweep FD</t>
        </is>
      </c>
      <c r="H1844" s="114" t="inlineStr">
        <is>
          <t>KOTAK 0333</t>
        </is>
      </c>
    </row>
    <row r="1845">
      <c r="A1845" s="113" t="n">
        <v>45366</v>
      </c>
      <c r="B1845" s="114" t="inlineStr">
        <is>
          <t>UPI IN/407565243537/amazon.refunds@axisban
k//0000</t>
        </is>
      </c>
      <c r="C1845" s="114" t="inlineStr"/>
      <c r="D1845" s="114" t="n">
        <v>0</v>
      </c>
      <c r="E1845" s="114" t="n">
        <v>275</v>
      </c>
      <c r="F1845" s="114" t="n">
        <v>638.67</v>
      </c>
      <c r="G1845" s="114" t="inlineStr">
        <is>
          <t>Misc Income</t>
        </is>
      </c>
      <c r="H1845" s="114" t="inlineStr">
        <is>
          <t>FEDERAL 0847</t>
        </is>
      </c>
    </row>
    <row r="1846">
      <c r="A1846" s="113" t="n">
        <v>45366</v>
      </c>
      <c r="B1846" s="114" t="inlineStr">
        <is>
          <t>NET PI TO HSL SEC A/C 2554606-00602340029427</t>
        </is>
      </c>
      <c r="C1846" s="114" t="inlineStr">
        <is>
          <t>0000000504760202</t>
        </is>
      </c>
      <c r="D1846" s="114" t="n">
        <v>138.61</v>
      </c>
      <c r="E1846" s="114" t="n">
        <v>0</v>
      </c>
      <c r="F1846" s="114" t="n">
        <v>26854.28</v>
      </c>
      <c r="G1846" s="114" t="inlineStr">
        <is>
          <t>HDFC Securities</t>
        </is>
      </c>
      <c r="H1846" s="114" t="inlineStr">
        <is>
          <t>HDFC 5413</t>
        </is>
      </c>
    </row>
    <row r="1847">
      <c r="A1847" s="113" t="n">
        <v>45366</v>
      </c>
      <c r="B1847" s="114" t="inlineStr">
        <is>
          <t>NET PO FROM HSL A/C 2554606-50200085415108</t>
        </is>
      </c>
      <c r="C1847" s="114" t="inlineStr">
        <is>
          <t>0000000505009089</t>
        </is>
      </c>
      <c r="D1847" s="114" t="n">
        <v>0</v>
      </c>
      <c r="E1847" s="114" t="n">
        <v>751.22</v>
      </c>
      <c r="F1847" s="114" t="n">
        <v>27605.5</v>
      </c>
      <c r="G1847" s="114" t="inlineStr">
        <is>
          <t>HDFC Securities</t>
        </is>
      </c>
      <c r="H1847" s="114" t="inlineStr">
        <is>
          <t>HDFC 5413</t>
        </is>
      </c>
    </row>
    <row r="1848">
      <c r="A1848" s="113" t="n">
        <v>45366</v>
      </c>
      <c r="B1848" s="114" t="inlineStr">
        <is>
          <t>NET PO FROM HSL A/C 2554606-50200085415108</t>
        </is>
      </c>
      <c r="C1848" s="114" t="inlineStr">
        <is>
          <t>0000000504600598</t>
        </is>
      </c>
      <c r="D1848" s="114" t="n">
        <v>0</v>
      </c>
      <c r="E1848" s="114" t="n">
        <v>5523.9</v>
      </c>
      <c r="F1848" s="114" t="n">
        <v>26992.89</v>
      </c>
      <c r="G1848" s="114" t="inlineStr">
        <is>
          <t>HDFC Securities</t>
        </is>
      </c>
      <c r="H1848" s="114" t="inlineStr">
        <is>
          <t>HDFC 5413</t>
        </is>
      </c>
    </row>
    <row r="1849">
      <c r="A1849" s="113" t="n">
        <v>45368</v>
      </c>
      <c r="B1849" s="114" t="inlineStr">
        <is>
          <t>UPIOUT/407795938504/uberrides@hdfcbank/cha
rg/5960</t>
        </is>
      </c>
      <c r="C1849" s="114" t="inlineStr"/>
      <c r="D1849" s="114" t="n">
        <v>52.79</v>
      </c>
      <c r="E1849" s="114" t="n">
        <v>0</v>
      </c>
      <c r="F1849" s="114" t="n">
        <v>5284.88</v>
      </c>
      <c r="G1849" s="114" t="inlineStr">
        <is>
          <t>Transport</t>
        </is>
      </c>
      <c r="H1849" s="114" t="inlineStr">
        <is>
          <t>FEDERAL 0847</t>
        </is>
      </c>
    </row>
    <row r="1850">
      <c r="A1850" s="113" t="n">
        <v>45368</v>
      </c>
      <c r="B1850" s="114" t="inlineStr">
        <is>
          <t>UPIOUT/407783790426/zomato-
order@paytm/Zomat/5812</t>
        </is>
      </c>
      <c r="C1850" s="114" t="inlineStr"/>
      <c r="D1850" s="114" t="n">
        <v>561</v>
      </c>
      <c r="E1850" s="114" t="n">
        <v>0</v>
      </c>
      <c r="F1850" s="114" t="n">
        <v>4723.88</v>
      </c>
      <c r="G1850" s="114" t="inlineStr">
        <is>
          <t>Food &amp; Dining</t>
        </is>
      </c>
      <c r="H1850" s="114" t="inlineStr">
        <is>
          <t>FEDERAL 0847</t>
        </is>
      </c>
    </row>
    <row r="1851">
      <c r="A1851" s="113" t="n">
        <v>45368</v>
      </c>
      <c r="B1851" s="114" t="inlineStr">
        <is>
          <t>UPI IN/407740002354/9205307900@paytm/Sent
fr/0000</t>
        </is>
      </c>
      <c r="C1851" s="114" t="inlineStr"/>
      <c r="D1851" s="114" t="n">
        <v>0</v>
      </c>
      <c r="E1851" s="114" t="n">
        <v>300</v>
      </c>
      <c r="F1851" s="114" t="n">
        <v>5023.88</v>
      </c>
      <c r="G1851" s="114" t="inlineStr">
        <is>
          <t>Personal</t>
        </is>
      </c>
      <c r="H1851" s="114" t="inlineStr">
        <is>
          <t>FEDERAL 0847</t>
        </is>
      </c>
    </row>
    <row r="1852">
      <c r="A1852" s="113" t="n">
        <v>45368</v>
      </c>
      <c r="B1852" s="114" t="inlineStr">
        <is>
          <t>UPIOUT/407784156226/uber@axisbank/charge/4
121</t>
        </is>
      </c>
      <c r="C1852" s="114" t="inlineStr"/>
      <c r="D1852" s="114" t="n">
        <v>64.02</v>
      </c>
      <c r="E1852" s="114" t="n">
        <v>0</v>
      </c>
      <c r="F1852" s="114" t="n">
        <v>4959.86</v>
      </c>
      <c r="G1852" s="114" t="inlineStr">
        <is>
          <t>Transport</t>
        </is>
      </c>
      <c r="H1852" s="114" t="inlineStr">
        <is>
          <t>FEDERAL 0847</t>
        </is>
      </c>
    </row>
    <row r="1853">
      <c r="A1853" s="113" t="n">
        <v>45368</v>
      </c>
      <c r="B1853" s="114" t="inlineStr">
        <is>
          <t>UPIOUT/407780829526/zomatoltd9.rzp@mairtel
/P/5811</t>
        </is>
      </c>
      <c r="C1853" s="114" t="inlineStr"/>
      <c r="D1853" s="114" t="n">
        <v>50</v>
      </c>
      <c r="E1853" s="114" t="n">
        <v>0</v>
      </c>
      <c r="F1853" s="114" t="n">
        <v>5337.67</v>
      </c>
      <c r="G1853" s="114" t="inlineStr">
        <is>
          <t>Food &amp; Dining</t>
        </is>
      </c>
      <c r="H1853" s="114" t="inlineStr">
        <is>
          <t>FEDERAL 0847</t>
        </is>
      </c>
    </row>
    <row r="1854">
      <c r="A1854" s="113" t="n">
        <v>45369</v>
      </c>
      <c r="B1854" s="114" t="inlineStr">
        <is>
          <t>UPIOUT/407890448729/Q248421440@ybl/Sent
via /5812</t>
        </is>
      </c>
      <c r="C1854" s="114" t="inlineStr"/>
      <c r="D1854" s="114" t="n">
        <v>40</v>
      </c>
      <c r="E1854" s="114" t="n">
        <v>0</v>
      </c>
      <c r="F1854" s="114" t="n">
        <v>4783.16</v>
      </c>
      <c r="G1854" s="114" t="inlineStr">
        <is>
          <t>Personal</t>
        </is>
      </c>
      <c r="H1854" s="114" t="inlineStr">
        <is>
          <t>FEDERAL 0847</t>
        </is>
      </c>
    </row>
    <row r="1855">
      <c r="A1855" s="113" t="n">
        <v>45369</v>
      </c>
      <c r="B1855" s="114" t="inlineStr">
        <is>
          <t>NET PI TO HSL SEC A/C 2554606-00602340029427</t>
        </is>
      </c>
      <c r="C1855" s="114" t="inlineStr">
        <is>
          <t>0000000505315342</t>
        </is>
      </c>
      <c r="D1855" s="114" t="n">
        <v>422.52</v>
      </c>
      <c r="E1855" s="114" t="n">
        <v>0</v>
      </c>
      <c r="F1855" s="114" t="n">
        <v>27182.98</v>
      </c>
      <c r="G1855" s="114" t="inlineStr">
        <is>
          <t>HDFC Securities</t>
        </is>
      </c>
      <c r="H1855" s="114" t="inlineStr">
        <is>
          <t>HDFC 5413</t>
        </is>
      </c>
    </row>
    <row r="1856">
      <c r="A1856" s="113" t="n">
        <v>45369</v>
      </c>
      <c r="B1856" s="114" t="inlineStr">
        <is>
          <t>NET PI TO HSL SEC A/C 2554606-00602340029427</t>
        </is>
      </c>
      <c r="C1856" s="114" t="inlineStr">
        <is>
          <t>0000000505546822</t>
        </is>
      </c>
      <c r="D1856" s="114" t="n">
        <v>2206.38</v>
      </c>
      <c r="E1856" s="114" t="n">
        <v>0</v>
      </c>
      <c r="F1856" s="114" t="n">
        <v>24976.6</v>
      </c>
      <c r="G1856" s="114" t="inlineStr">
        <is>
          <t>HDFC Securities</t>
        </is>
      </c>
      <c r="H1856" s="114" t="inlineStr">
        <is>
          <t>HDFC 5413</t>
        </is>
      </c>
    </row>
    <row r="1857">
      <c r="A1857" s="113" t="n">
        <v>45369</v>
      </c>
      <c r="B1857" s="114" t="inlineStr">
        <is>
          <t>UPIOUT/407885565456/paytmqrnyyib5udfr@payt
m//7210</t>
        </is>
      </c>
      <c r="C1857" s="114" t="inlineStr"/>
      <c r="D1857" s="114" t="n">
        <v>40</v>
      </c>
      <c r="E1857" s="114" t="n">
        <v>0</v>
      </c>
      <c r="F1857" s="114" t="n">
        <v>4919.86</v>
      </c>
      <c r="G1857" s="114" t="inlineStr">
        <is>
          <t>Personal</t>
        </is>
      </c>
      <c r="H1857" s="114" t="inlineStr">
        <is>
          <t>FEDERAL 0847</t>
        </is>
      </c>
    </row>
    <row r="1858">
      <c r="A1858" s="113" t="n">
        <v>45369</v>
      </c>
      <c r="B1858" s="114" t="inlineStr">
        <is>
          <t>UPI IN/407811693463/9594435259@kotak/MB
UPI/0000</t>
        </is>
      </c>
      <c r="C1858" s="114" t="inlineStr"/>
      <c r="D1858" s="114" t="n">
        <v>0</v>
      </c>
      <c r="E1858" s="114" t="n">
        <v>1</v>
      </c>
      <c r="F1858" s="114" t="n">
        <v>4920.86</v>
      </c>
      <c r="G1858" s="114" t="inlineStr">
        <is>
          <t>KOTAK 0333</t>
        </is>
      </c>
      <c r="H1858" s="114" t="inlineStr">
        <is>
          <t>FEDERAL 0847</t>
        </is>
      </c>
    </row>
    <row r="1859">
      <c r="A1859" s="113" t="n">
        <v>45369</v>
      </c>
      <c r="B1859" s="114" t="inlineStr">
        <is>
          <t>UPI/AAYUSH KUMAR GU/407811693463/MB UPI</t>
        </is>
      </c>
      <c r="C1859" s="114" t="inlineStr">
        <is>
          <t>UPI-407898263279</t>
        </is>
      </c>
      <c r="D1859" s="114" t="n">
        <v>1</v>
      </c>
      <c r="E1859" s="114" t="n">
        <v>0</v>
      </c>
      <c r="F1859" s="114" t="n">
        <v>9108</v>
      </c>
      <c r="G1859" s="114" t="inlineStr">
        <is>
          <t>FEDERAL 0847</t>
        </is>
      </c>
      <c r="H1859" s="114" t="inlineStr">
        <is>
          <t>KOTAK 0333</t>
        </is>
      </c>
    </row>
    <row r="1860">
      <c r="A1860" s="113" t="n">
        <v>45369</v>
      </c>
      <c r="B1860" s="114" t="inlineStr">
        <is>
          <t>UPI/AAYUSH KUMAR GU/407811695179/MB UPI</t>
        </is>
      </c>
      <c r="C1860" s="114" t="inlineStr">
        <is>
          <t>UPI-407898305881</t>
        </is>
      </c>
      <c r="D1860" s="114" t="n">
        <v>4999</v>
      </c>
      <c r="E1860" s="114" t="n">
        <v>0</v>
      </c>
      <c r="F1860" s="114" t="n">
        <v>4109</v>
      </c>
      <c r="G1860" s="114" t="inlineStr">
        <is>
          <t>Transfer</t>
        </is>
      </c>
      <c r="H1860" s="114" t="inlineStr">
        <is>
          <t>KOTAK 0333</t>
        </is>
      </c>
    </row>
    <row r="1861">
      <c r="A1861" s="113" t="n">
        <v>45369</v>
      </c>
      <c r="B1861" s="114" t="inlineStr">
        <is>
          <t>UPIOUT/407887304759/Q176042605@ybl/Sent
via /5814</t>
        </is>
      </c>
      <c r="C1861" s="114" t="inlineStr"/>
      <c r="D1861" s="114" t="n">
        <v>60</v>
      </c>
      <c r="E1861" s="114" t="n">
        <v>0</v>
      </c>
      <c r="F1861" s="114" t="n">
        <v>4860.86</v>
      </c>
      <c r="G1861" s="114" t="inlineStr">
        <is>
          <t>Personal</t>
        </is>
      </c>
      <c r="H1861" s="114" t="inlineStr">
        <is>
          <t>FEDERAL 0847</t>
        </is>
      </c>
    </row>
    <row r="1862">
      <c r="A1862" s="113" t="n">
        <v>45369</v>
      </c>
      <c r="B1862" s="114" t="inlineStr">
        <is>
          <t>UPIOUT/407899400299/uberrides@hdfcbank/cha
rg/5960</t>
        </is>
      </c>
      <c r="C1862" s="114" t="inlineStr"/>
      <c r="D1862" s="114" t="n">
        <v>37.7</v>
      </c>
      <c r="E1862" s="114" t="n">
        <v>0</v>
      </c>
      <c r="F1862" s="114" t="n">
        <v>4823.16</v>
      </c>
      <c r="G1862" s="114" t="inlineStr">
        <is>
          <t>Transport</t>
        </is>
      </c>
      <c r="H1862" s="114" t="inlineStr">
        <is>
          <t>FEDERAL 0847</t>
        </is>
      </c>
    </row>
    <row r="1863">
      <c r="A1863" s="113" t="n">
        <v>45370</v>
      </c>
      <c r="B1863" s="114" t="inlineStr">
        <is>
          <t>UPI/AAYUSH KUMAR GU/407908004025/MB UPI</t>
        </is>
      </c>
      <c r="C1863" s="114" t="inlineStr">
        <is>
          <t>UPI-407933197636</t>
        </is>
      </c>
      <c r="D1863" s="114" t="n">
        <v>4109</v>
      </c>
      <c r="E1863" s="114" t="n">
        <v>0</v>
      </c>
      <c r="F1863" s="114" t="n">
        <v>0</v>
      </c>
      <c r="G1863" s="114" t="inlineStr">
        <is>
          <t>Transfer</t>
        </is>
      </c>
      <c r="H1863" s="114" t="inlineStr">
        <is>
          <t>KOTAK 0333</t>
        </is>
      </c>
    </row>
    <row r="1864">
      <c r="A1864" s="113" t="n">
        <v>45370</v>
      </c>
      <c r="B1864" s="114" t="inlineStr">
        <is>
          <t>UPIOUT/407902528303/uberrides@hdfcbank/cha
rg/5960</t>
        </is>
      </c>
      <c r="C1864" s="114" t="inlineStr"/>
      <c r="D1864" s="114" t="n">
        <v>59.93</v>
      </c>
      <c r="E1864" s="114" t="n">
        <v>0</v>
      </c>
      <c r="F1864" s="114" t="n">
        <v>4516.68</v>
      </c>
      <c r="G1864" s="114" t="inlineStr">
        <is>
          <t>Transport</t>
        </is>
      </c>
      <c r="H1864" s="114" t="inlineStr">
        <is>
          <t>FEDERAL 0847</t>
        </is>
      </c>
    </row>
    <row r="1865">
      <c r="A1865" s="113" t="n">
        <v>45370</v>
      </c>
      <c r="B1865" s="114" t="inlineStr">
        <is>
          <t>UPIOUT/407996788437/toboxventuresprivatel.
pa/5812</t>
        </is>
      </c>
      <c r="C1865" s="114" t="inlineStr"/>
      <c r="D1865" s="114" t="n">
        <v>152.25</v>
      </c>
      <c r="E1865" s="114" t="n">
        <v>0</v>
      </c>
      <c r="F1865" s="114" t="n">
        <v>4630.91</v>
      </c>
      <c r="G1865" s="114" t="inlineStr">
        <is>
          <t>Personal</t>
        </is>
      </c>
      <c r="H1865" s="114" t="inlineStr">
        <is>
          <t>FEDERAL 0847</t>
        </is>
      </c>
    </row>
    <row r="1866">
      <c r="A1866" s="113" t="n">
        <v>45370</v>
      </c>
      <c r="B1866" s="114" t="inlineStr">
        <is>
          <t>NET PI TO HSL SEC A/C 2554606-00602340029427</t>
        </is>
      </c>
      <c r="C1866" s="114" t="inlineStr">
        <is>
          <t>0000000506069481</t>
        </is>
      </c>
      <c r="D1866" s="114" t="n">
        <v>213.09</v>
      </c>
      <c r="E1866" s="114" t="n">
        <v>0</v>
      </c>
      <c r="F1866" s="114" t="n">
        <v>24028.98</v>
      </c>
      <c r="G1866" s="114" t="inlineStr">
        <is>
          <t>HDFC Securities</t>
        </is>
      </c>
      <c r="H1866" s="114" t="inlineStr">
        <is>
          <t>HDFC 5413</t>
        </is>
      </c>
    </row>
    <row r="1867">
      <c r="A1867" s="113" t="n">
        <v>45370</v>
      </c>
      <c r="B1867" s="114" t="inlineStr">
        <is>
          <t>NET PI TO HSL SEC A/C 2554606-00602340029427</t>
        </is>
      </c>
      <c r="C1867" s="114" t="inlineStr">
        <is>
          <t>0000000506031496</t>
        </is>
      </c>
      <c r="D1867" s="114" t="n">
        <v>594.47</v>
      </c>
      <c r="E1867" s="114" t="n">
        <v>0</v>
      </c>
      <c r="F1867" s="114" t="n">
        <v>24242.07</v>
      </c>
      <c r="G1867" s="114" t="inlineStr">
        <is>
          <t>HDFC Securities</t>
        </is>
      </c>
      <c r="H1867" s="114" t="inlineStr">
        <is>
          <t>HDFC 5413</t>
        </is>
      </c>
    </row>
    <row r="1868">
      <c r="A1868" s="113" t="n">
        <v>45370</v>
      </c>
      <c r="B1868" s="114" t="inlineStr">
        <is>
          <t>NET PI TO HSL SEC A/C 2554606-00602340029427</t>
        </is>
      </c>
      <c r="C1868" s="114" t="inlineStr">
        <is>
          <t>0000000505765080</t>
        </is>
      </c>
      <c r="D1868" s="114" t="n">
        <v>140.06</v>
      </c>
      <c r="E1868" s="114" t="n">
        <v>0</v>
      </c>
      <c r="F1868" s="114" t="n">
        <v>24836.54</v>
      </c>
      <c r="G1868" s="114" t="inlineStr">
        <is>
          <t>HDFC Securities</t>
        </is>
      </c>
      <c r="H1868" s="114" t="inlineStr">
        <is>
          <t>HDFC 5413</t>
        </is>
      </c>
    </row>
    <row r="1869">
      <c r="A1869" s="113" t="n">
        <v>45370</v>
      </c>
      <c r="B1869" s="114" t="inlineStr">
        <is>
          <t>UPIOUT/407902419276/uberrides@hdfcbank/cha
rg/5960</t>
        </is>
      </c>
      <c r="C1869" s="114" t="inlineStr"/>
      <c r="D1869" s="114" t="n">
        <v>54.3</v>
      </c>
      <c r="E1869" s="114" t="n">
        <v>0</v>
      </c>
      <c r="F1869" s="114" t="n">
        <v>4576.61</v>
      </c>
      <c r="G1869" s="114" t="inlineStr">
        <is>
          <t>Transport</t>
        </is>
      </c>
      <c r="H1869" s="114" t="inlineStr">
        <is>
          <t>FEDERAL 0847</t>
        </is>
      </c>
    </row>
    <row r="1870">
      <c r="A1870" s="113" t="n">
        <v>45371</v>
      </c>
      <c r="B1870" s="114" t="inlineStr">
        <is>
          <t>UPIOUT/408010458157/paytmqrhdex80dh4r@payt
m//5812</t>
        </is>
      </c>
      <c r="C1870" s="114" t="inlineStr"/>
      <c r="D1870" s="114" t="n">
        <v>110</v>
      </c>
      <c r="E1870" s="114" t="n">
        <v>0</v>
      </c>
      <c r="F1870" s="114" t="n">
        <v>4396.68</v>
      </c>
      <c r="G1870" s="114" t="inlineStr">
        <is>
          <t>Personal</t>
        </is>
      </c>
      <c r="H1870" s="114" t="inlineStr">
        <is>
          <t>FEDERAL 0847</t>
        </is>
      </c>
    </row>
    <row r="1871">
      <c r="A1871" s="113" t="n">
        <v>45371</v>
      </c>
      <c r="B1871" s="114" t="inlineStr">
        <is>
          <t>UPIOUT/408011712465/Q466920960@ybl/Sent
via /5814</t>
        </is>
      </c>
      <c r="C1871" s="114" t="inlineStr"/>
      <c r="D1871" s="114" t="n">
        <v>100</v>
      </c>
      <c r="E1871" s="114" t="n">
        <v>0</v>
      </c>
      <c r="F1871" s="114" t="n">
        <v>4296.68</v>
      </c>
      <c r="G1871" s="114" t="inlineStr">
        <is>
          <t>Personal</t>
        </is>
      </c>
      <c r="H1871" s="114" t="inlineStr">
        <is>
          <t>FEDERAL 0847</t>
        </is>
      </c>
    </row>
    <row r="1872">
      <c r="A1872" s="113" t="n">
        <v>45371</v>
      </c>
      <c r="B1872" s="114" t="inlineStr">
        <is>
          <t>UPIOUT/408013309417/paytmqr281005050101ql6
bn/5411</t>
        </is>
      </c>
      <c r="C1872" s="114" t="inlineStr"/>
      <c r="D1872" s="114" t="n">
        <v>40</v>
      </c>
      <c r="E1872" s="114" t="n">
        <v>0</v>
      </c>
      <c r="F1872" s="114" t="n">
        <v>4256.68</v>
      </c>
      <c r="G1872" s="114" t="inlineStr">
        <is>
          <t>Personal</t>
        </is>
      </c>
      <c r="H1872" s="114" t="inlineStr">
        <is>
          <t>FEDERAL 0847</t>
        </is>
      </c>
    </row>
    <row r="1873">
      <c r="A1873" s="113" t="n">
        <v>45371</v>
      </c>
      <c r="B1873" s="114" t="inlineStr">
        <is>
          <t>UPIOUT/408098760423/paytmqrnyyib5udfr@payt
m//7210</t>
        </is>
      </c>
      <c r="C1873" s="114" t="inlineStr"/>
      <c r="D1873" s="114" t="n">
        <v>10</v>
      </c>
      <c r="E1873" s="114" t="n">
        <v>0</v>
      </c>
      <c r="F1873" s="114" t="n">
        <v>4506.68</v>
      </c>
      <c r="G1873" s="114" t="inlineStr">
        <is>
          <t>Personal</t>
        </is>
      </c>
      <c r="H1873" s="114" t="inlineStr">
        <is>
          <t>FEDERAL 0847</t>
        </is>
      </c>
    </row>
    <row r="1874">
      <c r="A1874" s="113" t="n">
        <v>45371</v>
      </c>
      <c r="B1874" s="114" t="inlineStr">
        <is>
          <t>50100542230922-TPT-FROM AAYUSH-ARCHIT GUPTA</t>
        </is>
      </c>
      <c r="C1874" s="114" t="inlineStr">
        <is>
          <t>0000000250700915</t>
        </is>
      </c>
      <c r="D1874" s="114" t="n">
        <v>50000</v>
      </c>
      <c r="E1874" s="114" t="n">
        <v>0</v>
      </c>
      <c r="F1874" s="114" t="n">
        <v>359150.57</v>
      </c>
      <c r="G1874" s="114" t="inlineStr">
        <is>
          <t>Archit Gupta</t>
        </is>
      </c>
      <c r="H1874" s="114" t="inlineStr">
        <is>
          <t>HDFC 5413</t>
        </is>
      </c>
    </row>
    <row r="1875">
      <c r="A1875" s="113" t="n">
        <v>45371</v>
      </c>
      <c r="B1875" s="114" t="inlineStr">
        <is>
          <t>01671000060094-TPT-FROM AAYUSH-SUNITA GUPTA</t>
        </is>
      </c>
      <c r="C1875" s="114" t="inlineStr">
        <is>
          <t>0000000250708210</t>
        </is>
      </c>
      <c r="D1875" s="114" t="n">
        <v>50000</v>
      </c>
      <c r="E1875" s="114" t="n">
        <v>0</v>
      </c>
      <c r="F1875" s="114" t="n">
        <v>309150.57</v>
      </c>
      <c r="G1875" s="114" t="inlineStr">
        <is>
          <t>Sunita Gupta</t>
        </is>
      </c>
      <c r="H1875" s="114" t="inlineStr">
        <is>
          <t>HDFC 5413</t>
        </is>
      </c>
    </row>
    <row r="1876">
      <c r="A1876" s="113" t="n">
        <v>45371</v>
      </c>
      <c r="B1876" s="114" t="inlineStr">
        <is>
          <t>FT- INVESCO MF A/C - BS77 8299900 3102041601 39064245</t>
        </is>
      </c>
      <c r="C1876" s="114" t="inlineStr">
        <is>
          <t>0000000597337921</t>
        </is>
      </c>
      <c r="D1876" s="114" t="n">
        <v>0</v>
      </c>
      <c r="E1876" s="114" t="n">
        <v>74144.56</v>
      </c>
      <c r="F1876" s="114" t="n">
        <v>98173.53999999999</v>
      </c>
      <c r="G1876" s="114" t="inlineStr">
        <is>
          <t>Mutual Funds</t>
        </is>
      </c>
      <c r="H1876" s="114" t="inlineStr">
        <is>
          <t>HDFC 5413</t>
        </is>
      </c>
    </row>
    <row r="1877">
      <c r="A1877" s="113" t="n">
        <v>45371</v>
      </c>
      <c r="B1877" s="114" t="inlineStr">
        <is>
          <t>50200067172675-180324827807</t>
        </is>
      </c>
      <c r="C1877" s="114" t="inlineStr">
        <is>
          <t>0000403206884145</t>
        </is>
      </c>
      <c r="D1877" s="114" t="n">
        <v>0</v>
      </c>
      <c r="E1877" s="114" t="n">
        <v>293411.76</v>
      </c>
      <c r="F1877" s="114" t="n">
        <v>391585.3</v>
      </c>
      <c r="G1877" s="114" t="inlineStr">
        <is>
          <t>Suspense</t>
        </is>
      </c>
      <c r="H1877" s="114" t="inlineStr">
        <is>
          <t>HDFC 5413</t>
        </is>
      </c>
    </row>
    <row r="1878">
      <c r="A1878" s="113" t="n">
        <v>45371</v>
      </c>
      <c r="B1878" s="114" t="inlineStr">
        <is>
          <t>50200067172675-180324829044</t>
        </is>
      </c>
      <c r="C1878" s="114" t="inlineStr">
        <is>
          <t>0000403206883125</t>
        </is>
      </c>
      <c r="D1878" s="114" t="n">
        <v>0</v>
      </c>
      <c r="E1878" s="114" t="n">
        <v>117705.12</v>
      </c>
      <c r="F1878" s="114" t="n">
        <v>509290.42</v>
      </c>
      <c r="G1878" s="114" t="inlineStr">
        <is>
          <t>Suspense</t>
        </is>
      </c>
      <c r="H1878" s="114" t="inlineStr">
        <is>
          <t>HDFC 5413</t>
        </is>
      </c>
    </row>
    <row r="1879">
      <c r="A1879" s="113" t="n">
        <v>45371</v>
      </c>
      <c r="B1879" s="114" t="inlineStr">
        <is>
          <t>NET PI TO HSL SEC A/C 2554606-00602340029427</t>
        </is>
      </c>
      <c r="C1879" s="114" t="inlineStr">
        <is>
          <t>0000000506300684</t>
        </is>
      </c>
      <c r="D1879" s="114" t="n">
        <v>139.85</v>
      </c>
      <c r="E1879" s="114" t="n">
        <v>0</v>
      </c>
      <c r="F1879" s="114" t="n">
        <v>509150.57</v>
      </c>
      <c r="G1879" s="114" t="inlineStr">
        <is>
          <t>HDFC Securities</t>
        </is>
      </c>
      <c r="H1879" s="114" t="inlineStr">
        <is>
          <t>HDFC 5413</t>
        </is>
      </c>
    </row>
    <row r="1880">
      <c r="A1880" s="113" t="n">
        <v>45371</v>
      </c>
      <c r="B1880" s="114" t="inlineStr">
        <is>
          <t>NET PI TO HSL SEC A/C 2554606-00602340029427</t>
        </is>
      </c>
      <c r="C1880" s="114" t="inlineStr">
        <is>
          <t>0000000506518365</t>
        </is>
      </c>
      <c r="D1880" s="114" t="n">
        <v>56641.91</v>
      </c>
      <c r="E1880" s="114" t="n">
        <v>0</v>
      </c>
      <c r="F1880" s="114" t="n">
        <v>152508.66</v>
      </c>
      <c r="G1880" s="114" t="inlineStr">
        <is>
          <t>HDFC Securities</t>
        </is>
      </c>
      <c r="H1880" s="114" t="inlineStr">
        <is>
          <t>HDFC 5413</t>
        </is>
      </c>
    </row>
    <row r="1881">
      <c r="A1881" s="113" t="n">
        <v>45371</v>
      </c>
      <c r="B1881" s="114" t="inlineStr">
        <is>
          <t>01671000085930-TPT-MONEY RETURNED TO AKG-AJAY KUMAR GUPTA</t>
        </is>
      </c>
      <c r="C1881" s="114" t="inlineStr">
        <is>
          <t>0000000250711357</t>
        </is>
      </c>
      <c r="D1881" s="114" t="n">
        <v>100000</v>
      </c>
      <c r="E1881" s="114" t="n">
        <v>0</v>
      </c>
      <c r="F1881" s="114" t="n">
        <v>209150.57</v>
      </c>
      <c r="G1881" s="114" t="inlineStr">
        <is>
          <t>Ajay Gupta</t>
        </is>
      </c>
      <c r="H1881" s="114" t="inlineStr">
        <is>
          <t>HDFC 5413</t>
        </is>
      </c>
    </row>
    <row r="1882">
      <c r="A1882" s="113" t="n">
        <v>45371</v>
      </c>
      <c r="B1882" s="114" t="inlineStr">
        <is>
          <t>YHDF2276237288/BILLDKINDIANCLEARING</t>
        </is>
      </c>
      <c r="C1882" s="114" t="inlineStr">
        <is>
          <t>0000248045842968</t>
        </is>
      </c>
      <c r="D1882" s="114" t="n">
        <v>100000</v>
      </c>
      <c r="E1882" s="114" t="n">
        <v>0</v>
      </c>
      <c r="F1882" s="114" t="n">
        <v>409150.57</v>
      </c>
      <c r="G1882" s="114" t="inlineStr">
        <is>
          <t>SIP</t>
        </is>
      </c>
      <c r="H1882" s="114" t="inlineStr">
        <is>
          <t>HDFC 5413</t>
        </is>
      </c>
    </row>
    <row r="1883">
      <c r="A1883" s="113" t="n">
        <v>45372</v>
      </c>
      <c r="B1883" s="114" t="inlineStr">
        <is>
          <t>UPIOUT/408120192874/paytmqr4dnh9rhu78@payt
m//5814</t>
        </is>
      </c>
      <c r="C1883" s="114" t="inlineStr"/>
      <c r="D1883" s="114" t="n">
        <v>20</v>
      </c>
      <c r="E1883" s="114" t="n">
        <v>0</v>
      </c>
      <c r="F1883" s="114" t="n">
        <v>2143.68</v>
      </c>
      <c r="G1883" s="114" t="inlineStr">
        <is>
          <t>Personal</t>
        </is>
      </c>
      <c r="H1883" s="114" t="inlineStr">
        <is>
          <t>FEDERAL 0847</t>
        </is>
      </c>
    </row>
    <row r="1884">
      <c r="A1884" s="113" t="n">
        <v>45372</v>
      </c>
      <c r="B1884" s="114" t="inlineStr">
        <is>
          <t>UPIOUT/408120182869/paytmqr1og9ixfyjn@payt
m//5814</t>
        </is>
      </c>
      <c r="C1884" s="114" t="inlineStr"/>
      <c r="D1884" s="114" t="n">
        <v>51</v>
      </c>
      <c r="E1884" s="114" t="n">
        <v>0</v>
      </c>
      <c r="F1884" s="114" t="n">
        <v>2163.68</v>
      </c>
      <c r="G1884" s="114" t="inlineStr">
        <is>
          <t>Personal</t>
        </is>
      </c>
      <c r="H1884" s="114" t="inlineStr">
        <is>
          <t>FEDERAL 0847</t>
        </is>
      </c>
    </row>
    <row r="1885">
      <c r="A1885" s="113" t="n">
        <v>45372</v>
      </c>
      <c r="B1885" s="114" t="inlineStr">
        <is>
          <t>UPIOUT/408120059448/Q413722787@ybl/Sent
via /8062</t>
        </is>
      </c>
      <c r="C1885" s="114" t="inlineStr"/>
      <c r="D1885" s="114" t="n">
        <v>548</v>
      </c>
      <c r="E1885" s="114" t="n">
        <v>0</v>
      </c>
      <c r="F1885" s="114" t="n">
        <v>2214.68</v>
      </c>
      <c r="G1885" s="114" t="inlineStr">
        <is>
          <t>Personal</t>
        </is>
      </c>
      <c r="H1885" s="114" t="inlineStr">
        <is>
          <t>FEDERAL 0847</t>
        </is>
      </c>
    </row>
    <row r="1886">
      <c r="A1886" s="113" t="n">
        <v>45372</v>
      </c>
      <c r="B1886" s="114" t="inlineStr">
        <is>
          <t>UPIOUT/408119950795/Q679054446@ybl/Sent
via /8062</t>
        </is>
      </c>
      <c r="C1886" s="114" t="inlineStr"/>
      <c r="D1886" s="114" t="n">
        <v>500</v>
      </c>
      <c r="E1886" s="114" t="n">
        <v>0</v>
      </c>
      <c r="F1886" s="114" t="n">
        <v>2762.68</v>
      </c>
      <c r="G1886" s="114" t="inlineStr">
        <is>
          <t>Personal</t>
        </is>
      </c>
      <c r="H1886" s="114" t="inlineStr">
        <is>
          <t>FEDERAL 0847</t>
        </is>
      </c>
    </row>
    <row r="1887">
      <c r="A1887" s="113" t="n">
        <v>45372</v>
      </c>
      <c r="B1887" s="114" t="inlineStr">
        <is>
          <t>UPIOUT/408119798341/Q679054446@ybl/Sent
via /8062</t>
        </is>
      </c>
      <c r="C1887" s="114" t="inlineStr"/>
      <c r="D1887" s="114" t="n">
        <v>700</v>
      </c>
      <c r="E1887" s="114" t="n">
        <v>0</v>
      </c>
      <c r="F1887" s="114" t="n">
        <v>3262.68</v>
      </c>
      <c r="G1887" s="114" t="inlineStr">
        <is>
          <t>Personal</t>
        </is>
      </c>
      <c r="H1887" s="114" t="inlineStr">
        <is>
          <t>FEDERAL 0847</t>
        </is>
      </c>
    </row>
    <row r="1888">
      <c r="A1888" s="113" t="n">
        <v>45372</v>
      </c>
      <c r="B1888" s="114" t="inlineStr">
        <is>
          <t>UPIOUT/408119773926/9663866505@axl/Sent
via /0000</t>
        </is>
      </c>
      <c r="C1888" s="114" t="inlineStr"/>
      <c r="D1888" s="114" t="n">
        <v>114</v>
      </c>
      <c r="E1888" s="114" t="n">
        <v>0</v>
      </c>
      <c r="F1888" s="114" t="n">
        <v>3962.68</v>
      </c>
      <c r="G1888" s="114" t="inlineStr">
        <is>
          <t>Personal</t>
        </is>
      </c>
      <c r="H1888" s="114" t="inlineStr">
        <is>
          <t>FEDERAL 0847</t>
        </is>
      </c>
    </row>
    <row r="1889">
      <c r="A1889" s="113" t="n">
        <v>45372</v>
      </c>
      <c r="B1889" s="114" t="inlineStr">
        <is>
          <t>UPIOUT/408171113381/gokhana.payu@indus/UPI
In/7311</t>
        </is>
      </c>
      <c r="C1889" s="114" t="inlineStr"/>
      <c r="D1889" s="114" t="n">
        <v>180</v>
      </c>
      <c r="E1889" s="114" t="n">
        <v>0</v>
      </c>
      <c r="F1889" s="114" t="n">
        <v>4076.68</v>
      </c>
      <c r="G1889" s="114" t="inlineStr">
        <is>
          <t>Personal</t>
        </is>
      </c>
      <c r="H1889" s="114" t="inlineStr">
        <is>
          <t>FEDERAL 0847</t>
        </is>
      </c>
    </row>
    <row r="1890">
      <c r="A1890" s="113" t="n">
        <v>45372</v>
      </c>
      <c r="B1890" s="114" t="inlineStr">
        <is>
          <t>NET PO FROM HSL A/C 2554606-50200085415108</t>
        </is>
      </c>
      <c r="C1890" s="114" t="inlineStr">
        <is>
          <t>0000000506656055</t>
        </is>
      </c>
      <c r="D1890" s="114" t="n">
        <v>0</v>
      </c>
      <c r="E1890" s="114" t="n">
        <v>30000</v>
      </c>
      <c r="F1890" s="114" t="n">
        <v>182508.66</v>
      </c>
      <c r="G1890" s="114" t="inlineStr">
        <is>
          <t>HDFC Securities</t>
        </is>
      </c>
      <c r="H1890" s="114" t="inlineStr">
        <is>
          <t>HDFC 5413</t>
        </is>
      </c>
    </row>
    <row r="1891">
      <c r="A1891" s="113" t="n">
        <v>45372</v>
      </c>
      <c r="B1891" s="114" t="inlineStr">
        <is>
          <t>YHDF2277030583/BILLDKINDIANCLEARING</t>
        </is>
      </c>
      <c r="C1891" s="114" t="inlineStr">
        <is>
          <t>0000248145881806</t>
        </is>
      </c>
      <c r="D1891" s="114" t="n">
        <v>50000</v>
      </c>
      <c r="E1891" s="114" t="n">
        <v>0</v>
      </c>
      <c r="F1891" s="114" t="n">
        <v>132508.66</v>
      </c>
      <c r="G1891" s="114" t="inlineStr">
        <is>
          <t>SIP</t>
        </is>
      </c>
      <c r="H1891" s="114" t="inlineStr">
        <is>
          <t>HDFC 5413</t>
        </is>
      </c>
    </row>
    <row r="1892">
      <c r="A1892" s="113" t="n">
        <v>45372</v>
      </c>
      <c r="B1892" s="114" t="inlineStr">
        <is>
          <t>NET PI TO HSL SEC A/C 2554606-00602340029427</t>
        </is>
      </c>
      <c r="C1892" s="114" t="inlineStr">
        <is>
          <t>0000000506780860</t>
        </is>
      </c>
      <c r="D1892" s="114" t="n">
        <v>119.67</v>
      </c>
      <c r="E1892" s="114" t="n">
        <v>0</v>
      </c>
      <c r="F1892" s="114" t="n">
        <v>132388.99</v>
      </c>
      <c r="G1892" s="114" t="inlineStr">
        <is>
          <t>HDFC Securities</t>
        </is>
      </c>
      <c r="H1892" s="114" t="inlineStr">
        <is>
          <t>HDFC 5413</t>
        </is>
      </c>
    </row>
    <row r="1893">
      <c r="A1893" s="113" t="n">
        <v>45372</v>
      </c>
      <c r="B1893" s="114" t="inlineStr">
        <is>
          <t>NET PI TO HSL SEC A/C 2554606-00602340029427</t>
        </is>
      </c>
      <c r="C1893" s="114" t="inlineStr">
        <is>
          <t>0000000506917092</t>
        </is>
      </c>
      <c r="D1893" s="114" t="n">
        <v>20343.95</v>
      </c>
      <c r="E1893" s="114" t="n">
        <v>0</v>
      </c>
      <c r="F1893" s="114" t="n">
        <v>112045.04</v>
      </c>
      <c r="G1893" s="114" t="inlineStr">
        <is>
          <t>HDFC Securities</t>
        </is>
      </c>
      <c r="H1893" s="114" t="inlineStr">
        <is>
          <t>HDFC 5413</t>
        </is>
      </c>
    </row>
    <row r="1894">
      <c r="A1894" s="113" t="n">
        <v>45372</v>
      </c>
      <c r="B1894" s="114" t="inlineStr">
        <is>
          <t>NET PI TO HSL SEC A/C 2554606-00602340029427</t>
        </is>
      </c>
      <c r="C1894" s="114" t="inlineStr">
        <is>
          <t>0000000506930088</t>
        </is>
      </c>
      <c r="D1894" s="114" t="n">
        <v>69314.38</v>
      </c>
      <c r="E1894" s="114" t="n">
        <v>0</v>
      </c>
      <c r="F1894" s="114" t="n">
        <v>42730.66</v>
      </c>
      <c r="G1894" s="114" t="inlineStr">
        <is>
          <t>HDFC Securities</t>
        </is>
      </c>
      <c r="H1894" s="114" t="inlineStr">
        <is>
          <t>HDFC 5413</t>
        </is>
      </c>
    </row>
    <row r="1895">
      <c r="A1895" s="113" t="n">
        <v>45372</v>
      </c>
      <c r="B1895" s="114" t="inlineStr">
        <is>
          <t>UPIOUT/408120324634/9901063032@ibl/Sent
via /0000</t>
        </is>
      </c>
      <c r="C1895" s="114" t="inlineStr"/>
      <c r="D1895" s="114" t="n">
        <v>86</v>
      </c>
      <c r="E1895" s="114" t="n">
        <v>0</v>
      </c>
      <c r="F1895" s="114" t="n">
        <v>2057.68</v>
      </c>
      <c r="G1895" s="114" t="inlineStr">
        <is>
          <t>Personal</t>
        </is>
      </c>
      <c r="H1895" s="114" t="inlineStr">
        <is>
          <t>FEDERAL 0847</t>
        </is>
      </c>
    </row>
    <row r="1896">
      <c r="A1896" s="113" t="n">
        <v>45373</v>
      </c>
      <c r="B1896" s="114" t="inlineStr">
        <is>
          <t>UPIOUT/408222473124/paytmqr1wog9tttz4@payt
m//7210</t>
        </is>
      </c>
      <c r="C1896" s="114" t="inlineStr"/>
      <c r="D1896" s="114" t="n">
        <v>10</v>
      </c>
      <c r="E1896" s="114" t="n">
        <v>0</v>
      </c>
      <c r="F1896" s="114" t="n">
        <v>2037.68</v>
      </c>
      <c r="G1896" s="114" t="inlineStr">
        <is>
          <t>Personal</t>
        </is>
      </c>
      <c r="H1896" s="114" t="inlineStr">
        <is>
          <t>FEDERAL 0847</t>
        </is>
      </c>
    </row>
    <row r="1897">
      <c r="A1897" s="113" t="n">
        <v>45373</v>
      </c>
      <c r="B1897" s="114" t="inlineStr">
        <is>
          <t>UPIOUT/408226745693/paytmqr1xrs04ylwr@payt
m//5912</t>
        </is>
      </c>
      <c r="C1897" s="114" t="inlineStr"/>
      <c r="D1897" s="114" t="n">
        <v>40</v>
      </c>
      <c r="E1897" s="114" t="n">
        <v>0</v>
      </c>
      <c r="F1897" s="114" t="n">
        <v>1997.68</v>
      </c>
      <c r="G1897" s="114" t="inlineStr">
        <is>
          <t>Personal</t>
        </is>
      </c>
      <c r="H1897" s="114" t="inlineStr">
        <is>
          <t>FEDERAL 0847</t>
        </is>
      </c>
    </row>
    <row r="1898">
      <c r="A1898" s="113" t="n">
        <v>45373</v>
      </c>
      <c r="B1898" s="114" t="inlineStr">
        <is>
          <t>UPIOUT/408222454223/paytmqr3zacjjhvyp@payt
m//5462</t>
        </is>
      </c>
      <c r="C1898" s="114" t="inlineStr"/>
      <c r="D1898" s="114" t="n">
        <v>10</v>
      </c>
      <c r="E1898" s="114" t="n">
        <v>0</v>
      </c>
      <c r="F1898" s="114" t="n">
        <v>2047.68</v>
      </c>
      <c r="G1898" s="114" t="inlineStr">
        <is>
          <t>Personal</t>
        </is>
      </c>
      <c r="H1898" s="114" t="inlineStr">
        <is>
          <t>FEDERAL 0847</t>
        </is>
      </c>
    </row>
    <row r="1899">
      <c r="A1899" s="113" t="n">
        <v>45373</v>
      </c>
      <c r="B1899" s="114" t="inlineStr">
        <is>
          <t>UPIOUT/408226751533/Q403465439@ybl/Sent
via /5812</t>
        </is>
      </c>
      <c r="C1899" s="114" t="inlineStr"/>
      <c r="D1899" s="114" t="n">
        <v>35</v>
      </c>
      <c r="E1899" s="114" t="n">
        <v>0</v>
      </c>
      <c r="F1899" s="114" t="n">
        <v>1962.68</v>
      </c>
      <c r="G1899" s="114" t="inlineStr">
        <is>
          <t>Personal</t>
        </is>
      </c>
      <c r="H1899" s="114" t="inlineStr">
        <is>
          <t>FEDERAL 0847</t>
        </is>
      </c>
    </row>
    <row r="1900">
      <c r="A1900" s="113" t="n">
        <v>45373</v>
      </c>
      <c r="B1900" s="114" t="inlineStr">
        <is>
          <t>NET PI TO HSL SEC A/C 2554606-00602340029427</t>
        </is>
      </c>
      <c r="C1900" s="114" t="inlineStr">
        <is>
          <t>0000000507162278</t>
        </is>
      </c>
      <c r="D1900" s="114" t="n">
        <v>94.98999999999999</v>
      </c>
      <c r="E1900" s="114" t="n">
        <v>0</v>
      </c>
      <c r="F1900" s="114" t="n">
        <v>42635.67</v>
      </c>
      <c r="G1900" s="114" t="inlineStr">
        <is>
          <t>HDFC Securities</t>
        </is>
      </c>
      <c r="H1900" s="114" t="inlineStr">
        <is>
          <t>HDFC 5413</t>
        </is>
      </c>
    </row>
    <row r="1901">
      <c r="A1901" s="113" t="n">
        <v>45373</v>
      </c>
      <c r="B1901" s="114" t="inlineStr">
        <is>
          <t>NET PI TO HSL SEC A/C 2554606-00602340029427</t>
        </is>
      </c>
      <c r="C1901" s="114" t="inlineStr">
        <is>
          <t>0000000507371766</t>
        </is>
      </c>
      <c r="D1901" s="114" t="n">
        <v>175.21</v>
      </c>
      <c r="E1901" s="114" t="n">
        <v>0</v>
      </c>
      <c r="F1901" s="114" t="n">
        <v>42460.46</v>
      </c>
      <c r="G1901" s="114" t="inlineStr">
        <is>
          <t>HDFC Securities</t>
        </is>
      </c>
      <c r="H1901" s="114" t="inlineStr">
        <is>
          <t>HDFC 5413</t>
        </is>
      </c>
    </row>
    <row r="1902">
      <c r="A1902" s="113" t="n">
        <v>45373</v>
      </c>
      <c r="B1902" s="114" t="inlineStr">
        <is>
          <t>UPI IN/408226946800/9594435259@jupiteraxis
/A/0000</t>
        </is>
      </c>
      <c r="C1902" s="114" t="inlineStr"/>
      <c r="D1902" s="114" t="n">
        <v>0</v>
      </c>
      <c r="E1902" s="114" t="n">
        <v>2000</v>
      </c>
      <c r="F1902" s="114" t="n">
        <v>3962.68</v>
      </c>
      <c r="G1902" s="114" t="inlineStr">
        <is>
          <t>KOTAK 0333</t>
        </is>
      </c>
      <c r="H1902" s="114" t="inlineStr">
        <is>
          <t>FEDERAL 0847</t>
        </is>
      </c>
    </row>
    <row r="1903">
      <c r="A1903" s="113" t="n">
        <v>45374</v>
      </c>
      <c r="B1903" s="114" t="inlineStr">
        <is>
          <t>Recd:IMPS/408307273704/CASHFREE P/KKBK/X0008/BAV</t>
        </is>
      </c>
      <c r="C1903" s="114" t="inlineStr">
        <is>
          <t>IMPS-408307596920</t>
        </is>
      </c>
      <c r="D1903" s="114" t="n">
        <v>0</v>
      </c>
      <c r="E1903" s="114" t="n">
        <v>1.01</v>
      </c>
      <c r="F1903" s="114" t="n">
        <v>1.01</v>
      </c>
      <c r="G1903" s="114" t="inlineStr">
        <is>
          <t>Personal</t>
        </is>
      </c>
      <c r="H1903" s="114" t="inlineStr">
        <is>
          <t>KOTAK 0333</t>
        </is>
      </c>
    </row>
    <row r="1904">
      <c r="A1904" s="113" t="n">
        <v>45374</v>
      </c>
      <c r="B1904" s="114" t="inlineStr">
        <is>
          <t>UPIOUT/408330469744/kabilhussen2@axl/Sent
vi/0000</t>
        </is>
      </c>
      <c r="C1904" s="114" t="inlineStr"/>
      <c r="D1904" s="114" t="n">
        <v>49</v>
      </c>
      <c r="E1904" s="114" t="n">
        <v>0</v>
      </c>
      <c r="F1904" s="114" t="n">
        <v>1869.29</v>
      </c>
      <c r="G1904" s="114" t="inlineStr">
        <is>
          <t>Personal</t>
        </is>
      </c>
      <c r="H1904" s="114" t="inlineStr">
        <is>
          <t>FEDERAL 0847</t>
        </is>
      </c>
    </row>
    <row r="1905">
      <c r="A1905" s="113" t="n">
        <v>45374</v>
      </c>
      <c r="B1905" s="114" t="inlineStr">
        <is>
          <t>SBINT:23-12-2023 to
22-03-2024[77770101840847]</t>
        </is>
      </c>
      <c r="C1905" s="114" t="inlineStr"/>
      <c r="D1905" s="114" t="n">
        <v>0</v>
      </c>
      <c r="E1905" s="114" t="n">
        <v>113</v>
      </c>
      <c r="F1905" s="114" t="n">
        <v>3942.28</v>
      </c>
      <c r="G1905" s="114" t="inlineStr">
        <is>
          <t>Bank Interest</t>
        </is>
      </c>
      <c r="H1905" s="114" t="inlineStr">
        <is>
          <t>FEDERAL 0847</t>
        </is>
      </c>
    </row>
    <row r="1906">
      <c r="A1906" s="113" t="n">
        <v>45374</v>
      </c>
      <c r="B1906" s="114" t="inlineStr">
        <is>
          <t>FT IMPS/IFI/408307578295/CashfreePayments/
IMPS</t>
        </is>
      </c>
      <c r="C1906" s="114" t="inlineStr"/>
      <c r="D1906" s="114" t="n">
        <v>0</v>
      </c>
      <c r="E1906" s="114" t="n">
        <v>1.01</v>
      </c>
      <c r="F1906" s="114" t="n">
        <v>3943.29</v>
      </c>
      <c r="G1906" s="114" t="inlineStr">
        <is>
          <t>Transfer</t>
        </is>
      </c>
      <c r="H1906" s="114" t="inlineStr">
        <is>
          <t>FEDERAL 0847</t>
        </is>
      </c>
    </row>
    <row r="1907">
      <c r="A1907" s="113" t="n">
        <v>45374</v>
      </c>
      <c r="B1907" s="114" t="inlineStr">
        <is>
          <t>NFT/NEOSIEXEDDD2024032303005420498 Quant
Mutual Fu</t>
        </is>
      </c>
      <c r="C1907" s="114" t="inlineStr"/>
      <c r="D1907" s="114" t="n">
        <v>2000</v>
      </c>
      <c r="E1907" s="114" t="n">
        <v>0</v>
      </c>
      <c r="F1907" s="114" t="n">
        <v>1943.29</v>
      </c>
      <c r="G1907" s="114" t="inlineStr">
        <is>
          <t>Investments</t>
        </is>
      </c>
      <c r="H1907" s="114" t="inlineStr">
        <is>
          <t>FEDERAL 0847</t>
        </is>
      </c>
    </row>
    <row r="1908">
      <c r="A1908" s="113" t="n">
        <v>45374</v>
      </c>
      <c r="B1908" s="114" t="inlineStr">
        <is>
          <t>UPIOUT/408330336309/Q521065715@ybl/Sent
via /5812</t>
        </is>
      </c>
      <c r="C1908" s="114" t="inlineStr"/>
      <c r="D1908" s="114" t="n">
        <v>25</v>
      </c>
      <c r="E1908" s="114" t="n">
        <v>0</v>
      </c>
      <c r="F1908" s="114" t="n">
        <v>1918.29</v>
      </c>
      <c r="G1908" s="114" t="inlineStr">
        <is>
          <t>Personal</t>
        </is>
      </c>
      <c r="H1908" s="114" t="inlineStr">
        <is>
          <t>FEDERAL 0847</t>
        </is>
      </c>
    </row>
    <row r="1909">
      <c r="A1909" s="113" t="n">
        <v>45374</v>
      </c>
      <c r="B1909" s="114" t="inlineStr">
        <is>
          <t>UPIOUT/408334537283/rapido.rzp@icici/Payme
nt/4121</t>
        </is>
      </c>
      <c r="C1909" s="114" t="inlineStr"/>
      <c r="D1909" s="114" t="n">
        <v>70</v>
      </c>
      <c r="E1909" s="114" t="n">
        <v>0</v>
      </c>
      <c r="F1909" s="114" t="n">
        <v>1799.29</v>
      </c>
      <c r="G1909" s="114" t="inlineStr">
        <is>
          <t>Transport</t>
        </is>
      </c>
      <c r="H1909" s="114" t="inlineStr">
        <is>
          <t>FEDERAL 0847</t>
        </is>
      </c>
    </row>
    <row r="1910">
      <c r="A1910" s="113" t="n">
        <v>45374</v>
      </c>
      <c r="B1910" s="114" t="inlineStr">
        <is>
          <t>UPIOUT/408334544587/paytmqr3zacjjhvyp@payt
m//5462</t>
        </is>
      </c>
      <c r="C1910" s="114" t="inlineStr"/>
      <c r="D1910" s="114" t="n">
        <v>20</v>
      </c>
      <c r="E1910" s="114" t="n">
        <v>0</v>
      </c>
      <c r="F1910" s="114" t="n">
        <v>1779.29</v>
      </c>
      <c r="G1910" s="114" t="inlineStr">
        <is>
          <t>Personal</t>
        </is>
      </c>
      <c r="H1910" s="114" t="inlineStr">
        <is>
          <t>FEDERAL 0847</t>
        </is>
      </c>
    </row>
    <row r="1911">
      <c r="A1911" s="113" t="n">
        <v>45374</v>
      </c>
      <c r="B1911" s="114" t="inlineStr">
        <is>
          <t>UPIOUT/408329044203/lazypaypvtltd.rzp@icic
i//6012</t>
        </is>
      </c>
      <c r="C1911" s="114" t="inlineStr"/>
      <c r="D1911" s="114" t="n">
        <v>133.4</v>
      </c>
      <c r="E1911" s="114" t="n">
        <v>0</v>
      </c>
      <c r="F1911" s="114" t="n">
        <v>3829.28</v>
      </c>
      <c r="G1911" s="114" t="inlineStr">
        <is>
          <t>Personal</t>
        </is>
      </c>
      <c r="H1911" s="114" t="inlineStr">
        <is>
          <t>FEDERAL 0847</t>
        </is>
      </c>
    </row>
    <row r="1912">
      <c r="A1912" s="113" t="n">
        <v>45375</v>
      </c>
      <c r="B1912" s="114" t="inlineStr">
        <is>
          <t>UPIOUT/408436252683/Q847905206@ybl/Sent
via /5411</t>
        </is>
      </c>
      <c r="C1912" s="114" t="inlineStr"/>
      <c r="D1912" s="114" t="n">
        <v>40</v>
      </c>
      <c r="E1912" s="114" t="n">
        <v>0</v>
      </c>
      <c r="F1912" s="114" t="n">
        <v>1739.29</v>
      </c>
      <c r="G1912" s="114" t="inlineStr">
        <is>
          <t>Personal</t>
        </is>
      </c>
      <c r="H1912" s="114" t="inlineStr">
        <is>
          <t>FEDERAL 0847</t>
        </is>
      </c>
    </row>
    <row r="1913">
      <c r="A1913" s="113" t="n">
        <v>45375</v>
      </c>
      <c r="B1913" s="114" t="inlineStr">
        <is>
          <t>UPIOUT/408436547000/paytmqr2810050501014ev
0m/5812</t>
        </is>
      </c>
      <c r="C1913" s="114" t="inlineStr"/>
      <c r="D1913" s="114" t="n">
        <v>42</v>
      </c>
      <c r="E1913" s="114" t="n">
        <v>0</v>
      </c>
      <c r="F1913" s="114" t="n">
        <v>1697.29</v>
      </c>
      <c r="G1913" s="114" t="inlineStr">
        <is>
          <t>Personal</t>
        </is>
      </c>
      <c r="H1913" s="114" t="inlineStr">
        <is>
          <t>FEDERAL 0847</t>
        </is>
      </c>
    </row>
    <row r="1914">
      <c r="A1914" s="113" t="n">
        <v>45375</v>
      </c>
      <c r="B1914" s="114" t="inlineStr">
        <is>
          <t>UPIOUT/408439896704/BHARATPE.90069128054@f
bp/5814</t>
        </is>
      </c>
      <c r="C1914" s="114" t="inlineStr"/>
      <c r="D1914" s="114" t="n">
        <v>40</v>
      </c>
      <c r="E1914" s="114" t="n">
        <v>0</v>
      </c>
      <c r="F1914" s="114" t="n">
        <v>1657.29</v>
      </c>
      <c r="G1914" s="114" t="inlineStr">
        <is>
          <t>Personal</t>
        </is>
      </c>
      <c r="H1914" s="114" t="inlineStr">
        <is>
          <t>FEDERAL 0847</t>
        </is>
      </c>
    </row>
    <row r="1915">
      <c r="A1915" s="113" t="n">
        <v>45375</v>
      </c>
      <c r="B1915" s="114" t="inlineStr">
        <is>
          <t>UPIOUT/408440107383/paytmqrc35heq2fbz@payt
m//5411</t>
        </is>
      </c>
      <c r="C1915" s="114" t="inlineStr"/>
      <c r="D1915" s="114" t="n">
        <v>120</v>
      </c>
      <c r="E1915" s="114" t="n">
        <v>0</v>
      </c>
      <c r="F1915" s="114" t="n">
        <v>1537.29</v>
      </c>
      <c r="G1915" s="114" t="inlineStr">
        <is>
          <t>Personal</t>
        </is>
      </c>
      <c r="H1915" s="114" t="inlineStr">
        <is>
          <t>FEDERAL 0847</t>
        </is>
      </c>
    </row>
    <row r="1916">
      <c r="A1916" s="113" t="n">
        <v>45375</v>
      </c>
      <c r="B1916" s="114" t="inlineStr">
        <is>
          <t>UPIOUT/408440780565/paytmqr3zacjjhvyp@payt
m//5462</t>
        </is>
      </c>
      <c r="C1916" s="114" t="inlineStr"/>
      <c r="D1916" s="114" t="n">
        <v>20</v>
      </c>
      <c r="E1916" s="114" t="n">
        <v>0</v>
      </c>
      <c r="F1916" s="114" t="n">
        <v>1517.29</v>
      </c>
      <c r="G1916" s="114" t="inlineStr">
        <is>
          <t>Personal</t>
        </is>
      </c>
      <c r="H1916" s="114" t="inlineStr">
        <is>
          <t>FEDERAL 0847</t>
        </is>
      </c>
    </row>
    <row r="1917">
      <c r="A1917" s="113" t="n">
        <v>45375</v>
      </c>
      <c r="B1917" s="114" t="inlineStr">
        <is>
          <t>UPIOUT/408440889854/9945999658@ybl/Sent
via /0000</t>
        </is>
      </c>
      <c r="C1917" s="114" t="inlineStr"/>
      <c r="D1917" s="114" t="n">
        <v>48</v>
      </c>
      <c r="E1917" s="114" t="n">
        <v>0</v>
      </c>
      <c r="F1917" s="114" t="n">
        <v>1469.29</v>
      </c>
      <c r="G1917" s="114" t="inlineStr">
        <is>
          <t>Personal</t>
        </is>
      </c>
      <c r="H1917" s="114" t="inlineStr">
        <is>
          <t>FEDERAL 0847</t>
        </is>
      </c>
    </row>
    <row r="1918">
      <c r="A1918" s="113" t="n">
        <v>45375</v>
      </c>
      <c r="B1918" s="114" t="inlineStr">
        <is>
          <t>UPIOUT/408440994057/SMARTBAZAAR.27235866@h
df/5722</t>
        </is>
      </c>
      <c r="C1918" s="114" t="inlineStr"/>
      <c r="D1918" s="114" t="n">
        <v>75.2</v>
      </c>
      <c r="E1918" s="114" t="n">
        <v>0</v>
      </c>
      <c r="F1918" s="114" t="n">
        <v>1394.09</v>
      </c>
      <c r="G1918" s="114" t="inlineStr">
        <is>
          <t>Personal</t>
        </is>
      </c>
      <c r="H1918" s="114" t="inlineStr">
        <is>
          <t>FEDERAL 0847</t>
        </is>
      </c>
    </row>
    <row r="1919">
      <c r="A1919" s="113" t="n">
        <v>45375</v>
      </c>
      <c r="B1919" s="114" t="inlineStr">
        <is>
          <t>UPIOUT/408541863504/9351005740@paytm/Sent
vi/0000</t>
        </is>
      </c>
      <c r="C1919" s="114" t="inlineStr"/>
      <c r="D1919" s="114" t="n">
        <v>200</v>
      </c>
      <c r="E1919" s="114" t="n">
        <v>0</v>
      </c>
      <c r="F1919" s="114" t="n">
        <v>1194.09</v>
      </c>
      <c r="G1919" s="114" t="inlineStr">
        <is>
          <t>Personal</t>
        </is>
      </c>
      <c r="H1919" s="114" t="inlineStr">
        <is>
          <t>FEDERAL 0847</t>
        </is>
      </c>
    </row>
    <row r="1920">
      <c r="A1920" s="113" t="n">
        <v>45376</v>
      </c>
      <c r="B1920" s="114" t="inlineStr">
        <is>
          <t>UPIOUT/408545633501/Q995912267@ybl/Sent
via /5462</t>
        </is>
      </c>
      <c r="C1920" s="114" t="inlineStr"/>
      <c r="D1920" s="114" t="n">
        <v>100</v>
      </c>
      <c r="E1920" s="114" t="n">
        <v>0</v>
      </c>
      <c r="F1920" s="114" t="n">
        <v>970.09</v>
      </c>
      <c r="G1920" s="114" t="inlineStr">
        <is>
          <t>Personal</t>
        </is>
      </c>
      <c r="H1920" s="114" t="inlineStr">
        <is>
          <t>FEDERAL 0847</t>
        </is>
      </c>
    </row>
    <row r="1921">
      <c r="A1921" s="113" t="n">
        <v>45376</v>
      </c>
      <c r="B1921" s="114" t="inlineStr">
        <is>
          <t>UPIOUT/408524709060/gokhana.payu@indus/UPI
In/7311</t>
        </is>
      </c>
      <c r="C1921" s="114" t="inlineStr"/>
      <c r="D1921" s="114" t="n">
        <v>99</v>
      </c>
      <c r="E1921" s="114" t="n">
        <v>0</v>
      </c>
      <c r="F1921" s="114" t="n">
        <v>1095.09</v>
      </c>
      <c r="G1921" s="114" t="inlineStr">
        <is>
          <t>Personal</t>
        </is>
      </c>
      <c r="H1921" s="114" t="inlineStr">
        <is>
          <t>FEDERAL 0847</t>
        </is>
      </c>
    </row>
    <row r="1922">
      <c r="A1922" s="113" t="n">
        <v>45376</v>
      </c>
      <c r="B1922" s="114" t="inlineStr">
        <is>
          <t>UPIOUT/408525568116/gokhana.payu@indus/UPI
In/7311</t>
        </is>
      </c>
      <c r="C1922" s="114" t="inlineStr"/>
      <c r="D1922" s="114" t="n">
        <v>25</v>
      </c>
      <c r="E1922" s="114" t="n">
        <v>0</v>
      </c>
      <c r="F1922" s="114" t="n">
        <v>1070.09</v>
      </c>
      <c r="G1922" s="114" t="inlineStr">
        <is>
          <t>Personal</t>
        </is>
      </c>
      <c r="H1922" s="114" t="inlineStr">
        <is>
          <t>FEDERAL 0847</t>
        </is>
      </c>
    </row>
    <row r="1923">
      <c r="A1923" s="113" t="n">
        <v>45377</v>
      </c>
      <c r="B1923" s="114" t="inlineStr">
        <is>
          <t>UPIOUT/408658293874/gokhana.payu@indus/UPI
In/7311</t>
        </is>
      </c>
      <c r="C1923" s="114" t="inlineStr"/>
      <c r="D1923" s="114" t="n">
        <v>110</v>
      </c>
      <c r="E1923" s="114" t="n">
        <v>0</v>
      </c>
      <c r="F1923" s="114" t="n">
        <v>860.09</v>
      </c>
      <c r="G1923" s="114" t="inlineStr">
        <is>
          <t>Personal</t>
        </is>
      </c>
      <c r="H1923" s="114" t="inlineStr">
        <is>
          <t>FEDERAL 0847</t>
        </is>
      </c>
    </row>
    <row r="1924">
      <c r="A1924" s="113" t="n">
        <v>45377</v>
      </c>
      <c r="B1924" s="114" t="inlineStr">
        <is>
          <t>UPIOUT/408653357897/prakashajn8828@okicici
/S/0000</t>
        </is>
      </c>
      <c r="C1924" s="114" t="inlineStr"/>
      <c r="D1924" s="114" t="n">
        <v>39</v>
      </c>
      <c r="E1924" s="114" t="n">
        <v>0</v>
      </c>
      <c r="F1924" s="114" t="n">
        <v>821.09</v>
      </c>
      <c r="G1924" s="114" t="inlineStr">
        <is>
          <t>Personal</t>
        </is>
      </c>
      <c r="H1924" s="114" t="inlineStr">
        <is>
          <t>FEDERAL 0847</t>
        </is>
      </c>
    </row>
    <row r="1925">
      <c r="A1925" s="113" t="n">
        <v>45377</v>
      </c>
      <c r="B1925" s="114" t="inlineStr">
        <is>
          <t>UPIOUT/408653905238/waseemshariff24291@axl
/S/0000</t>
        </is>
      </c>
      <c r="C1925" s="114" t="inlineStr"/>
      <c r="D1925" s="114" t="n">
        <v>36</v>
      </c>
      <c r="E1925" s="114" t="n">
        <v>0</v>
      </c>
      <c r="F1925" s="114" t="n">
        <v>785.09</v>
      </c>
      <c r="G1925" s="114" t="inlineStr">
        <is>
          <t>Personal</t>
        </is>
      </c>
      <c r="H1925" s="114" t="inlineStr">
        <is>
          <t>FEDERAL 0847</t>
        </is>
      </c>
    </row>
    <row r="1926">
      <c r="A1926" s="113" t="n">
        <v>45377</v>
      </c>
      <c r="B1926" s="114" t="inlineStr">
        <is>
          <t>UPIOUT/408654363694/paytmqr110em392r1@payt
m//5462</t>
        </is>
      </c>
      <c r="C1926" s="114" t="inlineStr"/>
      <c r="D1926" s="114" t="n">
        <v>25</v>
      </c>
      <c r="E1926" s="114" t="n">
        <v>0</v>
      </c>
      <c r="F1926" s="114" t="n">
        <v>760.09</v>
      </c>
      <c r="G1926" s="114" t="inlineStr">
        <is>
          <t>Personal</t>
        </is>
      </c>
      <c r="H1926" s="114" t="inlineStr">
        <is>
          <t>FEDERAL 0847</t>
        </is>
      </c>
    </row>
    <row r="1927">
      <c r="A1927" s="113" t="n">
        <v>45377</v>
      </c>
      <c r="B1927" s="114" t="inlineStr">
        <is>
          <t>NET PO FROM HSL A/C 2554606-50200085415108</t>
        </is>
      </c>
      <c r="C1927" s="114" t="inlineStr">
        <is>
          <t>0000000507548937</t>
        </is>
      </c>
      <c r="D1927" s="114" t="n">
        <v>0</v>
      </c>
      <c r="E1927" s="114" t="n">
        <v>21837.43</v>
      </c>
      <c r="F1927" s="114" t="n">
        <v>64297.89</v>
      </c>
      <c r="G1927" s="114" t="inlineStr">
        <is>
          <t>HDFC Securities</t>
        </is>
      </c>
      <c r="H1927" s="114" t="inlineStr">
        <is>
          <t>HDFC 5413</t>
        </is>
      </c>
    </row>
    <row r="1928">
      <c r="A1928" s="113" t="n">
        <v>45377</v>
      </c>
      <c r="B1928" s="114" t="inlineStr">
        <is>
          <t>NET PI TO HSL SEC A/C 2554606-00602340029427</t>
        </is>
      </c>
      <c r="C1928" s="114" t="inlineStr">
        <is>
          <t>0000000507651554</t>
        </is>
      </c>
      <c r="D1928" s="114" t="n">
        <v>635.6</v>
      </c>
      <c r="E1928" s="114" t="n">
        <v>0</v>
      </c>
      <c r="F1928" s="114" t="n">
        <v>63662.29</v>
      </c>
      <c r="G1928" s="114" t="inlineStr">
        <is>
          <t>HDFC Securities</t>
        </is>
      </c>
      <c r="H1928" s="114" t="inlineStr">
        <is>
          <t>HDFC 5413</t>
        </is>
      </c>
    </row>
    <row r="1929">
      <c r="A1929" s="113" t="n">
        <v>45377</v>
      </c>
      <c r="B1929" s="114" t="inlineStr">
        <is>
          <t>NET PI TO HSL SEC A/C 2554606-00602340029427</t>
        </is>
      </c>
      <c r="C1929" s="114" t="inlineStr">
        <is>
          <t>0000000507901258</t>
        </is>
      </c>
      <c r="D1929" s="114" t="n">
        <v>1671.29</v>
      </c>
      <c r="E1929" s="114" t="n">
        <v>0</v>
      </c>
      <c r="F1929" s="114" t="n">
        <v>61991</v>
      </c>
      <c r="G1929" s="114" t="inlineStr">
        <is>
          <t>HDFC Securities</t>
        </is>
      </c>
      <c r="H1929" s="114" t="inlineStr">
        <is>
          <t>HDFC 5413</t>
        </is>
      </c>
    </row>
    <row r="1930">
      <c r="A1930" s="113" t="n">
        <v>45378</v>
      </c>
      <c r="B1930" s="114" t="inlineStr">
        <is>
          <t>NET PI TO HSL SEC A/C 2554606-00602340029427</t>
        </is>
      </c>
      <c r="C1930" s="114" t="inlineStr">
        <is>
          <t>0000000508130784</t>
        </is>
      </c>
      <c r="D1930" s="114" t="n">
        <v>158.31</v>
      </c>
      <c r="E1930" s="114" t="n">
        <v>0</v>
      </c>
      <c r="F1930" s="114" t="n">
        <v>61832.69</v>
      </c>
      <c r="G1930" s="114" t="inlineStr">
        <is>
          <t>HDFC Securities</t>
        </is>
      </c>
      <c r="H1930" s="114" t="inlineStr">
        <is>
          <t>HDFC 5413</t>
        </is>
      </c>
    </row>
    <row r="1931">
      <c r="A1931" s="113" t="n">
        <v>45378</v>
      </c>
      <c r="B1931" s="114" t="inlineStr">
        <is>
          <t>NET PI TO HSL SEC A/C 2554606-00602340029427</t>
        </is>
      </c>
      <c r="C1931" s="114" t="inlineStr">
        <is>
          <t>0000000508296225</t>
        </is>
      </c>
      <c r="D1931" s="114" t="n">
        <v>10731.98</v>
      </c>
      <c r="E1931" s="114" t="n">
        <v>0</v>
      </c>
      <c r="F1931" s="114" t="n">
        <v>51100.71</v>
      </c>
      <c r="G1931" s="114" t="inlineStr">
        <is>
          <t>HDFC Securities</t>
        </is>
      </c>
      <c r="H1931" s="114" t="inlineStr">
        <is>
          <t>HDFC 5413</t>
        </is>
      </c>
    </row>
    <row r="1932">
      <c r="A1932" s="113" t="n">
        <v>45378</v>
      </c>
      <c r="B1932" s="114" t="inlineStr">
        <is>
          <t>UPIOUT/408794601952/gokhana.payu@indus/UPI
In/7311</t>
        </is>
      </c>
      <c r="C1932" s="114" t="inlineStr"/>
      <c r="D1932" s="114" t="n">
        <v>70</v>
      </c>
      <c r="E1932" s="114" t="n">
        <v>0</v>
      </c>
      <c r="F1932" s="114" t="n">
        <v>690.09</v>
      </c>
      <c r="G1932" s="114" t="inlineStr">
        <is>
          <t>Personal</t>
        </is>
      </c>
      <c r="H1932" s="114" t="inlineStr">
        <is>
          <t>FEDERAL 0847</t>
        </is>
      </c>
    </row>
    <row r="1933">
      <c r="A1933" s="113" t="n">
        <v>45378</v>
      </c>
      <c r="B1933" s="114" t="inlineStr">
        <is>
          <t>UPIOUT/408795986875/gokhana.payu@indus/UPI
In/7311</t>
        </is>
      </c>
      <c r="C1933" s="114" t="inlineStr"/>
      <c r="D1933" s="114" t="n">
        <v>200</v>
      </c>
      <c r="E1933" s="114" t="n">
        <v>0</v>
      </c>
      <c r="F1933" s="114" t="n">
        <v>465.09</v>
      </c>
      <c r="G1933" s="114" t="inlineStr">
        <is>
          <t>Personal</t>
        </is>
      </c>
      <c r="H1933" s="114" t="inlineStr">
        <is>
          <t>FEDERAL 0847</t>
        </is>
      </c>
    </row>
    <row r="1934">
      <c r="A1934" s="113" t="n">
        <v>45378</v>
      </c>
      <c r="B1934" s="114" t="inlineStr">
        <is>
          <t>UPIOUT/408794716230/gokhana.payu@indus/UPI
In/7311</t>
        </is>
      </c>
      <c r="C1934" s="114" t="inlineStr"/>
      <c r="D1934" s="114" t="n">
        <v>25</v>
      </c>
      <c r="E1934" s="114" t="n">
        <v>0</v>
      </c>
      <c r="F1934" s="114" t="n">
        <v>665.09</v>
      </c>
      <c r="G1934" s="114" t="inlineStr">
        <is>
          <t>Personal</t>
        </is>
      </c>
      <c r="H1934" s="114" t="inlineStr">
        <is>
          <t>FEDERAL 0847</t>
        </is>
      </c>
    </row>
    <row r="1935">
      <c r="A1935" s="113" t="n">
        <v>45379</v>
      </c>
      <c r="B1935" s="114" t="inlineStr">
        <is>
          <t>UPIOUT/408831449979/toboxventuresprivatel.
pa/5812</t>
        </is>
      </c>
      <c r="C1935" s="114" t="inlineStr"/>
      <c r="D1935" s="114" t="n">
        <v>99</v>
      </c>
      <c r="E1935" s="114" t="n">
        <v>0</v>
      </c>
      <c r="F1935" s="114" t="n">
        <v>366.09</v>
      </c>
      <c r="G1935" s="114" t="inlineStr">
        <is>
          <t>Personal</t>
        </is>
      </c>
      <c r="H1935" s="114" t="inlineStr">
        <is>
          <t>FEDERAL 0847</t>
        </is>
      </c>
    </row>
    <row r="1936">
      <c r="A1936" s="113" t="n">
        <v>45379</v>
      </c>
      <c r="B1936" s="114" t="inlineStr">
        <is>
          <t>UPIOUT/408845702991/vilpremum@paytm/UPI/48
14</t>
        </is>
      </c>
      <c r="C1936" s="114" t="inlineStr"/>
      <c r="D1936" s="114" t="n">
        <v>10</v>
      </c>
      <c r="E1936" s="114" t="n">
        <v>0</v>
      </c>
      <c r="F1936" s="114" t="n">
        <v>321.09</v>
      </c>
      <c r="G1936" s="114" t="inlineStr">
        <is>
          <t>Personal</t>
        </is>
      </c>
      <c r="H1936" s="114" t="inlineStr">
        <is>
          <t>FEDERAL 0847</t>
        </is>
      </c>
    </row>
    <row r="1937">
      <c r="A1937" s="113" t="n">
        <v>45379</v>
      </c>
      <c r="B1937" s="114" t="inlineStr">
        <is>
          <t>UPIOUT/408866646073/Q995912267@ybl/Sent
via /5462</t>
        </is>
      </c>
      <c r="C1937" s="114" t="inlineStr"/>
      <c r="D1937" s="114" t="n">
        <v>35</v>
      </c>
      <c r="E1937" s="114" t="n">
        <v>0</v>
      </c>
      <c r="F1937" s="114" t="n">
        <v>286.09</v>
      </c>
      <c r="G1937" s="114" t="inlineStr">
        <is>
          <t>Personal</t>
        </is>
      </c>
      <c r="H1937" s="114" t="inlineStr">
        <is>
          <t>FEDERAL 0847</t>
        </is>
      </c>
    </row>
    <row r="1938">
      <c r="A1938" s="113" t="n">
        <v>45379</v>
      </c>
      <c r="B1938" s="114" t="inlineStr">
        <is>
          <t>UPIOUT/408867487569/paytmqr3zacjjhvyp@payt
m//5462</t>
        </is>
      </c>
      <c r="C1938" s="114" t="inlineStr"/>
      <c r="D1938" s="114" t="n">
        <v>40</v>
      </c>
      <c r="E1938" s="114" t="n">
        <v>0</v>
      </c>
      <c r="F1938" s="114" t="n">
        <v>246.09</v>
      </c>
      <c r="G1938" s="114" t="inlineStr">
        <is>
          <t>Personal</t>
        </is>
      </c>
      <c r="H1938" s="114" t="inlineStr">
        <is>
          <t>FEDERAL 0847</t>
        </is>
      </c>
    </row>
    <row r="1939">
      <c r="A1939" s="113" t="n">
        <v>45379</v>
      </c>
      <c r="B1939" s="114" t="inlineStr">
        <is>
          <t>UPIOUT/408866496281/Q403465439@ybl/Sent
via /5812</t>
        </is>
      </c>
      <c r="C1939" s="114" t="inlineStr"/>
      <c r="D1939" s="114" t="n">
        <v>35</v>
      </c>
      <c r="E1939" s="114" t="n">
        <v>0</v>
      </c>
      <c r="F1939" s="114" t="n">
        <v>331.09</v>
      </c>
      <c r="G1939" s="114" t="inlineStr">
        <is>
          <t>Personal</t>
        </is>
      </c>
      <c r="H1939" s="114" t="inlineStr">
        <is>
          <t>FEDERAL 0847</t>
        </is>
      </c>
    </row>
    <row r="1940">
      <c r="A1940" s="113" t="n">
        <v>45379</v>
      </c>
      <c r="B1940" s="114" t="inlineStr">
        <is>
          <t>NET PO FROM HSL A/C 2554606-50200085415108</t>
        </is>
      </c>
      <c r="C1940" s="114" t="inlineStr">
        <is>
          <t>0000000508706826</t>
        </is>
      </c>
      <c r="D1940" s="114" t="n">
        <v>0</v>
      </c>
      <c r="E1940" s="114" t="n">
        <v>11656.66</v>
      </c>
      <c r="F1940" s="114" t="n">
        <v>57602.89</v>
      </c>
      <c r="G1940" s="114" t="inlineStr">
        <is>
          <t>HDFC Securities</t>
        </is>
      </c>
      <c r="H1940" s="114" t="inlineStr">
        <is>
          <t>HDFC 5413</t>
        </is>
      </c>
    </row>
    <row r="1941">
      <c r="A1941" s="113" t="n">
        <v>45379</v>
      </c>
      <c r="B1941" s="114" t="inlineStr">
        <is>
          <t>NET PI TO HSL SEC A/C 2554606-00602340029427</t>
        </is>
      </c>
      <c r="C1941" s="114" t="inlineStr">
        <is>
          <t>0000000508539163</t>
        </is>
      </c>
      <c r="D1941" s="114" t="n">
        <v>154.48</v>
      </c>
      <c r="E1941" s="114" t="n">
        <v>0</v>
      </c>
      <c r="F1941" s="114" t="n">
        <v>45946.23</v>
      </c>
      <c r="G1941" s="114" t="inlineStr">
        <is>
          <t>HDFC Securities</t>
        </is>
      </c>
      <c r="H1941" s="114" t="inlineStr">
        <is>
          <t>HDFC 5413</t>
        </is>
      </c>
    </row>
    <row r="1942">
      <c r="A1942" s="113" t="n">
        <v>45379</v>
      </c>
      <c r="B1942" s="114" t="inlineStr">
        <is>
          <t>ACH D- TP ACH INDIANESIGN-1398119554</t>
        </is>
      </c>
      <c r="C1942" s="114" t="inlineStr">
        <is>
          <t>0000002237430600</t>
        </is>
      </c>
      <c r="D1942" s="114" t="n">
        <v>5000</v>
      </c>
      <c r="E1942" s="114" t="n">
        <v>0</v>
      </c>
      <c r="F1942" s="114" t="n">
        <v>46100.71</v>
      </c>
      <c r="G1942" s="114" t="inlineStr">
        <is>
          <t>SIP</t>
        </is>
      </c>
      <c r="H1942" s="114" t="inlineStr">
        <is>
          <t>HDFC 5413</t>
        </is>
      </c>
    </row>
    <row r="1943">
      <c r="A1943" s="113" t="n">
        <v>45380</v>
      </c>
      <c r="B1943" s="114" t="inlineStr">
        <is>
          <t>SALARYTRANS</t>
        </is>
      </c>
      <c r="C1943" s="114" t="inlineStr">
        <is>
          <t>FCM-2403299ES9MP</t>
        </is>
      </c>
      <c r="D1943" s="114" t="n">
        <v>0</v>
      </c>
      <c r="E1943" s="114" t="n">
        <v>63942</v>
      </c>
      <c r="F1943" s="114" t="n">
        <v>63943.01</v>
      </c>
      <c r="G1943" s="114" t="inlineStr">
        <is>
          <t>Salary</t>
        </is>
      </c>
      <c r="H1943" s="114" t="inlineStr">
        <is>
          <t>KOTAK 0333</t>
        </is>
      </c>
    </row>
    <row r="1944">
      <c r="A1944" s="113" t="n">
        <v>45380</v>
      </c>
      <c r="B1944" s="114" t="inlineStr">
        <is>
          <t>UPIOUT/408971409242/toboxventuresprivatel.
pa/5812</t>
        </is>
      </c>
      <c r="C1944" s="114" t="inlineStr"/>
      <c r="D1944" s="114" t="n">
        <v>50</v>
      </c>
      <c r="E1944" s="114" t="n">
        <v>0</v>
      </c>
      <c r="F1944" s="114" t="n">
        <v>116.09</v>
      </c>
      <c r="G1944" s="114" t="inlineStr">
        <is>
          <t>Personal</t>
        </is>
      </c>
      <c r="H1944" s="114" t="inlineStr">
        <is>
          <t>FEDERAL 0847</t>
        </is>
      </c>
    </row>
    <row r="1945">
      <c r="A1945" s="113" t="n">
        <v>45380</v>
      </c>
      <c r="B1945" s="114" t="inlineStr">
        <is>
          <t>UPIOUT/408970975049/toboxventuresprivatel.
pa/5812</t>
        </is>
      </c>
      <c r="C1945" s="114" t="inlineStr"/>
      <c r="D1945" s="114" t="n">
        <v>70</v>
      </c>
      <c r="E1945" s="114" t="n">
        <v>0</v>
      </c>
      <c r="F1945" s="114" t="n">
        <v>166.09</v>
      </c>
      <c r="G1945" s="114" t="inlineStr">
        <is>
          <t>Personal</t>
        </is>
      </c>
      <c r="H1945" s="114" t="inlineStr">
        <is>
          <t>FEDERAL 0847</t>
        </is>
      </c>
    </row>
    <row r="1946">
      <c r="A1946" s="113" t="n">
        <v>45380</v>
      </c>
      <c r="B1946" s="114" t="inlineStr">
        <is>
          <t>UPIOUT/408969561525/paytmqr1munx5557c@payt
m//5462</t>
        </is>
      </c>
      <c r="C1946" s="114" t="inlineStr"/>
      <c r="D1946" s="114" t="n">
        <v>10</v>
      </c>
      <c r="E1946" s="114" t="n">
        <v>0</v>
      </c>
      <c r="F1946" s="114" t="n">
        <v>236.09</v>
      </c>
      <c r="G1946" s="114" t="inlineStr">
        <is>
          <t>Personal</t>
        </is>
      </c>
      <c r="H1946" s="114" t="inlineStr">
        <is>
          <t>FEDERAL 0847</t>
        </is>
      </c>
    </row>
    <row r="1947">
      <c r="A1947" s="113" t="n">
        <v>45381</v>
      </c>
      <c r="B1947" s="114" t="inlineStr">
        <is>
          <t>ACH C- POWER FINANCE CORPOR-14038345</t>
        </is>
      </c>
      <c r="C1947" s="114" t="inlineStr">
        <is>
          <t>0000002322577079</t>
        </is>
      </c>
      <c r="D1947" s="114" t="n">
        <v>0</v>
      </c>
      <c r="E1947" s="114" t="n">
        <v>54</v>
      </c>
      <c r="F1947" s="114" t="n">
        <v>57656.89</v>
      </c>
      <c r="G1947" s="114" t="inlineStr">
        <is>
          <t>Dividend Income</t>
        </is>
      </c>
      <c r="H1947" s="114" t="inlineStr">
        <is>
          <t>HDFC 5413</t>
        </is>
      </c>
    </row>
    <row r="1948">
      <c r="A1948" s="113" t="n">
        <v>45381</v>
      </c>
      <c r="B1948" s="114" t="inlineStr">
        <is>
          <t>UPI IN/409021378087/9594435259@kotak/MB
UPI/0000</t>
        </is>
      </c>
      <c r="C1948" s="114" t="inlineStr"/>
      <c r="D1948" s="114" t="n">
        <v>0</v>
      </c>
      <c r="E1948" s="114" t="n">
        <v>1</v>
      </c>
      <c r="F1948" s="114" t="n">
        <v>2.09</v>
      </c>
      <c r="G1948" s="114" t="inlineStr">
        <is>
          <t>KOTAK 0333</t>
        </is>
      </c>
      <c r="H1948" s="114" t="inlineStr">
        <is>
          <t>FEDERAL 0847</t>
        </is>
      </c>
    </row>
    <row r="1949">
      <c r="A1949" s="113" t="n">
        <v>45381</v>
      </c>
      <c r="B1949" s="114" t="inlineStr">
        <is>
          <t>UPI IN/409021381201/9594435259@kotak/MB
UPI/0000</t>
        </is>
      </c>
      <c r="C1949" s="114" t="inlineStr"/>
      <c r="D1949" s="114" t="n">
        <v>0</v>
      </c>
      <c r="E1949" s="114" t="n">
        <v>1998</v>
      </c>
      <c r="F1949" s="114" t="n">
        <v>2000.09</v>
      </c>
      <c r="G1949" s="114" t="inlineStr">
        <is>
          <t>KOTAK 0333</t>
        </is>
      </c>
      <c r="H1949" s="114" t="inlineStr">
        <is>
          <t>FEDERAL 0847</t>
        </is>
      </c>
    </row>
    <row r="1950">
      <c r="A1950" s="113" t="n">
        <v>45381</v>
      </c>
      <c r="B1950" s="114" t="inlineStr">
        <is>
          <t>UPI/AAYUSH KUMAR GU/409021379488/MB UPI</t>
        </is>
      </c>
      <c r="C1950" s="114" t="inlineStr">
        <is>
          <t>UPI-409009192485</t>
        </is>
      </c>
      <c r="D1950" s="114" t="n">
        <v>1998</v>
      </c>
      <c r="E1950" s="114" t="n">
        <v>0</v>
      </c>
      <c r="F1950" s="114" t="n">
        <v>61944.01</v>
      </c>
      <c r="G1950" s="114" t="inlineStr">
        <is>
          <t>FEDERAL 0847</t>
        </is>
      </c>
      <c r="H1950" s="114" t="inlineStr">
        <is>
          <t>KOTAK 0333</t>
        </is>
      </c>
    </row>
    <row r="1951">
      <c r="A1951" s="113" t="n">
        <v>45381</v>
      </c>
      <c r="B1951" s="114" t="inlineStr">
        <is>
          <t>UPI/AAYUSH KUMAR GU/409021378087/MB UPI</t>
        </is>
      </c>
      <c r="C1951" s="114" t="inlineStr">
        <is>
          <t>UPI-409009155467</t>
        </is>
      </c>
      <c r="D1951" s="114" t="n">
        <v>1</v>
      </c>
      <c r="E1951" s="114" t="n">
        <v>0</v>
      </c>
      <c r="F1951" s="114" t="n">
        <v>63942.01</v>
      </c>
      <c r="G1951" s="114" t="inlineStr">
        <is>
          <t>FEDERAL 0847</t>
        </is>
      </c>
      <c r="H1951" s="114" t="inlineStr">
        <is>
          <t>KOTAK 0333</t>
        </is>
      </c>
    </row>
    <row r="1952">
      <c r="A1952" s="113" t="n">
        <v>45381</v>
      </c>
      <c r="B1952" s="114" t="inlineStr">
        <is>
          <t>UPI/AAYUSH KUMAR GU/409021381201/MB UPI</t>
        </is>
      </c>
      <c r="C1952" s="114" t="inlineStr">
        <is>
          <t>UPI-409009233431</t>
        </is>
      </c>
      <c r="D1952" s="114" t="n">
        <v>1998</v>
      </c>
      <c r="E1952" s="114" t="n">
        <v>0</v>
      </c>
      <c r="F1952" s="114" t="n">
        <v>59946.01</v>
      </c>
      <c r="G1952" s="114" t="inlineStr">
        <is>
          <t>FEDERAL 0847</t>
        </is>
      </c>
      <c r="H1952" s="114" t="inlineStr">
        <is>
          <t>KOTAK 0333</t>
        </is>
      </c>
    </row>
    <row r="1953">
      <c r="A1953" s="113" t="n">
        <v>45381</v>
      </c>
      <c r="B1953" s="114" t="inlineStr">
        <is>
          <t>UPIOUT/409078285351/Vyapar.168072300538@hd
fc/5812</t>
        </is>
      </c>
      <c r="C1953" s="114" t="inlineStr"/>
      <c r="D1953" s="114" t="n">
        <v>35</v>
      </c>
      <c r="E1953" s="114" t="n">
        <v>0</v>
      </c>
      <c r="F1953" s="114" t="n">
        <v>61.09</v>
      </c>
      <c r="G1953" s="114" t="inlineStr">
        <is>
          <t>Personal</t>
        </is>
      </c>
      <c r="H1953" s="114" t="inlineStr">
        <is>
          <t>FEDERAL 0847</t>
        </is>
      </c>
    </row>
    <row r="1954">
      <c r="A1954" s="113" t="n">
        <v>45381</v>
      </c>
      <c r="B1954" s="114" t="inlineStr">
        <is>
          <t>UPIOUT/409076767454/paytmqryue9ksrtp5@payt
m//5812</t>
        </is>
      </c>
      <c r="C1954" s="114" t="inlineStr"/>
      <c r="D1954" s="114" t="n">
        <v>20</v>
      </c>
      <c r="E1954" s="114" t="n">
        <v>0</v>
      </c>
      <c r="F1954" s="114" t="n">
        <v>96.09</v>
      </c>
      <c r="G1954" s="114" t="inlineStr">
        <is>
          <t>Personal</t>
        </is>
      </c>
      <c r="H1954" s="114" t="inlineStr">
        <is>
          <t>FEDERAL 0847</t>
        </is>
      </c>
    </row>
    <row r="1955">
      <c r="A1955" s="113" t="n">
        <v>45381</v>
      </c>
      <c r="B1955" s="114" t="inlineStr">
        <is>
          <t>UPIOUT/409080976317/paytmqr1un7bk4a3z@payt
m//5812</t>
        </is>
      </c>
      <c r="C1955" s="114" t="inlineStr"/>
      <c r="D1955" s="114" t="n">
        <v>60</v>
      </c>
      <c r="E1955" s="114" t="n">
        <v>0</v>
      </c>
      <c r="F1955" s="114" t="n">
        <v>1.09</v>
      </c>
      <c r="G1955" s="114" t="inlineStr">
        <is>
          <t>Personal</t>
        </is>
      </c>
      <c r="H1955" s="114" t="inlineStr">
        <is>
          <t>FEDERAL 0847</t>
        </is>
      </c>
    </row>
    <row r="1956">
      <c r="A1956" s="113" t="n">
        <v>45382</v>
      </c>
      <c r="B1956" s="114" t="inlineStr">
        <is>
          <t xml:space="preserve">   CREDIT INTEREST---</t>
        </is>
      </c>
      <c r="C1956" s="114" t="n">
        <v/>
      </c>
      <c r="D1956" s="114" t="n">
        <v>0</v>
      </c>
      <c r="E1956" s="114" t="n">
        <v>1422</v>
      </c>
      <c r="F1956" s="114" t="n">
        <v>24363</v>
      </c>
      <c r="G1956" s="114" t="inlineStr">
        <is>
          <t>Bank Interest</t>
        </is>
      </c>
      <c r="H1956" s="114" t="inlineStr">
        <is>
          <t>SBI 1227</t>
        </is>
      </c>
    </row>
    <row r="1957">
      <c r="A1957" s="113" t="n">
        <v>45382</v>
      </c>
      <c r="B1957" s="114" t="inlineStr">
        <is>
          <t>SB:915010020334307:Int.Pd:01-01-2024 to 31-03-2024</t>
        </is>
      </c>
      <c r="C1957" s="114" t="inlineStr">
        <is>
          <t>-</t>
        </is>
      </c>
      <c r="D1957" s="114" t="n">
        <v>0</v>
      </c>
      <c r="E1957" s="114" t="n">
        <v>125</v>
      </c>
      <c r="F1957" s="114" t="n">
        <v>16847.21</v>
      </c>
      <c r="G1957" s="114" t="inlineStr">
        <is>
          <t>Bank Interest</t>
        </is>
      </c>
      <c r="H1957" s="114" t="inlineStr">
        <is>
          <t>AXIS</t>
        </is>
      </c>
    </row>
    <row r="1958">
      <c r="A1958" s="113" t="n">
        <v>45382</v>
      </c>
      <c r="B1958" s="114" t="inlineStr">
        <is>
          <t>PCD/4395/GYFTR COM/7840089543310324/20:49</t>
        </is>
      </c>
      <c r="C1958" s="114" t="n">
        <v>409115178316</v>
      </c>
      <c r="D1958" s="114" t="n">
        <v>245</v>
      </c>
      <c r="E1958" s="114" t="n">
        <v>0</v>
      </c>
      <c r="F1958" s="114" t="n">
        <v>59701.01</v>
      </c>
      <c r="G1958" s="114" t="inlineStr">
        <is>
          <t>Personal</t>
        </is>
      </c>
      <c r="H1958" s="114" t="inlineStr">
        <is>
          <t>KOTAK 0333</t>
        </is>
      </c>
    </row>
    <row r="1959">
      <c r="A1959" s="113" t="n">
        <v>45382</v>
      </c>
      <c r="B1959" s="114" t="inlineStr">
        <is>
          <t>UPIOUT/409166803480/amazonpaygrocery@yapl/
Yo/5411</t>
        </is>
      </c>
      <c r="C1959" s="114" t="inlineStr"/>
      <c r="D1959" s="114" t="n">
        <v>335</v>
      </c>
      <c r="E1959" s="114" t="n">
        <v>0</v>
      </c>
      <c r="F1959" s="114" t="n">
        <v>962.09</v>
      </c>
      <c r="G1959" s="114" t="inlineStr">
        <is>
          <t>Shopping</t>
        </is>
      </c>
      <c r="H1959" s="114" t="inlineStr">
        <is>
          <t>FEDERAL 0847</t>
        </is>
      </c>
    </row>
    <row r="1960">
      <c r="A1960" s="113" t="n">
        <v>45382</v>
      </c>
      <c r="B1960" s="114" t="inlineStr">
        <is>
          <t>UPIOUT/409187823907/paytmqr1munx5557c@payt
m//5462</t>
        </is>
      </c>
      <c r="C1960" s="114" t="inlineStr"/>
      <c r="D1960" s="114" t="n">
        <v>16</v>
      </c>
      <c r="E1960" s="114" t="n">
        <v>0</v>
      </c>
      <c r="F1960" s="114" t="n">
        <v>911.09</v>
      </c>
      <c r="G1960" s="114" t="inlineStr">
        <is>
          <t>Personal</t>
        </is>
      </c>
      <c r="H1960" s="114" t="inlineStr">
        <is>
          <t>FEDERAL 0847</t>
        </is>
      </c>
    </row>
    <row r="1961">
      <c r="A1961" s="113" t="n">
        <v>45382</v>
      </c>
      <c r="B1961" s="114" t="inlineStr">
        <is>
          <t>UPIOUT/409187786854/paytmqr281005050101z94
56/5411</t>
        </is>
      </c>
      <c r="C1961" s="114" t="inlineStr"/>
      <c r="D1961" s="114" t="n">
        <v>35</v>
      </c>
      <c r="E1961" s="114" t="n">
        <v>0</v>
      </c>
      <c r="F1961" s="114" t="n">
        <v>927.09</v>
      </c>
      <c r="G1961" s="114" t="inlineStr">
        <is>
          <t>Personal</t>
        </is>
      </c>
      <c r="H1961" s="114" t="inlineStr">
        <is>
          <t>FEDERAL 0847</t>
        </is>
      </c>
    </row>
    <row r="1962">
      <c r="A1962" s="113" t="n">
        <v>45382</v>
      </c>
      <c r="B1962" s="114" t="inlineStr">
        <is>
          <t>UPIOUT/409145904712/grofersindiaprivatelim
it/5411</t>
        </is>
      </c>
      <c r="C1962" s="114" t="inlineStr"/>
      <c r="D1962" s="114" t="n">
        <v>593</v>
      </c>
      <c r="E1962" s="114" t="n">
        <v>0</v>
      </c>
      <c r="F1962" s="114" t="n">
        <v>1297.09</v>
      </c>
      <c r="G1962" s="114" t="inlineStr">
        <is>
          <t>Groceries</t>
        </is>
      </c>
      <c r="H1962" s="114" t="inlineStr">
        <is>
          <t>FEDERAL 0847</t>
        </is>
      </c>
    </row>
    <row r="1963">
      <c r="A1963" s="113" t="n">
        <v>45382</v>
      </c>
      <c r="B1963" s="114" t="inlineStr">
        <is>
          <t>UPIOUT/409184122243/Q328371456@ybl/Sent
via /5812</t>
        </is>
      </c>
      <c r="C1963" s="114" t="inlineStr"/>
      <c r="D1963" s="114" t="n">
        <v>30</v>
      </c>
      <c r="E1963" s="114" t="n">
        <v>0</v>
      </c>
      <c r="F1963" s="114" t="n">
        <v>1890.09</v>
      </c>
      <c r="G1963" s="114" t="inlineStr">
        <is>
          <t>Personal</t>
        </is>
      </c>
      <c r="H1963" s="114" t="inlineStr">
        <is>
          <t>FEDERAL 0847</t>
        </is>
      </c>
    </row>
    <row r="1964">
      <c r="A1964" s="113" t="n">
        <v>45382</v>
      </c>
      <c r="B1964" s="114" t="inlineStr">
        <is>
          <t>UPIOUT/409184031557/Q502213842@ybl/Sent
via /5814</t>
        </is>
      </c>
      <c r="C1964" s="114" t="inlineStr"/>
      <c r="D1964" s="114" t="n">
        <v>80</v>
      </c>
      <c r="E1964" s="114" t="n">
        <v>0</v>
      </c>
      <c r="F1964" s="114" t="n">
        <v>1920.09</v>
      </c>
      <c r="G1964" s="114" t="inlineStr">
        <is>
          <t>Personal</t>
        </is>
      </c>
      <c r="H1964" s="114" t="inlineStr">
        <is>
          <t>FEDERAL 0847</t>
        </is>
      </c>
    </row>
    <row r="1965">
      <c r="A1965" s="113" t="n">
        <v>45382</v>
      </c>
      <c r="B1965" s="114" t="inlineStr">
        <is>
          <t>CBDT/BANK REFERENCE NO:N2409116805977/CIN NO:24033100292539HDFC/ONLINE</t>
        </is>
      </c>
      <c r="C1965" s="114" t="inlineStr">
        <is>
          <t>0240331210007249</t>
        </is>
      </c>
      <c r="D1965" s="114" t="n">
        <v>15000</v>
      </c>
      <c r="E1965" s="114" t="n">
        <v>0</v>
      </c>
      <c r="F1965" s="114" t="n">
        <v>42656.89</v>
      </c>
      <c r="G1965" s="114" t="inlineStr">
        <is>
          <t>Advance Tax</t>
        </is>
      </c>
      <c r="H1965" s="114" t="inlineStr">
        <is>
          <t>HDFC 5413</t>
        </is>
      </c>
    </row>
    <row r="1966">
      <c r="A1966" s="113" t="n">
        <v>45383</v>
      </c>
      <c r="B1966" s="114" t="inlineStr">
        <is>
          <t>CREDIT INTEREST CAPITALISED</t>
        </is>
      </c>
      <c r="C1966" s="114" t="inlineStr">
        <is>
          <t>000000000000000</t>
        </is>
      </c>
      <c r="D1966" s="114" t="n">
        <v>0</v>
      </c>
      <c r="E1966" s="114" t="n">
        <v>394</v>
      </c>
      <c r="F1966" s="114" t="n">
        <v>43050.89</v>
      </c>
      <c r="G1966" s="114" t="inlineStr">
        <is>
          <t>Bank Interest</t>
        </is>
      </c>
      <c r="H1966" s="114" t="inlineStr">
        <is>
          <t>HDFC 5413</t>
        </is>
      </c>
    </row>
    <row r="1967">
      <c r="A1967" s="113" t="n">
        <v>45383</v>
      </c>
      <c r="B1967" s="114" t="inlineStr">
        <is>
          <t>Int.Pd:3649610333:01-01-2024 to 31-03-2024</t>
        </is>
      </c>
      <c r="C1967" s="114" t="n">
        <v/>
      </c>
      <c r="D1967" s="114" t="n">
        <v>0</v>
      </c>
      <c r="E1967" s="114" t="n">
        <v>21</v>
      </c>
      <c r="F1967" s="114" t="n">
        <v>59722.01</v>
      </c>
      <c r="G1967" s="114" t="inlineStr">
        <is>
          <t>Bank Interest</t>
        </is>
      </c>
      <c r="H1967" s="114" t="inlineStr">
        <is>
          <t>KOTAK 0333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15" t="inlineStr">
        <is>
          <t>All Banks</t>
        </is>
      </c>
    </row>
    <row r="2">
      <c r="A2" s="111" t="inlineStr">
        <is>
          <t>Aayush Gupta Bank Summary</t>
        </is>
      </c>
    </row>
    <row r="3">
      <c r="A3" t="inlineStr">
        <is>
          <t>01-Apr-2023 to 01-Apr-2024</t>
        </is>
      </c>
    </row>
    <row r="4">
      <c r="A4" s="116" t="n"/>
      <c r="B4" s="116" t="n"/>
      <c r="C4" s="116" t="n"/>
      <c r="D4" s="116" t="n"/>
    </row>
    <row r="5">
      <c r="A5" t="inlineStr">
        <is>
          <t>Narration</t>
        </is>
      </c>
      <c r="B5" t="inlineStr">
        <is>
          <t>Total Credit (₹)</t>
        </is>
      </c>
      <c r="C5" t="inlineStr">
        <is>
          <t>Narration</t>
        </is>
      </c>
      <c r="D5" t="inlineStr">
        <is>
          <t>Total Debit (₹)</t>
        </is>
      </c>
    </row>
    <row r="6">
      <c r="A6" s="77" t="inlineStr">
        <is>
          <t>Advance Tax</t>
        </is>
      </c>
      <c r="B6" s="77">
        <f>SUMIFS('For Tally'!D:D, 'For Tally'!F:F, A6)</f>
        <v/>
      </c>
      <c r="C6" s="77" t="inlineStr">
        <is>
          <t>Advance Tax</t>
        </is>
      </c>
      <c r="D6" s="77">
        <f>SUMIFS('For Tally'!C:C, 'For Tally'!F:F, C6)</f>
        <v/>
      </c>
    </row>
    <row r="7">
      <c r="A7" s="36" t="inlineStr">
        <is>
          <t>Auto Sweep FD</t>
        </is>
      </c>
      <c r="B7" s="36">
        <f>SUMIFS('For Tally'!D:D, 'For Tally'!F:F, A7)</f>
        <v/>
      </c>
      <c r="C7" s="36" t="inlineStr">
        <is>
          <t>Auto Sweep FD</t>
        </is>
      </c>
      <c r="D7" s="36">
        <f>SUMIFS('For Tally'!C:C, 'For Tally'!F:F, C7)</f>
        <v/>
      </c>
    </row>
    <row r="8">
      <c r="A8" s="20" t="inlineStr">
        <is>
          <t>Bank Charges</t>
        </is>
      </c>
      <c r="B8" s="20">
        <f>SUMIFS('For Tally'!D:D, 'For Tally'!F:F, A8)</f>
        <v/>
      </c>
      <c r="C8" s="20" t="inlineStr">
        <is>
          <t>Bank Charges</t>
        </is>
      </c>
      <c r="D8" s="20">
        <f>SUMIFS('For Tally'!C:C, 'For Tally'!F:F, C8)</f>
        <v/>
      </c>
    </row>
    <row r="9">
      <c r="A9" s="31" t="inlineStr">
        <is>
          <t>Bank Interest</t>
        </is>
      </c>
      <c r="B9" s="31">
        <f>SUMIFS('For Tally'!D:D, 'For Tally'!F:F, A9)</f>
        <v/>
      </c>
      <c r="C9" s="31" t="inlineStr">
        <is>
          <t>Bank Interest</t>
        </is>
      </c>
      <c r="D9" s="31">
        <f>SUMIFS('For Tally'!C:C, 'For Tally'!F:F, C9)</f>
        <v/>
      </c>
    </row>
    <row r="10">
      <c r="A10" s="38" t="inlineStr">
        <is>
          <t>Card Purchase</t>
        </is>
      </c>
      <c r="B10" s="38">
        <f>SUMIFS('For Tally'!D:D, 'For Tally'!F:F, A10)</f>
        <v/>
      </c>
      <c r="C10" s="38" t="inlineStr">
        <is>
          <t>Card Purchase</t>
        </is>
      </c>
      <c r="D10" s="38">
        <f>SUMIFS('For Tally'!C:C, 'For Tally'!F:F, C10)</f>
        <v/>
      </c>
    </row>
    <row r="11">
      <c r="A11" s="61" t="inlineStr">
        <is>
          <t>Cash Withdrawal</t>
        </is>
      </c>
      <c r="B11" s="61">
        <f>SUMIFS('For Tally'!D:D, 'For Tally'!F:F, A11)</f>
        <v/>
      </c>
      <c r="C11" s="61" t="inlineStr">
        <is>
          <t>Cash Withdrawal</t>
        </is>
      </c>
      <c r="D11" s="61">
        <f>SUMIFS('For Tally'!C:C, 'For Tally'!F:F, C11)</f>
        <v/>
      </c>
    </row>
    <row r="12">
      <c r="A12" s="42" t="inlineStr">
        <is>
          <t>Contra - Axis</t>
        </is>
      </c>
      <c r="B12" s="42">
        <f>SUMIFS('For Tally'!D:D, 'For Tally'!F:F, A12)</f>
        <v/>
      </c>
      <c r="C12" s="42" t="inlineStr">
        <is>
          <t>Contra - Axis</t>
        </is>
      </c>
      <c r="D12" s="42">
        <f>SUMIFS('For Tally'!C:C, 'For Tally'!F:F, C12)</f>
        <v/>
      </c>
    </row>
    <row r="13">
      <c r="A13" s="17" t="inlineStr">
        <is>
          <t>Contra - HDFC</t>
        </is>
      </c>
      <c r="B13" s="17">
        <f>SUMIFS('For Tally'!D:D, 'For Tally'!F:F, A13)</f>
        <v/>
      </c>
      <c r="C13" s="17" t="inlineStr">
        <is>
          <t>Contra - HDFC</t>
        </is>
      </c>
      <c r="D13" s="17">
        <f>SUMIFS('For Tally'!C:C, 'For Tally'!F:F, C13)</f>
        <v/>
      </c>
    </row>
    <row r="14">
      <c r="A14" s="88" t="inlineStr">
        <is>
          <t>Contra - Jupiter</t>
        </is>
      </c>
      <c r="B14" s="88">
        <f>SUMIFS('For Tally'!D:D, 'For Tally'!F:F, A14)</f>
        <v/>
      </c>
      <c r="C14" s="88" t="inlineStr">
        <is>
          <t>Contra - Jupiter</t>
        </is>
      </c>
      <c r="D14" s="88">
        <f>SUMIFS('For Tally'!C:C, 'For Tally'!F:F, C14)</f>
        <v/>
      </c>
    </row>
    <row r="15">
      <c r="A15" s="88" t="inlineStr">
        <is>
          <t>Contra - Kotak</t>
        </is>
      </c>
      <c r="B15" s="88">
        <f>SUMIFS('For Tally'!D:D, 'For Tally'!F:F, A15)</f>
        <v/>
      </c>
      <c r="C15" s="88" t="inlineStr">
        <is>
          <t>Contra - Kotak</t>
        </is>
      </c>
      <c r="D15" s="88">
        <f>SUMIFS('For Tally'!C:C, 'For Tally'!F:F, C15)</f>
        <v/>
      </c>
    </row>
    <row r="16">
      <c r="A16" s="42" t="inlineStr">
        <is>
          <t>Contra - Self</t>
        </is>
      </c>
      <c r="B16" s="42">
        <f>SUMIFS('For Tally'!D:D, 'For Tally'!F:F, A16)</f>
        <v/>
      </c>
      <c r="C16" s="42" t="inlineStr">
        <is>
          <t>Contra - Self</t>
        </is>
      </c>
      <c r="D16" s="42">
        <f>SUMIFS('For Tally'!C:C, 'For Tally'!F:F, C16)</f>
        <v/>
      </c>
    </row>
    <row r="17">
      <c r="A17" s="57" t="inlineStr">
        <is>
          <t>Depository Charges</t>
        </is>
      </c>
      <c r="B17" s="57">
        <f>SUMIFS('For Tally'!D:D, 'For Tally'!F:F, A17)</f>
        <v/>
      </c>
      <c r="C17" s="57" t="inlineStr">
        <is>
          <t>Depository Charges</t>
        </is>
      </c>
      <c r="D17" s="57">
        <f>SUMIFS('For Tally'!C:C, 'For Tally'!F:F, C17)</f>
        <v/>
      </c>
    </row>
    <row r="18">
      <c r="A18" s="65" t="inlineStr">
        <is>
          <t>Dividend Income</t>
        </is>
      </c>
      <c r="B18" s="65">
        <f>SUMIFS('For Tally'!D:D, 'For Tally'!F:F, A18)</f>
        <v/>
      </c>
      <c r="C18" s="65" t="inlineStr">
        <is>
          <t>Dividend Income</t>
        </is>
      </c>
      <c r="D18" s="65">
        <f>SUMIFS('For Tally'!C:C, 'For Tally'!F:F, C18)</f>
        <v/>
      </c>
    </row>
    <row r="19">
      <c r="A19" s="42" t="inlineStr">
        <is>
          <t>HDFC Securities - Buy</t>
        </is>
      </c>
      <c r="B19" s="42">
        <f>SUMIFS('For Tally'!D:D, 'For Tally'!F:F, A19)</f>
        <v/>
      </c>
      <c r="C19" s="42" t="inlineStr">
        <is>
          <t>HDFC Securities - Buy</t>
        </is>
      </c>
      <c r="D19" s="42">
        <f>SUMIFS('For Tally'!C:C, 'For Tally'!F:F, C19)</f>
        <v/>
      </c>
    </row>
    <row r="20">
      <c r="A20" s="55" t="inlineStr">
        <is>
          <t>HDFC Securities - Sell</t>
        </is>
      </c>
      <c r="B20" s="55">
        <f>SUMIFS('For Tally'!D:D, 'For Tally'!F:F, A20)</f>
        <v/>
      </c>
      <c r="C20" s="55" t="inlineStr">
        <is>
          <t>HDFC Securities - Sell</t>
        </is>
      </c>
      <c r="D20" s="55">
        <f>SUMIFS('For Tally'!C:C, 'For Tally'!F:F, C20)</f>
        <v/>
      </c>
    </row>
    <row r="21">
      <c r="A21" s="71" t="inlineStr">
        <is>
          <t>Health Insurance</t>
        </is>
      </c>
      <c r="B21" s="71">
        <f>SUMIFS('For Tally'!D:D, 'For Tally'!F:F, A21)</f>
        <v/>
      </c>
      <c r="C21" s="71" t="inlineStr">
        <is>
          <t>Health Insurance</t>
        </is>
      </c>
      <c r="D21" s="71">
        <f>SUMIFS('For Tally'!C:C, 'For Tally'!F:F, C21)</f>
        <v/>
      </c>
    </row>
    <row r="22">
      <c r="A22" s="102" t="inlineStr">
        <is>
          <t>IMPS Receipt</t>
        </is>
      </c>
      <c r="B22" s="102">
        <f>SUMIFS('For Tally'!D:D, 'For Tally'!F:F, A22)</f>
        <v/>
      </c>
      <c r="C22" s="102" t="inlineStr">
        <is>
          <t>IMPS Receipt</t>
        </is>
      </c>
      <c r="D22" s="102">
        <f>SUMIFS('For Tally'!C:C, 'For Tally'!F:F, C22)</f>
        <v/>
      </c>
    </row>
    <row r="23">
      <c r="A23" s="69" t="inlineStr">
        <is>
          <t>IPO - Aeroflex</t>
        </is>
      </c>
      <c r="B23" s="69">
        <f>SUMIFS('For Tally'!D:D, 'For Tally'!F:F, A23)</f>
        <v/>
      </c>
      <c r="C23" s="69" t="inlineStr">
        <is>
          <t>IPO - Aeroflex</t>
        </is>
      </c>
      <c r="D23" s="69">
        <f>SUMIFS('For Tally'!C:C, 'For Tally'!F:F, C23)</f>
        <v/>
      </c>
    </row>
    <row r="24">
      <c r="A24" s="69" t="inlineStr">
        <is>
          <t>IPO - JSW Infra</t>
        </is>
      </c>
      <c r="B24" s="69">
        <f>SUMIFS('For Tally'!D:D, 'For Tally'!F:F, A24)</f>
        <v/>
      </c>
      <c r="C24" s="69" t="inlineStr">
        <is>
          <t>IPO - JSW Infra</t>
        </is>
      </c>
      <c r="D24" s="69">
        <f>SUMIFS('For Tally'!C:C, 'For Tally'!F:F, C24)</f>
        <v/>
      </c>
    </row>
    <row r="25">
      <c r="A25" s="69" t="inlineStr">
        <is>
          <t>IPO - Tata Tech</t>
        </is>
      </c>
      <c r="B25" s="69">
        <f>SUMIFS('For Tally'!D:D, 'For Tally'!F:F, A25)</f>
        <v/>
      </c>
      <c r="C25" s="69" t="inlineStr">
        <is>
          <t>IPO - Tata Tech</t>
        </is>
      </c>
      <c r="D25" s="69">
        <f>SUMIFS('For Tally'!C:C, 'For Tally'!F:F, C25)</f>
        <v/>
      </c>
    </row>
    <row r="26">
      <c r="A26" s="67" t="inlineStr">
        <is>
          <t>Life Insurance Premium</t>
        </is>
      </c>
      <c r="B26" s="67">
        <f>SUMIFS('For Tally'!D:D, 'For Tally'!F:F, A26)</f>
        <v/>
      </c>
      <c r="C26" s="67" t="inlineStr">
        <is>
          <t>Life Insurance Premium</t>
        </is>
      </c>
      <c r="D26" s="67">
        <f>SUMIFS('For Tally'!C:C, 'For Tally'!F:F, C26)</f>
        <v/>
      </c>
    </row>
    <row r="27">
      <c r="A27" s="59" t="inlineStr">
        <is>
          <t>MF Investment</t>
        </is>
      </c>
      <c r="B27" s="59">
        <f>SUMIFS('For Tally'!D:D, 'For Tally'!F:F, A27)</f>
        <v/>
      </c>
      <c r="C27" s="59" t="inlineStr">
        <is>
          <t>MF Investment</t>
        </is>
      </c>
      <c r="D27" s="59">
        <f>SUMIFS('For Tally'!C:C, 'For Tally'!F:F, C27)</f>
        <v/>
      </c>
    </row>
    <row r="28">
      <c r="A28" s="75" t="inlineStr">
        <is>
          <t>MF Redemption</t>
        </is>
      </c>
      <c r="B28" s="75">
        <f>SUMIFS('For Tally'!D:D, 'For Tally'!F:F, A28)</f>
        <v/>
      </c>
      <c r="C28" s="75" t="inlineStr">
        <is>
          <t>MF Redemption</t>
        </is>
      </c>
      <c r="D28" s="75">
        <f>SUMIFS('For Tally'!C:C, 'For Tally'!F:F, C28)</f>
        <v/>
      </c>
    </row>
    <row r="29">
      <c r="A29" s="73" t="inlineStr">
        <is>
          <t>Misc Income</t>
        </is>
      </c>
      <c r="B29" s="73">
        <f>SUMIFS('For Tally'!D:D, 'For Tally'!F:F, A29)</f>
        <v/>
      </c>
      <c r="C29" s="73" t="inlineStr">
        <is>
          <t>Misc Income</t>
        </is>
      </c>
      <c r="D29" s="73">
        <f>SUMIFS('For Tally'!C:C, 'For Tally'!F:F, C29)</f>
        <v/>
      </c>
    </row>
    <row r="30">
      <c r="A30" s="59" t="inlineStr">
        <is>
          <t>NEFT Transfer</t>
        </is>
      </c>
      <c r="B30" s="59">
        <f>SUMIFS('For Tally'!D:D, 'For Tally'!F:F, A30)</f>
        <v/>
      </c>
      <c r="C30" s="59" t="inlineStr">
        <is>
          <t>NEFT Transfer</t>
        </is>
      </c>
      <c r="D30" s="59">
        <f>SUMIFS('For Tally'!C:C, 'For Tally'!F:F, C30)</f>
        <v/>
      </c>
    </row>
    <row r="31">
      <c r="A31" s="102" t="inlineStr">
        <is>
          <t>Received - Adarsh N</t>
        </is>
      </c>
      <c r="B31" s="102">
        <f>SUMIFS('For Tally'!D:D, 'For Tally'!F:F, A31)</f>
        <v/>
      </c>
      <c r="C31" s="102" t="inlineStr">
        <is>
          <t>Received - Adarsh N</t>
        </is>
      </c>
      <c r="D31" s="102">
        <f>SUMIFS('For Tally'!C:C, 'For Tally'!F:F, C31)</f>
        <v/>
      </c>
    </row>
    <row r="32">
      <c r="A32" s="102" t="inlineStr">
        <is>
          <t>Received - Aditi  G</t>
        </is>
      </c>
      <c r="B32" s="102">
        <f>SUMIFS('For Tally'!D:D, 'For Tally'!F:F, A32)</f>
        <v/>
      </c>
      <c r="C32" s="102" t="inlineStr">
        <is>
          <t>Received - Aditi  G</t>
        </is>
      </c>
      <c r="D32" s="102">
        <f>SUMIFS('For Tally'!C:C, 'For Tally'!F:F, C32)</f>
        <v/>
      </c>
    </row>
    <row r="33">
      <c r="A33" s="27" t="inlineStr">
        <is>
          <t>Received - Ajay Gupta</t>
        </is>
      </c>
      <c r="B33" s="27">
        <f>SUMIFS('For Tally'!D:D, 'For Tally'!F:F, A33)</f>
        <v/>
      </c>
      <c r="C33" s="27" t="inlineStr">
        <is>
          <t>Received - Ajay Gupta</t>
        </is>
      </c>
      <c r="D33" s="27">
        <f>SUMIFS('For Tally'!C:C, 'For Tally'!F:F, C33)</f>
        <v/>
      </c>
    </row>
    <row r="34">
      <c r="A34" s="40" t="inlineStr">
        <is>
          <t>Received - Archit Gupta</t>
        </is>
      </c>
      <c r="B34" s="40">
        <f>SUMIFS('For Tally'!D:D, 'For Tally'!F:F, A34)</f>
        <v/>
      </c>
      <c r="C34" s="40" t="inlineStr">
        <is>
          <t>Received - Archit Gupta</t>
        </is>
      </c>
      <c r="D34" s="40">
        <f>SUMIFS('For Tally'!C:C, 'For Tally'!F:F, C34)</f>
        <v/>
      </c>
    </row>
    <row r="35">
      <c r="A35" s="102" t="inlineStr">
        <is>
          <t>Received - Ayushi M</t>
        </is>
      </c>
      <c r="B35" s="102">
        <f>SUMIFS('For Tally'!D:D, 'For Tally'!F:F, A35)</f>
        <v/>
      </c>
      <c r="C35" s="102" t="inlineStr">
        <is>
          <t>Received - Ayushi M</t>
        </is>
      </c>
      <c r="D35" s="102">
        <f>SUMIFS('For Tally'!C:C, 'For Tally'!F:F, C35)</f>
        <v/>
      </c>
    </row>
    <row r="36">
      <c r="A36" s="102" t="inlineStr">
        <is>
          <t>Received - Dealskar</t>
        </is>
      </c>
      <c r="B36" s="102">
        <f>SUMIFS('For Tally'!D:D, 'For Tally'!F:F, A36)</f>
        <v/>
      </c>
      <c r="C36" s="102" t="inlineStr">
        <is>
          <t>Received - Dealskar</t>
        </is>
      </c>
      <c r="D36" s="102">
        <f>SUMIFS('For Tally'!C:C, 'For Tally'!F:F, C36)</f>
        <v/>
      </c>
    </row>
    <row r="37">
      <c r="A37" s="102" t="inlineStr">
        <is>
          <t>Received - Ganesh B</t>
        </is>
      </c>
      <c r="B37" s="102">
        <f>SUMIFS('For Tally'!D:D, 'For Tally'!F:F, A37)</f>
        <v/>
      </c>
      <c r="C37" s="102" t="inlineStr">
        <is>
          <t>Received - Ganesh B</t>
        </is>
      </c>
      <c r="D37" s="102">
        <f>SUMIFS('For Tally'!C:C, 'For Tally'!F:F, C37)</f>
        <v/>
      </c>
    </row>
    <row r="38">
      <c r="A38" s="102" t="inlineStr">
        <is>
          <t>Received - Gaurav S</t>
        </is>
      </c>
      <c r="B38" s="102">
        <f>SUMIFS('For Tally'!D:D, 'For Tally'!F:F, A38)</f>
        <v/>
      </c>
      <c r="C38" s="102" t="inlineStr">
        <is>
          <t>Received - Gaurav S</t>
        </is>
      </c>
      <c r="D38" s="102">
        <f>SUMIFS('For Tally'!C:C, 'For Tally'!F:F, C38)</f>
        <v/>
      </c>
    </row>
    <row r="39">
      <c r="A39" s="102" t="inlineStr">
        <is>
          <t>Received - Monish K</t>
        </is>
      </c>
      <c r="B39" s="102">
        <f>SUMIFS('For Tally'!D:D, 'For Tally'!F:F, A39)</f>
        <v/>
      </c>
      <c r="C39" s="102" t="inlineStr">
        <is>
          <t>Received - Monish K</t>
        </is>
      </c>
      <c r="D39" s="102">
        <f>SUMIFS('For Tally'!C:C, 'For Tally'!F:F, C39)</f>
        <v/>
      </c>
    </row>
    <row r="40">
      <c r="A40" s="102" t="inlineStr">
        <is>
          <t>Received - Nitish K</t>
        </is>
      </c>
      <c r="B40" s="102">
        <f>SUMIFS('For Tally'!D:D, 'For Tally'!F:F, A40)</f>
        <v/>
      </c>
      <c r="C40" s="102" t="inlineStr">
        <is>
          <t>Received - Nitish K</t>
        </is>
      </c>
      <c r="D40" s="102">
        <f>SUMIFS('For Tally'!C:C, 'For Tally'!F:F, C40)</f>
        <v/>
      </c>
    </row>
    <row r="41">
      <c r="A41" s="102" t="inlineStr">
        <is>
          <t>Received - Pranav</t>
        </is>
      </c>
      <c r="B41" s="102">
        <f>SUMIFS('For Tally'!D:D, 'For Tally'!F:F, A41)</f>
        <v/>
      </c>
      <c r="C41" s="102" t="inlineStr">
        <is>
          <t>Received - Pranav</t>
        </is>
      </c>
      <c r="D41" s="102">
        <f>SUMIFS('For Tally'!C:C, 'For Tally'!F:F, C41)</f>
        <v/>
      </c>
    </row>
    <row r="42">
      <c r="A42" s="102" t="inlineStr">
        <is>
          <t>Received - Prashant</t>
        </is>
      </c>
      <c r="B42" s="102">
        <f>SUMIFS('For Tally'!D:D, 'For Tally'!F:F, A42)</f>
        <v/>
      </c>
      <c r="C42" s="102" t="inlineStr">
        <is>
          <t>Received - Prashant</t>
        </is>
      </c>
      <c r="D42" s="102">
        <f>SUMIFS('For Tally'!C:C, 'For Tally'!F:F, C42)</f>
        <v/>
      </c>
    </row>
    <row r="43">
      <c r="A43" s="102" t="inlineStr">
        <is>
          <t>Received - Sangam P</t>
        </is>
      </c>
      <c r="B43" s="102">
        <f>SUMIFS('For Tally'!D:D, 'For Tally'!F:F, A43)</f>
        <v/>
      </c>
      <c r="C43" s="102" t="inlineStr">
        <is>
          <t>Received - Sangam P</t>
        </is>
      </c>
      <c r="D43" s="102">
        <f>SUMIFS('For Tally'!C:C, 'For Tally'!F:F, C43)</f>
        <v/>
      </c>
    </row>
    <row r="44">
      <c r="A44" s="102" t="inlineStr">
        <is>
          <t>Received - Shashank</t>
        </is>
      </c>
      <c r="B44" s="102">
        <f>SUMIFS('For Tally'!D:D, 'For Tally'!F:F, A44)</f>
        <v/>
      </c>
      <c r="C44" s="102" t="inlineStr">
        <is>
          <t>Received - Shashank</t>
        </is>
      </c>
      <c r="D44" s="102">
        <f>SUMIFS('For Tally'!C:C, 'For Tally'!F:F, C44)</f>
        <v/>
      </c>
    </row>
    <row r="45">
      <c r="A45" s="102" t="inlineStr">
        <is>
          <t>Received - Shivansh</t>
        </is>
      </c>
      <c r="B45" s="102">
        <f>SUMIFS('For Tally'!D:D, 'For Tally'!F:F, A45)</f>
        <v/>
      </c>
      <c r="C45" s="102" t="inlineStr">
        <is>
          <t>Received - Shivansh</t>
        </is>
      </c>
      <c r="D45" s="102">
        <f>SUMIFS('For Tally'!C:C, 'For Tally'!F:F, C45)</f>
        <v/>
      </c>
    </row>
    <row r="46">
      <c r="A46" s="63" t="inlineStr">
        <is>
          <t>Received - Sunita Gupta</t>
        </is>
      </c>
      <c r="B46" s="63">
        <f>SUMIFS('For Tally'!D:D, 'For Tally'!F:F, A46)</f>
        <v/>
      </c>
      <c r="C46" s="63" t="inlineStr">
        <is>
          <t>Received - Sunita Gupta</t>
        </is>
      </c>
      <c r="D46" s="63">
        <f>SUMIFS('For Tally'!C:C, 'For Tally'!F:F, C46)</f>
        <v/>
      </c>
    </row>
    <row r="47">
      <c r="A47" s="102" t="inlineStr">
        <is>
          <t>Received - Tanuja M</t>
        </is>
      </c>
      <c r="B47" s="102">
        <f>SUMIFS('For Tally'!D:D, 'For Tally'!F:F, A47)</f>
        <v/>
      </c>
      <c r="C47" s="102" t="inlineStr">
        <is>
          <t>Received - Tanuja M</t>
        </is>
      </c>
      <c r="D47" s="102">
        <f>SUMIFS('For Tally'!C:C, 'For Tally'!F:F, C47)</f>
        <v/>
      </c>
    </row>
    <row r="48">
      <c r="A48" s="102" t="inlineStr">
        <is>
          <t>Received - Tirtha T</t>
        </is>
      </c>
      <c r="B48" s="102">
        <f>SUMIFS('For Tally'!D:D, 'For Tally'!F:F, A48)</f>
        <v/>
      </c>
      <c r="C48" s="102" t="inlineStr">
        <is>
          <t>Received - Tirtha T</t>
        </is>
      </c>
      <c r="D48" s="102">
        <f>SUMIFS('For Tally'!C:C, 'For Tally'!F:F, C48)</f>
        <v/>
      </c>
    </row>
    <row r="49">
      <c r="A49" s="102" t="inlineStr">
        <is>
          <t>Received - Vendekin</t>
        </is>
      </c>
      <c r="B49" s="102">
        <f>SUMIFS('For Tally'!D:D, 'For Tally'!F:F, A49)</f>
        <v/>
      </c>
      <c r="C49" s="102" t="inlineStr">
        <is>
          <t>Received - Vendekin</t>
        </is>
      </c>
      <c r="D49" s="102">
        <f>SUMIFS('For Tally'!C:C, 'For Tally'!F:F, C49)</f>
        <v/>
      </c>
    </row>
    <row r="50">
      <c r="A50" s="102" t="inlineStr">
        <is>
          <t>Received - Vivek Ku</t>
        </is>
      </c>
      <c r="B50" s="102">
        <f>SUMIFS('For Tally'!D:D, 'For Tally'!F:F, A50)</f>
        <v/>
      </c>
      <c r="C50" s="102" t="inlineStr">
        <is>
          <t>Received - Vivek Ku</t>
        </is>
      </c>
      <c r="D50" s="102">
        <f>SUMIFS('For Tally'!C:C, 'For Tally'!F:F, C50)</f>
        <v/>
      </c>
    </row>
    <row r="51">
      <c r="A51" s="102" t="inlineStr">
        <is>
          <t>Received - Vysakh R K</t>
        </is>
      </c>
      <c r="B51" s="102">
        <f>SUMIFS('For Tally'!D:D, 'For Tally'!F:F, A51)</f>
        <v/>
      </c>
      <c r="C51" s="102" t="inlineStr">
        <is>
          <t>Received - Vysakh R K</t>
        </is>
      </c>
      <c r="D51" s="102">
        <f>SUMIFS('For Tally'!C:C, 'For Tally'!F:F, C51)</f>
        <v/>
      </c>
    </row>
    <row r="52">
      <c r="A52" s="59" t="inlineStr">
        <is>
          <t>SIP</t>
        </is>
      </c>
      <c r="B52" s="59">
        <f>SUMIFS('For Tally'!D:D, 'For Tally'!F:F, A52)</f>
        <v/>
      </c>
      <c r="C52" s="59" t="inlineStr">
        <is>
          <t>SIP</t>
        </is>
      </c>
      <c r="D52" s="59">
        <f>SUMIFS('For Tally'!C:C, 'For Tally'!F:F, C52)</f>
        <v/>
      </c>
    </row>
    <row r="53">
      <c r="A53" s="107" t="inlineStr">
        <is>
          <t>Salary</t>
        </is>
      </c>
      <c r="B53" s="107">
        <f>SUMIFS('For Tally'!D:D, 'For Tally'!F:F, A53)</f>
        <v/>
      </c>
      <c r="C53" s="107" t="inlineStr">
        <is>
          <t>Salary</t>
        </is>
      </c>
      <c r="D53" s="107">
        <f>SUMIFS('For Tally'!C:C, 'For Tally'!F:F, C53)</f>
        <v/>
      </c>
    </row>
    <row r="54">
      <c r="A54" s="27" t="inlineStr">
        <is>
          <t>Transfer - Ajay Gupta</t>
        </is>
      </c>
      <c r="B54" s="27">
        <f>SUMIFS('For Tally'!D:D, 'For Tally'!F:F, A54)</f>
        <v/>
      </c>
      <c r="C54" s="27" t="inlineStr">
        <is>
          <t>Transfer - Ajay Gupta</t>
        </is>
      </c>
      <c r="D54" s="27">
        <f>SUMIFS('For Tally'!C:C, 'For Tally'!F:F, C54)</f>
        <v/>
      </c>
    </row>
    <row r="55">
      <c r="A55" s="40" t="inlineStr">
        <is>
          <t>Transfer - Archit Gupta</t>
        </is>
      </c>
      <c r="B55" s="40">
        <f>SUMIFS('For Tally'!D:D, 'For Tally'!F:F, A55)</f>
        <v/>
      </c>
      <c r="C55" s="40" t="inlineStr">
        <is>
          <t>Transfer - Archit Gupta</t>
        </is>
      </c>
      <c r="D55" s="40">
        <f>SUMIFS('For Tally'!C:C, 'For Tally'!F:F, C55)</f>
        <v/>
      </c>
    </row>
    <row r="56">
      <c r="A56" s="63" t="inlineStr">
        <is>
          <t>Transfer - Sunita Gupta</t>
        </is>
      </c>
      <c r="B56" s="63">
        <f>SUMIFS('For Tally'!D:D, 'For Tally'!F:F, A56)</f>
        <v/>
      </c>
      <c r="C56" s="63" t="inlineStr">
        <is>
          <t>Transfer - Sunita Gupta</t>
        </is>
      </c>
      <c r="D56" s="63">
        <f>SUMIFS('For Tally'!C:C, 'For Tally'!F:F, C56)</f>
        <v/>
      </c>
    </row>
    <row r="57">
      <c r="A57" s="42" t="inlineStr">
        <is>
          <t>UPI - Amazon</t>
        </is>
      </c>
      <c r="B57" s="42">
        <f>SUMIFS('For Tally'!D:D, 'For Tally'!F:F, A57)</f>
        <v/>
      </c>
      <c r="C57" s="42" t="inlineStr">
        <is>
          <t>UPI - Amazon</t>
        </is>
      </c>
      <c r="D57" s="42">
        <f>SUMIFS('For Tally'!C:C, 'For Tally'!F:F, C57)</f>
        <v/>
      </c>
    </row>
    <row r="58">
      <c r="A58" s="33" t="inlineStr">
        <is>
          <t>UPI - BharatPe</t>
        </is>
      </c>
      <c r="B58" s="33">
        <f>SUMIFS('For Tally'!D:D, 'For Tally'!F:F, A58)</f>
        <v/>
      </c>
      <c r="C58" s="33" t="inlineStr">
        <is>
          <t>UPI - BharatPe</t>
        </is>
      </c>
      <c r="D58" s="33">
        <f>SUMIFS('For Tally'!C:C, 'For Tally'!F:F, C58)</f>
        <v/>
      </c>
    </row>
    <row r="59">
      <c r="A59" s="104" t="inlineStr">
        <is>
          <t>UPI - Blinkit</t>
        </is>
      </c>
      <c r="B59" s="104">
        <f>SUMIFS('For Tally'!D:D, 'For Tally'!F:F, A59)</f>
        <v/>
      </c>
      <c r="C59" s="104" t="inlineStr">
        <is>
          <t>UPI - Blinkit</t>
        </is>
      </c>
      <c r="D59" s="104">
        <f>SUMIFS('For Tally'!C:C, 'For Tally'!F:F, C59)</f>
        <v/>
      </c>
    </row>
    <row r="60">
      <c r="A60" s="96" t="inlineStr">
        <is>
          <t>UPI - DMart</t>
        </is>
      </c>
      <c r="B60" s="96">
        <f>SUMIFS('For Tally'!D:D, 'For Tally'!F:F, A60)</f>
        <v/>
      </c>
      <c r="C60" s="96" t="inlineStr">
        <is>
          <t>UPI - DMart</t>
        </is>
      </c>
      <c r="D60" s="96">
        <f>SUMIFS('For Tally'!C:C, 'For Tally'!F:F, C60)</f>
        <v/>
      </c>
    </row>
    <row r="61">
      <c r="A61" s="94" t="inlineStr">
        <is>
          <t>UPI - Google Pay</t>
        </is>
      </c>
      <c r="B61" s="94">
        <f>SUMIFS('For Tally'!D:D, 'For Tally'!F:F, A61)</f>
        <v/>
      </c>
      <c r="C61" s="94" t="inlineStr">
        <is>
          <t>UPI - Google Pay</t>
        </is>
      </c>
      <c r="D61" s="94">
        <f>SUMIFS('For Tally'!C:C, 'For Tally'!F:F, C61)</f>
        <v/>
      </c>
    </row>
    <row r="62">
      <c r="A62" s="22" t="inlineStr">
        <is>
          <t>UPI - IRCTC</t>
        </is>
      </c>
      <c r="B62" s="22">
        <f>SUMIFS('For Tally'!D:D, 'For Tally'!F:F, A62)</f>
        <v/>
      </c>
      <c r="C62" s="22" t="inlineStr">
        <is>
          <t>UPI - IRCTC</t>
        </is>
      </c>
      <c r="D62" s="22">
        <f>SUMIFS('For Tally'!C:C, 'For Tally'!F:F, C62)</f>
        <v/>
      </c>
    </row>
    <row r="63">
      <c r="A63" s="29" t="inlineStr">
        <is>
          <t>UPI - MakeMyTrip</t>
        </is>
      </c>
      <c r="B63" s="29">
        <f>SUMIFS('For Tally'!D:D, 'For Tally'!F:F, A63)</f>
        <v/>
      </c>
      <c r="C63" s="29" t="inlineStr">
        <is>
          <t>UPI - MakeMyTrip</t>
        </is>
      </c>
      <c r="D63" s="29">
        <f>SUMIFS('For Tally'!C:C, 'For Tally'!F:F, C63)</f>
        <v/>
      </c>
    </row>
    <row r="64">
      <c r="A64" s="110" t="inlineStr">
        <is>
          <t>UPI - MedPlus</t>
        </is>
      </c>
      <c r="B64" s="110">
        <f>SUMIFS('For Tally'!D:D, 'For Tally'!F:F, A64)</f>
        <v/>
      </c>
      <c r="C64" s="110" t="inlineStr">
        <is>
          <t>UPI - MedPlus</t>
        </is>
      </c>
      <c r="D64" s="110">
        <f>SUMIFS('For Tally'!C:C, 'For Tally'!F:F, C64)</f>
        <v/>
      </c>
    </row>
    <row r="65">
      <c r="A65" s="90" t="inlineStr">
        <is>
          <t>UPI - Ola</t>
        </is>
      </c>
      <c r="B65" s="90">
        <f>SUMIFS('For Tally'!D:D, 'For Tally'!F:F, A65)</f>
        <v/>
      </c>
      <c r="C65" s="90" t="inlineStr">
        <is>
          <t>UPI - Ola</t>
        </is>
      </c>
      <c r="D65" s="90">
        <f>SUMIFS('For Tally'!C:C, 'For Tally'!F:F, C65)</f>
        <v/>
      </c>
    </row>
    <row r="66">
      <c r="A66" s="36" t="inlineStr">
        <is>
          <t>UPI - Paytm</t>
        </is>
      </c>
      <c r="B66" s="36">
        <f>SUMIFS('For Tally'!D:D, 'For Tally'!F:F, A66)</f>
        <v/>
      </c>
      <c r="C66" s="36" t="inlineStr">
        <is>
          <t>UPI - Paytm</t>
        </is>
      </c>
      <c r="D66" s="36">
        <f>SUMIFS('For Tally'!C:C, 'For Tally'!F:F, C66)</f>
        <v/>
      </c>
    </row>
    <row r="67">
      <c r="A67" s="22" t="inlineStr">
        <is>
          <t>UPI - Rapido</t>
        </is>
      </c>
      <c r="B67" s="22">
        <f>SUMIFS('For Tally'!D:D, 'For Tally'!F:F, A67)</f>
        <v/>
      </c>
      <c r="C67" s="22" t="inlineStr">
        <is>
          <t>UPI - Rapido</t>
        </is>
      </c>
      <c r="D67" s="22">
        <f>SUMIFS('For Tally'!C:C, 'For Tally'!F:F, C67)</f>
        <v/>
      </c>
    </row>
    <row r="68">
      <c r="A68" s="98" t="inlineStr">
        <is>
          <t>UPI - Swiggy</t>
        </is>
      </c>
      <c r="B68" s="98">
        <f>SUMIFS('For Tally'!D:D, 'For Tally'!F:F, A68)</f>
        <v/>
      </c>
      <c r="C68" s="98" t="inlineStr">
        <is>
          <t>UPI - Swiggy</t>
        </is>
      </c>
      <c r="D68" s="98">
        <f>SUMIFS('For Tally'!C:C, 'For Tally'!F:F, C68)</f>
        <v/>
      </c>
    </row>
    <row r="69">
      <c r="A69" s="92" t="inlineStr">
        <is>
          <t>UPI - Uber</t>
        </is>
      </c>
      <c r="B69" s="92">
        <f>SUMIFS('For Tally'!D:D, 'For Tally'!F:F, A69)</f>
        <v/>
      </c>
      <c r="C69" s="92" t="inlineStr">
        <is>
          <t>UPI - Uber</t>
        </is>
      </c>
      <c r="D69" s="92">
        <f>SUMIFS('For Tally'!C:C, 'For Tally'!F:F, C69)</f>
        <v/>
      </c>
    </row>
    <row r="70">
      <c r="A70" s="96" t="inlineStr">
        <is>
          <t>UPI - Zepto</t>
        </is>
      </c>
      <c r="B70" s="96">
        <f>SUMIFS('For Tally'!D:D, 'For Tally'!F:F, A70)</f>
        <v/>
      </c>
      <c r="C70" s="96" t="inlineStr">
        <is>
          <t>UPI - Zepto</t>
        </is>
      </c>
      <c r="D70" s="96">
        <f>SUMIFS('For Tally'!C:C, 'For Tally'!F:F, C70)</f>
        <v/>
      </c>
    </row>
    <row r="71">
      <c r="A71" s="100" t="inlineStr">
        <is>
          <t>UPI - Zomato</t>
        </is>
      </c>
      <c r="B71" s="100">
        <f>SUMIFS('For Tally'!D:D, 'For Tally'!F:F, A71)</f>
        <v/>
      </c>
      <c r="C71" s="100" t="inlineStr">
        <is>
          <t>UPI - Zomato</t>
        </is>
      </c>
      <c r="D71" s="100">
        <f>SUMIFS('For Tally'!C:C, 'For Tally'!F:F, C71)</f>
        <v/>
      </c>
    </row>
    <row r="72">
      <c r="A72" s="38" t="inlineStr">
        <is>
          <t>UPI Payment</t>
        </is>
      </c>
      <c r="B72" s="38">
        <f>SUMIFS('For Tally'!D:D, 'For Tally'!F:F, A72)</f>
        <v/>
      </c>
      <c r="C72" s="38" t="inlineStr">
        <is>
          <t>UPI Payment</t>
        </is>
      </c>
      <c r="D72" s="38">
        <f>SUMIFS('For Tally'!C:C, 'For Tally'!F:F, C72)</f>
        <v/>
      </c>
    </row>
    <row r="73">
      <c r="A73" s="102" t="inlineStr">
        <is>
          <t>UPI Receipt</t>
        </is>
      </c>
      <c r="B73" s="102">
        <f>SUMIFS('For Tally'!D:D, 'For Tally'!F:F, A73)</f>
        <v/>
      </c>
      <c r="C73" s="102" t="inlineStr">
        <is>
          <t>UPI Receipt</t>
        </is>
      </c>
      <c r="D73" s="102">
        <f>SUMIFS('For Tally'!C:C, 'For Tally'!F:F, C73)</f>
        <v/>
      </c>
    </row>
    <row r="74">
      <c r="A74" s="24" t="inlineStr">
        <is>
          <t>What is this?</t>
        </is>
      </c>
      <c r="B74" s="24">
        <f>SUMIFS('For Tally'!D:D, 'For Tally'!F:F, A74)</f>
        <v/>
      </c>
      <c r="C74" s="24" t="inlineStr">
        <is>
          <t>What is this?</t>
        </is>
      </c>
      <c r="D74" s="24">
        <f>SUMIFS('For Tally'!C:C, 'For Tally'!F:F, C74)</f>
        <v/>
      </c>
    </row>
    <row r="75">
      <c r="A75" s="59" t="inlineStr">
        <is>
          <t>Zerodha Broking</t>
        </is>
      </c>
      <c r="B75" s="59">
        <f>SUMIFS('For Tally'!D:D, 'For Tally'!F:F, A75)</f>
        <v/>
      </c>
      <c r="C75" s="59" t="inlineStr">
        <is>
          <t>Zerodha Broking</t>
        </is>
      </c>
      <c r="D75" s="59">
        <f>SUMIFS('For Tally'!C:C, 'For Tally'!F:F, C75)</f>
        <v/>
      </c>
    </row>
    <row r="76">
      <c r="A76" s="117" t="inlineStr">
        <is>
          <t>TOTAL</t>
        </is>
      </c>
      <c r="B76" s="117">
        <f>SUM(B5:B75)</f>
        <v/>
      </c>
      <c r="C76" s="117" t="inlineStr">
        <is>
          <t>TOTAL</t>
        </is>
      </c>
      <c r="D76" s="117">
        <f>SUM(D5:D75)</f>
        <v/>
      </c>
      <c r="E76" s="117" t="inlineStr">
        <is>
          <t>Net</t>
        </is>
      </c>
      <c r="F76" s="117">
        <f>B76-D76</f>
        <v/>
      </c>
    </row>
    <row r="78">
      <c r="A78" s="118" t="inlineStr">
        <is>
          <t>Opening &amp; Closing Balances</t>
        </is>
      </c>
    </row>
    <row r="79">
      <c r="A79" s="119" t="inlineStr">
        <is>
          <t>Account</t>
        </is>
      </c>
      <c r="B79" s="119" t="inlineStr">
        <is>
          <t>Opening Balance (₹)</t>
        </is>
      </c>
      <c r="C79" s="119" t="inlineStr">
        <is>
          <t>Closing Balance (₹)</t>
        </is>
      </c>
      <c r="D79" s="119" t="n"/>
      <c r="E79" s="119" t="n"/>
      <c r="F79" s="119" t="n"/>
    </row>
    <row r="80">
      <c r="A80" s="114" t="inlineStr">
        <is>
          <t>AXIS</t>
        </is>
      </c>
      <c r="B80" s="114" t="n">
        <v>25508.68</v>
      </c>
      <c r="C80" s="114">
        <f>B80 + SUMIFS('For Tally'!D:D, 'For Tally'!I:I, A80) - SUMIFS('For Tally'!C:C, 'For Tally'!I:I, A80)</f>
        <v/>
      </c>
    </row>
    <row r="81">
      <c r="A81" s="114" t="inlineStr">
        <is>
          <t>FEDERAL 0847</t>
        </is>
      </c>
      <c r="B81" s="114" t="n">
        <v>29.86</v>
      </c>
      <c r="C81" s="114">
        <f>B81 + SUMIFS('For Tally'!D:D, 'For Tally'!I:I, A81) - SUMIFS('For Tally'!C:C, 'For Tally'!I:I, A81)</f>
        <v/>
      </c>
    </row>
    <row r="82">
      <c r="A82" s="114" t="inlineStr">
        <is>
          <t>HDFC 5413</t>
        </is>
      </c>
      <c r="B82" s="114" t="n">
        <v>83618.17</v>
      </c>
      <c r="C82" s="114">
        <f>B82 + SUMIFS('For Tally'!D:D, 'For Tally'!I:I, A82) - SUMIFS('For Tally'!C:C, 'For Tally'!I:I, A82)</f>
        <v/>
      </c>
    </row>
    <row r="83">
      <c r="A83" s="114" t="inlineStr">
        <is>
          <t>KOTAK 0333</t>
        </is>
      </c>
      <c r="B83" s="114" t="n">
        <v>0</v>
      </c>
      <c r="C83" s="114">
        <f>B83 + SUMIFS('For Tally'!D:D, 'For Tally'!I:I, A83) - SUMIFS('For Tally'!C:C, 'For Tally'!I:I, A83)</f>
        <v/>
      </c>
    </row>
    <row r="84">
      <c r="A84" s="114" t="inlineStr">
        <is>
          <t>SBI 1227</t>
        </is>
      </c>
      <c r="B84" s="114" t="n">
        <v>124395.27</v>
      </c>
      <c r="C84" s="114">
        <f>B84 + SUMIFS('For Tally'!D:D, 'For Tally'!I:I, A84) - SUMIFS('For Tally'!C:C, 'For Tally'!I:I, A84)</f>
        <v/>
      </c>
    </row>
    <row r="86">
      <c r="A86" s="118" t="inlineStr">
        <is>
          <t>Confidence Distribution</t>
        </is>
      </c>
    </row>
    <row r="87">
      <c r="A87" s="120" t="inlineStr">
        <is>
          <t>Band</t>
        </is>
      </c>
      <c r="B87" s="120" t="inlineStr">
        <is>
          <t>Count</t>
        </is>
      </c>
      <c r="C87" s="120" t="inlineStr">
        <is>
          <t>% of Total</t>
        </is>
      </c>
      <c r="D87" s="120" t="n"/>
      <c r="E87" s="120" t="n"/>
      <c r="F87" s="120" t="n"/>
    </row>
    <row r="88">
      <c r="A88" s="107" t="inlineStr">
        <is>
          <t>High (≥ 0.85) — Confident</t>
        </is>
      </c>
      <c r="B88" s="107">
        <f>COUNTIF('For Tally'!G:G, "&gt;=0.85")</f>
        <v/>
      </c>
      <c r="C88" s="121">
        <f>B88/SUM(B88:B90)</f>
        <v/>
      </c>
    </row>
    <row r="89">
      <c r="A89" s="88" t="inlineStr">
        <is>
          <t>Medium (0.60–0.84) — Review</t>
        </is>
      </c>
      <c r="B89" s="88">
        <f>COUNTIFS('For Tally'!G:G, "&gt;=0.60", 'For Tally'!G:G, "&lt;0.85")</f>
        <v/>
      </c>
      <c r="C89" s="122">
        <f>B89/SUM(B88:B90)</f>
        <v/>
      </c>
    </row>
    <row r="90">
      <c r="A90" s="20" t="inlineStr">
        <is>
          <t>Low (&lt; 0.60) — Needs attention</t>
        </is>
      </c>
      <c r="B90" s="20">
        <f>COUNTIF('For Tally'!G:G, "&lt;0.60")</f>
        <v/>
      </c>
      <c r="C90" s="123">
        <f>B90/SUM(B88:B90)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15" t="inlineStr">
        <is>
          <t>Monthly Spend &amp; Income Pivot</t>
        </is>
      </c>
    </row>
    <row r="3">
      <c r="A3" s="124" t="inlineStr">
        <is>
          <t>Bank Filter Toggles:</t>
        </is>
      </c>
      <c r="B3" s="125" t="inlineStr">
        <is>
          <t>Axis Bank</t>
        </is>
      </c>
      <c r="C3" s="125" t="inlineStr">
        <is>
          <t>Federal Bank (Jupiter)</t>
        </is>
      </c>
      <c r="D3" s="125" t="inlineStr">
        <is>
          <t>HDFC Bank</t>
        </is>
      </c>
      <c r="E3" s="125" t="inlineStr">
        <is>
          <t>Kotak Mahindra Bank</t>
        </is>
      </c>
      <c r="F3" s="125" t="inlineStr">
        <is>
          <t>State Bank of India</t>
        </is>
      </c>
    </row>
    <row r="4">
      <c r="B4" s="126" t="b">
        <v>1</v>
      </c>
      <c r="C4" s="126" t="b">
        <v>1</v>
      </c>
      <c r="D4" s="126" t="b">
        <v>1</v>
      </c>
      <c r="E4" s="126" t="b">
        <v>1</v>
      </c>
      <c r="F4" s="126" t="b">
        <v>1</v>
      </c>
    </row>
    <row r="5" hidden="1">
      <c r="B5">
        <f>IF(B4, B3, "")</f>
        <v/>
      </c>
      <c r="C5">
        <f>IF(C4, C3, "")</f>
        <v/>
      </c>
      <c r="D5">
        <f>IF(D4, D3, "")</f>
        <v/>
      </c>
      <c r="E5">
        <f>IF(E4, E3, "")</f>
        <v/>
      </c>
      <c r="F5">
        <f>IF(F4, F3, "")</f>
        <v/>
      </c>
    </row>
    <row r="7">
      <c r="A7" s="127" t="inlineStr">
        <is>
          <t>PAYMENTS / DEBITS (Bank)</t>
        </is>
      </c>
      <c r="B7" s="127" t="inlineStr">
        <is>
          <t>Apr-2023</t>
        </is>
      </c>
      <c r="C7" s="127" t="inlineStr">
        <is>
          <t>May-2023</t>
        </is>
      </c>
      <c r="D7" s="127" t="inlineStr">
        <is>
          <t>Jun-2023</t>
        </is>
      </c>
      <c r="E7" s="127" t="inlineStr">
        <is>
          <t>Jul-2023</t>
        </is>
      </c>
      <c r="F7" s="127" t="inlineStr">
        <is>
          <t>Aug-2023</t>
        </is>
      </c>
      <c r="G7" s="127" t="inlineStr">
        <is>
          <t>Sep-2023</t>
        </is>
      </c>
      <c r="H7" s="127" t="inlineStr">
        <is>
          <t>Oct-2023</t>
        </is>
      </c>
      <c r="I7" s="127" t="inlineStr">
        <is>
          <t>Nov-2023</t>
        </is>
      </c>
      <c r="J7" s="127" t="inlineStr">
        <is>
          <t>Dec-2023</t>
        </is>
      </c>
      <c r="K7" s="127" t="inlineStr">
        <is>
          <t>Jan-2024</t>
        </is>
      </c>
      <c r="L7" s="127" t="inlineStr">
        <is>
          <t>Feb-2024</t>
        </is>
      </c>
      <c r="M7" s="127" t="inlineStr">
        <is>
          <t>Mar-2024</t>
        </is>
      </c>
      <c r="N7" s="127" t="inlineStr">
        <is>
          <t>Apr-2024</t>
        </is>
      </c>
      <c r="O7" s="127" t="inlineStr">
        <is>
          <t>TOTAL</t>
        </is>
      </c>
    </row>
    <row r="8">
      <c r="A8" s="69" t="inlineStr">
        <is>
          <t>AXIS</t>
        </is>
      </c>
      <c r="B8" s="69">
        <f>SUMPRODUCT(SUMIFS('For Tally'!C:C, 'For Tally'!H:H, $A8, 'For Tally'!A:A, "&gt;=2023-04-01", 'For Tally'!A:A, "&lt;=2023-04-30", 'For Tally'!L:L, $B$5:$F$5))</f>
        <v/>
      </c>
      <c r="C8" s="69">
        <f>SUMPRODUCT(SUMIFS('For Tally'!C:C, 'For Tally'!H:H, $A8, 'For Tally'!A:A, "&gt;=2023-05-01", 'For Tally'!A:A, "&lt;=2023-05-31", 'For Tally'!L:L, $B$5:$F$5))</f>
        <v/>
      </c>
      <c r="D8" s="69">
        <f>SUMPRODUCT(SUMIFS('For Tally'!C:C, 'For Tally'!H:H, $A8, 'For Tally'!A:A, "&gt;=2023-06-01", 'For Tally'!A:A, "&lt;=2023-06-30", 'For Tally'!L:L, $B$5:$F$5))</f>
        <v/>
      </c>
      <c r="E8" s="69">
        <f>SUMPRODUCT(SUMIFS('For Tally'!C:C, 'For Tally'!H:H, $A8, 'For Tally'!A:A, "&gt;=2023-07-01", 'For Tally'!A:A, "&lt;=2023-07-31", 'For Tally'!L:L, $B$5:$F$5))</f>
        <v/>
      </c>
      <c r="F8" s="69">
        <f>SUMPRODUCT(SUMIFS('For Tally'!C:C, 'For Tally'!H:H, $A8, 'For Tally'!A:A, "&gt;=2023-08-01", 'For Tally'!A:A, "&lt;=2023-08-31", 'For Tally'!L:L, $B$5:$F$5))</f>
        <v/>
      </c>
      <c r="G8" s="69">
        <f>SUMPRODUCT(SUMIFS('For Tally'!C:C, 'For Tally'!H:H, $A8, 'For Tally'!A:A, "&gt;=2023-09-01", 'For Tally'!A:A, "&lt;=2023-09-30", 'For Tally'!L:L, $B$5:$F$5))</f>
        <v/>
      </c>
      <c r="H8" s="69">
        <f>SUMPRODUCT(SUMIFS('For Tally'!C:C, 'For Tally'!H:H, $A8, 'For Tally'!A:A, "&gt;=2023-10-01", 'For Tally'!A:A, "&lt;=2023-10-31", 'For Tally'!L:L, $B$5:$F$5))</f>
        <v/>
      </c>
      <c r="I8" s="69">
        <f>SUMPRODUCT(SUMIFS('For Tally'!C:C, 'For Tally'!H:H, $A8, 'For Tally'!A:A, "&gt;=2023-11-01", 'For Tally'!A:A, "&lt;=2023-11-30", 'For Tally'!L:L, $B$5:$F$5))</f>
        <v/>
      </c>
      <c r="J8" s="69">
        <f>SUMPRODUCT(SUMIFS('For Tally'!C:C, 'For Tally'!H:H, $A8, 'For Tally'!A:A, "&gt;=2023-12-01", 'For Tally'!A:A, "&lt;=2023-12-31", 'For Tally'!L:L, $B$5:$F$5))</f>
        <v/>
      </c>
      <c r="K8" s="69">
        <f>SUMPRODUCT(SUMIFS('For Tally'!C:C, 'For Tally'!H:H, $A8, 'For Tally'!A:A, "&gt;=2024-01-01", 'For Tally'!A:A, "&lt;=2024-01-31", 'For Tally'!L:L, $B$5:$F$5))</f>
        <v/>
      </c>
      <c r="L8" s="69">
        <f>SUMPRODUCT(SUMIFS('For Tally'!C:C, 'For Tally'!H:H, $A8, 'For Tally'!A:A, "&gt;=2024-02-01", 'For Tally'!A:A, "&lt;=2024-02-29", 'For Tally'!L:L, $B$5:$F$5))</f>
        <v/>
      </c>
      <c r="M8" s="69">
        <f>SUMPRODUCT(SUMIFS('For Tally'!C:C, 'For Tally'!H:H, $A8, 'For Tally'!A:A, "&gt;=2024-03-01", 'For Tally'!A:A, "&lt;=2024-03-31", 'For Tally'!L:L, $B$5:$F$5))</f>
        <v/>
      </c>
      <c r="N8" s="69">
        <f>SUMPRODUCT(SUMIFS('For Tally'!C:C, 'For Tally'!H:H, $A8, 'For Tally'!A:A, "&gt;=2024-04-01", 'For Tally'!A:A, "&lt;=2024-04-30", 'For Tally'!L:L, $B$5:$F$5))</f>
        <v/>
      </c>
      <c r="O8" s="69">
        <f>SUM(B8:N8)</f>
        <v/>
      </c>
    </row>
    <row r="9">
      <c r="A9" s="77" t="inlineStr">
        <is>
          <t>Advance Tax</t>
        </is>
      </c>
      <c r="B9" s="77">
        <f>SUMPRODUCT(SUMIFS('For Tally'!C:C, 'For Tally'!H:H, $A9, 'For Tally'!A:A, "&gt;=2023-04-01", 'For Tally'!A:A, "&lt;=2023-04-30", 'For Tally'!L:L, $B$5:$F$5))</f>
        <v/>
      </c>
      <c r="C9" s="77">
        <f>SUMPRODUCT(SUMIFS('For Tally'!C:C, 'For Tally'!H:H, $A9, 'For Tally'!A:A, "&gt;=2023-05-01", 'For Tally'!A:A, "&lt;=2023-05-31", 'For Tally'!L:L, $B$5:$F$5))</f>
        <v/>
      </c>
      <c r="D9" s="77">
        <f>SUMPRODUCT(SUMIFS('For Tally'!C:C, 'For Tally'!H:H, $A9, 'For Tally'!A:A, "&gt;=2023-06-01", 'For Tally'!A:A, "&lt;=2023-06-30", 'For Tally'!L:L, $B$5:$F$5))</f>
        <v/>
      </c>
      <c r="E9" s="77">
        <f>SUMPRODUCT(SUMIFS('For Tally'!C:C, 'For Tally'!H:H, $A9, 'For Tally'!A:A, "&gt;=2023-07-01", 'For Tally'!A:A, "&lt;=2023-07-31", 'For Tally'!L:L, $B$5:$F$5))</f>
        <v/>
      </c>
      <c r="F9" s="77">
        <f>SUMPRODUCT(SUMIFS('For Tally'!C:C, 'For Tally'!H:H, $A9, 'For Tally'!A:A, "&gt;=2023-08-01", 'For Tally'!A:A, "&lt;=2023-08-31", 'For Tally'!L:L, $B$5:$F$5))</f>
        <v/>
      </c>
      <c r="G9" s="77">
        <f>SUMPRODUCT(SUMIFS('For Tally'!C:C, 'For Tally'!H:H, $A9, 'For Tally'!A:A, "&gt;=2023-09-01", 'For Tally'!A:A, "&lt;=2023-09-30", 'For Tally'!L:L, $B$5:$F$5))</f>
        <v/>
      </c>
      <c r="H9" s="77">
        <f>SUMPRODUCT(SUMIFS('For Tally'!C:C, 'For Tally'!H:H, $A9, 'For Tally'!A:A, "&gt;=2023-10-01", 'For Tally'!A:A, "&lt;=2023-10-31", 'For Tally'!L:L, $B$5:$F$5))</f>
        <v/>
      </c>
      <c r="I9" s="77">
        <f>SUMPRODUCT(SUMIFS('For Tally'!C:C, 'For Tally'!H:H, $A9, 'For Tally'!A:A, "&gt;=2023-11-01", 'For Tally'!A:A, "&lt;=2023-11-30", 'For Tally'!L:L, $B$5:$F$5))</f>
        <v/>
      </c>
      <c r="J9" s="77">
        <f>SUMPRODUCT(SUMIFS('For Tally'!C:C, 'For Tally'!H:H, $A9, 'For Tally'!A:A, "&gt;=2023-12-01", 'For Tally'!A:A, "&lt;=2023-12-31", 'For Tally'!L:L, $B$5:$F$5))</f>
        <v/>
      </c>
      <c r="K9" s="77">
        <f>SUMPRODUCT(SUMIFS('For Tally'!C:C, 'For Tally'!H:H, $A9, 'For Tally'!A:A, "&gt;=2024-01-01", 'For Tally'!A:A, "&lt;=2024-01-31", 'For Tally'!L:L, $B$5:$F$5))</f>
        <v/>
      </c>
      <c r="L9" s="77">
        <f>SUMPRODUCT(SUMIFS('For Tally'!C:C, 'For Tally'!H:H, $A9, 'For Tally'!A:A, "&gt;=2024-02-01", 'For Tally'!A:A, "&lt;=2024-02-29", 'For Tally'!L:L, $B$5:$F$5))</f>
        <v/>
      </c>
      <c r="M9" s="77">
        <f>SUMPRODUCT(SUMIFS('For Tally'!C:C, 'For Tally'!H:H, $A9, 'For Tally'!A:A, "&gt;=2024-03-01", 'For Tally'!A:A, "&lt;=2024-03-31", 'For Tally'!L:L, $B$5:$F$5))</f>
        <v/>
      </c>
      <c r="N9" s="77">
        <f>SUMPRODUCT(SUMIFS('For Tally'!C:C, 'For Tally'!H:H, $A9, 'For Tally'!A:A, "&gt;=2024-04-01", 'For Tally'!A:A, "&lt;=2024-04-30", 'For Tally'!L:L, $B$5:$F$5))</f>
        <v/>
      </c>
      <c r="O9" s="77">
        <f>SUM(B9:N9)</f>
        <v/>
      </c>
    </row>
    <row r="10">
      <c r="A10" s="69" t="inlineStr">
        <is>
          <t>Ajay Gupta</t>
        </is>
      </c>
      <c r="B10" s="69">
        <f>SUMPRODUCT(SUMIFS('For Tally'!C:C, 'For Tally'!H:H, $A10, 'For Tally'!A:A, "&gt;=2023-04-01", 'For Tally'!A:A, "&lt;=2023-04-30", 'For Tally'!L:L, $B$5:$F$5))</f>
        <v/>
      </c>
      <c r="C10" s="69">
        <f>SUMPRODUCT(SUMIFS('For Tally'!C:C, 'For Tally'!H:H, $A10, 'For Tally'!A:A, "&gt;=2023-05-01", 'For Tally'!A:A, "&lt;=2023-05-31", 'For Tally'!L:L, $B$5:$F$5))</f>
        <v/>
      </c>
      <c r="D10" s="69">
        <f>SUMPRODUCT(SUMIFS('For Tally'!C:C, 'For Tally'!H:H, $A10, 'For Tally'!A:A, "&gt;=2023-06-01", 'For Tally'!A:A, "&lt;=2023-06-30", 'For Tally'!L:L, $B$5:$F$5))</f>
        <v/>
      </c>
      <c r="E10" s="69">
        <f>SUMPRODUCT(SUMIFS('For Tally'!C:C, 'For Tally'!H:H, $A10, 'For Tally'!A:A, "&gt;=2023-07-01", 'For Tally'!A:A, "&lt;=2023-07-31", 'For Tally'!L:L, $B$5:$F$5))</f>
        <v/>
      </c>
      <c r="F10" s="69">
        <f>SUMPRODUCT(SUMIFS('For Tally'!C:C, 'For Tally'!H:H, $A10, 'For Tally'!A:A, "&gt;=2023-08-01", 'For Tally'!A:A, "&lt;=2023-08-31", 'For Tally'!L:L, $B$5:$F$5))</f>
        <v/>
      </c>
      <c r="G10" s="69">
        <f>SUMPRODUCT(SUMIFS('For Tally'!C:C, 'For Tally'!H:H, $A10, 'For Tally'!A:A, "&gt;=2023-09-01", 'For Tally'!A:A, "&lt;=2023-09-30", 'For Tally'!L:L, $B$5:$F$5))</f>
        <v/>
      </c>
      <c r="H10" s="69">
        <f>SUMPRODUCT(SUMIFS('For Tally'!C:C, 'For Tally'!H:H, $A10, 'For Tally'!A:A, "&gt;=2023-10-01", 'For Tally'!A:A, "&lt;=2023-10-31", 'For Tally'!L:L, $B$5:$F$5))</f>
        <v/>
      </c>
      <c r="I10" s="69">
        <f>SUMPRODUCT(SUMIFS('For Tally'!C:C, 'For Tally'!H:H, $A10, 'For Tally'!A:A, "&gt;=2023-11-01", 'For Tally'!A:A, "&lt;=2023-11-30", 'For Tally'!L:L, $B$5:$F$5))</f>
        <v/>
      </c>
      <c r="J10" s="69">
        <f>SUMPRODUCT(SUMIFS('For Tally'!C:C, 'For Tally'!H:H, $A10, 'For Tally'!A:A, "&gt;=2023-12-01", 'For Tally'!A:A, "&lt;=2023-12-31", 'For Tally'!L:L, $B$5:$F$5))</f>
        <v/>
      </c>
      <c r="K10" s="69">
        <f>SUMPRODUCT(SUMIFS('For Tally'!C:C, 'For Tally'!H:H, $A10, 'For Tally'!A:A, "&gt;=2024-01-01", 'For Tally'!A:A, "&lt;=2024-01-31", 'For Tally'!L:L, $B$5:$F$5))</f>
        <v/>
      </c>
      <c r="L10" s="69">
        <f>SUMPRODUCT(SUMIFS('For Tally'!C:C, 'For Tally'!H:H, $A10, 'For Tally'!A:A, "&gt;=2024-02-01", 'For Tally'!A:A, "&lt;=2024-02-29", 'For Tally'!L:L, $B$5:$F$5))</f>
        <v/>
      </c>
      <c r="M10" s="69">
        <f>SUMPRODUCT(SUMIFS('For Tally'!C:C, 'For Tally'!H:H, $A10, 'For Tally'!A:A, "&gt;=2024-03-01", 'For Tally'!A:A, "&lt;=2024-03-31", 'For Tally'!L:L, $B$5:$F$5))</f>
        <v/>
      </c>
      <c r="N10" s="69">
        <f>SUMPRODUCT(SUMIFS('For Tally'!C:C, 'For Tally'!H:H, $A10, 'For Tally'!A:A, "&gt;=2024-04-01", 'For Tally'!A:A, "&lt;=2024-04-30", 'For Tally'!L:L, $B$5:$F$5))</f>
        <v/>
      </c>
      <c r="O10" s="69">
        <f>SUM(B10:N10)</f>
        <v/>
      </c>
    </row>
    <row r="11">
      <c r="A11" s="69" t="inlineStr">
        <is>
          <t>Archit Gupta</t>
        </is>
      </c>
      <c r="B11" s="69">
        <f>SUMPRODUCT(SUMIFS('For Tally'!C:C, 'For Tally'!H:H, $A11, 'For Tally'!A:A, "&gt;=2023-04-01", 'For Tally'!A:A, "&lt;=2023-04-30", 'For Tally'!L:L, $B$5:$F$5))</f>
        <v/>
      </c>
      <c r="C11" s="69">
        <f>SUMPRODUCT(SUMIFS('For Tally'!C:C, 'For Tally'!H:H, $A11, 'For Tally'!A:A, "&gt;=2023-05-01", 'For Tally'!A:A, "&lt;=2023-05-31", 'For Tally'!L:L, $B$5:$F$5))</f>
        <v/>
      </c>
      <c r="D11" s="69">
        <f>SUMPRODUCT(SUMIFS('For Tally'!C:C, 'For Tally'!H:H, $A11, 'For Tally'!A:A, "&gt;=2023-06-01", 'For Tally'!A:A, "&lt;=2023-06-30", 'For Tally'!L:L, $B$5:$F$5))</f>
        <v/>
      </c>
      <c r="E11" s="69">
        <f>SUMPRODUCT(SUMIFS('For Tally'!C:C, 'For Tally'!H:H, $A11, 'For Tally'!A:A, "&gt;=2023-07-01", 'For Tally'!A:A, "&lt;=2023-07-31", 'For Tally'!L:L, $B$5:$F$5))</f>
        <v/>
      </c>
      <c r="F11" s="69">
        <f>SUMPRODUCT(SUMIFS('For Tally'!C:C, 'For Tally'!H:H, $A11, 'For Tally'!A:A, "&gt;=2023-08-01", 'For Tally'!A:A, "&lt;=2023-08-31", 'For Tally'!L:L, $B$5:$F$5))</f>
        <v/>
      </c>
      <c r="G11" s="69">
        <f>SUMPRODUCT(SUMIFS('For Tally'!C:C, 'For Tally'!H:H, $A11, 'For Tally'!A:A, "&gt;=2023-09-01", 'For Tally'!A:A, "&lt;=2023-09-30", 'For Tally'!L:L, $B$5:$F$5))</f>
        <v/>
      </c>
      <c r="H11" s="69">
        <f>SUMPRODUCT(SUMIFS('For Tally'!C:C, 'For Tally'!H:H, $A11, 'For Tally'!A:A, "&gt;=2023-10-01", 'For Tally'!A:A, "&lt;=2023-10-31", 'For Tally'!L:L, $B$5:$F$5))</f>
        <v/>
      </c>
      <c r="I11" s="69">
        <f>SUMPRODUCT(SUMIFS('For Tally'!C:C, 'For Tally'!H:H, $A11, 'For Tally'!A:A, "&gt;=2023-11-01", 'For Tally'!A:A, "&lt;=2023-11-30", 'For Tally'!L:L, $B$5:$F$5))</f>
        <v/>
      </c>
      <c r="J11" s="69">
        <f>SUMPRODUCT(SUMIFS('For Tally'!C:C, 'For Tally'!H:H, $A11, 'For Tally'!A:A, "&gt;=2023-12-01", 'For Tally'!A:A, "&lt;=2023-12-31", 'For Tally'!L:L, $B$5:$F$5))</f>
        <v/>
      </c>
      <c r="K11" s="69">
        <f>SUMPRODUCT(SUMIFS('For Tally'!C:C, 'For Tally'!H:H, $A11, 'For Tally'!A:A, "&gt;=2024-01-01", 'For Tally'!A:A, "&lt;=2024-01-31", 'For Tally'!L:L, $B$5:$F$5))</f>
        <v/>
      </c>
      <c r="L11" s="69">
        <f>SUMPRODUCT(SUMIFS('For Tally'!C:C, 'For Tally'!H:H, $A11, 'For Tally'!A:A, "&gt;=2024-02-01", 'For Tally'!A:A, "&lt;=2024-02-29", 'For Tally'!L:L, $B$5:$F$5))</f>
        <v/>
      </c>
      <c r="M11" s="69">
        <f>SUMPRODUCT(SUMIFS('For Tally'!C:C, 'For Tally'!H:H, $A11, 'For Tally'!A:A, "&gt;=2024-03-01", 'For Tally'!A:A, "&lt;=2024-03-31", 'For Tally'!L:L, $B$5:$F$5))</f>
        <v/>
      </c>
      <c r="N11" s="69">
        <f>SUMPRODUCT(SUMIFS('For Tally'!C:C, 'For Tally'!H:H, $A11, 'For Tally'!A:A, "&gt;=2024-04-01", 'For Tally'!A:A, "&lt;=2024-04-30", 'For Tally'!L:L, $B$5:$F$5))</f>
        <v/>
      </c>
      <c r="O11" s="69">
        <f>SUM(B11:N11)</f>
        <v/>
      </c>
    </row>
    <row r="12">
      <c r="A12" s="20" t="inlineStr">
        <is>
          <t>Bank Charges</t>
        </is>
      </c>
      <c r="B12" s="20">
        <f>SUMPRODUCT(SUMIFS('For Tally'!C:C, 'For Tally'!H:H, $A12, 'For Tally'!A:A, "&gt;=2023-04-01", 'For Tally'!A:A, "&lt;=2023-04-30", 'For Tally'!L:L, $B$5:$F$5))</f>
        <v/>
      </c>
      <c r="C12" s="20">
        <f>SUMPRODUCT(SUMIFS('For Tally'!C:C, 'For Tally'!H:H, $A12, 'For Tally'!A:A, "&gt;=2023-05-01", 'For Tally'!A:A, "&lt;=2023-05-31", 'For Tally'!L:L, $B$5:$F$5))</f>
        <v/>
      </c>
      <c r="D12" s="20">
        <f>SUMPRODUCT(SUMIFS('For Tally'!C:C, 'For Tally'!H:H, $A12, 'For Tally'!A:A, "&gt;=2023-06-01", 'For Tally'!A:A, "&lt;=2023-06-30", 'For Tally'!L:L, $B$5:$F$5))</f>
        <v/>
      </c>
      <c r="E12" s="20">
        <f>SUMPRODUCT(SUMIFS('For Tally'!C:C, 'For Tally'!H:H, $A12, 'For Tally'!A:A, "&gt;=2023-07-01", 'For Tally'!A:A, "&lt;=2023-07-31", 'For Tally'!L:L, $B$5:$F$5))</f>
        <v/>
      </c>
      <c r="F12" s="20">
        <f>SUMPRODUCT(SUMIFS('For Tally'!C:C, 'For Tally'!H:H, $A12, 'For Tally'!A:A, "&gt;=2023-08-01", 'For Tally'!A:A, "&lt;=2023-08-31", 'For Tally'!L:L, $B$5:$F$5))</f>
        <v/>
      </c>
      <c r="G12" s="20">
        <f>SUMPRODUCT(SUMIFS('For Tally'!C:C, 'For Tally'!H:H, $A12, 'For Tally'!A:A, "&gt;=2023-09-01", 'For Tally'!A:A, "&lt;=2023-09-30", 'For Tally'!L:L, $B$5:$F$5))</f>
        <v/>
      </c>
      <c r="H12" s="20">
        <f>SUMPRODUCT(SUMIFS('For Tally'!C:C, 'For Tally'!H:H, $A12, 'For Tally'!A:A, "&gt;=2023-10-01", 'For Tally'!A:A, "&lt;=2023-10-31", 'For Tally'!L:L, $B$5:$F$5))</f>
        <v/>
      </c>
      <c r="I12" s="20">
        <f>SUMPRODUCT(SUMIFS('For Tally'!C:C, 'For Tally'!H:H, $A12, 'For Tally'!A:A, "&gt;=2023-11-01", 'For Tally'!A:A, "&lt;=2023-11-30", 'For Tally'!L:L, $B$5:$F$5))</f>
        <v/>
      </c>
      <c r="J12" s="20">
        <f>SUMPRODUCT(SUMIFS('For Tally'!C:C, 'For Tally'!H:H, $A12, 'For Tally'!A:A, "&gt;=2023-12-01", 'For Tally'!A:A, "&lt;=2023-12-31", 'For Tally'!L:L, $B$5:$F$5))</f>
        <v/>
      </c>
      <c r="K12" s="20">
        <f>SUMPRODUCT(SUMIFS('For Tally'!C:C, 'For Tally'!H:H, $A12, 'For Tally'!A:A, "&gt;=2024-01-01", 'For Tally'!A:A, "&lt;=2024-01-31", 'For Tally'!L:L, $B$5:$F$5))</f>
        <v/>
      </c>
      <c r="L12" s="20">
        <f>SUMPRODUCT(SUMIFS('For Tally'!C:C, 'For Tally'!H:H, $A12, 'For Tally'!A:A, "&gt;=2024-02-01", 'For Tally'!A:A, "&lt;=2024-02-29", 'For Tally'!L:L, $B$5:$F$5))</f>
        <v/>
      </c>
      <c r="M12" s="20">
        <f>SUMPRODUCT(SUMIFS('For Tally'!C:C, 'For Tally'!H:H, $A12, 'For Tally'!A:A, "&gt;=2024-03-01", 'For Tally'!A:A, "&lt;=2024-03-31", 'For Tally'!L:L, $B$5:$F$5))</f>
        <v/>
      </c>
      <c r="N12" s="20">
        <f>SUMPRODUCT(SUMIFS('For Tally'!C:C, 'For Tally'!H:H, $A12, 'For Tally'!A:A, "&gt;=2024-04-01", 'For Tally'!A:A, "&lt;=2024-04-30", 'For Tally'!L:L, $B$5:$F$5))</f>
        <v/>
      </c>
      <c r="O12" s="20">
        <f>SUM(B12:N12)</f>
        <v/>
      </c>
    </row>
    <row r="13">
      <c r="A13" s="69" t="inlineStr">
        <is>
          <t>Cash</t>
        </is>
      </c>
      <c r="B13" s="69">
        <f>SUMPRODUCT(SUMIFS('For Tally'!C:C, 'For Tally'!H:H, $A13, 'For Tally'!A:A, "&gt;=2023-04-01", 'For Tally'!A:A, "&lt;=2023-04-30", 'For Tally'!L:L, $B$5:$F$5))</f>
        <v/>
      </c>
      <c r="C13" s="69">
        <f>SUMPRODUCT(SUMIFS('For Tally'!C:C, 'For Tally'!H:H, $A13, 'For Tally'!A:A, "&gt;=2023-05-01", 'For Tally'!A:A, "&lt;=2023-05-31", 'For Tally'!L:L, $B$5:$F$5))</f>
        <v/>
      </c>
      <c r="D13" s="69">
        <f>SUMPRODUCT(SUMIFS('For Tally'!C:C, 'For Tally'!H:H, $A13, 'For Tally'!A:A, "&gt;=2023-06-01", 'For Tally'!A:A, "&lt;=2023-06-30", 'For Tally'!L:L, $B$5:$F$5))</f>
        <v/>
      </c>
      <c r="E13" s="69">
        <f>SUMPRODUCT(SUMIFS('For Tally'!C:C, 'For Tally'!H:H, $A13, 'For Tally'!A:A, "&gt;=2023-07-01", 'For Tally'!A:A, "&lt;=2023-07-31", 'For Tally'!L:L, $B$5:$F$5))</f>
        <v/>
      </c>
      <c r="F13" s="69">
        <f>SUMPRODUCT(SUMIFS('For Tally'!C:C, 'For Tally'!H:H, $A13, 'For Tally'!A:A, "&gt;=2023-08-01", 'For Tally'!A:A, "&lt;=2023-08-31", 'For Tally'!L:L, $B$5:$F$5))</f>
        <v/>
      </c>
      <c r="G13" s="69">
        <f>SUMPRODUCT(SUMIFS('For Tally'!C:C, 'For Tally'!H:H, $A13, 'For Tally'!A:A, "&gt;=2023-09-01", 'For Tally'!A:A, "&lt;=2023-09-30", 'For Tally'!L:L, $B$5:$F$5))</f>
        <v/>
      </c>
      <c r="H13" s="69">
        <f>SUMPRODUCT(SUMIFS('For Tally'!C:C, 'For Tally'!H:H, $A13, 'For Tally'!A:A, "&gt;=2023-10-01", 'For Tally'!A:A, "&lt;=2023-10-31", 'For Tally'!L:L, $B$5:$F$5))</f>
        <v/>
      </c>
      <c r="I13" s="69">
        <f>SUMPRODUCT(SUMIFS('For Tally'!C:C, 'For Tally'!H:H, $A13, 'For Tally'!A:A, "&gt;=2023-11-01", 'For Tally'!A:A, "&lt;=2023-11-30", 'For Tally'!L:L, $B$5:$F$5))</f>
        <v/>
      </c>
      <c r="J13" s="69">
        <f>SUMPRODUCT(SUMIFS('For Tally'!C:C, 'For Tally'!H:H, $A13, 'For Tally'!A:A, "&gt;=2023-12-01", 'For Tally'!A:A, "&lt;=2023-12-31", 'For Tally'!L:L, $B$5:$F$5))</f>
        <v/>
      </c>
      <c r="K13" s="69">
        <f>SUMPRODUCT(SUMIFS('For Tally'!C:C, 'For Tally'!H:H, $A13, 'For Tally'!A:A, "&gt;=2024-01-01", 'For Tally'!A:A, "&lt;=2024-01-31", 'For Tally'!L:L, $B$5:$F$5))</f>
        <v/>
      </c>
      <c r="L13" s="69">
        <f>SUMPRODUCT(SUMIFS('For Tally'!C:C, 'For Tally'!H:H, $A13, 'For Tally'!A:A, "&gt;=2024-02-01", 'For Tally'!A:A, "&lt;=2024-02-29", 'For Tally'!L:L, $B$5:$F$5))</f>
        <v/>
      </c>
      <c r="M13" s="69">
        <f>SUMPRODUCT(SUMIFS('For Tally'!C:C, 'For Tally'!H:H, $A13, 'For Tally'!A:A, "&gt;=2024-03-01", 'For Tally'!A:A, "&lt;=2024-03-31", 'For Tally'!L:L, $B$5:$F$5))</f>
        <v/>
      </c>
      <c r="N13" s="69">
        <f>SUMPRODUCT(SUMIFS('For Tally'!C:C, 'For Tally'!H:H, $A13, 'For Tally'!A:A, "&gt;=2024-04-01", 'For Tally'!A:A, "&lt;=2024-04-30", 'For Tally'!L:L, $B$5:$F$5))</f>
        <v/>
      </c>
      <c r="O13" s="69">
        <f>SUM(B13:N13)</f>
        <v/>
      </c>
    </row>
    <row r="14">
      <c r="A14" s="57" t="inlineStr">
        <is>
          <t>Depository Charges</t>
        </is>
      </c>
      <c r="B14" s="57">
        <f>SUMPRODUCT(SUMIFS('For Tally'!C:C, 'For Tally'!H:H, $A14, 'For Tally'!A:A, "&gt;=2023-04-01", 'For Tally'!A:A, "&lt;=2023-04-30", 'For Tally'!L:L, $B$5:$F$5))</f>
        <v/>
      </c>
      <c r="C14" s="57">
        <f>SUMPRODUCT(SUMIFS('For Tally'!C:C, 'For Tally'!H:H, $A14, 'For Tally'!A:A, "&gt;=2023-05-01", 'For Tally'!A:A, "&lt;=2023-05-31", 'For Tally'!L:L, $B$5:$F$5))</f>
        <v/>
      </c>
      <c r="D14" s="57">
        <f>SUMPRODUCT(SUMIFS('For Tally'!C:C, 'For Tally'!H:H, $A14, 'For Tally'!A:A, "&gt;=2023-06-01", 'For Tally'!A:A, "&lt;=2023-06-30", 'For Tally'!L:L, $B$5:$F$5))</f>
        <v/>
      </c>
      <c r="E14" s="57">
        <f>SUMPRODUCT(SUMIFS('For Tally'!C:C, 'For Tally'!H:H, $A14, 'For Tally'!A:A, "&gt;=2023-07-01", 'For Tally'!A:A, "&lt;=2023-07-31", 'For Tally'!L:L, $B$5:$F$5))</f>
        <v/>
      </c>
      <c r="F14" s="57">
        <f>SUMPRODUCT(SUMIFS('For Tally'!C:C, 'For Tally'!H:H, $A14, 'For Tally'!A:A, "&gt;=2023-08-01", 'For Tally'!A:A, "&lt;=2023-08-31", 'For Tally'!L:L, $B$5:$F$5))</f>
        <v/>
      </c>
      <c r="G14" s="57">
        <f>SUMPRODUCT(SUMIFS('For Tally'!C:C, 'For Tally'!H:H, $A14, 'For Tally'!A:A, "&gt;=2023-09-01", 'For Tally'!A:A, "&lt;=2023-09-30", 'For Tally'!L:L, $B$5:$F$5))</f>
        <v/>
      </c>
      <c r="H14" s="57">
        <f>SUMPRODUCT(SUMIFS('For Tally'!C:C, 'For Tally'!H:H, $A14, 'For Tally'!A:A, "&gt;=2023-10-01", 'For Tally'!A:A, "&lt;=2023-10-31", 'For Tally'!L:L, $B$5:$F$5))</f>
        <v/>
      </c>
      <c r="I14" s="57">
        <f>SUMPRODUCT(SUMIFS('For Tally'!C:C, 'For Tally'!H:H, $A14, 'For Tally'!A:A, "&gt;=2023-11-01", 'For Tally'!A:A, "&lt;=2023-11-30", 'For Tally'!L:L, $B$5:$F$5))</f>
        <v/>
      </c>
      <c r="J14" s="57">
        <f>SUMPRODUCT(SUMIFS('For Tally'!C:C, 'For Tally'!H:H, $A14, 'For Tally'!A:A, "&gt;=2023-12-01", 'For Tally'!A:A, "&lt;=2023-12-31", 'For Tally'!L:L, $B$5:$F$5))</f>
        <v/>
      </c>
      <c r="K14" s="57">
        <f>SUMPRODUCT(SUMIFS('For Tally'!C:C, 'For Tally'!H:H, $A14, 'For Tally'!A:A, "&gt;=2024-01-01", 'For Tally'!A:A, "&lt;=2024-01-31", 'For Tally'!L:L, $B$5:$F$5))</f>
        <v/>
      </c>
      <c r="L14" s="57">
        <f>SUMPRODUCT(SUMIFS('For Tally'!C:C, 'For Tally'!H:H, $A14, 'For Tally'!A:A, "&gt;=2024-02-01", 'For Tally'!A:A, "&lt;=2024-02-29", 'For Tally'!L:L, $B$5:$F$5))</f>
        <v/>
      </c>
      <c r="M14" s="57">
        <f>SUMPRODUCT(SUMIFS('For Tally'!C:C, 'For Tally'!H:H, $A14, 'For Tally'!A:A, "&gt;=2024-03-01", 'For Tally'!A:A, "&lt;=2024-03-31", 'For Tally'!L:L, $B$5:$F$5))</f>
        <v/>
      </c>
      <c r="N14" s="57">
        <f>SUMPRODUCT(SUMIFS('For Tally'!C:C, 'For Tally'!H:H, $A14, 'For Tally'!A:A, "&gt;=2024-04-01", 'For Tally'!A:A, "&lt;=2024-04-30", 'For Tally'!L:L, $B$5:$F$5))</f>
        <v/>
      </c>
      <c r="O14" s="57">
        <f>SUM(B14:N14)</f>
        <v/>
      </c>
    </row>
    <row r="15">
      <c r="A15" s="69" t="inlineStr">
        <is>
          <t>FEDERAL 0847</t>
        </is>
      </c>
      <c r="B15" s="69">
        <f>SUMPRODUCT(SUMIFS('For Tally'!C:C, 'For Tally'!H:H, $A15, 'For Tally'!A:A, "&gt;=2023-04-01", 'For Tally'!A:A, "&lt;=2023-04-30", 'For Tally'!L:L, $B$5:$F$5))</f>
        <v/>
      </c>
      <c r="C15" s="69">
        <f>SUMPRODUCT(SUMIFS('For Tally'!C:C, 'For Tally'!H:H, $A15, 'For Tally'!A:A, "&gt;=2023-05-01", 'For Tally'!A:A, "&lt;=2023-05-31", 'For Tally'!L:L, $B$5:$F$5))</f>
        <v/>
      </c>
      <c r="D15" s="69">
        <f>SUMPRODUCT(SUMIFS('For Tally'!C:C, 'For Tally'!H:H, $A15, 'For Tally'!A:A, "&gt;=2023-06-01", 'For Tally'!A:A, "&lt;=2023-06-30", 'For Tally'!L:L, $B$5:$F$5))</f>
        <v/>
      </c>
      <c r="E15" s="69">
        <f>SUMPRODUCT(SUMIFS('For Tally'!C:C, 'For Tally'!H:H, $A15, 'For Tally'!A:A, "&gt;=2023-07-01", 'For Tally'!A:A, "&lt;=2023-07-31", 'For Tally'!L:L, $B$5:$F$5))</f>
        <v/>
      </c>
      <c r="F15" s="69">
        <f>SUMPRODUCT(SUMIFS('For Tally'!C:C, 'For Tally'!H:H, $A15, 'For Tally'!A:A, "&gt;=2023-08-01", 'For Tally'!A:A, "&lt;=2023-08-31", 'For Tally'!L:L, $B$5:$F$5))</f>
        <v/>
      </c>
      <c r="G15" s="69">
        <f>SUMPRODUCT(SUMIFS('For Tally'!C:C, 'For Tally'!H:H, $A15, 'For Tally'!A:A, "&gt;=2023-09-01", 'For Tally'!A:A, "&lt;=2023-09-30", 'For Tally'!L:L, $B$5:$F$5))</f>
        <v/>
      </c>
      <c r="H15" s="69">
        <f>SUMPRODUCT(SUMIFS('For Tally'!C:C, 'For Tally'!H:H, $A15, 'For Tally'!A:A, "&gt;=2023-10-01", 'For Tally'!A:A, "&lt;=2023-10-31", 'For Tally'!L:L, $B$5:$F$5))</f>
        <v/>
      </c>
      <c r="I15" s="69">
        <f>SUMPRODUCT(SUMIFS('For Tally'!C:C, 'For Tally'!H:H, $A15, 'For Tally'!A:A, "&gt;=2023-11-01", 'For Tally'!A:A, "&lt;=2023-11-30", 'For Tally'!L:L, $B$5:$F$5))</f>
        <v/>
      </c>
      <c r="J15" s="69">
        <f>SUMPRODUCT(SUMIFS('For Tally'!C:C, 'For Tally'!H:H, $A15, 'For Tally'!A:A, "&gt;=2023-12-01", 'For Tally'!A:A, "&lt;=2023-12-31", 'For Tally'!L:L, $B$5:$F$5))</f>
        <v/>
      </c>
      <c r="K15" s="69">
        <f>SUMPRODUCT(SUMIFS('For Tally'!C:C, 'For Tally'!H:H, $A15, 'For Tally'!A:A, "&gt;=2024-01-01", 'For Tally'!A:A, "&lt;=2024-01-31", 'For Tally'!L:L, $B$5:$F$5))</f>
        <v/>
      </c>
      <c r="L15" s="69">
        <f>SUMPRODUCT(SUMIFS('For Tally'!C:C, 'For Tally'!H:H, $A15, 'For Tally'!A:A, "&gt;=2024-02-01", 'For Tally'!A:A, "&lt;=2024-02-29", 'For Tally'!L:L, $B$5:$F$5))</f>
        <v/>
      </c>
      <c r="M15" s="69">
        <f>SUMPRODUCT(SUMIFS('For Tally'!C:C, 'For Tally'!H:H, $A15, 'For Tally'!A:A, "&gt;=2024-03-01", 'For Tally'!A:A, "&lt;=2024-03-31", 'For Tally'!L:L, $B$5:$F$5))</f>
        <v/>
      </c>
      <c r="N15" s="69">
        <f>SUMPRODUCT(SUMIFS('For Tally'!C:C, 'For Tally'!H:H, $A15, 'For Tally'!A:A, "&gt;=2024-04-01", 'For Tally'!A:A, "&lt;=2024-04-30", 'For Tally'!L:L, $B$5:$F$5))</f>
        <v/>
      </c>
      <c r="O15" s="69">
        <f>SUM(B15:N15)</f>
        <v/>
      </c>
    </row>
    <row r="16">
      <c r="A16" s="69" t="inlineStr">
        <is>
          <t>Food &amp; Dining</t>
        </is>
      </c>
      <c r="B16" s="69">
        <f>SUMPRODUCT(SUMIFS('For Tally'!C:C, 'For Tally'!H:H, $A16, 'For Tally'!A:A, "&gt;=2023-04-01", 'For Tally'!A:A, "&lt;=2023-04-30", 'For Tally'!L:L, $B$5:$F$5))</f>
        <v/>
      </c>
      <c r="C16" s="69">
        <f>SUMPRODUCT(SUMIFS('For Tally'!C:C, 'For Tally'!H:H, $A16, 'For Tally'!A:A, "&gt;=2023-05-01", 'For Tally'!A:A, "&lt;=2023-05-31", 'For Tally'!L:L, $B$5:$F$5))</f>
        <v/>
      </c>
      <c r="D16" s="69">
        <f>SUMPRODUCT(SUMIFS('For Tally'!C:C, 'For Tally'!H:H, $A16, 'For Tally'!A:A, "&gt;=2023-06-01", 'For Tally'!A:A, "&lt;=2023-06-30", 'For Tally'!L:L, $B$5:$F$5))</f>
        <v/>
      </c>
      <c r="E16" s="69">
        <f>SUMPRODUCT(SUMIFS('For Tally'!C:C, 'For Tally'!H:H, $A16, 'For Tally'!A:A, "&gt;=2023-07-01", 'For Tally'!A:A, "&lt;=2023-07-31", 'For Tally'!L:L, $B$5:$F$5))</f>
        <v/>
      </c>
      <c r="F16" s="69">
        <f>SUMPRODUCT(SUMIFS('For Tally'!C:C, 'For Tally'!H:H, $A16, 'For Tally'!A:A, "&gt;=2023-08-01", 'For Tally'!A:A, "&lt;=2023-08-31", 'For Tally'!L:L, $B$5:$F$5))</f>
        <v/>
      </c>
      <c r="G16" s="69">
        <f>SUMPRODUCT(SUMIFS('For Tally'!C:C, 'For Tally'!H:H, $A16, 'For Tally'!A:A, "&gt;=2023-09-01", 'For Tally'!A:A, "&lt;=2023-09-30", 'For Tally'!L:L, $B$5:$F$5))</f>
        <v/>
      </c>
      <c r="H16" s="69">
        <f>SUMPRODUCT(SUMIFS('For Tally'!C:C, 'For Tally'!H:H, $A16, 'For Tally'!A:A, "&gt;=2023-10-01", 'For Tally'!A:A, "&lt;=2023-10-31", 'For Tally'!L:L, $B$5:$F$5))</f>
        <v/>
      </c>
      <c r="I16" s="69">
        <f>SUMPRODUCT(SUMIFS('For Tally'!C:C, 'For Tally'!H:H, $A16, 'For Tally'!A:A, "&gt;=2023-11-01", 'For Tally'!A:A, "&lt;=2023-11-30", 'For Tally'!L:L, $B$5:$F$5))</f>
        <v/>
      </c>
      <c r="J16" s="69">
        <f>SUMPRODUCT(SUMIFS('For Tally'!C:C, 'For Tally'!H:H, $A16, 'For Tally'!A:A, "&gt;=2023-12-01", 'For Tally'!A:A, "&lt;=2023-12-31", 'For Tally'!L:L, $B$5:$F$5))</f>
        <v/>
      </c>
      <c r="K16" s="69">
        <f>SUMPRODUCT(SUMIFS('For Tally'!C:C, 'For Tally'!H:H, $A16, 'For Tally'!A:A, "&gt;=2024-01-01", 'For Tally'!A:A, "&lt;=2024-01-31", 'For Tally'!L:L, $B$5:$F$5))</f>
        <v/>
      </c>
      <c r="L16" s="69">
        <f>SUMPRODUCT(SUMIFS('For Tally'!C:C, 'For Tally'!H:H, $A16, 'For Tally'!A:A, "&gt;=2024-02-01", 'For Tally'!A:A, "&lt;=2024-02-29", 'For Tally'!L:L, $B$5:$F$5))</f>
        <v/>
      </c>
      <c r="M16" s="69">
        <f>SUMPRODUCT(SUMIFS('For Tally'!C:C, 'For Tally'!H:H, $A16, 'For Tally'!A:A, "&gt;=2024-03-01", 'For Tally'!A:A, "&lt;=2024-03-31", 'For Tally'!L:L, $B$5:$F$5))</f>
        <v/>
      </c>
      <c r="N16" s="69">
        <f>SUMPRODUCT(SUMIFS('For Tally'!C:C, 'For Tally'!H:H, $A16, 'For Tally'!A:A, "&gt;=2024-04-01", 'For Tally'!A:A, "&lt;=2024-04-30", 'For Tally'!L:L, $B$5:$F$5))</f>
        <v/>
      </c>
      <c r="O16" s="69">
        <f>SUM(B16:N16)</f>
        <v/>
      </c>
    </row>
    <row r="17">
      <c r="A17" s="69" t="inlineStr">
        <is>
          <t>Groceries</t>
        </is>
      </c>
      <c r="B17" s="69">
        <f>SUMPRODUCT(SUMIFS('For Tally'!C:C, 'For Tally'!H:H, $A17, 'For Tally'!A:A, "&gt;=2023-04-01", 'For Tally'!A:A, "&lt;=2023-04-30", 'For Tally'!L:L, $B$5:$F$5))</f>
        <v/>
      </c>
      <c r="C17" s="69">
        <f>SUMPRODUCT(SUMIFS('For Tally'!C:C, 'For Tally'!H:H, $A17, 'For Tally'!A:A, "&gt;=2023-05-01", 'For Tally'!A:A, "&lt;=2023-05-31", 'For Tally'!L:L, $B$5:$F$5))</f>
        <v/>
      </c>
      <c r="D17" s="69">
        <f>SUMPRODUCT(SUMIFS('For Tally'!C:C, 'For Tally'!H:H, $A17, 'For Tally'!A:A, "&gt;=2023-06-01", 'For Tally'!A:A, "&lt;=2023-06-30", 'For Tally'!L:L, $B$5:$F$5))</f>
        <v/>
      </c>
      <c r="E17" s="69">
        <f>SUMPRODUCT(SUMIFS('For Tally'!C:C, 'For Tally'!H:H, $A17, 'For Tally'!A:A, "&gt;=2023-07-01", 'For Tally'!A:A, "&lt;=2023-07-31", 'For Tally'!L:L, $B$5:$F$5))</f>
        <v/>
      </c>
      <c r="F17" s="69">
        <f>SUMPRODUCT(SUMIFS('For Tally'!C:C, 'For Tally'!H:H, $A17, 'For Tally'!A:A, "&gt;=2023-08-01", 'For Tally'!A:A, "&lt;=2023-08-31", 'For Tally'!L:L, $B$5:$F$5))</f>
        <v/>
      </c>
      <c r="G17" s="69">
        <f>SUMPRODUCT(SUMIFS('For Tally'!C:C, 'For Tally'!H:H, $A17, 'For Tally'!A:A, "&gt;=2023-09-01", 'For Tally'!A:A, "&lt;=2023-09-30", 'For Tally'!L:L, $B$5:$F$5))</f>
        <v/>
      </c>
      <c r="H17" s="69">
        <f>SUMPRODUCT(SUMIFS('For Tally'!C:C, 'For Tally'!H:H, $A17, 'For Tally'!A:A, "&gt;=2023-10-01", 'For Tally'!A:A, "&lt;=2023-10-31", 'For Tally'!L:L, $B$5:$F$5))</f>
        <v/>
      </c>
      <c r="I17" s="69">
        <f>SUMPRODUCT(SUMIFS('For Tally'!C:C, 'For Tally'!H:H, $A17, 'For Tally'!A:A, "&gt;=2023-11-01", 'For Tally'!A:A, "&lt;=2023-11-30", 'For Tally'!L:L, $B$5:$F$5))</f>
        <v/>
      </c>
      <c r="J17" s="69">
        <f>SUMPRODUCT(SUMIFS('For Tally'!C:C, 'For Tally'!H:H, $A17, 'For Tally'!A:A, "&gt;=2023-12-01", 'For Tally'!A:A, "&lt;=2023-12-31", 'For Tally'!L:L, $B$5:$F$5))</f>
        <v/>
      </c>
      <c r="K17" s="69">
        <f>SUMPRODUCT(SUMIFS('For Tally'!C:C, 'For Tally'!H:H, $A17, 'For Tally'!A:A, "&gt;=2024-01-01", 'For Tally'!A:A, "&lt;=2024-01-31", 'For Tally'!L:L, $B$5:$F$5))</f>
        <v/>
      </c>
      <c r="L17" s="69">
        <f>SUMPRODUCT(SUMIFS('For Tally'!C:C, 'For Tally'!H:H, $A17, 'For Tally'!A:A, "&gt;=2024-02-01", 'For Tally'!A:A, "&lt;=2024-02-29", 'For Tally'!L:L, $B$5:$F$5))</f>
        <v/>
      </c>
      <c r="M17" s="69">
        <f>SUMPRODUCT(SUMIFS('For Tally'!C:C, 'For Tally'!H:H, $A17, 'For Tally'!A:A, "&gt;=2024-03-01", 'For Tally'!A:A, "&lt;=2024-03-31", 'For Tally'!L:L, $B$5:$F$5))</f>
        <v/>
      </c>
      <c r="N17" s="69">
        <f>SUMPRODUCT(SUMIFS('For Tally'!C:C, 'For Tally'!H:H, $A17, 'For Tally'!A:A, "&gt;=2024-04-01", 'For Tally'!A:A, "&lt;=2024-04-30", 'For Tally'!L:L, $B$5:$F$5))</f>
        <v/>
      </c>
      <c r="O17" s="69">
        <f>SUM(B17:N17)</f>
        <v/>
      </c>
    </row>
    <row r="18">
      <c r="A18" s="69" t="inlineStr">
        <is>
          <t>HDFC 5413</t>
        </is>
      </c>
      <c r="B18" s="69">
        <f>SUMPRODUCT(SUMIFS('For Tally'!C:C, 'For Tally'!H:H, $A18, 'For Tally'!A:A, "&gt;=2023-04-01", 'For Tally'!A:A, "&lt;=2023-04-30", 'For Tally'!L:L, $B$5:$F$5))</f>
        <v/>
      </c>
      <c r="C18" s="69">
        <f>SUMPRODUCT(SUMIFS('For Tally'!C:C, 'For Tally'!H:H, $A18, 'For Tally'!A:A, "&gt;=2023-05-01", 'For Tally'!A:A, "&lt;=2023-05-31", 'For Tally'!L:L, $B$5:$F$5))</f>
        <v/>
      </c>
      <c r="D18" s="69">
        <f>SUMPRODUCT(SUMIFS('For Tally'!C:C, 'For Tally'!H:H, $A18, 'For Tally'!A:A, "&gt;=2023-06-01", 'For Tally'!A:A, "&lt;=2023-06-30", 'For Tally'!L:L, $B$5:$F$5))</f>
        <v/>
      </c>
      <c r="E18" s="69">
        <f>SUMPRODUCT(SUMIFS('For Tally'!C:C, 'For Tally'!H:H, $A18, 'For Tally'!A:A, "&gt;=2023-07-01", 'For Tally'!A:A, "&lt;=2023-07-31", 'For Tally'!L:L, $B$5:$F$5))</f>
        <v/>
      </c>
      <c r="F18" s="69">
        <f>SUMPRODUCT(SUMIFS('For Tally'!C:C, 'For Tally'!H:H, $A18, 'For Tally'!A:A, "&gt;=2023-08-01", 'For Tally'!A:A, "&lt;=2023-08-31", 'For Tally'!L:L, $B$5:$F$5))</f>
        <v/>
      </c>
      <c r="G18" s="69">
        <f>SUMPRODUCT(SUMIFS('For Tally'!C:C, 'For Tally'!H:H, $A18, 'For Tally'!A:A, "&gt;=2023-09-01", 'For Tally'!A:A, "&lt;=2023-09-30", 'For Tally'!L:L, $B$5:$F$5))</f>
        <v/>
      </c>
      <c r="H18" s="69">
        <f>SUMPRODUCT(SUMIFS('For Tally'!C:C, 'For Tally'!H:H, $A18, 'For Tally'!A:A, "&gt;=2023-10-01", 'For Tally'!A:A, "&lt;=2023-10-31", 'For Tally'!L:L, $B$5:$F$5))</f>
        <v/>
      </c>
      <c r="I18" s="69">
        <f>SUMPRODUCT(SUMIFS('For Tally'!C:C, 'For Tally'!H:H, $A18, 'For Tally'!A:A, "&gt;=2023-11-01", 'For Tally'!A:A, "&lt;=2023-11-30", 'For Tally'!L:L, $B$5:$F$5))</f>
        <v/>
      </c>
      <c r="J18" s="69">
        <f>SUMPRODUCT(SUMIFS('For Tally'!C:C, 'For Tally'!H:H, $A18, 'For Tally'!A:A, "&gt;=2023-12-01", 'For Tally'!A:A, "&lt;=2023-12-31", 'For Tally'!L:L, $B$5:$F$5))</f>
        <v/>
      </c>
      <c r="K18" s="69">
        <f>SUMPRODUCT(SUMIFS('For Tally'!C:C, 'For Tally'!H:H, $A18, 'For Tally'!A:A, "&gt;=2024-01-01", 'For Tally'!A:A, "&lt;=2024-01-31", 'For Tally'!L:L, $B$5:$F$5))</f>
        <v/>
      </c>
      <c r="L18" s="69">
        <f>SUMPRODUCT(SUMIFS('For Tally'!C:C, 'For Tally'!H:H, $A18, 'For Tally'!A:A, "&gt;=2024-02-01", 'For Tally'!A:A, "&lt;=2024-02-29", 'For Tally'!L:L, $B$5:$F$5))</f>
        <v/>
      </c>
      <c r="M18" s="69">
        <f>SUMPRODUCT(SUMIFS('For Tally'!C:C, 'For Tally'!H:H, $A18, 'For Tally'!A:A, "&gt;=2024-03-01", 'For Tally'!A:A, "&lt;=2024-03-31", 'For Tally'!L:L, $B$5:$F$5))</f>
        <v/>
      </c>
      <c r="N18" s="69">
        <f>SUMPRODUCT(SUMIFS('For Tally'!C:C, 'For Tally'!H:H, $A18, 'For Tally'!A:A, "&gt;=2024-04-01", 'For Tally'!A:A, "&lt;=2024-04-30", 'For Tally'!L:L, $B$5:$F$5))</f>
        <v/>
      </c>
      <c r="O18" s="69">
        <f>SUM(B18:N18)</f>
        <v/>
      </c>
    </row>
    <row r="19">
      <c r="A19" s="69" t="inlineStr">
        <is>
          <t>HDFC Securities</t>
        </is>
      </c>
      <c r="B19" s="69">
        <f>SUMPRODUCT(SUMIFS('For Tally'!C:C, 'For Tally'!H:H, $A19, 'For Tally'!A:A, "&gt;=2023-04-01", 'For Tally'!A:A, "&lt;=2023-04-30", 'For Tally'!L:L, $B$5:$F$5))</f>
        <v/>
      </c>
      <c r="C19" s="69">
        <f>SUMPRODUCT(SUMIFS('For Tally'!C:C, 'For Tally'!H:H, $A19, 'For Tally'!A:A, "&gt;=2023-05-01", 'For Tally'!A:A, "&lt;=2023-05-31", 'For Tally'!L:L, $B$5:$F$5))</f>
        <v/>
      </c>
      <c r="D19" s="69">
        <f>SUMPRODUCT(SUMIFS('For Tally'!C:C, 'For Tally'!H:H, $A19, 'For Tally'!A:A, "&gt;=2023-06-01", 'For Tally'!A:A, "&lt;=2023-06-30", 'For Tally'!L:L, $B$5:$F$5))</f>
        <v/>
      </c>
      <c r="E19" s="69">
        <f>SUMPRODUCT(SUMIFS('For Tally'!C:C, 'For Tally'!H:H, $A19, 'For Tally'!A:A, "&gt;=2023-07-01", 'For Tally'!A:A, "&lt;=2023-07-31", 'For Tally'!L:L, $B$5:$F$5))</f>
        <v/>
      </c>
      <c r="F19" s="69">
        <f>SUMPRODUCT(SUMIFS('For Tally'!C:C, 'For Tally'!H:H, $A19, 'For Tally'!A:A, "&gt;=2023-08-01", 'For Tally'!A:A, "&lt;=2023-08-31", 'For Tally'!L:L, $B$5:$F$5))</f>
        <v/>
      </c>
      <c r="G19" s="69">
        <f>SUMPRODUCT(SUMIFS('For Tally'!C:C, 'For Tally'!H:H, $A19, 'For Tally'!A:A, "&gt;=2023-09-01", 'For Tally'!A:A, "&lt;=2023-09-30", 'For Tally'!L:L, $B$5:$F$5))</f>
        <v/>
      </c>
      <c r="H19" s="69">
        <f>SUMPRODUCT(SUMIFS('For Tally'!C:C, 'For Tally'!H:H, $A19, 'For Tally'!A:A, "&gt;=2023-10-01", 'For Tally'!A:A, "&lt;=2023-10-31", 'For Tally'!L:L, $B$5:$F$5))</f>
        <v/>
      </c>
      <c r="I19" s="69">
        <f>SUMPRODUCT(SUMIFS('For Tally'!C:C, 'For Tally'!H:H, $A19, 'For Tally'!A:A, "&gt;=2023-11-01", 'For Tally'!A:A, "&lt;=2023-11-30", 'For Tally'!L:L, $B$5:$F$5))</f>
        <v/>
      </c>
      <c r="J19" s="69">
        <f>SUMPRODUCT(SUMIFS('For Tally'!C:C, 'For Tally'!H:H, $A19, 'For Tally'!A:A, "&gt;=2023-12-01", 'For Tally'!A:A, "&lt;=2023-12-31", 'For Tally'!L:L, $B$5:$F$5))</f>
        <v/>
      </c>
      <c r="K19" s="69">
        <f>SUMPRODUCT(SUMIFS('For Tally'!C:C, 'For Tally'!H:H, $A19, 'For Tally'!A:A, "&gt;=2024-01-01", 'For Tally'!A:A, "&lt;=2024-01-31", 'For Tally'!L:L, $B$5:$F$5))</f>
        <v/>
      </c>
      <c r="L19" s="69">
        <f>SUMPRODUCT(SUMIFS('For Tally'!C:C, 'For Tally'!H:H, $A19, 'For Tally'!A:A, "&gt;=2024-02-01", 'For Tally'!A:A, "&lt;=2024-02-29", 'For Tally'!L:L, $B$5:$F$5))</f>
        <v/>
      </c>
      <c r="M19" s="69">
        <f>SUMPRODUCT(SUMIFS('For Tally'!C:C, 'For Tally'!H:H, $A19, 'For Tally'!A:A, "&gt;=2024-03-01", 'For Tally'!A:A, "&lt;=2024-03-31", 'For Tally'!L:L, $B$5:$F$5))</f>
        <v/>
      </c>
      <c r="N19" s="69">
        <f>SUMPRODUCT(SUMIFS('For Tally'!C:C, 'For Tally'!H:H, $A19, 'For Tally'!A:A, "&gt;=2024-04-01", 'For Tally'!A:A, "&lt;=2024-04-30", 'For Tally'!L:L, $B$5:$F$5))</f>
        <v/>
      </c>
      <c r="O19" s="69">
        <f>SUM(B19:N19)</f>
        <v/>
      </c>
    </row>
    <row r="20">
      <c r="A20" s="71" t="inlineStr">
        <is>
          <t>Health Insurance</t>
        </is>
      </c>
      <c r="B20" s="71">
        <f>SUMPRODUCT(SUMIFS('For Tally'!C:C, 'For Tally'!H:H, $A20, 'For Tally'!A:A, "&gt;=2023-04-01", 'For Tally'!A:A, "&lt;=2023-04-30", 'For Tally'!L:L, $B$5:$F$5))</f>
        <v/>
      </c>
      <c r="C20" s="71">
        <f>SUMPRODUCT(SUMIFS('For Tally'!C:C, 'For Tally'!H:H, $A20, 'For Tally'!A:A, "&gt;=2023-05-01", 'For Tally'!A:A, "&lt;=2023-05-31", 'For Tally'!L:L, $B$5:$F$5))</f>
        <v/>
      </c>
      <c r="D20" s="71">
        <f>SUMPRODUCT(SUMIFS('For Tally'!C:C, 'For Tally'!H:H, $A20, 'For Tally'!A:A, "&gt;=2023-06-01", 'For Tally'!A:A, "&lt;=2023-06-30", 'For Tally'!L:L, $B$5:$F$5))</f>
        <v/>
      </c>
      <c r="E20" s="71">
        <f>SUMPRODUCT(SUMIFS('For Tally'!C:C, 'For Tally'!H:H, $A20, 'For Tally'!A:A, "&gt;=2023-07-01", 'For Tally'!A:A, "&lt;=2023-07-31", 'For Tally'!L:L, $B$5:$F$5))</f>
        <v/>
      </c>
      <c r="F20" s="71">
        <f>SUMPRODUCT(SUMIFS('For Tally'!C:C, 'For Tally'!H:H, $A20, 'For Tally'!A:A, "&gt;=2023-08-01", 'For Tally'!A:A, "&lt;=2023-08-31", 'For Tally'!L:L, $B$5:$F$5))</f>
        <v/>
      </c>
      <c r="G20" s="71">
        <f>SUMPRODUCT(SUMIFS('For Tally'!C:C, 'For Tally'!H:H, $A20, 'For Tally'!A:A, "&gt;=2023-09-01", 'For Tally'!A:A, "&lt;=2023-09-30", 'For Tally'!L:L, $B$5:$F$5))</f>
        <v/>
      </c>
      <c r="H20" s="71">
        <f>SUMPRODUCT(SUMIFS('For Tally'!C:C, 'For Tally'!H:H, $A20, 'For Tally'!A:A, "&gt;=2023-10-01", 'For Tally'!A:A, "&lt;=2023-10-31", 'For Tally'!L:L, $B$5:$F$5))</f>
        <v/>
      </c>
      <c r="I20" s="71">
        <f>SUMPRODUCT(SUMIFS('For Tally'!C:C, 'For Tally'!H:H, $A20, 'For Tally'!A:A, "&gt;=2023-11-01", 'For Tally'!A:A, "&lt;=2023-11-30", 'For Tally'!L:L, $B$5:$F$5))</f>
        <v/>
      </c>
      <c r="J20" s="71">
        <f>SUMPRODUCT(SUMIFS('For Tally'!C:C, 'For Tally'!H:H, $A20, 'For Tally'!A:A, "&gt;=2023-12-01", 'For Tally'!A:A, "&lt;=2023-12-31", 'For Tally'!L:L, $B$5:$F$5))</f>
        <v/>
      </c>
      <c r="K20" s="71">
        <f>SUMPRODUCT(SUMIFS('For Tally'!C:C, 'For Tally'!H:H, $A20, 'For Tally'!A:A, "&gt;=2024-01-01", 'For Tally'!A:A, "&lt;=2024-01-31", 'For Tally'!L:L, $B$5:$F$5))</f>
        <v/>
      </c>
      <c r="L20" s="71">
        <f>SUMPRODUCT(SUMIFS('For Tally'!C:C, 'For Tally'!H:H, $A20, 'For Tally'!A:A, "&gt;=2024-02-01", 'For Tally'!A:A, "&lt;=2024-02-29", 'For Tally'!L:L, $B$5:$F$5))</f>
        <v/>
      </c>
      <c r="M20" s="71">
        <f>SUMPRODUCT(SUMIFS('For Tally'!C:C, 'For Tally'!H:H, $A20, 'For Tally'!A:A, "&gt;=2024-03-01", 'For Tally'!A:A, "&lt;=2024-03-31", 'For Tally'!L:L, $B$5:$F$5))</f>
        <v/>
      </c>
      <c r="N20" s="71">
        <f>SUMPRODUCT(SUMIFS('For Tally'!C:C, 'For Tally'!H:H, $A20, 'For Tally'!A:A, "&gt;=2024-04-01", 'For Tally'!A:A, "&lt;=2024-04-30", 'For Tally'!L:L, $B$5:$F$5))</f>
        <v/>
      </c>
      <c r="O20" s="71">
        <f>SUM(B20:N20)</f>
        <v/>
      </c>
    </row>
    <row r="21">
      <c r="A21" s="69" t="inlineStr">
        <is>
          <t>Healthcare</t>
        </is>
      </c>
      <c r="B21" s="69">
        <f>SUMPRODUCT(SUMIFS('For Tally'!C:C, 'For Tally'!H:H, $A21, 'For Tally'!A:A, "&gt;=2023-04-01", 'For Tally'!A:A, "&lt;=2023-04-30", 'For Tally'!L:L, $B$5:$F$5))</f>
        <v/>
      </c>
      <c r="C21" s="69">
        <f>SUMPRODUCT(SUMIFS('For Tally'!C:C, 'For Tally'!H:H, $A21, 'For Tally'!A:A, "&gt;=2023-05-01", 'For Tally'!A:A, "&lt;=2023-05-31", 'For Tally'!L:L, $B$5:$F$5))</f>
        <v/>
      </c>
      <c r="D21" s="69">
        <f>SUMPRODUCT(SUMIFS('For Tally'!C:C, 'For Tally'!H:H, $A21, 'For Tally'!A:A, "&gt;=2023-06-01", 'For Tally'!A:A, "&lt;=2023-06-30", 'For Tally'!L:L, $B$5:$F$5))</f>
        <v/>
      </c>
      <c r="E21" s="69">
        <f>SUMPRODUCT(SUMIFS('For Tally'!C:C, 'For Tally'!H:H, $A21, 'For Tally'!A:A, "&gt;=2023-07-01", 'For Tally'!A:A, "&lt;=2023-07-31", 'For Tally'!L:L, $B$5:$F$5))</f>
        <v/>
      </c>
      <c r="F21" s="69">
        <f>SUMPRODUCT(SUMIFS('For Tally'!C:C, 'For Tally'!H:H, $A21, 'For Tally'!A:A, "&gt;=2023-08-01", 'For Tally'!A:A, "&lt;=2023-08-31", 'For Tally'!L:L, $B$5:$F$5))</f>
        <v/>
      </c>
      <c r="G21" s="69">
        <f>SUMPRODUCT(SUMIFS('For Tally'!C:C, 'For Tally'!H:H, $A21, 'For Tally'!A:A, "&gt;=2023-09-01", 'For Tally'!A:A, "&lt;=2023-09-30", 'For Tally'!L:L, $B$5:$F$5))</f>
        <v/>
      </c>
      <c r="H21" s="69">
        <f>SUMPRODUCT(SUMIFS('For Tally'!C:C, 'For Tally'!H:H, $A21, 'For Tally'!A:A, "&gt;=2023-10-01", 'For Tally'!A:A, "&lt;=2023-10-31", 'For Tally'!L:L, $B$5:$F$5))</f>
        <v/>
      </c>
      <c r="I21" s="69">
        <f>SUMPRODUCT(SUMIFS('For Tally'!C:C, 'For Tally'!H:H, $A21, 'For Tally'!A:A, "&gt;=2023-11-01", 'For Tally'!A:A, "&lt;=2023-11-30", 'For Tally'!L:L, $B$5:$F$5))</f>
        <v/>
      </c>
      <c r="J21" s="69">
        <f>SUMPRODUCT(SUMIFS('For Tally'!C:C, 'For Tally'!H:H, $A21, 'For Tally'!A:A, "&gt;=2023-12-01", 'For Tally'!A:A, "&lt;=2023-12-31", 'For Tally'!L:L, $B$5:$F$5))</f>
        <v/>
      </c>
      <c r="K21" s="69">
        <f>SUMPRODUCT(SUMIFS('For Tally'!C:C, 'For Tally'!H:H, $A21, 'For Tally'!A:A, "&gt;=2024-01-01", 'For Tally'!A:A, "&lt;=2024-01-31", 'For Tally'!L:L, $B$5:$F$5))</f>
        <v/>
      </c>
      <c r="L21" s="69">
        <f>SUMPRODUCT(SUMIFS('For Tally'!C:C, 'For Tally'!H:H, $A21, 'For Tally'!A:A, "&gt;=2024-02-01", 'For Tally'!A:A, "&lt;=2024-02-29", 'For Tally'!L:L, $B$5:$F$5))</f>
        <v/>
      </c>
      <c r="M21" s="69">
        <f>SUMPRODUCT(SUMIFS('For Tally'!C:C, 'For Tally'!H:H, $A21, 'For Tally'!A:A, "&gt;=2024-03-01", 'For Tally'!A:A, "&lt;=2024-03-31", 'For Tally'!L:L, $B$5:$F$5))</f>
        <v/>
      </c>
      <c r="N21" s="69">
        <f>SUMPRODUCT(SUMIFS('For Tally'!C:C, 'For Tally'!H:H, $A21, 'For Tally'!A:A, "&gt;=2024-04-01", 'For Tally'!A:A, "&lt;=2024-04-30", 'For Tally'!L:L, $B$5:$F$5))</f>
        <v/>
      </c>
      <c r="O21" s="69">
        <f>SUM(B21:N21)</f>
        <v/>
      </c>
    </row>
    <row r="22">
      <c r="A22" s="69" t="inlineStr">
        <is>
          <t>IPO</t>
        </is>
      </c>
      <c r="B22" s="69">
        <f>SUMPRODUCT(SUMIFS('For Tally'!C:C, 'For Tally'!H:H, $A22, 'For Tally'!A:A, "&gt;=2023-04-01", 'For Tally'!A:A, "&lt;=2023-04-30", 'For Tally'!L:L, $B$5:$F$5))</f>
        <v/>
      </c>
      <c r="C22" s="69">
        <f>SUMPRODUCT(SUMIFS('For Tally'!C:C, 'For Tally'!H:H, $A22, 'For Tally'!A:A, "&gt;=2023-05-01", 'For Tally'!A:A, "&lt;=2023-05-31", 'For Tally'!L:L, $B$5:$F$5))</f>
        <v/>
      </c>
      <c r="D22" s="69">
        <f>SUMPRODUCT(SUMIFS('For Tally'!C:C, 'For Tally'!H:H, $A22, 'For Tally'!A:A, "&gt;=2023-06-01", 'For Tally'!A:A, "&lt;=2023-06-30", 'For Tally'!L:L, $B$5:$F$5))</f>
        <v/>
      </c>
      <c r="E22" s="69">
        <f>SUMPRODUCT(SUMIFS('For Tally'!C:C, 'For Tally'!H:H, $A22, 'For Tally'!A:A, "&gt;=2023-07-01", 'For Tally'!A:A, "&lt;=2023-07-31", 'For Tally'!L:L, $B$5:$F$5))</f>
        <v/>
      </c>
      <c r="F22" s="69">
        <f>SUMPRODUCT(SUMIFS('For Tally'!C:C, 'For Tally'!H:H, $A22, 'For Tally'!A:A, "&gt;=2023-08-01", 'For Tally'!A:A, "&lt;=2023-08-31", 'For Tally'!L:L, $B$5:$F$5))</f>
        <v/>
      </c>
      <c r="G22" s="69">
        <f>SUMPRODUCT(SUMIFS('For Tally'!C:C, 'For Tally'!H:H, $A22, 'For Tally'!A:A, "&gt;=2023-09-01", 'For Tally'!A:A, "&lt;=2023-09-30", 'For Tally'!L:L, $B$5:$F$5))</f>
        <v/>
      </c>
      <c r="H22" s="69">
        <f>SUMPRODUCT(SUMIFS('For Tally'!C:C, 'For Tally'!H:H, $A22, 'For Tally'!A:A, "&gt;=2023-10-01", 'For Tally'!A:A, "&lt;=2023-10-31", 'For Tally'!L:L, $B$5:$F$5))</f>
        <v/>
      </c>
      <c r="I22" s="69">
        <f>SUMPRODUCT(SUMIFS('For Tally'!C:C, 'For Tally'!H:H, $A22, 'For Tally'!A:A, "&gt;=2023-11-01", 'For Tally'!A:A, "&lt;=2023-11-30", 'For Tally'!L:L, $B$5:$F$5))</f>
        <v/>
      </c>
      <c r="J22" s="69">
        <f>SUMPRODUCT(SUMIFS('For Tally'!C:C, 'For Tally'!H:H, $A22, 'For Tally'!A:A, "&gt;=2023-12-01", 'For Tally'!A:A, "&lt;=2023-12-31", 'For Tally'!L:L, $B$5:$F$5))</f>
        <v/>
      </c>
      <c r="K22" s="69">
        <f>SUMPRODUCT(SUMIFS('For Tally'!C:C, 'For Tally'!H:H, $A22, 'For Tally'!A:A, "&gt;=2024-01-01", 'For Tally'!A:A, "&lt;=2024-01-31", 'For Tally'!L:L, $B$5:$F$5))</f>
        <v/>
      </c>
      <c r="L22" s="69">
        <f>SUMPRODUCT(SUMIFS('For Tally'!C:C, 'For Tally'!H:H, $A22, 'For Tally'!A:A, "&gt;=2024-02-01", 'For Tally'!A:A, "&lt;=2024-02-29", 'For Tally'!L:L, $B$5:$F$5))</f>
        <v/>
      </c>
      <c r="M22" s="69">
        <f>SUMPRODUCT(SUMIFS('For Tally'!C:C, 'For Tally'!H:H, $A22, 'For Tally'!A:A, "&gt;=2024-03-01", 'For Tally'!A:A, "&lt;=2024-03-31", 'For Tally'!L:L, $B$5:$F$5))</f>
        <v/>
      </c>
      <c r="N22" s="69">
        <f>SUMPRODUCT(SUMIFS('For Tally'!C:C, 'For Tally'!H:H, $A22, 'For Tally'!A:A, "&gt;=2024-04-01", 'For Tally'!A:A, "&lt;=2024-04-30", 'For Tally'!L:L, $B$5:$F$5))</f>
        <v/>
      </c>
      <c r="O22" s="69">
        <f>SUM(B22:N22)</f>
        <v/>
      </c>
    </row>
    <row r="23">
      <c r="A23" s="69" t="inlineStr">
        <is>
          <t>Investments</t>
        </is>
      </c>
      <c r="B23" s="69">
        <f>SUMPRODUCT(SUMIFS('For Tally'!C:C, 'For Tally'!H:H, $A23, 'For Tally'!A:A, "&gt;=2023-04-01", 'For Tally'!A:A, "&lt;=2023-04-30", 'For Tally'!L:L, $B$5:$F$5))</f>
        <v/>
      </c>
      <c r="C23" s="69">
        <f>SUMPRODUCT(SUMIFS('For Tally'!C:C, 'For Tally'!H:H, $A23, 'For Tally'!A:A, "&gt;=2023-05-01", 'For Tally'!A:A, "&lt;=2023-05-31", 'For Tally'!L:L, $B$5:$F$5))</f>
        <v/>
      </c>
      <c r="D23" s="69">
        <f>SUMPRODUCT(SUMIFS('For Tally'!C:C, 'For Tally'!H:H, $A23, 'For Tally'!A:A, "&gt;=2023-06-01", 'For Tally'!A:A, "&lt;=2023-06-30", 'For Tally'!L:L, $B$5:$F$5))</f>
        <v/>
      </c>
      <c r="E23" s="69">
        <f>SUMPRODUCT(SUMIFS('For Tally'!C:C, 'For Tally'!H:H, $A23, 'For Tally'!A:A, "&gt;=2023-07-01", 'For Tally'!A:A, "&lt;=2023-07-31", 'For Tally'!L:L, $B$5:$F$5))</f>
        <v/>
      </c>
      <c r="F23" s="69">
        <f>SUMPRODUCT(SUMIFS('For Tally'!C:C, 'For Tally'!H:H, $A23, 'For Tally'!A:A, "&gt;=2023-08-01", 'For Tally'!A:A, "&lt;=2023-08-31", 'For Tally'!L:L, $B$5:$F$5))</f>
        <v/>
      </c>
      <c r="G23" s="69">
        <f>SUMPRODUCT(SUMIFS('For Tally'!C:C, 'For Tally'!H:H, $A23, 'For Tally'!A:A, "&gt;=2023-09-01", 'For Tally'!A:A, "&lt;=2023-09-30", 'For Tally'!L:L, $B$5:$F$5))</f>
        <v/>
      </c>
      <c r="H23" s="69">
        <f>SUMPRODUCT(SUMIFS('For Tally'!C:C, 'For Tally'!H:H, $A23, 'For Tally'!A:A, "&gt;=2023-10-01", 'For Tally'!A:A, "&lt;=2023-10-31", 'For Tally'!L:L, $B$5:$F$5))</f>
        <v/>
      </c>
      <c r="I23" s="69">
        <f>SUMPRODUCT(SUMIFS('For Tally'!C:C, 'For Tally'!H:H, $A23, 'For Tally'!A:A, "&gt;=2023-11-01", 'For Tally'!A:A, "&lt;=2023-11-30", 'For Tally'!L:L, $B$5:$F$5))</f>
        <v/>
      </c>
      <c r="J23" s="69">
        <f>SUMPRODUCT(SUMIFS('For Tally'!C:C, 'For Tally'!H:H, $A23, 'For Tally'!A:A, "&gt;=2023-12-01", 'For Tally'!A:A, "&lt;=2023-12-31", 'For Tally'!L:L, $B$5:$F$5))</f>
        <v/>
      </c>
      <c r="K23" s="69">
        <f>SUMPRODUCT(SUMIFS('For Tally'!C:C, 'For Tally'!H:H, $A23, 'For Tally'!A:A, "&gt;=2024-01-01", 'For Tally'!A:A, "&lt;=2024-01-31", 'For Tally'!L:L, $B$5:$F$5))</f>
        <v/>
      </c>
      <c r="L23" s="69">
        <f>SUMPRODUCT(SUMIFS('For Tally'!C:C, 'For Tally'!H:H, $A23, 'For Tally'!A:A, "&gt;=2024-02-01", 'For Tally'!A:A, "&lt;=2024-02-29", 'For Tally'!L:L, $B$5:$F$5))</f>
        <v/>
      </c>
      <c r="M23" s="69">
        <f>SUMPRODUCT(SUMIFS('For Tally'!C:C, 'For Tally'!H:H, $A23, 'For Tally'!A:A, "&gt;=2024-03-01", 'For Tally'!A:A, "&lt;=2024-03-31", 'For Tally'!L:L, $B$5:$F$5))</f>
        <v/>
      </c>
      <c r="N23" s="69">
        <f>SUMPRODUCT(SUMIFS('For Tally'!C:C, 'For Tally'!H:H, $A23, 'For Tally'!A:A, "&gt;=2024-04-01", 'For Tally'!A:A, "&lt;=2024-04-30", 'For Tally'!L:L, $B$5:$F$5))</f>
        <v/>
      </c>
      <c r="O23" s="69">
        <f>SUM(B23:N23)</f>
        <v/>
      </c>
    </row>
    <row r="24">
      <c r="A24" s="69" t="inlineStr">
        <is>
          <t>KOTAK 0333</t>
        </is>
      </c>
      <c r="B24" s="69">
        <f>SUMPRODUCT(SUMIFS('For Tally'!C:C, 'For Tally'!H:H, $A24, 'For Tally'!A:A, "&gt;=2023-04-01", 'For Tally'!A:A, "&lt;=2023-04-30", 'For Tally'!L:L, $B$5:$F$5))</f>
        <v/>
      </c>
      <c r="C24" s="69">
        <f>SUMPRODUCT(SUMIFS('For Tally'!C:C, 'For Tally'!H:H, $A24, 'For Tally'!A:A, "&gt;=2023-05-01", 'For Tally'!A:A, "&lt;=2023-05-31", 'For Tally'!L:L, $B$5:$F$5))</f>
        <v/>
      </c>
      <c r="D24" s="69">
        <f>SUMPRODUCT(SUMIFS('For Tally'!C:C, 'For Tally'!H:H, $A24, 'For Tally'!A:A, "&gt;=2023-06-01", 'For Tally'!A:A, "&lt;=2023-06-30", 'For Tally'!L:L, $B$5:$F$5))</f>
        <v/>
      </c>
      <c r="E24" s="69">
        <f>SUMPRODUCT(SUMIFS('For Tally'!C:C, 'For Tally'!H:H, $A24, 'For Tally'!A:A, "&gt;=2023-07-01", 'For Tally'!A:A, "&lt;=2023-07-31", 'For Tally'!L:L, $B$5:$F$5))</f>
        <v/>
      </c>
      <c r="F24" s="69">
        <f>SUMPRODUCT(SUMIFS('For Tally'!C:C, 'For Tally'!H:H, $A24, 'For Tally'!A:A, "&gt;=2023-08-01", 'For Tally'!A:A, "&lt;=2023-08-31", 'For Tally'!L:L, $B$5:$F$5))</f>
        <v/>
      </c>
      <c r="G24" s="69">
        <f>SUMPRODUCT(SUMIFS('For Tally'!C:C, 'For Tally'!H:H, $A24, 'For Tally'!A:A, "&gt;=2023-09-01", 'For Tally'!A:A, "&lt;=2023-09-30", 'For Tally'!L:L, $B$5:$F$5))</f>
        <v/>
      </c>
      <c r="H24" s="69">
        <f>SUMPRODUCT(SUMIFS('For Tally'!C:C, 'For Tally'!H:H, $A24, 'For Tally'!A:A, "&gt;=2023-10-01", 'For Tally'!A:A, "&lt;=2023-10-31", 'For Tally'!L:L, $B$5:$F$5))</f>
        <v/>
      </c>
      <c r="I24" s="69">
        <f>SUMPRODUCT(SUMIFS('For Tally'!C:C, 'For Tally'!H:H, $A24, 'For Tally'!A:A, "&gt;=2023-11-01", 'For Tally'!A:A, "&lt;=2023-11-30", 'For Tally'!L:L, $B$5:$F$5))</f>
        <v/>
      </c>
      <c r="J24" s="69">
        <f>SUMPRODUCT(SUMIFS('For Tally'!C:C, 'For Tally'!H:H, $A24, 'For Tally'!A:A, "&gt;=2023-12-01", 'For Tally'!A:A, "&lt;=2023-12-31", 'For Tally'!L:L, $B$5:$F$5))</f>
        <v/>
      </c>
      <c r="K24" s="69">
        <f>SUMPRODUCT(SUMIFS('For Tally'!C:C, 'For Tally'!H:H, $A24, 'For Tally'!A:A, "&gt;=2024-01-01", 'For Tally'!A:A, "&lt;=2024-01-31", 'For Tally'!L:L, $B$5:$F$5))</f>
        <v/>
      </c>
      <c r="L24" s="69">
        <f>SUMPRODUCT(SUMIFS('For Tally'!C:C, 'For Tally'!H:H, $A24, 'For Tally'!A:A, "&gt;=2024-02-01", 'For Tally'!A:A, "&lt;=2024-02-29", 'For Tally'!L:L, $B$5:$F$5))</f>
        <v/>
      </c>
      <c r="M24" s="69">
        <f>SUMPRODUCT(SUMIFS('For Tally'!C:C, 'For Tally'!H:H, $A24, 'For Tally'!A:A, "&gt;=2024-03-01", 'For Tally'!A:A, "&lt;=2024-03-31", 'For Tally'!L:L, $B$5:$F$5))</f>
        <v/>
      </c>
      <c r="N24" s="69">
        <f>SUMPRODUCT(SUMIFS('For Tally'!C:C, 'For Tally'!H:H, $A24, 'For Tally'!A:A, "&gt;=2024-04-01", 'For Tally'!A:A, "&lt;=2024-04-30", 'For Tally'!L:L, $B$5:$F$5))</f>
        <v/>
      </c>
      <c r="O24" s="69">
        <f>SUM(B24:N24)</f>
        <v/>
      </c>
    </row>
    <row r="25">
      <c r="A25" s="69" t="inlineStr">
        <is>
          <t>Life Insurance</t>
        </is>
      </c>
      <c r="B25" s="69">
        <f>SUMPRODUCT(SUMIFS('For Tally'!C:C, 'For Tally'!H:H, $A25, 'For Tally'!A:A, "&gt;=2023-04-01", 'For Tally'!A:A, "&lt;=2023-04-30", 'For Tally'!L:L, $B$5:$F$5))</f>
        <v/>
      </c>
      <c r="C25" s="69">
        <f>SUMPRODUCT(SUMIFS('For Tally'!C:C, 'For Tally'!H:H, $A25, 'For Tally'!A:A, "&gt;=2023-05-01", 'For Tally'!A:A, "&lt;=2023-05-31", 'For Tally'!L:L, $B$5:$F$5))</f>
        <v/>
      </c>
      <c r="D25" s="69">
        <f>SUMPRODUCT(SUMIFS('For Tally'!C:C, 'For Tally'!H:H, $A25, 'For Tally'!A:A, "&gt;=2023-06-01", 'For Tally'!A:A, "&lt;=2023-06-30", 'For Tally'!L:L, $B$5:$F$5))</f>
        <v/>
      </c>
      <c r="E25" s="69">
        <f>SUMPRODUCT(SUMIFS('For Tally'!C:C, 'For Tally'!H:H, $A25, 'For Tally'!A:A, "&gt;=2023-07-01", 'For Tally'!A:A, "&lt;=2023-07-31", 'For Tally'!L:L, $B$5:$F$5))</f>
        <v/>
      </c>
      <c r="F25" s="69">
        <f>SUMPRODUCT(SUMIFS('For Tally'!C:C, 'For Tally'!H:H, $A25, 'For Tally'!A:A, "&gt;=2023-08-01", 'For Tally'!A:A, "&lt;=2023-08-31", 'For Tally'!L:L, $B$5:$F$5))</f>
        <v/>
      </c>
      <c r="G25" s="69">
        <f>SUMPRODUCT(SUMIFS('For Tally'!C:C, 'For Tally'!H:H, $A25, 'For Tally'!A:A, "&gt;=2023-09-01", 'For Tally'!A:A, "&lt;=2023-09-30", 'For Tally'!L:L, $B$5:$F$5))</f>
        <v/>
      </c>
      <c r="H25" s="69">
        <f>SUMPRODUCT(SUMIFS('For Tally'!C:C, 'For Tally'!H:H, $A25, 'For Tally'!A:A, "&gt;=2023-10-01", 'For Tally'!A:A, "&lt;=2023-10-31", 'For Tally'!L:L, $B$5:$F$5))</f>
        <v/>
      </c>
      <c r="I25" s="69">
        <f>SUMPRODUCT(SUMIFS('For Tally'!C:C, 'For Tally'!H:H, $A25, 'For Tally'!A:A, "&gt;=2023-11-01", 'For Tally'!A:A, "&lt;=2023-11-30", 'For Tally'!L:L, $B$5:$F$5))</f>
        <v/>
      </c>
      <c r="J25" s="69">
        <f>SUMPRODUCT(SUMIFS('For Tally'!C:C, 'For Tally'!H:H, $A25, 'For Tally'!A:A, "&gt;=2023-12-01", 'For Tally'!A:A, "&lt;=2023-12-31", 'For Tally'!L:L, $B$5:$F$5))</f>
        <v/>
      </c>
      <c r="K25" s="69">
        <f>SUMPRODUCT(SUMIFS('For Tally'!C:C, 'For Tally'!H:H, $A25, 'For Tally'!A:A, "&gt;=2024-01-01", 'For Tally'!A:A, "&lt;=2024-01-31", 'For Tally'!L:L, $B$5:$F$5))</f>
        <v/>
      </c>
      <c r="L25" s="69">
        <f>SUMPRODUCT(SUMIFS('For Tally'!C:C, 'For Tally'!H:H, $A25, 'For Tally'!A:A, "&gt;=2024-02-01", 'For Tally'!A:A, "&lt;=2024-02-29", 'For Tally'!L:L, $B$5:$F$5))</f>
        <v/>
      </c>
      <c r="M25" s="69">
        <f>SUMPRODUCT(SUMIFS('For Tally'!C:C, 'For Tally'!H:H, $A25, 'For Tally'!A:A, "&gt;=2024-03-01", 'For Tally'!A:A, "&lt;=2024-03-31", 'For Tally'!L:L, $B$5:$F$5))</f>
        <v/>
      </c>
      <c r="N25" s="69">
        <f>SUMPRODUCT(SUMIFS('For Tally'!C:C, 'For Tally'!H:H, $A25, 'For Tally'!A:A, "&gt;=2024-04-01", 'For Tally'!A:A, "&lt;=2024-04-30", 'For Tally'!L:L, $B$5:$F$5))</f>
        <v/>
      </c>
      <c r="O25" s="69">
        <f>SUM(B25:N25)</f>
        <v/>
      </c>
    </row>
    <row r="26">
      <c r="A26" s="69" t="inlineStr">
        <is>
          <t>Personal</t>
        </is>
      </c>
      <c r="B26" s="69">
        <f>SUMPRODUCT(SUMIFS('For Tally'!C:C, 'For Tally'!H:H, $A26, 'For Tally'!A:A, "&gt;=2023-04-01", 'For Tally'!A:A, "&lt;=2023-04-30", 'For Tally'!L:L, $B$5:$F$5))</f>
        <v/>
      </c>
      <c r="C26" s="69">
        <f>SUMPRODUCT(SUMIFS('For Tally'!C:C, 'For Tally'!H:H, $A26, 'For Tally'!A:A, "&gt;=2023-05-01", 'For Tally'!A:A, "&lt;=2023-05-31", 'For Tally'!L:L, $B$5:$F$5))</f>
        <v/>
      </c>
      <c r="D26" s="69">
        <f>SUMPRODUCT(SUMIFS('For Tally'!C:C, 'For Tally'!H:H, $A26, 'For Tally'!A:A, "&gt;=2023-06-01", 'For Tally'!A:A, "&lt;=2023-06-30", 'For Tally'!L:L, $B$5:$F$5))</f>
        <v/>
      </c>
      <c r="E26" s="69">
        <f>SUMPRODUCT(SUMIFS('For Tally'!C:C, 'For Tally'!H:H, $A26, 'For Tally'!A:A, "&gt;=2023-07-01", 'For Tally'!A:A, "&lt;=2023-07-31", 'For Tally'!L:L, $B$5:$F$5))</f>
        <v/>
      </c>
      <c r="F26" s="69">
        <f>SUMPRODUCT(SUMIFS('For Tally'!C:C, 'For Tally'!H:H, $A26, 'For Tally'!A:A, "&gt;=2023-08-01", 'For Tally'!A:A, "&lt;=2023-08-31", 'For Tally'!L:L, $B$5:$F$5))</f>
        <v/>
      </c>
      <c r="G26" s="69">
        <f>SUMPRODUCT(SUMIFS('For Tally'!C:C, 'For Tally'!H:H, $A26, 'For Tally'!A:A, "&gt;=2023-09-01", 'For Tally'!A:A, "&lt;=2023-09-30", 'For Tally'!L:L, $B$5:$F$5))</f>
        <v/>
      </c>
      <c r="H26" s="69">
        <f>SUMPRODUCT(SUMIFS('For Tally'!C:C, 'For Tally'!H:H, $A26, 'For Tally'!A:A, "&gt;=2023-10-01", 'For Tally'!A:A, "&lt;=2023-10-31", 'For Tally'!L:L, $B$5:$F$5))</f>
        <v/>
      </c>
      <c r="I26" s="69">
        <f>SUMPRODUCT(SUMIFS('For Tally'!C:C, 'For Tally'!H:H, $A26, 'For Tally'!A:A, "&gt;=2023-11-01", 'For Tally'!A:A, "&lt;=2023-11-30", 'For Tally'!L:L, $B$5:$F$5))</f>
        <v/>
      </c>
      <c r="J26" s="69">
        <f>SUMPRODUCT(SUMIFS('For Tally'!C:C, 'For Tally'!H:H, $A26, 'For Tally'!A:A, "&gt;=2023-12-01", 'For Tally'!A:A, "&lt;=2023-12-31", 'For Tally'!L:L, $B$5:$F$5))</f>
        <v/>
      </c>
      <c r="K26" s="69">
        <f>SUMPRODUCT(SUMIFS('For Tally'!C:C, 'For Tally'!H:H, $A26, 'For Tally'!A:A, "&gt;=2024-01-01", 'For Tally'!A:A, "&lt;=2024-01-31", 'For Tally'!L:L, $B$5:$F$5))</f>
        <v/>
      </c>
      <c r="L26" s="69">
        <f>SUMPRODUCT(SUMIFS('For Tally'!C:C, 'For Tally'!H:H, $A26, 'For Tally'!A:A, "&gt;=2024-02-01", 'For Tally'!A:A, "&lt;=2024-02-29", 'For Tally'!L:L, $B$5:$F$5))</f>
        <v/>
      </c>
      <c r="M26" s="69">
        <f>SUMPRODUCT(SUMIFS('For Tally'!C:C, 'For Tally'!H:H, $A26, 'For Tally'!A:A, "&gt;=2024-03-01", 'For Tally'!A:A, "&lt;=2024-03-31", 'For Tally'!L:L, $B$5:$F$5))</f>
        <v/>
      </c>
      <c r="N26" s="69">
        <f>SUMPRODUCT(SUMIFS('For Tally'!C:C, 'For Tally'!H:H, $A26, 'For Tally'!A:A, "&gt;=2024-04-01", 'For Tally'!A:A, "&lt;=2024-04-30", 'For Tally'!L:L, $B$5:$F$5))</f>
        <v/>
      </c>
      <c r="O26" s="69">
        <f>SUM(B26:N26)</f>
        <v/>
      </c>
    </row>
    <row r="27">
      <c r="A27" s="59" t="inlineStr">
        <is>
          <t>SIP</t>
        </is>
      </c>
      <c r="B27" s="59">
        <f>SUMPRODUCT(SUMIFS('For Tally'!C:C, 'For Tally'!H:H, $A27, 'For Tally'!A:A, "&gt;=2023-04-01", 'For Tally'!A:A, "&lt;=2023-04-30", 'For Tally'!L:L, $B$5:$F$5))</f>
        <v/>
      </c>
      <c r="C27" s="59">
        <f>SUMPRODUCT(SUMIFS('For Tally'!C:C, 'For Tally'!H:H, $A27, 'For Tally'!A:A, "&gt;=2023-05-01", 'For Tally'!A:A, "&lt;=2023-05-31", 'For Tally'!L:L, $B$5:$F$5))</f>
        <v/>
      </c>
      <c r="D27" s="59">
        <f>SUMPRODUCT(SUMIFS('For Tally'!C:C, 'For Tally'!H:H, $A27, 'For Tally'!A:A, "&gt;=2023-06-01", 'For Tally'!A:A, "&lt;=2023-06-30", 'For Tally'!L:L, $B$5:$F$5))</f>
        <v/>
      </c>
      <c r="E27" s="59">
        <f>SUMPRODUCT(SUMIFS('For Tally'!C:C, 'For Tally'!H:H, $A27, 'For Tally'!A:A, "&gt;=2023-07-01", 'For Tally'!A:A, "&lt;=2023-07-31", 'For Tally'!L:L, $B$5:$F$5))</f>
        <v/>
      </c>
      <c r="F27" s="59">
        <f>SUMPRODUCT(SUMIFS('For Tally'!C:C, 'For Tally'!H:H, $A27, 'For Tally'!A:A, "&gt;=2023-08-01", 'For Tally'!A:A, "&lt;=2023-08-31", 'For Tally'!L:L, $B$5:$F$5))</f>
        <v/>
      </c>
      <c r="G27" s="59">
        <f>SUMPRODUCT(SUMIFS('For Tally'!C:C, 'For Tally'!H:H, $A27, 'For Tally'!A:A, "&gt;=2023-09-01", 'For Tally'!A:A, "&lt;=2023-09-30", 'For Tally'!L:L, $B$5:$F$5))</f>
        <v/>
      </c>
      <c r="H27" s="59">
        <f>SUMPRODUCT(SUMIFS('For Tally'!C:C, 'For Tally'!H:H, $A27, 'For Tally'!A:A, "&gt;=2023-10-01", 'For Tally'!A:A, "&lt;=2023-10-31", 'For Tally'!L:L, $B$5:$F$5))</f>
        <v/>
      </c>
      <c r="I27" s="59">
        <f>SUMPRODUCT(SUMIFS('For Tally'!C:C, 'For Tally'!H:H, $A27, 'For Tally'!A:A, "&gt;=2023-11-01", 'For Tally'!A:A, "&lt;=2023-11-30", 'For Tally'!L:L, $B$5:$F$5))</f>
        <v/>
      </c>
      <c r="J27" s="59">
        <f>SUMPRODUCT(SUMIFS('For Tally'!C:C, 'For Tally'!H:H, $A27, 'For Tally'!A:A, "&gt;=2023-12-01", 'For Tally'!A:A, "&lt;=2023-12-31", 'For Tally'!L:L, $B$5:$F$5))</f>
        <v/>
      </c>
      <c r="K27" s="59">
        <f>SUMPRODUCT(SUMIFS('For Tally'!C:C, 'For Tally'!H:H, $A27, 'For Tally'!A:A, "&gt;=2024-01-01", 'For Tally'!A:A, "&lt;=2024-01-31", 'For Tally'!L:L, $B$5:$F$5))</f>
        <v/>
      </c>
      <c r="L27" s="59">
        <f>SUMPRODUCT(SUMIFS('For Tally'!C:C, 'For Tally'!H:H, $A27, 'For Tally'!A:A, "&gt;=2024-02-01", 'For Tally'!A:A, "&lt;=2024-02-29", 'For Tally'!L:L, $B$5:$F$5))</f>
        <v/>
      </c>
      <c r="M27" s="59">
        <f>SUMPRODUCT(SUMIFS('For Tally'!C:C, 'For Tally'!H:H, $A27, 'For Tally'!A:A, "&gt;=2024-03-01", 'For Tally'!A:A, "&lt;=2024-03-31", 'For Tally'!L:L, $B$5:$F$5))</f>
        <v/>
      </c>
      <c r="N27" s="59">
        <f>SUMPRODUCT(SUMIFS('For Tally'!C:C, 'For Tally'!H:H, $A27, 'For Tally'!A:A, "&gt;=2024-04-01", 'For Tally'!A:A, "&lt;=2024-04-30", 'For Tally'!L:L, $B$5:$F$5))</f>
        <v/>
      </c>
      <c r="O27" s="59">
        <f>SUM(B27:N27)</f>
        <v/>
      </c>
    </row>
    <row r="28">
      <c r="A28" s="69" t="inlineStr">
        <is>
          <t>Shopping</t>
        </is>
      </c>
      <c r="B28" s="69">
        <f>SUMPRODUCT(SUMIFS('For Tally'!C:C, 'For Tally'!H:H, $A28, 'For Tally'!A:A, "&gt;=2023-04-01", 'For Tally'!A:A, "&lt;=2023-04-30", 'For Tally'!L:L, $B$5:$F$5))</f>
        <v/>
      </c>
      <c r="C28" s="69">
        <f>SUMPRODUCT(SUMIFS('For Tally'!C:C, 'For Tally'!H:H, $A28, 'For Tally'!A:A, "&gt;=2023-05-01", 'For Tally'!A:A, "&lt;=2023-05-31", 'For Tally'!L:L, $B$5:$F$5))</f>
        <v/>
      </c>
      <c r="D28" s="69">
        <f>SUMPRODUCT(SUMIFS('For Tally'!C:C, 'For Tally'!H:H, $A28, 'For Tally'!A:A, "&gt;=2023-06-01", 'For Tally'!A:A, "&lt;=2023-06-30", 'For Tally'!L:L, $B$5:$F$5))</f>
        <v/>
      </c>
      <c r="E28" s="69">
        <f>SUMPRODUCT(SUMIFS('For Tally'!C:C, 'For Tally'!H:H, $A28, 'For Tally'!A:A, "&gt;=2023-07-01", 'For Tally'!A:A, "&lt;=2023-07-31", 'For Tally'!L:L, $B$5:$F$5))</f>
        <v/>
      </c>
      <c r="F28" s="69">
        <f>SUMPRODUCT(SUMIFS('For Tally'!C:C, 'For Tally'!H:H, $A28, 'For Tally'!A:A, "&gt;=2023-08-01", 'For Tally'!A:A, "&lt;=2023-08-31", 'For Tally'!L:L, $B$5:$F$5))</f>
        <v/>
      </c>
      <c r="G28" s="69">
        <f>SUMPRODUCT(SUMIFS('For Tally'!C:C, 'For Tally'!H:H, $A28, 'For Tally'!A:A, "&gt;=2023-09-01", 'For Tally'!A:A, "&lt;=2023-09-30", 'For Tally'!L:L, $B$5:$F$5))</f>
        <v/>
      </c>
      <c r="H28" s="69">
        <f>SUMPRODUCT(SUMIFS('For Tally'!C:C, 'For Tally'!H:H, $A28, 'For Tally'!A:A, "&gt;=2023-10-01", 'For Tally'!A:A, "&lt;=2023-10-31", 'For Tally'!L:L, $B$5:$F$5))</f>
        <v/>
      </c>
      <c r="I28" s="69">
        <f>SUMPRODUCT(SUMIFS('For Tally'!C:C, 'For Tally'!H:H, $A28, 'For Tally'!A:A, "&gt;=2023-11-01", 'For Tally'!A:A, "&lt;=2023-11-30", 'For Tally'!L:L, $B$5:$F$5))</f>
        <v/>
      </c>
      <c r="J28" s="69">
        <f>SUMPRODUCT(SUMIFS('For Tally'!C:C, 'For Tally'!H:H, $A28, 'For Tally'!A:A, "&gt;=2023-12-01", 'For Tally'!A:A, "&lt;=2023-12-31", 'For Tally'!L:L, $B$5:$F$5))</f>
        <v/>
      </c>
      <c r="K28" s="69">
        <f>SUMPRODUCT(SUMIFS('For Tally'!C:C, 'For Tally'!H:H, $A28, 'For Tally'!A:A, "&gt;=2024-01-01", 'For Tally'!A:A, "&lt;=2024-01-31", 'For Tally'!L:L, $B$5:$F$5))</f>
        <v/>
      </c>
      <c r="L28" s="69">
        <f>SUMPRODUCT(SUMIFS('For Tally'!C:C, 'For Tally'!H:H, $A28, 'For Tally'!A:A, "&gt;=2024-02-01", 'For Tally'!A:A, "&lt;=2024-02-29", 'For Tally'!L:L, $B$5:$F$5))</f>
        <v/>
      </c>
      <c r="M28" s="69">
        <f>SUMPRODUCT(SUMIFS('For Tally'!C:C, 'For Tally'!H:H, $A28, 'For Tally'!A:A, "&gt;=2024-03-01", 'For Tally'!A:A, "&lt;=2024-03-31", 'For Tally'!L:L, $B$5:$F$5))</f>
        <v/>
      </c>
      <c r="N28" s="69">
        <f>SUMPRODUCT(SUMIFS('For Tally'!C:C, 'For Tally'!H:H, $A28, 'For Tally'!A:A, "&gt;=2024-04-01", 'For Tally'!A:A, "&lt;=2024-04-30", 'For Tally'!L:L, $B$5:$F$5))</f>
        <v/>
      </c>
      <c r="O28" s="69">
        <f>SUM(B28:N28)</f>
        <v/>
      </c>
    </row>
    <row r="29">
      <c r="A29" s="69" t="inlineStr">
        <is>
          <t>Sunita Gupta</t>
        </is>
      </c>
      <c r="B29" s="69">
        <f>SUMPRODUCT(SUMIFS('For Tally'!C:C, 'For Tally'!H:H, $A29, 'For Tally'!A:A, "&gt;=2023-04-01", 'For Tally'!A:A, "&lt;=2023-04-30", 'For Tally'!L:L, $B$5:$F$5))</f>
        <v/>
      </c>
      <c r="C29" s="69">
        <f>SUMPRODUCT(SUMIFS('For Tally'!C:C, 'For Tally'!H:H, $A29, 'For Tally'!A:A, "&gt;=2023-05-01", 'For Tally'!A:A, "&lt;=2023-05-31", 'For Tally'!L:L, $B$5:$F$5))</f>
        <v/>
      </c>
      <c r="D29" s="69">
        <f>SUMPRODUCT(SUMIFS('For Tally'!C:C, 'For Tally'!H:H, $A29, 'For Tally'!A:A, "&gt;=2023-06-01", 'For Tally'!A:A, "&lt;=2023-06-30", 'For Tally'!L:L, $B$5:$F$5))</f>
        <v/>
      </c>
      <c r="E29" s="69">
        <f>SUMPRODUCT(SUMIFS('For Tally'!C:C, 'For Tally'!H:H, $A29, 'For Tally'!A:A, "&gt;=2023-07-01", 'For Tally'!A:A, "&lt;=2023-07-31", 'For Tally'!L:L, $B$5:$F$5))</f>
        <v/>
      </c>
      <c r="F29" s="69">
        <f>SUMPRODUCT(SUMIFS('For Tally'!C:C, 'For Tally'!H:H, $A29, 'For Tally'!A:A, "&gt;=2023-08-01", 'For Tally'!A:A, "&lt;=2023-08-31", 'For Tally'!L:L, $B$5:$F$5))</f>
        <v/>
      </c>
      <c r="G29" s="69">
        <f>SUMPRODUCT(SUMIFS('For Tally'!C:C, 'For Tally'!H:H, $A29, 'For Tally'!A:A, "&gt;=2023-09-01", 'For Tally'!A:A, "&lt;=2023-09-30", 'For Tally'!L:L, $B$5:$F$5))</f>
        <v/>
      </c>
      <c r="H29" s="69">
        <f>SUMPRODUCT(SUMIFS('For Tally'!C:C, 'For Tally'!H:H, $A29, 'For Tally'!A:A, "&gt;=2023-10-01", 'For Tally'!A:A, "&lt;=2023-10-31", 'For Tally'!L:L, $B$5:$F$5))</f>
        <v/>
      </c>
      <c r="I29" s="69">
        <f>SUMPRODUCT(SUMIFS('For Tally'!C:C, 'For Tally'!H:H, $A29, 'For Tally'!A:A, "&gt;=2023-11-01", 'For Tally'!A:A, "&lt;=2023-11-30", 'For Tally'!L:L, $B$5:$F$5))</f>
        <v/>
      </c>
      <c r="J29" s="69">
        <f>SUMPRODUCT(SUMIFS('For Tally'!C:C, 'For Tally'!H:H, $A29, 'For Tally'!A:A, "&gt;=2023-12-01", 'For Tally'!A:A, "&lt;=2023-12-31", 'For Tally'!L:L, $B$5:$F$5))</f>
        <v/>
      </c>
      <c r="K29" s="69">
        <f>SUMPRODUCT(SUMIFS('For Tally'!C:C, 'For Tally'!H:H, $A29, 'For Tally'!A:A, "&gt;=2024-01-01", 'For Tally'!A:A, "&lt;=2024-01-31", 'For Tally'!L:L, $B$5:$F$5))</f>
        <v/>
      </c>
      <c r="L29" s="69">
        <f>SUMPRODUCT(SUMIFS('For Tally'!C:C, 'For Tally'!H:H, $A29, 'For Tally'!A:A, "&gt;=2024-02-01", 'For Tally'!A:A, "&lt;=2024-02-29", 'For Tally'!L:L, $B$5:$F$5))</f>
        <v/>
      </c>
      <c r="M29" s="69">
        <f>SUMPRODUCT(SUMIFS('For Tally'!C:C, 'For Tally'!H:H, $A29, 'For Tally'!A:A, "&gt;=2024-03-01", 'For Tally'!A:A, "&lt;=2024-03-31", 'For Tally'!L:L, $B$5:$F$5))</f>
        <v/>
      </c>
      <c r="N29" s="69">
        <f>SUMPRODUCT(SUMIFS('For Tally'!C:C, 'For Tally'!H:H, $A29, 'For Tally'!A:A, "&gt;=2024-04-01", 'For Tally'!A:A, "&lt;=2024-04-30", 'For Tally'!L:L, $B$5:$F$5))</f>
        <v/>
      </c>
      <c r="O29" s="69">
        <f>SUM(B29:N29)</f>
        <v/>
      </c>
    </row>
    <row r="30">
      <c r="A30" s="69" t="inlineStr">
        <is>
          <t>Suspense</t>
        </is>
      </c>
      <c r="B30" s="69">
        <f>SUMPRODUCT(SUMIFS('For Tally'!C:C, 'For Tally'!H:H, $A30, 'For Tally'!A:A, "&gt;=2023-04-01", 'For Tally'!A:A, "&lt;=2023-04-30", 'For Tally'!L:L, $B$5:$F$5))</f>
        <v/>
      </c>
      <c r="C30" s="69">
        <f>SUMPRODUCT(SUMIFS('For Tally'!C:C, 'For Tally'!H:H, $A30, 'For Tally'!A:A, "&gt;=2023-05-01", 'For Tally'!A:A, "&lt;=2023-05-31", 'For Tally'!L:L, $B$5:$F$5))</f>
        <v/>
      </c>
      <c r="D30" s="69">
        <f>SUMPRODUCT(SUMIFS('For Tally'!C:C, 'For Tally'!H:H, $A30, 'For Tally'!A:A, "&gt;=2023-06-01", 'For Tally'!A:A, "&lt;=2023-06-30", 'For Tally'!L:L, $B$5:$F$5))</f>
        <v/>
      </c>
      <c r="E30" s="69">
        <f>SUMPRODUCT(SUMIFS('For Tally'!C:C, 'For Tally'!H:H, $A30, 'For Tally'!A:A, "&gt;=2023-07-01", 'For Tally'!A:A, "&lt;=2023-07-31", 'For Tally'!L:L, $B$5:$F$5))</f>
        <v/>
      </c>
      <c r="F30" s="69">
        <f>SUMPRODUCT(SUMIFS('For Tally'!C:C, 'For Tally'!H:H, $A30, 'For Tally'!A:A, "&gt;=2023-08-01", 'For Tally'!A:A, "&lt;=2023-08-31", 'For Tally'!L:L, $B$5:$F$5))</f>
        <v/>
      </c>
      <c r="G30" s="69">
        <f>SUMPRODUCT(SUMIFS('For Tally'!C:C, 'For Tally'!H:H, $A30, 'For Tally'!A:A, "&gt;=2023-09-01", 'For Tally'!A:A, "&lt;=2023-09-30", 'For Tally'!L:L, $B$5:$F$5))</f>
        <v/>
      </c>
      <c r="H30" s="69">
        <f>SUMPRODUCT(SUMIFS('For Tally'!C:C, 'For Tally'!H:H, $A30, 'For Tally'!A:A, "&gt;=2023-10-01", 'For Tally'!A:A, "&lt;=2023-10-31", 'For Tally'!L:L, $B$5:$F$5))</f>
        <v/>
      </c>
      <c r="I30" s="69">
        <f>SUMPRODUCT(SUMIFS('For Tally'!C:C, 'For Tally'!H:H, $A30, 'For Tally'!A:A, "&gt;=2023-11-01", 'For Tally'!A:A, "&lt;=2023-11-30", 'For Tally'!L:L, $B$5:$F$5))</f>
        <v/>
      </c>
      <c r="J30" s="69">
        <f>SUMPRODUCT(SUMIFS('For Tally'!C:C, 'For Tally'!H:H, $A30, 'For Tally'!A:A, "&gt;=2023-12-01", 'For Tally'!A:A, "&lt;=2023-12-31", 'For Tally'!L:L, $B$5:$F$5))</f>
        <v/>
      </c>
      <c r="K30" s="69">
        <f>SUMPRODUCT(SUMIFS('For Tally'!C:C, 'For Tally'!H:H, $A30, 'For Tally'!A:A, "&gt;=2024-01-01", 'For Tally'!A:A, "&lt;=2024-01-31", 'For Tally'!L:L, $B$5:$F$5))</f>
        <v/>
      </c>
      <c r="L30" s="69">
        <f>SUMPRODUCT(SUMIFS('For Tally'!C:C, 'For Tally'!H:H, $A30, 'For Tally'!A:A, "&gt;=2024-02-01", 'For Tally'!A:A, "&lt;=2024-02-29", 'For Tally'!L:L, $B$5:$F$5))</f>
        <v/>
      </c>
      <c r="M30" s="69">
        <f>SUMPRODUCT(SUMIFS('For Tally'!C:C, 'For Tally'!H:H, $A30, 'For Tally'!A:A, "&gt;=2024-03-01", 'For Tally'!A:A, "&lt;=2024-03-31", 'For Tally'!L:L, $B$5:$F$5))</f>
        <v/>
      </c>
      <c r="N30" s="69">
        <f>SUMPRODUCT(SUMIFS('For Tally'!C:C, 'For Tally'!H:H, $A30, 'For Tally'!A:A, "&gt;=2024-04-01", 'For Tally'!A:A, "&lt;=2024-04-30", 'For Tally'!L:L, $B$5:$F$5))</f>
        <v/>
      </c>
      <c r="O30" s="69">
        <f>SUM(B30:N30)</f>
        <v/>
      </c>
    </row>
    <row r="31">
      <c r="A31" s="69" t="inlineStr">
        <is>
          <t>Transfer</t>
        </is>
      </c>
      <c r="B31" s="69">
        <f>SUMPRODUCT(SUMIFS('For Tally'!C:C, 'For Tally'!H:H, $A31, 'For Tally'!A:A, "&gt;=2023-04-01", 'For Tally'!A:A, "&lt;=2023-04-30", 'For Tally'!L:L, $B$5:$F$5))</f>
        <v/>
      </c>
      <c r="C31" s="69">
        <f>SUMPRODUCT(SUMIFS('For Tally'!C:C, 'For Tally'!H:H, $A31, 'For Tally'!A:A, "&gt;=2023-05-01", 'For Tally'!A:A, "&lt;=2023-05-31", 'For Tally'!L:L, $B$5:$F$5))</f>
        <v/>
      </c>
      <c r="D31" s="69">
        <f>SUMPRODUCT(SUMIFS('For Tally'!C:C, 'For Tally'!H:H, $A31, 'For Tally'!A:A, "&gt;=2023-06-01", 'For Tally'!A:A, "&lt;=2023-06-30", 'For Tally'!L:L, $B$5:$F$5))</f>
        <v/>
      </c>
      <c r="E31" s="69">
        <f>SUMPRODUCT(SUMIFS('For Tally'!C:C, 'For Tally'!H:H, $A31, 'For Tally'!A:A, "&gt;=2023-07-01", 'For Tally'!A:A, "&lt;=2023-07-31", 'For Tally'!L:L, $B$5:$F$5))</f>
        <v/>
      </c>
      <c r="F31" s="69">
        <f>SUMPRODUCT(SUMIFS('For Tally'!C:C, 'For Tally'!H:H, $A31, 'For Tally'!A:A, "&gt;=2023-08-01", 'For Tally'!A:A, "&lt;=2023-08-31", 'For Tally'!L:L, $B$5:$F$5))</f>
        <v/>
      </c>
      <c r="G31" s="69">
        <f>SUMPRODUCT(SUMIFS('For Tally'!C:C, 'For Tally'!H:H, $A31, 'For Tally'!A:A, "&gt;=2023-09-01", 'For Tally'!A:A, "&lt;=2023-09-30", 'For Tally'!L:L, $B$5:$F$5))</f>
        <v/>
      </c>
      <c r="H31" s="69">
        <f>SUMPRODUCT(SUMIFS('For Tally'!C:C, 'For Tally'!H:H, $A31, 'For Tally'!A:A, "&gt;=2023-10-01", 'For Tally'!A:A, "&lt;=2023-10-31", 'For Tally'!L:L, $B$5:$F$5))</f>
        <v/>
      </c>
      <c r="I31" s="69">
        <f>SUMPRODUCT(SUMIFS('For Tally'!C:C, 'For Tally'!H:H, $A31, 'For Tally'!A:A, "&gt;=2023-11-01", 'For Tally'!A:A, "&lt;=2023-11-30", 'For Tally'!L:L, $B$5:$F$5))</f>
        <v/>
      </c>
      <c r="J31" s="69">
        <f>SUMPRODUCT(SUMIFS('For Tally'!C:C, 'For Tally'!H:H, $A31, 'For Tally'!A:A, "&gt;=2023-12-01", 'For Tally'!A:A, "&lt;=2023-12-31", 'For Tally'!L:L, $B$5:$F$5))</f>
        <v/>
      </c>
      <c r="K31" s="69">
        <f>SUMPRODUCT(SUMIFS('For Tally'!C:C, 'For Tally'!H:H, $A31, 'For Tally'!A:A, "&gt;=2024-01-01", 'For Tally'!A:A, "&lt;=2024-01-31", 'For Tally'!L:L, $B$5:$F$5))</f>
        <v/>
      </c>
      <c r="L31" s="69">
        <f>SUMPRODUCT(SUMIFS('For Tally'!C:C, 'For Tally'!H:H, $A31, 'For Tally'!A:A, "&gt;=2024-02-01", 'For Tally'!A:A, "&lt;=2024-02-29", 'For Tally'!L:L, $B$5:$F$5))</f>
        <v/>
      </c>
      <c r="M31" s="69">
        <f>SUMPRODUCT(SUMIFS('For Tally'!C:C, 'For Tally'!H:H, $A31, 'For Tally'!A:A, "&gt;=2024-03-01", 'For Tally'!A:A, "&lt;=2024-03-31", 'For Tally'!L:L, $B$5:$F$5))</f>
        <v/>
      </c>
      <c r="N31" s="69">
        <f>SUMPRODUCT(SUMIFS('For Tally'!C:C, 'For Tally'!H:H, $A31, 'For Tally'!A:A, "&gt;=2024-04-01", 'For Tally'!A:A, "&lt;=2024-04-30", 'For Tally'!L:L, $B$5:$F$5))</f>
        <v/>
      </c>
      <c r="O31" s="69">
        <f>SUM(B31:N31)</f>
        <v/>
      </c>
    </row>
    <row r="32">
      <c r="A32" s="69" t="inlineStr">
        <is>
          <t>Transport</t>
        </is>
      </c>
      <c r="B32" s="69">
        <f>SUMPRODUCT(SUMIFS('For Tally'!C:C, 'For Tally'!H:H, $A32, 'For Tally'!A:A, "&gt;=2023-04-01", 'For Tally'!A:A, "&lt;=2023-04-30", 'For Tally'!L:L, $B$5:$F$5))</f>
        <v/>
      </c>
      <c r="C32" s="69">
        <f>SUMPRODUCT(SUMIFS('For Tally'!C:C, 'For Tally'!H:H, $A32, 'For Tally'!A:A, "&gt;=2023-05-01", 'For Tally'!A:A, "&lt;=2023-05-31", 'For Tally'!L:L, $B$5:$F$5))</f>
        <v/>
      </c>
      <c r="D32" s="69">
        <f>SUMPRODUCT(SUMIFS('For Tally'!C:C, 'For Tally'!H:H, $A32, 'For Tally'!A:A, "&gt;=2023-06-01", 'For Tally'!A:A, "&lt;=2023-06-30", 'For Tally'!L:L, $B$5:$F$5))</f>
        <v/>
      </c>
      <c r="E32" s="69">
        <f>SUMPRODUCT(SUMIFS('For Tally'!C:C, 'For Tally'!H:H, $A32, 'For Tally'!A:A, "&gt;=2023-07-01", 'For Tally'!A:A, "&lt;=2023-07-31", 'For Tally'!L:L, $B$5:$F$5))</f>
        <v/>
      </c>
      <c r="F32" s="69">
        <f>SUMPRODUCT(SUMIFS('For Tally'!C:C, 'For Tally'!H:H, $A32, 'For Tally'!A:A, "&gt;=2023-08-01", 'For Tally'!A:A, "&lt;=2023-08-31", 'For Tally'!L:L, $B$5:$F$5))</f>
        <v/>
      </c>
      <c r="G32" s="69">
        <f>SUMPRODUCT(SUMIFS('For Tally'!C:C, 'For Tally'!H:H, $A32, 'For Tally'!A:A, "&gt;=2023-09-01", 'For Tally'!A:A, "&lt;=2023-09-30", 'For Tally'!L:L, $B$5:$F$5))</f>
        <v/>
      </c>
      <c r="H32" s="69">
        <f>SUMPRODUCT(SUMIFS('For Tally'!C:C, 'For Tally'!H:H, $A32, 'For Tally'!A:A, "&gt;=2023-10-01", 'For Tally'!A:A, "&lt;=2023-10-31", 'For Tally'!L:L, $B$5:$F$5))</f>
        <v/>
      </c>
      <c r="I32" s="69">
        <f>SUMPRODUCT(SUMIFS('For Tally'!C:C, 'For Tally'!H:H, $A32, 'For Tally'!A:A, "&gt;=2023-11-01", 'For Tally'!A:A, "&lt;=2023-11-30", 'For Tally'!L:L, $B$5:$F$5))</f>
        <v/>
      </c>
      <c r="J32" s="69">
        <f>SUMPRODUCT(SUMIFS('For Tally'!C:C, 'For Tally'!H:H, $A32, 'For Tally'!A:A, "&gt;=2023-12-01", 'For Tally'!A:A, "&lt;=2023-12-31", 'For Tally'!L:L, $B$5:$F$5))</f>
        <v/>
      </c>
      <c r="K32" s="69">
        <f>SUMPRODUCT(SUMIFS('For Tally'!C:C, 'For Tally'!H:H, $A32, 'For Tally'!A:A, "&gt;=2024-01-01", 'For Tally'!A:A, "&lt;=2024-01-31", 'For Tally'!L:L, $B$5:$F$5))</f>
        <v/>
      </c>
      <c r="L32" s="69">
        <f>SUMPRODUCT(SUMIFS('For Tally'!C:C, 'For Tally'!H:H, $A32, 'For Tally'!A:A, "&gt;=2024-02-01", 'For Tally'!A:A, "&lt;=2024-02-29", 'For Tally'!L:L, $B$5:$F$5))</f>
        <v/>
      </c>
      <c r="M32" s="69">
        <f>SUMPRODUCT(SUMIFS('For Tally'!C:C, 'For Tally'!H:H, $A32, 'For Tally'!A:A, "&gt;=2024-03-01", 'For Tally'!A:A, "&lt;=2024-03-31", 'For Tally'!L:L, $B$5:$F$5))</f>
        <v/>
      </c>
      <c r="N32" s="69">
        <f>SUMPRODUCT(SUMIFS('For Tally'!C:C, 'For Tally'!H:H, $A32, 'For Tally'!A:A, "&gt;=2024-04-01", 'For Tally'!A:A, "&lt;=2024-04-30", 'For Tally'!L:L, $B$5:$F$5))</f>
        <v/>
      </c>
      <c r="O32" s="69">
        <f>SUM(B32:N32)</f>
        <v/>
      </c>
    </row>
    <row r="33">
      <c r="A33" s="69" t="inlineStr">
        <is>
          <t>Travel</t>
        </is>
      </c>
      <c r="B33" s="69">
        <f>SUMPRODUCT(SUMIFS('For Tally'!C:C, 'For Tally'!H:H, $A33, 'For Tally'!A:A, "&gt;=2023-04-01", 'For Tally'!A:A, "&lt;=2023-04-30", 'For Tally'!L:L, $B$5:$F$5))</f>
        <v/>
      </c>
      <c r="C33" s="69">
        <f>SUMPRODUCT(SUMIFS('For Tally'!C:C, 'For Tally'!H:H, $A33, 'For Tally'!A:A, "&gt;=2023-05-01", 'For Tally'!A:A, "&lt;=2023-05-31", 'For Tally'!L:L, $B$5:$F$5))</f>
        <v/>
      </c>
      <c r="D33" s="69">
        <f>SUMPRODUCT(SUMIFS('For Tally'!C:C, 'For Tally'!H:H, $A33, 'For Tally'!A:A, "&gt;=2023-06-01", 'For Tally'!A:A, "&lt;=2023-06-30", 'For Tally'!L:L, $B$5:$F$5))</f>
        <v/>
      </c>
      <c r="E33" s="69">
        <f>SUMPRODUCT(SUMIFS('For Tally'!C:C, 'For Tally'!H:H, $A33, 'For Tally'!A:A, "&gt;=2023-07-01", 'For Tally'!A:A, "&lt;=2023-07-31", 'For Tally'!L:L, $B$5:$F$5))</f>
        <v/>
      </c>
      <c r="F33" s="69">
        <f>SUMPRODUCT(SUMIFS('For Tally'!C:C, 'For Tally'!H:H, $A33, 'For Tally'!A:A, "&gt;=2023-08-01", 'For Tally'!A:A, "&lt;=2023-08-31", 'For Tally'!L:L, $B$5:$F$5))</f>
        <v/>
      </c>
      <c r="G33" s="69">
        <f>SUMPRODUCT(SUMIFS('For Tally'!C:C, 'For Tally'!H:H, $A33, 'For Tally'!A:A, "&gt;=2023-09-01", 'For Tally'!A:A, "&lt;=2023-09-30", 'For Tally'!L:L, $B$5:$F$5))</f>
        <v/>
      </c>
      <c r="H33" s="69">
        <f>SUMPRODUCT(SUMIFS('For Tally'!C:C, 'For Tally'!H:H, $A33, 'For Tally'!A:A, "&gt;=2023-10-01", 'For Tally'!A:A, "&lt;=2023-10-31", 'For Tally'!L:L, $B$5:$F$5))</f>
        <v/>
      </c>
      <c r="I33" s="69">
        <f>SUMPRODUCT(SUMIFS('For Tally'!C:C, 'For Tally'!H:H, $A33, 'For Tally'!A:A, "&gt;=2023-11-01", 'For Tally'!A:A, "&lt;=2023-11-30", 'For Tally'!L:L, $B$5:$F$5))</f>
        <v/>
      </c>
      <c r="J33" s="69">
        <f>SUMPRODUCT(SUMIFS('For Tally'!C:C, 'For Tally'!H:H, $A33, 'For Tally'!A:A, "&gt;=2023-12-01", 'For Tally'!A:A, "&lt;=2023-12-31", 'For Tally'!L:L, $B$5:$F$5))</f>
        <v/>
      </c>
      <c r="K33" s="69">
        <f>SUMPRODUCT(SUMIFS('For Tally'!C:C, 'For Tally'!H:H, $A33, 'For Tally'!A:A, "&gt;=2024-01-01", 'For Tally'!A:A, "&lt;=2024-01-31", 'For Tally'!L:L, $B$5:$F$5))</f>
        <v/>
      </c>
      <c r="L33" s="69">
        <f>SUMPRODUCT(SUMIFS('For Tally'!C:C, 'For Tally'!H:H, $A33, 'For Tally'!A:A, "&gt;=2024-02-01", 'For Tally'!A:A, "&lt;=2024-02-29", 'For Tally'!L:L, $B$5:$F$5))</f>
        <v/>
      </c>
      <c r="M33" s="69">
        <f>SUMPRODUCT(SUMIFS('For Tally'!C:C, 'For Tally'!H:H, $A33, 'For Tally'!A:A, "&gt;=2024-03-01", 'For Tally'!A:A, "&lt;=2024-03-31", 'For Tally'!L:L, $B$5:$F$5))</f>
        <v/>
      </c>
      <c r="N33" s="69">
        <f>SUMPRODUCT(SUMIFS('For Tally'!C:C, 'For Tally'!H:H, $A33, 'For Tally'!A:A, "&gt;=2024-04-01", 'For Tally'!A:A, "&lt;=2024-04-30", 'For Tally'!L:L, $B$5:$F$5))</f>
        <v/>
      </c>
      <c r="O33" s="69">
        <f>SUM(B33:N33)</f>
        <v/>
      </c>
    </row>
    <row r="34">
      <c r="A34" s="69" t="inlineStr">
        <is>
          <t>Zerodha Broking Limited</t>
        </is>
      </c>
      <c r="B34" s="69">
        <f>SUMPRODUCT(SUMIFS('For Tally'!C:C, 'For Tally'!H:H, $A34, 'For Tally'!A:A, "&gt;=2023-04-01", 'For Tally'!A:A, "&lt;=2023-04-30", 'For Tally'!L:L, $B$5:$F$5))</f>
        <v/>
      </c>
      <c r="C34" s="69">
        <f>SUMPRODUCT(SUMIFS('For Tally'!C:C, 'For Tally'!H:H, $A34, 'For Tally'!A:A, "&gt;=2023-05-01", 'For Tally'!A:A, "&lt;=2023-05-31", 'For Tally'!L:L, $B$5:$F$5))</f>
        <v/>
      </c>
      <c r="D34" s="69">
        <f>SUMPRODUCT(SUMIFS('For Tally'!C:C, 'For Tally'!H:H, $A34, 'For Tally'!A:A, "&gt;=2023-06-01", 'For Tally'!A:A, "&lt;=2023-06-30", 'For Tally'!L:L, $B$5:$F$5))</f>
        <v/>
      </c>
      <c r="E34" s="69">
        <f>SUMPRODUCT(SUMIFS('For Tally'!C:C, 'For Tally'!H:H, $A34, 'For Tally'!A:A, "&gt;=2023-07-01", 'For Tally'!A:A, "&lt;=2023-07-31", 'For Tally'!L:L, $B$5:$F$5))</f>
        <v/>
      </c>
      <c r="F34" s="69">
        <f>SUMPRODUCT(SUMIFS('For Tally'!C:C, 'For Tally'!H:H, $A34, 'For Tally'!A:A, "&gt;=2023-08-01", 'For Tally'!A:A, "&lt;=2023-08-31", 'For Tally'!L:L, $B$5:$F$5))</f>
        <v/>
      </c>
      <c r="G34" s="69">
        <f>SUMPRODUCT(SUMIFS('For Tally'!C:C, 'For Tally'!H:H, $A34, 'For Tally'!A:A, "&gt;=2023-09-01", 'For Tally'!A:A, "&lt;=2023-09-30", 'For Tally'!L:L, $B$5:$F$5))</f>
        <v/>
      </c>
      <c r="H34" s="69">
        <f>SUMPRODUCT(SUMIFS('For Tally'!C:C, 'For Tally'!H:H, $A34, 'For Tally'!A:A, "&gt;=2023-10-01", 'For Tally'!A:A, "&lt;=2023-10-31", 'For Tally'!L:L, $B$5:$F$5))</f>
        <v/>
      </c>
      <c r="I34" s="69">
        <f>SUMPRODUCT(SUMIFS('For Tally'!C:C, 'For Tally'!H:H, $A34, 'For Tally'!A:A, "&gt;=2023-11-01", 'For Tally'!A:A, "&lt;=2023-11-30", 'For Tally'!L:L, $B$5:$F$5))</f>
        <v/>
      </c>
      <c r="J34" s="69">
        <f>SUMPRODUCT(SUMIFS('For Tally'!C:C, 'For Tally'!H:H, $A34, 'For Tally'!A:A, "&gt;=2023-12-01", 'For Tally'!A:A, "&lt;=2023-12-31", 'For Tally'!L:L, $B$5:$F$5))</f>
        <v/>
      </c>
      <c r="K34" s="69">
        <f>SUMPRODUCT(SUMIFS('For Tally'!C:C, 'For Tally'!H:H, $A34, 'For Tally'!A:A, "&gt;=2024-01-01", 'For Tally'!A:A, "&lt;=2024-01-31", 'For Tally'!L:L, $B$5:$F$5))</f>
        <v/>
      </c>
      <c r="L34" s="69">
        <f>SUMPRODUCT(SUMIFS('For Tally'!C:C, 'For Tally'!H:H, $A34, 'For Tally'!A:A, "&gt;=2024-02-01", 'For Tally'!A:A, "&lt;=2024-02-29", 'For Tally'!L:L, $B$5:$F$5))</f>
        <v/>
      </c>
      <c r="M34" s="69">
        <f>SUMPRODUCT(SUMIFS('For Tally'!C:C, 'For Tally'!H:H, $A34, 'For Tally'!A:A, "&gt;=2024-03-01", 'For Tally'!A:A, "&lt;=2024-03-31", 'For Tally'!L:L, $B$5:$F$5))</f>
        <v/>
      </c>
      <c r="N34" s="69">
        <f>SUMPRODUCT(SUMIFS('For Tally'!C:C, 'For Tally'!H:H, $A34, 'For Tally'!A:A, "&gt;=2024-04-01", 'For Tally'!A:A, "&lt;=2024-04-30", 'For Tally'!L:L, $B$5:$F$5))</f>
        <v/>
      </c>
      <c r="O34" s="69">
        <f>SUM(B34:N34)</f>
        <v/>
      </c>
    </row>
    <row r="35">
      <c r="A35" s="128" t="inlineStr">
        <is>
          <t>MONTHLY TOTAL</t>
        </is>
      </c>
      <c r="B35" s="128">
        <f>SUM(B8:B34)</f>
        <v/>
      </c>
      <c r="C35" s="128">
        <f>SUM(C8:C34)</f>
        <v/>
      </c>
      <c r="D35" s="128">
        <f>SUM(D8:D34)</f>
        <v/>
      </c>
      <c r="E35" s="128">
        <f>SUM(E8:E34)</f>
        <v/>
      </c>
      <c r="F35" s="128">
        <f>SUM(F8:F34)</f>
        <v/>
      </c>
      <c r="G35" s="128">
        <f>SUM(G8:G34)</f>
        <v/>
      </c>
      <c r="H35" s="128">
        <f>SUM(H8:H34)</f>
        <v/>
      </c>
      <c r="I35" s="128">
        <f>SUM(I8:I34)</f>
        <v/>
      </c>
      <c r="J35" s="128">
        <f>SUM(J8:J34)</f>
        <v/>
      </c>
      <c r="K35" s="128">
        <f>SUM(K8:K34)</f>
        <v/>
      </c>
      <c r="L35" s="128">
        <f>SUM(L8:L34)</f>
        <v/>
      </c>
      <c r="M35" s="128">
        <f>SUM(M8:M34)</f>
        <v/>
      </c>
      <c r="N35" s="128">
        <f>SUM(N8:N34)</f>
        <v/>
      </c>
      <c r="O35" s="128">
        <f>SUM(O8:O34)</f>
        <v/>
      </c>
    </row>
    <row r="37">
      <c r="A37" s="129" t="inlineStr">
        <is>
          <t>RECEIPTS / CREDITS</t>
        </is>
      </c>
      <c r="B37" s="129" t="inlineStr">
        <is>
          <t>Apr-2023</t>
        </is>
      </c>
      <c r="C37" s="129" t="inlineStr">
        <is>
          <t>May-2023</t>
        </is>
      </c>
      <c r="D37" s="129" t="inlineStr">
        <is>
          <t>Jun-2023</t>
        </is>
      </c>
      <c r="E37" s="129" t="inlineStr">
        <is>
          <t>Jul-2023</t>
        </is>
      </c>
      <c r="F37" s="129" t="inlineStr">
        <is>
          <t>Aug-2023</t>
        </is>
      </c>
      <c r="G37" s="129" t="inlineStr">
        <is>
          <t>Sep-2023</t>
        </is>
      </c>
      <c r="H37" s="129" t="inlineStr">
        <is>
          <t>Oct-2023</t>
        </is>
      </c>
      <c r="I37" s="129" t="inlineStr">
        <is>
          <t>Nov-2023</t>
        </is>
      </c>
      <c r="J37" s="129" t="inlineStr">
        <is>
          <t>Dec-2023</t>
        </is>
      </c>
      <c r="K37" s="129" t="inlineStr">
        <is>
          <t>Jan-2024</t>
        </is>
      </c>
      <c r="L37" s="129" t="inlineStr">
        <is>
          <t>Feb-2024</t>
        </is>
      </c>
      <c r="M37" s="129" t="inlineStr">
        <is>
          <t>Mar-2024</t>
        </is>
      </c>
      <c r="N37" s="129" t="inlineStr">
        <is>
          <t>Apr-2024</t>
        </is>
      </c>
      <c r="O37" s="129" t="inlineStr">
        <is>
          <t>TOTAL</t>
        </is>
      </c>
    </row>
    <row r="38">
      <c r="A38" s="69" t="inlineStr">
        <is>
          <t>AXIS</t>
        </is>
      </c>
      <c r="B38" s="69">
        <f>SUMPRODUCT(SUMIFS('For Tally'!D:D, 'For Tally'!H:H, $A38, 'For Tally'!A:A, "&gt;=2023-04-01", 'For Tally'!A:A, "&lt;=2023-04-30", 'For Tally'!L:L, $B$5:$F$5))</f>
        <v/>
      </c>
      <c r="C38" s="69">
        <f>SUMPRODUCT(SUMIFS('For Tally'!D:D, 'For Tally'!H:H, $A38, 'For Tally'!A:A, "&gt;=2023-05-01", 'For Tally'!A:A, "&lt;=2023-05-31", 'For Tally'!L:L, $B$5:$F$5))</f>
        <v/>
      </c>
      <c r="D38" s="69">
        <f>SUMPRODUCT(SUMIFS('For Tally'!D:D, 'For Tally'!H:H, $A38, 'For Tally'!A:A, "&gt;=2023-06-01", 'For Tally'!A:A, "&lt;=2023-06-30", 'For Tally'!L:L, $B$5:$F$5))</f>
        <v/>
      </c>
      <c r="E38" s="69">
        <f>SUMPRODUCT(SUMIFS('For Tally'!D:D, 'For Tally'!H:H, $A38, 'For Tally'!A:A, "&gt;=2023-07-01", 'For Tally'!A:A, "&lt;=2023-07-31", 'For Tally'!L:L, $B$5:$F$5))</f>
        <v/>
      </c>
      <c r="F38" s="69">
        <f>SUMPRODUCT(SUMIFS('For Tally'!D:D, 'For Tally'!H:H, $A38, 'For Tally'!A:A, "&gt;=2023-08-01", 'For Tally'!A:A, "&lt;=2023-08-31", 'For Tally'!L:L, $B$5:$F$5))</f>
        <v/>
      </c>
      <c r="G38" s="69">
        <f>SUMPRODUCT(SUMIFS('For Tally'!D:D, 'For Tally'!H:H, $A38, 'For Tally'!A:A, "&gt;=2023-09-01", 'For Tally'!A:A, "&lt;=2023-09-30", 'For Tally'!L:L, $B$5:$F$5))</f>
        <v/>
      </c>
      <c r="H38" s="69">
        <f>SUMPRODUCT(SUMIFS('For Tally'!D:D, 'For Tally'!H:H, $A38, 'For Tally'!A:A, "&gt;=2023-10-01", 'For Tally'!A:A, "&lt;=2023-10-31", 'For Tally'!L:L, $B$5:$F$5))</f>
        <v/>
      </c>
      <c r="I38" s="69">
        <f>SUMPRODUCT(SUMIFS('For Tally'!D:D, 'For Tally'!H:H, $A38, 'For Tally'!A:A, "&gt;=2023-11-01", 'For Tally'!A:A, "&lt;=2023-11-30", 'For Tally'!L:L, $B$5:$F$5))</f>
        <v/>
      </c>
      <c r="J38" s="69">
        <f>SUMPRODUCT(SUMIFS('For Tally'!D:D, 'For Tally'!H:H, $A38, 'For Tally'!A:A, "&gt;=2023-12-01", 'For Tally'!A:A, "&lt;=2023-12-31", 'For Tally'!L:L, $B$5:$F$5))</f>
        <v/>
      </c>
      <c r="K38" s="69">
        <f>SUMPRODUCT(SUMIFS('For Tally'!D:D, 'For Tally'!H:H, $A38, 'For Tally'!A:A, "&gt;=2024-01-01", 'For Tally'!A:A, "&lt;=2024-01-31", 'For Tally'!L:L, $B$5:$F$5))</f>
        <v/>
      </c>
      <c r="L38" s="69">
        <f>SUMPRODUCT(SUMIFS('For Tally'!D:D, 'For Tally'!H:H, $A38, 'For Tally'!A:A, "&gt;=2024-02-01", 'For Tally'!A:A, "&lt;=2024-02-29", 'For Tally'!L:L, $B$5:$F$5))</f>
        <v/>
      </c>
      <c r="M38" s="69">
        <f>SUMPRODUCT(SUMIFS('For Tally'!D:D, 'For Tally'!H:H, $A38, 'For Tally'!A:A, "&gt;=2024-03-01", 'For Tally'!A:A, "&lt;=2024-03-31", 'For Tally'!L:L, $B$5:$F$5))</f>
        <v/>
      </c>
      <c r="N38" s="69">
        <f>SUMPRODUCT(SUMIFS('For Tally'!D:D, 'For Tally'!H:H, $A38, 'For Tally'!A:A, "&gt;=2024-04-01", 'For Tally'!A:A, "&lt;=2024-04-30", 'For Tally'!L:L, $B$5:$F$5))</f>
        <v/>
      </c>
      <c r="O38" s="69">
        <f>SUM(B38:N38)</f>
        <v/>
      </c>
    </row>
    <row r="39">
      <c r="A39" s="69" t="inlineStr">
        <is>
          <t>Ajay Gupta</t>
        </is>
      </c>
      <c r="B39" s="69">
        <f>SUMPRODUCT(SUMIFS('For Tally'!D:D, 'For Tally'!H:H, $A39, 'For Tally'!A:A, "&gt;=2023-04-01", 'For Tally'!A:A, "&lt;=2023-04-30", 'For Tally'!L:L, $B$5:$F$5))</f>
        <v/>
      </c>
      <c r="C39" s="69">
        <f>SUMPRODUCT(SUMIFS('For Tally'!D:D, 'For Tally'!H:H, $A39, 'For Tally'!A:A, "&gt;=2023-05-01", 'For Tally'!A:A, "&lt;=2023-05-31", 'For Tally'!L:L, $B$5:$F$5))</f>
        <v/>
      </c>
      <c r="D39" s="69">
        <f>SUMPRODUCT(SUMIFS('For Tally'!D:D, 'For Tally'!H:H, $A39, 'For Tally'!A:A, "&gt;=2023-06-01", 'For Tally'!A:A, "&lt;=2023-06-30", 'For Tally'!L:L, $B$5:$F$5))</f>
        <v/>
      </c>
      <c r="E39" s="69">
        <f>SUMPRODUCT(SUMIFS('For Tally'!D:D, 'For Tally'!H:H, $A39, 'For Tally'!A:A, "&gt;=2023-07-01", 'For Tally'!A:A, "&lt;=2023-07-31", 'For Tally'!L:L, $B$5:$F$5))</f>
        <v/>
      </c>
      <c r="F39" s="69">
        <f>SUMPRODUCT(SUMIFS('For Tally'!D:D, 'For Tally'!H:H, $A39, 'For Tally'!A:A, "&gt;=2023-08-01", 'For Tally'!A:A, "&lt;=2023-08-31", 'For Tally'!L:L, $B$5:$F$5))</f>
        <v/>
      </c>
      <c r="G39" s="69">
        <f>SUMPRODUCT(SUMIFS('For Tally'!D:D, 'For Tally'!H:H, $A39, 'For Tally'!A:A, "&gt;=2023-09-01", 'For Tally'!A:A, "&lt;=2023-09-30", 'For Tally'!L:L, $B$5:$F$5))</f>
        <v/>
      </c>
      <c r="H39" s="69">
        <f>SUMPRODUCT(SUMIFS('For Tally'!D:D, 'For Tally'!H:H, $A39, 'For Tally'!A:A, "&gt;=2023-10-01", 'For Tally'!A:A, "&lt;=2023-10-31", 'For Tally'!L:L, $B$5:$F$5))</f>
        <v/>
      </c>
      <c r="I39" s="69">
        <f>SUMPRODUCT(SUMIFS('For Tally'!D:D, 'For Tally'!H:H, $A39, 'For Tally'!A:A, "&gt;=2023-11-01", 'For Tally'!A:A, "&lt;=2023-11-30", 'For Tally'!L:L, $B$5:$F$5))</f>
        <v/>
      </c>
      <c r="J39" s="69">
        <f>SUMPRODUCT(SUMIFS('For Tally'!D:D, 'For Tally'!H:H, $A39, 'For Tally'!A:A, "&gt;=2023-12-01", 'For Tally'!A:A, "&lt;=2023-12-31", 'For Tally'!L:L, $B$5:$F$5))</f>
        <v/>
      </c>
      <c r="K39" s="69">
        <f>SUMPRODUCT(SUMIFS('For Tally'!D:D, 'For Tally'!H:H, $A39, 'For Tally'!A:A, "&gt;=2024-01-01", 'For Tally'!A:A, "&lt;=2024-01-31", 'For Tally'!L:L, $B$5:$F$5))</f>
        <v/>
      </c>
      <c r="L39" s="69">
        <f>SUMPRODUCT(SUMIFS('For Tally'!D:D, 'For Tally'!H:H, $A39, 'For Tally'!A:A, "&gt;=2024-02-01", 'For Tally'!A:A, "&lt;=2024-02-29", 'For Tally'!L:L, $B$5:$F$5))</f>
        <v/>
      </c>
      <c r="M39" s="69">
        <f>SUMPRODUCT(SUMIFS('For Tally'!D:D, 'For Tally'!H:H, $A39, 'For Tally'!A:A, "&gt;=2024-03-01", 'For Tally'!A:A, "&lt;=2024-03-31", 'For Tally'!L:L, $B$5:$F$5))</f>
        <v/>
      </c>
      <c r="N39" s="69">
        <f>SUMPRODUCT(SUMIFS('For Tally'!D:D, 'For Tally'!H:H, $A39, 'For Tally'!A:A, "&gt;=2024-04-01", 'For Tally'!A:A, "&lt;=2024-04-30", 'For Tally'!L:L, $B$5:$F$5))</f>
        <v/>
      </c>
      <c r="O39" s="69">
        <f>SUM(B39:N39)</f>
        <v/>
      </c>
    </row>
    <row r="40">
      <c r="A40" s="69" t="inlineStr">
        <is>
          <t>Archit Gupta</t>
        </is>
      </c>
      <c r="B40" s="69">
        <f>SUMPRODUCT(SUMIFS('For Tally'!D:D, 'For Tally'!H:H, $A40, 'For Tally'!A:A, "&gt;=2023-04-01", 'For Tally'!A:A, "&lt;=2023-04-30", 'For Tally'!L:L, $B$5:$F$5))</f>
        <v/>
      </c>
      <c r="C40" s="69">
        <f>SUMPRODUCT(SUMIFS('For Tally'!D:D, 'For Tally'!H:H, $A40, 'For Tally'!A:A, "&gt;=2023-05-01", 'For Tally'!A:A, "&lt;=2023-05-31", 'For Tally'!L:L, $B$5:$F$5))</f>
        <v/>
      </c>
      <c r="D40" s="69">
        <f>SUMPRODUCT(SUMIFS('For Tally'!D:D, 'For Tally'!H:H, $A40, 'For Tally'!A:A, "&gt;=2023-06-01", 'For Tally'!A:A, "&lt;=2023-06-30", 'For Tally'!L:L, $B$5:$F$5))</f>
        <v/>
      </c>
      <c r="E40" s="69">
        <f>SUMPRODUCT(SUMIFS('For Tally'!D:D, 'For Tally'!H:H, $A40, 'For Tally'!A:A, "&gt;=2023-07-01", 'For Tally'!A:A, "&lt;=2023-07-31", 'For Tally'!L:L, $B$5:$F$5))</f>
        <v/>
      </c>
      <c r="F40" s="69">
        <f>SUMPRODUCT(SUMIFS('For Tally'!D:D, 'For Tally'!H:H, $A40, 'For Tally'!A:A, "&gt;=2023-08-01", 'For Tally'!A:A, "&lt;=2023-08-31", 'For Tally'!L:L, $B$5:$F$5))</f>
        <v/>
      </c>
      <c r="G40" s="69">
        <f>SUMPRODUCT(SUMIFS('For Tally'!D:D, 'For Tally'!H:H, $A40, 'For Tally'!A:A, "&gt;=2023-09-01", 'For Tally'!A:A, "&lt;=2023-09-30", 'For Tally'!L:L, $B$5:$F$5))</f>
        <v/>
      </c>
      <c r="H40" s="69">
        <f>SUMPRODUCT(SUMIFS('For Tally'!D:D, 'For Tally'!H:H, $A40, 'For Tally'!A:A, "&gt;=2023-10-01", 'For Tally'!A:A, "&lt;=2023-10-31", 'For Tally'!L:L, $B$5:$F$5))</f>
        <v/>
      </c>
      <c r="I40" s="69">
        <f>SUMPRODUCT(SUMIFS('For Tally'!D:D, 'For Tally'!H:H, $A40, 'For Tally'!A:A, "&gt;=2023-11-01", 'For Tally'!A:A, "&lt;=2023-11-30", 'For Tally'!L:L, $B$5:$F$5))</f>
        <v/>
      </c>
      <c r="J40" s="69">
        <f>SUMPRODUCT(SUMIFS('For Tally'!D:D, 'For Tally'!H:H, $A40, 'For Tally'!A:A, "&gt;=2023-12-01", 'For Tally'!A:A, "&lt;=2023-12-31", 'For Tally'!L:L, $B$5:$F$5))</f>
        <v/>
      </c>
      <c r="K40" s="69">
        <f>SUMPRODUCT(SUMIFS('For Tally'!D:D, 'For Tally'!H:H, $A40, 'For Tally'!A:A, "&gt;=2024-01-01", 'For Tally'!A:A, "&lt;=2024-01-31", 'For Tally'!L:L, $B$5:$F$5))</f>
        <v/>
      </c>
      <c r="L40" s="69">
        <f>SUMPRODUCT(SUMIFS('For Tally'!D:D, 'For Tally'!H:H, $A40, 'For Tally'!A:A, "&gt;=2024-02-01", 'For Tally'!A:A, "&lt;=2024-02-29", 'For Tally'!L:L, $B$5:$F$5))</f>
        <v/>
      </c>
      <c r="M40" s="69">
        <f>SUMPRODUCT(SUMIFS('For Tally'!D:D, 'For Tally'!H:H, $A40, 'For Tally'!A:A, "&gt;=2024-03-01", 'For Tally'!A:A, "&lt;=2024-03-31", 'For Tally'!L:L, $B$5:$F$5))</f>
        <v/>
      </c>
      <c r="N40" s="69">
        <f>SUMPRODUCT(SUMIFS('For Tally'!D:D, 'For Tally'!H:H, $A40, 'For Tally'!A:A, "&gt;=2024-04-01", 'For Tally'!A:A, "&lt;=2024-04-30", 'For Tally'!L:L, $B$5:$F$5))</f>
        <v/>
      </c>
      <c r="O40" s="69">
        <f>SUM(B40:N40)</f>
        <v/>
      </c>
    </row>
    <row r="41">
      <c r="A41" s="36" t="inlineStr">
        <is>
          <t>Auto Sweep FD</t>
        </is>
      </c>
      <c r="B41" s="36">
        <f>SUMPRODUCT(SUMIFS('For Tally'!D:D, 'For Tally'!H:H, $A41, 'For Tally'!A:A, "&gt;=2023-04-01", 'For Tally'!A:A, "&lt;=2023-04-30", 'For Tally'!L:L, $B$5:$F$5))</f>
        <v/>
      </c>
      <c r="C41" s="36">
        <f>SUMPRODUCT(SUMIFS('For Tally'!D:D, 'For Tally'!H:H, $A41, 'For Tally'!A:A, "&gt;=2023-05-01", 'For Tally'!A:A, "&lt;=2023-05-31", 'For Tally'!L:L, $B$5:$F$5))</f>
        <v/>
      </c>
      <c r="D41" s="36">
        <f>SUMPRODUCT(SUMIFS('For Tally'!D:D, 'For Tally'!H:H, $A41, 'For Tally'!A:A, "&gt;=2023-06-01", 'For Tally'!A:A, "&lt;=2023-06-30", 'For Tally'!L:L, $B$5:$F$5))</f>
        <v/>
      </c>
      <c r="E41" s="36">
        <f>SUMPRODUCT(SUMIFS('For Tally'!D:D, 'For Tally'!H:H, $A41, 'For Tally'!A:A, "&gt;=2023-07-01", 'For Tally'!A:A, "&lt;=2023-07-31", 'For Tally'!L:L, $B$5:$F$5))</f>
        <v/>
      </c>
      <c r="F41" s="36">
        <f>SUMPRODUCT(SUMIFS('For Tally'!D:D, 'For Tally'!H:H, $A41, 'For Tally'!A:A, "&gt;=2023-08-01", 'For Tally'!A:A, "&lt;=2023-08-31", 'For Tally'!L:L, $B$5:$F$5))</f>
        <v/>
      </c>
      <c r="G41" s="36">
        <f>SUMPRODUCT(SUMIFS('For Tally'!D:D, 'For Tally'!H:H, $A41, 'For Tally'!A:A, "&gt;=2023-09-01", 'For Tally'!A:A, "&lt;=2023-09-30", 'For Tally'!L:L, $B$5:$F$5))</f>
        <v/>
      </c>
      <c r="H41" s="36">
        <f>SUMPRODUCT(SUMIFS('For Tally'!D:D, 'For Tally'!H:H, $A41, 'For Tally'!A:A, "&gt;=2023-10-01", 'For Tally'!A:A, "&lt;=2023-10-31", 'For Tally'!L:L, $B$5:$F$5))</f>
        <v/>
      </c>
      <c r="I41" s="36">
        <f>SUMPRODUCT(SUMIFS('For Tally'!D:D, 'For Tally'!H:H, $A41, 'For Tally'!A:A, "&gt;=2023-11-01", 'For Tally'!A:A, "&lt;=2023-11-30", 'For Tally'!L:L, $B$5:$F$5))</f>
        <v/>
      </c>
      <c r="J41" s="36">
        <f>SUMPRODUCT(SUMIFS('For Tally'!D:D, 'For Tally'!H:H, $A41, 'For Tally'!A:A, "&gt;=2023-12-01", 'For Tally'!A:A, "&lt;=2023-12-31", 'For Tally'!L:L, $B$5:$F$5))</f>
        <v/>
      </c>
      <c r="K41" s="36">
        <f>SUMPRODUCT(SUMIFS('For Tally'!D:D, 'For Tally'!H:H, $A41, 'For Tally'!A:A, "&gt;=2024-01-01", 'For Tally'!A:A, "&lt;=2024-01-31", 'For Tally'!L:L, $B$5:$F$5))</f>
        <v/>
      </c>
      <c r="L41" s="36">
        <f>SUMPRODUCT(SUMIFS('For Tally'!D:D, 'For Tally'!H:H, $A41, 'For Tally'!A:A, "&gt;=2024-02-01", 'For Tally'!A:A, "&lt;=2024-02-29", 'For Tally'!L:L, $B$5:$F$5))</f>
        <v/>
      </c>
      <c r="M41" s="36">
        <f>SUMPRODUCT(SUMIFS('For Tally'!D:D, 'For Tally'!H:H, $A41, 'For Tally'!A:A, "&gt;=2024-03-01", 'For Tally'!A:A, "&lt;=2024-03-31", 'For Tally'!L:L, $B$5:$F$5))</f>
        <v/>
      </c>
      <c r="N41" s="36">
        <f>SUMPRODUCT(SUMIFS('For Tally'!D:D, 'For Tally'!H:H, $A41, 'For Tally'!A:A, "&gt;=2024-04-01", 'For Tally'!A:A, "&lt;=2024-04-30", 'For Tally'!L:L, $B$5:$F$5))</f>
        <v/>
      </c>
      <c r="O41" s="36">
        <f>SUM(B41:N41)</f>
        <v/>
      </c>
    </row>
    <row r="42">
      <c r="A42" s="20" t="inlineStr">
        <is>
          <t>Bank Charges</t>
        </is>
      </c>
      <c r="B42" s="20">
        <f>SUMPRODUCT(SUMIFS('For Tally'!D:D, 'For Tally'!H:H, $A42, 'For Tally'!A:A, "&gt;=2023-04-01", 'For Tally'!A:A, "&lt;=2023-04-30", 'For Tally'!L:L, $B$5:$F$5))</f>
        <v/>
      </c>
      <c r="C42" s="20">
        <f>SUMPRODUCT(SUMIFS('For Tally'!D:D, 'For Tally'!H:H, $A42, 'For Tally'!A:A, "&gt;=2023-05-01", 'For Tally'!A:A, "&lt;=2023-05-31", 'For Tally'!L:L, $B$5:$F$5))</f>
        <v/>
      </c>
      <c r="D42" s="20">
        <f>SUMPRODUCT(SUMIFS('For Tally'!D:D, 'For Tally'!H:H, $A42, 'For Tally'!A:A, "&gt;=2023-06-01", 'For Tally'!A:A, "&lt;=2023-06-30", 'For Tally'!L:L, $B$5:$F$5))</f>
        <v/>
      </c>
      <c r="E42" s="20">
        <f>SUMPRODUCT(SUMIFS('For Tally'!D:D, 'For Tally'!H:H, $A42, 'For Tally'!A:A, "&gt;=2023-07-01", 'For Tally'!A:A, "&lt;=2023-07-31", 'For Tally'!L:L, $B$5:$F$5))</f>
        <v/>
      </c>
      <c r="F42" s="20">
        <f>SUMPRODUCT(SUMIFS('For Tally'!D:D, 'For Tally'!H:H, $A42, 'For Tally'!A:A, "&gt;=2023-08-01", 'For Tally'!A:A, "&lt;=2023-08-31", 'For Tally'!L:L, $B$5:$F$5))</f>
        <v/>
      </c>
      <c r="G42" s="20">
        <f>SUMPRODUCT(SUMIFS('For Tally'!D:D, 'For Tally'!H:H, $A42, 'For Tally'!A:A, "&gt;=2023-09-01", 'For Tally'!A:A, "&lt;=2023-09-30", 'For Tally'!L:L, $B$5:$F$5))</f>
        <v/>
      </c>
      <c r="H42" s="20">
        <f>SUMPRODUCT(SUMIFS('For Tally'!D:D, 'For Tally'!H:H, $A42, 'For Tally'!A:A, "&gt;=2023-10-01", 'For Tally'!A:A, "&lt;=2023-10-31", 'For Tally'!L:L, $B$5:$F$5))</f>
        <v/>
      </c>
      <c r="I42" s="20">
        <f>SUMPRODUCT(SUMIFS('For Tally'!D:D, 'For Tally'!H:H, $A42, 'For Tally'!A:A, "&gt;=2023-11-01", 'For Tally'!A:A, "&lt;=2023-11-30", 'For Tally'!L:L, $B$5:$F$5))</f>
        <v/>
      </c>
      <c r="J42" s="20">
        <f>SUMPRODUCT(SUMIFS('For Tally'!D:D, 'For Tally'!H:H, $A42, 'For Tally'!A:A, "&gt;=2023-12-01", 'For Tally'!A:A, "&lt;=2023-12-31", 'For Tally'!L:L, $B$5:$F$5))</f>
        <v/>
      </c>
      <c r="K42" s="20">
        <f>SUMPRODUCT(SUMIFS('For Tally'!D:D, 'For Tally'!H:H, $A42, 'For Tally'!A:A, "&gt;=2024-01-01", 'For Tally'!A:A, "&lt;=2024-01-31", 'For Tally'!L:L, $B$5:$F$5))</f>
        <v/>
      </c>
      <c r="L42" s="20">
        <f>SUMPRODUCT(SUMIFS('For Tally'!D:D, 'For Tally'!H:H, $A42, 'For Tally'!A:A, "&gt;=2024-02-01", 'For Tally'!A:A, "&lt;=2024-02-29", 'For Tally'!L:L, $B$5:$F$5))</f>
        <v/>
      </c>
      <c r="M42" s="20">
        <f>SUMPRODUCT(SUMIFS('For Tally'!D:D, 'For Tally'!H:H, $A42, 'For Tally'!A:A, "&gt;=2024-03-01", 'For Tally'!A:A, "&lt;=2024-03-31", 'For Tally'!L:L, $B$5:$F$5))</f>
        <v/>
      </c>
      <c r="N42" s="20">
        <f>SUMPRODUCT(SUMIFS('For Tally'!D:D, 'For Tally'!H:H, $A42, 'For Tally'!A:A, "&gt;=2024-04-01", 'For Tally'!A:A, "&lt;=2024-04-30", 'For Tally'!L:L, $B$5:$F$5))</f>
        <v/>
      </c>
      <c r="O42" s="20">
        <f>SUM(B42:N42)</f>
        <v/>
      </c>
    </row>
    <row r="43">
      <c r="A43" s="31" t="inlineStr">
        <is>
          <t>Bank Interest</t>
        </is>
      </c>
      <c r="B43" s="31">
        <f>SUMPRODUCT(SUMIFS('For Tally'!D:D, 'For Tally'!H:H, $A43, 'For Tally'!A:A, "&gt;=2023-04-01", 'For Tally'!A:A, "&lt;=2023-04-30", 'For Tally'!L:L, $B$5:$F$5))</f>
        <v/>
      </c>
      <c r="C43" s="31">
        <f>SUMPRODUCT(SUMIFS('For Tally'!D:D, 'For Tally'!H:H, $A43, 'For Tally'!A:A, "&gt;=2023-05-01", 'For Tally'!A:A, "&lt;=2023-05-31", 'For Tally'!L:L, $B$5:$F$5))</f>
        <v/>
      </c>
      <c r="D43" s="31">
        <f>SUMPRODUCT(SUMIFS('For Tally'!D:D, 'For Tally'!H:H, $A43, 'For Tally'!A:A, "&gt;=2023-06-01", 'For Tally'!A:A, "&lt;=2023-06-30", 'For Tally'!L:L, $B$5:$F$5))</f>
        <v/>
      </c>
      <c r="E43" s="31">
        <f>SUMPRODUCT(SUMIFS('For Tally'!D:D, 'For Tally'!H:H, $A43, 'For Tally'!A:A, "&gt;=2023-07-01", 'For Tally'!A:A, "&lt;=2023-07-31", 'For Tally'!L:L, $B$5:$F$5))</f>
        <v/>
      </c>
      <c r="F43" s="31">
        <f>SUMPRODUCT(SUMIFS('For Tally'!D:D, 'For Tally'!H:H, $A43, 'For Tally'!A:A, "&gt;=2023-08-01", 'For Tally'!A:A, "&lt;=2023-08-31", 'For Tally'!L:L, $B$5:$F$5))</f>
        <v/>
      </c>
      <c r="G43" s="31">
        <f>SUMPRODUCT(SUMIFS('For Tally'!D:D, 'For Tally'!H:H, $A43, 'For Tally'!A:A, "&gt;=2023-09-01", 'For Tally'!A:A, "&lt;=2023-09-30", 'For Tally'!L:L, $B$5:$F$5))</f>
        <v/>
      </c>
      <c r="H43" s="31">
        <f>SUMPRODUCT(SUMIFS('For Tally'!D:D, 'For Tally'!H:H, $A43, 'For Tally'!A:A, "&gt;=2023-10-01", 'For Tally'!A:A, "&lt;=2023-10-31", 'For Tally'!L:L, $B$5:$F$5))</f>
        <v/>
      </c>
      <c r="I43" s="31">
        <f>SUMPRODUCT(SUMIFS('For Tally'!D:D, 'For Tally'!H:H, $A43, 'For Tally'!A:A, "&gt;=2023-11-01", 'For Tally'!A:A, "&lt;=2023-11-30", 'For Tally'!L:L, $B$5:$F$5))</f>
        <v/>
      </c>
      <c r="J43" s="31">
        <f>SUMPRODUCT(SUMIFS('For Tally'!D:D, 'For Tally'!H:H, $A43, 'For Tally'!A:A, "&gt;=2023-12-01", 'For Tally'!A:A, "&lt;=2023-12-31", 'For Tally'!L:L, $B$5:$F$5))</f>
        <v/>
      </c>
      <c r="K43" s="31">
        <f>SUMPRODUCT(SUMIFS('For Tally'!D:D, 'For Tally'!H:H, $A43, 'For Tally'!A:A, "&gt;=2024-01-01", 'For Tally'!A:A, "&lt;=2024-01-31", 'For Tally'!L:L, $B$5:$F$5))</f>
        <v/>
      </c>
      <c r="L43" s="31">
        <f>SUMPRODUCT(SUMIFS('For Tally'!D:D, 'For Tally'!H:H, $A43, 'For Tally'!A:A, "&gt;=2024-02-01", 'For Tally'!A:A, "&lt;=2024-02-29", 'For Tally'!L:L, $B$5:$F$5))</f>
        <v/>
      </c>
      <c r="M43" s="31">
        <f>SUMPRODUCT(SUMIFS('For Tally'!D:D, 'For Tally'!H:H, $A43, 'For Tally'!A:A, "&gt;=2024-03-01", 'For Tally'!A:A, "&lt;=2024-03-31", 'For Tally'!L:L, $B$5:$F$5))</f>
        <v/>
      </c>
      <c r="N43" s="31">
        <f>SUMPRODUCT(SUMIFS('For Tally'!D:D, 'For Tally'!H:H, $A43, 'For Tally'!A:A, "&gt;=2024-04-01", 'For Tally'!A:A, "&lt;=2024-04-30", 'For Tally'!L:L, $B$5:$F$5))</f>
        <v/>
      </c>
      <c r="O43" s="31">
        <f>SUM(B43:N43)</f>
        <v/>
      </c>
    </row>
    <row r="44">
      <c r="A44" s="65" t="inlineStr">
        <is>
          <t>Dividend Income</t>
        </is>
      </c>
      <c r="B44" s="65">
        <f>SUMPRODUCT(SUMIFS('For Tally'!D:D, 'For Tally'!H:H, $A44, 'For Tally'!A:A, "&gt;=2023-04-01", 'For Tally'!A:A, "&lt;=2023-04-30", 'For Tally'!L:L, $B$5:$F$5))</f>
        <v/>
      </c>
      <c r="C44" s="65">
        <f>SUMPRODUCT(SUMIFS('For Tally'!D:D, 'For Tally'!H:H, $A44, 'For Tally'!A:A, "&gt;=2023-05-01", 'For Tally'!A:A, "&lt;=2023-05-31", 'For Tally'!L:L, $B$5:$F$5))</f>
        <v/>
      </c>
      <c r="D44" s="65">
        <f>SUMPRODUCT(SUMIFS('For Tally'!D:D, 'For Tally'!H:H, $A44, 'For Tally'!A:A, "&gt;=2023-06-01", 'For Tally'!A:A, "&lt;=2023-06-30", 'For Tally'!L:L, $B$5:$F$5))</f>
        <v/>
      </c>
      <c r="E44" s="65">
        <f>SUMPRODUCT(SUMIFS('For Tally'!D:D, 'For Tally'!H:H, $A44, 'For Tally'!A:A, "&gt;=2023-07-01", 'For Tally'!A:A, "&lt;=2023-07-31", 'For Tally'!L:L, $B$5:$F$5))</f>
        <v/>
      </c>
      <c r="F44" s="65">
        <f>SUMPRODUCT(SUMIFS('For Tally'!D:D, 'For Tally'!H:H, $A44, 'For Tally'!A:A, "&gt;=2023-08-01", 'For Tally'!A:A, "&lt;=2023-08-31", 'For Tally'!L:L, $B$5:$F$5))</f>
        <v/>
      </c>
      <c r="G44" s="65">
        <f>SUMPRODUCT(SUMIFS('For Tally'!D:D, 'For Tally'!H:H, $A44, 'For Tally'!A:A, "&gt;=2023-09-01", 'For Tally'!A:A, "&lt;=2023-09-30", 'For Tally'!L:L, $B$5:$F$5))</f>
        <v/>
      </c>
      <c r="H44" s="65">
        <f>SUMPRODUCT(SUMIFS('For Tally'!D:D, 'For Tally'!H:H, $A44, 'For Tally'!A:A, "&gt;=2023-10-01", 'For Tally'!A:A, "&lt;=2023-10-31", 'For Tally'!L:L, $B$5:$F$5))</f>
        <v/>
      </c>
      <c r="I44" s="65">
        <f>SUMPRODUCT(SUMIFS('For Tally'!D:D, 'For Tally'!H:H, $A44, 'For Tally'!A:A, "&gt;=2023-11-01", 'For Tally'!A:A, "&lt;=2023-11-30", 'For Tally'!L:L, $B$5:$F$5))</f>
        <v/>
      </c>
      <c r="J44" s="65">
        <f>SUMPRODUCT(SUMIFS('For Tally'!D:D, 'For Tally'!H:H, $A44, 'For Tally'!A:A, "&gt;=2023-12-01", 'For Tally'!A:A, "&lt;=2023-12-31", 'For Tally'!L:L, $B$5:$F$5))</f>
        <v/>
      </c>
      <c r="K44" s="65">
        <f>SUMPRODUCT(SUMIFS('For Tally'!D:D, 'For Tally'!H:H, $A44, 'For Tally'!A:A, "&gt;=2024-01-01", 'For Tally'!A:A, "&lt;=2024-01-31", 'For Tally'!L:L, $B$5:$F$5))</f>
        <v/>
      </c>
      <c r="L44" s="65">
        <f>SUMPRODUCT(SUMIFS('For Tally'!D:D, 'For Tally'!H:H, $A44, 'For Tally'!A:A, "&gt;=2024-02-01", 'For Tally'!A:A, "&lt;=2024-02-29", 'For Tally'!L:L, $B$5:$F$5))</f>
        <v/>
      </c>
      <c r="M44" s="65">
        <f>SUMPRODUCT(SUMIFS('For Tally'!D:D, 'For Tally'!H:H, $A44, 'For Tally'!A:A, "&gt;=2024-03-01", 'For Tally'!A:A, "&lt;=2024-03-31", 'For Tally'!L:L, $B$5:$F$5))</f>
        <v/>
      </c>
      <c r="N44" s="65">
        <f>SUMPRODUCT(SUMIFS('For Tally'!D:D, 'For Tally'!H:H, $A44, 'For Tally'!A:A, "&gt;=2024-04-01", 'For Tally'!A:A, "&lt;=2024-04-30", 'For Tally'!L:L, $B$5:$F$5))</f>
        <v/>
      </c>
      <c r="O44" s="65">
        <f>SUM(B44:N44)</f>
        <v/>
      </c>
    </row>
    <row r="45">
      <c r="A45" s="69" t="inlineStr">
        <is>
          <t>HDFC 5413</t>
        </is>
      </c>
      <c r="B45" s="69">
        <f>SUMPRODUCT(SUMIFS('For Tally'!D:D, 'For Tally'!H:H, $A45, 'For Tally'!A:A, "&gt;=2023-04-01", 'For Tally'!A:A, "&lt;=2023-04-30", 'For Tally'!L:L, $B$5:$F$5))</f>
        <v/>
      </c>
      <c r="C45" s="69">
        <f>SUMPRODUCT(SUMIFS('For Tally'!D:D, 'For Tally'!H:H, $A45, 'For Tally'!A:A, "&gt;=2023-05-01", 'For Tally'!A:A, "&lt;=2023-05-31", 'For Tally'!L:L, $B$5:$F$5))</f>
        <v/>
      </c>
      <c r="D45" s="69">
        <f>SUMPRODUCT(SUMIFS('For Tally'!D:D, 'For Tally'!H:H, $A45, 'For Tally'!A:A, "&gt;=2023-06-01", 'For Tally'!A:A, "&lt;=2023-06-30", 'For Tally'!L:L, $B$5:$F$5))</f>
        <v/>
      </c>
      <c r="E45" s="69">
        <f>SUMPRODUCT(SUMIFS('For Tally'!D:D, 'For Tally'!H:H, $A45, 'For Tally'!A:A, "&gt;=2023-07-01", 'For Tally'!A:A, "&lt;=2023-07-31", 'For Tally'!L:L, $B$5:$F$5))</f>
        <v/>
      </c>
      <c r="F45" s="69">
        <f>SUMPRODUCT(SUMIFS('For Tally'!D:D, 'For Tally'!H:H, $A45, 'For Tally'!A:A, "&gt;=2023-08-01", 'For Tally'!A:A, "&lt;=2023-08-31", 'For Tally'!L:L, $B$5:$F$5))</f>
        <v/>
      </c>
      <c r="G45" s="69">
        <f>SUMPRODUCT(SUMIFS('For Tally'!D:D, 'For Tally'!H:H, $A45, 'For Tally'!A:A, "&gt;=2023-09-01", 'For Tally'!A:A, "&lt;=2023-09-30", 'For Tally'!L:L, $B$5:$F$5))</f>
        <v/>
      </c>
      <c r="H45" s="69">
        <f>SUMPRODUCT(SUMIFS('For Tally'!D:D, 'For Tally'!H:H, $A45, 'For Tally'!A:A, "&gt;=2023-10-01", 'For Tally'!A:A, "&lt;=2023-10-31", 'For Tally'!L:L, $B$5:$F$5))</f>
        <v/>
      </c>
      <c r="I45" s="69">
        <f>SUMPRODUCT(SUMIFS('For Tally'!D:D, 'For Tally'!H:H, $A45, 'For Tally'!A:A, "&gt;=2023-11-01", 'For Tally'!A:A, "&lt;=2023-11-30", 'For Tally'!L:L, $B$5:$F$5))</f>
        <v/>
      </c>
      <c r="J45" s="69">
        <f>SUMPRODUCT(SUMIFS('For Tally'!D:D, 'For Tally'!H:H, $A45, 'For Tally'!A:A, "&gt;=2023-12-01", 'For Tally'!A:A, "&lt;=2023-12-31", 'For Tally'!L:L, $B$5:$F$5))</f>
        <v/>
      </c>
      <c r="K45" s="69">
        <f>SUMPRODUCT(SUMIFS('For Tally'!D:D, 'For Tally'!H:H, $A45, 'For Tally'!A:A, "&gt;=2024-01-01", 'For Tally'!A:A, "&lt;=2024-01-31", 'For Tally'!L:L, $B$5:$F$5))</f>
        <v/>
      </c>
      <c r="L45" s="69">
        <f>SUMPRODUCT(SUMIFS('For Tally'!D:D, 'For Tally'!H:H, $A45, 'For Tally'!A:A, "&gt;=2024-02-01", 'For Tally'!A:A, "&lt;=2024-02-29", 'For Tally'!L:L, $B$5:$F$5))</f>
        <v/>
      </c>
      <c r="M45" s="69">
        <f>SUMPRODUCT(SUMIFS('For Tally'!D:D, 'For Tally'!H:H, $A45, 'For Tally'!A:A, "&gt;=2024-03-01", 'For Tally'!A:A, "&lt;=2024-03-31", 'For Tally'!L:L, $B$5:$F$5))</f>
        <v/>
      </c>
      <c r="N45" s="69">
        <f>SUMPRODUCT(SUMIFS('For Tally'!D:D, 'For Tally'!H:H, $A45, 'For Tally'!A:A, "&gt;=2024-04-01", 'For Tally'!A:A, "&lt;=2024-04-30", 'For Tally'!L:L, $B$5:$F$5))</f>
        <v/>
      </c>
      <c r="O45" s="69">
        <f>SUM(B45:N45)</f>
        <v/>
      </c>
    </row>
    <row r="46">
      <c r="A46" s="69" t="inlineStr">
        <is>
          <t>HDFC Securities</t>
        </is>
      </c>
      <c r="B46" s="69">
        <f>SUMPRODUCT(SUMIFS('For Tally'!D:D, 'For Tally'!H:H, $A46, 'For Tally'!A:A, "&gt;=2023-04-01", 'For Tally'!A:A, "&lt;=2023-04-30", 'For Tally'!L:L, $B$5:$F$5))</f>
        <v/>
      </c>
      <c r="C46" s="69">
        <f>SUMPRODUCT(SUMIFS('For Tally'!D:D, 'For Tally'!H:H, $A46, 'For Tally'!A:A, "&gt;=2023-05-01", 'For Tally'!A:A, "&lt;=2023-05-31", 'For Tally'!L:L, $B$5:$F$5))</f>
        <v/>
      </c>
      <c r="D46" s="69">
        <f>SUMPRODUCT(SUMIFS('For Tally'!D:D, 'For Tally'!H:H, $A46, 'For Tally'!A:A, "&gt;=2023-06-01", 'For Tally'!A:A, "&lt;=2023-06-30", 'For Tally'!L:L, $B$5:$F$5))</f>
        <v/>
      </c>
      <c r="E46" s="69">
        <f>SUMPRODUCT(SUMIFS('For Tally'!D:D, 'For Tally'!H:H, $A46, 'For Tally'!A:A, "&gt;=2023-07-01", 'For Tally'!A:A, "&lt;=2023-07-31", 'For Tally'!L:L, $B$5:$F$5))</f>
        <v/>
      </c>
      <c r="F46" s="69">
        <f>SUMPRODUCT(SUMIFS('For Tally'!D:D, 'For Tally'!H:H, $A46, 'For Tally'!A:A, "&gt;=2023-08-01", 'For Tally'!A:A, "&lt;=2023-08-31", 'For Tally'!L:L, $B$5:$F$5))</f>
        <v/>
      </c>
      <c r="G46" s="69">
        <f>SUMPRODUCT(SUMIFS('For Tally'!D:D, 'For Tally'!H:H, $A46, 'For Tally'!A:A, "&gt;=2023-09-01", 'For Tally'!A:A, "&lt;=2023-09-30", 'For Tally'!L:L, $B$5:$F$5))</f>
        <v/>
      </c>
      <c r="H46" s="69">
        <f>SUMPRODUCT(SUMIFS('For Tally'!D:D, 'For Tally'!H:H, $A46, 'For Tally'!A:A, "&gt;=2023-10-01", 'For Tally'!A:A, "&lt;=2023-10-31", 'For Tally'!L:L, $B$5:$F$5))</f>
        <v/>
      </c>
      <c r="I46" s="69">
        <f>SUMPRODUCT(SUMIFS('For Tally'!D:D, 'For Tally'!H:H, $A46, 'For Tally'!A:A, "&gt;=2023-11-01", 'For Tally'!A:A, "&lt;=2023-11-30", 'For Tally'!L:L, $B$5:$F$5))</f>
        <v/>
      </c>
      <c r="J46" s="69">
        <f>SUMPRODUCT(SUMIFS('For Tally'!D:D, 'For Tally'!H:H, $A46, 'For Tally'!A:A, "&gt;=2023-12-01", 'For Tally'!A:A, "&lt;=2023-12-31", 'For Tally'!L:L, $B$5:$F$5))</f>
        <v/>
      </c>
      <c r="K46" s="69">
        <f>SUMPRODUCT(SUMIFS('For Tally'!D:D, 'For Tally'!H:H, $A46, 'For Tally'!A:A, "&gt;=2024-01-01", 'For Tally'!A:A, "&lt;=2024-01-31", 'For Tally'!L:L, $B$5:$F$5))</f>
        <v/>
      </c>
      <c r="L46" s="69">
        <f>SUMPRODUCT(SUMIFS('For Tally'!D:D, 'For Tally'!H:H, $A46, 'For Tally'!A:A, "&gt;=2024-02-01", 'For Tally'!A:A, "&lt;=2024-02-29", 'For Tally'!L:L, $B$5:$F$5))</f>
        <v/>
      </c>
      <c r="M46" s="69">
        <f>SUMPRODUCT(SUMIFS('For Tally'!D:D, 'For Tally'!H:H, $A46, 'For Tally'!A:A, "&gt;=2024-03-01", 'For Tally'!A:A, "&lt;=2024-03-31", 'For Tally'!L:L, $B$5:$F$5))</f>
        <v/>
      </c>
      <c r="N46" s="69">
        <f>SUMPRODUCT(SUMIFS('For Tally'!D:D, 'For Tally'!H:H, $A46, 'For Tally'!A:A, "&gt;=2024-04-01", 'For Tally'!A:A, "&lt;=2024-04-30", 'For Tally'!L:L, $B$5:$F$5))</f>
        <v/>
      </c>
      <c r="O46" s="69">
        <f>SUM(B46:N46)</f>
        <v/>
      </c>
    </row>
    <row r="47">
      <c r="A47" s="69" t="inlineStr">
        <is>
          <t>KOTAK 0333</t>
        </is>
      </c>
      <c r="B47" s="69">
        <f>SUMPRODUCT(SUMIFS('For Tally'!D:D, 'For Tally'!H:H, $A47, 'For Tally'!A:A, "&gt;=2023-04-01", 'For Tally'!A:A, "&lt;=2023-04-30", 'For Tally'!L:L, $B$5:$F$5))</f>
        <v/>
      </c>
      <c r="C47" s="69">
        <f>SUMPRODUCT(SUMIFS('For Tally'!D:D, 'For Tally'!H:H, $A47, 'For Tally'!A:A, "&gt;=2023-05-01", 'For Tally'!A:A, "&lt;=2023-05-31", 'For Tally'!L:L, $B$5:$F$5))</f>
        <v/>
      </c>
      <c r="D47" s="69">
        <f>SUMPRODUCT(SUMIFS('For Tally'!D:D, 'For Tally'!H:H, $A47, 'For Tally'!A:A, "&gt;=2023-06-01", 'For Tally'!A:A, "&lt;=2023-06-30", 'For Tally'!L:L, $B$5:$F$5))</f>
        <v/>
      </c>
      <c r="E47" s="69">
        <f>SUMPRODUCT(SUMIFS('For Tally'!D:D, 'For Tally'!H:H, $A47, 'For Tally'!A:A, "&gt;=2023-07-01", 'For Tally'!A:A, "&lt;=2023-07-31", 'For Tally'!L:L, $B$5:$F$5))</f>
        <v/>
      </c>
      <c r="F47" s="69">
        <f>SUMPRODUCT(SUMIFS('For Tally'!D:D, 'For Tally'!H:H, $A47, 'For Tally'!A:A, "&gt;=2023-08-01", 'For Tally'!A:A, "&lt;=2023-08-31", 'For Tally'!L:L, $B$5:$F$5))</f>
        <v/>
      </c>
      <c r="G47" s="69">
        <f>SUMPRODUCT(SUMIFS('For Tally'!D:D, 'For Tally'!H:H, $A47, 'For Tally'!A:A, "&gt;=2023-09-01", 'For Tally'!A:A, "&lt;=2023-09-30", 'For Tally'!L:L, $B$5:$F$5))</f>
        <v/>
      </c>
      <c r="H47" s="69">
        <f>SUMPRODUCT(SUMIFS('For Tally'!D:D, 'For Tally'!H:H, $A47, 'For Tally'!A:A, "&gt;=2023-10-01", 'For Tally'!A:A, "&lt;=2023-10-31", 'For Tally'!L:L, $B$5:$F$5))</f>
        <v/>
      </c>
      <c r="I47" s="69">
        <f>SUMPRODUCT(SUMIFS('For Tally'!D:D, 'For Tally'!H:H, $A47, 'For Tally'!A:A, "&gt;=2023-11-01", 'For Tally'!A:A, "&lt;=2023-11-30", 'For Tally'!L:L, $B$5:$F$5))</f>
        <v/>
      </c>
      <c r="J47" s="69">
        <f>SUMPRODUCT(SUMIFS('For Tally'!D:D, 'For Tally'!H:H, $A47, 'For Tally'!A:A, "&gt;=2023-12-01", 'For Tally'!A:A, "&lt;=2023-12-31", 'For Tally'!L:L, $B$5:$F$5))</f>
        <v/>
      </c>
      <c r="K47" s="69">
        <f>SUMPRODUCT(SUMIFS('For Tally'!D:D, 'For Tally'!H:H, $A47, 'For Tally'!A:A, "&gt;=2024-01-01", 'For Tally'!A:A, "&lt;=2024-01-31", 'For Tally'!L:L, $B$5:$F$5))</f>
        <v/>
      </c>
      <c r="L47" s="69">
        <f>SUMPRODUCT(SUMIFS('For Tally'!D:D, 'For Tally'!H:H, $A47, 'For Tally'!A:A, "&gt;=2024-02-01", 'For Tally'!A:A, "&lt;=2024-02-29", 'For Tally'!L:L, $B$5:$F$5))</f>
        <v/>
      </c>
      <c r="M47" s="69">
        <f>SUMPRODUCT(SUMIFS('For Tally'!D:D, 'For Tally'!H:H, $A47, 'For Tally'!A:A, "&gt;=2024-03-01", 'For Tally'!A:A, "&lt;=2024-03-31", 'For Tally'!L:L, $B$5:$F$5))</f>
        <v/>
      </c>
      <c r="N47" s="69">
        <f>SUMPRODUCT(SUMIFS('For Tally'!D:D, 'For Tally'!H:H, $A47, 'For Tally'!A:A, "&gt;=2024-04-01", 'For Tally'!A:A, "&lt;=2024-04-30", 'For Tally'!L:L, $B$5:$F$5))</f>
        <v/>
      </c>
      <c r="O47" s="69">
        <f>SUM(B47:N47)</f>
        <v/>
      </c>
    </row>
    <row r="48">
      <c r="A48" s="73" t="inlineStr">
        <is>
          <t>Misc Income</t>
        </is>
      </c>
      <c r="B48" s="73">
        <f>SUMPRODUCT(SUMIFS('For Tally'!D:D, 'For Tally'!H:H, $A48, 'For Tally'!A:A, "&gt;=2023-04-01", 'For Tally'!A:A, "&lt;=2023-04-30", 'For Tally'!L:L, $B$5:$F$5))</f>
        <v/>
      </c>
      <c r="C48" s="73">
        <f>SUMPRODUCT(SUMIFS('For Tally'!D:D, 'For Tally'!H:H, $A48, 'For Tally'!A:A, "&gt;=2023-05-01", 'For Tally'!A:A, "&lt;=2023-05-31", 'For Tally'!L:L, $B$5:$F$5))</f>
        <v/>
      </c>
      <c r="D48" s="73">
        <f>SUMPRODUCT(SUMIFS('For Tally'!D:D, 'For Tally'!H:H, $A48, 'For Tally'!A:A, "&gt;=2023-06-01", 'For Tally'!A:A, "&lt;=2023-06-30", 'For Tally'!L:L, $B$5:$F$5))</f>
        <v/>
      </c>
      <c r="E48" s="73">
        <f>SUMPRODUCT(SUMIFS('For Tally'!D:D, 'For Tally'!H:H, $A48, 'For Tally'!A:A, "&gt;=2023-07-01", 'For Tally'!A:A, "&lt;=2023-07-31", 'For Tally'!L:L, $B$5:$F$5))</f>
        <v/>
      </c>
      <c r="F48" s="73">
        <f>SUMPRODUCT(SUMIFS('For Tally'!D:D, 'For Tally'!H:H, $A48, 'For Tally'!A:A, "&gt;=2023-08-01", 'For Tally'!A:A, "&lt;=2023-08-31", 'For Tally'!L:L, $B$5:$F$5))</f>
        <v/>
      </c>
      <c r="G48" s="73">
        <f>SUMPRODUCT(SUMIFS('For Tally'!D:D, 'For Tally'!H:H, $A48, 'For Tally'!A:A, "&gt;=2023-09-01", 'For Tally'!A:A, "&lt;=2023-09-30", 'For Tally'!L:L, $B$5:$F$5))</f>
        <v/>
      </c>
      <c r="H48" s="73">
        <f>SUMPRODUCT(SUMIFS('For Tally'!D:D, 'For Tally'!H:H, $A48, 'For Tally'!A:A, "&gt;=2023-10-01", 'For Tally'!A:A, "&lt;=2023-10-31", 'For Tally'!L:L, $B$5:$F$5))</f>
        <v/>
      </c>
      <c r="I48" s="73">
        <f>SUMPRODUCT(SUMIFS('For Tally'!D:D, 'For Tally'!H:H, $A48, 'For Tally'!A:A, "&gt;=2023-11-01", 'For Tally'!A:A, "&lt;=2023-11-30", 'For Tally'!L:L, $B$5:$F$5))</f>
        <v/>
      </c>
      <c r="J48" s="73">
        <f>SUMPRODUCT(SUMIFS('For Tally'!D:D, 'For Tally'!H:H, $A48, 'For Tally'!A:A, "&gt;=2023-12-01", 'For Tally'!A:A, "&lt;=2023-12-31", 'For Tally'!L:L, $B$5:$F$5))</f>
        <v/>
      </c>
      <c r="K48" s="73">
        <f>SUMPRODUCT(SUMIFS('For Tally'!D:D, 'For Tally'!H:H, $A48, 'For Tally'!A:A, "&gt;=2024-01-01", 'For Tally'!A:A, "&lt;=2024-01-31", 'For Tally'!L:L, $B$5:$F$5))</f>
        <v/>
      </c>
      <c r="L48" s="73">
        <f>SUMPRODUCT(SUMIFS('For Tally'!D:D, 'For Tally'!H:H, $A48, 'For Tally'!A:A, "&gt;=2024-02-01", 'For Tally'!A:A, "&lt;=2024-02-29", 'For Tally'!L:L, $B$5:$F$5))</f>
        <v/>
      </c>
      <c r="M48" s="73">
        <f>SUMPRODUCT(SUMIFS('For Tally'!D:D, 'For Tally'!H:H, $A48, 'For Tally'!A:A, "&gt;=2024-03-01", 'For Tally'!A:A, "&lt;=2024-03-31", 'For Tally'!L:L, $B$5:$F$5))</f>
        <v/>
      </c>
      <c r="N48" s="73">
        <f>SUMPRODUCT(SUMIFS('For Tally'!D:D, 'For Tally'!H:H, $A48, 'For Tally'!A:A, "&gt;=2024-04-01", 'For Tally'!A:A, "&lt;=2024-04-30", 'For Tally'!L:L, $B$5:$F$5))</f>
        <v/>
      </c>
      <c r="O48" s="73">
        <f>SUM(B48:N48)</f>
        <v/>
      </c>
    </row>
    <row r="49">
      <c r="A49" s="69" t="inlineStr">
        <is>
          <t>Mutual Funds</t>
        </is>
      </c>
      <c r="B49" s="69">
        <f>SUMPRODUCT(SUMIFS('For Tally'!D:D, 'For Tally'!H:H, $A49, 'For Tally'!A:A, "&gt;=2023-04-01", 'For Tally'!A:A, "&lt;=2023-04-30", 'For Tally'!L:L, $B$5:$F$5))</f>
        <v/>
      </c>
      <c r="C49" s="69">
        <f>SUMPRODUCT(SUMIFS('For Tally'!D:D, 'For Tally'!H:H, $A49, 'For Tally'!A:A, "&gt;=2023-05-01", 'For Tally'!A:A, "&lt;=2023-05-31", 'For Tally'!L:L, $B$5:$F$5))</f>
        <v/>
      </c>
      <c r="D49" s="69">
        <f>SUMPRODUCT(SUMIFS('For Tally'!D:D, 'For Tally'!H:H, $A49, 'For Tally'!A:A, "&gt;=2023-06-01", 'For Tally'!A:A, "&lt;=2023-06-30", 'For Tally'!L:L, $B$5:$F$5))</f>
        <v/>
      </c>
      <c r="E49" s="69">
        <f>SUMPRODUCT(SUMIFS('For Tally'!D:D, 'For Tally'!H:H, $A49, 'For Tally'!A:A, "&gt;=2023-07-01", 'For Tally'!A:A, "&lt;=2023-07-31", 'For Tally'!L:L, $B$5:$F$5))</f>
        <v/>
      </c>
      <c r="F49" s="69">
        <f>SUMPRODUCT(SUMIFS('For Tally'!D:D, 'For Tally'!H:H, $A49, 'For Tally'!A:A, "&gt;=2023-08-01", 'For Tally'!A:A, "&lt;=2023-08-31", 'For Tally'!L:L, $B$5:$F$5))</f>
        <v/>
      </c>
      <c r="G49" s="69">
        <f>SUMPRODUCT(SUMIFS('For Tally'!D:D, 'For Tally'!H:H, $A49, 'For Tally'!A:A, "&gt;=2023-09-01", 'For Tally'!A:A, "&lt;=2023-09-30", 'For Tally'!L:L, $B$5:$F$5))</f>
        <v/>
      </c>
      <c r="H49" s="69">
        <f>SUMPRODUCT(SUMIFS('For Tally'!D:D, 'For Tally'!H:H, $A49, 'For Tally'!A:A, "&gt;=2023-10-01", 'For Tally'!A:A, "&lt;=2023-10-31", 'For Tally'!L:L, $B$5:$F$5))</f>
        <v/>
      </c>
      <c r="I49" s="69">
        <f>SUMPRODUCT(SUMIFS('For Tally'!D:D, 'For Tally'!H:H, $A49, 'For Tally'!A:A, "&gt;=2023-11-01", 'For Tally'!A:A, "&lt;=2023-11-30", 'For Tally'!L:L, $B$5:$F$5))</f>
        <v/>
      </c>
      <c r="J49" s="69">
        <f>SUMPRODUCT(SUMIFS('For Tally'!D:D, 'For Tally'!H:H, $A49, 'For Tally'!A:A, "&gt;=2023-12-01", 'For Tally'!A:A, "&lt;=2023-12-31", 'For Tally'!L:L, $B$5:$F$5))</f>
        <v/>
      </c>
      <c r="K49" s="69">
        <f>SUMPRODUCT(SUMIFS('For Tally'!D:D, 'For Tally'!H:H, $A49, 'For Tally'!A:A, "&gt;=2024-01-01", 'For Tally'!A:A, "&lt;=2024-01-31", 'For Tally'!L:L, $B$5:$F$5))</f>
        <v/>
      </c>
      <c r="L49" s="69">
        <f>SUMPRODUCT(SUMIFS('For Tally'!D:D, 'For Tally'!H:H, $A49, 'For Tally'!A:A, "&gt;=2024-02-01", 'For Tally'!A:A, "&lt;=2024-02-29", 'For Tally'!L:L, $B$5:$F$5))</f>
        <v/>
      </c>
      <c r="M49" s="69">
        <f>SUMPRODUCT(SUMIFS('For Tally'!D:D, 'For Tally'!H:H, $A49, 'For Tally'!A:A, "&gt;=2024-03-01", 'For Tally'!A:A, "&lt;=2024-03-31", 'For Tally'!L:L, $B$5:$F$5))</f>
        <v/>
      </c>
      <c r="N49" s="69">
        <f>SUMPRODUCT(SUMIFS('For Tally'!D:D, 'For Tally'!H:H, $A49, 'For Tally'!A:A, "&gt;=2024-04-01", 'For Tally'!A:A, "&lt;=2024-04-30", 'For Tally'!L:L, $B$5:$F$5))</f>
        <v/>
      </c>
      <c r="O49" s="69">
        <f>SUM(B49:N49)</f>
        <v/>
      </c>
    </row>
    <row r="50">
      <c r="A50" s="69" t="inlineStr">
        <is>
          <t>Personal</t>
        </is>
      </c>
      <c r="B50" s="69">
        <f>SUMPRODUCT(SUMIFS('For Tally'!D:D, 'For Tally'!H:H, $A50, 'For Tally'!A:A, "&gt;=2023-04-01", 'For Tally'!A:A, "&lt;=2023-04-30", 'For Tally'!L:L, $B$5:$F$5))</f>
        <v/>
      </c>
      <c r="C50" s="69">
        <f>SUMPRODUCT(SUMIFS('For Tally'!D:D, 'For Tally'!H:H, $A50, 'For Tally'!A:A, "&gt;=2023-05-01", 'For Tally'!A:A, "&lt;=2023-05-31", 'For Tally'!L:L, $B$5:$F$5))</f>
        <v/>
      </c>
      <c r="D50" s="69">
        <f>SUMPRODUCT(SUMIFS('For Tally'!D:D, 'For Tally'!H:H, $A50, 'For Tally'!A:A, "&gt;=2023-06-01", 'For Tally'!A:A, "&lt;=2023-06-30", 'For Tally'!L:L, $B$5:$F$5))</f>
        <v/>
      </c>
      <c r="E50" s="69">
        <f>SUMPRODUCT(SUMIFS('For Tally'!D:D, 'For Tally'!H:H, $A50, 'For Tally'!A:A, "&gt;=2023-07-01", 'For Tally'!A:A, "&lt;=2023-07-31", 'For Tally'!L:L, $B$5:$F$5))</f>
        <v/>
      </c>
      <c r="F50" s="69">
        <f>SUMPRODUCT(SUMIFS('For Tally'!D:D, 'For Tally'!H:H, $A50, 'For Tally'!A:A, "&gt;=2023-08-01", 'For Tally'!A:A, "&lt;=2023-08-31", 'For Tally'!L:L, $B$5:$F$5))</f>
        <v/>
      </c>
      <c r="G50" s="69">
        <f>SUMPRODUCT(SUMIFS('For Tally'!D:D, 'For Tally'!H:H, $A50, 'For Tally'!A:A, "&gt;=2023-09-01", 'For Tally'!A:A, "&lt;=2023-09-30", 'For Tally'!L:L, $B$5:$F$5))</f>
        <v/>
      </c>
      <c r="H50" s="69">
        <f>SUMPRODUCT(SUMIFS('For Tally'!D:D, 'For Tally'!H:H, $A50, 'For Tally'!A:A, "&gt;=2023-10-01", 'For Tally'!A:A, "&lt;=2023-10-31", 'For Tally'!L:L, $B$5:$F$5))</f>
        <v/>
      </c>
      <c r="I50" s="69">
        <f>SUMPRODUCT(SUMIFS('For Tally'!D:D, 'For Tally'!H:H, $A50, 'For Tally'!A:A, "&gt;=2023-11-01", 'For Tally'!A:A, "&lt;=2023-11-30", 'For Tally'!L:L, $B$5:$F$5))</f>
        <v/>
      </c>
      <c r="J50" s="69">
        <f>SUMPRODUCT(SUMIFS('For Tally'!D:D, 'For Tally'!H:H, $A50, 'For Tally'!A:A, "&gt;=2023-12-01", 'For Tally'!A:A, "&lt;=2023-12-31", 'For Tally'!L:L, $B$5:$F$5))</f>
        <v/>
      </c>
      <c r="K50" s="69">
        <f>SUMPRODUCT(SUMIFS('For Tally'!D:D, 'For Tally'!H:H, $A50, 'For Tally'!A:A, "&gt;=2024-01-01", 'For Tally'!A:A, "&lt;=2024-01-31", 'For Tally'!L:L, $B$5:$F$5))</f>
        <v/>
      </c>
      <c r="L50" s="69">
        <f>SUMPRODUCT(SUMIFS('For Tally'!D:D, 'For Tally'!H:H, $A50, 'For Tally'!A:A, "&gt;=2024-02-01", 'For Tally'!A:A, "&lt;=2024-02-29", 'For Tally'!L:L, $B$5:$F$5))</f>
        <v/>
      </c>
      <c r="M50" s="69">
        <f>SUMPRODUCT(SUMIFS('For Tally'!D:D, 'For Tally'!H:H, $A50, 'For Tally'!A:A, "&gt;=2024-03-01", 'For Tally'!A:A, "&lt;=2024-03-31", 'For Tally'!L:L, $B$5:$F$5))</f>
        <v/>
      </c>
      <c r="N50" s="69">
        <f>SUMPRODUCT(SUMIFS('For Tally'!D:D, 'For Tally'!H:H, $A50, 'For Tally'!A:A, "&gt;=2024-04-01", 'For Tally'!A:A, "&lt;=2024-04-30", 'For Tally'!L:L, $B$5:$F$5))</f>
        <v/>
      </c>
      <c r="O50" s="69">
        <f>SUM(B50:N50)</f>
        <v/>
      </c>
    </row>
    <row r="51">
      <c r="A51" s="107" t="inlineStr">
        <is>
          <t>Salary</t>
        </is>
      </c>
      <c r="B51" s="107">
        <f>SUMPRODUCT(SUMIFS('For Tally'!D:D, 'For Tally'!H:H, $A51, 'For Tally'!A:A, "&gt;=2023-04-01", 'For Tally'!A:A, "&lt;=2023-04-30", 'For Tally'!L:L, $B$5:$F$5))</f>
        <v/>
      </c>
      <c r="C51" s="107">
        <f>SUMPRODUCT(SUMIFS('For Tally'!D:D, 'For Tally'!H:H, $A51, 'For Tally'!A:A, "&gt;=2023-05-01", 'For Tally'!A:A, "&lt;=2023-05-31", 'For Tally'!L:L, $B$5:$F$5))</f>
        <v/>
      </c>
      <c r="D51" s="107">
        <f>SUMPRODUCT(SUMIFS('For Tally'!D:D, 'For Tally'!H:H, $A51, 'For Tally'!A:A, "&gt;=2023-06-01", 'For Tally'!A:A, "&lt;=2023-06-30", 'For Tally'!L:L, $B$5:$F$5))</f>
        <v/>
      </c>
      <c r="E51" s="107">
        <f>SUMPRODUCT(SUMIFS('For Tally'!D:D, 'For Tally'!H:H, $A51, 'For Tally'!A:A, "&gt;=2023-07-01", 'For Tally'!A:A, "&lt;=2023-07-31", 'For Tally'!L:L, $B$5:$F$5))</f>
        <v/>
      </c>
      <c r="F51" s="107">
        <f>SUMPRODUCT(SUMIFS('For Tally'!D:D, 'For Tally'!H:H, $A51, 'For Tally'!A:A, "&gt;=2023-08-01", 'For Tally'!A:A, "&lt;=2023-08-31", 'For Tally'!L:L, $B$5:$F$5))</f>
        <v/>
      </c>
      <c r="G51" s="107">
        <f>SUMPRODUCT(SUMIFS('For Tally'!D:D, 'For Tally'!H:H, $A51, 'For Tally'!A:A, "&gt;=2023-09-01", 'For Tally'!A:A, "&lt;=2023-09-30", 'For Tally'!L:L, $B$5:$F$5))</f>
        <v/>
      </c>
      <c r="H51" s="107">
        <f>SUMPRODUCT(SUMIFS('For Tally'!D:D, 'For Tally'!H:H, $A51, 'For Tally'!A:A, "&gt;=2023-10-01", 'For Tally'!A:A, "&lt;=2023-10-31", 'For Tally'!L:L, $B$5:$F$5))</f>
        <v/>
      </c>
      <c r="I51" s="107">
        <f>SUMPRODUCT(SUMIFS('For Tally'!D:D, 'For Tally'!H:H, $A51, 'For Tally'!A:A, "&gt;=2023-11-01", 'For Tally'!A:A, "&lt;=2023-11-30", 'For Tally'!L:L, $B$5:$F$5))</f>
        <v/>
      </c>
      <c r="J51" s="107">
        <f>SUMPRODUCT(SUMIFS('For Tally'!D:D, 'For Tally'!H:H, $A51, 'For Tally'!A:A, "&gt;=2023-12-01", 'For Tally'!A:A, "&lt;=2023-12-31", 'For Tally'!L:L, $B$5:$F$5))</f>
        <v/>
      </c>
      <c r="K51" s="107">
        <f>SUMPRODUCT(SUMIFS('For Tally'!D:D, 'For Tally'!H:H, $A51, 'For Tally'!A:A, "&gt;=2024-01-01", 'For Tally'!A:A, "&lt;=2024-01-31", 'For Tally'!L:L, $B$5:$F$5))</f>
        <v/>
      </c>
      <c r="L51" s="107">
        <f>SUMPRODUCT(SUMIFS('For Tally'!D:D, 'For Tally'!H:H, $A51, 'For Tally'!A:A, "&gt;=2024-02-01", 'For Tally'!A:A, "&lt;=2024-02-29", 'For Tally'!L:L, $B$5:$F$5))</f>
        <v/>
      </c>
      <c r="M51" s="107">
        <f>SUMPRODUCT(SUMIFS('For Tally'!D:D, 'For Tally'!H:H, $A51, 'For Tally'!A:A, "&gt;=2024-03-01", 'For Tally'!A:A, "&lt;=2024-03-31", 'For Tally'!L:L, $B$5:$F$5))</f>
        <v/>
      </c>
      <c r="N51" s="107">
        <f>SUMPRODUCT(SUMIFS('For Tally'!D:D, 'For Tally'!H:H, $A51, 'For Tally'!A:A, "&gt;=2024-04-01", 'For Tally'!A:A, "&lt;=2024-04-30", 'For Tally'!L:L, $B$5:$F$5))</f>
        <v/>
      </c>
      <c r="O51" s="107">
        <f>SUM(B51:N51)</f>
        <v/>
      </c>
    </row>
    <row r="52">
      <c r="A52" s="69" t="inlineStr">
        <is>
          <t>Sunita Gupta</t>
        </is>
      </c>
      <c r="B52" s="69">
        <f>SUMPRODUCT(SUMIFS('For Tally'!D:D, 'For Tally'!H:H, $A52, 'For Tally'!A:A, "&gt;=2023-04-01", 'For Tally'!A:A, "&lt;=2023-04-30", 'For Tally'!L:L, $B$5:$F$5))</f>
        <v/>
      </c>
      <c r="C52" s="69">
        <f>SUMPRODUCT(SUMIFS('For Tally'!D:D, 'For Tally'!H:H, $A52, 'For Tally'!A:A, "&gt;=2023-05-01", 'For Tally'!A:A, "&lt;=2023-05-31", 'For Tally'!L:L, $B$5:$F$5))</f>
        <v/>
      </c>
      <c r="D52" s="69">
        <f>SUMPRODUCT(SUMIFS('For Tally'!D:D, 'For Tally'!H:H, $A52, 'For Tally'!A:A, "&gt;=2023-06-01", 'For Tally'!A:A, "&lt;=2023-06-30", 'For Tally'!L:L, $B$5:$F$5))</f>
        <v/>
      </c>
      <c r="E52" s="69">
        <f>SUMPRODUCT(SUMIFS('For Tally'!D:D, 'For Tally'!H:H, $A52, 'For Tally'!A:A, "&gt;=2023-07-01", 'For Tally'!A:A, "&lt;=2023-07-31", 'For Tally'!L:L, $B$5:$F$5))</f>
        <v/>
      </c>
      <c r="F52" s="69">
        <f>SUMPRODUCT(SUMIFS('For Tally'!D:D, 'For Tally'!H:H, $A52, 'For Tally'!A:A, "&gt;=2023-08-01", 'For Tally'!A:A, "&lt;=2023-08-31", 'For Tally'!L:L, $B$5:$F$5))</f>
        <v/>
      </c>
      <c r="G52" s="69">
        <f>SUMPRODUCT(SUMIFS('For Tally'!D:D, 'For Tally'!H:H, $A52, 'For Tally'!A:A, "&gt;=2023-09-01", 'For Tally'!A:A, "&lt;=2023-09-30", 'For Tally'!L:L, $B$5:$F$5))</f>
        <v/>
      </c>
      <c r="H52" s="69">
        <f>SUMPRODUCT(SUMIFS('For Tally'!D:D, 'For Tally'!H:H, $A52, 'For Tally'!A:A, "&gt;=2023-10-01", 'For Tally'!A:A, "&lt;=2023-10-31", 'For Tally'!L:L, $B$5:$F$5))</f>
        <v/>
      </c>
      <c r="I52" s="69">
        <f>SUMPRODUCT(SUMIFS('For Tally'!D:D, 'For Tally'!H:H, $A52, 'For Tally'!A:A, "&gt;=2023-11-01", 'For Tally'!A:A, "&lt;=2023-11-30", 'For Tally'!L:L, $B$5:$F$5))</f>
        <v/>
      </c>
      <c r="J52" s="69">
        <f>SUMPRODUCT(SUMIFS('For Tally'!D:D, 'For Tally'!H:H, $A52, 'For Tally'!A:A, "&gt;=2023-12-01", 'For Tally'!A:A, "&lt;=2023-12-31", 'For Tally'!L:L, $B$5:$F$5))</f>
        <v/>
      </c>
      <c r="K52" s="69">
        <f>SUMPRODUCT(SUMIFS('For Tally'!D:D, 'For Tally'!H:H, $A52, 'For Tally'!A:A, "&gt;=2024-01-01", 'For Tally'!A:A, "&lt;=2024-01-31", 'For Tally'!L:L, $B$5:$F$5))</f>
        <v/>
      </c>
      <c r="L52" s="69">
        <f>SUMPRODUCT(SUMIFS('For Tally'!D:D, 'For Tally'!H:H, $A52, 'For Tally'!A:A, "&gt;=2024-02-01", 'For Tally'!A:A, "&lt;=2024-02-29", 'For Tally'!L:L, $B$5:$F$5))</f>
        <v/>
      </c>
      <c r="M52" s="69">
        <f>SUMPRODUCT(SUMIFS('For Tally'!D:D, 'For Tally'!H:H, $A52, 'For Tally'!A:A, "&gt;=2024-03-01", 'For Tally'!A:A, "&lt;=2024-03-31", 'For Tally'!L:L, $B$5:$F$5))</f>
        <v/>
      </c>
      <c r="N52" s="69">
        <f>SUMPRODUCT(SUMIFS('For Tally'!D:D, 'For Tally'!H:H, $A52, 'For Tally'!A:A, "&gt;=2024-04-01", 'For Tally'!A:A, "&lt;=2024-04-30", 'For Tally'!L:L, $B$5:$F$5))</f>
        <v/>
      </c>
      <c r="O52" s="69">
        <f>SUM(B52:N52)</f>
        <v/>
      </c>
    </row>
    <row r="53">
      <c r="A53" s="69" t="inlineStr">
        <is>
          <t>Suspense</t>
        </is>
      </c>
      <c r="B53" s="69">
        <f>SUMPRODUCT(SUMIFS('For Tally'!D:D, 'For Tally'!H:H, $A53, 'For Tally'!A:A, "&gt;=2023-04-01", 'For Tally'!A:A, "&lt;=2023-04-30", 'For Tally'!L:L, $B$5:$F$5))</f>
        <v/>
      </c>
      <c r="C53" s="69">
        <f>SUMPRODUCT(SUMIFS('For Tally'!D:D, 'For Tally'!H:H, $A53, 'For Tally'!A:A, "&gt;=2023-05-01", 'For Tally'!A:A, "&lt;=2023-05-31", 'For Tally'!L:L, $B$5:$F$5))</f>
        <v/>
      </c>
      <c r="D53" s="69">
        <f>SUMPRODUCT(SUMIFS('For Tally'!D:D, 'For Tally'!H:H, $A53, 'For Tally'!A:A, "&gt;=2023-06-01", 'For Tally'!A:A, "&lt;=2023-06-30", 'For Tally'!L:L, $B$5:$F$5))</f>
        <v/>
      </c>
      <c r="E53" s="69">
        <f>SUMPRODUCT(SUMIFS('For Tally'!D:D, 'For Tally'!H:H, $A53, 'For Tally'!A:A, "&gt;=2023-07-01", 'For Tally'!A:A, "&lt;=2023-07-31", 'For Tally'!L:L, $B$5:$F$5))</f>
        <v/>
      </c>
      <c r="F53" s="69">
        <f>SUMPRODUCT(SUMIFS('For Tally'!D:D, 'For Tally'!H:H, $A53, 'For Tally'!A:A, "&gt;=2023-08-01", 'For Tally'!A:A, "&lt;=2023-08-31", 'For Tally'!L:L, $B$5:$F$5))</f>
        <v/>
      </c>
      <c r="G53" s="69">
        <f>SUMPRODUCT(SUMIFS('For Tally'!D:D, 'For Tally'!H:H, $A53, 'For Tally'!A:A, "&gt;=2023-09-01", 'For Tally'!A:A, "&lt;=2023-09-30", 'For Tally'!L:L, $B$5:$F$5))</f>
        <v/>
      </c>
      <c r="H53" s="69">
        <f>SUMPRODUCT(SUMIFS('For Tally'!D:D, 'For Tally'!H:H, $A53, 'For Tally'!A:A, "&gt;=2023-10-01", 'For Tally'!A:A, "&lt;=2023-10-31", 'For Tally'!L:L, $B$5:$F$5))</f>
        <v/>
      </c>
      <c r="I53" s="69">
        <f>SUMPRODUCT(SUMIFS('For Tally'!D:D, 'For Tally'!H:H, $A53, 'For Tally'!A:A, "&gt;=2023-11-01", 'For Tally'!A:A, "&lt;=2023-11-30", 'For Tally'!L:L, $B$5:$F$5))</f>
        <v/>
      </c>
      <c r="J53" s="69">
        <f>SUMPRODUCT(SUMIFS('For Tally'!D:D, 'For Tally'!H:H, $A53, 'For Tally'!A:A, "&gt;=2023-12-01", 'For Tally'!A:A, "&lt;=2023-12-31", 'For Tally'!L:L, $B$5:$F$5))</f>
        <v/>
      </c>
      <c r="K53" s="69">
        <f>SUMPRODUCT(SUMIFS('For Tally'!D:D, 'For Tally'!H:H, $A53, 'For Tally'!A:A, "&gt;=2024-01-01", 'For Tally'!A:A, "&lt;=2024-01-31", 'For Tally'!L:L, $B$5:$F$5))</f>
        <v/>
      </c>
      <c r="L53" s="69">
        <f>SUMPRODUCT(SUMIFS('For Tally'!D:D, 'For Tally'!H:H, $A53, 'For Tally'!A:A, "&gt;=2024-02-01", 'For Tally'!A:A, "&lt;=2024-02-29", 'For Tally'!L:L, $B$5:$F$5))</f>
        <v/>
      </c>
      <c r="M53" s="69">
        <f>SUMPRODUCT(SUMIFS('For Tally'!D:D, 'For Tally'!H:H, $A53, 'For Tally'!A:A, "&gt;=2024-03-01", 'For Tally'!A:A, "&lt;=2024-03-31", 'For Tally'!L:L, $B$5:$F$5))</f>
        <v/>
      </c>
      <c r="N53" s="69">
        <f>SUMPRODUCT(SUMIFS('For Tally'!D:D, 'For Tally'!H:H, $A53, 'For Tally'!A:A, "&gt;=2024-04-01", 'For Tally'!A:A, "&lt;=2024-04-30", 'For Tally'!L:L, $B$5:$F$5))</f>
        <v/>
      </c>
      <c r="O53" s="69">
        <f>SUM(B53:N53)</f>
        <v/>
      </c>
    </row>
    <row r="54">
      <c r="A54" s="69" t="inlineStr">
        <is>
          <t>Transfer</t>
        </is>
      </c>
      <c r="B54" s="69">
        <f>SUMPRODUCT(SUMIFS('For Tally'!D:D, 'For Tally'!H:H, $A54, 'For Tally'!A:A, "&gt;=2023-04-01", 'For Tally'!A:A, "&lt;=2023-04-30", 'For Tally'!L:L, $B$5:$F$5))</f>
        <v/>
      </c>
      <c r="C54" s="69">
        <f>SUMPRODUCT(SUMIFS('For Tally'!D:D, 'For Tally'!H:H, $A54, 'For Tally'!A:A, "&gt;=2023-05-01", 'For Tally'!A:A, "&lt;=2023-05-31", 'For Tally'!L:L, $B$5:$F$5))</f>
        <v/>
      </c>
      <c r="D54" s="69">
        <f>SUMPRODUCT(SUMIFS('For Tally'!D:D, 'For Tally'!H:H, $A54, 'For Tally'!A:A, "&gt;=2023-06-01", 'For Tally'!A:A, "&lt;=2023-06-30", 'For Tally'!L:L, $B$5:$F$5))</f>
        <v/>
      </c>
      <c r="E54" s="69">
        <f>SUMPRODUCT(SUMIFS('For Tally'!D:D, 'For Tally'!H:H, $A54, 'For Tally'!A:A, "&gt;=2023-07-01", 'For Tally'!A:A, "&lt;=2023-07-31", 'For Tally'!L:L, $B$5:$F$5))</f>
        <v/>
      </c>
      <c r="F54" s="69">
        <f>SUMPRODUCT(SUMIFS('For Tally'!D:D, 'For Tally'!H:H, $A54, 'For Tally'!A:A, "&gt;=2023-08-01", 'For Tally'!A:A, "&lt;=2023-08-31", 'For Tally'!L:L, $B$5:$F$5))</f>
        <v/>
      </c>
      <c r="G54" s="69">
        <f>SUMPRODUCT(SUMIFS('For Tally'!D:D, 'For Tally'!H:H, $A54, 'For Tally'!A:A, "&gt;=2023-09-01", 'For Tally'!A:A, "&lt;=2023-09-30", 'For Tally'!L:L, $B$5:$F$5))</f>
        <v/>
      </c>
      <c r="H54" s="69">
        <f>SUMPRODUCT(SUMIFS('For Tally'!D:D, 'For Tally'!H:H, $A54, 'For Tally'!A:A, "&gt;=2023-10-01", 'For Tally'!A:A, "&lt;=2023-10-31", 'For Tally'!L:L, $B$5:$F$5))</f>
        <v/>
      </c>
      <c r="I54" s="69">
        <f>SUMPRODUCT(SUMIFS('For Tally'!D:D, 'For Tally'!H:H, $A54, 'For Tally'!A:A, "&gt;=2023-11-01", 'For Tally'!A:A, "&lt;=2023-11-30", 'For Tally'!L:L, $B$5:$F$5))</f>
        <v/>
      </c>
      <c r="J54" s="69">
        <f>SUMPRODUCT(SUMIFS('For Tally'!D:D, 'For Tally'!H:H, $A54, 'For Tally'!A:A, "&gt;=2023-12-01", 'For Tally'!A:A, "&lt;=2023-12-31", 'For Tally'!L:L, $B$5:$F$5))</f>
        <v/>
      </c>
      <c r="K54" s="69">
        <f>SUMPRODUCT(SUMIFS('For Tally'!D:D, 'For Tally'!H:H, $A54, 'For Tally'!A:A, "&gt;=2024-01-01", 'For Tally'!A:A, "&lt;=2024-01-31", 'For Tally'!L:L, $B$5:$F$5))</f>
        <v/>
      </c>
      <c r="L54" s="69">
        <f>SUMPRODUCT(SUMIFS('For Tally'!D:D, 'For Tally'!H:H, $A54, 'For Tally'!A:A, "&gt;=2024-02-01", 'For Tally'!A:A, "&lt;=2024-02-29", 'For Tally'!L:L, $B$5:$F$5))</f>
        <v/>
      </c>
      <c r="M54" s="69">
        <f>SUMPRODUCT(SUMIFS('For Tally'!D:D, 'For Tally'!H:H, $A54, 'For Tally'!A:A, "&gt;=2024-03-01", 'For Tally'!A:A, "&lt;=2024-03-31", 'For Tally'!L:L, $B$5:$F$5))</f>
        <v/>
      </c>
      <c r="N54" s="69">
        <f>SUMPRODUCT(SUMIFS('For Tally'!D:D, 'For Tally'!H:H, $A54, 'For Tally'!A:A, "&gt;=2024-04-01", 'For Tally'!A:A, "&lt;=2024-04-30", 'For Tally'!L:L, $B$5:$F$5))</f>
        <v/>
      </c>
      <c r="O54" s="69">
        <f>SUM(B54:N54)</f>
        <v/>
      </c>
    </row>
    <row r="55">
      <c r="A55" s="69" t="inlineStr">
        <is>
          <t>Transport</t>
        </is>
      </c>
      <c r="B55" s="69">
        <f>SUMPRODUCT(SUMIFS('For Tally'!D:D, 'For Tally'!H:H, $A55, 'For Tally'!A:A, "&gt;=2023-04-01", 'For Tally'!A:A, "&lt;=2023-04-30", 'For Tally'!L:L, $B$5:$F$5))</f>
        <v/>
      </c>
      <c r="C55" s="69">
        <f>SUMPRODUCT(SUMIFS('For Tally'!D:D, 'For Tally'!H:H, $A55, 'For Tally'!A:A, "&gt;=2023-05-01", 'For Tally'!A:A, "&lt;=2023-05-31", 'For Tally'!L:L, $B$5:$F$5))</f>
        <v/>
      </c>
      <c r="D55" s="69">
        <f>SUMPRODUCT(SUMIFS('For Tally'!D:D, 'For Tally'!H:H, $A55, 'For Tally'!A:A, "&gt;=2023-06-01", 'For Tally'!A:A, "&lt;=2023-06-30", 'For Tally'!L:L, $B$5:$F$5))</f>
        <v/>
      </c>
      <c r="E55" s="69">
        <f>SUMPRODUCT(SUMIFS('For Tally'!D:D, 'For Tally'!H:H, $A55, 'For Tally'!A:A, "&gt;=2023-07-01", 'For Tally'!A:A, "&lt;=2023-07-31", 'For Tally'!L:L, $B$5:$F$5))</f>
        <v/>
      </c>
      <c r="F55" s="69">
        <f>SUMPRODUCT(SUMIFS('For Tally'!D:D, 'For Tally'!H:H, $A55, 'For Tally'!A:A, "&gt;=2023-08-01", 'For Tally'!A:A, "&lt;=2023-08-31", 'For Tally'!L:L, $B$5:$F$5))</f>
        <v/>
      </c>
      <c r="G55" s="69">
        <f>SUMPRODUCT(SUMIFS('For Tally'!D:D, 'For Tally'!H:H, $A55, 'For Tally'!A:A, "&gt;=2023-09-01", 'For Tally'!A:A, "&lt;=2023-09-30", 'For Tally'!L:L, $B$5:$F$5))</f>
        <v/>
      </c>
      <c r="H55" s="69">
        <f>SUMPRODUCT(SUMIFS('For Tally'!D:D, 'For Tally'!H:H, $A55, 'For Tally'!A:A, "&gt;=2023-10-01", 'For Tally'!A:A, "&lt;=2023-10-31", 'For Tally'!L:L, $B$5:$F$5))</f>
        <v/>
      </c>
      <c r="I55" s="69">
        <f>SUMPRODUCT(SUMIFS('For Tally'!D:D, 'For Tally'!H:H, $A55, 'For Tally'!A:A, "&gt;=2023-11-01", 'For Tally'!A:A, "&lt;=2023-11-30", 'For Tally'!L:L, $B$5:$F$5))</f>
        <v/>
      </c>
      <c r="J55" s="69">
        <f>SUMPRODUCT(SUMIFS('For Tally'!D:D, 'For Tally'!H:H, $A55, 'For Tally'!A:A, "&gt;=2023-12-01", 'For Tally'!A:A, "&lt;=2023-12-31", 'For Tally'!L:L, $B$5:$F$5))</f>
        <v/>
      </c>
      <c r="K55" s="69">
        <f>SUMPRODUCT(SUMIFS('For Tally'!D:D, 'For Tally'!H:H, $A55, 'For Tally'!A:A, "&gt;=2024-01-01", 'For Tally'!A:A, "&lt;=2024-01-31", 'For Tally'!L:L, $B$5:$F$5))</f>
        <v/>
      </c>
      <c r="L55" s="69">
        <f>SUMPRODUCT(SUMIFS('For Tally'!D:D, 'For Tally'!H:H, $A55, 'For Tally'!A:A, "&gt;=2024-02-01", 'For Tally'!A:A, "&lt;=2024-02-29", 'For Tally'!L:L, $B$5:$F$5))</f>
        <v/>
      </c>
      <c r="M55" s="69">
        <f>SUMPRODUCT(SUMIFS('For Tally'!D:D, 'For Tally'!H:H, $A55, 'For Tally'!A:A, "&gt;=2024-03-01", 'For Tally'!A:A, "&lt;=2024-03-31", 'For Tally'!L:L, $B$5:$F$5))</f>
        <v/>
      </c>
      <c r="N55" s="69">
        <f>SUMPRODUCT(SUMIFS('For Tally'!D:D, 'For Tally'!H:H, $A55, 'For Tally'!A:A, "&gt;=2024-04-01", 'For Tally'!A:A, "&lt;=2024-04-30", 'For Tally'!L:L, $B$5:$F$5))</f>
        <v/>
      </c>
      <c r="O55" s="69">
        <f>SUM(B55:N55)</f>
        <v/>
      </c>
    </row>
    <row r="56">
      <c r="A56" s="69" t="inlineStr">
        <is>
          <t>Travel</t>
        </is>
      </c>
      <c r="B56" s="69">
        <f>SUMPRODUCT(SUMIFS('For Tally'!D:D, 'For Tally'!H:H, $A56, 'For Tally'!A:A, "&gt;=2023-04-01", 'For Tally'!A:A, "&lt;=2023-04-30", 'For Tally'!L:L, $B$5:$F$5))</f>
        <v/>
      </c>
      <c r="C56" s="69">
        <f>SUMPRODUCT(SUMIFS('For Tally'!D:D, 'For Tally'!H:H, $A56, 'For Tally'!A:A, "&gt;=2023-05-01", 'For Tally'!A:A, "&lt;=2023-05-31", 'For Tally'!L:L, $B$5:$F$5))</f>
        <v/>
      </c>
      <c r="D56" s="69">
        <f>SUMPRODUCT(SUMIFS('For Tally'!D:D, 'For Tally'!H:H, $A56, 'For Tally'!A:A, "&gt;=2023-06-01", 'For Tally'!A:A, "&lt;=2023-06-30", 'For Tally'!L:L, $B$5:$F$5))</f>
        <v/>
      </c>
      <c r="E56" s="69">
        <f>SUMPRODUCT(SUMIFS('For Tally'!D:D, 'For Tally'!H:H, $A56, 'For Tally'!A:A, "&gt;=2023-07-01", 'For Tally'!A:A, "&lt;=2023-07-31", 'For Tally'!L:L, $B$5:$F$5))</f>
        <v/>
      </c>
      <c r="F56" s="69">
        <f>SUMPRODUCT(SUMIFS('For Tally'!D:D, 'For Tally'!H:H, $A56, 'For Tally'!A:A, "&gt;=2023-08-01", 'For Tally'!A:A, "&lt;=2023-08-31", 'For Tally'!L:L, $B$5:$F$5))</f>
        <v/>
      </c>
      <c r="G56" s="69">
        <f>SUMPRODUCT(SUMIFS('For Tally'!D:D, 'For Tally'!H:H, $A56, 'For Tally'!A:A, "&gt;=2023-09-01", 'For Tally'!A:A, "&lt;=2023-09-30", 'For Tally'!L:L, $B$5:$F$5))</f>
        <v/>
      </c>
      <c r="H56" s="69">
        <f>SUMPRODUCT(SUMIFS('For Tally'!D:D, 'For Tally'!H:H, $A56, 'For Tally'!A:A, "&gt;=2023-10-01", 'For Tally'!A:A, "&lt;=2023-10-31", 'For Tally'!L:L, $B$5:$F$5))</f>
        <v/>
      </c>
      <c r="I56" s="69">
        <f>SUMPRODUCT(SUMIFS('For Tally'!D:D, 'For Tally'!H:H, $A56, 'For Tally'!A:A, "&gt;=2023-11-01", 'For Tally'!A:A, "&lt;=2023-11-30", 'For Tally'!L:L, $B$5:$F$5))</f>
        <v/>
      </c>
      <c r="J56" s="69">
        <f>SUMPRODUCT(SUMIFS('For Tally'!D:D, 'For Tally'!H:H, $A56, 'For Tally'!A:A, "&gt;=2023-12-01", 'For Tally'!A:A, "&lt;=2023-12-31", 'For Tally'!L:L, $B$5:$F$5))</f>
        <v/>
      </c>
      <c r="K56" s="69">
        <f>SUMPRODUCT(SUMIFS('For Tally'!D:D, 'For Tally'!H:H, $A56, 'For Tally'!A:A, "&gt;=2024-01-01", 'For Tally'!A:A, "&lt;=2024-01-31", 'For Tally'!L:L, $B$5:$F$5))</f>
        <v/>
      </c>
      <c r="L56" s="69">
        <f>SUMPRODUCT(SUMIFS('For Tally'!D:D, 'For Tally'!H:H, $A56, 'For Tally'!A:A, "&gt;=2024-02-01", 'For Tally'!A:A, "&lt;=2024-02-29", 'For Tally'!L:L, $B$5:$F$5))</f>
        <v/>
      </c>
      <c r="M56" s="69">
        <f>SUMPRODUCT(SUMIFS('For Tally'!D:D, 'For Tally'!H:H, $A56, 'For Tally'!A:A, "&gt;=2024-03-01", 'For Tally'!A:A, "&lt;=2024-03-31", 'For Tally'!L:L, $B$5:$F$5))</f>
        <v/>
      </c>
      <c r="N56" s="69">
        <f>SUMPRODUCT(SUMIFS('For Tally'!D:D, 'For Tally'!H:H, $A56, 'For Tally'!A:A, "&gt;=2024-04-01", 'For Tally'!A:A, "&lt;=2024-04-30", 'For Tally'!L:L, $B$5:$F$5))</f>
        <v/>
      </c>
      <c r="O56" s="69">
        <f>SUM(B56:N56)</f>
        <v/>
      </c>
    </row>
    <row r="57">
      <c r="A57" s="130" t="inlineStr">
        <is>
          <t>MONTHLY TOTAL</t>
        </is>
      </c>
      <c r="B57" s="130">
        <f>SUM(B38:B56)</f>
        <v/>
      </c>
      <c r="C57" s="130">
        <f>SUM(C38:C56)</f>
        <v/>
      </c>
      <c r="D57" s="130">
        <f>SUM(D38:D56)</f>
        <v/>
      </c>
      <c r="E57" s="130">
        <f>SUM(E38:E56)</f>
        <v/>
      </c>
      <c r="F57" s="130">
        <f>SUM(F38:F56)</f>
        <v/>
      </c>
      <c r="G57" s="130">
        <f>SUM(G38:G56)</f>
        <v/>
      </c>
      <c r="H57" s="130">
        <f>SUM(H38:H56)</f>
        <v/>
      </c>
      <c r="I57" s="130">
        <f>SUM(I38:I56)</f>
        <v/>
      </c>
      <c r="J57" s="130">
        <f>SUM(J38:J56)</f>
        <v/>
      </c>
      <c r="K57" s="130">
        <f>SUM(K38:K56)</f>
        <v/>
      </c>
      <c r="L57" s="130">
        <f>SUM(L38:L56)</f>
        <v/>
      </c>
      <c r="M57" s="130">
        <f>SUM(M38:M56)</f>
        <v/>
      </c>
      <c r="N57" s="130">
        <f>SUM(N38:N56)</f>
        <v/>
      </c>
      <c r="O57" s="130">
        <f>SUM(O38:O56)</f>
        <v/>
      </c>
    </row>
  </sheetData>
  <dataValidations count="1">
    <dataValidation sqref="B4 C4 D4 E4 F4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D65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50" customWidth="1" min="4" max="4"/>
  </cols>
  <sheetData>
    <row r="2">
      <c r="B2" s="131" t="inlineStr">
        <is>
          <t>Workbook Colour Legend</t>
        </is>
      </c>
    </row>
    <row r="5">
      <c r="B5" s="132" t="inlineStr">
        <is>
          <t>INCOME &amp; INFLOWS</t>
        </is>
      </c>
      <c r="C5" s="133" t="inlineStr">
        <is>
          <t>Colour Code</t>
        </is>
      </c>
      <c r="D5" s="134" t="inlineStr">
        <is>
          <t>Description</t>
        </is>
      </c>
    </row>
    <row r="7">
      <c r="B7" s="135" t="inlineStr">
        <is>
          <t>Salary</t>
        </is>
      </c>
      <c r="C7" s="136" t="inlineStr">
        <is>
          <t>Sample Fill</t>
        </is>
      </c>
      <c r="D7" s="137" t="inlineStr">
        <is>
          <t>Salary Credit (Mphasis)</t>
        </is>
      </c>
    </row>
    <row r="8">
      <c r="B8" s="135" t="inlineStr">
        <is>
          <t>Bank Interest</t>
        </is>
      </c>
      <c r="C8" s="138" t="inlineStr">
        <is>
          <t>Sample Fill</t>
        </is>
      </c>
      <c r="D8" s="137" t="inlineStr">
        <is>
          <t>Interest earned on Savings accounts</t>
        </is>
      </c>
    </row>
    <row r="9">
      <c r="B9" s="135" t="inlineStr">
        <is>
          <t>Dividend Income</t>
        </is>
      </c>
      <c r="C9" s="139" t="inlineStr">
        <is>
          <t>Sample Fill</t>
        </is>
      </c>
      <c r="D9" s="137" t="inlineStr">
        <is>
          <t>Dividend payout from shares</t>
        </is>
      </c>
    </row>
    <row r="10">
      <c r="B10" s="135" t="inlineStr">
        <is>
          <t>Annuity Income</t>
        </is>
      </c>
      <c r="C10" s="140" t="inlineStr">
        <is>
          <t>Sample Fill</t>
        </is>
      </c>
      <c r="D10" s="137" t="inlineStr">
        <is>
          <t>Annuity credits (HDFC Life)</t>
        </is>
      </c>
    </row>
    <row r="11">
      <c r="B11" s="135" t="inlineStr">
        <is>
          <t>Income Tax Refund</t>
        </is>
      </c>
      <c r="C11" s="141" t="inlineStr">
        <is>
          <t>Sample Fill</t>
        </is>
      </c>
      <c r="D11" s="137" t="inlineStr">
        <is>
          <t>Income Tax Refund from Department</t>
        </is>
      </c>
    </row>
    <row r="12">
      <c r="B12" s="135" t="inlineStr">
        <is>
          <t>MF Redemption</t>
        </is>
      </c>
      <c r="C12" s="142" t="inlineStr">
        <is>
          <t>Sample Fill</t>
        </is>
      </c>
      <c r="D12" s="137" t="inlineStr">
        <is>
          <t>Inflows from selling Mutual Funds</t>
        </is>
      </c>
    </row>
    <row r="13">
      <c r="B13" s="135" t="inlineStr">
        <is>
          <t>Upwork Income</t>
        </is>
      </c>
      <c r="C13" s="143" t="inlineStr">
        <is>
          <t>Sample Fill</t>
        </is>
      </c>
      <c r="D13" s="137" t="inlineStr">
        <is>
          <t>Inward remittances from Upwork freelancing</t>
        </is>
      </c>
    </row>
    <row r="14">
      <c r="B14" s="135" t="inlineStr">
        <is>
          <t>Cash Deposit</t>
        </is>
      </c>
      <c r="C14" s="136" t="inlineStr">
        <is>
          <t>Sample Fill</t>
        </is>
      </c>
      <c r="D14" s="137" t="inlineStr">
        <is>
          <t>Cash deposits made at CDM / Branch</t>
        </is>
      </c>
    </row>
    <row r="15">
      <c r="B15" s="135" t="inlineStr">
        <is>
          <t>Freelance Income</t>
        </is>
      </c>
      <c r="C15" s="143" t="inlineStr">
        <is>
          <t>Sample Fill</t>
        </is>
      </c>
      <c r="D15" s="137" t="inlineStr">
        <is>
          <t>Freelance work escrow payouts</t>
        </is>
      </c>
    </row>
    <row r="16">
      <c r="B16" s="135" t="inlineStr">
        <is>
          <t>Cashback - BHIM</t>
        </is>
      </c>
      <c r="C16" s="144" t="inlineStr">
        <is>
          <t>Sample Fill</t>
        </is>
      </c>
      <c r="D16" s="137" t="inlineStr">
        <is>
          <t>Cashback rewards earned on BHIM app</t>
        </is>
      </c>
    </row>
    <row r="17">
      <c r="B17" s="135" t="inlineStr">
        <is>
          <t>Cashback - Kiwi</t>
        </is>
      </c>
      <c r="C17" s="144" t="inlineStr">
        <is>
          <t>Sample Fill</t>
        </is>
      </c>
      <c r="D17" s="137" t="inlineStr">
        <is>
          <t>Cashback rewards earned on Kiwi app</t>
        </is>
      </c>
    </row>
    <row r="18">
      <c r="B18" s="145" t="inlineStr">
        <is>
          <t>INVESTMENTS</t>
        </is>
      </c>
      <c r="C18" s="146" t="inlineStr">
        <is>
          <t>Sample Fill</t>
        </is>
      </c>
      <c r="D18" s="137" t="inlineStr">
        <is>
          <t>Refund from Wakefit for online shopping</t>
        </is>
      </c>
    </row>
    <row r="20">
      <c r="B20" s="135" t="inlineStr">
        <is>
          <t>SIP</t>
        </is>
      </c>
      <c r="C20" s="147" t="inlineStr">
        <is>
          <t>Sample Fill</t>
        </is>
      </c>
      <c r="D20" s="137" t="inlineStr">
        <is>
          <t>Monthly Mutual Fund SIP payments</t>
        </is>
      </c>
    </row>
    <row r="21">
      <c r="B21" s="135" t="inlineStr">
        <is>
          <t>MF Investment</t>
        </is>
      </c>
      <c r="C21" s="147" t="inlineStr">
        <is>
          <t>Sample Fill</t>
        </is>
      </c>
      <c r="D21" s="137" t="inlineStr">
        <is>
          <t>Lumpsum Mutual Fund investments</t>
        </is>
      </c>
    </row>
    <row r="22">
      <c r="B22" s="135" t="inlineStr">
        <is>
          <t>Auto Sweep FD</t>
        </is>
      </c>
      <c r="C22" s="148" t="inlineStr">
        <is>
          <t>Sample Fill</t>
        </is>
      </c>
      <c r="D22" s="137" t="inlineStr">
        <is>
          <t>Sweep in/out between Savings and FD</t>
        </is>
      </c>
    </row>
    <row r="23">
      <c r="B23" s="135" t="inlineStr">
        <is>
          <t>Depository Credit</t>
        </is>
      </c>
      <c r="C23" s="140" t="inlineStr">
        <is>
          <t>Sample Fill</t>
        </is>
      </c>
      <c r="D23" s="137" t="inlineStr">
        <is>
          <t>CDSL credits / payouts</t>
        </is>
      </c>
    </row>
    <row r="24">
      <c r="B24" s="135" t="inlineStr">
        <is>
          <t>Zerodha Broking</t>
        </is>
      </c>
      <c r="C24" s="147" t="inlineStr">
        <is>
          <t>Sample Fill</t>
        </is>
      </c>
      <c r="D24" s="137" t="inlineStr">
        <is>
          <t>Payments/payouts associated with Zerodha</t>
        </is>
      </c>
    </row>
    <row r="25">
      <c r="B25" s="145" t="inlineStr">
        <is>
          <t>REGULAR OUTFLOWS &amp; INSURANCE</t>
        </is>
      </c>
      <c r="C25" s="149" t="inlineStr">
        <is>
          <t>Sample Fill</t>
        </is>
      </c>
      <c r="D25" s="137" t="inlineStr">
        <is>
          <t>Settlement transfers to HDFC Securities</t>
        </is>
      </c>
    </row>
    <row r="27">
      <c r="B27" s="135" t="inlineStr">
        <is>
          <t>Rent</t>
        </is>
      </c>
      <c r="C27" s="150" t="inlineStr">
        <is>
          <t>Sample Fill</t>
        </is>
      </c>
      <c r="D27" s="137" t="inlineStr">
        <is>
          <t>Rent payments to landlord</t>
        </is>
      </c>
    </row>
    <row r="28">
      <c r="B28" s="135" t="inlineStr">
        <is>
          <t>Insurance Premium</t>
        </is>
      </c>
      <c r="C28" s="151" t="inlineStr">
        <is>
          <t>Sample Fill</t>
        </is>
      </c>
      <c r="D28" s="137" t="inlineStr">
        <is>
          <t>Life / general insurance premium payments</t>
        </is>
      </c>
    </row>
    <row r="29">
      <c r="B29" s="135" t="inlineStr">
        <is>
          <t>Health Insurance</t>
        </is>
      </c>
      <c r="C29" s="150" t="inlineStr">
        <is>
          <t>Sample Fill</t>
        </is>
      </c>
      <c r="D29" s="137" t="inlineStr">
        <is>
          <t>Health insurance premium payments</t>
        </is>
      </c>
    </row>
    <row r="30">
      <c r="B30" s="135" t="inlineStr">
        <is>
          <t>Security Deposit</t>
        </is>
      </c>
      <c r="C30" s="152" t="inlineStr">
        <is>
          <t>Sample Fill</t>
        </is>
      </c>
      <c r="D30" s="137" t="inlineStr">
        <is>
          <t>Security deposit paid for rental home</t>
        </is>
      </c>
    </row>
    <row r="31">
      <c r="B31" s="145" t="inlineStr">
        <is>
          <t>TAXES &amp; BANK CHARGES</t>
        </is>
      </c>
      <c r="C31" s="153" t="inlineStr">
        <is>
          <t>Sample Fill</t>
        </is>
      </c>
      <c r="D31" s="137" t="inlineStr">
        <is>
          <t>Refund/return of security deposit</t>
        </is>
      </c>
    </row>
    <row r="33">
      <c r="B33" s="135" t="inlineStr">
        <is>
          <t>Advance Tax</t>
        </is>
      </c>
      <c r="C33" s="154" t="inlineStr">
        <is>
          <t>Sample Fill</t>
        </is>
      </c>
      <c r="D33" s="137" t="inlineStr">
        <is>
          <t>Advance tax payments</t>
        </is>
      </c>
    </row>
    <row r="34">
      <c r="B34" s="135" t="inlineStr">
        <is>
          <t>Income Tax Payment</t>
        </is>
      </c>
      <c r="C34" s="151" t="inlineStr">
        <is>
          <t>Sample Fill</t>
        </is>
      </c>
      <c r="D34" s="137" t="inlineStr">
        <is>
          <t>Income tax payments to CBDT</t>
        </is>
      </c>
    </row>
    <row r="35">
      <c r="B35" s="135" t="inlineStr">
        <is>
          <t>Bank Charges</t>
        </is>
      </c>
      <c r="C35" s="155" t="inlineStr">
        <is>
          <t>Sample Fill</t>
        </is>
      </c>
      <c r="D35" s="137" t="inlineStr">
        <is>
          <t>SMS charges, minimum balance fees, alert fees</t>
        </is>
      </c>
    </row>
    <row r="36">
      <c r="B36" s="145" t="inlineStr">
        <is>
          <t>FAMILY TRANSFERS</t>
        </is>
      </c>
      <c r="C36" s="156" t="inlineStr">
        <is>
          <t>Sample Fill</t>
        </is>
      </c>
      <c r="D36" s="137" t="inlineStr">
        <is>
          <t>CDSL / DP charges</t>
        </is>
      </c>
    </row>
    <row r="38">
      <c r="B38" s="135" t="inlineStr">
        <is>
          <t>Transfer - Sunita Gupta</t>
        </is>
      </c>
      <c r="C38" s="157" t="inlineStr">
        <is>
          <t>Sample Fill</t>
        </is>
      </c>
      <c r="D38" s="137" t="inlineStr">
        <is>
          <t>Transfers to/from Sunita Gupta</t>
        </is>
      </c>
    </row>
    <row r="39">
      <c r="B39" s="135" t="inlineStr">
        <is>
          <t>Transfer - Ajay Gupta</t>
        </is>
      </c>
      <c r="C39" s="158" t="inlineStr">
        <is>
          <t>Sample Fill</t>
        </is>
      </c>
      <c r="D39" s="137" t="inlineStr">
        <is>
          <t>Transfers to/from Ajay Gupta</t>
        </is>
      </c>
    </row>
    <row r="40">
      <c r="B40" s="135" t="inlineStr">
        <is>
          <t>Transfer - Archit Gupta</t>
        </is>
      </c>
      <c r="C40" s="159" t="inlineStr">
        <is>
          <t>Sample Fill</t>
        </is>
      </c>
      <c r="D40" s="137" t="inlineStr">
        <is>
          <t>Transfers to/from Archit Gupta</t>
        </is>
      </c>
    </row>
    <row r="41">
      <c r="B41" s="145" t="inlineStr">
        <is>
          <t>SELF TRANSFERS (CONTRA)</t>
        </is>
      </c>
      <c r="C41" s="160" t="inlineStr">
        <is>
          <t>Sample Fill</t>
        </is>
      </c>
      <c r="D41" s="137" t="inlineStr">
        <is>
          <t>Transfers to/from Megha Gupta</t>
        </is>
      </c>
    </row>
    <row r="43">
      <c r="B43" s="135" t="inlineStr">
        <is>
          <t>Contra - SBI</t>
        </is>
      </c>
      <c r="C43" s="161" t="inlineStr">
        <is>
          <t>Sample Fill</t>
        </is>
      </c>
      <c r="D43" s="137" t="inlineStr">
        <is>
          <t>Self-transfer to/from State Bank of India</t>
        </is>
      </c>
    </row>
    <row r="44">
      <c r="B44" s="135" t="inlineStr">
        <is>
          <t>Contra - Kotak</t>
        </is>
      </c>
      <c r="C44" s="162" t="inlineStr">
        <is>
          <t>Sample Fill</t>
        </is>
      </c>
      <c r="D44" s="137" t="inlineStr">
        <is>
          <t>Self-transfer to/from Kotak Mahindra Bank</t>
        </is>
      </c>
    </row>
    <row r="45">
      <c r="B45" s="135" t="inlineStr">
        <is>
          <t>Contra - Jupiter</t>
        </is>
      </c>
      <c r="C45" s="162" t="inlineStr">
        <is>
          <t>Sample Fill</t>
        </is>
      </c>
      <c r="D45" s="137" t="inlineStr">
        <is>
          <t>Self-transfer to/from Jupiter account</t>
        </is>
      </c>
    </row>
    <row r="46">
      <c r="B46" s="135" t="inlineStr">
        <is>
          <t>Contra - HDFC</t>
        </is>
      </c>
      <c r="C46" s="163" t="inlineStr">
        <is>
          <t>Sample Fill</t>
        </is>
      </c>
      <c r="D46" s="137" t="inlineStr">
        <is>
          <t>Self-transfer to/from HDFC Bank</t>
        </is>
      </c>
    </row>
    <row r="47">
      <c r="B47" s="135" t="inlineStr">
        <is>
          <t>Contra - Axis</t>
        </is>
      </c>
      <c r="C47" s="161" t="inlineStr">
        <is>
          <t>Sample Fill</t>
        </is>
      </c>
      <c r="D47" s="137" t="inlineStr">
        <is>
          <t>Self-transfer to/from Axis Bank</t>
        </is>
      </c>
    </row>
    <row r="48">
      <c r="B48" s="135" t="inlineStr">
        <is>
          <t>Contra - SBM</t>
        </is>
      </c>
      <c r="C48" s="162" t="inlineStr">
        <is>
          <t>Sample Fill</t>
        </is>
      </c>
      <c r="D48" s="137" t="inlineStr">
        <is>
          <t>Self-transfer to/from SBM Bank</t>
        </is>
      </c>
    </row>
    <row r="49">
      <c r="B49" s="135" t="inlineStr">
        <is>
          <t>Contra - Self</t>
        </is>
      </c>
      <c r="C49" s="161" t="inlineStr">
        <is>
          <t>Sample Fill</t>
        </is>
      </c>
      <c r="D49" s="137" t="inlineStr">
        <is>
          <t>Self-transfer between own accounts</t>
        </is>
      </c>
    </row>
    <row r="50">
      <c r="B50" s="145" t="inlineStr">
        <is>
          <t>UPI SPEND CATEGORIES</t>
        </is>
      </c>
      <c r="C50" s="161" t="inlineStr">
        <is>
          <t>Sample Fill</t>
        </is>
      </c>
      <c r="D50" s="137" t="inlineStr">
        <is>
          <t>Self-transfer via SuperMoney VPA</t>
        </is>
      </c>
    </row>
    <row r="52">
      <c r="B52" s="135" t="inlineStr">
        <is>
          <t>UPI - Zomato</t>
        </is>
      </c>
      <c r="C52" s="164" t="inlineStr">
        <is>
          <t>Sample Fill</t>
        </is>
      </c>
      <c r="D52" s="137" t="inlineStr">
        <is>
          <t>Food ordering via Zomato</t>
        </is>
      </c>
    </row>
    <row r="53">
      <c r="B53" s="135" t="inlineStr">
        <is>
          <t>UPI - Swiggy</t>
        </is>
      </c>
      <c r="C53" s="165" t="inlineStr">
        <is>
          <t>Sample Fill</t>
        </is>
      </c>
      <c r="D53" s="137" t="inlineStr">
        <is>
          <t>Food / Instamart ordering via Swiggy</t>
        </is>
      </c>
    </row>
    <row r="54">
      <c r="B54" s="135" t="inlineStr">
        <is>
          <t>UPI - BigBasket</t>
        </is>
      </c>
      <c r="C54" s="166" t="inlineStr">
        <is>
          <t>Sample Fill</t>
        </is>
      </c>
      <c r="D54" s="137" t="inlineStr">
        <is>
          <t>Grocery shopping via BigBasket / Zepto / Blinkit</t>
        </is>
      </c>
    </row>
    <row r="55">
      <c r="B55" s="135" t="inlineStr">
        <is>
          <t>UPI - Amazon</t>
        </is>
      </c>
      <c r="C55" s="161" t="inlineStr">
        <is>
          <t>Sample Fill</t>
        </is>
      </c>
      <c r="D55" s="137" t="inlineStr">
        <is>
          <t>Online shopping via Amazon / Flipkart / Ajio</t>
        </is>
      </c>
    </row>
    <row r="56">
      <c r="B56" s="135" t="inlineStr">
        <is>
          <t>UPI - Ola</t>
        </is>
      </c>
      <c r="C56" s="167" t="inlineStr">
        <is>
          <t>Sample Fill</t>
        </is>
      </c>
      <c r="D56" s="137" t="inlineStr">
        <is>
          <t>Cab / auto booking via Ola / Uber / BluSmart</t>
        </is>
      </c>
    </row>
    <row r="57">
      <c r="B57" s="135" t="inlineStr">
        <is>
          <t>UPI - Netflix</t>
        </is>
      </c>
      <c r="C57" s="168" t="inlineStr">
        <is>
          <t>Sample Fill</t>
        </is>
      </c>
      <c r="D57" s="137" t="inlineStr">
        <is>
          <t>Subscriptions like Netflix, Spotify, Prime Video</t>
        </is>
      </c>
    </row>
    <row r="58">
      <c r="B58" s="135" t="inlineStr">
        <is>
          <t>UPI - CRED</t>
        </is>
      </c>
      <c r="C58" s="169" t="inlineStr">
        <is>
          <t>Sample Fill</t>
        </is>
      </c>
      <c r="D58" s="137" t="inlineStr">
        <is>
          <t>Payments made through CRED, PhonePe, Paytm</t>
        </is>
      </c>
    </row>
    <row r="59">
      <c r="B59" s="135" t="inlineStr">
        <is>
          <t>UPI - Apollo</t>
        </is>
      </c>
      <c r="C59" s="170" t="inlineStr">
        <is>
          <t>Sample Fill</t>
        </is>
      </c>
      <c r="D59" s="137" t="inlineStr">
        <is>
          <t>Medical expenses via Apollo / MedPlus / Wellness</t>
        </is>
      </c>
    </row>
    <row r="60">
      <c r="B60" s="135" t="inlineStr">
        <is>
          <t>UPI - IRCTC</t>
        </is>
      </c>
      <c r="C60" s="171" t="inlineStr">
        <is>
          <t>Sample Fill</t>
        </is>
      </c>
      <c r="D60" s="137" t="inlineStr">
        <is>
          <t>Train / flight bookings via IRCTC or IndiGo</t>
        </is>
      </c>
    </row>
    <row r="61">
      <c r="B61" s="145" t="inlineStr">
        <is>
          <t>GENERIC FALLBACKS &amp; SUSPENSE</t>
        </is>
      </c>
      <c r="C61" s="172" t="inlineStr">
        <is>
          <t>Sample Fill</t>
        </is>
      </c>
      <c r="D61" s="137" t="inlineStr">
        <is>
          <t>Fuel purchases at HPCL / BPCL / IOCL pumps</t>
        </is>
      </c>
    </row>
    <row r="63">
      <c r="B63" s="135" t="inlineStr">
        <is>
          <t>UPI Payment</t>
        </is>
      </c>
      <c r="C63" s="173" t="inlineStr">
        <is>
          <t>Sample Fill</t>
        </is>
      </c>
      <c r="D63" s="137" t="inlineStr">
        <is>
          <t>Generic outbound UPI transfers to individuals</t>
        </is>
      </c>
    </row>
    <row r="64">
      <c r="B64" s="135" t="inlineStr">
        <is>
          <t>UPI Receipt</t>
        </is>
      </c>
      <c r="C64" s="174" t="inlineStr">
        <is>
          <t>Sample Fill</t>
        </is>
      </c>
      <c r="D64" s="137" t="inlineStr">
        <is>
          <t>Generic inbound UPI transfers from individuals</t>
        </is>
      </c>
    </row>
    <row r="65">
      <c r="B65" s="135" t="inlineStr">
        <is>
          <t>What is this?</t>
        </is>
      </c>
      <c r="C65" s="175" t="inlineStr">
        <is>
          <t>Sample Fill</t>
        </is>
      </c>
      <c r="D65" s="137" t="inlineStr">
        <is>
          <t>Suspense items requiring review (Suspense)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2026-07-04T03:01:58Z</dcterms:created>
  <dcterms:modified xsi:type="dcterms:W3CDTF">2026-07-04T03:02:02Z</dcterms:modified>
</cp:coreProperties>
</file>