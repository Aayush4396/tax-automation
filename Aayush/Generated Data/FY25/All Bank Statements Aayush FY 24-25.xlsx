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t\Returns\Aayush Gupta\31.03.2025\Bank Statements\"/>
    </mc:Choice>
  </mc:AlternateContent>
  <xr:revisionPtr revIDLastSave="0" documentId="13_ncr:1_{63E05DF0-B015-419A-A06E-8B6861771815}" xr6:coauthVersionLast="47" xr6:coauthVersionMax="47" xr10:uidLastSave="{00000000-0000-0000-0000-000000000000}"/>
  <bookViews>
    <workbookView xWindow="-108" yWindow="-108" windowWidth="23256" windowHeight="13896" activeTab="6" xr2:uid="{981FEAD7-9D75-4517-9D0E-07BF1AFDCC37}"/>
  </bookViews>
  <sheets>
    <sheet name="HDFC" sheetId="1" r:id="rId1"/>
    <sheet name="AXIS" sheetId="2" r:id="rId2"/>
    <sheet name="SBI" sheetId="4" r:id="rId3"/>
    <sheet name="FEDERAL" sheetId="5" r:id="rId4"/>
    <sheet name="KOTAK" sheetId="3" r:id="rId5"/>
    <sheet name="SBM Bank" sheetId="8" r:id="rId6"/>
    <sheet name="For Tally" sheetId="9" r:id="rId7"/>
    <sheet name="Conso" sheetId="6" r:id="rId8"/>
    <sheet name="Bank Summary" sheetId="7" r:id="rId9"/>
  </sheets>
  <definedNames>
    <definedName name="_xlnm._FilterDatabase" localSheetId="8" hidden="1">'Bank Summary'!$P$7:$P$47</definedName>
    <definedName name="_xlnm._FilterDatabase" localSheetId="7" hidden="1">Conso!$A$3:$J$1438</definedName>
    <definedName name="_xlnm._FilterDatabase" localSheetId="3" hidden="1">FEDERAL!$A$19:$K$67</definedName>
    <definedName name="_xlnm._FilterDatabase" localSheetId="6" hidden="1">'For Tally'!$B$2:$P$1437</definedName>
    <definedName name="_xlnm._FilterDatabase" localSheetId="0" hidden="1">HDFC!$A$20:$H$638</definedName>
    <definedName name="_xlnm._FilterDatabase" localSheetId="4" hidden="1">KOTAK!$A$14:$M$645</definedName>
    <definedName name="_xlnm._FilterDatabase" localSheetId="2" hidden="1">SBI!$A$20:$H$141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9" l="1"/>
  <c r="C4" i="9" l="1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3" i="9"/>
  <c r="M4" i="9"/>
  <c r="N4" i="9"/>
  <c r="O4" i="9"/>
  <c r="M5" i="9"/>
  <c r="N5" i="9"/>
  <c r="O5" i="9"/>
  <c r="M6" i="9"/>
  <c r="N6" i="9"/>
  <c r="O6" i="9"/>
  <c r="M7" i="9"/>
  <c r="N7" i="9"/>
  <c r="O7" i="9"/>
  <c r="M8" i="9"/>
  <c r="N8" i="9"/>
  <c r="O8" i="9"/>
  <c r="M9" i="9"/>
  <c r="N9" i="9"/>
  <c r="O9" i="9"/>
  <c r="M10" i="9"/>
  <c r="N10" i="9"/>
  <c r="O10" i="9"/>
  <c r="M11" i="9"/>
  <c r="N11" i="9"/>
  <c r="O11" i="9"/>
  <c r="M12" i="9"/>
  <c r="N12" i="9"/>
  <c r="O12" i="9"/>
  <c r="M13" i="9"/>
  <c r="N13" i="9"/>
  <c r="O13" i="9"/>
  <c r="M14" i="9"/>
  <c r="N14" i="9"/>
  <c r="O14" i="9"/>
  <c r="M15" i="9"/>
  <c r="N15" i="9"/>
  <c r="O15" i="9"/>
  <c r="M16" i="9"/>
  <c r="N16" i="9"/>
  <c r="O16" i="9"/>
  <c r="M17" i="9"/>
  <c r="N17" i="9"/>
  <c r="O17" i="9"/>
  <c r="M18" i="9"/>
  <c r="N18" i="9"/>
  <c r="O18" i="9"/>
  <c r="M19" i="9"/>
  <c r="N19" i="9"/>
  <c r="O19" i="9"/>
  <c r="M20" i="9"/>
  <c r="N20" i="9"/>
  <c r="O20" i="9"/>
  <c r="M21" i="9"/>
  <c r="N21" i="9"/>
  <c r="O21" i="9"/>
  <c r="M22" i="9"/>
  <c r="N22" i="9"/>
  <c r="O22" i="9"/>
  <c r="M23" i="9"/>
  <c r="N23" i="9"/>
  <c r="O23" i="9"/>
  <c r="M24" i="9"/>
  <c r="N24" i="9"/>
  <c r="O24" i="9"/>
  <c r="M25" i="9"/>
  <c r="N25" i="9"/>
  <c r="O25" i="9"/>
  <c r="M26" i="9"/>
  <c r="N26" i="9"/>
  <c r="O26" i="9"/>
  <c r="M27" i="9"/>
  <c r="N27" i="9"/>
  <c r="O27" i="9"/>
  <c r="M28" i="9"/>
  <c r="N28" i="9"/>
  <c r="O28" i="9"/>
  <c r="M29" i="9"/>
  <c r="N29" i="9"/>
  <c r="O29" i="9"/>
  <c r="M30" i="9"/>
  <c r="N30" i="9"/>
  <c r="O30" i="9"/>
  <c r="M31" i="9"/>
  <c r="N31" i="9"/>
  <c r="O31" i="9"/>
  <c r="M32" i="9"/>
  <c r="N32" i="9"/>
  <c r="O32" i="9"/>
  <c r="M33" i="9"/>
  <c r="N33" i="9"/>
  <c r="O33" i="9"/>
  <c r="M34" i="9"/>
  <c r="N34" i="9"/>
  <c r="O34" i="9"/>
  <c r="M35" i="9"/>
  <c r="N35" i="9"/>
  <c r="O35" i="9"/>
  <c r="M36" i="9"/>
  <c r="N36" i="9"/>
  <c r="O36" i="9"/>
  <c r="M37" i="9"/>
  <c r="N37" i="9"/>
  <c r="O37" i="9"/>
  <c r="M38" i="9"/>
  <c r="N38" i="9"/>
  <c r="O38" i="9"/>
  <c r="M39" i="9"/>
  <c r="N39" i="9"/>
  <c r="O39" i="9"/>
  <c r="M40" i="9"/>
  <c r="N40" i="9"/>
  <c r="O40" i="9"/>
  <c r="M41" i="9"/>
  <c r="N41" i="9"/>
  <c r="O41" i="9"/>
  <c r="M42" i="9"/>
  <c r="N42" i="9"/>
  <c r="O42" i="9"/>
  <c r="M43" i="9"/>
  <c r="N43" i="9"/>
  <c r="O43" i="9"/>
  <c r="M44" i="9"/>
  <c r="N44" i="9"/>
  <c r="O44" i="9"/>
  <c r="M45" i="9"/>
  <c r="N45" i="9"/>
  <c r="O45" i="9"/>
  <c r="M46" i="9"/>
  <c r="N46" i="9"/>
  <c r="O46" i="9"/>
  <c r="M47" i="9"/>
  <c r="N47" i="9"/>
  <c r="O47" i="9"/>
  <c r="M48" i="9"/>
  <c r="N48" i="9"/>
  <c r="O48" i="9"/>
  <c r="M49" i="9"/>
  <c r="N49" i="9"/>
  <c r="O49" i="9"/>
  <c r="M50" i="9"/>
  <c r="N50" i="9"/>
  <c r="O50" i="9"/>
  <c r="M51" i="9"/>
  <c r="N51" i="9"/>
  <c r="O51" i="9"/>
  <c r="M52" i="9"/>
  <c r="N52" i="9"/>
  <c r="O52" i="9"/>
  <c r="M53" i="9"/>
  <c r="N53" i="9"/>
  <c r="O53" i="9"/>
  <c r="M54" i="9"/>
  <c r="N54" i="9"/>
  <c r="O54" i="9"/>
  <c r="M55" i="9"/>
  <c r="N55" i="9"/>
  <c r="O55" i="9"/>
  <c r="M56" i="9"/>
  <c r="N56" i="9"/>
  <c r="O56" i="9"/>
  <c r="M57" i="9"/>
  <c r="N57" i="9"/>
  <c r="O57" i="9"/>
  <c r="M58" i="9"/>
  <c r="N58" i="9"/>
  <c r="O58" i="9"/>
  <c r="M59" i="9"/>
  <c r="N59" i="9"/>
  <c r="O59" i="9"/>
  <c r="M60" i="9"/>
  <c r="N60" i="9"/>
  <c r="O60" i="9"/>
  <c r="M61" i="9"/>
  <c r="N61" i="9"/>
  <c r="O61" i="9"/>
  <c r="M62" i="9"/>
  <c r="N62" i="9"/>
  <c r="O62" i="9"/>
  <c r="M63" i="9"/>
  <c r="N63" i="9"/>
  <c r="O63" i="9"/>
  <c r="M64" i="9"/>
  <c r="N64" i="9"/>
  <c r="O64" i="9"/>
  <c r="M65" i="9"/>
  <c r="N65" i="9"/>
  <c r="O65" i="9"/>
  <c r="M66" i="9"/>
  <c r="N66" i="9"/>
  <c r="O66" i="9"/>
  <c r="M67" i="9"/>
  <c r="N67" i="9"/>
  <c r="O67" i="9"/>
  <c r="M68" i="9"/>
  <c r="N68" i="9"/>
  <c r="O68" i="9"/>
  <c r="M69" i="9"/>
  <c r="N69" i="9"/>
  <c r="O69" i="9"/>
  <c r="M70" i="9"/>
  <c r="N70" i="9"/>
  <c r="O70" i="9"/>
  <c r="M71" i="9"/>
  <c r="N71" i="9"/>
  <c r="O71" i="9"/>
  <c r="M72" i="9"/>
  <c r="N72" i="9"/>
  <c r="O72" i="9"/>
  <c r="M73" i="9"/>
  <c r="N73" i="9"/>
  <c r="O73" i="9"/>
  <c r="M74" i="9"/>
  <c r="N74" i="9"/>
  <c r="O74" i="9"/>
  <c r="M75" i="9"/>
  <c r="N75" i="9"/>
  <c r="O75" i="9"/>
  <c r="M76" i="9"/>
  <c r="N76" i="9"/>
  <c r="O76" i="9"/>
  <c r="M77" i="9"/>
  <c r="N77" i="9"/>
  <c r="O77" i="9"/>
  <c r="M78" i="9"/>
  <c r="N78" i="9"/>
  <c r="O78" i="9"/>
  <c r="M79" i="9"/>
  <c r="N79" i="9"/>
  <c r="O79" i="9"/>
  <c r="M80" i="9"/>
  <c r="N80" i="9"/>
  <c r="O80" i="9"/>
  <c r="M81" i="9"/>
  <c r="N81" i="9"/>
  <c r="O81" i="9"/>
  <c r="M82" i="9"/>
  <c r="N82" i="9"/>
  <c r="O82" i="9"/>
  <c r="M83" i="9"/>
  <c r="N83" i="9"/>
  <c r="O83" i="9"/>
  <c r="M84" i="9"/>
  <c r="N84" i="9"/>
  <c r="O84" i="9"/>
  <c r="M85" i="9"/>
  <c r="N85" i="9"/>
  <c r="O85" i="9"/>
  <c r="M86" i="9"/>
  <c r="N86" i="9"/>
  <c r="O86" i="9"/>
  <c r="M87" i="9"/>
  <c r="N87" i="9"/>
  <c r="O87" i="9"/>
  <c r="M88" i="9"/>
  <c r="N88" i="9"/>
  <c r="O88" i="9"/>
  <c r="M89" i="9"/>
  <c r="N89" i="9"/>
  <c r="O89" i="9"/>
  <c r="M90" i="9"/>
  <c r="N90" i="9"/>
  <c r="O90" i="9"/>
  <c r="M91" i="9"/>
  <c r="N91" i="9"/>
  <c r="O91" i="9"/>
  <c r="M92" i="9"/>
  <c r="N92" i="9"/>
  <c r="O92" i="9"/>
  <c r="M93" i="9"/>
  <c r="N93" i="9"/>
  <c r="O93" i="9"/>
  <c r="M94" i="9"/>
  <c r="N94" i="9"/>
  <c r="O94" i="9"/>
  <c r="M95" i="9"/>
  <c r="N95" i="9"/>
  <c r="O95" i="9"/>
  <c r="M96" i="9"/>
  <c r="N96" i="9"/>
  <c r="O96" i="9"/>
  <c r="M97" i="9"/>
  <c r="N97" i="9"/>
  <c r="O97" i="9"/>
  <c r="M98" i="9"/>
  <c r="N98" i="9"/>
  <c r="O98" i="9"/>
  <c r="M99" i="9"/>
  <c r="N99" i="9"/>
  <c r="O99" i="9"/>
  <c r="M100" i="9"/>
  <c r="N100" i="9"/>
  <c r="O100" i="9"/>
  <c r="M101" i="9"/>
  <c r="N101" i="9"/>
  <c r="O101" i="9"/>
  <c r="M102" i="9"/>
  <c r="N102" i="9"/>
  <c r="O102" i="9"/>
  <c r="M103" i="9"/>
  <c r="N103" i="9"/>
  <c r="O103" i="9"/>
  <c r="M104" i="9"/>
  <c r="N104" i="9"/>
  <c r="O104" i="9"/>
  <c r="M105" i="9"/>
  <c r="N105" i="9"/>
  <c r="O105" i="9"/>
  <c r="M106" i="9"/>
  <c r="N106" i="9"/>
  <c r="O106" i="9"/>
  <c r="M107" i="9"/>
  <c r="N107" i="9"/>
  <c r="O107" i="9"/>
  <c r="M108" i="9"/>
  <c r="N108" i="9"/>
  <c r="O108" i="9"/>
  <c r="M109" i="9"/>
  <c r="N109" i="9"/>
  <c r="O109" i="9"/>
  <c r="M110" i="9"/>
  <c r="N110" i="9"/>
  <c r="O110" i="9"/>
  <c r="M111" i="9"/>
  <c r="N111" i="9"/>
  <c r="O111" i="9"/>
  <c r="M112" i="9"/>
  <c r="N112" i="9"/>
  <c r="O112" i="9"/>
  <c r="M113" i="9"/>
  <c r="N113" i="9"/>
  <c r="O113" i="9"/>
  <c r="M114" i="9"/>
  <c r="N114" i="9"/>
  <c r="O114" i="9"/>
  <c r="M115" i="9"/>
  <c r="N115" i="9"/>
  <c r="O115" i="9"/>
  <c r="M116" i="9"/>
  <c r="N116" i="9"/>
  <c r="O116" i="9"/>
  <c r="M117" i="9"/>
  <c r="N117" i="9"/>
  <c r="O117" i="9"/>
  <c r="M118" i="9"/>
  <c r="N118" i="9"/>
  <c r="O118" i="9"/>
  <c r="M119" i="9"/>
  <c r="N119" i="9"/>
  <c r="O119" i="9"/>
  <c r="M120" i="9"/>
  <c r="N120" i="9"/>
  <c r="O120" i="9"/>
  <c r="M121" i="9"/>
  <c r="N121" i="9"/>
  <c r="O121" i="9"/>
  <c r="M122" i="9"/>
  <c r="N122" i="9"/>
  <c r="O122" i="9"/>
  <c r="M123" i="9"/>
  <c r="N123" i="9"/>
  <c r="O123" i="9"/>
  <c r="M124" i="9"/>
  <c r="N124" i="9"/>
  <c r="O124" i="9"/>
  <c r="M125" i="9"/>
  <c r="N125" i="9"/>
  <c r="O125" i="9"/>
  <c r="M126" i="9"/>
  <c r="N126" i="9"/>
  <c r="O126" i="9"/>
  <c r="M127" i="9"/>
  <c r="N127" i="9"/>
  <c r="O127" i="9"/>
  <c r="M128" i="9"/>
  <c r="N128" i="9"/>
  <c r="O128" i="9"/>
  <c r="M129" i="9"/>
  <c r="N129" i="9"/>
  <c r="O129" i="9"/>
  <c r="M130" i="9"/>
  <c r="N130" i="9"/>
  <c r="O130" i="9"/>
  <c r="M131" i="9"/>
  <c r="N131" i="9"/>
  <c r="O131" i="9"/>
  <c r="M132" i="9"/>
  <c r="N132" i="9"/>
  <c r="O132" i="9"/>
  <c r="M133" i="9"/>
  <c r="N133" i="9"/>
  <c r="O133" i="9"/>
  <c r="M134" i="9"/>
  <c r="N134" i="9"/>
  <c r="O134" i="9"/>
  <c r="M135" i="9"/>
  <c r="N135" i="9"/>
  <c r="O135" i="9"/>
  <c r="M136" i="9"/>
  <c r="N136" i="9"/>
  <c r="O136" i="9"/>
  <c r="M137" i="9"/>
  <c r="N137" i="9"/>
  <c r="O137" i="9"/>
  <c r="M138" i="9"/>
  <c r="N138" i="9"/>
  <c r="O138" i="9"/>
  <c r="M139" i="9"/>
  <c r="N139" i="9"/>
  <c r="O139" i="9"/>
  <c r="M140" i="9"/>
  <c r="N140" i="9"/>
  <c r="O140" i="9"/>
  <c r="M141" i="9"/>
  <c r="N141" i="9"/>
  <c r="O141" i="9"/>
  <c r="M142" i="9"/>
  <c r="N142" i="9"/>
  <c r="O142" i="9"/>
  <c r="M143" i="9"/>
  <c r="N143" i="9"/>
  <c r="O143" i="9"/>
  <c r="M144" i="9"/>
  <c r="N144" i="9"/>
  <c r="O144" i="9"/>
  <c r="M145" i="9"/>
  <c r="N145" i="9"/>
  <c r="O145" i="9"/>
  <c r="M146" i="9"/>
  <c r="N146" i="9"/>
  <c r="O146" i="9"/>
  <c r="M147" i="9"/>
  <c r="N147" i="9"/>
  <c r="O147" i="9"/>
  <c r="M148" i="9"/>
  <c r="N148" i="9"/>
  <c r="O148" i="9"/>
  <c r="M149" i="9"/>
  <c r="N149" i="9"/>
  <c r="O149" i="9"/>
  <c r="M150" i="9"/>
  <c r="N150" i="9"/>
  <c r="O150" i="9"/>
  <c r="M151" i="9"/>
  <c r="N151" i="9"/>
  <c r="O151" i="9"/>
  <c r="M152" i="9"/>
  <c r="N152" i="9"/>
  <c r="O152" i="9"/>
  <c r="M153" i="9"/>
  <c r="N153" i="9"/>
  <c r="O153" i="9"/>
  <c r="M154" i="9"/>
  <c r="N154" i="9"/>
  <c r="O154" i="9"/>
  <c r="M155" i="9"/>
  <c r="N155" i="9"/>
  <c r="O155" i="9"/>
  <c r="M156" i="9"/>
  <c r="N156" i="9"/>
  <c r="O156" i="9"/>
  <c r="M157" i="9"/>
  <c r="N157" i="9"/>
  <c r="O157" i="9"/>
  <c r="M158" i="9"/>
  <c r="N158" i="9"/>
  <c r="O158" i="9"/>
  <c r="M159" i="9"/>
  <c r="N159" i="9"/>
  <c r="O159" i="9"/>
  <c r="M160" i="9"/>
  <c r="N160" i="9"/>
  <c r="O160" i="9"/>
  <c r="M161" i="9"/>
  <c r="N161" i="9"/>
  <c r="O161" i="9"/>
  <c r="M162" i="9"/>
  <c r="N162" i="9"/>
  <c r="O162" i="9"/>
  <c r="M163" i="9"/>
  <c r="N163" i="9"/>
  <c r="O163" i="9"/>
  <c r="M164" i="9"/>
  <c r="N164" i="9"/>
  <c r="O164" i="9"/>
  <c r="M165" i="9"/>
  <c r="N165" i="9"/>
  <c r="O165" i="9"/>
  <c r="M166" i="9"/>
  <c r="N166" i="9"/>
  <c r="O166" i="9"/>
  <c r="M167" i="9"/>
  <c r="N167" i="9"/>
  <c r="O167" i="9"/>
  <c r="M168" i="9"/>
  <c r="N168" i="9"/>
  <c r="O168" i="9"/>
  <c r="M169" i="9"/>
  <c r="N169" i="9"/>
  <c r="O169" i="9"/>
  <c r="M170" i="9"/>
  <c r="N170" i="9"/>
  <c r="O170" i="9"/>
  <c r="M171" i="9"/>
  <c r="N171" i="9"/>
  <c r="O171" i="9"/>
  <c r="M172" i="9"/>
  <c r="N172" i="9"/>
  <c r="O172" i="9"/>
  <c r="M173" i="9"/>
  <c r="N173" i="9"/>
  <c r="O173" i="9"/>
  <c r="M174" i="9"/>
  <c r="N174" i="9"/>
  <c r="O174" i="9"/>
  <c r="M175" i="9"/>
  <c r="N175" i="9"/>
  <c r="O175" i="9"/>
  <c r="M176" i="9"/>
  <c r="N176" i="9"/>
  <c r="O176" i="9"/>
  <c r="M177" i="9"/>
  <c r="N177" i="9"/>
  <c r="O177" i="9"/>
  <c r="M178" i="9"/>
  <c r="N178" i="9"/>
  <c r="O178" i="9"/>
  <c r="M179" i="9"/>
  <c r="N179" i="9"/>
  <c r="O179" i="9"/>
  <c r="M180" i="9"/>
  <c r="N180" i="9"/>
  <c r="O180" i="9"/>
  <c r="M181" i="9"/>
  <c r="N181" i="9"/>
  <c r="O181" i="9"/>
  <c r="M182" i="9"/>
  <c r="N182" i="9"/>
  <c r="O182" i="9"/>
  <c r="M183" i="9"/>
  <c r="N183" i="9"/>
  <c r="O183" i="9"/>
  <c r="M184" i="9"/>
  <c r="N184" i="9"/>
  <c r="O184" i="9"/>
  <c r="M185" i="9"/>
  <c r="N185" i="9"/>
  <c r="O185" i="9"/>
  <c r="M186" i="9"/>
  <c r="N186" i="9"/>
  <c r="O186" i="9"/>
  <c r="M187" i="9"/>
  <c r="N187" i="9"/>
  <c r="O187" i="9"/>
  <c r="M188" i="9"/>
  <c r="N188" i="9"/>
  <c r="O188" i="9"/>
  <c r="M189" i="9"/>
  <c r="N189" i="9"/>
  <c r="O189" i="9"/>
  <c r="M190" i="9"/>
  <c r="N190" i="9"/>
  <c r="O190" i="9"/>
  <c r="M191" i="9"/>
  <c r="N191" i="9"/>
  <c r="O191" i="9"/>
  <c r="M192" i="9"/>
  <c r="N192" i="9"/>
  <c r="O192" i="9"/>
  <c r="M193" i="9"/>
  <c r="N193" i="9"/>
  <c r="O193" i="9"/>
  <c r="M194" i="9"/>
  <c r="N194" i="9"/>
  <c r="O194" i="9"/>
  <c r="M195" i="9"/>
  <c r="N195" i="9"/>
  <c r="O195" i="9"/>
  <c r="M196" i="9"/>
  <c r="N196" i="9"/>
  <c r="O196" i="9"/>
  <c r="M197" i="9"/>
  <c r="N197" i="9"/>
  <c r="O197" i="9"/>
  <c r="M198" i="9"/>
  <c r="N198" i="9"/>
  <c r="O198" i="9"/>
  <c r="M199" i="9"/>
  <c r="N199" i="9"/>
  <c r="O199" i="9"/>
  <c r="M200" i="9"/>
  <c r="N200" i="9"/>
  <c r="O200" i="9"/>
  <c r="M201" i="9"/>
  <c r="N201" i="9"/>
  <c r="O201" i="9"/>
  <c r="M202" i="9"/>
  <c r="N202" i="9"/>
  <c r="O202" i="9"/>
  <c r="M203" i="9"/>
  <c r="N203" i="9"/>
  <c r="O203" i="9"/>
  <c r="M204" i="9"/>
  <c r="N204" i="9"/>
  <c r="O204" i="9"/>
  <c r="M205" i="9"/>
  <c r="N205" i="9"/>
  <c r="O205" i="9"/>
  <c r="M206" i="9"/>
  <c r="N206" i="9"/>
  <c r="O206" i="9"/>
  <c r="M207" i="9"/>
  <c r="N207" i="9"/>
  <c r="O207" i="9"/>
  <c r="M208" i="9"/>
  <c r="N208" i="9"/>
  <c r="O208" i="9"/>
  <c r="M209" i="9"/>
  <c r="N209" i="9"/>
  <c r="O209" i="9"/>
  <c r="M210" i="9"/>
  <c r="N210" i="9"/>
  <c r="O210" i="9"/>
  <c r="M211" i="9"/>
  <c r="N211" i="9"/>
  <c r="O211" i="9"/>
  <c r="M212" i="9"/>
  <c r="N212" i="9"/>
  <c r="O212" i="9"/>
  <c r="M213" i="9"/>
  <c r="N213" i="9"/>
  <c r="O213" i="9"/>
  <c r="M214" i="9"/>
  <c r="N214" i="9"/>
  <c r="O214" i="9"/>
  <c r="M215" i="9"/>
  <c r="N215" i="9"/>
  <c r="O215" i="9"/>
  <c r="M216" i="9"/>
  <c r="N216" i="9"/>
  <c r="O216" i="9"/>
  <c r="M217" i="9"/>
  <c r="N217" i="9"/>
  <c r="O217" i="9"/>
  <c r="M218" i="9"/>
  <c r="N218" i="9"/>
  <c r="O218" i="9"/>
  <c r="M219" i="9"/>
  <c r="N219" i="9"/>
  <c r="O219" i="9"/>
  <c r="M220" i="9"/>
  <c r="N220" i="9"/>
  <c r="O220" i="9"/>
  <c r="M221" i="9"/>
  <c r="N221" i="9"/>
  <c r="O221" i="9"/>
  <c r="M222" i="9"/>
  <c r="N222" i="9"/>
  <c r="O222" i="9"/>
  <c r="M223" i="9"/>
  <c r="N223" i="9"/>
  <c r="O223" i="9"/>
  <c r="M224" i="9"/>
  <c r="N224" i="9"/>
  <c r="O224" i="9"/>
  <c r="M225" i="9"/>
  <c r="N225" i="9"/>
  <c r="O225" i="9"/>
  <c r="M226" i="9"/>
  <c r="N226" i="9"/>
  <c r="O226" i="9"/>
  <c r="M227" i="9"/>
  <c r="N227" i="9"/>
  <c r="O227" i="9"/>
  <c r="M228" i="9"/>
  <c r="N228" i="9"/>
  <c r="O228" i="9"/>
  <c r="M229" i="9"/>
  <c r="N229" i="9"/>
  <c r="O229" i="9"/>
  <c r="M230" i="9"/>
  <c r="N230" i="9"/>
  <c r="O230" i="9"/>
  <c r="M231" i="9"/>
  <c r="N231" i="9"/>
  <c r="O231" i="9"/>
  <c r="M232" i="9"/>
  <c r="N232" i="9"/>
  <c r="O232" i="9"/>
  <c r="M233" i="9"/>
  <c r="N233" i="9"/>
  <c r="O233" i="9"/>
  <c r="M234" i="9"/>
  <c r="N234" i="9"/>
  <c r="O234" i="9"/>
  <c r="M235" i="9"/>
  <c r="N235" i="9"/>
  <c r="O235" i="9"/>
  <c r="M236" i="9"/>
  <c r="N236" i="9"/>
  <c r="O236" i="9"/>
  <c r="M237" i="9"/>
  <c r="N237" i="9"/>
  <c r="O237" i="9"/>
  <c r="M238" i="9"/>
  <c r="N238" i="9"/>
  <c r="O238" i="9"/>
  <c r="M239" i="9"/>
  <c r="N239" i="9"/>
  <c r="O239" i="9"/>
  <c r="M240" i="9"/>
  <c r="N240" i="9"/>
  <c r="O240" i="9"/>
  <c r="M241" i="9"/>
  <c r="N241" i="9"/>
  <c r="O241" i="9"/>
  <c r="M242" i="9"/>
  <c r="N242" i="9"/>
  <c r="O242" i="9"/>
  <c r="M243" i="9"/>
  <c r="N243" i="9"/>
  <c r="O243" i="9"/>
  <c r="M244" i="9"/>
  <c r="N244" i="9"/>
  <c r="O244" i="9"/>
  <c r="M245" i="9"/>
  <c r="N245" i="9"/>
  <c r="O245" i="9"/>
  <c r="M246" i="9"/>
  <c r="N246" i="9"/>
  <c r="O246" i="9"/>
  <c r="M247" i="9"/>
  <c r="N247" i="9"/>
  <c r="O247" i="9"/>
  <c r="M248" i="9"/>
  <c r="N248" i="9"/>
  <c r="O248" i="9"/>
  <c r="M249" i="9"/>
  <c r="N249" i="9"/>
  <c r="O249" i="9"/>
  <c r="M250" i="9"/>
  <c r="N250" i="9"/>
  <c r="O250" i="9"/>
  <c r="M251" i="9"/>
  <c r="N251" i="9"/>
  <c r="O251" i="9"/>
  <c r="M252" i="9"/>
  <c r="N252" i="9"/>
  <c r="O252" i="9"/>
  <c r="M253" i="9"/>
  <c r="N253" i="9"/>
  <c r="O253" i="9"/>
  <c r="M254" i="9"/>
  <c r="N254" i="9"/>
  <c r="O254" i="9"/>
  <c r="M255" i="9"/>
  <c r="N255" i="9"/>
  <c r="O255" i="9"/>
  <c r="M256" i="9"/>
  <c r="N256" i="9"/>
  <c r="O256" i="9"/>
  <c r="M257" i="9"/>
  <c r="N257" i="9"/>
  <c r="O257" i="9"/>
  <c r="M258" i="9"/>
  <c r="N258" i="9"/>
  <c r="O258" i="9"/>
  <c r="M259" i="9"/>
  <c r="N259" i="9"/>
  <c r="O259" i="9"/>
  <c r="M260" i="9"/>
  <c r="N260" i="9"/>
  <c r="O260" i="9"/>
  <c r="M261" i="9"/>
  <c r="N261" i="9"/>
  <c r="O261" i="9"/>
  <c r="M262" i="9"/>
  <c r="N262" i="9"/>
  <c r="O262" i="9"/>
  <c r="M263" i="9"/>
  <c r="N263" i="9"/>
  <c r="O263" i="9"/>
  <c r="M264" i="9"/>
  <c r="N264" i="9"/>
  <c r="O264" i="9"/>
  <c r="M265" i="9"/>
  <c r="N265" i="9"/>
  <c r="O265" i="9"/>
  <c r="M266" i="9"/>
  <c r="N266" i="9"/>
  <c r="O266" i="9"/>
  <c r="M267" i="9"/>
  <c r="N267" i="9"/>
  <c r="O267" i="9"/>
  <c r="M268" i="9"/>
  <c r="N268" i="9"/>
  <c r="O268" i="9"/>
  <c r="M269" i="9"/>
  <c r="N269" i="9"/>
  <c r="O269" i="9"/>
  <c r="M270" i="9"/>
  <c r="N270" i="9"/>
  <c r="O270" i="9"/>
  <c r="M271" i="9"/>
  <c r="N271" i="9"/>
  <c r="O271" i="9"/>
  <c r="M272" i="9"/>
  <c r="N272" i="9"/>
  <c r="O272" i="9"/>
  <c r="M273" i="9"/>
  <c r="N273" i="9"/>
  <c r="O273" i="9"/>
  <c r="M274" i="9"/>
  <c r="N274" i="9"/>
  <c r="O274" i="9"/>
  <c r="M275" i="9"/>
  <c r="N275" i="9"/>
  <c r="O275" i="9"/>
  <c r="M276" i="9"/>
  <c r="N276" i="9"/>
  <c r="O276" i="9"/>
  <c r="M277" i="9"/>
  <c r="N277" i="9"/>
  <c r="O277" i="9"/>
  <c r="M278" i="9"/>
  <c r="N278" i="9"/>
  <c r="O278" i="9"/>
  <c r="M279" i="9"/>
  <c r="N279" i="9"/>
  <c r="O279" i="9"/>
  <c r="M280" i="9"/>
  <c r="N280" i="9"/>
  <c r="O280" i="9"/>
  <c r="M281" i="9"/>
  <c r="N281" i="9"/>
  <c r="O281" i="9"/>
  <c r="M282" i="9"/>
  <c r="N282" i="9"/>
  <c r="O282" i="9"/>
  <c r="M283" i="9"/>
  <c r="N283" i="9"/>
  <c r="O283" i="9"/>
  <c r="M284" i="9"/>
  <c r="N284" i="9"/>
  <c r="O284" i="9"/>
  <c r="M285" i="9"/>
  <c r="N285" i="9"/>
  <c r="O285" i="9"/>
  <c r="M286" i="9"/>
  <c r="N286" i="9"/>
  <c r="O286" i="9"/>
  <c r="M287" i="9"/>
  <c r="N287" i="9"/>
  <c r="O287" i="9"/>
  <c r="M288" i="9"/>
  <c r="N288" i="9"/>
  <c r="O288" i="9"/>
  <c r="M289" i="9"/>
  <c r="N289" i="9"/>
  <c r="O289" i="9"/>
  <c r="M290" i="9"/>
  <c r="N290" i="9"/>
  <c r="O290" i="9"/>
  <c r="M291" i="9"/>
  <c r="N291" i="9"/>
  <c r="O291" i="9"/>
  <c r="M292" i="9"/>
  <c r="N292" i="9"/>
  <c r="O292" i="9"/>
  <c r="M293" i="9"/>
  <c r="N293" i="9"/>
  <c r="O293" i="9"/>
  <c r="M294" i="9"/>
  <c r="N294" i="9"/>
  <c r="O294" i="9"/>
  <c r="M295" i="9"/>
  <c r="N295" i="9"/>
  <c r="O295" i="9"/>
  <c r="M296" i="9"/>
  <c r="N296" i="9"/>
  <c r="O296" i="9"/>
  <c r="M297" i="9"/>
  <c r="N297" i="9"/>
  <c r="O297" i="9"/>
  <c r="M298" i="9"/>
  <c r="N298" i="9"/>
  <c r="O298" i="9"/>
  <c r="M299" i="9"/>
  <c r="N299" i="9"/>
  <c r="O299" i="9"/>
  <c r="M300" i="9"/>
  <c r="N300" i="9"/>
  <c r="O300" i="9"/>
  <c r="M301" i="9"/>
  <c r="N301" i="9"/>
  <c r="O301" i="9"/>
  <c r="M302" i="9"/>
  <c r="N302" i="9"/>
  <c r="O302" i="9"/>
  <c r="M303" i="9"/>
  <c r="N303" i="9"/>
  <c r="O303" i="9"/>
  <c r="M304" i="9"/>
  <c r="N304" i="9"/>
  <c r="O304" i="9"/>
  <c r="M305" i="9"/>
  <c r="N305" i="9"/>
  <c r="O305" i="9"/>
  <c r="M306" i="9"/>
  <c r="N306" i="9"/>
  <c r="O306" i="9"/>
  <c r="M307" i="9"/>
  <c r="N307" i="9"/>
  <c r="O307" i="9"/>
  <c r="M308" i="9"/>
  <c r="N308" i="9"/>
  <c r="O308" i="9"/>
  <c r="M309" i="9"/>
  <c r="N309" i="9"/>
  <c r="O309" i="9"/>
  <c r="M310" i="9"/>
  <c r="N310" i="9"/>
  <c r="O310" i="9"/>
  <c r="M311" i="9"/>
  <c r="N311" i="9"/>
  <c r="O311" i="9"/>
  <c r="M312" i="9"/>
  <c r="N312" i="9"/>
  <c r="O312" i="9"/>
  <c r="M313" i="9"/>
  <c r="N313" i="9"/>
  <c r="O313" i="9"/>
  <c r="M314" i="9"/>
  <c r="N314" i="9"/>
  <c r="O314" i="9"/>
  <c r="M315" i="9"/>
  <c r="N315" i="9"/>
  <c r="O315" i="9"/>
  <c r="M316" i="9"/>
  <c r="N316" i="9"/>
  <c r="O316" i="9"/>
  <c r="M317" i="9"/>
  <c r="N317" i="9"/>
  <c r="O317" i="9"/>
  <c r="M318" i="9"/>
  <c r="N318" i="9"/>
  <c r="O318" i="9"/>
  <c r="M319" i="9"/>
  <c r="N319" i="9"/>
  <c r="O319" i="9"/>
  <c r="M320" i="9"/>
  <c r="N320" i="9"/>
  <c r="O320" i="9"/>
  <c r="M321" i="9"/>
  <c r="N321" i="9"/>
  <c r="O321" i="9"/>
  <c r="M322" i="9"/>
  <c r="N322" i="9"/>
  <c r="O322" i="9"/>
  <c r="M323" i="9"/>
  <c r="N323" i="9"/>
  <c r="O323" i="9"/>
  <c r="M324" i="9"/>
  <c r="N324" i="9"/>
  <c r="O324" i="9"/>
  <c r="M325" i="9"/>
  <c r="N325" i="9"/>
  <c r="O325" i="9"/>
  <c r="M326" i="9"/>
  <c r="N326" i="9"/>
  <c r="O326" i="9"/>
  <c r="M327" i="9"/>
  <c r="N327" i="9"/>
  <c r="O327" i="9"/>
  <c r="M328" i="9"/>
  <c r="N328" i="9"/>
  <c r="O328" i="9"/>
  <c r="M329" i="9"/>
  <c r="N329" i="9"/>
  <c r="O329" i="9"/>
  <c r="M330" i="9"/>
  <c r="N330" i="9"/>
  <c r="O330" i="9"/>
  <c r="M331" i="9"/>
  <c r="N331" i="9"/>
  <c r="O331" i="9"/>
  <c r="M332" i="9"/>
  <c r="N332" i="9"/>
  <c r="O332" i="9"/>
  <c r="M333" i="9"/>
  <c r="N333" i="9"/>
  <c r="O333" i="9"/>
  <c r="M334" i="9"/>
  <c r="N334" i="9"/>
  <c r="O334" i="9"/>
  <c r="M335" i="9"/>
  <c r="N335" i="9"/>
  <c r="O335" i="9"/>
  <c r="M336" i="9"/>
  <c r="N336" i="9"/>
  <c r="O336" i="9"/>
  <c r="M337" i="9"/>
  <c r="N337" i="9"/>
  <c r="O337" i="9"/>
  <c r="M338" i="9"/>
  <c r="N338" i="9"/>
  <c r="O338" i="9"/>
  <c r="M339" i="9"/>
  <c r="N339" i="9"/>
  <c r="O339" i="9"/>
  <c r="M340" i="9"/>
  <c r="N340" i="9"/>
  <c r="O340" i="9"/>
  <c r="M341" i="9"/>
  <c r="N341" i="9"/>
  <c r="O341" i="9"/>
  <c r="M342" i="9"/>
  <c r="N342" i="9"/>
  <c r="O342" i="9"/>
  <c r="M343" i="9"/>
  <c r="N343" i="9"/>
  <c r="O343" i="9"/>
  <c r="M344" i="9"/>
  <c r="N344" i="9"/>
  <c r="O344" i="9"/>
  <c r="M345" i="9"/>
  <c r="N345" i="9"/>
  <c r="O345" i="9"/>
  <c r="M346" i="9"/>
  <c r="N346" i="9"/>
  <c r="O346" i="9"/>
  <c r="M347" i="9"/>
  <c r="N347" i="9"/>
  <c r="O347" i="9"/>
  <c r="M348" i="9"/>
  <c r="N348" i="9"/>
  <c r="O348" i="9"/>
  <c r="M349" i="9"/>
  <c r="N349" i="9"/>
  <c r="O349" i="9"/>
  <c r="M350" i="9"/>
  <c r="N350" i="9"/>
  <c r="O350" i="9"/>
  <c r="M351" i="9"/>
  <c r="N351" i="9"/>
  <c r="O351" i="9"/>
  <c r="M352" i="9"/>
  <c r="N352" i="9"/>
  <c r="O352" i="9"/>
  <c r="M353" i="9"/>
  <c r="N353" i="9"/>
  <c r="O353" i="9"/>
  <c r="M354" i="9"/>
  <c r="N354" i="9"/>
  <c r="O354" i="9"/>
  <c r="M355" i="9"/>
  <c r="N355" i="9"/>
  <c r="O355" i="9"/>
  <c r="M356" i="9"/>
  <c r="N356" i="9"/>
  <c r="O356" i="9"/>
  <c r="M357" i="9"/>
  <c r="N357" i="9"/>
  <c r="O357" i="9"/>
  <c r="M358" i="9"/>
  <c r="N358" i="9"/>
  <c r="O358" i="9"/>
  <c r="M359" i="9"/>
  <c r="N359" i="9"/>
  <c r="O359" i="9"/>
  <c r="M360" i="9"/>
  <c r="N360" i="9"/>
  <c r="O360" i="9"/>
  <c r="M361" i="9"/>
  <c r="N361" i="9"/>
  <c r="O361" i="9"/>
  <c r="M362" i="9"/>
  <c r="N362" i="9"/>
  <c r="O362" i="9"/>
  <c r="M363" i="9"/>
  <c r="N363" i="9"/>
  <c r="O363" i="9"/>
  <c r="M364" i="9"/>
  <c r="N364" i="9"/>
  <c r="O364" i="9"/>
  <c r="M365" i="9"/>
  <c r="N365" i="9"/>
  <c r="O365" i="9"/>
  <c r="M366" i="9"/>
  <c r="N366" i="9"/>
  <c r="O366" i="9"/>
  <c r="M367" i="9"/>
  <c r="N367" i="9"/>
  <c r="O367" i="9"/>
  <c r="M368" i="9"/>
  <c r="N368" i="9"/>
  <c r="O368" i="9"/>
  <c r="M369" i="9"/>
  <c r="N369" i="9"/>
  <c r="O369" i="9"/>
  <c r="M370" i="9"/>
  <c r="N370" i="9"/>
  <c r="O370" i="9"/>
  <c r="M371" i="9"/>
  <c r="N371" i="9"/>
  <c r="O371" i="9"/>
  <c r="M372" i="9"/>
  <c r="N372" i="9"/>
  <c r="O372" i="9"/>
  <c r="M373" i="9"/>
  <c r="N373" i="9"/>
  <c r="O373" i="9"/>
  <c r="M374" i="9"/>
  <c r="N374" i="9"/>
  <c r="O374" i="9"/>
  <c r="M375" i="9"/>
  <c r="N375" i="9"/>
  <c r="O375" i="9"/>
  <c r="M376" i="9"/>
  <c r="N376" i="9"/>
  <c r="O376" i="9"/>
  <c r="M377" i="9"/>
  <c r="N377" i="9"/>
  <c r="O377" i="9"/>
  <c r="M378" i="9"/>
  <c r="N378" i="9"/>
  <c r="O378" i="9"/>
  <c r="M379" i="9"/>
  <c r="N379" i="9"/>
  <c r="O379" i="9"/>
  <c r="M380" i="9"/>
  <c r="N380" i="9"/>
  <c r="O380" i="9"/>
  <c r="M381" i="9"/>
  <c r="N381" i="9"/>
  <c r="O381" i="9"/>
  <c r="M382" i="9"/>
  <c r="N382" i="9"/>
  <c r="O382" i="9"/>
  <c r="M383" i="9"/>
  <c r="N383" i="9"/>
  <c r="O383" i="9"/>
  <c r="M384" i="9"/>
  <c r="N384" i="9"/>
  <c r="O384" i="9"/>
  <c r="M385" i="9"/>
  <c r="N385" i="9"/>
  <c r="O385" i="9"/>
  <c r="M386" i="9"/>
  <c r="N386" i="9"/>
  <c r="O386" i="9"/>
  <c r="M387" i="9"/>
  <c r="N387" i="9"/>
  <c r="O387" i="9"/>
  <c r="M388" i="9"/>
  <c r="N388" i="9"/>
  <c r="O388" i="9"/>
  <c r="M389" i="9"/>
  <c r="N389" i="9"/>
  <c r="O389" i="9"/>
  <c r="M390" i="9"/>
  <c r="N390" i="9"/>
  <c r="O390" i="9"/>
  <c r="M391" i="9"/>
  <c r="N391" i="9"/>
  <c r="O391" i="9"/>
  <c r="M392" i="9"/>
  <c r="N392" i="9"/>
  <c r="O392" i="9"/>
  <c r="M393" i="9"/>
  <c r="N393" i="9"/>
  <c r="O393" i="9"/>
  <c r="M394" i="9"/>
  <c r="N394" i="9"/>
  <c r="O394" i="9"/>
  <c r="M395" i="9"/>
  <c r="N395" i="9"/>
  <c r="O395" i="9"/>
  <c r="M396" i="9"/>
  <c r="N396" i="9"/>
  <c r="O396" i="9"/>
  <c r="M397" i="9"/>
  <c r="N397" i="9"/>
  <c r="O397" i="9"/>
  <c r="M398" i="9"/>
  <c r="N398" i="9"/>
  <c r="O398" i="9"/>
  <c r="M399" i="9"/>
  <c r="N399" i="9"/>
  <c r="O399" i="9"/>
  <c r="M400" i="9"/>
  <c r="N400" i="9"/>
  <c r="O400" i="9"/>
  <c r="M401" i="9"/>
  <c r="N401" i="9"/>
  <c r="O401" i="9"/>
  <c r="M402" i="9"/>
  <c r="N402" i="9"/>
  <c r="O402" i="9"/>
  <c r="M403" i="9"/>
  <c r="N403" i="9"/>
  <c r="O403" i="9"/>
  <c r="M404" i="9"/>
  <c r="N404" i="9"/>
  <c r="O404" i="9"/>
  <c r="M405" i="9"/>
  <c r="N405" i="9"/>
  <c r="O405" i="9"/>
  <c r="M406" i="9"/>
  <c r="N406" i="9"/>
  <c r="O406" i="9"/>
  <c r="M407" i="9"/>
  <c r="N407" i="9"/>
  <c r="O407" i="9"/>
  <c r="M408" i="9"/>
  <c r="N408" i="9"/>
  <c r="O408" i="9"/>
  <c r="M409" i="9"/>
  <c r="N409" i="9"/>
  <c r="O409" i="9"/>
  <c r="M410" i="9"/>
  <c r="N410" i="9"/>
  <c r="O410" i="9"/>
  <c r="M411" i="9"/>
  <c r="N411" i="9"/>
  <c r="O411" i="9"/>
  <c r="M412" i="9"/>
  <c r="N412" i="9"/>
  <c r="O412" i="9"/>
  <c r="M413" i="9"/>
  <c r="N413" i="9"/>
  <c r="O413" i="9"/>
  <c r="M414" i="9"/>
  <c r="N414" i="9"/>
  <c r="O414" i="9"/>
  <c r="M415" i="9"/>
  <c r="N415" i="9"/>
  <c r="O415" i="9"/>
  <c r="M416" i="9"/>
  <c r="N416" i="9"/>
  <c r="O416" i="9"/>
  <c r="M417" i="9"/>
  <c r="N417" i="9"/>
  <c r="O417" i="9"/>
  <c r="M418" i="9"/>
  <c r="N418" i="9"/>
  <c r="O418" i="9"/>
  <c r="M419" i="9"/>
  <c r="N419" i="9"/>
  <c r="O419" i="9"/>
  <c r="M420" i="9"/>
  <c r="N420" i="9"/>
  <c r="O420" i="9"/>
  <c r="M421" i="9"/>
  <c r="N421" i="9"/>
  <c r="O421" i="9"/>
  <c r="M422" i="9"/>
  <c r="N422" i="9"/>
  <c r="O422" i="9"/>
  <c r="M423" i="9"/>
  <c r="N423" i="9"/>
  <c r="O423" i="9"/>
  <c r="M424" i="9"/>
  <c r="N424" i="9"/>
  <c r="O424" i="9"/>
  <c r="M425" i="9"/>
  <c r="N425" i="9"/>
  <c r="O425" i="9"/>
  <c r="M426" i="9"/>
  <c r="N426" i="9"/>
  <c r="O426" i="9"/>
  <c r="M427" i="9"/>
  <c r="N427" i="9"/>
  <c r="O427" i="9"/>
  <c r="M428" i="9"/>
  <c r="N428" i="9"/>
  <c r="O428" i="9"/>
  <c r="M429" i="9"/>
  <c r="N429" i="9"/>
  <c r="O429" i="9"/>
  <c r="M430" i="9"/>
  <c r="N430" i="9"/>
  <c r="O430" i="9"/>
  <c r="M431" i="9"/>
  <c r="N431" i="9"/>
  <c r="O431" i="9"/>
  <c r="M432" i="9"/>
  <c r="N432" i="9"/>
  <c r="O432" i="9"/>
  <c r="M433" i="9"/>
  <c r="N433" i="9"/>
  <c r="O433" i="9"/>
  <c r="M434" i="9"/>
  <c r="N434" i="9"/>
  <c r="O434" i="9"/>
  <c r="M435" i="9"/>
  <c r="N435" i="9"/>
  <c r="O435" i="9"/>
  <c r="M436" i="9"/>
  <c r="N436" i="9"/>
  <c r="O436" i="9"/>
  <c r="M437" i="9"/>
  <c r="N437" i="9"/>
  <c r="O437" i="9"/>
  <c r="M438" i="9"/>
  <c r="N438" i="9"/>
  <c r="O438" i="9"/>
  <c r="M439" i="9"/>
  <c r="N439" i="9"/>
  <c r="O439" i="9"/>
  <c r="M440" i="9"/>
  <c r="N440" i="9"/>
  <c r="O440" i="9"/>
  <c r="M441" i="9"/>
  <c r="N441" i="9"/>
  <c r="O441" i="9"/>
  <c r="M442" i="9"/>
  <c r="N442" i="9"/>
  <c r="O442" i="9"/>
  <c r="M443" i="9"/>
  <c r="N443" i="9"/>
  <c r="O443" i="9"/>
  <c r="M444" i="9"/>
  <c r="N444" i="9"/>
  <c r="O444" i="9"/>
  <c r="M445" i="9"/>
  <c r="N445" i="9"/>
  <c r="O445" i="9"/>
  <c r="M446" i="9"/>
  <c r="N446" i="9"/>
  <c r="O446" i="9"/>
  <c r="M447" i="9"/>
  <c r="N447" i="9"/>
  <c r="O447" i="9"/>
  <c r="M448" i="9"/>
  <c r="N448" i="9"/>
  <c r="O448" i="9"/>
  <c r="M449" i="9"/>
  <c r="N449" i="9"/>
  <c r="O449" i="9"/>
  <c r="M450" i="9"/>
  <c r="N450" i="9"/>
  <c r="O450" i="9"/>
  <c r="M451" i="9"/>
  <c r="N451" i="9"/>
  <c r="O451" i="9"/>
  <c r="M452" i="9"/>
  <c r="N452" i="9"/>
  <c r="O452" i="9"/>
  <c r="M453" i="9"/>
  <c r="N453" i="9"/>
  <c r="O453" i="9"/>
  <c r="M454" i="9"/>
  <c r="N454" i="9"/>
  <c r="O454" i="9"/>
  <c r="M455" i="9"/>
  <c r="N455" i="9"/>
  <c r="O455" i="9"/>
  <c r="M456" i="9"/>
  <c r="N456" i="9"/>
  <c r="O456" i="9"/>
  <c r="M457" i="9"/>
  <c r="N457" i="9"/>
  <c r="O457" i="9"/>
  <c r="M458" i="9"/>
  <c r="N458" i="9"/>
  <c r="O458" i="9"/>
  <c r="M459" i="9"/>
  <c r="N459" i="9"/>
  <c r="O459" i="9"/>
  <c r="M460" i="9"/>
  <c r="N460" i="9"/>
  <c r="O460" i="9"/>
  <c r="M461" i="9"/>
  <c r="N461" i="9"/>
  <c r="O461" i="9"/>
  <c r="M462" i="9"/>
  <c r="N462" i="9"/>
  <c r="O462" i="9"/>
  <c r="M463" i="9"/>
  <c r="N463" i="9"/>
  <c r="O463" i="9"/>
  <c r="M464" i="9"/>
  <c r="N464" i="9"/>
  <c r="O464" i="9"/>
  <c r="M465" i="9"/>
  <c r="N465" i="9"/>
  <c r="O465" i="9"/>
  <c r="M466" i="9"/>
  <c r="N466" i="9"/>
  <c r="O466" i="9"/>
  <c r="M467" i="9"/>
  <c r="N467" i="9"/>
  <c r="O467" i="9"/>
  <c r="M468" i="9"/>
  <c r="N468" i="9"/>
  <c r="O468" i="9"/>
  <c r="M469" i="9"/>
  <c r="N469" i="9"/>
  <c r="O469" i="9"/>
  <c r="M470" i="9"/>
  <c r="N470" i="9"/>
  <c r="O470" i="9"/>
  <c r="M471" i="9"/>
  <c r="N471" i="9"/>
  <c r="O471" i="9"/>
  <c r="M472" i="9"/>
  <c r="N472" i="9"/>
  <c r="O472" i="9"/>
  <c r="M473" i="9"/>
  <c r="N473" i="9"/>
  <c r="O473" i="9"/>
  <c r="M474" i="9"/>
  <c r="N474" i="9"/>
  <c r="O474" i="9"/>
  <c r="M475" i="9"/>
  <c r="N475" i="9"/>
  <c r="O475" i="9"/>
  <c r="M476" i="9"/>
  <c r="N476" i="9"/>
  <c r="O476" i="9"/>
  <c r="M477" i="9"/>
  <c r="N477" i="9"/>
  <c r="O477" i="9"/>
  <c r="M478" i="9"/>
  <c r="N478" i="9"/>
  <c r="O478" i="9"/>
  <c r="M479" i="9"/>
  <c r="N479" i="9"/>
  <c r="O479" i="9"/>
  <c r="M480" i="9"/>
  <c r="N480" i="9"/>
  <c r="O480" i="9"/>
  <c r="M481" i="9"/>
  <c r="N481" i="9"/>
  <c r="O481" i="9"/>
  <c r="M482" i="9"/>
  <c r="N482" i="9"/>
  <c r="O482" i="9"/>
  <c r="M483" i="9"/>
  <c r="N483" i="9"/>
  <c r="O483" i="9"/>
  <c r="M484" i="9"/>
  <c r="N484" i="9"/>
  <c r="O484" i="9"/>
  <c r="M485" i="9"/>
  <c r="N485" i="9"/>
  <c r="O485" i="9"/>
  <c r="M486" i="9"/>
  <c r="N486" i="9"/>
  <c r="O486" i="9"/>
  <c r="M487" i="9"/>
  <c r="N487" i="9"/>
  <c r="O487" i="9"/>
  <c r="M488" i="9"/>
  <c r="N488" i="9"/>
  <c r="O488" i="9"/>
  <c r="M489" i="9"/>
  <c r="N489" i="9"/>
  <c r="O489" i="9"/>
  <c r="M490" i="9"/>
  <c r="N490" i="9"/>
  <c r="O490" i="9"/>
  <c r="M491" i="9"/>
  <c r="N491" i="9"/>
  <c r="O491" i="9"/>
  <c r="M492" i="9"/>
  <c r="N492" i="9"/>
  <c r="O492" i="9"/>
  <c r="M493" i="9"/>
  <c r="N493" i="9"/>
  <c r="O493" i="9"/>
  <c r="M494" i="9"/>
  <c r="N494" i="9"/>
  <c r="O494" i="9"/>
  <c r="M495" i="9"/>
  <c r="N495" i="9"/>
  <c r="O495" i="9"/>
  <c r="M496" i="9"/>
  <c r="N496" i="9"/>
  <c r="O496" i="9"/>
  <c r="M497" i="9"/>
  <c r="N497" i="9"/>
  <c r="O497" i="9"/>
  <c r="M498" i="9"/>
  <c r="N498" i="9"/>
  <c r="O498" i="9"/>
  <c r="M499" i="9"/>
  <c r="N499" i="9"/>
  <c r="O499" i="9"/>
  <c r="M500" i="9"/>
  <c r="N500" i="9"/>
  <c r="O500" i="9"/>
  <c r="M501" i="9"/>
  <c r="N501" i="9"/>
  <c r="O501" i="9"/>
  <c r="M502" i="9"/>
  <c r="N502" i="9"/>
  <c r="O502" i="9"/>
  <c r="M503" i="9"/>
  <c r="N503" i="9"/>
  <c r="O503" i="9"/>
  <c r="M504" i="9"/>
  <c r="N504" i="9"/>
  <c r="O504" i="9"/>
  <c r="M505" i="9"/>
  <c r="N505" i="9"/>
  <c r="O505" i="9"/>
  <c r="M506" i="9"/>
  <c r="N506" i="9"/>
  <c r="O506" i="9"/>
  <c r="M507" i="9"/>
  <c r="N507" i="9"/>
  <c r="O507" i="9"/>
  <c r="M508" i="9"/>
  <c r="N508" i="9"/>
  <c r="O508" i="9"/>
  <c r="M509" i="9"/>
  <c r="N509" i="9"/>
  <c r="O509" i="9"/>
  <c r="M510" i="9"/>
  <c r="N510" i="9"/>
  <c r="O510" i="9"/>
  <c r="M511" i="9"/>
  <c r="N511" i="9"/>
  <c r="O511" i="9"/>
  <c r="M512" i="9"/>
  <c r="N512" i="9"/>
  <c r="O512" i="9"/>
  <c r="M513" i="9"/>
  <c r="N513" i="9"/>
  <c r="O513" i="9"/>
  <c r="M514" i="9"/>
  <c r="N514" i="9"/>
  <c r="O514" i="9"/>
  <c r="M515" i="9"/>
  <c r="N515" i="9"/>
  <c r="O515" i="9"/>
  <c r="M516" i="9"/>
  <c r="N516" i="9"/>
  <c r="O516" i="9"/>
  <c r="M517" i="9"/>
  <c r="N517" i="9"/>
  <c r="O517" i="9"/>
  <c r="M518" i="9"/>
  <c r="N518" i="9"/>
  <c r="O518" i="9"/>
  <c r="M519" i="9"/>
  <c r="N519" i="9"/>
  <c r="O519" i="9"/>
  <c r="M520" i="9"/>
  <c r="N520" i="9"/>
  <c r="O520" i="9"/>
  <c r="M521" i="9"/>
  <c r="N521" i="9"/>
  <c r="O521" i="9"/>
  <c r="M522" i="9"/>
  <c r="N522" i="9"/>
  <c r="O522" i="9"/>
  <c r="M523" i="9"/>
  <c r="N523" i="9"/>
  <c r="O523" i="9"/>
  <c r="M524" i="9"/>
  <c r="N524" i="9"/>
  <c r="O524" i="9"/>
  <c r="M525" i="9"/>
  <c r="N525" i="9"/>
  <c r="O525" i="9"/>
  <c r="M526" i="9"/>
  <c r="N526" i="9"/>
  <c r="O526" i="9"/>
  <c r="M527" i="9"/>
  <c r="N527" i="9"/>
  <c r="O527" i="9"/>
  <c r="M528" i="9"/>
  <c r="N528" i="9"/>
  <c r="O528" i="9"/>
  <c r="M529" i="9"/>
  <c r="N529" i="9"/>
  <c r="O529" i="9"/>
  <c r="M530" i="9"/>
  <c r="N530" i="9"/>
  <c r="O530" i="9"/>
  <c r="M531" i="9"/>
  <c r="N531" i="9"/>
  <c r="O531" i="9"/>
  <c r="M532" i="9"/>
  <c r="N532" i="9"/>
  <c r="O532" i="9"/>
  <c r="M533" i="9"/>
  <c r="N533" i="9"/>
  <c r="O533" i="9"/>
  <c r="M534" i="9"/>
  <c r="N534" i="9"/>
  <c r="O534" i="9"/>
  <c r="M535" i="9"/>
  <c r="N535" i="9"/>
  <c r="O535" i="9"/>
  <c r="M536" i="9"/>
  <c r="N536" i="9"/>
  <c r="O536" i="9"/>
  <c r="M537" i="9"/>
  <c r="N537" i="9"/>
  <c r="O537" i="9"/>
  <c r="M538" i="9"/>
  <c r="N538" i="9"/>
  <c r="O538" i="9"/>
  <c r="M539" i="9"/>
  <c r="N539" i="9"/>
  <c r="O539" i="9"/>
  <c r="M540" i="9"/>
  <c r="N540" i="9"/>
  <c r="O540" i="9"/>
  <c r="M541" i="9"/>
  <c r="N541" i="9"/>
  <c r="O541" i="9"/>
  <c r="M542" i="9"/>
  <c r="N542" i="9"/>
  <c r="O542" i="9"/>
  <c r="M543" i="9"/>
  <c r="N543" i="9"/>
  <c r="O543" i="9"/>
  <c r="M544" i="9"/>
  <c r="N544" i="9"/>
  <c r="O544" i="9"/>
  <c r="M545" i="9"/>
  <c r="N545" i="9"/>
  <c r="O545" i="9"/>
  <c r="M546" i="9"/>
  <c r="N546" i="9"/>
  <c r="O546" i="9"/>
  <c r="M547" i="9"/>
  <c r="N547" i="9"/>
  <c r="O547" i="9"/>
  <c r="M548" i="9"/>
  <c r="N548" i="9"/>
  <c r="O548" i="9"/>
  <c r="M549" i="9"/>
  <c r="N549" i="9"/>
  <c r="O549" i="9"/>
  <c r="M550" i="9"/>
  <c r="N550" i="9"/>
  <c r="O550" i="9"/>
  <c r="M551" i="9"/>
  <c r="N551" i="9"/>
  <c r="O551" i="9"/>
  <c r="M552" i="9"/>
  <c r="N552" i="9"/>
  <c r="O552" i="9"/>
  <c r="M553" i="9"/>
  <c r="N553" i="9"/>
  <c r="O553" i="9"/>
  <c r="M554" i="9"/>
  <c r="N554" i="9"/>
  <c r="O554" i="9"/>
  <c r="M555" i="9"/>
  <c r="N555" i="9"/>
  <c r="O555" i="9"/>
  <c r="M556" i="9"/>
  <c r="N556" i="9"/>
  <c r="O556" i="9"/>
  <c r="M557" i="9"/>
  <c r="N557" i="9"/>
  <c r="O557" i="9"/>
  <c r="M558" i="9"/>
  <c r="N558" i="9"/>
  <c r="O558" i="9"/>
  <c r="M559" i="9"/>
  <c r="N559" i="9"/>
  <c r="O559" i="9"/>
  <c r="M560" i="9"/>
  <c r="N560" i="9"/>
  <c r="O560" i="9"/>
  <c r="M561" i="9"/>
  <c r="N561" i="9"/>
  <c r="O561" i="9"/>
  <c r="M562" i="9"/>
  <c r="N562" i="9"/>
  <c r="O562" i="9"/>
  <c r="M563" i="9"/>
  <c r="N563" i="9"/>
  <c r="O563" i="9"/>
  <c r="M564" i="9"/>
  <c r="N564" i="9"/>
  <c r="O564" i="9"/>
  <c r="M565" i="9"/>
  <c r="N565" i="9"/>
  <c r="O565" i="9"/>
  <c r="M566" i="9"/>
  <c r="N566" i="9"/>
  <c r="O566" i="9"/>
  <c r="M567" i="9"/>
  <c r="N567" i="9"/>
  <c r="O567" i="9"/>
  <c r="M568" i="9"/>
  <c r="N568" i="9"/>
  <c r="O568" i="9"/>
  <c r="M569" i="9"/>
  <c r="N569" i="9"/>
  <c r="O569" i="9"/>
  <c r="M570" i="9"/>
  <c r="N570" i="9"/>
  <c r="O570" i="9"/>
  <c r="M571" i="9"/>
  <c r="N571" i="9"/>
  <c r="O571" i="9"/>
  <c r="M572" i="9"/>
  <c r="N572" i="9"/>
  <c r="O572" i="9"/>
  <c r="M573" i="9"/>
  <c r="N573" i="9"/>
  <c r="O573" i="9"/>
  <c r="M574" i="9"/>
  <c r="N574" i="9"/>
  <c r="O574" i="9"/>
  <c r="M575" i="9"/>
  <c r="N575" i="9"/>
  <c r="O575" i="9"/>
  <c r="M576" i="9"/>
  <c r="N576" i="9"/>
  <c r="O576" i="9"/>
  <c r="M577" i="9"/>
  <c r="N577" i="9"/>
  <c r="O577" i="9"/>
  <c r="M578" i="9"/>
  <c r="N578" i="9"/>
  <c r="O578" i="9"/>
  <c r="M579" i="9"/>
  <c r="N579" i="9"/>
  <c r="O579" i="9"/>
  <c r="M580" i="9"/>
  <c r="N580" i="9"/>
  <c r="O580" i="9"/>
  <c r="M581" i="9"/>
  <c r="N581" i="9"/>
  <c r="O581" i="9"/>
  <c r="M582" i="9"/>
  <c r="N582" i="9"/>
  <c r="O582" i="9"/>
  <c r="M583" i="9"/>
  <c r="N583" i="9"/>
  <c r="O583" i="9"/>
  <c r="M584" i="9"/>
  <c r="N584" i="9"/>
  <c r="O584" i="9"/>
  <c r="M585" i="9"/>
  <c r="N585" i="9"/>
  <c r="O585" i="9"/>
  <c r="M586" i="9"/>
  <c r="N586" i="9"/>
  <c r="O586" i="9"/>
  <c r="M587" i="9"/>
  <c r="N587" i="9"/>
  <c r="O587" i="9"/>
  <c r="M588" i="9"/>
  <c r="N588" i="9"/>
  <c r="O588" i="9"/>
  <c r="M589" i="9"/>
  <c r="N589" i="9"/>
  <c r="O589" i="9"/>
  <c r="M590" i="9"/>
  <c r="N590" i="9"/>
  <c r="O590" i="9"/>
  <c r="M591" i="9"/>
  <c r="N591" i="9"/>
  <c r="O591" i="9"/>
  <c r="M592" i="9"/>
  <c r="N592" i="9"/>
  <c r="O592" i="9"/>
  <c r="M593" i="9"/>
  <c r="N593" i="9"/>
  <c r="O593" i="9"/>
  <c r="M594" i="9"/>
  <c r="N594" i="9"/>
  <c r="O594" i="9"/>
  <c r="M595" i="9"/>
  <c r="N595" i="9"/>
  <c r="O595" i="9"/>
  <c r="M596" i="9"/>
  <c r="N596" i="9"/>
  <c r="O596" i="9"/>
  <c r="M597" i="9"/>
  <c r="N597" i="9"/>
  <c r="O597" i="9"/>
  <c r="M598" i="9"/>
  <c r="N598" i="9"/>
  <c r="O598" i="9"/>
  <c r="M599" i="9"/>
  <c r="N599" i="9"/>
  <c r="O599" i="9"/>
  <c r="M600" i="9"/>
  <c r="N600" i="9"/>
  <c r="O600" i="9"/>
  <c r="M601" i="9"/>
  <c r="N601" i="9"/>
  <c r="O601" i="9"/>
  <c r="M602" i="9"/>
  <c r="N602" i="9"/>
  <c r="O602" i="9"/>
  <c r="M603" i="9"/>
  <c r="N603" i="9"/>
  <c r="O603" i="9"/>
  <c r="M604" i="9"/>
  <c r="N604" i="9"/>
  <c r="O604" i="9"/>
  <c r="M605" i="9"/>
  <c r="N605" i="9"/>
  <c r="O605" i="9"/>
  <c r="M606" i="9"/>
  <c r="N606" i="9"/>
  <c r="O606" i="9"/>
  <c r="M607" i="9"/>
  <c r="N607" i="9"/>
  <c r="O607" i="9"/>
  <c r="M608" i="9"/>
  <c r="N608" i="9"/>
  <c r="O608" i="9"/>
  <c r="M609" i="9"/>
  <c r="N609" i="9"/>
  <c r="O609" i="9"/>
  <c r="M610" i="9"/>
  <c r="N610" i="9"/>
  <c r="O610" i="9"/>
  <c r="M611" i="9"/>
  <c r="N611" i="9"/>
  <c r="O611" i="9"/>
  <c r="M612" i="9"/>
  <c r="N612" i="9"/>
  <c r="O612" i="9"/>
  <c r="M613" i="9"/>
  <c r="N613" i="9"/>
  <c r="O613" i="9"/>
  <c r="M614" i="9"/>
  <c r="N614" i="9"/>
  <c r="O614" i="9"/>
  <c r="M615" i="9"/>
  <c r="N615" i="9"/>
  <c r="O615" i="9"/>
  <c r="M616" i="9"/>
  <c r="N616" i="9"/>
  <c r="O616" i="9"/>
  <c r="M617" i="9"/>
  <c r="N617" i="9"/>
  <c r="O617" i="9"/>
  <c r="M618" i="9"/>
  <c r="N618" i="9"/>
  <c r="O618" i="9"/>
  <c r="M619" i="9"/>
  <c r="N619" i="9"/>
  <c r="O619" i="9"/>
  <c r="M620" i="9"/>
  <c r="N620" i="9"/>
  <c r="O620" i="9"/>
  <c r="M621" i="9"/>
  <c r="N621" i="9"/>
  <c r="O621" i="9"/>
  <c r="M622" i="9"/>
  <c r="N622" i="9"/>
  <c r="O622" i="9"/>
  <c r="M623" i="9"/>
  <c r="N623" i="9"/>
  <c r="O623" i="9"/>
  <c r="M624" i="9"/>
  <c r="N624" i="9"/>
  <c r="O624" i="9"/>
  <c r="M625" i="9"/>
  <c r="N625" i="9"/>
  <c r="O625" i="9"/>
  <c r="M626" i="9"/>
  <c r="N626" i="9"/>
  <c r="O626" i="9"/>
  <c r="M627" i="9"/>
  <c r="N627" i="9"/>
  <c r="O627" i="9"/>
  <c r="M628" i="9"/>
  <c r="N628" i="9"/>
  <c r="O628" i="9"/>
  <c r="M629" i="9"/>
  <c r="N629" i="9"/>
  <c r="O629" i="9"/>
  <c r="M630" i="9"/>
  <c r="N630" i="9"/>
  <c r="O630" i="9"/>
  <c r="M631" i="9"/>
  <c r="N631" i="9"/>
  <c r="O631" i="9"/>
  <c r="M632" i="9"/>
  <c r="N632" i="9"/>
  <c r="O632" i="9"/>
  <c r="M633" i="9"/>
  <c r="N633" i="9"/>
  <c r="O633" i="9"/>
  <c r="M634" i="9"/>
  <c r="N634" i="9"/>
  <c r="O634" i="9"/>
  <c r="M635" i="9"/>
  <c r="N635" i="9"/>
  <c r="O635" i="9"/>
  <c r="M636" i="9"/>
  <c r="N636" i="9"/>
  <c r="O636" i="9"/>
  <c r="M637" i="9"/>
  <c r="N637" i="9"/>
  <c r="O637" i="9"/>
  <c r="M638" i="9"/>
  <c r="N638" i="9"/>
  <c r="O638" i="9"/>
  <c r="M639" i="9"/>
  <c r="N639" i="9"/>
  <c r="O639" i="9"/>
  <c r="M640" i="9"/>
  <c r="N640" i="9"/>
  <c r="O640" i="9"/>
  <c r="M641" i="9"/>
  <c r="N641" i="9"/>
  <c r="O641" i="9"/>
  <c r="M642" i="9"/>
  <c r="N642" i="9"/>
  <c r="O642" i="9"/>
  <c r="M643" i="9"/>
  <c r="N643" i="9"/>
  <c r="O643" i="9"/>
  <c r="M644" i="9"/>
  <c r="N644" i="9"/>
  <c r="O644" i="9"/>
  <c r="M645" i="9"/>
  <c r="N645" i="9"/>
  <c r="O645" i="9"/>
  <c r="M646" i="9"/>
  <c r="N646" i="9"/>
  <c r="O646" i="9"/>
  <c r="M647" i="9"/>
  <c r="N647" i="9"/>
  <c r="O647" i="9"/>
  <c r="M648" i="9"/>
  <c r="N648" i="9"/>
  <c r="O648" i="9"/>
  <c r="M649" i="9"/>
  <c r="N649" i="9"/>
  <c r="O649" i="9"/>
  <c r="M650" i="9"/>
  <c r="N650" i="9"/>
  <c r="O650" i="9"/>
  <c r="M651" i="9"/>
  <c r="N651" i="9"/>
  <c r="O651" i="9"/>
  <c r="M652" i="9"/>
  <c r="N652" i="9"/>
  <c r="O652" i="9"/>
  <c r="M653" i="9"/>
  <c r="N653" i="9"/>
  <c r="O653" i="9"/>
  <c r="M654" i="9"/>
  <c r="N654" i="9"/>
  <c r="O654" i="9"/>
  <c r="M655" i="9"/>
  <c r="N655" i="9"/>
  <c r="O655" i="9"/>
  <c r="M656" i="9"/>
  <c r="N656" i="9"/>
  <c r="O656" i="9"/>
  <c r="M657" i="9"/>
  <c r="N657" i="9"/>
  <c r="O657" i="9"/>
  <c r="M658" i="9"/>
  <c r="N658" i="9"/>
  <c r="O658" i="9"/>
  <c r="M659" i="9"/>
  <c r="N659" i="9"/>
  <c r="O659" i="9"/>
  <c r="M660" i="9"/>
  <c r="N660" i="9"/>
  <c r="O660" i="9"/>
  <c r="M661" i="9"/>
  <c r="N661" i="9"/>
  <c r="O661" i="9"/>
  <c r="M662" i="9"/>
  <c r="N662" i="9"/>
  <c r="O662" i="9"/>
  <c r="M663" i="9"/>
  <c r="N663" i="9"/>
  <c r="O663" i="9"/>
  <c r="M664" i="9"/>
  <c r="N664" i="9"/>
  <c r="O664" i="9"/>
  <c r="M665" i="9"/>
  <c r="N665" i="9"/>
  <c r="O665" i="9"/>
  <c r="M666" i="9"/>
  <c r="N666" i="9"/>
  <c r="O666" i="9"/>
  <c r="M667" i="9"/>
  <c r="N667" i="9"/>
  <c r="O667" i="9"/>
  <c r="M668" i="9"/>
  <c r="N668" i="9"/>
  <c r="O668" i="9"/>
  <c r="M669" i="9"/>
  <c r="N669" i="9"/>
  <c r="O669" i="9"/>
  <c r="M670" i="9"/>
  <c r="N670" i="9"/>
  <c r="O670" i="9"/>
  <c r="M671" i="9"/>
  <c r="N671" i="9"/>
  <c r="O671" i="9"/>
  <c r="M672" i="9"/>
  <c r="N672" i="9"/>
  <c r="O672" i="9"/>
  <c r="M673" i="9"/>
  <c r="N673" i="9"/>
  <c r="O673" i="9"/>
  <c r="M674" i="9"/>
  <c r="N674" i="9"/>
  <c r="O674" i="9"/>
  <c r="M675" i="9"/>
  <c r="N675" i="9"/>
  <c r="O675" i="9"/>
  <c r="M676" i="9"/>
  <c r="N676" i="9"/>
  <c r="O676" i="9"/>
  <c r="M677" i="9"/>
  <c r="N677" i="9"/>
  <c r="O677" i="9"/>
  <c r="M678" i="9"/>
  <c r="N678" i="9"/>
  <c r="O678" i="9"/>
  <c r="M679" i="9"/>
  <c r="N679" i="9"/>
  <c r="O679" i="9"/>
  <c r="M680" i="9"/>
  <c r="N680" i="9"/>
  <c r="O680" i="9"/>
  <c r="M681" i="9"/>
  <c r="N681" i="9"/>
  <c r="O681" i="9"/>
  <c r="M682" i="9"/>
  <c r="N682" i="9"/>
  <c r="O682" i="9"/>
  <c r="M683" i="9"/>
  <c r="N683" i="9"/>
  <c r="O683" i="9"/>
  <c r="M684" i="9"/>
  <c r="N684" i="9"/>
  <c r="O684" i="9"/>
  <c r="M685" i="9"/>
  <c r="N685" i="9"/>
  <c r="O685" i="9"/>
  <c r="M686" i="9"/>
  <c r="N686" i="9"/>
  <c r="O686" i="9"/>
  <c r="M687" i="9"/>
  <c r="N687" i="9"/>
  <c r="O687" i="9"/>
  <c r="M688" i="9"/>
  <c r="N688" i="9"/>
  <c r="O688" i="9"/>
  <c r="M689" i="9"/>
  <c r="N689" i="9"/>
  <c r="O689" i="9"/>
  <c r="M690" i="9"/>
  <c r="N690" i="9"/>
  <c r="O690" i="9"/>
  <c r="M691" i="9"/>
  <c r="N691" i="9"/>
  <c r="O691" i="9"/>
  <c r="M692" i="9"/>
  <c r="N692" i="9"/>
  <c r="O692" i="9"/>
  <c r="M693" i="9"/>
  <c r="N693" i="9"/>
  <c r="O693" i="9"/>
  <c r="M694" i="9"/>
  <c r="N694" i="9"/>
  <c r="O694" i="9"/>
  <c r="M695" i="9"/>
  <c r="N695" i="9"/>
  <c r="O695" i="9"/>
  <c r="M696" i="9"/>
  <c r="N696" i="9"/>
  <c r="O696" i="9"/>
  <c r="M697" i="9"/>
  <c r="N697" i="9"/>
  <c r="O697" i="9"/>
  <c r="M698" i="9"/>
  <c r="N698" i="9"/>
  <c r="O698" i="9"/>
  <c r="M699" i="9"/>
  <c r="N699" i="9"/>
  <c r="O699" i="9"/>
  <c r="M700" i="9"/>
  <c r="N700" i="9"/>
  <c r="O700" i="9"/>
  <c r="M701" i="9"/>
  <c r="N701" i="9"/>
  <c r="O701" i="9"/>
  <c r="M702" i="9"/>
  <c r="N702" i="9"/>
  <c r="O702" i="9"/>
  <c r="M703" i="9"/>
  <c r="N703" i="9"/>
  <c r="O703" i="9"/>
  <c r="M704" i="9"/>
  <c r="N704" i="9"/>
  <c r="O704" i="9"/>
  <c r="M705" i="9"/>
  <c r="N705" i="9"/>
  <c r="O705" i="9"/>
  <c r="M706" i="9"/>
  <c r="N706" i="9"/>
  <c r="O706" i="9"/>
  <c r="M707" i="9"/>
  <c r="N707" i="9"/>
  <c r="O707" i="9"/>
  <c r="M708" i="9"/>
  <c r="N708" i="9"/>
  <c r="O708" i="9"/>
  <c r="M709" i="9"/>
  <c r="N709" i="9"/>
  <c r="O709" i="9"/>
  <c r="M710" i="9"/>
  <c r="N710" i="9"/>
  <c r="O710" i="9"/>
  <c r="M711" i="9"/>
  <c r="N711" i="9"/>
  <c r="O711" i="9"/>
  <c r="M712" i="9"/>
  <c r="N712" i="9"/>
  <c r="O712" i="9"/>
  <c r="M713" i="9"/>
  <c r="N713" i="9"/>
  <c r="O713" i="9"/>
  <c r="M714" i="9"/>
  <c r="N714" i="9"/>
  <c r="O714" i="9"/>
  <c r="M715" i="9"/>
  <c r="N715" i="9"/>
  <c r="O715" i="9"/>
  <c r="M716" i="9"/>
  <c r="N716" i="9"/>
  <c r="O716" i="9"/>
  <c r="M717" i="9"/>
  <c r="N717" i="9"/>
  <c r="O717" i="9"/>
  <c r="M718" i="9"/>
  <c r="N718" i="9"/>
  <c r="O718" i="9"/>
  <c r="M719" i="9"/>
  <c r="N719" i="9"/>
  <c r="O719" i="9"/>
  <c r="M720" i="9"/>
  <c r="N720" i="9"/>
  <c r="O720" i="9"/>
  <c r="M721" i="9"/>
  <c r="N721" i="9"/>
  <c r="O721" i="9"/>
  <c r="M722" i="9"/>
  <c r="N722" i="9"/>
  <c r="O722" i="9"/>
  <c r="M723" i="9"/>
  <c r="N723" i="9"/>
  <c r="O723" i="9"/>
  <c r="M724" i="9"/>
  <c r="N724" i="9"/>
  <c r="O724" i="9"/>
  <c r="M725" i="9"/>
  <c r="N725" i="9"/>
  <c r="O725" i="9"/>
  <c r="M726" i="9"/>
  <c r="N726" i="9"/>
  <c r="O726" i="9"/>
  <c r="M727" i="9"/>
  <c r="N727" i="9"/>
  <c r="O727" i="9"/>
  <c r="M728" i="9"/>
  <c r="N728" i="9"/>
  <c r="O728" i="9"/>
  <c r="M729" i="9"/>
  <c r="N729" i="9"/>
  <c r="O729" i="9"/>
  <c r="M730" i="9"/>
  <c r="N730" i="9"/>
  <c r="O730" i="9"/>
  <c r="M731" i="9"/>
  <c r="N731" i="9"/>
  <c r="O731" i="9"/>
  <c r="M732" i="9"/>
  <c r="N732" i="9"/>
  <c r="O732" i="9"/>
  <c r="M733" i="9"/>
  <c r="N733" i="9"/>
  <c r="O733" i="9"/>
  <c r="M734" i="9"/>
  <c r="N734" i="9"/>
  <c r="O734" i="9"/>
  <c r="M735" i="9"/>
  <c r="N735" i="9"/>
  <c r="O735" i="9"/>
  <c r="M736" i="9"/>
  <c r="N736" i="9"/>
  <c r="O736" i="9"/>
  <c r="M737" i="9"/>
  <c r="N737" i="9"/>
  <c r="O737" i="9"/>
  <c r="M738" i="9"/>
  <c r="N738" i="9"/>
  <c r="O738" i="9"/>
  <c r="M739" i="9"/>
  <c r="N739" i="9"/>
  <c r="O739" i="9"/>
  <c r="M740" i="9"/>
  <c r="N740" i="9"/>
  <c r="O740" i="9"/>
  <c r="M741" i="9"/>
  <c r="N741" i="9"/>
  <c r="O741" i="9"/>
  <c r="M742" i="9"/>
  <c r="N742" i="9"/>
  <c r="O742" i="9"/>
  <c r="M743" i="9"/>
  <c r="N743" i="9"/>
  <c r="O743" i="9"/>
  <c r="M744" i="9"/>
  <c r="N744" i="9"/>
  <c r="O744" i="9"/>
  <c r="M745" i="9"/>
  <c r="N745" i="9"/>
  <c r="O745" i="9"/>
  <c r="M746" i="9"/>
  <c r="N746" i="9"/>
  <c r="O746" i="9"/>
  <c r="M747" i="9"/>
  <c r="N747" i="9"/>
  <c r="O747" i="9"/>
  <c r="M748" i="9"/>
  <c r="N748" i="9"/>
  <c r="O748" i="9"/>
  <c r="M749" i="9"/>
  <c r="N749" i="9"/>
  <c r="O749" i="9"/>
  <c r="M750" i="9"/>
  <c r="N750" i="9"/>
  <c r="O750" i="9"/>
  <c r="M751" i="9"/>
  <c r="N751" i="9"/>
  <c r="O751" i="9"/>
  <c r="M752" i="9"/>
  <c r="N752" i="9"/>
  <c r="O752" i="9"/>
  <c r="M753" i="9"/>
  <c r="N753" i="9"/>
  <c r="O753" i="9"/>
  <c r="M754" i="9"/>
  <c r="N754" i="9"/>
  <c r="O754" i="9"/>
  <c r="M755" i="9"/>
  <c r="N755" i="9"/>
  <c r="O755" i="9"/>
  <c r="M756" i="9"/>
  <c r="N756" i="9"/>
  <c r="O756" i="9"/>
  <c r="M757" i="9"/>
  <c r="N757" i="9"/>
  <c r="O757" i="9"/>
  <c r="M758" i="9"/>
  <c r="N758" i="9"/>
  <c r="O758" i="9"/>
  <c r="M759" i="9"/>
  <c r="N759" i="9"/>
  <c r="O759" i="9"/>
  <c r="M760" i="9"/>
  <c r="N760" i="9"/>
  <c r="O760" i="9"/>
  <c r="M761" i="9"/>
  <c r="N761" i="9"/>
  <c r="O761" i="9"/>
  <c r="M762" i="9"/>
  <c r="N762" i="9"/>
  <c r="O762" i="9"/>
  <c r="M763" i="9"/>
  <c r="N763" i="9"/>
  <c r="O763" i="9"/>
  <c r="M764" i="9"/>
  <c r="N764" i="9"/>
  <c r="O764" i="9"/>
  <c r="M765" i="9"/>
  <c r="N765" i="9"/>
  <c r="O765" i="9"/>
  <c r="M766" i="9"/>
  <c r="N766" i="9"/>
  <c r="O766" i="9"/>
  <c r="M767" i="9"/>
  <c r="N767" i="9"/>
  <c r="O767" i="9"/>
  <c r="M768" i="9"/>
  <c r="N768" i="9"/>
  <c r="O768" i="9"/>
  <c r="M769" i="9"/>
  <c r="N769" i="9"/>
  <c r="O769" i="9"/>
  <c r="M770" i="9"/>
  <c r="N770" i="9"/>
  <c r="O770" i="9"/>
  <c r="M771" i="9"/>
  <c r="N771" i="9"/>
  <c r="O771" i="9"/>
  <c r="M772" i="9"/>
  <c r="N772" i="9"/>
  <c r="O772" i="9"/>
  <c r="M773" i="9"/>
  <c r="N773" i="9"/>
  <c r="O773" i="9"/>
  <c r="M774" i="9"/>
  <c r="N774" i="9"/>
  <c r="O774" i="9"/>
  <c r="M775" i="9"/>
  <c r="N775" i="9"/>
  <c r="O775" i="9"/>
  <c r="M776" i="9"/>
  <c r="N776" i="9"/>
  <c r="O776" i="9"/>
  <c r="M777" i="9"/>
  <c r="N777" i="9"/>
  <c r="O777" i="9"/>
  <c r="M778" i="9"/>
  <c r="N778" i="9"/>
  <c r="O778" i="9"/>
  <c r="M779" i="9"/>
  <c r="N779" i="9"/>
  <c r="O779" i="9"/>
  <c r="M780" i="9"/>
  <c r="N780" i="9"/>
  <c r="O780" i="9"/>
  <c r="M781" i="9"/>
  <c r="N781" i="9"/>
  <c r="O781" i="9"/>
  <c r="M782" i="9"/>
  <c r="N782" i="9"/>
  <c r="O782" i="9"/>
  <c r="M783" i="9"/>
  <c r="N783" i="9"/>
  <c r="O783" i="9"/>
  <c r="M784" i="9"/>
  <c r="N784" i="9"/>
  <c r="O784" i="9"/>
  <c r="M785" i="9"/>
  <c r="N785" i="9"/>
  <c r="O785" i="9"/>
  <c r="M786" i="9"/>
  <c r="N786" i="9"/>
  <c r="O786" i="9"/>
  <c r="M787" i="9"/>
  <c r="N787" i="9"/>
  <c r="O787" i="9"/>
  <c r="M788" i="9"/>
  <c r="N788" i="9"/>
  <c r="O788" i="9"/>
  <c r="M789" i="9"/>
  <c r="N789" i="9"/>
  <c r="O789" i="9"/>
  <c r="M790" i="9"/>
  <c r="N790" i="9"/>
  <c r="O790" i="9"/>
  <c r="M791" i="9"/>
  <c r="N791" i="9"/>
  <c r="O791" i="9"/>
  <c r="M792" i="9"/>
  <c r="N792" i="9"/>
  <c r="O792" i="9"/>
  <c r="M793" i="9"/>
  <c r="N793" i="9"/>
  <c r="O793" i="9"/>
  <c r="M794" i="9"/>
  <c r="N794" i="9"/>
  <c r="O794" i="9"/>
  <c r="M795" i="9"/>
  <c r="N795" i="9"/>
  <c r="O795" i="9"/>
  <c r="M796" i="9"/>
  <c r="N796" i="9"/>
  <c r="O796" i="9"/>
  <c r="M797" i="9"/>
  <c r="N797" i="9"/>
  <c r="O797" i="9"/>
  <c r="M798" i="9"/>
  <c r="N798" i="9"/>
  <c r="O798" i="9"/>
  <c r="M799" i="9"/>
  <c r="N799" i="9"/>
  <c r="O799" i="9"/>
  <c r="M800" i="9"/>
  <c r="N800" i="9"/>
  <c r="O800" i="9"/>
  <c r="M801" i="9"/>
  <c r="N801" i="9"/>
  <c r="O801" i="9"/>
  <c r="M802" i="9"/>
  <c r="N802" i="9"/>
  <c r="O802" i="9"/>
  <c r="M803" i="9"/>
  <c r="N803" i="9"/>
  <c r="O803" i="9"/>
  <c r="M804" i="9"/>
  <c r="N804" i="9"/>
  <c r="O804" i="9"/>
  <c r="M805" i="9"/>
  <c r="N805" i="9"/>
  <c r="O805" i="9"/>
  <c r="M806" i="9"/>
  <c r="N806" i="9"/>
  <c r="O806" i="9"/>
  <c r="M807" i="9"/>
  <c r="N807" i="9"/>
  <c r="O807" i="9"/>
  <c r="M808" i="9"/>
  <c r="N808" i="9"/>
  <c r="O808" i="9"/>
  <c r="M809" i="9"/>
  <c r="N809" i="9"/>
  <c r="O809" i="9"/>
  <c r="M810" i="9"/>
  <c r="N810" i="9"/>
  <c r="O810" i="9"/>
  <c r="M811" i="9"/>
  <c r="N811" i="9"/>
  <c r="O811" i="9"/>
  <c r="M812" i="9"/>
  <c r="N812" i="9"/>
  <c r="O812" i="9"/>
  <c r="M813" i="9"/>
  <c r="N813" i="9"/>
  <c r="O813" i="9"/>
  <c r="M814" i="9"/>
  <c r="N814" i="9"/>
  <c r="O814" i="9"/>
  <c r="M815" i="9"/>
  <c r="N815" i="9"/>
  <c r="O815" i="9"/>
  <c r="M816" i="9"/>
  <c r="N816" i="9"/>
  <c r="O816" i="9"/>
  <c r="M817" i="9"/>
  <c r="N817" i="9"/>
  <c r="O817" i="9"/>
  <c r="M818" i="9"/>
  <c r="N818" i="9"/>
  <c r="O818" i="9"/>
  <c r="M819" i="9"/>
  <c r="N819" i="9"/>
  <c r="O819" i="9"/>
  <c r="M820" i="9"/>
  <c r="N820" i="9"/>
  <c r="O820" i="9"/>
  <c r="M821" i="9"/>
  <c r="N821" i="9"/>
  <c r="O821" i="9"/>
  <c r="M822" i="9"/>
  <c r="N822" i="9"/>
  <c r="O822" i="9"/>
  <c r="M823" i="9"/>
  <c r="N823" i="9"/>
  <c r="O823" i="9"/>
  <c r="M824" i="9"/>
  <c r="N824" i="9"/>
  <c r="O824" i="9"/>
  <c r="M825" i="9"/>
  <c r="N825" i="9"/>
  <c r="O825" i="9"/>
  <c r="M826" i="9"/>
  <c r="N826" i="9"/>
  <c r="O826" i="9"/>
  <c r="M827" i="9"/>
  <c r="N827" i="9"/>
  <c r="O827" i="9"/>
  <c r="M828" i="9"/>
  <c r="N828" i="9"/>
  <c r="O828" i="9"/>
  <c r="M829" i="9"/>
  <c r="N829" i="9"/>
  <c r="O829" i="9"/>
  <c r="M830" i="9"/>
  <c r="N830" i="9"/>
  <c r="O830" i="9"/>
  <c r="M831" i="9"/>
  <c r="N831" i="9"/>
  <c r="O831" i="9"/>
  <c r="M832" i="9"/>
  <c r="N832" i="9"/>
  <c r="O832" i="9"/>
  <c r="M833" i="9"/>
  <c r="N833" i="9"/>
  <c r="O833" i="9"/>
  <c r="M834" i="9"/>
  <c r="N834" i="9"/>
  <c r="O834" i="9"/>
  <c r="M835" i="9"/>
  <c r="N835" i="9"/>
  <c r="O835" i="9"/>
  <c r="M836" i="9"/>
  <c r="N836" i="9"/>
  <c r="O836" i="9"/>
  <c r="M837" i="9"/>
  <c r="N837" i="9"/>
  <c r="O837" i="9"/>
  <c r="M838" i="9"/>
  <c r="N838" i="9"/>
  <c r="O838" i="9"/>
  <c r="M839" i="9"/>
  <c r="N839" i="9"/>
  <c r="O839" i="9"/>
  <c r="M840" i="9"/>
  <c r="N840" i="9"/>
  <c r="O840" i="9"/>
  <c r="M841" i="9"/>
  <c r="N841" i="9"/>
  <c r="O841" i="9"/>
  <c r="M842" i="9"/>
  <c r="N842" i="9"/>
  <c r="O842" i="9"/>
  <c r="M843" i="9"/>
  <c r="N843" i="9"/>
  <c r="O843" i="9"/>
  <c r="M844" i="9"/>
  <c r="N844" i="9"/>
  <c r="O844" i="9"/>
  <c r="M845" i="9"/>
  <c r="N845" i="9"/>
  <c r="O845" i="9"/>
  <c r="M846" i="9"/>
  <c r="N846" i="9"/>
  <c r="O846" i="9"/>
  <c r="M847" i="9"/>
  <c r="N847" i="9"/>
  <c r="O847" i="9"/>
  <c r="M848" i="9"/>
  <c r="N848" i="9"/>
  <c r="O848" i="9"/>
  <c r="M849" i="9"/>
  <c r="N849" i="9"/>
  <c r="O849" i="9"/>
  <c r="M850" i="9"/>
  <c r="N850" i="9"/>
  <c r="O850" i="9"/>
  <c r="M851" i="9"/>
  <c r="N851" i="9"/>
  <c r="O851" i="9"/>
  <c r="M852" i="9"/>
  <c r="N852" i="9"/>
  <c r="O852" i="9"/>
  <c r="M853" i="9"/>
  <c r="N853" i="9"/>
  <c r="O853" i="9"/>
  <c r="M854" i="9"/>
  <c r="N854" i="9"/>
  <c r="O854" i="9"/>
  <c r="M855" i="9"/>
  <c r="N855" i="9"/>
  <c r="O855" i="9"/>
  <c r="M856" i="9"/>
  <c r="N856" i="9"/>
  <c r="O856" i="9"/>
  <c r="M857" i="9"/>
  <c r="N857" i="9"/>
  <c r="O857" i="9"/>
  <c r="M858" i="9"/>
  <c r="N858" i="9"/>
  <c r="O858" i="9"/>
  <c r="M859" i="9"/>
  <c r="N859" i="9"/>
  <c r="O859" i="9"/>
  <c r="M860" i="9"/>
  <c r="N860" i="9"/>
  <c r="O860" i="9"/>
  <c r="M861" i="9"/>
  <c r="N861" i="9"/>
  <c r="O861" i="9"/>
  <c r="M862" i="9"/>
  <c r="N862" i="9"/>
  <c r="O862" i="9"/>
  <c r="M863" i="9"/>
  <c r="N863" i="9"/>
  <c r="O863" i="9"/>
  <c r="M864" i="9"/>
  <c r="N864" i="9"/>
  <c r="O864" i="9"/>
  <c r="M865" i="9"/>
  <c r="N865" i="9"/>
  <c r="O865" i="9"/>
  <c r="M866" i="9"/>
  <c r="N866" i="9"/>
  <c r="O866" i="9"/>
  <c r="M867" i="9"/>
  <c r="N867" i="9"/>
  <c r="O867" i="9"/>
  <c r="M868" i="9"/>
  <c r="N868" i="9"/>
  <c r="O868" i="9"/>
  <c r="M869" i="9"/>
  <c r="N869" i="9"/>
  <c r="O869" i="9"/>
  <c r="M870" i="9"/>
  <c r="N870" i="9"/>
  <c r="O870" i="9"/>
  <c r="M871" i="9"/>
  <c r="N871" i="9"/>
  <c r="O871" i="9"/>
  <c r="M872" i="9"/>
  <c r="N872" i="9"/>
  <c r="O872" i="9"/>
  <c r="M873" i="9"/>
  <c r="N873" i="9"/>
  <c r="O873" i="9"/>
  <c r="M874" i="9"/>
  <c r="N874" i="9"/>
  <c r="O874" i="9"/>
  <c r="M875" i="9"/>
  <c r="N875" i="9"/>
  <c r="O875" i="9"/>
  <c r="M876" i="9"/>
  <c r="N876" i="9"/>
  <c r="O876" i="9"/>
  <c r="M877" i="9"/>
  <c r="N877" i="9"/>
  <c r="O877" i="9"/>
  <c r="M878" i="9"/>
  <c r="N878" i="9"/>
  <c r="O878" i="9"/>
  <c r="M879" i="9"/>
  <c r="N879" i="9"/>
  <c r="O879" i="9"/>
  <c r="M880" i="9"/>
  <c r="N880" i="9"/>
  <c r="O880" i="9"/>
  <c r="M881" i="9"/>
  <c r="N881" i="9"/>
  <c r="O881" i="9"/>
  <c r="M882" i="9"/>
  <c r="N882" i="9"/>
  <c r="O882" i="9"/>
  <c r="M883" i="9"/>
  <c r="N883" i="9"/>
  <c r="O883" i="9"/>
  <c r="M884" i="9"/>
  <c r="N884" i="9"/>
  <c r="O884" i="9"/>
  <c r="M885" i="9"/>
  <c r="N885" i="9"/>
  <c r="O885" i="9"/>
  <c r="M886" i="9"/>
  <c r="N886" i="9"/>
  <c r="O886" i="9"/>
  <c r="M887" i="9"/>
  <c r="N887" i="9"/>
  <c r="O887" i="9"/>
  <c r="M888" i="9"/>
  <c r="N888" i="9"/>
  <c r="O888" i="9"/>
  <c r="M889" i="9"/>
  <c r="N889" i="9"/>
  <c r="O889" i="9"/>
  <c r="M890" i="9"/>
  <c r="N890" i="9"/>
  <c r="O890" i="9"/>
  <c r="M891" i="9"/>
  <c r="N891" i="9"/>
  <c r="O891" i="9"/>
  <c r="M892" i="9"/>
  <c r="N892" i="9"/>
  <c r="O892" i="9"/>
  <c r="M893" i="9"/>
  <c r="N893" i="9"/>
  <c r="O893" i="9"/>
  <c r="M894" i="9"/>
  <c r="N894" i="9"/>
  <c r="O894" i="9"/>
  <c r="M895" i="9"/>
  <c r="N895" i="9"/>
  <c r="O895" i="9"/>
  <c r="M896" i="9"/>
  <c r="N896" i="9"/>
  <c r="O896" i="9"/>
  <c r="M897" i="9"/>
  <c r="N897" i="9"/>
  <c r="O897" i="9"/>
  <c r="M898" i="9"/>
  <c r="N898" i="9"/>
  <c r="O898" i="9"/>
  <c r="M899" i="9"/>
  <c r="N899" i="9"/>
  <c r="O899" i="9"/>
  <c r="M900" i="9"/>
  <c r="N900" i="9"/>
  <c r="O900" i="9"/>
  <c r="M901" i="9"/>
  <c r="N901" i="9"/>
  <c r="O901" i="9"/>
  <c r="M902" i="9"/>
  <c r="N902" i="9"/>
  <c r="O902" i="9"/>
  <c r="M903" i="9"/>
  <c r="N903" i="9"/>
  <c r="O903" i="9"/>
  <c r="M904" i="9"/>
  <c r="N904" i="9"/>
  <c r="O904" i="9"/>
  <c r="M905" i="9"/>
  <c r="N905" i="9"/>
  <c r="O905" i="9"/>
  <c r="M906" i="9"/>
  <c r="N906" i="9"/>
  <c r="O906" i="9"/>
  <c r="M907" i="9"/>
  <c r="N907" i="9"/>
  <c r="O907" i="9"/>
  <c r="M908" i="9"/>
  <c r="N908" i="9"/>
  <c r="O908" i="9"/>
  <c r="M909" i="9"/>
  <c r="N909" i="9"/>
  <c r="O909" i="9"/>
  <c r="M910" i="9"/>
  <c r="N910" i="9"/>
  <c r="O910" i="9"/>
  <c r="M911" i="9"/>
  <c r="N911" i="9"/>
  <c r="O911" i="9"/>
  <c r="M912" i="9"/>
  <c r="N912" i="9"/>
  <c r="O912" i="9"/>
  <c r="M913" i="9"/>
  <c r="N913" i="9"/>
  <c r="O913" i="9"/>
  <c r="M914" i="9"/>
  <c r="N914" i="9"/>
  <c r="O914" i="9"/>
  <c r="M915" i="9"/>
  <c r="N915" i="9"/>
  <c r="O915" i="9"/>
  <c r="M916" i="9"/>
  <c r="N916" i="9"/>
  <c r="O916" i="9"/>
  <c r="M917" i="9"/>
  <c r="N917" i="9"/>
  <c r="O917" i="9"/>
  <c r="M918" i="9"/>
  <c r="N918" i="9"/>
  <c r="O918" i="9"/>
  <c r="M919" i="9"/>
  <c r="N919" i="9"/>
  <c r="O919" i="9"/>
  <c r="M920" i="9"/>
  <c r="N920" i="9"/>
  <c r="O920" i="9"/>
  <c r="M921" i="9"/>
  <c r="N921" i="9"/>
  <c r="O921" i="9"/>
  <c r="M922" i="9"/>
  <c r="N922" i="9"/>
  <c r="O922" i="9"/>
  <c r="M923" i="9"/>
  <c r="N923" i="9"/>
  <c r="O923" i="9"/>
  <c r="M924" i="9"/>
  <c r="N924" i="9"/>
  <c r="O924" i="9"/>
  <c r="M925" i="9"/>
  <c r="N925" i="9"/>
  <c r="O925" i="9"/>
  <c r="M926" i="9"/>
  <c r="N926" i="9"/>
  <c r="O926" i="9"/>
  <c r="M927" i="9"/>
  <c r="N927" i="9"/>
  <c r="O927" i="9"/>
  <c r="M928" i="9"/>
  <c r="N928" i="9"/>
  <c r="O928" i="9"/>
  <c r="M929" i="9"/>
  <c r="N929" i="9"/>
  <c r="O929" i="9"/>
  <c r="M930" i="9"/>
  <c r="N930" i="9"/>
  <c r="O930" i="9"/>
  <c r="M931" i="9"/>
  <c r="N931" i="9"/>
  <c r="O931" i="9"/>
  <c r="M932" i="9"/>
  <c r="N932" i="9"/>
  <c r="O932" i="9"/>
  <c r="M933" i="9"/>
  <c r="N933" i="9"/>
  <c r="O933" i="9"/>
  <c r="M934" i="9"/>
  <c r="N934" i="9"/>
  <c r="O934" i="9"/>
  <c r="M935" i="9"/>
  <c r="N935" i="9"/>
  <c r="O935" i="9"/>
  <c r="M936" i="9"/>
  <c r="N936" i="9"/>
  <c r="O936" i="9"/>
  <c r="M937" i="9"/>
  <c r="N937" i="9"/>
  <c r="O937" i="9"/>
  <c r="M938" i="9"/>
  <c r="N938" i="9"/>
  <c r="O938" i="9"/>
  <c r="M939" i="9"/>
  <c r="N939" i="9"/>
  <c r="O939" i="9"/>
  <c r="M940" i="9"/>
  <c r="N940" i="9"/>
  <c r="O940" i="9"/>
  <c r="M941" i="9"/>
  <c r="N941" i="9"/>
  <c r="O941" i="9"/>
  <c r="M942" i="9"/>
  <c r="N942" i="9"/>
  <c r="O942" i="9"/>
  <c r="M943" i="9"/>
  <c r="N943" i="9"/>
  <c r="O943" i="9"/>
  <c r="M944" i="9"/>
  <c r="N944" i="9"/>
  <c r="O944" i="9"/>
  <c r="M945" i="9"/>
  <c r="N945" i="9"/>
  <c r="O945" i="9"/>
  <c r="M946" i="9"/>
  <c r="N946" i="9"/>
  <c r="O946" i="9"/>
  <c r="M947" i="9"/>
  <c r="N947" i="9"/>
  <c r="O947" i="9"/>
  <c r="M948" i="9"/>
  <c r="N948" i="9"/>
  <c r="O948" i="9"/>
  <c r="M949" i="9"/>
  <c r="N949" i="9"/>
  <c r="O949" i="9"/>
  <c r="M950" i="9"/>
  <c r="N950" i="9"/>
  <c r="O950" i="9"/>
  <c r="M951" i="9"/>
  <c r="N951" i="9"/>
  <c r="O951" i="9"/>
  <c r="M952" i="9"/>
  <c r="N952" i="9"/>
  <c r="O952" i="9"/>
  <c r="M953" i="9"/>
  <c r="N953" i="9"/>
  <c r="O953" i="9"/>
  <c r="M954" i="9"/>
  <c r="N954" i="9"/>
  <c r="O954" i="9"/>
  <c r="M955" i="9"/>
  <c r="N955" i="9"/>
  <c r="O955" i="9"/>
  <c r="M956" i="9"/>
  <c r="N956" i="9"/>
  <c r="O956" i="9"/>
  <c r="M957" i="9"/>
  <c r="N957" i="9"/>
  <c r="O957" i="9"/>
  <c r="M958" i="9"/>
  <c r="N958" i="9"/>
  <c r="O958" i="9"/>
  <c r="M959" i="9"/>
  <c r="N959" i="9"/>
  <c r="O959" i="9"/>
  <c r="M960" i="9"/>
  <c r="N960" i="9"/>
  <c r="O960" i="9"/>
  <c r="M961" i="9"/>
  <c r="N961" i="9"/>
  <c r="O961" i="9"/>
  <c r="M962" i="9"/>
  <c r="N962" i="9"/>
  <c r="O962" i="9"/>
  <c r="M963" i="9"/>
  <c r="N963" i="9"/>
  <c r="O963" i="9"/>
  <c r="M964" i="9"/>
  <c r="N964" i="9"/>
  <c r="O964" i="9"/>
  <c r="M965" i="9"/>
  <c r="N965" i="9"/>
  <c r="O965" i="9"/>
  <c r="M966" i="9"/>
  <c r="N966" i="9"/>
  <c r="O966" i="9"/>
  <c r="M967" i="9"/>
  <c r="N967" i="9"/>
  <c r="O967" i="9"/>
  <c r="M968" i="9"/>
  <c r="N968" i="9"/>
  <c r="O968" i="9"/>
  <c r="M969" i="9"/>
  <c r="N969" i="9"/>
  <c r="O969" i="9"/>
  <c r="M970" i="9"/>
  <c r="N970" i="9"/>
  <c r="O970" i="9"/>
  <c r="M971" i="9"/>
  <c r="N971" i="9"/>
  <c r="O971" i="9"/>
  <c r="M972" i="9"/>
  <c r="N972" i="9"/>
  <c r="O972" i="9"/>
  <c r="M973" i="9"/>
  <c r="N973" i="9"/>
  <c r="O973" i="9"/>
  <c r="M974" i="9"/>
  <c r="N974" i="9"/>
  <c r="O974" i="9"/>
  <c r="M975" i="9"/>
  <c r="N975" i="9"/>
  <c r="O975" i="9"/>
  <c r="M976" i="9"/>
  <c r="N976" i="9"/>
  <c r="O976" i="9"/>
  <c r="M977" i="9"/>
  <c r="N977" i="9"/>
  <c r="O977" i="9"/>
  <c r="M978" i="9"/>
  <c r="N978" i="9"/>
  <c r="O978" i="9"/>
  <c r="M979" i="9"/>
  <c r="N979" i="9"/>
  <c r="O979" i="9"/>
  <c r="M980" i="9"/>
  <c r="N980" i="9"/>
  <c r="O980" i="9"/>
  <c r="M981" i="9"/>
  <c r="N981" i="9"/>
  <c r="O981" i="9"/>
  <c r="M982" i="9"/>
  <c r="N982" i="9"/>
  <c r="O982" i="9"/>
  <c r="M983" i="9"/>
  <c r="N983" i="9"/>
  <c r="O983" i="9"/>
  <c r="M984" i="9"/>
  <c r="N984" i="9"/>
  <c r="O984" i="9"/>
  <c r="M985" i="9"/>
  <c r="N985" i="9"/>
  <c r="O985" i="9"/>
  <c r="M986" i="9"/>
  <c r="N986" i="9"/>
  <c r="O986" i="9"/>
  <c r="M987" i="9"/>
  <c r="N987" i="9"/>
  <c r="O987" i="9"/>
  <c r="M988" i="9"/>
  <c r="N988" i="9"/>
  <c r="O988" i="9"/>
  <c r="M989" i="9"/>
  <c r="N989" i="9"/>
  <c r="O989" i="9"/>
  <c r="M990" i="9"/>
  <c r="N990" i="9"/>
  <c r="O990" i="9"/>
  <c r="M991" i="9"/>
  <c r="N991" i="9"/>
  <c r="O991" i="9"/>
  <c r="M992" i="9"/>
  <c r="N992" i="9"/>
  <c r="O992" i="9"/>
  <c r="M993" i="9"/>
  <c r="N993" i="9"/>
  <c r="O993" i="9"/>
  <c r="M994" i="9"/>
  <c r="N994" i="9"/>
  <c r="O994" i="9"/>
  <c r="M995" i="9"/>
  <c r="N995" i="9"/>
  <c r="O995" i="9"/>
  <c r="M996" i="9"/>
  <c r="N996" i="9"/>
  <c r="O996" i="9"/>
  <c r="M997" i="9"/>
  <c r="N997" i="9"/>
  <c r="O997" i="9"/>
  <c r="M998" i="9"/>
  <c r="N998" i="9"/>
  <c r="O998" i="9"/>
  <c r="M999" i="9"/>
  <c r="N999" i="9"/>
  <c r="O999" i="9"/>
  <c r="M1000" i="9"/>
  <c r="N1000" i="9"/>
  <c r="O1000" i="9"/>
  <c r="M1001" i="9"/>
  <c r="N1001" i="9"/>
  <c r="O1001" i="9"/>
  <c r="M1002" i="9"/>
  <c r="N1002" i="9"/>
  <c r="O1002" i="9"/>
  <c r="M1003" i="9"/>
  <c r="N1003" i="9"/>
  <c r="O1003" i="9"/>
  <c r="M1004" i="9"/>
  <c r="N1004" i="9"/>
  <c r="O1004" i="9"/>
  <c r="M1005" i="9"/>
  <c r="N1005" i="9"/>
  <c r="O1005" i="9"/>
  <c r="M1006" i="9"/>
  <c r="N1006" i="9"/>
  <c r="O1006" i="9"/>
  <c r="M1007" i="9"/>
  <c r="N1007" i="9"/>
  <c r="O1007" i="9"/>
  <c r="M1008" i="9"/>
  <c r="N1008" i="9"/>
  <c r="O1008" i="9"/>
  <c r="M1009" i="9"/>
  <c r="N1009" i="9"/>
  <c r="O1009" i="9"/>
  <c r="M1010" i="9"/>
  <c r="N1010" i="9"/>
  <c r="O1010" i="9"/>
  <c r="M1011" i="9"/>
  <c r="N1011" i="9"/>
  <c r="O1011" i="9"/>
  <c r="M1012" i="9"/>
  <c r="N1012" i="9"/>
  <c r="O1012" i="9"/>
  <c r="M1013" i="9"/>
  <c r="N1013" i="9"/>
  <c r="O1013" i="9"/>
  <c r="M1014" i="9"/>
  <c r="N1014" i="9"/>
  <c r="O1014" i="9"/>
  <c r="M1015" i="9"/>
  <c r="N1015" i="9"/>
  <c r="O1015" i="9"/>
  <c r="M1016" i="9"/>
  <c r="N1016" i="9"/>
  <c r="O1016" i="9"/>
  <c r="M1017" i="9"/>
  <c r="N1017" i="9"/>
  <c r="O1017" i="9"/>
  <c r="M1018" i="9"/>
  <c r="N1018" i="9"/>
  <c r="O1018" i="9"/>
  <c r="M1019" i="9"/>
  <c r="N1019" i="9"/>
  <c r="O1019" i="9"/>
  <c r="M1020" i="9"/>
  <c r="N1020" i="9"/>
  <c r="O1020" i="9"/>
  <c r="M1021" i="9"/>
  <c r="N1021" i="9"/>
  <c r="O1021" i="9"/>
  <c r="M1022" i="9"/>
  <c r="N1022" i="9"/>
  <c r="O1022" i="9"/>
  <c r="M1023" i="9"/>
  <c r="N1023" i="9"/>
  <c r="O1023" i="9"/>
  <c r="M1024" i="9"/>
  <c r="N1024" i="9"/>
  <c r="O1024" i="9"/>
  <c r="M1025" i="9"/>
  <c r="N1025" i="9"/>
  <c r="O1025" i="9"/>
  <c r="M1026" i="9"/>
  <c r="N1026" i="9"/>
  <c r="O1026" i="9"/>
  <c r="M1027" i="9"/>
  <c r="N1027" i="9"/>
  <c r="O1027" i="9"/>
  <c r="M1028" i="9"/>
  <c r="N1028" i="9"/>
  <c r="O1028" i="9"/>
  <c r="M1029" i="9"/>
  <c r="N1029" i="9"/>
  <c r="O1029" i="9"/>
  <c r="M1030" i="9"/>
  <c r="N1030" i="9"/>
  <c r="O1030" i="9"/>
  <c r="M1031" i="9"/>
  <c r="N1031" i="9"/>
  <c r="O1031" i="9"/>
  <c r="M1032" i="9"/>
  <c r="N1032" i="9"/>
  <c r="O1032" i="9"/>
  <c r="M1033" i="9"/>
  <c r="N1033" i="9"/>
  <c r="O1033" i="9"/>
  <c r="M1034" i="9"/>
  <c r="N1034" i="9"/>
  <c r="O1034" i="9"/>
  <c r="M1035" i="9"/>
  <c r="N1035" i="9"/>
  <c r="O1035" i="9"/>
  <c r="M1036" i="9"/>
  <c r="N1036" i="9"/>
  <c r="O1036" i="9"/>
  <c r="M1037" i="9"/>
  <c r="N1037" i="9"/>
  <c r="O1037" i="9"/>
  <c r="M1038" i="9"/>
  <c r="N1038" i="9"/>
  <c r="O1038" i="9"/>
  <c r="M1039" i="9"/>
  <c r="N1039" i="9"/>
  <c r="O1039" i="9"/>
  <c r="M1040" i="9"/>
  <c r="N1040" i="9"/>
  <c r="O1040" i="9"/>
  <c r="M1041" i="9"/>
  <c r="N1041" i="9"/>
  <c r="O1041" i="9"/>
  <c r="M1042" i="9"/>
  <c r="N1042" i="9"/>
  <c r="O1042" i="9"/>
  <c r="M1043" i="9"/>
  <c r="N1043" i="9"/>
  <c r="O1043" i="9"/>
  <c r="M1044" i="9"/>
  <c r="N1044" i="9"/>
  <c r="O1044" i="9"/>
  <c r="M1045" i="9"/>
  <c r="N1045" i="9"/>
  <c r="O1045" i="9"/>
  <c r="M1046" i="9"/>
  <c r="N1046" i="9"/>
  <c r="O1046" i="9"/>
  <c r="M1047" i="9"/>
  <c r="N1047" i="9"/>
  <c r="O1047" i="9"/>
  <c r="M1048" i="9"/>
  <c r="N1048" i="9"/>
  <c r="O1048" i="9"/>
  <c r="M1049" i="9"/>
  <c r="N1049" i="9"/>
  <c r="O1049" i="9"/>
  <c r="M1050" i="9"/>
  <c r="N1050" i="9"/>
  <c r="O1050" i="9"/>
  <c r="M1051" i="9"/>
  <c r="N1051" i="9"/>
  <c r="O1051" i="9"/>
  <c r="M1052" i="9"/>
  <c r="N1052" i="9"/>
  <c r="O1052" i="9"/>
  <c r="M1053" i="9"/>
  <c r="N1053" i="9"/>
  <c r="O1053" i="9"/>
  <c r="M1054" i="9"/>
  <c r="N1054" i="9"/>
  <c r="O1054" i="9"/>
  <c r="M1055" i="9"/>
  <c r="N1055" i="9"/>
  <c r="O1055" i="9"/>
  <c r="M1056" i="9"/>
  <c r="N1056" i="9"/>
  <c r="O1056" i="9"/>
  <c r="M1057" i="9"/>
  <c r="N1057" i="9"/>
  <c r="O1057" i="9"/>
  <c r="M1058" i="9"/>
  <c r="N1058" i="9"/>
  <c r="O1058" i="9"/>
  <c r="M1059" i="9"/>
  <c r="N1059" i="9"/>
  <c r="O1059" i="9"/>
  <c r="M1060" i="9"/>
  <c r="N1060" i="9"/>
  <c r="O1060" i="9"/>
  <c r="M1061" i="9"/>
  <c r="N1061" i="9"/>
  <c r="O1061" i="9"/>
  <c r="M1062" i="9"/>
  <c r="N1062" i="9"/>
  <c r="O1062" i="9"/>
  <c r="M1063" i="9"/>
  <c r="N1063" i="9"/>
  <c r="O1063" i="9"/>
  <c r="M1064" i="9"/>
  <c r="N1064" i="9"/>
  <c r="O1064" i="9"/>
  <c r="M1065" i="9"/>
  <c r="N1065" i="9"/>
  <c r="O1065" i="9"/>
  <c r="M1066" i="9"/>
  <c r="N1066" i="9"/>
  <c r="O1066" i="9"/>
  <c r="M1067" i="9"/>
  <c r="N1067" i="9"/>
  <c r="O1067" i="9"/>
  <c r="M1068" i="9"/>
  <c r="N1068" i="9"/>
  <c r="O1068" i="9"/>
  <c r="M1069" i="9"/>
  <c r="N1069" i="9"/>
  <c r="O1069" i="9"/>
  <c r="M1070" i="9"/>
  <c r="N1070" i="9"/>
  <c r="O1070" i="9"/>
  <c r="M1071" i="9"/>
  <c r="N1071" i="9"/>
  <c r="O1071" i="9"/>
  <c r="M1072" i="9"/>
  <c r="N1072" i="9"/>
  <c r="O1072" i="9"/>
  <c r="M1073" i="9"/>
  <c r="N1073" i="9"/>
  <c r="O1073" i="9"/>
  <c r="M1074" i="9"/>
  <c r="N1074" i="9"/>
  <c r="O1074" i="9"/>
  <c r="M1075" i="9"/>
  <c r="N1075" i="9"/>
  <c r="O1075" i="9"/>
  <c r="M1076" i="9"/>
  <c r="N1076" i="9"/>
  <c r="O1076" i="9"/>
  <c r="M1077" i="9"/>
  <c r="N1077" i="9"/>
  <c r="O1077" i="9"/>
  <c r="M1078" i="9"/>
  <c r="N1078" i="9"/>
  <c r="O1078" i="9"/>
  <c r="M1079" i="9"/>
  <c r="N1079" i="9"/>
  <c r="O1079" i="9"/>
  <c r="M1080" i="9"/>
  <c r="N1080" i="9"/>
  <c r="O1080" i="9"/>
  <c r="M1081" i="9"/>
  <c r="N1081" i="9"/>
  <c r="O1081" i="9"/>
  <c r="M1082" i="9"/>
  <c r="N1082" i="9"/>
  <c r="O1082" i="9"/>
  <c r="M1083" i="9"/>
  <c r="N1083" i="9"/>
  <c r="O1083" i="9"/>
  <c r="M1084" i="9"/>
  <c r="N1084" i="9"/>
  <c r="O1084" i="9"/>
  <c r="M1085" i="9"/>
  <c r="N1085" i="9"/>
  <c r="O1085" i="9"/>
  <c r="M1086" i="9"/>
  <c r="N1086" i="9"/>
  <c r="O1086" i="9"/>
  <c r="M1087" i="9"/>
  <c r="N1087" i="9"/>
  <c r="O1087" i="9"/>
  <c r="M1088" i="9"/>
  <c r="N1088" i="9"/>
  <c r="O1088" i="9"/>
  <c r="M1089" i="9"/>
  <c r="N1089" i="9"/>
  <c r="O1089" i="9"/>
  <c r="M1090" i="9"/>
  <c r="N1090" i="9"/>
  <c r="O1090" i="9"/>
  <c r="M1091" i="9"/>
  <c r="N1091" i="9"/>
  <c r="O1091" i="9"/>
  <c r="M1092" i="9"/>
  <c r="N1092" i="9"/>
  <c r="O1092" i="9"/>
  <c r="M1093" i="9"/>
  <c r="N1093" i="9"/>
  <c r="O1093" i="9"/>
  <c r="M1094" i="9"/>
  <c r="N1094" i="9"/>
  <c r="O1094" i="9"/>
  <c r="M1095" i="9"/>
  <c r="N1095" i="9"/>
  <c r="O1095" i="9"/>
  <c r="M1096" i="9"/>
  <c r="N1096" i="9"/>
  <c r="O1096" i="9"/>
  <c r="M1097" i="9"/>
  <c r="N1097" i="9"/>
  <c r="O1097" i="9"/>
  <c r="M1098" i="9"/>
  <c r="N1098" i="9"/>
  <c r="O1098" i="9"/>
  <c r="M1099" i="9"/>
  <c r="N1099" i="9"/>
  <c r="O1099" i="9"/>
  <c r="M1100" i="9"/>
  <c r="N1100" i="9"/>
  <c r="O1100" i="9"/>
  <c r="M1101" i="9"/>
  <c r="N1101" i="9"/>
  <c r="O1101" i="9"/>
  <c r="M1102" i="9"/>
  <c r="N1102" i="9"/>
  <c r="O1102" i="9"/>
  <c r="M1103" i="9"/>
  <c r="N1103" i="9"/>
  <c r="O1103" i="9"/>
  <c r="M1104" i="9"/>
  <c r="N1104" i="9"/>
  <c r="O1104" i="9"/>
  <c r="M1105" i="9"/>
  <c r="N1105" i="9"/>
  <c r="O1105" i="9"/>
  <c r="M1106" i="9"/>
  <c r="N1106" i="9"/>
  <c r="O1106" i="9"/>
  <c r="M1107" i="9"/>
  <c r="N1107" i="9"/>
  <c r="O1107" i="9"/>
  <c r="M1108" i="9"/>
  <c r="N1108" i="9"/>
  <c r="O1108" i="9"/>
  <c r="M1109" i="9"/>
  <c r="N1109" i="9"/>
  <c r="O1109" i="9"/>
  <c r="M1110" i="9"/>
  <c r="N1110" i="9"/>
  <c r="O1110" i="9"/>
  <c r="M1111" i="9"/>
  <c r="N1111" i="9"/>
  <c r="O1111" i="9"/>
  <c r="M1112" i="9"/>
  <c r="N1112" i="9"/>
  <c r="O1112" i="9"/>
  <c r="M1113" i="9"/>
  <c r="N1113" i="9"/>
  <c r="O1113" i="9"/>
  <c r="M1114" i="9"/>
  <c r="N1114" i="9"/>
  <c r="O1114" i="9"/>
  <c r="M1115" i="9"/>
  <c r="N1115" i="9"/>
  <c r="O1115" i="9"/>
  <c r="M1116" i="9"/>
  <c r="N1116" i="9"/>
  <c r="O1116" i="9"/>
  <c r="M1117" i="9"/>
  <c r="N1117" i="9"/>
  <c r="O1117" i="9"/>
  <c r="M1118" i="9"/>
  <c r="N1118" i="9"/>
  <c r="O1118" i="9"/>
  <c r="M1119" i="9"/>
  <c r="N1119" i="9"/>
  <c r="O1119" i="9"/>
  <c r="M1120" i="9"/>
  <c r="N1120" i="9"/>
  <c r="O1120" i="9"/>
  <c r="M1121" i="9"/>
  <c r="N1121" i="9"/>
  <c r="O1121" i="9"/>
  <c r="M1122" i="9"/>
  <c r="N1122" i="9"/>
  <c r="O1122" i="9"/>
  <c r="M1123" i="9"/>
  <c r="N1123" i="9"/>
  <c r="O1123" i="9"/>
  <c r="M1124" i="9"/>
  <c r="N1124" i="9"/>
  <c r="O1124" i="9"/>
  <c r="M1125" i="9"/>
  <c r="N1125" i="9"/>
  <c r="O1125" i="9"/>
  <c r="M1126" i="9"/>
  <c r="N1126" i="9"/>
  <c r="O1126" i="9"/>
  <c r="M1127" i="9"/>
  <c r="N1127" i="9"/>
  <c r="O1127" i="9"/>
  <c r="M1128" i="9"/>
  <c r="N1128" i="9"/>
  <c r="O1128" i="9"/>
  <c r="M1129" i="9"/>
  <c r="N1129" i="9"/>
  <c r="O1129" i="9"/>
  <c r="M1130" i="9"/>
  <c r="N1130" i="9"/>
  <c r="O1130" i="9"/>
  <c r="M1131" i="9"/>
  <c r="N1131" i="9"/>
  <c r="O1131" i="9"/>
  <c r="M1132" i="9"/>
  <c r="N1132" i="9"/>
  <c r="O1132" i="9"/>
  <c r="M1133" i="9"/>
  <c r="N1133" i="9"/>
  <c r="O1133" i="9"/>
  <c r="M1134" i="9"/>
  <c r="N1134" i="9"/>
  <c r="O1134" i="9"/>
  <c r="M1135" i="9"/>
  <c r="N1135" i="9"/>
  <c r="O1135" i="9"/>
  <c r="M1136" i="9"/>
  <c r="N1136" i="9"/>
  <c r="O1136" i="9"/>
  <c r="M1137" i="9"/>
  <c r="N1137" i="9"/>
  <c r="O1137" i="9"/>
  <c r="M1138" i="9"/>
  <c r="N1138" i="9"/>
  <c r="O1138" i="9"/>
  <c r="M1139" i="9"/>
  <c r="N1139" i="9"/>
  <c r="O1139" i="9"/>
  <c r="M1140" i="9"/>
  <c r="N1140" i="9"/>
  <c r="O1140" i="9"/>
  <c r="M1141" i="9"/>
  <c r="N1141" i="9"/>
  <c r="O1141" i="9"/>
  <c r="M1142" i="9"/>
  <c r="N1142" i="9"/>
  <c r="O1142" i="9"/>
  <c r="M1143" i="9"/>
  <c r="N1143" i="9"/>
  <c r="O1143" i="9"/>
  <c r="M1144" i="9"/>
  <c r="N1144" i="9"/>
  <c r="O1144" i="9"/>
  <c r="M1145" i="9"/>
  <c r="N1145" i="9"/>
  <c r="O1145" i="9"/>
  <c r="M1146" i="9"/>
  <c r="N1146" i="9"/>
  <c r="O1146" i="9"/>
  <c r="M1147" i="9"/>
  <c r="N1147" i="9"/>
  <c r="O1147" i="9"/>
  <c r="M1148" i="9"/>
  <c r="N1148" i="9"/>
  <c r="O1148" i="9"/>
  <c r="M1149" i="9"/>
  <c r="N1149" i="9"/>
  <c r="O1149" i="9"/>
  <c r="M1150" i="9"/>
  <c r="N1150" i="9"/>
  <c r="O1150" i="9"/>
  <c r="M1151" i="9"/>
  <c r="N1151" i="9"/>
  <c r="O1151" i="9"/>
  <c r="M1152" i="9"/>
  <c r="N1152" i="9"/>
  <c r="O1152" i="9"/>
  <c r="M1153" i="9"/>
  <c r="N1153" i="9"/>
  <c r="O1153" i="9"/>
  <c r="M1154" i="9"/>
  <c r="N1154" i="9"/>
  <c r="O1154" i="9"/>
  <c r="M1155" i="9"/>
  <c r="N1155" i="9"/>
  <c r="O1155" i="9"/>
  <c r="M1156" i="9"/>
  <c r="N1156" i="9"/>
  <c r="O1156" i="9"/>
  <c r="M1157" i="9"/>
  <c r="N1157" i="9"/>
  <c r="O1157" i="9"/>
  <c r="M1158" i="9"/>
  <c r="N1158" i="9"/>
  <c r="O1158" i="9"/>
  <c r="M1159" i="9"/>
  <c r="N1159" i="9"/>
  <c r="O1159" i="9"/>
  <c r="M1160" i="9"/>
  <c r="N1160" i="9"/>
  <c r="O1160" i="9"/>
  <c r="M1161" i="9"/>
  <c r="N1161" i="9"/>
  <c r="O1161" i="9"/>
  <c r="M1162" i="9"/>
  <c r="N1162" i="9"/>
  <c r="O1162" i="9"/>
  <c r="M1163" i="9"/>
  <c r="N1163" i="9"/>
  <c r="O1163" i="9"/>
  <c r="M1164" i="9"/>
  <c r="N1164" i="9"/>
  <c r="O1164" i="9"/>
  <c r="M1165" i="9"/>
  <c r="N1165" i="9"/>
  <c r="O1165" i="9"/>
  <c r="M1166" i="9"/>
  <c r="N1166" i="9"/>
  <c r="O1166" i="9"/>
  <c r="M1167" i="9"/>
  <c r="N1167" i="9"/>
  <c r="O1167" i="9"/>
  <c r="M1168" i="9"/>
  <c r="N1168" i="9"/>
  <c r="O1168" i="9"/>
  <c r="M1169" i="9"/>
  <c r="N1169" i="9"/>
  <c r="O1169" i="9"/>
  <c r="M1170" i="9"/>
  <c r="N1170" i="9"/>
  <c r="O1170" i="9"/>
  <c r="M1171" i="9"/>
  <c r="N1171" i="9"/>
  <c r="O1171" i="9"/>
  <c r="M1172" i="9"/>
  <c r="N1172" i="9"/>
  <c r="O1172" i="9"/>
  <c r="M1173" i="9"/>
  <c r="N1173" i="9"/>
  <c r="O1173" i="9"/>
  <c r="M1174" i="9"/>
  <c r="N1174" i="9"/>
  <c r="O1174" i="9"/>
  <c r="M1175" i="9"/>
  <c r="N1175" i="9"/>
  <c r="O1175" i="9"/>
  <c r="M1176" i="9"/>
  <c r="N1176" i="9"/>
  <c r="O1176" i="9"/>
  <c r="M1177" i="9"/>
  <c r="N1177" i="9"/>
  <c r="O1177" i="9"/>
  <c r="M1178" i="9"/>
  <c r="N1178" i="9"/>
  <c r="O1178" i="9"/>
  <c r="M1179" i="9"/>
  <c r="N1179" i="9"/>
  <c r="O1179" i="9"/>
  <c r="M1180" i="9"/>
  <c r="N1180" i="9"/>
  <c r="O1180" i="9"/>
  <c r="M1181" i="9"/>
  <c r="N1181" i="9"/>
  <c r="O1181" i="9"/>
  <c r="M1182" i="9"/>
  <c r="N1182" i="9"/>
  <c r="O1182" i="9"/>
  <c r="M1183" i="9"/>
  <c r="N1183" i="9"/>
  <c r="O1183" i="9"/>
  <c r="M1184" i="9"/>
  <c r="N1184" i="9"/>
  <c r="O1184" i="9"/>
  <c r="M1185" i="9"/>
  <c r="N1185" i="9"/>
  <c r="O1185" i="9"/>
  <c r="M1186" i="9"/>
  <c r="N1186" i="9"/>
  <c r="O1186" i="9"/>
  <c r="M1187" i="9"/>
  <c r="N1187" i="9"/>
  <c r="O1187" i="9"/>
  <c r="M1188" i="9"/>
  <c r="N1188" i="9"/>
  <c r="O1188" i="9"/>
  <c r="M1189" i="9"/>
  <c r="N1189" i="9"/>
  <c r="O1189" i="9"/>
  <c r="M1190" i="9"/>
  <c r="N1190" i="9"/>
  <c r="O1190" i="9"/>
  <c r="M1191" i="9"/>
  <c r="N1191" i="9"/>
  <c r="O1191" i="9"/>
  <c r="M1192" i="9"/>
  <c r="N1192" i="9"/>
  <c r="O1192" i="9"/>
  <c r="M1193" i="9"/>
  <c r="N1193" i="9"/>
  <c r="O1193" i="9"/>
  <c r="M1194" i="9"/>
  <c r="N1194" i="9"/>
  <c r="O1194" i="9"/>
  <c r="M1195" i="9"/>
  <c r="N1195" i="9"/>
  <c r="O1195" i="9"/>
  <c r="M1196" i="9"/>
  <c r="N1196" i="9"/>
  <c r="O1196" i="9"/>
  <c r="M1197" i="9"/>
  <c r="N1197" i="9"/>
  <c r="O1197" i="9"/>
  <c r="M1198" i="9"/>
  <c r="N1198" i="9"/>
  <c r="O1198" i="9"/>
  <c r="M1199" i="9"/>
  <c r="N1199" i="9"/>
  <c r="O1199" i="9"/>
  <c r="M1200" i="9"/>
  <c r="N1200" i="9"/>
  <c r="O1200" i="9"/>
  <c r="M1201" i="9"/>
  <c r="N1201" i="9"/>
  <c r="O1201" i="9"/>
  <c r="M1202" i="9"/>
  <c r="N1202" i="9"/>
  <c r="O1202" i="9"/>
  <c r="M1203" i="9"/>
  <c r="N1203" i="9"/>
  <c r="O1203" i="9"/>
  <c r="M1204" i="9"/>
  <c r="N1204" i="9"/>
  <c r="O1204" i="9"/>
  <c r="M1205" i="9"/>
  <c r="N1205" i="9"/>
  <c r="O1205" i="9"/>
  <c r="M1206" i="9"/>
  <c r="N1206" i="9"/>
  <c r="O1206" i="9"/>
  <c r="M1207" i="9"/>
  <c r="N1207" i="9"/>
  <c r="O1207" i="9"/>
  <c r="M1208" i="9"/>
  <c r="N1208" i="9"/>
  <c r="O1208" i="9"/>
  <c r="M1209" i="9"/>
  <c r="N1209" i="9"/>
  <c r="O1209" i="9"/>
  <c r="M1210" i="9"/>
  <c r="N1210" i="9"/>
  <c r="O1210" i="9"/>
  <c r="M1211" i="9"/>
  <c r="N1211" i="9"/>
  <c r="O1211" i="9"/>
  <c r="M1212" i="9"/>
  <c r="N1212" i="9"/>
  <c r="O1212" i="9"/>
  <c r="M1213" i="9"/>
  <c r="N1213" i="9"/>
  <c r="O1213" i="9"/>
  <c r="M1214" i="9"/>
  <c r="N1214" i="9"/>
  <c r="O1214" i="9"/>
  <c r="M1215" i="9"/>
  <c r="N1215" i="9"/>
  <c r="O1215" i="9"/>
  <c r="M1216" i="9"/>
  <c r="N1216" i="9"/>
  <c r="O1216" i="9"/>
  <c r="M1217" i="9"/>
  <c r="N1217" i="9"/>
  <c r="O1217" i="9"/>
  <c r="M1218" i="9"/>
  <c r="N1218" i="9"/>
  <c r="O1218" i="9"/>
  <c r="M1219" i="9"/>
  <c r="N1219" i="9"/>
  <c r="O1219" i="9"/>
  <c r="M1220" i="9"/>
  <c r="N1220" i="9"/>
  <c r="O1220" i="9"/>
  <c r="M1221" i="9"/>
  <c r="N1221" i="9"/>
  <c r="O1221" i="9"/>
  <c r="M1222" i="9"/>
  <c r="N1222" i="9"/>
  <c r="O1222" i="9"/>
  <c r="M1223" i="9"/>
  <c r="N1223" i="9"/>
  <c r="O1223" i="9"/>
  <c r="M1224" i="9"/>
  <c r="N1224" i="9"/>
  <c r="O1224" i="9"/>
  <c r="M1225" i="9"/>
  <c r="N1225" i="9"/>
  <c r="O1225" i="9"/>
  <c r="M1226" i="9"/>
  <c r="N1226" i="9"/>
  <c r="O1226" i="9"/>
  <c r="M1227" i="9"/>
  <c r="N1227" i="9"/>
  <c r="O1227" i="9"/>
  <c r="M1228" i="9"/>
  <c r="N1228" i="9"/>
  <c r="O1228" i="9"/>
  <c r="M1229" i="9"/>
  <c r="N1229" i="9"/>
  <c r="O1229" i="9"/>
  <c r="M1230" i="9"/>
  <c r="N1230" i="9"/>
  <c r="O1230" i="9"/>
  <c r="M1231" i="9"/>
  <c r="N1231" i="9"/>
  <c r="O1231" i="9"/>
  <c r="M1232" i="9"/>
  <c r="N1232" i="9"/>
  <c r="O1232" i="9"/>
  <c r="M1233" i="9"/>
  <c r="N1233" i="9"/>
  <c r="O1233" i="9"/>
  <c r="M1234" i="9"/>
  <c r="N1234" i="9"/>
  <c r="O1234" i="9"/>
  <c r="M1235" i="9"/>
  <c r="N1235" i="9"/>
  <c r="O1235" i="9"/>
  <c r="M1236" i="9"/>
  <c r="N1236" i="9"/>
  <c r="O1236" i="9"/>
  <c r="M1237" i="9"/>
  <c r="N1237" i="9"/>
  <c r="O1237" i="9"/>
  <c r="M1238" i="9"/>
  <c r="N1238" i="9"/>
  <c r="O1238" i="9"/>
  <c r="M1239" i="9"/>
  <c r="N1239" i="9"/>
  <c r="O1239" i="9"/>
  <c r="M1240" i="9"/>
  <c r="N1240" i="9"/>
  <c r="O1240" i="9"/>
  <c r="M1241" i="9"/>
  <c r="N1241" i="9"/>
  <c r="O1241" i="9"/>
  <c r="M1242" i="9"/>
  <c r="N1242" i="9"/>
  <c r="O1242" i="9"/>
  <c r="M1243" i="9"/>
  <c r="N1243" i="9"/>
  <c r="O1243" i="9"/>
  <c r="M1244" i="9"/>
  <c r="N1244" i="9"/>
  <c r="O1244" i="9"/>
  <c r="M1245" i="9"/>
  <c r="N1245" i="9"/>
  <c r="O1245" i="9"/>
  <c r="M1246" i="9"/>
  <c r="N1246" i="9"/>
  <c r="O1246" i="9"/>
  <c r="M1247" i="9"/>
  <c r="N1247" i="9"/>
  <c r="O1247" i="9"/>
  <c r="M1248" i="9"/>
  <c r="N1248" i="9"/>
  <c r="O1248" i="9"/>
  <c r="M1249" i="9"/>
  <c r="N1249" i="9"/>
  <c r="O1249" i="9"/>
  <c r="M1250" i="9"/>
  <c r="N1250" i="9"/>
  <c r="O1250" i="9"/>
  <c r="M1251" i="9"/>
  <c r="N1251" i="9"/>
  <c r="O1251" i="9"/>
  <c r="M1252" i="9"/>
  <c r="N1252" i="9"/>
  <c r="O1252" i="9"/>
  <c r="M1253" i="9"/>
  <c r="N1253" i="9"/>
  <c r="O1253" i="9"/>
  <c r="M1254" i="9"/>
  <c r="N1254" i="9"/>
  <c r="O1254" i="9"/>
  <c r="M1255" i="9"/>
  <c r="N1255" i="9"/>
  <c r="O1255" i="9"/>
  <c r="M1256" i="9"/>
  <c r="N1256" i="9"/>
  <c r="O1256" i="9"/>
  <c r="M1257" i="9"/>
  <c r="N1257" i="9"/>
  <c r="O1257" i="9"/>
  <c r="M1258" i="9"/>
  <c r="N1258" i="9"/>
  <c r="O1258" i="9"/>
  <c r="M1259" i="9"/>
  <c r="N1259" i="9"/>
  <c r="O1259" i="9"/>
  <c r="M1260" i="9"/>
  <c r="N1260" i="9"/>
  <c r="O1260" i="9"/>
  <c r="M1261" i="9"/>
  <c r="N1261" i="9"/>
  <c r="O1261" i="9"/>
  <c r="M1262" i="9"/>
  <c r="N1262" i="9"/>
  <c r="O1262" i="9"/>
  <c r="M1263" i="9"/>
  <c r="N1263" i="9"/>
  <c r="O1263" i="9"/>
  <c r="M1264" i="9"/>
  <c r="N1264" i="9"/>
  <c r="O1264" i="9"/>
  <c r="M1265" i="9"/>
  <c r="N1265" i="9"/>
  <c r="O1265" i="9"/>
  <c r="M1266" i="9"/>
  <c r="N1266" i="9"/>
  <c r="O1266" i="9"/>
  <c r="M1267" i="9"/>
  <c r="N1267" i="9"/>
  <c r="O1267" i="9"/>
  <c r="M1268" i="9"/>
  <c r="N1268" i="9"/>
  <c r="O1268" i="9"/>
  <c r="M1269" i="9"/>
  <c r="N1269" i="9"/>
  <c r="O1269" i="9"/>
  <c r="M1270" i="9"/>
  <c r="N1270" i="9"/>
  <c r="O1270" i="9"/>
  <c r="M1271" i="9"/>
  <c r="N1271" i="9"/>
  <c r="O1271" i="9"/>
  <c r="M1272" i="9"/>
  <c r="N1272" i="9"/>
  <c r="O1272" i="9"/>
  <c r="M1273" i="9"/>
  <c r="N1273" i="9"/>
  <c r="O1273" i="9"/>
  <c r="M1274" i="9"/>
  <c r="N1274" i="9"/>
  <c r="O1274" i="9"/>
  <c r="M1275" i="9"/>
  <c r="N1275" i="9"/>
  <c r="O1275" i="9"/>
  <c r="M1276" i="9"/>
  <c r="N1276" i="9"/>
  <c r="O1276" i="9"/>
  <c r="M1277" i="9"/>
  <c r="N1277" i="9"/>
  <c r="O1277" i="9"/>
  <c r="M1278" i="9"/>
  <c r="N1278" i="9"/>
  <c r="O1278" i="9"/>
  <c r="M1279" i="9"/>
  <c r="N1279" i="9"/>
  <c r="O1279" i="9"/>
  <c r="M1280" i="9"/>
  <c r="N1280" i="9"/>
  <c r="O1280" i="9"/>
  <c r="M1281" i="9"/>
  <c r="N1281" i="9"/>
  <c r="O1281" i="9"/>
  <c r="M1282" i="9"/>
  <c r="N1282" i="9"/>
  <c r="O1282" i="9"/>
  <c r="M1283" i="9"/>
  <c r="N1283" i="9"/>
  <c r="O1283" i="9"/>
  <c r="M1284" i="9"/>
  <c r="N1284" i="9"/>
  <c r="O1284" i="9"/>
  <c r="M1285" i="9"/>
  <c r="N1285" i="9"/>
  <c r="O1285" i="9"/>
  <c r="M1286" i="9"/>
  <c r="N1286" i="9"/>
  <c r="O1286" i="9"/>
  <c r="M1287" i="9"/>
  <c r="N1287" i="9"/>
  <c r="O1287" i="9"/>
  <c r="M1288" i="9"/>
  <c r="N1288" i="9"/>
  <c r="O1288" i="9"/>
  <c r="M1289" i="9"/>
  <c r="N1289" i="9"/>
  <c r="O1289" i="9"/>
  <c r="M1290" i="9"/>
  <c r="N1290" i="9"/>
  <c r="O1290" i="9"/>
  <c r="M1291" i="9"/>
  <c r="N1291" i="9"/>
  <c r="O1291" i="9"/>
  <c r="M1292" i="9"/>
  <c r="N1292" i="9"/>
  <c r="O1292" i="9"/>
  <c r="M1293" i="9"/>
  <c r="N1293" i="9"/>
  <c r="O1293" i="9"/>
  <c r="M1294" i="9"/>
  <c r="N1294" i="9"/>
  <c r="O1294" i="9"/>
  <c r="M1295" i="9"/>
  <c r="N1295" i="9"/>
  <c r="O1295" i="9"/>
  <c r="M1296" i="9"/>
  <c r="N1296" i="9"/>
  <c r="O1296" i="9"/>
  <c r="M1297" i="9"/>
  <c r="N1297" i="9"/>
  <c r="O1297" i="9"/>
  <c r="M1298" i="9"/>
  <c r="N1298" i="9"/>
  <c r="O1298" i="9"/>
  <c r="M1299" i="9"/>
  <c r="N1299" i="9"/>
  <c r="O1299" i="9"/>
  <c r="M1300" i="9"/>
  <c r="N1300" i="9"/>
  <c r="O1300" i="9"/>
  <c r="M1301" i="9"/>
  <c r="N1301" i="9"/>
  <c r="O1301" i="9"/>
  <c r="M1302" i="9"/>
  <c r="N1302" i="9"/>
  <c r="O1302" i="9"/>
  <c r="M1303" i="9"/>
  <c r="N1303" i="9"/>
  <c r="O1303" i="9"/>
  <c r="M1304" i="9"/>
  <c r="N1304" i="9"/>
  <c r="O1304" i="9"/>
  <c r="M1305" i="9"/>
  <c r="N1305" i="9"/>
  <c r="O1305" i="9"/>
  <c r="M1306" i="9"/>
  <c r="N1306" i="9"/>
  <c r="O1306" i="9"/>
  <c r="M1307" i="9"/>
  <c r="N1307" i="9"/>
  <c r="O1307" i="9"/>
  <c r="M1308" i="9"/>
  <c r="N1308" i="9"/>
  <c r="O1308" i="9"/>
  <c r="M1309" i="9"/>
  <c r="N1309" i="9"/>
  <c r="O1309" i="9"/>
  <c r="M1310" i="9"/>
  <c r="N1310" i="9"/>
  <c r="O1310" i="9"/>
  <c r="M1311" i="9"/>
  <c r="N1311" i="9"/>
  <c r="O1311" i="9"/>
  <c r="M1312" i="9"/>
  <c r="N1312" i="9"/>
  <c r="O1312" i="9"/>
  <c r="M1313" i="9"/>
  <c r="N1313" i="9"/>
  <c r="O1313" i="9"/>
  <c r="M1314" i="9"/>
  <c r="N1314" i="9"/>
  <c r="O1314" i="9"/>
  <c r="M1315" i="9"/>
  <c r="N1315" i="9"/>
  <c r="O1315" i="9"/>
  <c r="M1316" i="9"/>
  <c r="N1316" i="9"/>
  <c r="O1316" i="9"/>
  <c r="M1317" i="9"/>
  <c r="N1317" i="9"/>
  <c r="O1317" i="9"/>
  <c r="M1318" i="9"/>
  <c r="N1318" i="9"/>
  <c r="O1318" i="9"/>
  <c r="M1319" i="9"/>
  <c r="N1319" i="9"/>
  <c r="O1319" i="9"/>
  <c r="M1320" i="9"/>
  <c r="N1320" i="9"/>
  <c r="O1320" i="9"/>
  <c r="M1321" i="9"/>
  <c r="N1321" i="9"/>
  <c r="O1321" i="9"/>
  <c r="M1322" i="9"/>
  <c r="N1322" i="9"/>
  <c r="O1322" i="9"/>
  <c r="M1323" i="9"/>
  <c r="N1323" i="9"/>
  <c r="O1323" i="9"/>
  <c r="M1324" i="9"/>
  <c r="N1324" i="9"/>
  <c r="O1324" i="9"/>
  <c r="M1325" i="9"/>
  <c r="N1325" i="9"/>
  <c r="O1325" i="9"/>
  <c r="M1326" i="9"/>
  <c r="N1326" i="9"/>
  <c r="O1326" i="9"/>
  <c r="M1327" i="9"/>
  <c r="N1327" i="9"/>
  <c r="O1327" i="9"/>
  <c r="M1328" i="9"/>
  <c r="N1328" i="9"/>
  <c r="O1328" i="9"/>
  <c r="M1329" i="9"/>
  <c r="N1329" i="9"/>
  <c r="O1329" i="9"/>
  <c r="M1330" i="9"/>
  <c r="N1330" i="9"/>
  <c r="O1330" i="9"/>
  <c r="M1331" i="9"/>
  <c r="N1331" i="9"/>
  <c r="O1331" i="9"/>
  <c r="M1332" i="9"/>
  <c r="N1332" i="9"/>
  <c r="O1332" i="9"/>
  <c r="M1333" i="9"/>
  <c r="N1333" i="9"/>
  <c r="O1333" i="9"/>
  <c r="M1334" i="9"/>
  <c r="N1334" i="9"/>
  <c r="O1334" i="9"/>
  <c r="M1335" i="9"/>
  <c r="N1335" i="9"/>
  <c r="O1335" i="9"/>
  <c r="M1336" i="9"/>
  <c r="N1336" i="9"/>
  <c r="O1336" i="9"/>
  <c r="M1337" i="9"/>
  <c r="N1337" i="9"/>
  <c r="O1337" i="9"/>
  <c r="M1338" i="9"/>
  <c r="N1338" i="9"/>
  <c r="O1338" i="9"/>
  <c r="M1339" i="9"/>
  <c r="N1339" i="9"/>
  <c r="O1339" i="9"/>
  <c r="M1340" i="9"/>
  <c r="N1340" i="9"/>
  <c r="O1340" i="9"/>
  <c r="M1341" i="9"/>
  <c r="N1341" i="9"/>
  <c r="O1341" i="9"/>
  <c r="M1342" i="9"/>
  <c r="N1342" i="9"/>
  <c r="O1342" i="9"/>
  <c r="M1343" i="9"/>
  <c r="N1343" i="9"/>
  <c r="O1343" i="9"/>
  <c r="M1344" i="9"/>
  <c r="N1344" i="9"/>
  <c r="O1344" i="9"/>
  <c r="M1345" i="9"/>
  <c r="N1345" i="9"/>
  <c r="O1345" i="9"/>
  <c r="M1346" i="9"/>
  <c r="N1346" i="9"/>
  <c r="O1346" i="9"/>
  <c r="M1347" i="9"/>
  <c r="N1347" i="9"/>
  <c r="O1347" i="9"/>
  <c r="M1348" i="9"/>
  <c r="N1348" i="9"/>
  <c r="O1348" i="9"/>
  <c r="M1349" i="9"/>
  <c r="N1349" i="9"/>
  <c r="O1349" i="9"/>
  <c r="M1350" i="9"/>
  <c r="N1350" i="9"/>
  <c r="O1350" i="9"/>
  <c r="M1351" i="9"/>
  <c r="N1351" i="9"/>
  <c r="O1351" i="9"/>
  <c r="M1352" i="9"/>
  <c r="N1352" i="9"/>
  <c r="O1352" i="9"/>
  <c r="M1353" i="9"/>
  <c r="N1353" i="9"/>
  <c r="O1353" i="9"/>
  <c r="M1354" i="9"/>
  <c r="N1354" i="9"/>
  <c r="O1354" i="9"/>
  <c r="M1355" i="9"/>
  <c r="N1355" i="9"/>
  <c r="O1355" i="9"/>
  <c r="M1356" i="9"/>
  <c r="N1356" i="9"/>
  <c r="O1356" i="9"/>
  <c r="M1357" i="9"/>
  <c r="N1357" i="9"/>
  <c r="O1357" i="9"/>
  <c r="M1358" i="9"/>
  <c r="N1358" i="9"/>
  <c r="O1358" i="9"/>
  <c r="M1359" i="9"/>
  <c r="N1359" i="9"/>
  <c r="O1359" i="9"/>
  <c r="M1360" i="9"/>
  <c r="N1360" i="9"/>
  <c r="O1360" i="9"/>
  <c r="M1361" i="9"/>
  <c r="N1361" i="9"/>
  <c r="O1361" i="9"/>
  <c r="M1362" i="9"/>
  <c r="N1362" i="9"/>
  <c r="O1362" i="9"/>
  <c r="M1363" i="9"/>
  <c r="N1363" i="9"/>
  <c r="O1363" i="9"/>
  <c r="M1364" i="9"/>
  <c r="N1364" i="9"/>
  <c r="O1364" i="9"/>
  <c r="M1365" i="9"/>
  <c r="N1365" i="9"/>
  <c r="O1365" i="9"/>
  <c r="M1366" i="9"/>
  <c r="N1366" i="9"/>
  <c r="O1366" i="9"/>
  <c r="M1367" i="9"/>
  <c r="N1367" i="9"/>
  <c r="O1367" i="9"/>
  <c r="M1368" i="9"/>
  <c r="N1368" i="9"/>
  <c r="O1368" i="9"/>
  <c r="M1369" i="9"/>
  <c r="N1369" i="9"/>
  <c r="O1369" i="9"/>
  <c r="M1370" i="9"/>
  <c r="N1370" i="9"/>
  <c r="O1370" i="9"/>
  <c r="M1371" i="9"/>
  <c r="N1371" i="9"/>
  <c r="O1371" i="9"/>
  <c r="M1372" i="9"/>
  <c r="N1372" i="9"/>
  <c r="O1372" i="9"/>
  <c r="M1373" i="9"/>
  <c r="N1373" i="9"/>
  <c r="O1373" i="9"/>
  <c r="M1374" i="9"/>
  <c r="N1374" i="9"/>
  <c r="O1374" i="9"/>
  <c r="M1375" i="9"/>
  <c r="N1375" i="9"/>
  <c r="O1375" i="9"/>
  <c r="M1376" i="9"/>
  <c r="N1376" i="9"/>
  <c r="O1376" i="9"/>
  <c r="M1377" i="9"/>
  <c r="N1377" i="9"/>
  <c r="O1377" i="9"/>
  <c r="M1378" i="9"/>
  <c r="N1378" i="9"/>
  <c r="O1378" i="9"/>
  <c r="M1379" i="9"/>
  <c r="N1379" i="9"/>
  <c r="O1379" i="9"/>
  <c r="M1380" i="9"/>
  <c r="N1380" i="9"/>
  <c r="O1380" i="9"/>
  <c r="M1381" i="9"/>
  <c r="N1381" i="9"/>
  <c r="O1381" i="9"/>
  <c r="M1382" i="9"/>
  <c r="N1382" i="9"/>
  <c r="O1382" i="9"/>
  <c r="M1383" i="9"/>
  <c r="N1383" i="9"/>
  <c r="O1383" i="9"/>
  <c r="M1384" i="9"/>
  <c r="N1384" i="9"/>
  <c r="O1384" i="9"/>
  <c r="M1385" i="9"/>
  <c r="N1385" i="9"/>
  <c r="O1385" i="9"/>
  <c r="M1386" i="9"/>
  <c r="N1386" i="9"/>
  <c r="O1386" i="9"/>
  <c r="M1387" i="9"/>
  <c r="N1387" i="9"/>
  <c r="O1387" i="9"/>
  <c r="M1388" i="9"/>
  <c r="N1388" i="9"/>
  <c r="O1388" i="9"/>
  <c r="M1389" i="9"/>
  <c r="N1389" i="9"/>
  <c r="O1389" i="9"/>
  <c r="M1390" i="9"/>
  <c r="N1390" i="9"/>
  <c r="O1390" i="9"/>
  <c r="M1391" i="9"/>
  <c r="N1391" i="9"/>
  <c r="O1391" i="9"/>
  <c r="M1392" i="9"/>
  <c r="N1392" i="9"/>
  <c r="O1392" i="9"/>
  <c r="M1393" i="9"/>
  <c r="N1393" i="9"/>
  <c r="O1393" i="9"/>
  <c r="M1394" i="9"/>
  <c r="N1394" i="9"/>
  <c r="O1394" i="9"/>
  <c r="M1395" i="9"/>
  <c r="N1395" i="9"/>
  <c r="O1395" i="9"/>
  <c r="M1396" i="9"/>
  <c r="N1396" i="9"/>
  <c r="O1396" i="9"/>
  <c r="M1397" i="9"/>
  <c r="N1397" i="9"/>
  <c r="O1397" i="9"/>
  <c r="M1398" i="9"/>
  <c r="N1398" i="9"/>
  <c r="O1398" i="9"/>
  <c r="M1399" i="9"/>
  <c r="N1399" i="9"/>
  <c r="O1399" i="9"/>
  <c r="M1400" i="9"/>
  <c r="N1400" i="9"/>
  <c r="O1400" i="9"/>
  <c r="M1401" i="9"/>
  <c r="N1401" i="9"/>
  <c r="O1401" i="9"/>
  <c r="M1402" i="9"/>
  <c r="N1402" i="9"/>
  <c r="O1402" i="9"/>
  <c r="M1403" i="9"/>
  <c r="N1403" i="9"/>
  <c r="O1403" i="9"/>
  <c r="M1404" i="9"/>
  <c r="N1404" i="9"/>
  <c r="O1404" i="9"/>
  <c r="M1405" i="9"/>
  <c r="N1405" i="9"/>
  <c r="O1405" i="9"/>
  <c r="M1406" i="9"/>
  <c r="N1406" i="9"/>
  <c r="O1406" i="9"/>
  <c r="M1407" i="9"/>
  <c r="N1407" i="9"/>
  <c r="O1407" i="9"/>
  <c r="M1408" i="9"/>
  <c r="N1408" i="9"/>
  <c r="O1408" i="9"/>
  <c r="M1409" i="9"/>
  <c r="N1409" i="9"/>
  <c r="O1409" i="9"/>
  <c r="M1410" i="9"/>
  <c r="N1410" i="9"/>
  <c r="O1410" i="9"/>
  <c r="M1411" i="9"/>
  <c r="N1411" i="9"/>
  <c r="O1411" i="9"/>
  <c r="M1412" i="9"/>
  <c r="N1412" i="9"/>
  <c r="O1412" i="9"/>
  <c r="M1413" i="9"/>
  <c r="N1413" i="9"/>
  <c r="O1413" i="9"/>
  <c r="M1414" i="9"/>
  <c r="N1414" i="9"/>
  <c r="O1414" i="9"/>
  <c r="M1415" i="9"/>
  <c r="N1415" i="9"/>
  <c r="O1415" i="9"/>
  <c r="M1416" i="9"/>
  <c r="N1416" i="9"/>
  <c r="O1416" i="9"/>
  <c r="M1417" i="9"/>
  <c r="N1417" i="9"/>
  <c r="O1417" i="9"/>
  <c r="M1418" i="9"/>
  <c r="N1418" i="9"/>
  <c r="O1418" i="9"/>
  <c r="M1419" i="9"/>
  <c r="N1419" i="9"/>
  <c r="O1419" i="9"/>
  <c r="M1420" i="9"/>
  <c r="N1420" i="9"/>
  <c r="O1420" i="9"/>
  <c r="M1421" i="9"/>
  <c r="N1421" i="9"/>
  <c r="O1421" i="9"/>
  <c r="M1422" i="9"/>
  <c r="N1422" i="9"/>
  <c r="O1422" i="9"/>
  <c r="M1423" i="9"/>
  <c r="N1423" i="9"/>
  <c r="O1423" i="9"/>
  <c r="M1424" i="9"/>
  <c r="N1424" i="9"/>
  <c r="O1424" i="9"/>
  <c r="M1425" i="9"/>
  <c r="N1425" i="9"/>
  <c r="O1425" i="9"/>
  <c r="M1426" i="9"/>
  <c r="N1426" i="9"/>
  <c r="O1426" i="9"/>
  <c r="M1427" i="9"/>
  <c r="N1427" i="9"/>
  <c r="O1427" i="9"/>
  <c r="M1428" i="9"/>
  <c r="N1428" i="9"/>
  <c r="O1428" i="9"/>
  <c r="M1429" i="9"/>
  <c r="N1429" i="9"/>
  <c r="O1429" i="9"/>
  <c r="M1430" i="9"/>
  <c r="N1430" i="9"/>
  <c r="O1430" i="9"/>
  <c r="M1431" i="9"/>
  <c r="N1431" i="9"/>
  <c r="O1431" i="9"/>
  <c r="M1432" i="9"/>
  <c r="N1432" i="9"/>
  <c r="O1432" i="9"/>
  <c r="M1433" i="9"/>
  <c r="N1433" i="9"/>
  <c r="O1433" i="9"/>
  <c r="M1434" i="9"/>
  <c r="N1434" i="9"/>
  <c r="O1434" i="9"/>
  <c r="M1435" i="9"/>
  <c r="N1435" i="9"/>
  <c r="O1435" i="9"/>
  <c r="M1436" i="9"/>
  <c r="N1436" i="9"/>
  <c r="O1436" i="9"/>
  <c r="M1437" i="9"/>
  <c r="N1437" i="9"/>
  <c r="O1437" i="9"/>
  <c r="O3" i="9"/>
  <c r="N3" i="9"/>
  <c r="M3" i="9"/>
  <c r="L1333" i="6"/>
  <c r="M1333" i="6" s="1"/>
  <c r="I10" i="8"/>
  <c r="I11" i="8"/>
  <c r="I12" i="8"/>
  <c r="I13" i="8"/>
  <c r="I14" i="8"/>
  <c r="I15" i="8"/>
  <c r="I16" i="8"/>
  <c r="I17" i="8"/>
  <c r="I18" i="8"/>
  <c r="I19" i="8"/>
  <c r="I9" i="8"/>
  <c r="L10" i="8"/>
  <c r="L11" i="8"/>
  <c r="L12" i="8"/>
  <c r="L13" i="8"/>
  <c r="L14" i="8"/>
  <c r="L15" i="8"/>
  <c r="L16" i="8"/>
  <c r="L17" i="8"/>
  <c r="L18" i="8"/>
  <c r="L19" i="8"/>
  <c r="L9" i="8"/>
  <c r="S9" i="8" s="1"/>
  <c r="N8" i="8"/>
  <c r="U8" i="8"/>
  <c r="M8" i="8" s="1"/>
  <c r="T8" i="8"/>
  <c r="S8" i="8"/>
  <c r="R8" i="8"/>
  <c r="Q8" i="8"/>
  <c r="P8" i="8"/>
  <c r="F8" i="8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K50" i="7"/>
  <c r="J50" i="7"/>
  <c r="K48" i="7"/>
  <c r="J48" i="7"/>
  <c r="K49" i="7"/>
  <c r="J49" i="7"/>
  <c r="K47" i="7"/>
  <c r="J47" i="7"/>
  <c r="K46" i="7"/>
  <c r="J46" i="7"/>
  <c r="E23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6" i="7"/>
  <c r="E27" i="7"/>
  <c r="E28" i="7"/>
  <c r="E29" i="7"/>
  <c r="E30" i="7"/>
  <c r="E31" i="7"/>
  <c r="E32" i="7"/>
  <c r="E33" i="7"/>
  <c r="E34" i="7"/>
  <c r="E35" i="7"/>
  <c r="E36" i="7"/>
  <c r="E37" i="7"/>
  <c r="E24" i="7"/>
  <c r="E38" i="7"/>
  <c r="E39" i="7"/>
  <c r="E40" i="7"/>
  <c r="E41" i="7"/>
  <c r="E42" i="7"/>
  <c r="E43" i="7"/>
  <c r="E44" i="7"/>
  <c r="E25" i="7"/>
  <c r="E45" i="7"/>
  <c r="E46" i="7"/>
  <c r="E47" i="7"/>
  <c r="E8" i="7"/>
  <c r="C12" i="7"/>
  <c r="C13" i="7"/>
  <c r="C14" i="7"/>
  <c r="C15" i="7"/>
  <c r="C16" i="7"/>
  <c r="C17" i="7"/>
  <c r="C18" i="7"/>
  <c r="C19" i="7"/>
  <c r="C27" i="7"/>
  <c r="C28" i="7"/>
  <c r="C29" i="7"/>
  <c r="C30" i="7"/>
  <c r="C31" i="7"/>
  <c r="C32" i="7"/>
  <c r="C33" i="7"/>
  <c r="C34" i="7"/>
  <c r="C38" i="7"/>
  <c r="C39" i="7"/>
  <c r="C40" i="7"/>
  <c r="C41" i="7"/>
  <c r="C42" i="7"/>
  <c r="C43" i="7"/>
  <c r="C44" i="7"/>
  <c r="C25" i="7"/>
  <c r="C23" i="7"/>
  <c r="C9" i="7"/>
  <c r="C10" i="7"/>
  <c r="C11" i="7"/>
  <c r="C20" i="7"/>
  <c r="C21" i="7"/>
  <c r="C22" i="7"/>
  <c r="C26" i="7"/>
  <c r="C35" i="7"/>
  <c r="C36" i="7"/>
  <c r="C37" i="7"/>
  <c r="C24" i="7"/>
  <c r="C45" i="7"/>
  <c r="C46" i="7"/>
  <c r="C47" i="7"/>
  <c r="C8" i="7"/>
  <c r="P324" i="9" l="1"/>
  <c r="P606" i="9"/>
  <c r="P772" i="9"/>
  <c r="P332" i="9"/>
  <c r="P1422" i="9"/>
  <c r="P1382" i="9"/>
  <c r="P1170" i="9"/>
  <c r="P1098" i="9"/>
  <c r="P1078" i="9"/>
  <c r="P818" i="9"/>
  <c r="P458" i="9"/>
  <c r="P362" i="9"/>
  <c r="P210" i="9"/>
  <c r="P6" i="9"/>
  <c r="P1436" i="9"/>
  <c r="P1420" i="9"/>
  <c r="P1416" i="9"/>
  <c r="P1404" i="9"/>
  <c r="P1400" i="9"/>
  <c r="P1396" i="9"/>
  <c r="P1376" i="9"/>
  <c r="P1364" i="9"/>
  <c r="P1324" i="9"/>
  <c r="P1312" i="9"/>
  <c r="P1296" i="9"/>
  <c r="P1292" i="9"/>
  <c r="P1272" i="9"/>
  <c r="P1260" i="9"/>
  <c r="P1256" i="9"/>
  <c r="P1252" i="9"/>
  <c r="P1244" i="9"/>
  <c r="P1232" i="9"/>
  <c r="P1220" i="9"/>
  <c r="P1212" i="9"/>
  <c r="P1184" i="9"/>
  <c r="P1180" i="9"/>
  <c r="P1172" i="9"/>
  <c r="P1168" i="9"/>
  <c r="P1144" i="9"/>
  <c r="P1140" i="9"/>
  <c r="P1136" i="9"/>
  <c r="P1128" i="9"/>
  <c r="P1116" i="9"/>
  <c r="P1096" i="9"/>
  <c r="P1092" i="9"/>
  <c r="P1088" i="9"/>
  <c r="P1076" i="9"/>
  <c r="P1068" i="9"/>
  <c r="P1060" i="9"/>
  <c r="P1056" i="9"/>
  <c r="P1036" i="9"/>
  <c r="P1024" i="9"/>
  <c r="P1020" i="9"/>
  <c r="P1016" i="9"/>
  <c r="P996" i="9"/>
  <c r="P980" i="9"/>
  <c r="P976" i="9"/>
  <c r="P972" i="9"/>
  <c r="P952" i="9"/>
  <c r="P936" i="9"/>
  <c r="P924" i="9"/>
  <c r="P908" i="9"/>
  <c r="P892" i="9"/>
  <c r="P880" i="9"/>
  <c r="P868" i="9"/>
  <c r="P852" i="9"/>
  <c r="P840" i="9"/>
  <c r="P836" i="9"/>
  <c r="P824" i="9"/>
  <c r="P812" i="9"/>
  <c r="P808" i="9"/>
  <c r="P792" i="9"/>
  <c r="P780" i="9"/>
  <c r="P768" i="9"/>
  <c r="P748" i="9"/>
  <c r="P740" i="9"/>
  <c r="P736" i="9"/>
  <c r="P732" i="9"/>
  <c r="P720" i="9"/>
  <c r="P696" i="9"/>
  <c r="P692" i="9"/>
  <c r="P688" i="9"/>
  <c r="P684" i="9"/>
  <c r="P672" i="9"/>
  <c r="P668" i="9"/>
  <c r="P656" i="9"/>
  <c r="P640" i="9"/>
  <c r="P632" i="9"/>
  <c r="P628" i="9"/>
  <c r="P624" i="9"/>
  <c r="P608" i="9"/>
  <c r="P588" i="9"/>
  <c r="P580" i="9"/>
  <c r="P576" i="9"/>
  <c r="P572" i="9"/>
  <c r="P564" i="9"/>
  <c r="P548" i="9"/>
  <c r="P532" i="9"/>
  <c r="P528" i="9"/>
  <c r="P516" i="9"/>
  <c r="P500" i="9"/>
  <c r="P496" i="9"/>
  <c r="P484" i="9"/>
  <c r="P476" i="9"/>
  <c r="P468" i="9"/>
  <c r="P452" i="9"/>
  <c r="P444" i="9"/>
  <c r="P440" i="9"/>
  <c r="P436" i="9"/>
  <c r="P432" i="9"/>
  <c r="P428" i="9"/>
  <c r="P404" i="9"/>
  <c r="P388" i="9"/>
  <c r="P384" i="9"/>
  <c r="P380" i="9"/>
  <c r="P352" i="9"/>
  <c r="P336" i="9"/>
  <c r="P328" i="9"/>
  <c r="P300" i="9"/>
  <c r="P292" i="9"/>
  <c r="P288" i="9"/>
  <c r="P284" i="9"/>
  <c r="P280" i="9"/>
  <c r="P264" i="9"/>
  <c r="P260" i="9"/>
  <c r="P248" i="9"/>
  <c r="P236" i="9"/>
  <c r="P232" i="9"/>
  <c r="P216" i="9"/>
  <c r="P208" i="9"/>
  <c r="P204" i="9"/>
  <c r="P200" i="9"/>
  <c r="P196" i="9"/>
  <c r="P188" i="9"/>
  <c r="P184" i="9"/>
  <c r="P156" i="9"/>
  <c r="P152" i="9"/>
  <c r="P136" i="9"/>
  <c r="P132" i="9"/>
  <c r="P116" i="9"/>
  <c r="P108" i="9"/>
  <c r="P92" i="9"/>
  <c r="P88" i="9"/>
  <c r="P84" i="9"/>
  <c r="P64" i="9"/>
  <c r="P60" i="9"/>
  <c r="P44" i="9"/>
  <c r="P32" i="9"/>
  <c r="P28" i="9"/>
  <c r="P12" i="9"/>
  <c r="P206" i="9"/>
  <c r="P1132" i="9"/>
  <c r="P800" i="9"/>
  <c r="P1437" i="9"/>
  <c r="P1421" i="9"/>
  <c r="P1397" i="9"/>
  <c r="P1381" i="9"/>
  <c r="P1357" i="9"/>
  <c r="P1349" i="9"/>
  <c r="P1237" i="9"/>
  <c r="P1213" i="9"/>
  <c r="P1197" i="9"/>
  <c r="P1165" i="9"/>
  <c r="P1053" i="9"/>
  <c r="P1013" i="9"/>
  <c r="P957" i="9"/>
  <c r="P941" i="9"/>
  <c r="P933" i="9"/>
  <c r="P913" i="9"/>
  <c r="P905" i="9"/>
  <c r="P817" i="9"/>
  <c r="P793" i="9"/>
  <c r="P733" i="9"/>
  <c r="P669" i="9"/>
  <c r="P605" i="9"/>
  <c r="P477" i="9"/>
  <c r="P333" i="9"/>
  <c r="P277" i="9"/>
  <c r="P269" i="9"/>
  <c r="P237" i="9"/>
  <c r="P205" i="9"/>
  <c r="P165" i="9"/>
  <c r="P117" i="9"/>
  <c r="P9" i="9"/>
  <c r="P1064" i="9"/>
  <c r="P1408" i="9"/>
  <c r="P1344" i="9"/>
  <c r="P1340" i="9"/>
  <c r="P1316" i="9"/>
  <c r="P1308" i="9"/>
  <c r="P1236" i="9"/>
  <c r="P1228" i="9"/>
  <c r="P1052" i="9"/>
  <c r="P988" i="9"/>
  <c r="P984" i="9"/>
  <c r="P896" i="9"/>
  <c r="P884" i="9"/>
  <c r="P876" i="9"/>
  <c r="P872" i="9"/>
  <c r="P804" i="9"/>
  <c r="P660" i="9"/>
  <c r="P568" i="9"/>
  <c r="P524" i="9"/>
  <c r="P520" i="9"/>
  <c r="P424" i="9"/>
  <c r="P420" i="9"/>
  <c r="P340" i="9"/>
  <c r="P104" i="9"/>
  <c r="P100" i="9"/>
  <c r="P56" i="9"/>
  <c r="P48" i="9"/>
  <c r="P1329" i="9"/>
  <c r="P1289" i="9"/>
  <c r="P1249" i="9"/>
  <c r="P1201" i="9"/>
  <c r="P1177" i="9"/>
  <c r="P1097" i="9"/>
  <c r="P1081" i="9"/>
  <c r="P1073" i="9"/>
  <c r="P1041" i="9"/>
  <c r="P977" i="9"/>
  <c r="P961" i="9"/>
  <c r="P885" i="9"/>
  <c r="P821" i="9"/>
  <c r="P789" i="9"/>
  <c r="P729" i="9"/>
  <c r="P697" i="9"/>
  <c r="P633" i="9"/>
  <c r="P577" i="9"/>
  <c r="P513" i="9"/>
  <c r="P489" i="9"/>
  <c r="P449" i="9"/>
  <c r="P425" i="9"/>
  <c r="P385" i="9"/>
  <c r="P337" i="9"/>
  <c r="P257" i="9"/>
  <c r="P209" i="9"/>
  <c r="P113" i="9"/>
  <c r="P105" i="9"/>
  <c r="P81" i="9"/>
  <c r="P33" i="9"/>
  <c r="P5" i="9"/>
  <c r="P1412" i="9"/>
  <c r="P664" i="9"/>
  <c r="P1423" i="9"/>
  <c r="P1399" i="9"/>
  <c r="P1291" i="9"/>
  <c r="P1267" i="9"/>
  <c r="P1227" i="9"/>
  <c r="P1131" i="9"/>
  <c r="P1015" i="9"/>
  <c r="P991" i="9"/>
  <c r="P971" i="9"/>
  <c r="P915" i="9"/>
  <c r="P799" i="9"/>
  <c r="P699" i="9"/>
  <c r="P607" i="9"/>
  <c r="P583" i="9"/>
  <c r="P555" i="9"/>
  <c r="P491" i="9"/>
  <c r="P459" i="9"/>
  <c r="P367" i="9"/>
  <c r="P307" i="9"/>
  <c r="P211" i="9"/>
  <c r="P183" i="9"/>
  <c r="P159" i="9"/>
  <c r="P119" i="9"/>
  <c r="P83" i="9"/>
  <c r="P956" i="9"/>
  <c r="P1392" i="9"/>
  <c r="P680" i="9"/>
  <c r="P1348" i="9"/>
  <c r="P1240" i="9"/>
  <c r="P180" i="9"/>
  <c r="P1164" i="9"/>
  <c r="P3" i="9"/>
  <c r="P1384" i="9"/>
  <c r="P1356" i="9"/>
  <c r="P1328" i="9"/>
  <c r="P1300" i="9"/>
  <c r="P1276" i="9"/>
  <c r="P1248" i="9"/>
  <c r="P1192" i="9"/>
  <c r="P1112" i="9"/>
  <c r="P1084" i="9"/>
  <c r="P1032" i="9"/>
  <c r="P1004" i="9"/>
  <c r="P948" i="9"/>
  <c r="P916" i="9"/>
  <c r="P860" i="9"/>
  <c r="P1432" i="9"/>
  <c r="P1428" i="9"/>
  <c r="P1424" i="9"/>
  <c r="P1388" i="9"/>
  <c r="P1380" i="9"/>
  <c r="P1372" i="9"/>
  <c r="P1368" i="9"/>
  <c r="P1360" i="9"/>
  <c r="P1352" i="9"/>
  <c r="P1336" i="9"/>
  <c r="P1332" i="9"/>
  <c r="P1320" i="9"/>
  <c r="P1304" i="9"/>
  <c r="P1288" i="9"/>
  <c r="P1284" i="9"/>
  <c r="P1280" i="9"/>
  <c r="P1268" i="9"/>
  <c r="P1264" i="9"/>
  <c r="P1224" i="9"/>
  <c r="P1216" i="9"/>
  <c r="P1208" i="9"/>
  <c r="P1204" i="9"/>
  <c r="P1200" i="9"/>
  <c r="P1196" i="9"/>
  <c r="P1188" i="9"/>
  <c r="P1176" i="9"/>
  <c r="P1160" i="9"/>
  <c r="P1156" i="9"/>
  <c r="P1152" i="9"/>
  <c r="P1148" i="9"/>
  <c r="P1124" i="9"/>
  <c r="P1120" i="9"/>
  <c r="P1108" i="9"/>
  <c r="P1104" i="9"/>
  <c r="P1100" i="9"/>
  <c r="P1080" i="9"/>
  <c r="P1072" i="9"/>
  <c r="P1048" i="9"/>
  <c r="P1044" i="9"/>
  <c r="P1040" i="9"/>
  <c r="P1028" i="9"/>
  <c r="P1012" i="9"/>
  <c r="P1008" i="9"/>
  <c r="P1000" i="9"/>
  <c r="P968" i="9"/>
  <c r="P964" i="9"/>
  <c r="P960" i="9"/>
  <c r="P944" i="9"/>
  <c r="P932" i="9"/>
  <c r="P928" i="9"/>
  <c r="P920" i="9"/>
  <c r="P912" i="9"/>
  <c r="P904" i="9"/>
  <c r="P900" i="9"/>
  <c r="P864" i="9"/>
  <c r="P856" i="9"/>
  <c r="P844" i="9"/>
  <c r="P832" i="9"/>
  <c r="P828" i="9"/>
  <c r="P820" i="9"/>
  <c r="P816" i="9"/>
  <c r="P788" i="9"/>
  <c r="P784" i="9"/>
  <c r="P776" i="9"/>
  <c r="P764" i="9"/>
  <c r="P760" i="9"/>
  <c r="P756" i="9"/>
  <c r="P752" i="9"/>
  <c r="P728" i="9"/>
  <c r="P724" i="9"/>
  <c r="P716" i="9"/>
  <c r="P712" i="9"/>
  <c r="P708" i="9"/>
  <c r="P700" i="9"/>
  <c r="P676" i="9"/>
  <c r="P648" i="9"/>
  <c r="P644" i="9"/>
  <c r="P636" i="9"/>
  <c r="P604" i="9"/>
  <c r="P596" i="9"/>
  <c r="P592" i="9"/>
  <c r="P584" i="9"/>
  <c r="P512" i="9"/>
  <c r="P504" i="9"/>
  <c r="P492" i="9"/>
  <c r="P488" i="9"/>
  <c r="P448" i="9"/>
  <c r="P412" i="9"/>
  <c r="P408" i="9"/>
  <c r="P368" i="9"/>
  <c r="P360" i="9"/>
  <c r="P356" i="9"/>
  <c r="P348" i="9"/>
  <c r="P344" i="9"/>
  <c r="P276" i="9"/>
  <c r="P256" i="9"/>
  <c r="P244" i="9"/>
  <c r="P176" i="9"/>
  <c r="P172" i="9"/>
  <c r="P144" i="9"/>
  <c r="P124" i="9"/>
  <c r="P120" i="9"/>
  <c r="P112" i="9"/>
  <c r="P40" i="9"/>
  <c r="P36" i="9"/>
  <c r="P20" i="9"/>
  <c r="P16" i="9"/>
  <c r="P8" i="9"/>
  <c r="P612" i="9"/>
  <c r="P552" i="9"/>
  <c r="P540" i="9"/>
  <c r="P480" i="9"/>
  <c r="P396" i="9"/>
  <c r="P372" i="9"/>
  <c r="P316" i="9"/>
  <c r="P304" i="9"/>
  <c r="P268" i="9"/>
  <c r="P160" i="9"/>
  <c r="P148" i="9"/>
  <c r="P52" i="9"/>
  <c r="P616" i="9"/>
  <c r="P556" i="9"/>
  <c r="P544" i="9"/>
  <c r="P536" i="9"/>
  <c r="P464" i="9"/>
  <c r="P392" i="9"/>
  <c r="P320" i="9"/>
  <c r="P308" i="9"/>
  <c r="P296" i="9"/>
  <c r="P224" i="9"/>
  <c r="P212" i="9"/>
  <c r="P164" i="9"/>
  <c r="P140" i="9"/>
  <c r="P80" i="9"/>
  <c r="P68" i="9"/>
  <c r="P620" i="9"/>
  <c r="P472" i="9"/>
  <c r="P460" i="9"/>
  <c r="P400" i="9"/>
  <c r="P376" i="9"/>
  <c r="P252" i="9"/>
  <c r="P240" i="9"/>
  <c r="P228" i="9"/>
  <c r="P192" i="9"/>
  <c r="P96" i="9"/>
  <c r="P72" i="9"/>
  <c r="P4" i="9"/>
  <c r="P1314" i="9"/>
  <c r="P554" i="9"/>
  <c r="P450" i="9"/>
  <c r="P366" i="9"/>
  <c r="P114" i="9"/>
  <c r="P1310" i="9"/>
  <c r="P1290" i="9"/>
  <c r="P1198" i="9"/>
  <c r="P1126" i="9"/>
  <c r="P1082" i="9"/>
  <c r="P1014" i="9"/>
  <c r="P1305" i="9"/>
  <c r="P1137" i="9"/>
  <c r="P1113" i="9"/>
  <c r="P1033" i="9"/>
  <c r="P989" i="9"/>
  <c r="P865" i="9"/>
  <c r="P849" i="9"/>
  <c r="P813" i="9"/>
  <c r="P777" i="9"/>
  <c r="P541" i="9"/>
  <c r="P441" i="9"/>
  <c r="P381" i="9"/>
  <c r="P229" i="9"/>
  <c r="P145" i="9"/>
  <c r="P57" i="9"/>
  <c r="P1369" i="9"/>
  <c r="P1333" i="9"/>
  <c r="P1265" i="9"/>
  <c r="P1217" i="9"/>
  <c r="P1189" i="9"/>
  <c r="P1149" i="9"/>
  <c r="P1061" i="9"/>
  <c r="P845" i="9"/>
  <c r="P481" i="9"/>
  <c r="P1398" i="9"/>
  <c r="P1386" i="9"/>
  <c r="P1374" i="9"/>
  <c r="P1366" i="9"/>
  <c r="P1330" i="9"/>
  <c r="P1306" i="9"/>
  <c r="P1294" i="9"/>
  <c r="P1270" i="9"/>
  <c r="P1210" i="9"/>
  <c r="P1186" i="9"/>
  <c r="P1118" i="9"/>
  <c r="P1094" i="9"/>
  <c r="P1026" i="9"/>
  <c r="P990" i="9"/>
  <c r="P930" i="9"/>
  <c r="P918" i="9"/>
  <c r="P698" i="9"/>
  <c r="P278" i="9"/>
  <c r="P1282" i="9"/>
  <c r="P1214" i="9"/>
  <c r="P1166" i="9"/>
  <c r="P1054" i="9"/>
  <c r="P602" i="9"/>
  <c r="P1414" i="9"/>
  <c r="P1406" i="9"/>
  <c r="P1362" i="9"/>
  <c r="P1342" i="9"/>
  <c r="P1302" i="9"/>
  <c r="P1278" i="9"/>
  <c r="P1266" i="9"/>
  <c r="P1254" i="9"/>
  <c r="P1178" i="9"/>
  <c r="P1150" i="9"/>
  <c r="P1042" i="9"/>
  <c r="P774" i="9"/>
  <c r="P582" i="9"/>
  <c r="P242" i="9"/>
  <c r="P1370" i="9"/>
  <c r="P1238" i="9"/>
  <c r="P1074" i="9"/>
  <c r="P978" i="9"/>
  <c r="P842" i="9"/>
  <c r="P654" i="9"/>
  <c r="P630" i="9"/>
  <c r="P1358" i="9"/>
  <c r="P1346" i="9"/>
  <c r="P1322" i="9"/>
  <c r="P1250" i="9"/>
  <c r="P1230" i="9"/>
  <c r="P1134" i="9"/>
  <c r="P1110" i="9"/>
  <c r="P1086" i="9"/>
  <c r="P1070" i="9"/>
  <c r="P1058" i="9"/>
  <c r="P1034" i="9"/>
  <c r="P1022" i="9"/>
  <c r="P998" i="9"/>
  <c r="P974" i="9"/>
  <c r="P950" i="9"/>
  <c r="P834" i="9"/>
  <c r="P746" i="9"/>
  <c r="P426" i="9"/>
  <c r="P386" i="9"/>
  <c r="P302" i="9"/>
  <c r="P590" i="9"/>
  <c r="P558" i="9"/>
  <c r="P510" i="9"/>
  <c r="P498" i="9"/>
  <c r="P462" i="9"/>
  <c r="P318" i="9"/>
  <c r="P254" i="9"/>
  <c r="P230" i="9"/>
  <c r="P134" i="9"/>
  <c r="P54" i="9"/>
  <c r="P1425" i="9"/>
  <c r="P1401" i="9"/>
  <c r="P1385" i="9"/>
  <c r="P1361" i="9"/>
  <c r="P1341" i="9"/>
  <c r="P1321" i="9"/>
  <c r="P1269" i="9"/>
  <c r="P1153" i="9"/>
  <c r="P1045" i="9"/>
  <c r="P973" i="9"/>
  <c r="P949" i="9"/>
  <c r="P917" i="9"/>
  <c r="P833" i="9"/>
  <c r="P801" i="9"/>
  <c r="P649" i="9"/>
  <c r="P589" i="9"/>
  <c r="P557" i="9"/>
  <c r="P433" i="9"/>
  <c r="P289" i="9"/>
  <c r="P161" i="9"/>
  <c r="P97" i="9"/>
  <c r="P714" i="9"/>
  <c r="P650" i="9"/>
  <c r="P410" i="9"/>
  <c r="P402" i="9"/>
  <c r="P354" i="9"/>
  <c r="P290" i="9"/>
  <c r="P162" i="9"/>
  <c r="P26" i="9"/>
  <c r="P1253" i="9"/>
  <c r="P1229" i="9"/>
  <c r="P1205" i="9"/>
  <c r="P1133" i="9"/>
  <c r="P1109" i="9"/>
  <c r="P1093" i="9"/>
  <c r="P1069" i="9"/>
  <c r="P1017" i="9"/>
  <c r="P993" i="9"/>
  <c r="P893" i="9"/>
  <c r="P773" i="9"/>
  <c r="P749" i="9"/>
  <c r="P709" i="9"/>
  <c r="P677" i="9"/>
  <c r="P645" i="9"/>
  <c r="P621" i="9"/>
  <c r="P585" i="9"/>
  <c r="P537" i="9"/>
  <c r="P529" i="9"/>
  <c r="P401" i="9"/>
  <c r="P341" i="9"/>
  <c r="P317" i="9"/>
  <c r="P253" i="9"/>
  <c r="P213" i="9"/>
  <c r="P189" i="9"/>
  <c r="P53" i="9"/>
  <c r="P1059" i="9"/>
  <c r="P1035" i="9"/>
  <c r="P879" i="9"/>
  <c r="P819" i="9"/>
  <c r="P667" i="9"/>
  <c r="P387" i="9"/>
  <c r="P303" i="9"/>
  <c r="P179" i="9"/>
  <c r="P7" i="9"/>
  <c r="P1435" i="9"/>
  <c r="P1419" i="9"/>
  <c r="P1407" i="9"/>
  <c r="P1387" i="9"/>
  <c r="P1383" i="9"/>
  <c r="P1347" i="9"/>
  <c r="P1323" i="9"/>
  <c r="P1315" i="9"/>
  <c r="P1303" i="9"/>
  <c r="P1275" i="9"/>
  <c r="P1255" i="9"/>
  <c r="P1251" i="9"/>
  <c r="P1239" i="9"/>
  <c r="P1231" i="9"/>
  <c r="P1215" i="9"/>
  <c r="P1179" i="9"/>
  <c r="P1171" i="9"/>
  <c r="P1159" i="9"/>
  <c r="P1147" i="9"/>
  <c r="P1135" i="9"/>
  <c r="P1119" i="9"/>
  <c r="P1111" i="9"/>
  <c r="P1099" i="9"/>
  <c r="P1095" i="9"/>
  <c r="P1027" i="9"/>
  <c r="P1003" i="9"/>
  <c r="P999" i="9"/>
  <c r="P975" i="9"/>
  <c r="P959" i="9"/>
  <c r="P955" i="9"/>
  <c r="P931" i="9"/>
  <c r="P891" i="9"/>
  <c r="P887" i="9"/>
  <c r="P871" i="9"/>
  <c r="P863" i="9"/>
  <c r="P859" i="9"/>
  <c r="P843" i="9"/>
  <c r="P815" i="9"/>
  <c r="P791" i="9"/>
  <c r="P775" i="9"/>
  <c r="P759" i="9"/>
  <c r="P755" i="9"/>
  <c r="P743" i="9"/>
  <c r="P727" i="9"/>
  <c r="P715" i="9"/>
  <c r="P695" i="9"/>
  <c r="P683" i="9"/>
  <c r="P671" i="9"/>
  <c r="P651" i="9"/>
  <c r="P647" i="9"/>
  <c r="P631" i="9"/>
  <c r="P623" i="9"/>
  <c r="P599" i="9"/>
  <c r="P567" i="9"/>
  <c r="P559" i="9"/>
  <c r="P539" i="9"/>
  <c r="P519" i="9"/>
  <c r="P511" i="9"/>
  <c r="P507" i="9"/>
  <c r="P475" i="9"/>
  <c r="P463" i="9"/>
  <c r="P427" i="9"/>
  <c r="P411" i="9"/>
  <c r="P399" i="9"/>
  <c r="P383" i="9"/>
  <c r="P379" i="9"/>
  <c r="P363" i="9"/>
  <c r="P355" i="9"/>
  <c r="P335" i="9"/>
  <c r="P291" i="9"/>
  <c r="P283" i="9"/>
  <c r="P263" i="9"/>
  <c r="P255" i="9"/>
  <c r="P239" i="9"/>
  <c r="P191" i="9"/>
  <c r="P167" i="9"/>
  <c r="P163" i="9"/>
  <c r="P135" i="9"/>
  <c r="P131" i="9"/>
  <c r="P87" i="9"/>
  <c r="P67" i="9"/>
  <c r="P55" i="9"/>
  <c r="P35" i="9"/>
  <c r="P27" i="9"/>
  <c r="P23" i="9"/>
  <c r="P935" i="9"/>
  <c r="P603" i="9"/>
  <c r="P1415" i="9"/>
  <c r="P1391" i="9"/>
  <c r="P1375" i="9"/>
  <c r="P1367" i="9"/>
  <c r="P1359" i="9"/>
  <c r="P1351" i="9"/>
  <c r="P1339" i="9"/>
  <c r="P1331" i="9"/>
  <c r="P1307" i="9"/>
  <c r="P1299" i="9"/>
  <c r="P1283" i="9"/>
  <c r="P1263" i="9"/>
  <c r="P1247" i="9"/>
  <c r="P1223" i="9"/>
  <c r="P1207" i="9"/>
  <c r="P1199" i="9"/>
  <c r="P1191" i="9"/>
  <c r="P1183" i="9"/>
  <c r="P1175" i="9"/>
  <c r="P1167" i="9"/>
  <c r="P1139" i="9"/>
  <c r="P1123" i="9"/>
  <c r="P1115" i="9"/>
  <c r="P1107" i="9"/>
  <c r="P1087" i="9"/>
  <c r="P1079" i="9"/>
  <c r="P1071" i="9"/>
  <c r="P1063" i="9"/>
  <c r="P1055" i="9"/>
  <c r="P1047" i="9"/>
  <c r="P1039" i="9"/>
  <c r="P1019" i="9"/>
  <c r="P1011" i="9"/>
  <c r="P995" i="9"/>
  <c r="P987" i="9"/>
  <c r="P967" i="9"/>
  <c r="P951" i="9"/>
  <c r="P943" i="9"/>
  <c r="P927" i="9"/>
  <c r="P919" i="9"/>
  <c r="P911" i="9"/>
  <c r="P903" i="9"/>
  <c r="P883" i="9"/>
  <c r="P875" i="9"/>
  <c r="P867" i="9"/>
  <c r="P851" i="9"/>
  <c r="P835" i="9"/>
  <c r="P827" i="9"/>
  <c r="P807" i="9"/>
  <c r="P783" i="9"/>
  <c r="P767" i="9"/>
  <c r="P751" i="9"/>
  <c r="P735" i="9"/>
  <c r="P719" i="9"/>
  <c r="P711" i="9"/>
  <c r="P703" i="9"/>
  <c r="P675" i="9"/>
  <c r="P659" i="9"/>
  <c r="P639" i="9"/>
  <c r="P615" i="9"/>
  <c r="P595" i="9"/>
  <c r="P587" i="9"/>
  <c r="P579" i="9"/>
  <c r="P571" i="9"/>
  <c r="P563" i="9"/>
  <c r="P547" i="9"/>
  <c r="P535" i="9"/>
  <c r="P527" i="9"/>
  <c r="P503" i="9"/>
  <c r="P495" i="9"/>
  <c r="P483" i="9"/>
  <c r="P467" i="9"/>
  <c r="P451" i="9"/>
  <c r="P443" i="9"/>
  <c r="P435" i="9"/>
  <c r="P419" i="9"/>
  <c r="P403" i="9"/>
  <c r="P395" i="9"/>
  <c r="P375" i="9"/>
  <c r="P359" i="9"/>
  <c r="P351" i="9"/>
  <c r="P343" i="9"/>
  <c r="P327" i="9"/>
  <c r="P319" i="9"/>
  <c r="P311" i="9"/>
  <c r="P299" i="9"/>
  <c r="P275" i="9"/>
  <c r="P267" i="9"/>
  <c r="P259" i="9"/>
  <c r="P251" i="9"/>
  <c r="P243" i="9"/>
  <c r="P235" i="9"/>
  <c r="P227" i="9"/>
  <c r="P219" i="9"/>
  <c r="P203" i="9"/>
  <c r="P195" i="9"/>
  <c r="P187" i="9"/>
  <c r="P171" i="9"/>
  <c r="P155" i="9"/>
  <c r="P147" i="9"/>
  <c r="P139" i="9"/>
  <c r="P123" i="9"/>
  <c r="P115" i="9"/>
  <c r="P107" i="9"/>
  <c r="P95" i="9"/>
  <c r="P79" i="9"/>
  <c r="P71" i="9"/>
  <c r="P63" i="9"/>
  <c r="P47" i="9"/>
  <c r="P39" i="9"/>
  <c r="P31" i="9"/>
  <c r="P11" i="9"/>
  <c r="P1434" i="9"/>
  <c r="P1426" i="9"/>
  <c r="P1418" i="9"/>
  <c r="P1410" i="9"/>
  <c r="P1402" i="9"/>
  <c r="P1394" i="9"/>
  <c r="P1378" i="9"/>
  <c r="P1354" i="9"/>
  <c r="P1338" i="9"/>
  <c r="P1318" i="9"/>
  <c r="P1286" i="9"/>
  <c r="P1262" i="9"/>
  <c r="P1246" i="9"/>
  <c r="P1222" i="9"/>
  <c r="P1206" i="9"/>
  <c r="P1190" i="9"/>
  <c r="P1182" i="9"/>
  <c r="P1174" i="9"/>
  <c r="P1158" i="9"/>
  <c r="P1142" i="9"/>
  <c r="P1102" i="9"/>
  <c r="P1062" i="9"/>
  <c r="P1046" i="9"/>
  <c r="P1038" i="9"/>
  <c r="P1030" i="9"/>
  <c r="P1006" i="9"/>
  <c r="P970" i="9"/>
  <c r="P962" i="9"/>
  <c r="P954" i="9"/>
  <c r="P946" i="9"/>
  <c r="P938" i="9"/>
  <c r="P922" i="9"/>
  <c r="P914" i="9"/>
  <c r="P906" i="9"/>
  <c r="P898" i="9"/>
  <c r="P890" i="9"/>
  <c r="P882" i="9"/>
  <c r="P874" i="9"/>
  <c r="P866" i="9"/>
  <c r="P858" i="9"/>
  <c r="P850" i="9"/>
  <c r="P826" i="9"/>
  <c r="P810" i="9"/>
  <c r="P802" i="9"/>
  <c r="P794" i="9"/>
  <c r="P786" i="9"/>
  <c r="P778" i="9"/>
  <c r="P770" i="9"/>
  <c r="P762" i="9"/>
  <c r="P754" i="9"/>
  <c r="P738" i="9"/>
  <c r="P726" i="9"/>
  <c r="P718" i="9"/>
  <c r="P710" i="9"/>
  <c r="P702" i="9"/>
  <c r="P694" i="9"/>
  <c r="P686" i="9"/>
  <c r="P678" i="9"/>
  <c r="P670" i="9"/>
  <c r="P662" i="9"/>
  <c r="P646" i="9"/>
  <c r="P638" i="9"/>
  <c r="P622" i="9"/>
  <c r="P614" i="9"/>
  <c r="P598" i="9"/>
  <c r="P574" i="9"/>
  <c r="P566" i="9"/>
  <c r="P546" i="9"/>
  <c r="P538" i="9"/>
  <c r="P530" i="9"/>
  <c r="P522" i="9"/>
  <c r="P514" i="9"/>
  <c r="P506" i="9"/>
  <c r="P490" i="9"/>
  <c r="P482" i="9"/>
  <c r="P474" i="9"/>
  <c r="P466" i="9"/>
  <c r="P442" i="9"/>
  <c r="P434" i="9"/>
  <c r="P418" i="9"/>
  <c r="P406" i="9"/>
  <c r="P398" i="9"/>
  <c r="P390" i="9"/>
  <c r="P382" i="9"/>
  <c r="P374" i="9"/>
  <c r="P358" i="9"/>
  <c r="P350" i="9"/>
  <c r="P342" i="9"/>
  <c r="P334" i="9"/>
  <c r="P326" i="9"/>
  <c r="P310" i="9"/>
  <c r="P294" i="9"/>
  <c r="P286" i="9"/>
  <c r="P270" i="9"/>
  <c r="P262" i="9"/>
  <c r="P246" i="9"/>
  <c r="P238" i="9"/>
  <c r="P222" i="9"/>
  <c r="P214" i="9"/>
  <c r="P198" i="9"/>
  <c r="P190" i="9"/>
  <c r="P182" i="9"/>
  <c r="P174" i="9"/>
  <c r="P166" i="9"/>
  <c r="P158" i="9"/>
  <c r="P150" i="9"/>
  <c r="P142" i="9"/>
  <c r="P126" i="9"/>
  <c r="P118" i="9"/>
  <c r="P110" i="9"/>
  <c r="P102" i="9"/>
  <c r="P94" i="9"/>
  <c r="P86" i="9"/>
  <c r="P78" i="9"/>
  <c r="P70" i="9"/>
  <c r="P62" i="9"/>
  <c r="P50" i="9"/>
  <c r="P42" i="9"/>
  <c r="P10" i="9"/>
  <c r="P1413" i="9"/>
  <c r="P1373" i="9"/>
  <c r="P1317" i="9"/>
  <c r="P1309" i="9"/>
  <c r="P1301" i="9"/>
  <c r="P1293" i="9"/>
  <c r="P1277" i="9"/>
  <c r="P1257" i="9"/>
  <c r="P1209" i="9"/>
  <c r="P1173" i="9"/>
  <c r="P1161" i="9"/>
  <c r="P1157" i="9"/>
  <c r="P1125" i="9"/>
  <c r="P1105" i="9"/>
  <c r="P1065" i="9"/>
  <c r="P1057" i="9"/>
  <c r="P1029" i="9"/>
  <c r="P1021" i="9"/>
  <c r="P897" i="9"/>
  <c r="P889" i="9"/>
  <c r="P877" i="9"/>
  <c r="P869" i="9"/>
  <c r="P829" i="9"/>
  <c r="P805" i="9"/>
  <c r="P769" i="9"/>
  <c r="P761" i="9"/>
  <c r="P753" i="9"/>
  <c r="P713" i="9"/>
  <c r="P681" i="9"/>
  <c r="P661" i="9"/>
  <c r="P637" i="9"/>
  <c r="P629" i="9"/>
  <c r="P597" i="9"/>
  <c r="P581" i="9"/>
  <c r="P553" i="9"/>
  <c r="P505" i="9"/>
  <c r="P497" i="9"/>
  <c r="P473" i="9"/>
  <c r="P465" i="9"/>
  <c r="P397" i="9"/>
  <c r="P349" i="9"/>
  <c r="P301" i="9"/>
  <c r="P293" i="9"/>
  <c r="P261" i="9"/>
  <c r="P245" i="9"/>
  <c r="P193" i="9"/>
  <c r="P177" i="9"/>
  <c r="P121" i="9"/>
  <c r="P73" i="9"/>
  <c r="P65" i="9"/>
  <c r="P49" i="9"/>
  <c r="P1431" i="9"/>
  <c r="P1427" i="9"/>
  <c r="P1411" i="9"/>
  <c r="P1403" i="9"/>
  <c r="P1395" i="9"/>
  <c r="P1379" i="9"/>
  <c r="P1371" i="9"/>
  <c r="P1363" i="9"/>
  <c r="P1355" i="9"/>
  <c r="P1343" i="9"/>
  <c r="P1335" i="9"/>
  <c r="P1327" i="9"/>
  <c r="P1319" i="9"/>
  <c r="P1311" i="9"/>
  <c r="P1295" i="9"/>
  <c r="P1287" i="9"/>
  <c r="P1279" i="9"/>
  <c r="P1271" i="9"/>
  <c r="P1259" i="9"/>
  <c r="P1243" i="9"/>
  <c r="P1235" i="9"/>
  <c r="P1219" i="9"/>
  <c r="P1211" i="9"/>
  <c r="P1203" i="9"/>
  <c r="P1195" i="9"/>
  <c r="P1187" i="9"/>
  <c r="P1163" i="9"/>
  <c r="P1155" i="9"/>
  <c r="P1151" i="9"/>
  <c r="P1143" i="9"/>
  <c r="P1127" i="9"/>
  <c r="P1103" i="9"/>
  <c r="P1091" i="9"/>
  <c r="P1083" i="9"/>
  <c r="P1075" i="9"/>
  <c r="P1067" i="9"/>
  <c r="P1051" i="9"/>
  <c r="P1043" i="9"/>
  <c r="P1031" i="9"/>
  <c r="P1023" i="9"/>
  <c r="P1007" i="9"/>
  <c r="P983" i="9"/>
  <c r="P979" i="9"/>
  <c r="P963" i="9"/>
  <c r="P947" i="9"/>
  <c r="P939" i="9"/>
  <c r="P923" i="9"/>
  <c r="P907" i="9"/>
  <c r="P899" i="9"/>
  <c r="P895" i="9"/>
  <c r="P855" i="9"/>
  <c r="P847" i="9"/>
  <c r="P839" i="9"/>
  <c r="P831" i="9"/>
  <c r="P823" i="9"/>
  <c r="P811" i="9"/>
  <c r="P803" i="9"/>
  <c r="P795" i="9"/>
  <c r="P787" i="9"/>
  <c r="P779" i="9"/>
  <c r="P771" i="9"/>
  <c r="P763" i="9"/>
  <c r="P747" i="9"/>
  <c r="P739" i="9"/>
  <c r="P731" i="9"/>
  <c r="P723" i="9"/>
  <c r="P707" i="9"/>
  <c r="P691" i="9"/>
  <c r="P687" i="9"/>
  <c r="P679" i="9"/>
  <c r="P663" i="9"/>
  <c r="P655" i="9"/>
  <c r="P643" i="9"/>
  <c r="P635" i="9"/>
  <c r="P627" i="9"/>
  <c r="P619" i="9"/>
  <c r="P611" i="9"/>
  <c r="P591" i="9"/>
  <c r="P575" i="9"/>
  <c r="P551" i="9"/>
  <c r="P543" i="9"/>
  <c r="P531" i="9"/>
  <c r="P523" i="9"/>
  <c r="P515" i="9"/>
  <c r="P499" i="9"/>
  <c r="P487" i="9"/>
  <c r="P479" i="9"/>
  <c r="P471" i="9"/>
  <c r="P455" i="9"/>
  <c r="P447" i="9"/>
  <c r="P439" i="9"/>
  <c r="P431" i="9"/>
  <c r="P423" i="9"/>
  <c r="P415" i="9"/>
  <c r="P407" i="9"/>
  <c r="P391" i="9"/>
  <c r="P371" i="9"/>
  <c r="P347" i="9"/>
  <c r="P339" i="9"/>
  <c r="P331" i="9"/>
  <c r="P323" i="9"/>
  <c r="P315" i="9"/>
  <c r="P295" i="9"/>
  <c r="P287" i="9"/>
  <c r="P279" i="9"/>
  <c r="P271" i="9"/>
  <c r="P247" i="9"/>
  <c r="P231" i="9"/>
  <c r="P223" i="9"/>
  <c r="P215" i="9"/>
  <c r="P207" i="9"/>
  <c r="P199" i="9"/>
  <c r="P175" i="9"/>
  <c r="P151" i="9"/>
  <c r="P143" i="9"/>
  <c r="P127" i="9"/>
  <c r="P111" i="9"/>
  <c r="P103" i="9"/>
  <c r="P99" i="9"/>
  <c r="P91" i="9"/>
  <c r="P75" i="9"/>
  <c r="P59" i="9"/>
  <c r="P51" i="9"/>
  <c r="P43" i="9"/>
  <c r="P19" i="9"/>
  <c r="P15" i="9"/>
  <c r="P1430" i="9"/>
  <c r="P1390" i="9"/>
  <c r="P1350" i="9"/>
  <c r="P1334" i="9"/>
  <c r="P1326" i="9"/>
  <c r="P1298" i="9"/>
  <c r="P1274" i="9"/>
  <c r="P1258" i="9"/>
  <c r="P1242" i="9"/>
  <c r="P1234" i="9"/>
  <c r="P1226" i="9"/>
  <c r="P1218" i="9"/>
  <c r="P1202" i="9"/>
  <c r="P1194" i="9"/>
  <c r="P1162" i="9"/>
  <c r="P1154" i="9"/>
  <c r="P1146" i="9"/>
  <c r="P1138" i="9"/>
  <c r="P1130" i="9"/>
  <c r="P1122" i="9"/>
  <c r="P1114" i="9"/>
  <c r="P1106" i="9"/>
  <c r="P1090" i="9"/>
  <c r="P1066" i="9"/>
  <c r="P1050" i="9"/>
  <c r="P1018" i="9"/>
  <c r="P1010" i="9"/>
  <c r="P1002" i="9"/>
  <c r="P994" i="9"/>
  <c r="P986" i="9"/>
  <c r="P982" i="9"/>
  <c r="P966" i="9"/>
  <c r="P958" i="9"/>
  <c r="P942" i="9"/>
  <c r="P934" i="9"/>
  <c r="P926" i="9"/>
  <c r="P910" i="9"/>
  <c r="P902" i="9"/>
  <c r="P894" i="9"/>
  <c r="P886" i="9"/>
  <c r="P878" i="9"/>
  <c r="P870" i="9"/>
  <c r="P862" i="9"/>
  <c r="P854" i="9"/>
  <c r="P846" i="9"/>
  <c r="P838" i="9"/>
  <c r="P830" i="9"/>
  <c r="P822" i="9"/>
  <c r="P814" i="9"/>
  <c r="P806" i="9"/>
  <c r="P798" i="9"/>
  <c r="P790" i="9"/>
  <c r="P782" i="9"/>
  <c r="P766" i="9"/>
  <c r="P758" i="9"/>
  <c r="P750" i="9"/>
  <c r="P742" i="9"/>
  <c r="P734" i="9"/>
  <c r="P730" i="9"/>
  <c r="P722" i="9"/>
  <c r="P706" i="9"/>
  <c r="P690" i="9"/>
  <c r="P682" i="9"/>
  <c r="P674" i="9"/>
  <c r="P666" i="9"/>
  <c r="P658" i="9"/>
  <c r="P642" i="9"/>
  <c r="P634" i="9"/>
  <c r="P626" i="9"/>
  <c r="P618" i="9"/>
  <c r="P610" i="9"/>
  <c r="P594" i="9"/>
  <c r="P586" i="9"/>
  <c r="P578" i="9"/>
  <c r="P570" i="9"/>
  <c r="P562" i="9"/>
  <c r="P550" i="9"/>
  <c r="P542" i="9"/>
  <c r="P534" i="9"/>
  <c r="P526" i="9"/>
  <c r="P518" i="9"/>
  <c r="P502" i="9"/>
  <c r="P494" i="9"/>
  <c r="P486" i="9"/>
  <c r="P478" i="9"/>
  <c r="P470" i="9"/>
  <c r="P454" i="9"/>
  <c r="P446" i="9"/>
  <c r="P438" i="9"/>
  <c r="P430" i="9"/>
  <c r="P422" i="9"/>
  <c r="P414" i="9"/>
  <c r="P394" i="9"/>
  <c r="P378" i="9"/>
  <c r="P370" i="9"/>
  <c r="P346" i="9"/>
  <c r="P338" i="9"/>
  <c r="P330" i="9"/>
  <c r="P322" i="9"/>
  <c r="P314" i="9"/>
  <c r="P306" i="9"/>
  <c r="P298" i="9"/>
  <c r="P282" i="9"/>
  <c r="P274" i="9"/>
  <c r="P266" i="9"/>
  <c r="P258" i="9"/>
  <c r="P250" i="9"/>
  <c r="P234" i="9"/>
  <c r="P226" i="9"/>
  <c r="P218" i="9"/>
  <c r="P202" i="9"/>
  <c r="P194" i="9"/>
  <c r="P186" i="9"/>
  <c r="P178" i="9"/>
  <c r="P170" i="9"/>
  <c r="P154" i="9"/>
  <c r="P146" i="9"/>
  <c r="P138" i="9"/>
  <c r="P130" i="9"/>
  <c r="P122" i="9"/>
  <c r="P106" i="9"/>
  <c r="P98" i="9"/>
  <c r="P90" i="9"/>
  <c r="P82" i="9"/>
  <c r="P74" i="9"/>
  <c r="P66" i="9"/>
  <c r="P58" i="9"/>
  <c r="P46" i="9"/>
  <c r="P38" i="9"/>
  <c r="P34" i="9"/>
  <c r="P30" i="9"/>
  <c r="P22" i="9"/>
  <c r="P18" i="9"/>
  <c r="P14" i="9"/>
  <c r="P1433" i="9"/>
  <c r="P1409" i="9"/>
  <c r="P1393" i="9"/>
  <c r="P1353" i="9"/>
  <c r="P1345" i="9"/>
  <c r="P1297" i="9"/>
  <c r="P1281" i="9"/>
  <c r="P1241" i="9"/>
  <c r="P1225" i="9"/>
  <c r="P1185" i="9"/>
  <c r="P1145" i="9"/>
  <c r="P1121" i="9"/>
  <c r="P1085" i="9"/>
  <c r="P1001" i="9"/>
  <c r="P985" i="9"/>
  <c r="P969" i="9"/>
  <c r="P945" i="9"/>
  <c r="P929" i="9"/>
  <c r="P921" i="9"/>
  <c r="P873" i="9"/>
  <c r="P857" i="9"/>
  <c r="P841" i="9"/>
  <c r="P785" i="9"/>
  <c r="P741" i="9"/>
  <c r="P725" i="9"/>
  <c r="P701" i="9"/>
  <c r="P693" i="9"/>
  <c r="P685" i="9"/>
  <c r="P617" i="9"/>
  <c r="P569" i="9"/>
  <c r="P533" i="9"/>
  <c r="P525" i="9"/>
  <c r="P493" i="9"/>
  <c r="P461" i="9"/>
  <c r="P445" i="9"/>
  <c r="P413" i="9"/>
  <c r="P409" i="9"/>
  <c r="P393" i="9"/>
  <c r="P369" i="9"/>
  <c r="P361" i="9"/>
  <c r="P353" i="9"/>
  <c r="P345" i="9"/>
  <c r="P321" i="9"/>
  <c r="P305" i="9"/>
  <c r="P297" i="9"/>
  <c r="P241" i="9"/>
  <c r="P225" i="9"/>
  <c r="P197" i="9"/>
  <c r="P173" i="9"/>
  <c r="P149" i="9"/>
  <c r="P133" i="9"/>
  <c r="P125" i="9"/>
  <c r="P101" i="9"/>
  <c r="P85" i="9"/>
  <c r="P69" i="9"/>
  <c r="P41" i="9"/>
  <c r="P21" i="9"/>
  <c r="P17" i="9"/>
  <c r="P1429" i="9"/>
  <c r="P1417" i="9"/>
  <c r="P1405" i="9"/>
  <c r="P1389" i="9"/>
  <c r="P1377" i="9"/>
  <c r="P1365" i="9"/>
  <c r="P1337" i="9"/>
  <c r="P1325" i="9"/>
  <c r="P1313" i="9"/>
  <c r="P1285" i="9"/>
  <c r="P1273" i="9"/>
  <c r="P1261" i="9"/>
  <c r="P1245" i="9"/>
  <c r="P1233" i="9"/>
  <c r="P1221" i="9"/>
  <c r="P1193" i="9"/>
  <c r="P1181" i="9"/>
  <c r="P1169" i="9"/>
  <c r="P1141" i="9"/>
  <c r="P1129" i="9"/>
  <c r="P1117" i="9"/>
  <c r="P1101" i="9"/>
  <c r="P1089" i="9"/>
  <c r="P1077" i="9"/>
  <c r="P1049" i="9"/>
  <c r="P1037" i="9"/>
  <c r="P1025" i="9"/>
  <c r="P1009" i="9"/>
  <c r="P997" i="9"/>
  <c r="P981" i="9"/>
  <c r="P965" i="9"/>
  <c r="P937" i="9"/>
  <c r="P925" i="9"/>
  <c r="P909" i="9"/>
  <c r="P881" i="9"/>
  <c r="P853" i="9"/>
  <c r="P837" i="9"/>
  <c r="P825" i="9"/>
  <c r="P797" i="9"/>
  <c r="P781" i="9"/>
  <c r="P765" i="9"/>
  <c r="P737" i="9"/>
  <c r="P721" i="9"/>
  <c r="P689" i="9"/>
  <c r="P673" i="9"/>
  <c r="P657" i="9"/>
  <c r="P641" i="9"/>
  <c r="P625" i="9"/>
  <c r="P609" i="9"/>
  <c r="P593" i="9"/>
  <c r="P565" i="9"/>
  <c r="P549" i="9"/>
  <c r="P545" i="9"/>
  <c r="P517" i="9"/>
  <c r="P501" i="9"/>
  <c r="P485" i="9"/>
  <c r="P453" i="9"/>
  <c r="P437" i="9"/>
  <c r="P421" i="9"/>
  <c r="P405" i="9"/>
  <c r="P389" i="9"/>
  <c r="P373" i="9"/>
  <c r="P357" i="9"/>
  <c r="P329" i="9"/>
  <c r="P309" i="9"/>
  <c r="P217" i="9"/>
  <c r="P185" i="9"/>
  <c r="P137" i="9"/>
  <c r="P109" i="9"/>
  <c r="P93" i="9"/>
  <c r="P61" i="9"/>
  <c r="P45" i="9"/>
  <c r="P29" i="9"/>
  <c r="P13" i="9"/>
  <c r="P281" i="9"/>
  <c r="P265" i="9"/>
  <c r="P249" i="9"/>
  <c r="P201" i="9"/>
  <c r="P157" i="9"/>
  <c r="P153" i="9"/>
  <c r="P953" i="9"/>
  <c r="P809" i="9"/>
  <c r="P745" i="9"/>
  <c r="P705" i="9"/>
  <c r="P665" i="9"/>
  <c r="P601" i="9"/>
  <c r="P561" i="9"/>
  <c r="P521" i="9"/>
  <c r="P469" i="9"/>
  <c r="P429" i="9"/>
  <c r="P377" i="9"/>
  <c r="P365" i="9"/>
  <c r="P1005" i="9"/>
  <c r="P901" i="9"/>
  <c r="P861" i="9"/>
  <c r="P757" i="9"/>
  <c r="P717" i="9"/>
  <c r="P653" i="9"/>
  <c r="P613" i="9"/>
  <c r="P573" i="9"/>
  <c r="P509" i="9"/>
  <c r="P457" i="9"/>
  <c r="P417" i="9"/>
  <c r="P325" i="9"/>
  <c r="P313" i="9"/>
  <c r="P285" i="9"/>
  <c r="P273" i="9"/>
  <c r="P233" i="9"/>
  <c r="P221" i="9"/>
  <c r="P181" i="9"/>
  <c r="P169" i="9"/>
  <c r="P141" i="9"/>
  <c r="P129" i="9"/>
  <c r="P89" i="9"/>
  <c r="P77" i="9"/>
  <c r="P37" i="9"/>
  <c r="P25" i="9"/>
  <c r="P992" i="9"/>
  <c r="P940" i="9"/>
  <c r="P888" i="9"/>
  <c r="P848" i="9"/>
  <c r="P796" i="9"/>
  <c r="P744" i="9"/>
  <c r="P704" i="9"/>
  <c r="P652" i="9"/>
  <c r="P600" i="9"/>
  <c r="P560" i="9"/>
  <c r="P508" i="9"/>
  <c r="P456" i="9"/>
  <c r="P416" i="9"/>
  <c r="P364" i="9"/>
  <c r="P312" i="9"/>
  <c r="P272" i="9"/>
  <c r="P220" i="9"/>
  <c r="P168" i="9"/>
  <c r="P128" i="9"/>
  <c r="P76" i="9"/>
  <c r="P24" i="9"/>
  <c r="P10" i="8"/>
  <c r="Q10" i="8"/>
  <c r="R10" i="8"/>
  <c r="P9" i="8"/>
  <c r="U9" i="8"/>
  <c r="T9" i="8"/>
  <c r="R11" i="8"/>
  <c r="R9" i="8"/>
  <c r="Q11" i="8"/>
  <c r="Q9" i="8"/>
  <c r="K51" i="7"/>
  <c r="J51" i="7"/>
  <c r="C6" i="7" s="1"/>
  <c r="C52" i="7"/>
  <c r="E50" i="7" s="1"/>
  <c r="P11" i="8" l="1"/>
  <c r="S10" i="8"/>
  <c r="T10" i="8"/>
  <c r="U10" i="8"/>
  <c r="M9" i="8"/>
  <c r="N9" i="8" s="1"/>
  <c r="E52" i="7"/>
  <c r="H51" i="7"/>
  <c r="G50" i="7"/>
  <c r="E19" i="1"/>
  <c r="F19" i="1"/>
  <c r="K13" i="3"/>
  <c r="J13" i="3"/>
  <c r="F19" i="4"/>
  <c r="E19" i="4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129" i="3"/>
  <c r="E2" i="6"/>
  <c r="D2" i="6"/>
  <c r="Q12" i="8" l="1"/>
  <c r="R12" i="8"/>
  <c r="P12" i="8"/>
  <c r="M10" i="8"/>
  <c r="N10" i="8" s="1"/>
  <c r="S11" i="8"/>
  <c r="T11" i="8"/>
  <c r="U11" i="8"/>
  <c r="F2" i="6"/>
  <c r="G18" i="5"/>
  <c r="H18" i="5"/>
  <c r="P13" i="8" l="1"/>
  <c r="R13" i="8"/>
  <c r="Q13" i="8"/>
  <c r="M11" i="8"/>
  <c r="N11" i="8" s="1"/>
  <c r="S12" i="8"/>
  <c r="T12" i="8"/>
  <c r="U12" i="8"/>
  <c r="L15" i="3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P14" i="8" l="1"/>
  <c r="R14" i="8"/>
  <c r="Q14" i="8"/>
  <c r="M12" i="8"/>
  <c r="N12" i="8" s="1"/>
  <c r="S13" i="8"/>
  <c r="U13" i="8"/>
  <c r="T13" i="8"/>
  <c r="P15" i="8" l="1"/>
  <c r="R15" i="8"/>
  <c r="Q15" i="8"/>
  <c r="S14" i="8"/>
  <c r="T14" i="8"/>
  <c r="U14" i="8"/>
  <c r="M13" i="8"/>
  <c r="N13" i="8" s="1"/>
  <c r="P16" i="8" l="1"/>
  <c r="Q16" i="8"/>
  <c r="R16" i="8"/>
  <c r="S15" i="8"/>
  <c r="U15" i="8"/>
  <c r="T15" i="8"/>
  <c r="M14" i="8"/>
  <c r="N14" i="8" s="1"/>
  <c r="P17" i="8" l="1"/>
  <c r="R17" i="8"/>
  <c r="Q17" i="8"/>
  <c r="S16" i="8"/>
  <c r="U16" i="8"/>
  <c r="T16" i="8"/>
  <c r="M15" i="8"/>
  <c r="N15" i="8" s="1"/>
  <c r="P18" i="8" l="1"/>
  <c r="R18" i="8"/>
  <c r="Q18" i="8"/>
  <c r="S17" i="8"/>
  <c r="T17" i="8"/>
  <c r="U17" i="8"/>
  <c r="M16" i="8"/>
  <c r="N16" i="8" s="1"/>
  <c r="P19" i="8" l="1"/>
  <c r="Q19" i="8"/>
  <c r="R19" i="8"/>
  <c r="M17" i="8"/>
  <c r="N17" i="8" s="1"/>
  <c r="U18" i="8"/>
  <c r="S18" i="8"/>
  <c r="T18" i="8"/>
  <c r="M18" i="8" l="1"/>
  <c r="N18" i="8" s="1"/>
  <c r="T19" i="8"/>
  <c r="S19" i="8"/>
  <c r="U19" i="8"/>
  <c r="M19" i="8" s="1"/>
  <c r="N19" i="8" s="1"/>
</calcChain>
</file>

<file path=xl/sharedStrings.xml><?xml version="1.0" encoding="utf-8"?>
<sst xmlns="http://schemas.openxmlformats.org/spreadsheetml/2006/main" count="19015" uniqueCount="3936">
  <si>
    <t>HDFC BANK Ltd.                                      Page No .:   1                                          Statement of accounts</t>
  </si>
  <si>
    <t>Account Branch :NASHIK ROAD</t>
  </si>
  <si>
    <t>MR.     AAYUSH KUMAR GUPTA</t>
  </si>
  <si>
    <t>Address :SHOP NO 3,</t>
  </si>
  <si>
    <t>FLAT NO-D-07 ISHWAR PARADISE</t>
  </si>
  <si>
    <t>MITHILA APARTMENTS,</t>
  </si>
  <si>
    <t>ASHOKA MARG BEHIND FAME</t>
  </si>
  <si>
    <t>BYTCO POINT,NASHIK ROAD</t>
  </si>
  <si>
    <t>THEATRE ASHOKA MARG,NASHIK</t>
  </si>
  <si>
    <t>City :NASHIK</t>
  </si>
  <si>
    <t>NASHIK 422011</t>
  </si>
  <si>
    <t>State :MAHARASHTRA</t>
  </si>
  <si>
    <t>Phone no. :18002026161</t>
  </si>
  <si>
    <t>Email :</t>
  </si>
  <si>
    <t>JOINT HOLDERS :</t>
  </si>
  <si>
    <t>OD Limit :0   Currency :INR</t>
  </si>
  <si>
    <t>Cust ID :65298402</t>
  </si>
  <si>
    <t>Nomination  :  Registered</t>
  </si>
  <si>
    <t>Account No :50100128155413   VRM POTENTIAL</t>
  </si>
  <si>
    <t>Statement From  :  01/04/2024         To  :  30/06/2024</t>
  </si>
  <si>
    <t>A/C Open Date :08/10/2015</t>
  </si>
  <si>
    <t>Account Status :Regular</t>
  </si>
  <si>
    <t>RTGS/NEFT IFSC :HDFC0000456   MICR :422240003</t>
  </si>
  <si>
    <t>Date</t>
  </si>
  <si>
    <t>Narration</t>
  </si>
  <si>
    <t>Chq./Ref.No.</t>
  </si>
  <si>
    <t>Value Dt</t>
  </si>
  <si>
    <t>Withdrawal Amt.</t>
  </si>
  <si>
    <t>Deposit Amt.</t>
  </si>
  <si>
    <t>Closing Balance</t>
  </si>
  <si>
    <t>NET PI TO HSL SEC A/C 2554606-00602340029427</t>
  </si>
  <si>
    <t>0000000508915817</t>
  </si>
  <si>
    <t>ACH D- TP ACH INDIANESIGN-1400211801</t>
  </si>
  <si>
    <t>0000002398408108</t>
  </si>
  <si>
    <t>NET PO FROM HSL A/C 2554606-50200085415108</t>
  </si>
  <si>
    <t>0000000509173908</t>
  </si>
  <si>
    <t>0000000509391641</t>
  </si>
  <si>
    <t>0000000509532271</t>
  </si>
  <si>
    <t>0000000509775384</t>
  </si>
  <si>
    <t>0000000510047305</t>
  </si>
  <si>
    <t>01671000060094-TPT-TO MUMMY-SUNITA GUPTA</t>
  </si>
  <si>
    <t>0000000526007002</t>
  </si>
  <si>
    <t>0000000510173633</t>
  </si>
  <si>
    <t>0000000510453600</t>
  </si>
  <si>
    <t>0000000510596622</t>
  </si>
  <si>
    <t>DEPOSITORY CHARGES MAR24 - 52812428</t>
  </si>
  <si>
    <t>000000000000000</t>
  </si>
  <si>
    <t>0000000510783072</t>
  </si>
  <si>
    <t>0000000511133896</t>
  </si>
  <si>
    <t>HDFCLIFE CENTR-027086150</t>
  </si>
  <si>
    <t>0000404088280899</t>
  </si>
  <si>
    <t>0000000511329977</t>
  </si>
  <si>
    <t>0000000511639824</t>
  </si>
  <si>
    <t>0000000511775028</t>
  </si>
  <si>
    <t>0000000511935162</t>
  </si>
  <si>
    <t>0000000512203387</t>
  </si>
  <si>
    <t>0000000512227451</t>
  </si>
  <si>
    <t>0000000512391371</t>
  </si>
  <si>
    <t>0000000512543593</t>
  </si>
  <si>
    <t>0000000512581293</t>
  </si>
  <si>
    <t>0000000512938337</t>
  </si>
  <si>
    <t>0000000513274966</t>
  </si>
  <si>
    <t>0000000513288490</t>
  </si>
  <si>
    <t>0000000513398009</t>
  </si>
  <si>
    <t>YHDF2301856276/BILLDKINDIANCLEARING</t>
  </si>
  <si>
    <t>0002410748164048</t>
  </si>
  <si>
    <t>0000000513683672</t>
  </si>
  <si>
    <t>0000000513848106</t>
  </si>
  <si>
    <t>0000000514002096</t>
  </si>
  <si>
    <t>0000000514249550</t>
  </si>
  <si>
    <t>0000000514426021</t>
  </si>
  <si>
    <t>0000000514725854</t>
  </si>
  <si>
    <t>0000000514989096</t>
  </si>
  <si>
    <t>0000000515134690</t>
  </si>
  <si>
    <t>0000000515290114</t>
  </si>
  <si>
    <t>0000000515535767</t>
  </si>
  <si>
    <t>0000000515798217</t>
  </si>
  <si>
    <t>0000000515966721</t>
  </si>
  <si>
    <t>0000000516234940</t>
  </si>
  <si>
    <t>0000000516406163</t>
  </si>
  <si>
    <t>0000000516667698</t>
  </si>
  <si>
    <t>ACH D- TP ACH INDIANESIGN-1424093900</t>
  </si>
  <si>
    <t>0000003353036364</t>
  </si>
  <si>
    <t>0000000516833281</t>
  </si>
  <si>
    <t>0000000517139034</t>
  </si>
  <si>
    <t>ACH D- TP ACH INDIANESIGN-1426353840</t>
  </si>
  <si>
    <t>0000003382528926</t>
  </si>
  <si>
    <t>0000000517276949</t>
  </si>
  <si>
    <t>0000000517428403</t>
  </si>
  <si>
    <t>0000000517770270</t>
  </si>
  <si>
    <t>0000000517947488</t>
  </si>
  <si>
    <t>ISAQMC-JAN-MAR24-417944 260424-MIR2512491109879</t>
  </si>
  <si>
    <t>MIR2512491109879</t>
  </si>
  <si>
    <t>0000000518228782</t>
  </si>
  <si>
    <t>ATW-652166XXXXXX7402-S1ANMN04-NASHIK</t>
  </si>
  <si>
    <t>0000000000008401</t>
  </si>
  <si>
    <t>0000000518421745</t>
  </si>
  <si>
    <t>0000000518796078</t>
  </si>
  <si>
    <t>0000000519119873</t>
  </si>
  <si>
    <t>0000000519265541</t>
  </si>
  <si>
    <t>HDFCLIFE CENTR-027651267</t>
  </si>
  <si>
    <t>0000405079935730</t>
  </si>
  <si>
    <t>0000000519456539</t>
  </si>
  <si>
    <t>0000000519718013</t>
  </si>
  <si>
    <t>0000000519996574</t>
  </si>
  <si>
    <t>0000000520125039</t>
  </si>
  <si>
    <t>DEPOSITORY CHARGES APR24 - 52812428</t>
  </si>
  <si>
    <t>0000000520338706</t>
  </si>
  <si>
    <t>0000000520639586</t>
  </si>
  <si>
    <t>0000000520743425</t>
  </si>
  <si>
    <t>0000000520799412</t>
  </si>
  <si>
    <t>0000000521103431</t>
  </si>
  <si>
    <t>0000000521407528</t>
  </si>
  <si>
    <t>0000000521543524</t>
  </si>
  <si>
    <t>0000000521776793</t>
  </si>
  <si>
    <t>0000000521945323</t>
  </si>
  <si>
    <t>0000000522211282</t>
  </si>
  <si>
    <t>0000000522348830</t>
  </si>
  <si>
    <t>ACH C- ORACLEFINANCIALSER-00000000000000</t>
  </si>
  <si>
    <t>0000007023981137</t>
  </si>
  <si>
    <t>0000000522492127</t>
  </si>
  <si>
    <t>IMPS-413721392818-TAPITS TECHNOLOGIES-ICIC-XXXXXXXX8888-BANKACCOUN</t>
  </si>
  <si>
    <t>0000413721392818</t>
  </si>
  <si>
    <t>0000000522759728</t>
  </si>
  <si>
    <t>0000000522883218</t>
  </si>
  <si>
    <t>0000000523015612</t>
  </si>
  <si>
    <t>0000000523106636</t>
  </si>
  <si>
    <t>0000000523328522</t>
  </si>
  <si>
    <t>0000000523510091</t>
  </si>
  <si>
    <t>0000000523566353</t>
  </si>
  <si>
    <t>0000000523843372</t>
  </si>
  <si>
    <t>JANMAR24 INSTAALERTCHG 75 SMS 140524-MIR2514339870077</t>
  </si>
  <si>
    <t>MIR2514339870077</t>
  </si>
  <si>
    <t>0000000524464495</t>
  </si>
  <si>
    <t>0000000524652531</t>
  </si>
  <si>
    <t>0000000524836872</t>
  </si>
  <si>
    <t>0000000525137643</t>
  </si>
  <si>
    <t>0000000525456486</t>
  </si>
  <si>
    <t>ACH D- TP ACH INDIANESIGN-1452623103</t>
  </si>
  <si>
    <t>0000004315419644</t>
  </si>
  <si>
    <t>0000000525601717</t>
  </si>
  <si>
    <t>0000000525722326</t>
  </si>
  <si>
    <t>0000000525771084</t>
  </si>
  <si>
    <t>0000000526035409</t>
  </si>
  <si>
    <t>0000000526189931</t>
  </si>
  <si>
    <t>0000000526321253</t>
  </si>
  <si>
    <t>ACH D- TP ACH INDIANESIGN-1454497074</t>
  </si>
  <si>
    <t>0000004359949627</t>
  </si>
  <si>
    <t>0000000526423643</t>
  </si>
  <si>
    <t>0000000526627408</t>
  </si>
  <si>
    <t>0000000526851088</t>
  </si>
  <si>
    <t>0000000527032198</t>
  </si>
  <si>
    <t>0000000527400278</t>
  </si>
  <si>
    <t>0000000527725466</t>
  </si>
  <si>
    <t>0000000527898260</t>
  </si>
  <si>
    <t>ACH C- TCSFINDIV040624-1679357</t>
  </si>
  <si>
    <t>0000004460489305</t>
  </si>
  <si>
    <t>0000000528292254</t>
  </si>
  <si>
    <t>0000000528679096</t>
  </si>
  <si>
    <t>ACH C- STATE BANK OF INDIA-2503654</t>
  </si>
  <si>
    <t>0000004598361744</t>
  </si>
  <si>
    <t>0000000529065622</t>
  </si>
  <si>
    <t>0000000529221522</t>
  </si>
  <si>
    <t>0000000529509209</t>
  </si>
  <si>
    <t>0000000529540354</t>
  </si>
  <si>
    <t>0000000529693818</t>
  </si>
  <si>
    <t>HDFCLIFE CENTR-028278229</t>
  </si>
  <si>
    <t>0000406077365520</t>
  </si>
  <si>
    <t>0000000529824207</t>
  </si>
  <si>
    <t>ATW-652166XXXXXX7402-S1ANNK52-NASHIK</t>
  </si>
  <si>
    <t>0000000000004413</t>
  </si>
  <si>
    <t>0000000530257502</t>
  </si>
  <si>
    <t>0000000530429043</t>
  </si>
  <si>
    <t>50100542230922-TPT-TRANSFER FROM AAYUSH-ARCHIT GUPTA</t>
  </si>
  <si>
    <t>0000001044470112</t>
  </si>
  <si>
    <t>0000000530721079</t>
  </si>
  <si>
    <t>0000000530986965</t>
  </si>
  <si>
    <t>0000000531012360</t>
  </si>
  <si>
    <t>0000000531158954</t>
  </si>
  <si>
    <t>0000000531297570</t>
  </si>
  <si>
    <t>0000000531587770</t>
  </si>
  <si>
    <t>0000000531720959</t>
  </si>
  <si>
    <t>0000000532000253</t>
  </si>
  <si>
    <t>APRAPR24 INSTAALERTCHG 12 SMS 070624-MIR2516503200754</t>
  </si>
  <si>
    <t>MIR2516503200754</t>
  </si>
  <si>
    <t>0000000532259959</t>
  </si>
  <si>
    <t>DEPOSITORY CHARGES MAY24 - 52812428</t>
  </si>
  <si>
    <t>0000000532516526</t>
  </si>
  <si>
    <t>0000000532809999</t>
  </si>
  <si>
    <t>0000000532836219</t>
  </si>
  <si>
    <t>0000000532979100</t>
  </si>
  <si>
    <t>0000000533288450</t>
  </si>
  <si>
    <t>0000000533441818</t>
  </si>
  <si>
    <t>MAYMAY24 INSTAALERTCHG 10 SMS 160624-MIR2517232549100</t>
  </si>
  <si>
    <t>MIR2517232549100</t>
  </si>
  <si>
    <t>0000000533668239</t>
  </si>
  <si>
    <t>0000000533950803</t>
  </si>
  <si>
    <t>0000000534252653</t>
  </si>
  <si>
    <t>0000000534426865</t>
  </si>
  <si>
    <t>0000000534611919</t>
  </si>
  <si>
    <t>0000000534880830</t>
  </si>
  <si>
    <t>0000000535177111</t>
  </si>
  <si>
    <t>0000000535197580</t>
  </si>
  <si>
    <t>ACH C- IIL FINAL 2023 24-115130</t>
  </si>
  <si>
    <t>0000005472911367</t>
  </si>
  <si>
    <t>0000000535313847</t>
  </si>
  <si>
    <t>0000000535482238</t>
  </si>
  <si>
    <t>0000000535630151</t>
  </si>
  <si>
    <t>0000000535767425</t>
  </si>
  <si>
    <t>0000000535935265</t>
  </si>
  <si>
    <t>ACH D- TP ACH INDIANESIGN-1481536021</t>
  </si>
  <si>
    <t>0000005522379259</t>
  </si>
  <si>
    <t>ACH C- LTIMIN FINAL 2023 24-370802</t>
  </si>
  <si>
    <t>0000005527544078</t>
  </si>
  <si>
    <t>0000000536192059</t>
  </si>
  <si>
    <t>0000000536359799</t>
  </si>
  <si>
    <t>INTEREST PAID TILL 30-JUN-2024</t>
  </si>
  <si>
    <t>HSL</t>
  </si>
  <si>
    <t>Dividend Income</t>
  </si>
  <si>
    <t>SIP - 5000</t>
  </si>
  <si>
    <t>Depository Charges</t>
  </si>
  <si>
    <t>Bank Charges</t>
  </si>
  <si>
    <t>Annuity</t>
  </si>
  <si>
    <t>ATM Withdrawal</t>
  </si>
  <si>
    <t>Transfer to Sunita</t>
  </si>
  <si>
    <t>Transfer to Archit</t>
  </si>
  <si>
    <t>Misc Income</t>
  </si>
  <si>
    <t>Bank Interest</t>
  </si>
  <si>
    <t>??</t>
  </si>
  <si>
    <t>Name :- AAYUSH KUMAR GUPTA</t>
  </si>
  <si>
    <t>Joint Holder :- -</t>
  </si>
  <si>
    <t>AJAY KUMAR GUPTA</t>
  </si>
  <si>
    <t>FLAT NO - D-07  ISHWAR PARADISE</t>
  </si>
  <si>
    <t>NASHIK-422011</t>
  </si>
  <si>
    <t>MAHARASHTRA-INDIA</t>
  </si>
  <si>
    <t>Customer ID :- 857324165</t>
  </si>
  <si>
    <t>IFSC Code :- UTIB0002656</t>
  </si>
  <si>
    <t>MICR Code :- 422211010</t>
  </si>
  <si>
    <t xml:space="preserve">Nominee Registered :- Y                                                                                                   </t>
  </si>
  <si>
    <t>Registered Mobile No :- XXXXXX5259</t>
  </si>
  <si>
    <t xml:space="preserve">Registered Email ID :- </t>
  </si>
  <si>
    <t>PAN :- BRGPG8066G</t>
  </si>
  <si>
    <t>CKYC NUMBER :- NA</t>
  </si>
  <si>
    <t>Statement of Account No - 915010020334307 for the period (From : 01-04-2024 To : 30-06-2024)</t>
  </si>
  <si>
    <t xml:space="preserve">	</t>
  </si>
  <si>
    <t>SRL NO</t>
  </si>
  <si>
    <t>Tran Date</t>
  </si>
  <si>
    <t>CHQNO</t>
  </si>
  <si>
    <t>PARTICULARS</t>
  </si>
  <si>
    <t>DR</t>
  </si>
  <si>
    <t>CR</t>
  </si>
  <si>
    <t>BAL</t>
  </si>
  <si>
    <t>-</t>
  </si>
  <si>
    <t>SMS Alerts Chrgs Incl GST</t>
  </si>
  <si>
    <t>Account Statement</t>
  </si>
  <si>
    <t>AAYUSH KUMAR GUPTA</t>
  </si>
  <si>
    <t>2 nd floor survey no 20 7</t>
  </si>
  <si>
    <t>Cust. Reln. No.</t>
  </si>
  <si>
    <t>Swamy legato</t>
  </si>
  <si>
    <t>Account No.</t>
  </si>
  <si>
    <t>Kadubisanahalli</t>
  </si>
  <si>
    <t>Period</t>
  </si>
  <si>
    <t>From 01/04/2024 To 30/06/2024</t>
  </si>
  <si>
    <t>Bengaluru</t>
  </si>
  <si>
    <t>Currency</t>
  </si>
  <si>
    <t>INR</t>
  </si>
  <si>
    <t>Karnataka</t>
  </si>
  <si>
    <t>Branch</t>
  </si>
  <si>
    <t>Bangalore - Bellandur</t>
  </si>
  <si>
    <t>India</t>
  </si>
  <si>
    <t>Nomination Regd</t>
  </si>
  <si>
    <t>N</t>
  </si>
  <si>
    <t>Nominee Name</t>
  </si>
  <si>
    <t>Joint Holder(S)</t>
  </si>
  <si>
    <t>IFSC</t>
  </si>
  <si>
    <t>KKBK0008122</t>
  </si>
  <si>
    <t>MICR</t>
  </si>
  <si>
    <t>Sl. No.</t>
  </si>
  <si>
    <t>Transaction Date</t>
  </si>
  <si>
    <t>Value Date</t>
  </si>
  <si>
    <t>Description</t>
  </si>
  <si>
    <t>Chq / Ref No.</t>
  </si>
  <si>
    <t>Amount</t>
  </si>
  <si>
    <t>Dr / Cr</t>
  </si>
  <si>
    <t>Balance</t>
  </si>
  <si>
    <t>UPI/AAYUSH KUMAR GU/409308961216/MB UPI</t>
  </si>
  <si>
    <t>UPI-409309998911</t>
  </si>
  <si>
    <t>UPI/AAYUSH KUMAR GU/409319949339/MB UPI</t>
  </si>
  <si>
    <t>UPI-409337383180</t>
  </si>
  <si>
    <t>UPI/AAYUSH KUMAR GU/409518581802/MB UPI</t>
  </si>
  <si>
    <t>UPI-409528776615</t>
  </si>
  <si>
    <t>UPI/AAYUSH KUMAR GU/409860235500/UPI</t>
  </si>
  <si>
    <t>UPI-409862899692</t>
  </si>
  <si>
    <t>UPI/Setu BrokenTusk/409900283744/Account Verific</t>
  </si>
  <si>
    <t>UPI-409982397887</t>
  </si>
  <si>
    <t>UPI/AAYUSH KUMAR GU/410013514219/UPI</t>
  </si>
  <si>
    <t>UPI-410032312885</t>
  </si>
  <si>
    <t>UPI_CRADJ_U2_TDT_080424_409900283744_10APR2024_7C</t>
  </si>
  <si>
    <t>FOS2410116195698</t>
  </si>
  <si>
    <t>UPI/Zerodha Broking/410380501907/448310154506035</t>
  </si>
  <si>
    <t>UPI-410368028369</t>
  </si>
  <si>
    <t>REV-UPI/Zerodha Broki/410380501907/</t>
  </si>
  <si>
    <t>Recd:IMPS/410309449048/ZERODHA BR/KKBK/X3413/IMPS</t>
  </si>
  <si>
    <t>IMPS-410309546274</t>
  </si>
  <si>
    <t>UPI/Zerodha/410384058067/141141334036312</t>
  </si>
  <si>
    <t>UPI-410370728449</t>
  </si>
  <si>
    <t>UPI/CHINNA SWAMY  R/410353464865/UPI</t>
  </si>
  <si>
    <t>UPI-410383081066</t>
  </si>
  <si>
    <t>UPI/AAYUSH KUMAR GU/410480092425/ADDMONEY</t>
  </si>
  <si>
    <t>UPI-410407404025</t>
  </si>
  <si>
    <t>UPI/RAHUL AGARWAL/447012952315/UPI</t>
  </si>
  <si>
    <t>UPI-410446243187</t>
  </si>
  <si>
    <t>UPI/Nagaraj  A/410511624982/UPI</t>
  </si>
  <si>
    <t>UPI-410586296463</t>
  </si>
  <si>
    <t>UPI/KOMMURI JAGADIS/410512463371/UPI</t>
  </si>
  <si>
    <t>UPI-410587186901</t>
  </si>
  <si>
    <t>UPI/ARCHIT GUPTA/410634004305/UPI</t>
  </si>
  <si>
    <t>UPI-410699436335</t>
  </si>
  <si>
    <t>PG INDIAN CLEARING CORP</t>
  </si>
  <si>
    <t>KPG-0207961683</t>
  </si>
  <si>
    <t>UPI/ARCHIT GUPTA/410737012268/Paid via CRED a</t>
  </si>
  <si>
    <t>UPI-410727177563</t>
  </si>
  <si>
    <t>UPI/ARCHIT GUPTA/410743282961/Paid via CRED a</t>
  </si>
  <si>
    <t>UPI-410727196834</t>
  </si>
  <si>
    <t>UPI/ARCHIT GUPTA/447379909052/Paid via CRED a</t>
  </si>
  <si>
    <t>UPI-410727209428</t>
  </si>
  <si>
    <t>UPI/MYNTRA DESIGNS /447367977121/UPIIntent</t>
  </si>
  <si>
    <t>UPI-410727263456</t>
  </si>
  <si>
    <t>UPI/AAYUSH KUMAR GU/410798005765/ADDMONEY</t>
  </si>
  <si>
    <t>UPI-410727472476</t>
  </si>
  <si>
    <t>UPI/Aditya Birla So/447341452275/Paid via CRED</t>
  </si>
  <si>
    <t>UPI-410730517405</t>
  </si>
  <si>
    <t>UPI/PRASAD SHETTY/410746487309/UPI</t>
  </si>
  <si>
    <t>UPI-410753505013</t>
  </si>
  <si>
    <t>Recd:IMPS/410720539655/FLIPKART I/KKBK/X1838/FT240</t>
  </si>
  <si>
    <t>IMPS-410720299410</t>
  </si>
  <si>
    <t>UPI/Axis/410847142015/payment on CRED</t>
  </si>
  <si>
    <t>UPI-410880607489</t>
  </si>
  <si>
    <t>UPI/NAANCHA HOSPITA/447416230941/Paid via CRED</t>
  </si>
  <si>
    <t>UPI-410881614463</t>
  </si>
  <si>
    <t>UPI/SHIV NARAYAN YA/447451408669/Paid via CRED</t>
  </si>
  <si>
    <t>UPI-410881819043</t>
  </si>
  <si>
    <t>UPI/SANSAR CENTRE/410871423165/Paid via CRED</t>
  </si>
  <si>
    <t>UPI-410800710200</t>
  </si>
  <si>
    <t>UPI/Axis/447838732796/payment on CRED</t>
  </si>
  <si>
    <t>UPI-411232483945</t>
  </si>
  <si>
    <t>MB:PAID CARD NUMBER XX3381</t>
  </si>
  <si>
    <t>VPI-998702255557</t>
  </si>
  <si>
    <t>UPI/Lakshmi Prasad /447867321154/Paid via CRED</t>
  </si>
  <si>
    <t>UPI-411255184961</t>
  </si>
  <si>
    <t>UPI/SUBRAT  TRIPATH/411356883255/UPI</t>
  </si>
  <si>
    <t>UPI-411386562484</t>
  </si>
  <si>
    <t>UPI/TIBIL COMPUTER /448213133723/UPI</t>
  </si>
  <si>
    <t>UPI-411615852629</t>
  </si>
  <si>
    <t>UPI/Google Play Sto/411674555803/MandateExecute</t>
  </si>
  <si>
    <t>UPI-411633654884</t>
  </si>
  <si>
    <t>UPI/PRASAD SHETTY/411810615819/UPI</t>
  </si>
  <si>
    <t>UPI-411805909220</t>
  </si>
  <si>
    <t>SALARYTRANS</t>
  </si>
  <si>
    <t>FCM-240429A2GACP</t>
  </si>
  <si>
    <t>UPI/AAYUSH KUMAR GU/412101194543/MB UPI</t>
  </si>
  <si>
    <t>UPI-412197377352</t>
  </si>
  <si>
    <t>UPI/HAKEEM HADI MAQ/412140848489/UPI</t>
  </si>
  <si>
    <t>UPI-412108919181</t>
  </si>
  <si>
    <t>UPI/AJAY/412114749591/UPI</t>
  </si>
  <si>
    <t>UPI-412123016398</t>
  </si>
  <si>
    <t>UPI/DIGVIJAY/412125769450/Pay to BharatPe</t>
  </si>
  <si>
    <t>UPI-412123252947</t>
  </si>
  <si>
    <t>UPI/NELABALLI PRADE/412652501217/PG fees</t>
  </si>
  <si>
    <t>UPI-412645792069</t>
  </si>
  <si>
    <t>UPI/Axis/449260771925/payment on CRED</t>
  </si>
  <si>
    <t>UPI-412648626420</t>
  </si>
  <si>
    <t>UPI/SUBRAT  TRIPATH/412789253690/UPI</t>
  </si>
  <si>
    <t>UPI-412781466883</t>
  </si>
  <si>
    <t>UPI/Mr ANANDA M/412842830199/UPI</t>
  </si>
  <si>
    <t>UPI-412830330650</t>
  </si>
  <si>
    <t>UPI/IRCTC CF/412954399010/IRCTC TICKET BO</t>
  </si>
  <si>
    <t>UPI-412963218264</t>
  </si>
  <si>
    <t>UPI/MYNTRA DESIGNS /413012109533/Upi Transaction</t>
  </si>
  <si>
    <t>UPI-413010847018</t>
  </si>
  <si>
    <t>UPI/MYNTRA DESIGNS /413013204545/Upi Transaction</t>
  </si>
  <si>
    <t>UPI-413013382380</t>
  </si>
  <si>
    <t>UPI/DIGVATSA B PRAS/413037819772/Fig n Honey</t>
  </si>
  <si>
    <t>UPI-413013492964</t>
  </si>
  <si>
    <t>UPI/FASHNEAR TECHNO/413022739497/Upi Transaction</t>
  </si>
  <si>
    <t>UPI-413038591255</t>
  </si>
  <si>
    <t>UPI/RAHUL AGARWAL/413054534680/UPI</t>
  </si>
  <si>
    <t>UPI-413038982848</t>
  </si>
  <si>
    <t>UPI/MYNTRA DESIGNS /413104841243/Refund for UPI</t>
  </si>
  <si>
    <t>UPI-413143346628</t>
  </si>
  <si>
    <t>UPI/TIBIL COMPUTER /449713898460/UPI</t>
  </si>
  <si>
    <t>UPI-413172776579</t>
  </si>
  <si>
    <t>UPI/Pratiksha  Sukl/413341681020/UPI</t>
  </si>
  <si>
    <t>UPI-413345628051</t>
  </si>
  <si>
    <t>UPI/RAJASTHAN SWEET/413380778188/Pay to BharatPe</t>
  </si>
  <si>
    <t>UPI-413351348923</t>
  </si>
  <si>
    <t>UPI/RAJASTHAN SWEET/413435241644/Pay to BharatPe</t>
  </si>
  <si>
    <t>UPI-413498128688</t>
  </si>
  <si>
    <t>UPI/AJAY/413501873334/UPI</t>
  </si>
  <si>
    <t>UPI-413539817150</t>
  </si>
  <si>
    <t>UPI/MOHD HASHIM/450243483393/Pay to BharatPe</t>
  </si>
  <si>
    <t>UPI-413683896062</t>
  </si>
  <si>
    <t>UPI/FASHNEAR TECHNO/413713392397/Refund for UPI</t>
  </si>
  <si>
    <t>UPI-413713144750</t>
  </si>
  <si>
    <t>UPI/DIGVATSA B PRAS/450353592087/Spanish Delight</t>
  </si>
  <si>
    <t>UPI-413733274462</t>
  </si>
  <si>
    <t>UPI/AAYUSH KUMAR GU/413856144623/Self transfer</t>
  </si>
  <si>
    <t>UPI-413850836402</t>
  </si>
  <si>
    <t>UPI/AAYUSH KUMAR GU/413856342655/Self transfer</t>
  </si>
  <si>
    <t>UPI-413852012337</t>
  </si>
  <si>
    <t>UPI/AAYUSH KUMAR GU/413859249444/Self transfer</t>
  </si>
  <si>
    <t>UPI-413871782795</t>
  </si>
  <si>
    <t>UPI/ANANDA  M/414156843995/UPI</t>
  </si>
  <si>
    <t>UPI-414187100779</t>
  </si>
  <si>
    <t>UPI/MADHAMSETTY SAI/414290962755/UPI</t>
  </si>
  <si>
    <t>UPI-414218811210</t>
  </si>
  <si>
    <t>Recd:IMPS/414213288543/Jupiter/KKBK/X8710/Penny</t>
  </si>
  <si>
    <t>IMPS-414213451960</t>
  </si>
  <si>
    <t>UPI/Axis/414318591881/payment on CRED</t>
  </si>
  <si>
    <t>UPI-414354582413</t>
  </si>
  <si>
    <t>UPI/TIBIL COMPUTER /451100723823/Paid via CRED</t>
  </si>
  <si>
    <t>UPI-414557456954</t>
  </si>
  <si>
    <t>UPI/KANTHARAJU/414559692109/UPI</t>
  </si>
  <si>
    <t>UPI-414560162003</t>
  </si>
  <si>
    <t>UPI/Komal  Kumari/451267616384/UPI</t>
  </si>
  <si>
    <t>UPI-414670364266</t>
  </si>
  <si>
    <t>UPI/RAHUL AGARWAL/414855624067/UPI</t>
  </si>
  <si>
    <t>UPI-414863182190</t>
  </si>
  <si>
    <t>KPG-0210367493</t>
  </si>
  <si>
    <t>UPI/SHRADDHA K HEGD/415101008971/UPI</t>
  </si>
  <si>
    <t>UPI-415194274131</t>
  </si>
  <si>
    <t>FCM-240530AO2J65</t>
  </si>
  <si>
    <t>UPI/RAHUL AGARWAL/415106674021/UPI</t>
  </si>
  <si>
    <t>UPI-415198862773</t>
  </si>
  <si>
    <t>UPI/NELABALLI PRADE/415110471261/Rent June 2024</t>
  </si>
  <si>
    <t>UPI-415102219635</t>
  </si>
  <si>
    <t>UPI/DIGVIJAY/415148486279/Pay to BharatPe</t>
  </si>
  <si>
    <t>UPI-415104493020</t>
  </si>
  <si>
    <t>ATL/4395/504433/+OUTER RING ROADBENGAL300524/22:26</t>
  </si>
  <si>
    <t>UPI/M BHOOPAL/415186393331/UPI</t>
  </si>
  <si>
    <t>UPI-415109283089</t>
  </si>
  <si>
    <t>UPI/ANANDA PAVABA D/415227527561/UPI</t>
  </si>
  <si>
    <t>UPI-415219357268</t>
  </si>
  <si>
    <t>UPI/MANGAL BABAN CH/415308665779/UPI</t>
  </si>
  <si>
    <t>UPI-415371787163</t>
  </si>
  <si>
    <t>UPI/HOTEL KRISHNA R/415435780407/hotel booking</t>
  </si>
  <si>
    <t>UPI-415420220440</t>
  </si>
  <si>
    <t>UPI/HOTEL KRISHNA R/415453362758/hotel booking</t>
  </si>
  <si>
    <t>UPI-415436002435</t>
  </si>
  <si>
    <t>UPI/ANIL KUMAR BHAW/415599585093/UPI</t>
  </si>
  <si>
    <t>UPI-415574615483</t>
  </si>
  <si>
    <t>REV-UPI/ANIL KUMAR BH/415599585093/</t>
  </si>
  <si>
    <t>UPI/Axis/415600362923/payment on CRED</t>
  </si>
  <si>
    <t>UPI-415686691395</t>
  </si>
  <si>
    <t>NEFT FDRLH24156013040 CURRENT ACCOUNT GENERAL FDR</t>
  </si>
  <si>
    <t>NEFTINW-0872796286</t>
  </si>
  <si>
    <t>UPI/IRCTC CF/416156140207/IRCTC TICKET BO</t>
  </si>
  <si>
    <t>UPI-416111378415</t>
  </si>
  <si>
    <t>NACH-MUT-DR-INDIAN CLEARING CORP-P33751105X081016</t>
  </si>
  <si>
    <t>NACHDR10062400228046</t>
  </si>
  <si>
    <t>UPI/AAYUSH KUMAR GU/416418674665/UPI</t>
  </si>
  <si>
    <t>UPI-416439248587</t>
  </si>
  <si>
    <t>UPI/AAYUSH KUMAR GU/416418731041/UPI</t>
  </si>
  <si>
    <t>UPI-416439277263</t>
  </si>
  <si>
    <t>KPG-0211218541</t>
  </si>
  <si>
    <t>UPI/MOHAMMAD ZUBAIR/416781769261/Paid via CRED a</t>
  </si>
  <si>
    <t>UPI-416771814629</t>
  </si>
  <si>
    <t>UPI/NITHIN KUMARSBA/416977527955/Paid via CRED</t>
  </si>
  <si>
    <t>UPI-416969215279</t>
  </si>
  <si>
    <t>UPI/MR SHIBASHIS AC/453567199695/UPI</t>
  </si>
  <si>
    <t>UPI-416976597833</t>
  </si>
  <si>
    <t>UPI/PRASHANTAKUMAR /417051243536/Paid via CRED a</t>
  </si>
  <si>
    <t>UPI-417015497229</t>
  </si>
  <si>
    <t>UPI/Mr Gollapalli S/417049039574/UPI</t>
  </si>
  <si>
    <t>UPI-417027752869</t>
  </si>
  <si>
    <t>UPI/CRED TELECOM/417421161340/payment on CRED</t>
  </si>
  <si>
    <t>UPI-417459024847</t>
  </si>
  <si>
    <t>UPI/MUHAMED FAIS/417486223766/Paid via CRED</t>
  </si>
  <si>
    <t>UPI-417466400168</t>
  </si>
  <si>
    <t>UPI/Muktikanta Das/417569461334/Paid via CRED</t>
  </si>
  <si>
    <t>UPI-417598510157</t>
  </si>
  <si>
    <t>UPI/RAJASTHAN SWEET/417759933152/Pay to BharatPe</t>
  </si>
  <si>
    <t>UPI-417701074792</t>
  </si>
  <si>
    <t>UPI/DIGVIJAY/417760067319/Pay to BharatPe</t>
  </si>
  <si>
    <t>UPI-417701182532</t>
  </si>
  <si>
    <t>UPI/RAJASTHAN SWEET/417805689554/Pay to BharatPe</t>
  </si>
  <si>
    <t>UPI-417840142641</t>
  </si>
  <si>
    <t>FCM-240627B9GRNI</t>
  </si>
  <si>
    <t>UPI/DIGVIJAY/417945115673/Pay to BharatPe</t>
  </si>
  <si>
    <t>UPI-417984821646</t>
  </si>
  <si>
    <t>UPI/magicpin/418076506325/UPIIntent</t>
  </si>
  <si>
    <t>UPI-418012329783</t>
  </si>
  <si>
    <t>UPI/HARISH KUMARA G/418157819156/Paid via CRED</t>
  </si>
  <si>
    <t>UPI-418173112365</t>
  </si>
  <si>
    <t>UPI/Meghana Foods M/418116124587/UPI</t>
  </si>
  <si>
    <t>UPI-418175511041</t>
  </si>
  <si>
    <t>UPI/RAHUL AGARWAL/454729322324/UPI</t>
  </si>
  <si>
    <t>UPI-418175935597</t>
  </si>
  <si>
    <t>UPI/RAHUL AGARWAL/454726714939/UPI</t>
  </si>
  <si>
    <t>UPI-418175940837</t>
  </si>
  <si>
    <t>UPI/MOHD HASHIM/418202403918/Pay to BharatPe</t>
  </si>
  <si>
    <t>UPI-418282976465</t>
  </si>
  <si>
    <t>UPI/RAJASTHAN SWEET/418205629025/Pay to BharatPe</t>
  </si>
  <si>
    <t>UPI-418201111733</t>
  </si>
  <si>
    <t>Int.Pd:3649610333:01-04-2024 to 30-06-2024</t>
  </si>
  <si>
    <t>Transfer from Archit</t>
  </si>
  <si>
    <t>SIP?</t>
  </si>
  <si>
    <t>Salary</t>
  </si>
  <si>
    <t>Zerodha</t>
  </si>
  <si>
    <t>What is this?</t>
  </si>
  <si>
    <t>Misc</t>
  </si>
  <si>
    <t>UPI</t>
  </si>
  <si>
    <t>Rent</t>
  </si>
  <si>
    <t xml:space="preserve">Account Name       :                </t>
  </si>
  <si>
    <t>Mr. AAYUSH KUMAR GUPTA</t>
  </si>
  <si>
    <t>Address            :</t>
  </si>
  <si>
    <t>FLAT NO D 07 ISHWAR PARADISE ASHOKA</t>
  </si>
  <si>
    <t xml:space="preserve">                                    </t>
  </si>
  <si>
    <t>MARG BEHIND FAME THEATRE ASHOKA MARG</t>
  </si>
  <si>
    <t>Nashik</t>
  </si>
  <si>
    <t xml:space="preserve">Date               :                </t>
  </si>
  <si>
    <t>Account Number     :</t>
  </si>
  <si>
    <t>_00000020276981227</t>
  </si>
  <si>
    <t>Account Description:</t>
  </si>
  <si>
    <t>REGULAR SB CHQ-INDIVIDUALS</t>
  </si>
  <si>
    <t>Branch             :</t>
  </si>
  <si>
    <t>SHIVAJI NAGAR, NASIK</t>
  </si>
  <si>
    <t>Drawing Power      :</t>
  </si>
  <si>
    <t>Interest Rate(% p.a.):</t>
  </si>
  <si>
    <t>MOD Balance      :</t>
  </si>
  <si>
    <t>CIF No.          :</t>
  </si>
  <si>
    <t>_88071759834</t>
  </si>
  <si>
    <t>IFS (Indian Financial System) Code         :</t>
  </si>
  <si>
    <t>SBIN0011669</t>
  </si>
  <si>
    <t>MICR (Magnetic Ink Character Recognition)  Code        :</t>
  </si>
  <si>
    <t>_422002020</t>
  </si>
  <si>
    <t>Nomination Registered    :</t>
  </si>
  <si>
    <t xml:space="preserve">Yes </t>
  </si>
  <si>
    <t>Balance on 1 Apr 2024        :</t>
  </si>
  <si>
    <t>Start Date          :</t>
  </si>
  <si>
    <t>End Date            :</t>
  </si>
  <si>
    <t>Txn Date</t>
  </si>
  <si>
    <t>Ref No./Cheque No.</t>
  </si>
  <si>
    <t>Credit</t>
  </si>
  <si>
    <t xml:space="preserve">   TO TRANSFER-UPI/DR/409241614305/NELABALL/UTIB/alphalivin/UPI--</t>
  </si>
  <si>
    <t>TRANSFER TO 4897690162095</t>
  </si>
  <si>
    <t xml:space="preserve">   BY TRANSFER-UPI/CR/409308961216/AAYUSH K/KKBK/9594435259/MB UP--</t>
  </si>
  <si>
    <t>TRANSFER FROM 4897733162090</t>
  </si>
  <si>
    <t xml:space="preserve">   BY TRANSFER-UPI/CR/409364666330/ADARSH N/HDFC/adusma02-1/UPI--</t>
  </si>
  <si>
    <t xml:space="preserve">   BY TRANSFER-UPI/CR/409364703330/K PRAMOD/HDFC/kpramodkri/UPI--</t>
  </si>
  <si>
    <t xml:space="preserve">   BY TRANSFER-UPI/CR/445977564613/ADARSH K M/UTIB/coorgadars/Pay--</t>
  </si>
  <si>
    <t xml:space="preserve">   BY TRANSFER-UPI/CR/445927539114/MONISH K/ICIC/8296488092/Payme--</t>
  </si>
  <si>
    <t xml:space="preserve">   BY TRANSFER-UPI/CR/409341661367/SHASHANK/HDFC/9880498899/Sent--</t>
  </si>
  <si>
    <t xml:space="preserve">   BY TRANSFER-NEFT*YESB0000001*YESB40973500546*ZERODHA BROKING L--</t>
  </si>
  <si>
    <t>TRANSFER FROM 4697175044306</t>
  </si>
  <si>
    <t xml:space="preserve">   TO TRANSFER-UPI/DR/409845869033/Ajithkumar/KKBK/6383724961/Sen--</t>
  </si>
  <si>
    <t>TRANSFER TO 4897696162090</t>
  </si>
  <si>
    <t xml:space="preserve">   BY TRANSFER-UPI/CR/446766838451/MOHANA P/KKBK/7904299233/Payme--</t>
  </si>
  <si>
    <t>TRANSFER FROM 4897734162099</t>
  </si>
  <si>
    <t xml:space="preserve">   TO TRANSFER-UPI/DR/410617540948/ARCHIT G/UTIB/archit4801/UPI--</t>
  </si>
  <si>
    <t xml:space="preserve">   BY TRANSFER-UPI/CR/411456275014/AAYUSH K/FDRL/9594435259/Sent--</t>
  </si>
  <si>
    <t xml:space="preserve">   TO TRANSFER-UPI/DR/448503591089/Zerodha/YESB/zerodhabro/501854--</t>
  </si>
  <si>
    <t xml:space="preserve">   BY TRANSFER-UPI/CR/412101194543/AAYUSH K/KKBK/9594435259/MB UP--</t>
  </si>
  <si>
    <t xml:space="preserve">   TO TRANSFER-UPI/DR/413028375248/Tobox Ve/YESB/paytm-1446/UPI--</t>
  </si>
  <si>
    <t>TRANSFER TO 4897693162093</t>
  </si>
  <si>
    <t xml:space="preserve">   TO TRANSFER-UPI/DR/413028434538/Tobox Ve/YESB/paytm-1446/UPI--</t>
  </si>
  <si>
    <t xml:space="preserve">   TO TRANSFER-UPI/DR/413030079091/Tobox Ve/YESB/paytm-1446/UPI--</t>
  </si>
  <si>
    <t xml:space="preserve">   TO TRANSFER-UPI/DR/413031032292/Tobox Ve/YESB/paytm-1446/UPI--</t>
  </si>
  <si>
    <t xml:space="preserve">   BY TRANSFER-UPI/CR/449613145879/SARGARAJ/KKBK/8590554623/Payme--</t>
  </si>
  <si>
    <t>TRANSFER FROM 4897735162098</t>
  </si>
  <si>
    <t xml:space="preserve">   BULK POSTING-ACHCr NACH00000000006422 LAURUS LABS LI--</t>
  </si>
  <si>
    <t xml:space="preserve">   BY TRANSFER-UPI/CR/450405067757/MOHANA P/KKBK/7904299233/Payme--</t>
  </si>
  <si>
    <t>TRANSFER FROM 4897736162097</t>
  </si>
  <si>
    <t xml:space="preserve">   TO TRANSFER-UPI/DR/414914812788/DIGVATSA/FDRL/digvatsa-1/murud--</t>
  </si>
  <si>
    <t>TRANSFER TO 4897691162095</t>
  </si>
  <si>
    <t xml:space="preserve">   TO TRANSFER-UPI/DR/415599577481/ANIL KUM/BKID/9685883055/UPI--</t>
  </si>
  <si>
    <t xml:space="preserve">   BY TRANSFER-UPI/REV/415599577481--</t>
  </si>
  <si>
    <t>TRANSFER FROM 4897690162095</t>
  </si>
  <si>
    <t xml:space="preserve">   TO TRANSFER-UPI/DR/452792884479/1/UTIB/7774977758/UPI--</t>
  </si>
  <si>
    <t xml:space="preserve">   BY TRANSFER-NEFT*ICIC0099999*CMS4218149841*CENTRAL DEPOSITORY--</t>
  </si>
  <si>
    <t>TRANSFER FROM 4698186044305</t>
  </si>
  <si>
    <t xml:space="preserve">   TO TRANSFER-UPI/DR/416418674665/AAYUSH K/KKBK/aayush20gu/UPI--</t>
  </si>
  <si>
    <t>TRANSFER TO 4897692162094</t>
  </si>
  <si>
    <t xml:space="preserve">   TO TRANSFER-UPI/DR/416418731041/AAYUSH K/KKBK/aayush20gu/UPI--</t>
  </si>
  <si>
    <t xml:space="preserve">   BY TRANSFER-UPI/CR/453670031804/SUBRAT  /KKBK/7809763739/Payme--</t>
  </si>
  <si>
    <t xml:space="preserve">   TO TRANSFER-UPI/DR/454324852197/Amazon Pay/UTIB/amazonpayb/Req--</t>
  </si>
  <si>
    <t xml:space="preserve">   CREDIT INTEREST---</t>
  </si>
  <si>
    <t xml:space="preserve">   BULK POSTING-ACHCr NACH00000000060732 LTIMIN FINAL 2--</t>
  </si>
  <si>
    <t>Dvidend Income</t>
  </si>
  <si>
    <t>Personal</t>
  </si>
  <si>
    <t xml:space="preserve">Name </t>
  </si>
  <si>
    <t xml:space="preserve"> AAYUSH KUMAR GUPTA</t>
  </si>
  <si>
    <t xml:space="preserve">Branch Name </t>
  </si>
  <si>
    <t xml:space="preserve"> Neo Banking- Jupiter</t>
  </si>
  <si>
    <t xml:space="preserve">Communication Address </t>
  </si>
  <si>
    <t xml:space="preserve"> D-07 Ishwar Paradise Ashoka Marg</t>
  </si>
  <si>
    <t xml:space="preserve">Branch Sol ID </t>
  </si>
  <si>
    <t>Nashik, Behind Fame Theatre,,</t>
  </si>
  <si>
    <t xml:space="preserve">Account Number </t>
  </si>
  <si>
    <t>Nasik, Maharashtra, India-422006</t>
  </si>
  <si>
    <t xml:space="preserve">Customer ID </t>
  </si>
  <si>
    <t xml:space="preserve">Address Last Updated On </t>
  </si>
  <si>
    <t xml:space="preserve"> 28/10/2021</t>
  </si>
  <si>
    <t xml:space="preserve">Account Open Date </t>
  </si>
  <si>
    <t xml:space="preserve">Regd. Mobile Number </t>
  </si>
  <si>
    <t xml:space="preserve">Account Status </t>
  </si>
  <si>
    <t xml:space="preserve"> Closed</t>
  </si>
  <si>
    <t xml:space="preserve">Email ID </t>
  </si>
  <si>
    <t xml:space="preserve"> aayushp4396@gmail.com</t>
  </si>
  <si>
    <t xml:space="preserve">Mode of Operation </t>
  </si>
  <si>
    <t xml:space="preserve"> Single</t>
  </si>
  <si>
    <t xml:space="preserve">Type of Account </t>
  </si>
  <si>
    <t xml:space="preserve"> Savings</t>
  </si>
  <si>
    <t xml:space="preserve">Joint Holders </t>
  </si>
  <si>
    <t xml:space="preserve"> NIL</t>
  </si>
  <si>
    <t xml:space="preserve">Scheme </t>
  </si>
  <si>
    <t xml:space="preserve"> SALARY-7777</t>
  </si>
  <si>
    <t xml:space="preserve">IFSC </t>
  </si>
  <si>
    <t xml:space="preserve"> FDRL0007777</t>
  </si>
  <si>
    <t xml:space="preserve">MICR Code </t>
  </si>
  <si>
    <t xml:space="preserve">Nomination </t>
  </si>
  <si>
    <t xml:space="preserve"> Registered</t>
  </si>
  <si>
    <t xml:space="preserve">SWIFT Code </t>
  </si>
  <si>
    <t xml:space="preserve"> FDRLINBBIBD</t>
  </si>
  <si>
    <t xml:space="preserve">Currency </t>
  </si>
  <si>
    <t xml:space="preserve"> INR</t>
  </si>
  <si>
    <t>Opening Balance</t>
  </si>
  <si>
    <t xml:space="preserve">Date of Issue </t>
  </si>
  <si>
    <t xml:space="preserve"> 09/07/2024</t>
  </si>
  <si>
    <t xml:space="preserve">Available Balance </t>
  </si>
  <si>
    <t>Statement of Account for the period 01/04/2024 to 30/06/2024</t>
  </si>
  <si>
    <r>
      <rPr>
        <b/>
        <sz val="11"/>
        <rFont val="Calibri"/>
        <family val="2"/>
        <scheme val="minor"/>
      </rPr>
      <t>Value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Date</t>
    </r>
  </si>
  <si>
    <t>Particulars</t>
  </si>
  <si>
    <r>
      <rPr>
        <b/>
        <sz val="11"/>
        <rFont val="Calibri"/>
        <family val="2"/>
        <scheme val="minor"/>
      </rPr>
      <t>Tran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Type</t>
    </r>
  </si>
  <si>
    <r>
      <rPr>
        <b/>
        <sz val="11"/>
        <rFont val="Calibri"/>
        <family val="2"/>
        <scheme val="minor"/>
      </rPr>
      <t>Tran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ID</t>
    </r>
  </si>
  <si>
    <r>
      <rPr>
        <b/>
        <sz val="11"/>
        <rFont val="Calibri"/>
        <family val="2"/>
        <scheme val="minor"/>
      </rPr>
      <t>Cheque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Details</t>
    </r>
  </si>
  <si>
    <t>Withdrawals</t>
  </si>
  <si>
    <t>Deposits</t>
  </si>
  <si>
    <r>
      <rPr>
        <b/>
        <sz val="11"/>
        <rFont val="Calibri"/>
        <family val="2"/>
        <scheme val="minor"/>
      </rPr>
      <t>Dr/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Cr</t>
    </r>
  </si>
  <si>
    <r>
      <rPr>
        <sz val="11"/>
        <rFont val="Calibri"/>
        <family val="2"/>
        <scheme val="minor"/>
      </rPr>
      <t>UPIOUT/409397404482/
paytmqr1dvntqhgaz@ paytm//5462</t>
    </r>
  </si>
  <si>
    <t>TFR</t>
  </si>
  <si>
    <t>S42025165</t>
  </si>
  <si>
    <r>
      <rPr>
        <sz val="11"/>
        <rFont val="Calibri"/>
        <family val="2"/>
        <scheme val="minor"/>
      </rPr>
      <t>UPIOUT/409339830970/
gokhana.payu@indus/ UPIIn/7311</t>
    </r>
  </si>
  <si>
    <t>S48246883</t>
  </si>
  <si>
    <r>
      <rPr>
        <sz val="11"/>
        <rFont val="Calibri"/>
        <family val="2"/>
        <scheme val="minor"/>
      </rPr>
      <t>UPIOUT/409311132507/
payzomato@hdfcbank/Sent
/5814</t>
    </r>
  </si>
  <si>
    <t>S53198210</t>
  </si>
  <si>
    <r>
      <rPr>
        <sz val="11"/>
        <rFont val="Calibri"/>
        <family val="2"/>
        <scheme val="minor"/>
      </rPr>
      <t>UPI IN/409319949339/9594435259
@kotak/MB UPI/0000</t>
    </r>
  </si>
  <si>
    <t>S56152098</t>
  </si>
  <si>
    <r>
      <rPr>
        <sz val="11"/>
        <rFont val="Calibri"/>
        <family val="2"/>
        <scheme val="minor"/>
      </rPr>
      <t>UPIOUT/409312264752/
ashokanknk1985@okicici/S/0000</t>
    </r>
  </si>
  <si>
    <t>S57936746</t>
  </si>
  <si>
    <r>
      <rPr>
        <sz val="11"/>
        <rFont val="Calibri"/>
        <family val="2"/>
        <scheme val="minor"/>
      </rPr>
      <t>UPIOUT/409313107361/
zomatoltd9.rzp@mairtel/P/5811</t>
    </r>
  </si>
  <si>
    <t>S60780275</t>
  </si>
  <si>
    <r>
      <rPr>
        <sz val="11"/>
        <rFont val="Calibri"/>
        <family val="2"/>
        <scheme val="minor"/>
      </rPr>
      <t>UPIOUT/409313529213/rapido.
rzp@icici/Payment/4121</t>
    </r>
  </si>
  <si>
    <t>S62094747</t>
  </si>
  <si>
    <r>
      <rPr>
        <sz val="11"/>
        <rFont val="Calibri"/>
        <family val="2"/>
        <scheme val="minor"/>
      </rPr>
      <t>UPIOUT/409418186188/
Q651974618@ybl/Sent via /5814</t>
    </r>
  </si>
  <si>
    <t>S74184665</t>
  </si>
  <si>
    <r>
      <rPr>
        <sz val="11"/>
        <rFont val="Calibri"/>
        <family val="2"/>
        <scheme val="minor"/>
      </rPr>
      <t>UPI REFUND RRC 409145904712</t>
    </r>
  </si>
  <si>
    <t>S80138282</t>
  </si>
  <si>
    <r>
      <rPr>
        <sz val="11"/>
        <rFont val="Calibri"/>
        <family val="2"/>
        <scheme val="minor"/>
      </rPr>
      <t>UPIOUT/409420241196/
paytmqr3zacjjhvyp@paytm//5462</t>
    </r>
  </si>
  <si>
    <t>S82129552</t>
  </si>
  <si>
    <r>
      <rPr>
        <sz val="11"/>
        <rFont val="Calibri"/>
        <family val="2"/>
        <scheme val="minor"/>
      </rPr>
      <t>UPIOUT/409524533570/
zomatoltd9.rzp@mairtel/P/5811</t>
    </r>
  </si>
  <si>
    <t>S91955315</t>
  </si>
  <si>
    <r>
      <rPr>
        <sz val="11"/>
        <rFont val="Calibri"/>
        <family val="2"/>
        <scheme val="minor"/>
      </rPr>
      <t>UPI IN/409518581802/9594435259
@kotak/MB UPI/0000</t>
    </r>
  </si>
  <si>
    <t>S784361</t>
  </si>
  <si>
    <r>
      <rPr>
        <sz val="11"/>
        <rFont val="Calibri"/>
        <family val="2"/>
        <scheme val="minor"/>
      </rPr>
      <t>UPIOUT/409527353958/998092
5903@ibl/Sent via /0000</t>
    </r>
  </si>
  <si>
    <t>S844456</t>
  </si>
  <si>
    <r>
      <rPr>
        <sz val="11"/>
        <rFont val="Calibri"/>
        <family val="2"/>
        <scheme val="minor"/>
      </rPr>
      <t>UPIOUT/409528741307/
zomato-order@paytm/ Zomat/5812</t>
    </r>
  </si>
  <si>
    <t>S6686751</t>
  </si>
  <si>
    <r>
      <rPr>
        <sz val="11"/>
        <rFont val="Calibri"/>
        <family val="2"/>
        <scheme val="minor"/>
      </rPr>
      <t>UPIOUT/409528978527/938076
1013@paytm/Sent vi/0000</t>
    </r>
  </si>
  <si>
    <t>S7440599</t>
  </si>
  <si>
    <r>
      <rPr>
        <sz val="11"/>
        <rFont val="Calibri"/>
        <family val="2"/>
        <scheme val="minor"/>
      </rPr>
      <t>UPIOUT/409631112280/
Q676438340@ybl/Sent via /5812</t>
    </r>
  </si>
  <si>
    <t>S11699668</t>
  </si>
  <si>
    <r>
      <rPr>
        <sz val="11"/>
        <rFont val="Calibri"/>
        <family val="2"/>
        <scheme val="minor"/>
      </rPr>
      <t>UPIOUT/409633002087/
zomato-order@paytm/ Zomat/5812</t>
    </r>
  </si>
  <si>
    <t>S17087622</t>
  </si>
  <si>
    <r>
      <rPr>
        <sz val="11"/>
        <rFont val="Calibri"/>
        <family val="2"/>
        <scheme val="minor"/>
      </rPr>
      <t>UPIOUT/409634938769/
paytmqr2810050501014ev0m/58 12</t>
    </r>
  </si>
  <si>
    <t>S23425230</t>
  </si>
  <si>
    <r>
      <rPr>
        <sz val="11"/>
        <rFont val="Calibri"/>
        <family val="2"/>
        <scheme val="minor"/>
      </rPr>
      <t>UPIOUT/409635741109/rapido.
rzp@icici/Payment/4121</t>
    </r>
  </si>
  <si>
    <t>S27052338</t>
  </si>
  <si>
    <r>
      <rPr>
        <sz val="11"/>
        <rFont val="Calibri"/>
        <family val="2"/>
        <scheme val="minor"/>
      </rPr>
      <t>UPIOUT/409635999364/948088
7151@kotak/Sent vi/0000</t>
    </r>
  </si>
  <si>
    <t>S28413688</t>
  </si>
  <si>
    <r>
      <rPr>
        <sz val="11"/>
        <rFont val="Calibri"/>
        <family val="2"/>
        <scheme val="minor"/>
      </rPr>
      <t>UPIOUT/409740412335/
dk031089-1@okaxis/Sent v/0000</t>
    </r>
  </si>
  <si>
    <t>S44850155</t>
  </si>
  <si>
    <r>
      <rPr>
        <sz val="11"/>
        <rFont val="Calibri"/>
        <family val="2"/>
        <scheme val="minor"/>
      </rPr>
      <t>UPIOUT/409741437061/
zomato-order@paytm/ Zomat/5814</t>
    </r>
  </si>
  <si>
    <t>S50146661</t>
  </si>
  <si>
    <r>
      <rPr>
        <sz val="11"/>
        <rFont val="Calibri"/>
        <family val="2"/>
        <scheme val="minor"/>
      </rPr>
      <t>UPIOUT/409741714291/761940
9652@ybl/Sent via /0000</t>
    </r>
  </si>
  <si>
    <t>S51693934</t>
  </si>
  <si>
    <r>
      <rPr>
        <sz val="11"/>
        <rFont val="Calibri"/>
        <family val="2"/>
        <scheme val="minor"/>
      </rPr>
      <t>UPIOUT/409845421519/
zomato-order@paytm/ Zomat/5814</t>
    </r>
  </si>
  <si>
    <t>S65764867</t>
  </si>
  <si>
    <r>
      <rPr>
        <sz val="11"/>
        <rFont val="Calibri"/>
        <family val="2"/>
        <scheme val="minor"/>
      </rPr>
      <t>UPIOUT/409845708938/
Q674963589@ybl/Sent via /5814</t>
    </r>
  </si>
  <si>
    <t>S67023129</t>
  </si>
  <si>
    <r>
      <rPr>
        <sz val="11"/>
        <rFont val="Calibri"/>
        <family val="2"/>
        <scheme val="minor"/>
      </rPr>
      <t>UPI IN/409860235500/
aayush20gupta-2@oksbi/</t>
    </r>
  </si>
  <si>
    <t>S68356168</t>
  </si>
  <si>
    <r>
      <rPr>
        <sz val="11"/>
        <rFont val="Calibri"/>
        <family val="2"/>
        <scheme val="minor"/>
      </rPr>
      <t>UPIOUT/409846392126/917619
591582@paytm/Sent /0000</t>
    </r>
  </si>
  <si>
    <t>S70930899</t>
  </si>
  <si>
    <r>
      <rPr>
        <sz val="11"/>
        <rFont val="Calibri"/>
        <family val="2"/>
        <scheme val="minor"/>
      </rPr>
      <t>UPIOUT/409846423002/
Q482978637@ybl/Sent via /5812</t>
    </r>
  </si>
  <si>
    <t>S71100728</t>
  </si>
  <si>
    <r>
      <rPr>
        <sz val="11"/>
        <rFont val="Calibri"/>
        <family val="2"/>
        <scheme val="minor"/>
      </rPr>
      <t>UPIOUT/409847012370/
zomatoonlineorder.rzp@ic/5811</t>
    </r>
  </si>
  <si>
    <t>S74649140</t>
  </si>
  <si>
    <r>
      <rPr>
        <sz val="11"/>
        <rFont val="Calibri"/>
        <family val="2"/>
        <scheme val="minor"/>
      </rPr>
      <t>UPIOUT/409847542255/
ameenuddeen75-1@okaxis/ S/0000</t>
    </r>
  </si>
  <si>
    <t>S77000559</t>
  </si>
  <si>
    <r>
      <rPr>
        <sz val="11"/>
        <rFont val="Calibri"/>
        <family val="2"/>
        <scheme val="minor"/>
      </rPr>
      <t>UPIOUT/409950113342/
Q429259031@ybl/Sent via /5814</t>
    </r>
  </si>
  <si>
    <t>S86646215</t>
  </si>
  <si>
    <r>
      <rPr>
        <sz val="11"/>
        <rFont val="Calibri"/>
        <family val="2"/>
        <scheme val="minor"/>
      </rPr>
      <t>UPIOUT/409909465458/
bharatpe.90068347282@ fbp/7230</t>
    </r>
  </si>
  <si>
    <t>S94917195</t>
  </si>
  <si>
    <r>
      <rPr>
        <sz val="11"/>
        <rFont val="Calibri"/>
        <family val="2"/>
        <scheme val="minor"/>
      </rPr>
      <t>UPI IN/410013514219/
aayush20gupta-3@okicici//0000</t>
    </r>
  </si>
  <si>
    <t>S2682374</t>
  </si>
  <si>
    <r>
      <rPr>
        <sz val="11"/>
        <rFont val="Calibri"/>
        <family val="2"/>
        <scheme val="minor"/>
      </rPr>
      <t>UPIOUT/410058801403/
Q403465439@ybl/Sent via /5812</t>
    </r>
  </si>
  <si>
    <t>S16186591</t>
  </si>
  <si>
    <r>
      <rPr>
        <sz val="11"/>
        <rFont val="Calibri"/>
        <family val="2"/>
        <scheme val="minor"/>
      </rPr>
      <t>UPI IN/410480092425/9594435259
@jupiteraxis/A/0000</t>
    </r>
  </si>
  <si>
    <t>S91664392</t>
  </si>
  <si>
    <r>
      <rPr>
        <sz val="11"/>
        <rFont val="Calibri"/>
        <family val="2"/>
        <scheme val="minor"/>
      </rPr>
      <t>NFT/ NEOSIEXEDDD2024041502302
824034 Mirae Asset Mut</t>
    </r>
  </si>
  <si>
    <t>FT</t>
  </si>
  <si>
    <t>S35382625</t>
  </si>
  <si>
    <r>
      <rPr>
        <sz val="11"/>
        <rFont val="Calibri"/>
        <family val="2"/>
        <scheme val="minor"/>
      </rPr>
      <t>FBBT24106459 4566</t>
    </r>
  </si>
  <si>
    <r>
      <rPr>
        <sz val="11"/>
        <rFont val="Calibri"/>
        <family val="2"/>
        <scheme val="minor"/>
      </rPr>
      <t>UPI IN/410798005765/9594435259
@jupiteraxis/A/0000</t>
    </r>
  </si>
  <si>
    <t>S57451820</t>
  </si>
  <si>
    <r>
      <rPr>
        <sz val="11"/>
        <rFont val="Calibri"/>
        <family val="2"/>
        <scheme val="minor"/>
      </rPr>
      <t>UPIOUT/410920147275/
paytmqr1gs01dt6zx@ paytm//5812</t>
    </r>
  </si>
  <si>
    <t>S3274235</t>
  </si>
  <si>
    <r>
      <rPr>
        <sz val="11"/>
        <rFont val="Calibri"/>
        <family val="2"/>
        <scheme val="minor"/>
      </rPr>
      <t>UPIOUT/411456275014/
aayush20gupta@oksbi/ Sent/0000</t>
    </r>
  </si>
  <si>
    <t>S13736210</t>
  </si>
  <si>
    <r>
      <rPr>
        <sz val="11"/>
        <rFont val="Calibri"/>
        <family val="2"/>
        <scheme val="minor"/>
      </rPr>
      <t>IFN/ INBINBFT20240517063209434
Jupiter Rewards</t>
    </r>
  </si>
  <si>
    <t>S46271576</t>
  </si>
  <si>
    <r>
      <rPr>
        <sz val="11"/>
        <rFont val="Calibri"/>
        <family val="2"/>
        <scheme val="minor"/>
      </rPr>
      <t>UPIOUT/413856144623/959443
5259@jupiteraxis/S/0000</t>
    </r>
  </si>
  <si>
    <t>S46287656</t>
  </si>
  <si>
    <r>
      <rPr>
        <sz val="11"/>
        <rFont val="Calibri"/>
        <family val="2"/>
        <scheme val="minor"/>
      </rPr>
      <t>IFN/arMpXLmvgPlEKLWZ Withdraw from Interest Pot</t>
    </r>
  </si>
  <si>
    <t>S46768518</t>
  </si>
  <si>
    <r>
      <rPr>
        <sz val="11"/>
        <rFont val="Calibri"/>
        <family val="2"/>
        <scheme val="minor"/>
      </rPr>
      <t>UPIOUT/413856342655/959443
5259@jupiteraxis/S/0000</t>
    </r>
  </si>
  <si>
    <t>S46910638</t>
  </si>
  <si>
    <r>
      <rPr>
        <sz val="11"/>
        <rFont val="Calibri"/>
        <family val="2"/>
        <scheme val="minor"/>
      </rPr>
      <t>NFT/NAVI REDEMPTION/
N138243045353376/HDFC</t>
    </r>
  </si>
  <si>
    <t>S56349530</t>
  </si>
  <si>
    <r>
      <rPr>
        <sz val="11"/>
        <rFont val="Calibri"/>
        <family val="2"/>
        <scheme val="minor"/>
      </rPr>
      <t>N138243045353 376</t>
    </r>
  </si>
  <si>
    <r>
      <rPr>
        <sz val="11"/>
        <rFont val="Calibri"/>
        <family val="2"/>
        <scheme val="minor"/>
      </rPr>
      <t>UPIOUT/413859249444/959443
5259@jupiteraxis/S/0000</t>
    </r>
  </si>
  <si>
    <t>S57205993</t>
  </si>
  <si>
    <r>
      <rPr>
        <sz val="11"/>
        <rFont val="Calibri"/>
        <family val="2"/>
        <scheme val="minor"/>
      </rPr>
      <t>SBINT:23-03-2024 to
20-05-2024[77770101840847]</t>
    </r>
  </si>
  <si>
    <r>
      <rPr>
        <sz val="11"/>
        <rFont val="Calibri"/>
        <family val="2"/>
        <scheme val="minor"/>
      </rPr>
      <t>SBIN T</t>
    </r>
  </si>
  <si>
    <t>S29546151</t>
  </si>
  <si>
    <r>
      <rPr>
        <sz val="11"/>
        <rFont val="Calibri"/>
        <family val="2"/>
        <scheme val="minor"/>
      </rPr>
      <t>Dr Operative A/c</t>
    </r>
  </si>
  <si>
    <t>S29765927</t>
  </si>
  <si>
    <r>
      <rPr>
        <sz val="6"/>
        <rFont val="Arial MT"/>
        <family val="2"/>
      </rPr>
      <t>DISCLAIMER: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This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computer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generated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statement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contains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particulars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transaction(s)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account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that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have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been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updated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till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time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day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end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operations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CBS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system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Bank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previous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working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day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and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same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will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not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reflect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transaction(s)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that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have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occurred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account,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any,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subsequent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thereto.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Federal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Bank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Ltd.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shall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not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liable/responsible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for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want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full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particulars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transaction(s)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time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generation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this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statement.</t>
    </r>
  </si>
  <si>
    <r>
      <rPr>
        <sz val="6"/>
        <rFont val="Arial MT"/>
        <family val="2"/>
      </rPr>
      <t>This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computer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generated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statement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which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need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not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normally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signed.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Contents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this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statement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will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considered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correct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no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error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reported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within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21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days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statement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date.</t>
    </r>
  </si>
  <si>
    <r>
      <rPr>
        <sz val="6"/>
        <rFont val="Arial MT"/>
        <family val="2"/>
      </rPr>
      <t>****END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STATEMENT****</t>
    </r>
  </si>
  <si>
    <t>Mutual Fund</t>
  </si>
  <si>
    <t>Redemption</t>
  </si>
  <si>
    <t>UPI - ZOMATO</t>
  </si>
  <si>
    <t>Contra - Kotak</t>
  </si>
  <si>
    <t>Contra - SBI</t>
  </si>
  <si>
    <t>Contra - Jupiter</t>
  </si>
  <si>
    <t>Contra - KOTAK</t>
  </si>
  <si>
    <t>Aayush Kumar Gupta</t>
  </si>
  <si>
    <t>TX Date</t>
  </si>
  <si>
    <t>Ref</t>
  </si>
  <si>
    <t>Account No</t>
  </si>
  <si>
    <t>HDFC</t>
  </si>
  <si>
    <t>SBI</t>
  </si>
  <si>
    <t>Account of Statements from 01-04-2024 to 31-03-2025</t>
  </si>
  <si>
    <t>AXIS</t>
  </si>
  <si>
    <t>KOTAK</t>
  </si>
  <si>
    <t>FEDERAL</t>
  </si>
  <si>
    <t>UPIOUT/409397404482/
paytmqr1dvntqhgaz@ paytm//5462</t>
  </si>
  <si>
    <t>UPIOUT/409339830970/
gokhana.payu@indus/ UPIIn/7311</t>
  </si>
  <si>
    <t>UPIOUT/409311132507/
payzomato@hdfcbank/Sent
/5814</t>
  </si>
  <si>
    <t>UPI IN/409319949339/9594435259
@kotak/MB UPI/0000</t>
  </si>
  <si>
    <t>UPIOUT/409312264752/
ashokanknk1985@okicici/S/0000</t>
  </si>
  <si>
    <t>UPIOUT/409313107361/
zomatoltd9.rzp@mairtel/P/5811</t>
  </si>
  <si>
    <t>UPIOUT/409313529213/rapido.
rzp@icici/Payment/4121</t>
  </si>
  <si>
    <t>UPIOUT/409418186188/
Q651974618@ybl/Sent via /5814</t>
  </si>
  <si>
    <t>UPI REFUND RRC 409145904712</t>
  </si>
  <si>
    <t>UPIOUT/409420241196/
paytmqr3zacjjhvyp@paytm//5462</t>
  </si>
  <si>
    <t>UPIOUT/409524533570/
zomatoltd9.rzp@mairtel/P/5811</t>
  </si>
  <si>
    <t>UPI IN/409518581802/9594435259
@kotak/MB UPI/0000</t>
  </si>
  <si>
    <t>UPIOUT/409527353958/998092
5903@ibl/Sent via /0000</t>
  </si>
  <si>
    <t>UPIOUT/409528741307/
zomato-order@paytm/ Zomat/5812</t>
  </si>
  <si>
    <t>UPIOUT/409528978527/938076
1013@paytm/Sent vi/0000</t>
  </si>
  <si>
    <t>UPIOUT/409631112280/
Q676438340@ybl/Sent via /5812</t>
  </si>
  <si>
    <t>UPIOUT/409633002087/
zomato-order@paytm/ Zomat/5812</t>
  </si>
  <si>
    <t>UPIOUT/409634938769/
paytmqr2810050501014ev0m/58 12</t>
  </si>
  <si>
    <t>UPIOUT/409635741109/rapido.
rzp@icici/Payment/4121</t>
  </si>
  <si>
    <t>UPIOUT/409635999364/948088
7151@kotak/Sent vi/0000</t>
  </si>
  <si>
    <t>UPIOUT/409740412335/
dk031089-1@okaxis/Sent v/0000</t>
  </si>
  <si>
    <t>UPIOUT/409741437061/
zomato-order@paytm/ Zomat/5814</t>
  </si>
  <si>
    <t>UPIOUT/409741714291/761940
9652@ybl/Sent via /0000</t>
  </si>
  <si>
    <t>UPIOUT/409845421519/
zomato-order@paytm/ Zomat/5814</t>
  </si>
  <si>
    <t>UPIOUT/409845708938/
Q674963589@ybl/Sent via /5814</t>
  </si>
  <si>
    <t>UPI IN/409860235500/
aayush20gupta-2@oksbi/</t>
  </si>
  <si>
    <t>UPIOUT/409846392126/917619
591582@paytm/Sent /0000</t>
  </si>
  <si>
    <t>UPIOUT/409846423002/
Q482978637@ybl/Sent via /5812</t>
  </si>
  <si>
    <t>UPIOUT/409847012370/
zomatoonlineorder.rzp@ic/5811</t>
  </si>
  <si>
    <t>UPIOUT/409847542255/
ameenuddeen75-1@okaxis/ S/0000</t>
  </si>
  <si>
    <t>UPIOUT/409950113342/
Q429259031@ybl/Sent via /5814</t>
  </si>
  <si>
    <t>UPIOUT/409909465458/
bharatpe.90068347282@ fbp/7230</t>
  </si>
  <si>
    <t>UPI IN/410013514219/
aayush20gupta-3@okicici//0000</t>
  </si>
  <si>
    <t>UPIOUT/410058801403/
Q403465439@ybl/Sent via /5812</t>
  </si>
  <si>
    <t>UPI IN/410480092425/9594435259
@jupiteraxis/A/0000</t>
  </si>
  <si>
    <t>NFT/ NEOSIEXEDDD2024041502302
824034 Mirae Asset Mut</t>
  </si>
  <si>
    <t>UPI IN/410798005765/9594435259
@jupiteraxis/A/0000</t>
  </si>
  <si>
    <t>UPIOUT/410920147275/
paytmqr1gs01dt6zx@ paytm//5812</t>
  </si>
  <si>
    <t>UPIOUT/411456275014/
aayush20gupta@oksbi/ Sent/0000</t>
  </si>
  <si>
    <t>IFN/ INBINBFT20240517063209434
Jupiter Rewards</t>
  </si>
  <si>
    <t>UPIOUT/413856144623/959443
5259@jupiteraxis/S/0000</t>
  </si>
  <si>
    <t>IFN/arMpXLmvgPlEKLWZ Withdraw from Interest Pot</t>
  </si>
  <si>
    <t>UPIOUT/413856342655/959443
5259@jupiteraxis/S/0000</t>
  </si>
  <si>
    <t>NFT/NAVI REDEMPTION/
N138243045353376/HDFC</t>
  </si>
  <si>
    <t>UPIOUT/413859249444/959443
5259@jupiteraxis/S/0000</t>
  </si>
  <si>
    <t>SBINT:23-03-2024 to
20-05-2024[77770101840847]</t>
  </si>
  <si>
    <t>Dr Operative A/c</t>
  </si>
  <si>
    <t>SB:915010020334307:Int.Pd:01-04-2024 to 30-06-2024</t>
  </si>
  <si>
    <t>SB:915010020334307:Int.Pd:01-07-2024 to 30-09-2024</t>
  </si>
  <si>
    <t>SB:915010020334307:Int.Pd:01-10-2024 to 31-12-2024</t>
  </si>
  <si>
    <t>SB:915010020334307:Int.Pd:01-01-2025 to 31-03-2025</t>
  </si>
  <si>
    <t>ACH D- TP ACH INDIANESIGN-1481812360</t>
  </si>
  <si>
    <t>0000005599173956</t>
  </si>
  <si>
    <t>0000000536704630</t>
  </si>
  <si>
    <t>ACH C- INFOSYS LIMITED-41593907</t>
  </si>
  <si>
    <t>0000005608498175</t>
  </si>
  <si>
    <t>ATW-652166XXXXXX7402-CHBDL001-NASHIK</t>
  </si>
  <si>
    <t>0000000000007691</t>
  </si>
  <si>
    <t>0000000536993702</t>
  </si>
  <si>
    <t>0000000537146097</t>
  </si>
  <si>
    <t>ACH C- BANK OF INDIA - EQUI-BOI0FIN02024</t>
  </si>
  <si>
    <t>0000005664840943</t>
  </si>
  <si>
    <t>0000000537346208</t>
  </si>
  <si>
    <t>0000000537639734</t>
  </si>
  <si>
    <t>0000000537912473</t>
  </si>
  <si>
    <t>0000000538098509</t>
  </si>
  <si>
    <t>ACH C- SONA BLW PRECISION F-000000000000</t>
  </si>
  <si>
    <t>0000007070202186</t>
  </si>
  <si>
    <t>0000000538247774</t>
  </si>
  <si>
    <t>0000000538581912</t>
  </si>
  <si>
    <t>0000000538749339</t>
  </si>
  <si>
    <t>K4QX45ELAB72BNOXCU/PAYUHDFCSTANDARDLIFE</t>
  </si>
  <si>
    <t>0002418855311539</t>
  </si>
  <si>
    <t>0000000539199332</t>
  </si>
  <si>
    <t>HDFCLIFE CENTR-028984365</t>
  </si>
  <si>
    <t>0000407085556320</t>
  </si>
  <si>
    <t>0000000539610087</t>
  </si>
  <si>
    <t>0000000539760093</t>
  </si>
  <si>
    <t>0000000540075648</t>
  </si>
  <si>
    <t>0000000540264387</t>
  </si>
  <si>
    <t>0000000540760214</t>
  </si>
  <si>
    <t>0000000541239110</t>
  </si>
  <si>
    <t>0000000541768569</t>
  </si>
  <si>
    <t>0000000542095141</t>
  </si>
  <si>
    <t>DEPOSITORY CHARGES JUN24 - 52812428</t>
  </si>
  <si>
    <t>0000000542212853</t>
  </si>
  <si>
    <t>ACH C- POLYCAB INDIA LTD-000000000000017</t>
  </si>
  <si>
    <t>0000007110066198</t>
  </si>
  <si>
    <t>JUNJUN24 INSTAALERTCHG 9 SMS 130724-MIR2519901446768</t>
  </si>
  <si>
    <t>MIR2519901446768</t>
  </si>
  <si>
    <t>0000000542694544</t>
  </si>
  <si>
    <t>0000000543193832</t>
  </si>
  <si>
    <t>ACH C- KPIL FNLDIV 2023 24-58389</t>
  </si>
  <si>
    <t>0000006414504867</t>
  </si>
  <si>
    <t>ACH C- BAJAJ AUTO LIMITED-4275088</t>
  </si>
  <si>
    <t>0000006414380074</t>
  </si>
  <si>
    <t>ACH C- CYIENTLIMITED-4808639</t>
  </si>
  <si>
    <t>0000006413948658</t>
  </si>
  <si>
    <t>ACH C- BOB DIVIDEND FY23-24-10918798</t>
  </si>
  <si>
    <t>0000006425467372</t>
  </si>
  <si>
    <t>0000000543757066</t>
  </si>
  <si>
    <t>0000000544255349</t>
  </si>
  <si>
    <t>0000000544747737</t>
  </si>
  <si>
    <t>0000000545253407</t>
  </si>
  <si>
    <t>ALEMBIC PHAR DIV232400000000000000014101</t>
  </si>
  <si>
    <t>0000242061368825</t>
  </si>
  <si>
    <t>0000000545986125</t>
  </si>
  <si>
    <t>ACH D- TP ACH INDIANESIGN-1507580300</t>
  </si>
  <si>
    <t>0000006641952678</t>
  </si>
  <si>
    <t>0000000546460726</t>
  </si>
  <si>
    <t>ACH D- TP ACH INDIANESIGN-1509238249</t>
  </si>
  <si>
    <t>0000006662140494</t>
  </si>
  <si>
    <t>0000000546891763</t>
  </si>
  <si>
    <t>0000000547293917</t>
  </si>
  <si>
    <t>0000000547801187</t>
  </si>
  <si>
    <t>0000000548269952</t>
  </si>
  <si>
    <t>ACH C- MAHINDRA  AND MAHIND-50551869</t>
  </si>
  <si>
    <t>0000006807935924</t>
  </si>
  <si>
    <t>BIRLASOFT LT DIV232400000000000000051054</t>
  </si>
  <si>
    <t>0000242165594635</t>
  </si>
  <si>
    <t>0000000548870004</t>
  </si>
  <si>
    <t>ACH C- TCS1STINTDIV050824-1609744</t>
  </si>
  <si>
    <t>0000006932320602</t>
  </si>
  <si>
    <t>ACH C- UNION BANK OF INDIA-2499286</t>
  </si>
  <si>
    <t>0000006962163421</t>
  </si>
  <si>
    <t>0000000549479557</t>
  </si>
  <si>
    <t>0000000550056622</t>
  </si>
  <si>
    <t>HDFCLIFE CENTR-029722019</t>
  </si>
  <si>
    <t>0000408077258169</t>
  </si>
  <si>
    <t>0000000550502247</t>
  </si>
  <si>
    <t>0000000550946487</t>
  </si>
  <si>
    <t>0000000551244772</t>
  </si>
  <si>
    <t>0708513379 HDFC BANK DIV 23 24 00636771</t>
  </si>
  <si>
    <t>0000070824132085</t>
  </si>
  <si>
    <t>0000000551444212</t>
  </si>
  <si>
    <t>DEPOSITORY CHARGES JUL24 - 52812428</t>
  </si>
  <si>
    <t>0000000551939086</t>
  </si>
  <si>
    <t>0000000552431085</t>
  </si>
  <si>
    <t>0000000552929412</t>
  </si>
  <si>
    <t>ISAQMC-APR-JUN24-417944 230724-MIR2522960522287</t>
  </si>
  <si>
    <t>MIR2522960522287</t>
  </si>
  <si>
    <t>01671000085930-TPT-BORROW BY AKG-AJAY KUMAR GUPTA</t>
  </si>
  <si>
    <t>0000000299806852</t>
  </si>
  <si>
    <t>0000000553392051</t>
  </si>
  <si>
    <t>0000000553696548</t>
  </si>
  <si>
    <t>0000000553834350</t>
  </si>
  <si>
    <t>0000000554279730</t>
  </si>
  <si>
    <t>0000000554695018</t>
  </si>
  <si>
    <t>0000000555106574</t>
  </si>
  <si>
    <t>0000000555608125</t>
  </si>
  <si>
    <t>ACH C- DATAPATTERN FNLDIV24-127791</t>
  </si>
  <si>
    <t>0000007814573918</t>
  </si>
  <si>
    <t>0000000556084035</t>
  </si>
  <si>
    <t>0000000556353039</t>
  </si>
  <si>
    <t>ACH D- TP ACH INDIANESIGN-1537020331</t>
  </si>
  <si>
    <t>0000007828175600</t>
  </si>
  <si>
    <t>0000000556520296</t>
  </si>
  <si>
    <t>ACH C- KPIT TECHNOLOGIES-3703960</t>
  </si>
  <si>
    <t>0000007861097071</t>
  </si>
  <si>
    <t>0000000556950851</t>
  </si>
  <si>
    <t>ACH C- RELIANCE INDUSTRIES-242544357</t>
  </si>
  <si>
    <t>0000007893442823</t>
  </si>
  <si>
    <t>ACH D- TP ACH INDIANESIGN-1538779438</t>
  </si>
  <si>
    <t>0000007885611821</t>
  </si>
  <si>
    <t>0000000557396952</t>
  </si>
  <si>
    <t>ACH C- NGLFINECHEMLIMITE-0000IN301549528</t>
  </si>
  <si>
    <t>0000007368233243</t>
  </si>
  <si>
    <t>ACH C- ICICI BANK LTD.-7826787</t>
  </si>
  <si>
    <t>0000007946499411</t>
  </si>
  <si>
    <t>0000000557907323</t>
  </si>
  <si>
    <t>01671000060094-TPT-FROM AAYUSH-SUNITA GUPTA</t>
  </si>
  <si>
    <t>0000000378890154</t>
  </si>
  <si>
    <t>0000000558377922</t>
  </si>
  <si>
    <t>0000000558835078</t>
  </si>
  <si>
    <t>0000000559321358</t>
  </si>
  <si>
    <t>ACH C- POWER FINANCE CORPOR-15115327</t>
  </si>
  <si>
    <t>0000008081937542</t>
  </si>
  <si>
    <t>0000000559777481</t>
  </si>
  <si>
    <t>ACH C- APOLLO HOS FDIV2024-AHLIN30154952</t>
  </si>
  <si>
    <t>0000008222019405</t>
  </si>
  <si>
    <t>0000000560356425</t>
  </si>
  <si>
    <t>HDFCLIFE CENTR-030486853</t>
  </si>
  <si>
    <t>0000409096633900</t>
  </si>
  <si>
    <t>0000000560928544</t>
  </si>
  <si>
    <t>0000000561209932</t>
  </si>
  <si>
    <t>0000000561330914</t>
  </si>
  <si>
    <t>0000000561818868</t>
  </si>
  <si>
    <t>0000000562215927</t>
  </si>
  <si>
    <t>ACH C- POWER FINANCE CORPOR-16612094</t>
  </si>
  <si>
    <t>0000008629536644</t>
  </si>
  <si>
    <t>01671000060094-TPT-MNY RETRN FRM SUNITA TO AAYUSH-SUNITA GUPTA</t>
  </si>
  <si>
    <t>0000000447885753</t>
  </si>
  <si>
    <t>0000000562606049</t>
  </si>
  <si>
    <t>0000000563114213</t>
  </si>
  <si>
    <t>DEPOSITORY CHARGES AUG24 - 52812428</t>
  </si>
  <si>
    <t>0000000563307230</t>
  </si>
  <si>
    <t>0000000563517210</t>
  </si>
  <si>
    <t>0000000563712474</t>
  </si>
  <si>
    <t>0000000564002950</t>
  </si>
  <si>
    <t>INSTAALERT CHGS JUL24 SMS(6) 010724-MIR2526278317585</t>
  </si>
  <si>
    <t>MIR2526278317585</t>
  </si>
  <si>
    <t>50100542230922-TPT-BORROW FROM ARCHIT-ARCHIT GUPTA</t>
  </si>
  <si>
    <t>0000000367504164</t>
  </si>
  <si>
    <t>0000000564233506</t>
  </si>
  <si>
    <t>0000000564557805</t>
  </si>
  <si>
    <t>CLEAN SCIEN DIV23 2400000000000000034830</t>
  </si>
  <si>
    <t>0000242633975924</t>
  </si>
  <si>
    <t>0000000564717507</t>
  </si>
  <si>
    <t>50100542230922-TPT-LOAN MONEY RETURNED-ARCHIT GUPTA</t>
  </si>
  <si>
    <t>0000000150764255</t>
  </si>
  <si>
    <t>0000000565033213</t>
  </si>
  <si>
    <t>FT- 565372861-50200085415108 - HDFC SECURITIES LTD-CLIENT DSCNB A/C -</t>
  </si>
  <si>
    <t>0000000780771166</t>
  </si>
  <si>
    <t>FT- 565401591-50200085415108 - HDFC SECURITIES LTD-CLIENT DSCNB A/C -</t>
  </si>
  <si>
    <t>0000000780788655</t>
  </si>
  <si>
    <t>0000000565525768</t>
  </si>
  <si>
    <t>FT- 565839639-50200085415108 - HDFC SECURITIES LTD-CLIENT DSCNB A/C -</t>
  </si>
  <si>
    <t>0000000782000504</t>
  </si>
  <si>
    <t>UPI-ARCHIT GUPTA-ARCHIT4801@OKHDFCBANK-HDFC0004690-426955875835-PAYMENT FROM PHONE</t>
  </si>
  <si>
    <t>0000426955875835</t>
  </si>
  <si>
    <t>0000000566002217</t>
  </si>
  <si>
    <t>0000000566189293</t>
  </si>
  <si>
    <t>0000000566487416</t>
  </si>
  <si>
    <t>0000000566653110</t>
  </si>
  <si>
    <t>0000000566931698</t>
  </si>
  <si>
    <t>0000000567088671</t>
  </si>
  <si>
    <t>UPI-ARCHIT GUPTA-ARCHIT4801@OKHDFCBANK-HDFC0004690-427286006231-LOAN MONEY RETURNE</t>
  </si>
  <si>
    <t>0000427286006231</t>
  </si>
  <si>
    <t>ACH D- TP ACH INDIANESIGN-1567790768</t>
  </si>
  <si>
    <t>0000009095863209</t>
  </si>
  <si>
    <t>ACH D- TP ACH INDIANESIGN-1567725795</t>
  </si>
  <si>
    <t>0000009095876966</t>
  </si>
  <si>
    <t>0000000567399283</t>
  </si>
  <si>
    <t>GARWARE TEC DIV23 2400000000000000008368</t>
  </si>
  <si>
    <t>0000242746173007</t>
  </si>
  <si>
    <t>0000000567595276</t>
  </si>
  <si>
    <t>INTEREST PAID TILL 30-SEP-2024</t>
  </si>
  <si>
    <t>0000000567948409</t>
  </si>
  <si>
    <t>UPI-CARE HEALTH INSURANC-RELIGAREHEALTHCOQR.PAYU@HDFCBANK-HDFC0000499-427679901344-AAYUSH HEALTH POLI</t>
  </si>
  <si>
    <t>0000427679901344</t>
  </si>
  <si>
    <t>FT- 568250306-50200085415108 - HDFC SECURITIES LTD-CLIENT DSCNB A/C -</t>
  </si>
  <si>
    <t>0000000790808477</t>
  </si>
  <si>
    <t>0000000568422027</t>
  </si>
  <si>
    <t>0000000568677033</t>
  </si>
  <si>
    <t>0000000568979657</t>
  </si>
  <si>
    <t>0000000569178459</t>
  </si>
  <si>
    <t>FT- 569405835-50200085415108 - HDFC SECURITIES LTD-CLIENT DSCNB A/C -</t>
  </si>
  <si>
    <t>0000000796159644</t>
  </si>
  <si>
    <t>0000000569633335</t>
  </si>
  <si>
    <t>HDFCLIFE CENTR-031322452</t>
  </si>
  <si>
    <t>0000410077624702</t>
  </si>
  <si>
    <t>0000000569870500</t>
  </si>
  <si>
    <t>0000000570166947</t>
  </si>
  <si>
    <t>FT- 570449090-50200085415108 - HDFC SECURITIES LTD-CLIENT DSCNB A/C -</t>
  </si>
  <si>
    <t>0000000800345005</t>
  </si>
  <si>
    <t>0000000570596746</t>
  </si>
  <si>
    <t>FT- 570874946-50200085415108 - HDFC SECURITIES LTD-CLIENT DSCNB A/C -</t>
  </si>
  <si>
    <t>0000000801923317</t>
  </si>
  <si>
    <t>FT- 570898064-50200085415108 - HDFC SECURITIES LTD-CLIENT DSCNB A/C -</t>
  </si>
  <si>
    <t>0000000801955743</t>
  </si>
  <si>
    <t>0000000571051045</t>
  </si>
  <si>
    <t>ACH C- POWER MECH PROJECTS-829185</t>
  </si>
  <si>
    <t>0000000008632417</t>
  </si>
  <si>
    <t>50100542230922-TPT-LOAN RETURNED-ARCHIT GUPTA</t>
  </si>
  <si>
    <t>0000000295070838</t>
  </si>
  <si>
    <t>0000000571205163</t>
  </si>
  <si>
    <t>FT- 571346453-50200085415108 - HDFC SECURITIES LTD-CLIENT DSCNB A/C -</t>
  </si>
  <si>
    <t>0000000803586282</t>
  </si>
  <si>
    <t>0000000571463674</t>
  </si>
  <si>
    <t>ACH C- OLECTRA GREENTECH LT-000000110962</t>
  </si>
  <si>
    <t>0000000043705341</t>
  </si>
  <si>
    <t>FT- 571716949-50200085415108 - HDFC SECURITIES LTD-CLIENT DSCNB A/C -</t>
  </si>
  <si>
    <t>0000000805256511</t>
  </si>
  <si>
    <t>0000000571989560</t>
  </si>
  <si>
    <t>DEPOSITORY CHARGES SEP24 - 52812428</t>
  </si>
  <si>
    <t>0000000572286804</t>
  </si>
  <si>
    <t>0000000572447967</t>
  </si>
  <si>
    <t>FT- 572588555-50200085415108 - HDFC SECURITIES LTD-CLIENT DSCNB A/C -</t>
  </si>
  <si>
    <t>0000000807569963</t>
  </si>
  <si>
    <t>0000000572707018</t>
  </si>
  <si>
    <t>0000000572853805</t>
  </si>
  <si>
    <t>0000000573117577</t>
  </si>
  <si>
    <t>0000000573302227</t>
  </si>
  <si>
    <t>0000000573590843</t>
  </si>
  <si>
    <t>0000000573734110</t>
  </si>
  <si>
    <t>FT- 573879295-50200085415108 - HDFC SECURITIES LTD-CLIENT DSCNB A/C -</t>
  </si>
  <si>
    <t>0000000811845082</t>
  </si>
  <si>
    <t>0000000574057215</t>
  </si>
  <si>
    <t>FT- 574387699-50200085415108 - HDFC SECURITIES LTD-CLIENT DSCNB A/C -</t>
  </si>
  <si>
    <t>0000000812837949</t>
  </si>
  <si>
    <t>AUGAUG24 INSTAALERTCHG 5 SMS 011024-MIR2529468650627</t>
  </si>
  <si>
    <t>MIR2529468650627</t>
  </si>
  <si>
    <t>0000000574528617</t>
  </si>
  <si>
    <t>0000000574758547</t>
  </si>
  <si>
    <t>0000000575029692</t>
  </si>
  <si>
    <t>FT- 575322967-50200085415108 - HDFC SECURITIES LTD-CLIENT DSCNB A/C -</t>
  </si>
  <si>
    <t>0000000815415465</t>
  </si>
  <si>
    <t>0000000575452383</t>
  </si>
  <si>
    <t>ACH C- NATIONAL ALUMINIUM C-NAT0FIN02024</t>
  </si>
  <si>
    <t>0000000402803917</t>
  </si>
  <si>
    <t>0000000575637878</t>
  </si>
  <si>
    <t>0000000575917129</t>
  </si>
  <si>
    <t>0000000576142780</t>
  </si>
  <si>
    <t>01671000060094-TPT-BOROW FROM AAYUSH-SUNITA GUPTA</t>
  </si>
  <si>
    <t>0000000566404752</t>
  </si>
  <si>
    <t>ACH D- TP ACH INDIANESIGN-1596170243</t>
  </si>
  <si>
    <t>0000000473537180</t>
  </si>
  <si>
    <t>ACH D- HDFCLIFE-26688787</t>
  </si>
  <si>
    <t>0000008167766302</t>
  </si>
  <si>
    <t>ACH D- HDFCLIFE-26688571</t>
  </si>
  <si>
    <t>0000008167762302</t>
  </si>
  <si>
    <t>0000000576479698</t>
  </si>
  <si>
    <t>FT- 576756745-50200085415108 - HDFC SECURITIES LTD-CLIENT DSCNB A/C -</t>
  </si>
  <si>
    <t>0000000821165857</t>
  </si>
  <si>
    <t>0000000576908228</t>
  </si>
  <si>
    <t>0000000577067221</t>
  </si>
  <si>
    <t>ACH D- TP ACH INDIANESIGN-1597891115</t>
  </si>
  <si>
    <t>0000000540841950</t>
  </si>
  <si>
    <t>0000000577326228</t>
  </si>
  <si>
    <t>0000000577482226</t>
  </si>
  <si>
    <t>0000000577707540</t>
  </si>
  <si>
    <t>0000000577816835</t>
  </si>
  <si>
    <t>0000000577880263</t>
  </si>
  <si>
    <t>FT- 578233386-50200085415108 - HDFC SECURITIES LTD-CLIENT DSCNB A/C -</t>
  </si>
  <si>
    <t>0000000827826741</t>
  </si>
  <si>
    <t>FT- 578266751-50200085415108 - HDFC SECURITIES LTD-CLIENT DSCNB A/C -</t>
  </si>
  <si>
    <t>0000000827860274</t>
  </si>
  <si>
    <t>0000000578543754</t>
  </si>
  <si>
    <t>0000000578745389</t>
  </si>
  <si>
    <t>0000000579065242</t>
  </si>
  <si>
    <t>ACH C- TCS2NDINTDIV051124-1598352</t>
  </si>
  <si>
    <t>0000000600421574</t>
  </si>
  <si>
    <t>FT- 579354275-50200085415108 - HDFC SECURITIES LTD-CLIENT DSCNB A/C -</t>
  </si>
  <si>
    <t>0000000830482164</t>
  </si>
  <si>
    <t>0000000579527582</t>
  </si>
  <si>
    <t>FT- 579776540-50200085415108 - HDFC SECURITIES LTD-CLIENT DSCNB A/C -</t>
  </si>
  <si>
    <t>0000000831998678</t>
  </si>
  <si>
    <t>0000000579961359</t>
  </si>
  <si>
    <t>ACH C- LTIMIN INT 2024 25-322604</t>
  </si>
  <si>
    <t>0000000844948085</t>
  </si>
  <si>
    <t>HDFCLIFE CENTR-032202222</t>
  </si>
  <si>
    <t>0000411074688153</t>
  </si>
  <si>
    <t>0000000580146964</t>
  </si>
  <si>
    <t>0000000580392270</t>
  </si>
  <si>
    <t>0000000580592842</t>
  </si>
  <si>
    <t>0000000580950304</t>
  </si>
  <si>
    <t>0000000581140035</t>
  </si>
  <si>
    <t>0000000581393927</t>
  </si>
  <si>
    <t>0000000581614751</t>
  </si>
  <si>
    <t>BIRLASOFT L DIV24 2500000000000000060419</t>
  </si>
  <si>
    <t>0000243177796803</t>
  </si>
  <si>
    <t>DEPOSITORY CHARGES OCT24 - 52812428</t>
  </si>
  <si>
    <t>0000000581852872</t>
  </si>
  <si>
    <t>0000000582083297</t>
  </si>
  <si>
    <t>0000000582357029</t>
  </si>
  <si>
    <t>0000000582537339</t>
  </si>
  <si>
    <t>0000000582865760</t>
  </si>
  <si>
    <t>0000000583050872</t>
  </si>
  <si>
    <t>0000000583312085</t>
  </si>
  <si>
    <t>0000000583469198</t>
  </si>
  <si>
    <t>0000000583756209</t>
  </si>
  <si>
    <t>ACH C- CYIENTLIMITED-5007587</t>
  </si>
  <si>
    <t>0000001445460024</t>
  </si>
  <si>
    <t>0000000583957255</t>
  </si>
  <si>
    <t>0000000584233998</t>
  </si>
  <si>
    <t>FT- 584488934-50200085415108 - HDFC SECURITIES LTD-CLIENT DSCNB A/C -</t>
  </si>
  <si>
    <t>0000000849733291</t>
  </si>
  <si>
    <t>0000000584675473</t>
  </si>
  <si>
    <t>FT- 584925690-50200085415108 - HDFC SECURITIES LTD-CLIENT DSCNB A/C -</t>
  </si>
  <si>
    <t>0000000850835497</t>
  </si>
  <si>
    <t>FT- 584960243-50200085415108 - HDFC SECURITIES LTD-CLIENT DSCNB A/C -</t>
  </si>
  <si>
    <t>0000000850854744</t>
  </si>
  <si>
    <t>0000000585104544</t>
  </si>
  <si>
    <t>FT- 585339786-50200085415108 - HDFC SECURITIES LTD-CLIENT DSCNB A/C -</t>
  </si>
  <si>
    <t>0000000852432844</t>
  </si>
  <si>
    <t>0000000585489238</t>
  </si>
  <si>
    <t>FT- 585737582-50200085415108 - HDFC SECURITIES LTD-CLIENT DSCNB A/C -</t>
  </si>
  <si>
    <t>0000000853410644</t>
  </si>
  <si>
    <t>ACH D- TP ACH INDIANESIGN-1629171616</t>
  </si>
  <si>
    <t>0000001616955447</t>
  </si>
  <si>
    <t>0000000585887079</t>
  </si>
  <si>
    <t>0000000586106295</t>
  </si>
  <si>
    <t>0000000586353221</t>
  </si>
  <si>
    <t>0000000586499904</t>
  </si>
  <si>
    <t>ACH D- TP ACH INDIANESIGN-1631121546</t>
  </si>
  <si>
    <t>0000001721565459</t>
  </si>
  <si>
    <t>0000000586822651</t>
  </si>
  <si>
    <t>0000000586999564</t>
  </si>
  <si>
    <t>0000000587249903</t>
  </si>
  <si>
    <t>0000000587402456</t>
  </si>
  <si>
    <t>0000000587691953</t>
  </si>
  <si>
    <t>0000000587822286</t>
  </si>
  <si>
    <t>0000000588116295</t>
  </si>
  <si>
    <t>0000000588266242</t>
  </si>
  <si>
    <t>0000000588542350</t>
  </si>
  <si>
    <t>0000000588695584</t>
  </si>
  <si>
    <t>HDFCLIFE CENTR-033132415</t>
  </si>
  <si>
    <t>0000412076550776</t>
  </si>
  <si>
    <t>0000000589032070</t>
  </si>
  <si>
    <t>0000000589222029</t>
  </si>
  <si>
    <t>0000000589513447</t>
  </si>
  <si>
    <t>FT- 589793426-50200085415108 - HDFC SECURITIES LTD-CLIENT DSCNB A/C -</t>
  </si>
  <si>
    <t>0000000871295504</t>
  </si>
  <si>
    <t>0000000589928646</t>
  </si>
  <si>
    <t>ACH C- NATIONAL ALUMINIUM C-NAT0INT02025</t>
  </si>
  <si>
    <t>0000002200089956</t>
  </si>
  <si>
    <t>0000000590081747</t>
  </si>
  <si>
    <t>0000000590329265</t>
  </si>
  <si>
    <t>0000000590512990</t>
  </si>
  <si>
    <t>0000000590770614</t>
  </si>
  <si>
    <t>0000000590923962</t>
  </si>
  <si>
    <t>0000000591238500</t>
  </si>
  <si>
    <t>FT- 591515917-50200085415108 - HDFC SECURITIES LTD-CLIENT DSCNB A/C -</t>
  </si>
  <si>
    <t>0000000877356831</t>
  </si>
  <si>
    <t>0000000591668776</t>
  </si>
  <si>
    <t>DEPOSITORY CHARGES NOV24 - 52812428</t>
  </si>
  <si>
    <t>0000000591850759</t>
  </si>
  <si>
    <t>0000000592097105</t>
  </si>
  <si>
    <t>0000000592304166</t>
  </si>
  <si>
    <t>SEPSEP24 INSTAALERTCHG 10 SMS 041124-MIR2535321295994</t>
  </si>
  <si>
    <t>MIR2535321295994</t>
  </si>
  <si>
    <t>0000000592591443</t>
  </si>
  <si>
    <t>0000000592775104</t>
  </si>
  <si>
    <t>0000000593075947</t>
  </si>
  <si>
    <t>0000000593296871</t>
  </si>
  <si>
    <t>0000000593585605</t>
  </si>
  <si>
    <t>0000000593768377</t>
  </si>
  <si>
    <t>0000000594009471</t>
  </si>
  <si>
    <t>FT- 594263740-50200085415108 - HDFC SECURITIES LTD-CLIENT DSCNB A/C -</t>
  </si>
  <si>
    <t>0000000886181747</t>
  </si>
  <si>
    <t>0000000594428159</t>
  </si>
  <si>
    <t>0000000594644023</t>
  </si>
  <si>
    <t>0000000594892160</t>
  </si>
  <si>
    <t>0000000595070198</t>
  </si>
  <si>
    <t>ACH D- TP ACH INDIANESIGN-1661558316</t>
  </si>
  <si>
    <t>0000002785864094</t>
  </si>
  <si>
    <t>ACH D- TP ACH INDIANESIGN-1661593330</t>
  </si>
  <si>
    <t>0000002785872559</t>
  </si>
  <si>
    <t>0000000595331876</t>
  </si>
  <si>
    <t>FT- 595649150-50200085415108 - HDFC SECURITIES LTD-CLIENT DSCNB A/C -</t>
  </si>
  <si>
    <t>0000000891476649</t>
  </si>
  <si>
    <t>0000000595773129</t>
  </si>
  <si>
    <t>0000000595924904</t>
  </si>
  <si>
    <t>INTEREST PAID TILL 31-DEC-2024</t>
  </si>
  <si>
    <t>0000000596204481</t>
  </si>
  <si>
    <t>FT- 596462466-50200085415108 - HDFC SECURITIES LTD-CLIENT DSCNB A/C -</t>
  </si>
  <si>
    <t>0000000894535008</t>
  </si>
  <si>
    <t>01671000085930-TPT-TRANSFER FROM AJAY-AJAY KUMAR GUPTA</t>
  </si>
  <si>
    <t>0000000250012767</t>
  </si>
  <si>
    <t>0000000596613543</t>
  </si>
  <si>
    <t>0000000596713803</t>
  </si>
  <si>
    <t>0000000596754441</t>
  </si>
  <si>
    <t>0000000597046871</t>
  </si>
  <si>
    <t>0000000597249323</t>
  </si>
  <si>
    <t>0000000597654720</t>
  </si>
  <si>
    <t>0000000597913431</t>
  </si>
  <si>
    <t>0000000598190664</t>
  </si>
  <si>
    <t>HDFCLIFE CENTR-034193154</t>
  </si>
  <si>
    <t>0000501070463007</t>
  </si>
  <si>
    <t>FT- 598449969-50200085415108 - HDFC SECURITIES LTD-CLIENT DSCNB A/C -</t>
  </si>
  <si>
    <t>0000000903540703</t>
  </si>
  <si>
    <t>FT- INVESCO MF A/C - BS77 12062683 2104118234 48215142</t>
  </si>
  <si>
    <t>0000001903731837</t>
  </si>
  <si>
    <t>0000000598598109</t>
  </si>
  <si>
    <t>0000000598770232</t>
  </si>
  <si>
    <t>0000000599057238</t>
  </si>
  <si>
    <t>0000000599218815</t>
  </si>
  <si>
    <t>0000000599520832</t>
  </si>
  <si>
    <t>0000000599720861</t>
  </si>
  <si>
    <t>0000000600034971</t>
  </si>
  <si>
    <t>DEPOSITORY CHARGES DEC24 - 52812428</t>
  </si>
  <si>
    <t>0000000600279163</t>
  </si>
  <si>
    <t>0000000600548053</t>
  </si>
  <si>
    <t>FT- 600809313-50200085415108 - HDFC SECURITIES LTD-CLIENT DSCNB A/C -</t>
  </si>
  <si>
    <t>0000000912384168</t>
  </si>
  <si>
    <t>0000000601004579</t>
  </si>
  <si>
    <t>0000000601152425</t>
  </si>
  <si>
    <t>0000000601385575</t>
  </si>
  <si>
    <t>FT- 601636211-50200085415108 - HDFC SECURITIES LTD-CLIENT DSCNB A/C -</t>
  </si>
  <si>
    <t>0000000914503543</t>
  </si>
  <si>
    <t>0000000601776246</t>
  </si>
  <si>
    <t>0000000601933931</t>
  </si>
  <si>
    <t>0000000602208359</t>
  </si>
  <si>
    <t>FT- 602465212-50200085415108 - HDFC SECURITIES LTD-CLIENT DSCNB A/C -</t>
  </si>
  <si>
    <t>0000000917746997</t>
  </si>
  <si>
    <t>0000000602628019</t>
  </si>
  <si>
    <t>0000000602811184</t>
  </si>
  <si>
    <t>0000000603054880</t>
  </si>
  <si>
    <t>0000000603213065</t>
  </si>
  <si>
    <t>0000000603464604</t>
  </si>
  <si>
    <t>0000000603613527</t>
  </si>
  <si>
    <t>FT- 603756311-50200085415108 - HDFC SECURITIES LTD-CLIENT DSCNB A/C -</t>
  </si>
  <si>
    <t>0000000921314360</t>
  </si>
  <si>
    <t>0000000603898698</t>
  </si>
  <si>
    <t>0000000604072396</t>
  </si>
  <si>
    <t>0000000604400249</t>
  </si>
  <si>
    <t>0000000604623800</t>
  </si>
  <si>
    <t>ACH D- TP ACH INDIANESIGN-1693364810</t>
  </si>
  <si>
    <t>0000003827470208</t>
  </si>
  <si>
    <t>0000000604891302</t>
  </si>
  <si>
    <t>CASH DEPOSIT BY - SELF - VISHWAKARMA CIRCLE</t>
  </si>
  <si>
    <t>0000000605067269</t>
  </si>
  <si>
    <t>OCTDEC24 INSTAALERTCHG 25 SMS 140125-MIR2502829544955</t>
  </si>
  <si>
    <t>MIR2502829544955</t>
  </si>
  <si>
    <t>0000000605315978</t>
  </si>
  <si>
    <t>FT- 605540707-50200085415108 - HDFC SECURITIES LTD-CLIENT DSCNB A/C -</t>
  </si>
  <si>
    <t>0000000927216575</t>
  </si>
  <si>
    <t>ACH D- TP ACH INDIANESIGN-1694733250</t>
  </si>
  <si>
    <t>0000003883151351</t>
  </si>
  <si>
    <t>0000000605676290</t>
  </si>
  <si>
    <t>FT- 606006597-50200085415108 - HDFC SECURITIES LTD-CLIENT DSCNB A/C -</t>
  </si>
  <si>
    <t>0000000928586275</t>
  </si>
  <si>
    <t>0000000606131791</t>
  </si>
  <si>
    <t>0000000606489354</t>
  </si>
  <si>
    <t>ACH C- TCS3INTSPLDIV030225-1569454</t>
  </si>
  <si>
    <t>0000003981450230</t>
  </si>
  <si>
    <t>0000000606986975</t>
  </si>
  <si>
    <t>0000000607214770</t>
  </si>
  <si>
    <t>0000000607403325</t>
  </si>
  <si>
    <t>FT- 607529660-50200085415108 - HDFC SECURITIES LTD-CLIENT DSCNB A/C -</t>
  </si>
  <si>
    <t>0000000935560186</t>
  </si>
  <si>
    <t>0000000607679481</t>
  </si>
  <si>
    <t>0000000607791697</t>
  </si>
  <si>
    <t>0000000607815856</t>
  </si>
  <si>
    <t>0000000608071725</t>
  </si>
  <si>
    <t>0000000608216474</t>
  </si>
  <si>
    <t>FT- 608346542-50200085415108 - HDFC SECURITIES LTD-CLIENT DSCNB A/C -</t>
  </si>
  <si>
    <t>0000000939166847</t>
  </si>
  <si>
    <t>HDFCLIFE CENTR-035528458</t>
  </si>
  <si>
    <t>0000502072769341</t>
  </si>
  <si>
    <t>0000000608478275</t>
  </si>
  <si>
    <t>DEBIT CARD ANNUAL FEE-JAN-2025 170125-MIR2503845725051</t>
  </si>
  <si>
    <t>MIR2503845725051</t>
  </si>
  <si>
    <t>0000000608647405</t>
  </si>
  <si>
    <t>0000000609013567</t>
  </si>
  <si>
    <t>0000000609201037</t>
  </si>
  <si>
    <t>0000000609462571</t>
  </si>
  <si>
    <t>0000000609644955</t>
  </si>
  <si>
    <t>UPI-ARCHIT  GUPTA-8668331033@YBL-SBIN0011669-302843713734-PAYMENT FROM PHONE</t>
  </si>
  <si>
    <t>0000302843713734</t>
  </si>
  <si>
    <t>0000000609923613</t>
  </si>
  <si>
    <t>0000000610019308</t>
  </si>
  <si>
    <t>0000000610089076</t>
  </si>
  <si>
    <t>0000000610344030</t>
  </si>
  <si>
    <t>0000000610504274</t>
  </si>
  <si>
    <t>50100542230922-TPT-FROM AAYUSH TO ARCHIT-ARCHIT GUPTA</t>
  </si>
  <si>
    <t>0000000308528539</t>
  </si>
  <si>
    <t>0000000610744224</t>
  </si>
  <si>
    <t>DEPOSITORY CHARGES JAN25 - 52812428</t>
  </si>
  <si>
    <t>0000000610950316</t>
  </si>
  <si>
    <t>ACH C- SONABLWPRECISION-0000000000000334</t>
  </si>
  <si>
    <t>0000007060150046</t>
  </si>
  <si>
    <t>50100542230922-TPT-FROM AAYUSH-ARCHIT GUPTA</t>
  </si>
  <si>
    <t>0000000318256556</t>
  </si>
  <si>
    <t>0000000611274538</t>
  </si>
  <si>
    <t>0000000611473896</t>
  </si>
  <si>
    <t>0000000611745000</t>
  </si>
  <si>
    <t>ACH C- KPIT TECHNOLOGIES-4334072</t>
  </si>
  <si>
    <t>0000004675281096</t>
  </si>
  <si>
    <t>0000000611971449</t>
  </si>
  <si>
    <t>0000000612173267</t>
  </si>
  <si>
    <t>FT- 612372820-50200085415108 - HDFC SECURITIES LTD-CLIENT DSCNB A/C -</t>
  </si>
  <si>
    <t>0000000955008389</t>
  </si>
  <si>
    <t>FT- 612409446-50200085415108 - HDFC SECURITIES LTD-CLIENT DSCNB A/C -</t>
  </si>
  <si>
    <t>0000000954998503</t>
  </si>
  <si>
    <t>0000000612558181</t>
  </si>
  <si>
    <t>FT- 612772945-50200085415108 - HDFC SECURITIES LTD-CLIENT DSCNB A/C -</t>
  </si>
  <si>
    <t>0000000956298947</t>
  </si>
  <si>
    <t>0000000612919411</t>
  </si>
  <si>
    <t>0000000613090683</t>
  </si>
  <si>
    <t>0000000613332999</t>
  </si>
  <si>
    <t>UPI-THE GLAMOUR HOUSE-7020998295-2@IBL-HDFC0004690-330636964164-PAYMENT FROM PHONE</t>
  </si>
  <si>
    <t>0000330636964164</t>
  </si>
  <si>
    <t>0000000613516219</t>
  </si>
  <si>
    <t>0000000613774261</t>
  </si>
  <si>
    <t>ACH C- HEROMOTOCORPLTD-00000000000007576</t>
  </si>
  <si>
    <t>0000007151047056</t>
  </si>
  <si>
    <t>0000000613952825</t>
  </si>
  <si>
    <t>0000000614181091</t>
  </si>
  <si>
    <t>0000000614366197</t>
  </si>
  <si>
    <t>ACH D- TP ACH INDIANESIGN-1726468160</t>
  </si>
  <si>
    <t>0000005149164474</t>
  </si>
  <si>
    <t>ACH D- TP ACH INDIANESIGN-1726468161</t>
  </si>
  <si>
    <t>0000005149180533</t>
  </si>
  <si>
    <t>0000000614624174</t>
  </si>
  <si>
    <t>ACH C- APOLLO HOS IDIV2025-AHLIN30154952</t>
  </si>
  <si>
    <t>0000005178662647</t>
  </si>
  <si>
    <t>0000000614860582</t>
  </si>
  <si>
    <t>01671000085930-TPT-BORROW FROM AAYUSH-AJAY KUMAR GUPTA</t>
  </si>
  <si>
    <t>0000000494371619</t>
  </si>
  <si>
    <t>0000000615039310</t>
  </si>
  <si>
    <t>0000000615235977</t>
  </si>
  <si>
    <t>0000000615433189</t>
  </si>
  <si>
    <t>0000000615701307</t>
  </si>
  <si>
    <t>FT- 615941488-50200085415108 - HDFC SECURITIES LTD-CLIENT DSCNB A/C -</t>
  </si>
  <si>
    <t>0000000971312556</t>
  </si>
  <si>
    <t>0000000616110707</t>
  </si>
  <si>
    <t>01671000085930-TPT-BORROW BY AAYUSH-AJAY KUMAR GUPTA</t>
  </si>
  <si>
    <t>0000000119739921</t>
  </si>
  <si>
    <t>FT- 616335784-50200085415108 - HDFC SECURITIES LTD-CLIENT DSCNB A/C -</t>
  </si>
  <si>
    <t>0000000973388039</t>
  </si>
  <si>
    <t>0000000616495745</t>
  </si>
  <si>
    <t>50200000003402   23560474_HLIC_INST</t>
  </si>
  <si>
    <t>FT- 616721585-50200085415108 - HDFC SECURITIES LTD-CLIENT DSCNB A/C -</t>
  </si>
  <si>
    <t>0000000975515517</t>
  </si>
  <si>
    <t>0000000616897120</t>
  </si>
  <si>
    <t>0000005628001626</t>
  </si>
  <si>
    <t>HDFCLIFE CENTR-036714639</t>
  </si>
  <si>
    <t>0000503073018638</t>
  </si>
  <si>
    <t>0000000617028319</t>
  </si>
  <si>
    <t>01671000085930-TPT-MNY RTN TO AKG-AJAY KUMAR GUPTA</t>
  </si>
  <si>
    <t>0000000239863883</t>
  </si>
  <si>
    <t>0000000617437037</t>
  </si>
  <si>
    <t>0000000617587799</t>
  </si>
  <si>
    <t>0000000617820457</t>
  </si>
  <si>
    <t>0000000617989287</t>
  </si>
  <si>
    <t>0000000618228577</t>
  </si>
  <si>
    <t>0000000618385690</t>
  </si>
  <si>
    <t>0000000618606726</t>
  </si>
  <si>
    <t>0000000618828271</t>
  </si>
  <si>
    <t>DEPOSITORY CHARGES FEB25 - 52812428</t>
  </si>
  <si>
    <t>0000000619119713</t>
  </si>
  <si>
    <t>0000000619288707</t>
  </si>
  <si>
    <t>FT- 619402405-50200085415108 - HDFC SECURITIES LTD-CLIENT DSCNB A/C -</t>
  </si>
  <si>
    <t>0000000989842988</t>
  </si>
  <si>
    <t>0000000619538427</t>
  </si>
  <si>
    <t>0000000619644430</t>
  </si>
  <si>
    <t>0000000619888890</t>
  </si>
  <si>
    <t>0000000620012510</t>
  </si>
  <si>
    <t>0000000200182356</t>
  </si>
  <si>
    <t>0000000620255437</t>
  </si>
  <si>
    <t>FT- 620507614-50200085415108 - HDFC SECURITIES LTD-CLIENT DSCNB A/C -</t>
  </si>
  <si>
    <t>0000000994018379</t>
  </si>
  <si>
    <t>01671000085930-TPT-MNY RETURN BY AAYUSH TO AJAY-AJAY KUMAR GUPTA</t>
  </si>
  <si>
    <t>0000000707177950</t>
  </si>
  <si>
    <t>0000000620681426</t>
  </si>
  <si>
    <t>0000000620784160</t>
  </si>
  <si>
    <t>0000000621066969</t>
  </si>
  <si>
    <t>0000000621232873</t>
  </si>
  <si>
    <t>0000000621505689</t>
  </si>
  <si>
    <t>0000000621696159</t>
  </si>
  <si>
    <t>FT- 621806817-50200085415108 - HDFC SECURITIES LTD-CLIENT DSCNB A/C -</t>
  </si>
  <si>
    <t>0000000999476040</t>
  </si>
  <si>
    <t>0000000621929977</t>
  </si>
  <si>
    <t>0000000622095291</t>
  </si>
  <si>
    <t>0000000622362647</t>
  </si>
  <si>
    <t>ACH D- TP ACH INDIANESIGN-1757433693</t>
  </si>
  <si>
    <t>0000006509598031</t>
  </si>
  <si>
    <t>FT- 622597938-50200085415108 - HDFC SECURITIES LTD-CLIENT DSCNB A/C -</t>
  </si>
  <si>
    <t>0000001002960185</t>
  </si>
  <si>
    <t>0000000622764886</t>
  </si>
  <si>
    <t>ISAQMC-JUL-SEP24-417944 070325-MIR2508871584497</t>
  </si>
  <si>
    <t>MIR2508871584497</t>
  </si>
  <si>
    <t xml:space="preserve">   BY TRANSFER-NEFT*YESB0000001*YESEB41852119137*ZERODHA BROKING--</t>
  </si>
  <si>
    <t>TRANSFER FROM 4697208044301</t>
  </si>
  <si>
    <t xml:space="preserve">   TO TRANSFER-INB Deposit / Investment---</t>
  </si>
  <si>
    <t xml:space="preserve">IF41863228               TRANSFER TO 39706255133  </t>
  </si>
  <si>
    <t xml:space="preserve">   TO TRANSFER-UPI/DR/419523703783/Air Indi/YESB/paytm-flig/Oid23--</t>
  </si>
  <si>
    <t>TRANSFER TO 4897695162091</t>
  </si>
  <si>
    <t xml:space="preserve">   TO TRANSFER-UPI/DR/419519992874/Lila Gay/YESB/paytmqr281/UPI--</t>
  </si>
  <si>
    <t xml:space="preserve">   BY TRANSFER-UPI/CR/419699887552/AAYUSH K/KKBK/9594435259/Paid--</t>
  </si>
  <si>
    <t>TRANSFER FROM 4897738162095</t>
  </si>
  <si>
    <t xml:space="preserve">   BY TRANSFER-UPI/CR/419685377480/AAYUSH K/KKBK/9594435259/Paid--</t>
  </si>
  <si>
    <t xml:space="preserve">   BY TRANSFER-UPI/CR/456306761444/MANDEM B/UBIN/984546939@/Payme--</t>
  </si>
  <si>
    <t>TRANSFER FROM 4897732162091</t>
  </si>
  <si>
    <t xml:space="preserve">   BULK POSTING-ACHCr ICIC02860000005377 CAMSL FINALDIV--</t>
  </si>
  <si>
    <t xml:space="preserve">   BULK POSTING-ACHCr IBKL00249000010274 ITC LIMITED--</t>
  </si>
  <si>
    <t xml:space="preserve">   TO TRANSFER-UPI/DR/421831301082/Flipkart/YESB/paytm-5650/OD331--</t>
  </si>
  <si>
    <t xml:space="preserve">   BULK POSTING-ACHCr HDFC00781000009637 NESTLE INDIA L--</t>
  </si>
  <si>
    <t xml:space="preserve">   BULK POSTING-ACHCr NACH00000000020087 CDSL FNLDIV 20--</t>
  </si>
  <si>
    <t xml:space="preserve">   BULK POSTING-ACHCr ICIC02860000005377 CAMS Int Div 2--</t>
  </si>
  <si>
    <t xml:space="preserve">   TO TRANSFER-UPI/DR/423899021601/Flipkart/YESB/paytm-5650/OD332--</t>
  </si>
  <si>
    <t xml:space="preserve">   BY TRANSFER-UPI/CR/460688790062/SUBRAT  /KKBK/7809763739/Payme--</t>
  </si>
  <si>
    <t xml:space="preserve">   BULK POSTING-C24914540661     43004001104RELIANCE INDUSTRIES LI--</t>
  </si>
  <si>
    <t xml:space="preserve">   BULK POSTING-ACHCr HDFC01346000011215 CHAMBAL FERTIL--</t>
  </si>
  <si>
    <t xml:space="preserve">   BY TRANSFER-UPI/CR/424929034375/Flipkart/YESB/paytm-5650/expre--</t>
  </si>
  <si>
    <t xml:space="preserve">   BY TRANSFER-UPI/CR/461895870034/SARGARAJ/KKBK/8590554623/Payme--</t>
  </si>
  <si>
    <t xml:space="preserve">   TO TRANSFER-UPI/DR/426272794756/Magicpin/YESB/paytm-7078/NA--</t>
  </si>
  <si>
    <t xml:space="preserve">   TO TRANSFER-UPI/DR/426464384963/95944352/KKBK/9594435259/Paid--</t>
  </si>
  <si>
    <t xml:space="preserve">   TO TRANSFER-UPI/DR/426646898572/ICCL ZER/HDFC/zerodhamf@/MO6Lr--</t>
  </si>
  <si>
    <t xml:space="preserve">   TO TRANSFER-UPI/DR/427150564794/Flipkart/YESB/paytm-5650/OD332--</t>
  </si>
  <si>
    <t xml:space="preserve">   BY TRANSFER-UPI/CR/427119846895/Flipkart/YESB/paytm-5650/expre--</t>
  </si>
  <si>
    <t>TRANSFER FROM 4897737162096</t>
  </si>
  <si>
    <t xml:space="preserve">   BY TRANSFER-UPI/CR/464034324525/SARGARAJ/KKBK/8590554623/Payme--</t>
  </si>
  <si>
    <t xml:space="preserve">   BY TRANSFER-UPI/CR/464127986188/SARGARAJ/KKBK/8590554623/Payme--</t>
  </si>
  <si>
    <t xml:space="preserve">   TO TRANSFER-UPI/DR/427718384277/Indian C/YESB/icclzerodh/Merch--</t>
  </si>
  <si>
    <t>TRANSFER TO 4897694162092</t>
  </si>
  <si>
    <t xml:space="preserve">   TO TRANSFER-UPI/DR/427704876685/Indian C/YESB/icclzerodh/Merch--</t>
  </si>
  <si>
    <t xml:space="preserve">   TO TRANSFER-UPI/DR/427736335018/Indian C/YESB/icclzerodh/Merch--</t>
  </si>
  <si>
    <t xml:space="preserve">   TO TRANSFER-UPI/DR/427755036793/Indian C/YESB/icclzerodh/Merch--</t>
  </si>
  <si>
    <t xml:space="preserve">   BY TRANSFER-UPI/CR/427826295007/AAYUSH K/KKBK/9594435259/Paid--</t>
  </si>
  <si>
    <t xml:space="preserve">   BY TRANSFER-NEFT*YESB0000001*YESF342791374688*ZERODHA BROKING--</t>
  </si>
  <si>
    <t>TRANSFER FROM 4698161044304</t>
  </si>
  <si>
    <t xml:space="preserve">   TO TRANSFER-UPI/DR/428119389665/Indian C/YESB/icclzerodh/Merch--</t>
  </si>
  <si>
    <t xml:space="preserve">   BY TRANSFER-UPI/CR/429322739022/AKHILESH/BKID/9850713655/NA--</t>
  </si>
  <si>
    <t xml:space="preserve">   BULK POSTING-ACHCr HDFC01281000011076 KFILFNL2023202--</t>
  </si>
  <si>
    <t xml:space="preserve">   BY TRANSFER-UPI/CR/301256860443/SARGARAJ/KKBK/8590554623/Payme--</t>
  </si>
  <si>
    <t xml:space="preserve">   BY TRANSFER-UPI/CR/471025988613/MR AKHIL/BDBL/9850713655/Paan--</t>
  </si>
  <si>
    <t xml:space="preserve">   BY TRANSFER-NEFT*INDB0000006*INDBN10121746567*Upwork Escrow In--</t>
  </si>
  <si>
    <t>TRANSFER FROM 4697182044307</t>
  </si>
  <si>
    <t xml:space="preserve">   TO TRANSFER-UPI/DR/502586505096/AAYUSH K/KKBK/aayush20gu/UPI--</t>
  </si>
  <si>
    <t xml:space="preserve">   TO TRANSFER-UPI/DR/504622528478/Ola Money/AIRP/olamoney85/OlaM--</t>
  </si>
  <si>
    <t xml:space="preserve">   TO TRANSFER-UPI/DR/541214384962/ZipcashC/ICIC/olamoney1./UPI--</t>
  </si>
  <si>
    <t xml:space="preserve">   TO TRANSFER-UPI/DR/505411355992/ABDUL   /KKBK/wajidabdul/Paid--</t>
  </si>
  <si>
    <t xml:space="preserve">   TO TRANSFER-UPI/DR/505633062031/Centro B/JIOP/2433862754/Paid--</t>
  </si>
  <si>
    <t xml:space="preserve">   TO TRANSFER-UPI/DR/505741741934/BALAJI   P/KKBK/8310492587/Pai--</t>
  </si>
  <si>
    <t xml:space="preserve">   TO TRANSFER-UPI/DR/505741790992/Indian R/SBIN/railsbiupi/Paid--</t>
  </si>
  <si>
    <t xml:space="preserve">   TO TRANSFER-UPI/DR/505742100245/PRABHAKA/YESB/q696652558/Paid--</t>
  </si>
  <si>
    <t xml:space="preserve">   TO TRANSFER-UPI/DR/505743429140/GURUPRAS/HDFC/9019299663/Paid--</t>
  </si>
  <si>
    <t xml:space="preserve">   TO TRANSFER-UPI/DR/505744264201/95944352/KKBK/9594435259/Paid--</t>
  </si>
  <si>
    <t xml:space="preserve">   BY TRANSFER-UPI/CR/100659299986/Miss MEG/CBIN/meghaghati/UPI--</t>
  </si>
  <si>
    <t xml:space="preserve">   TO TRANSFER-UPI/DR/505965484086/Centro B/JIOP/2433862747/Paid--</t>
  </si>
  <si>
    <t xml:space="preserve">   TO TRANSFER-UPI/DR/505965636812/Centro B/JIOP/2433862747/Paid--</t>
  </si>
  <si>
    <t xml:space="preserve">   TO TRANSFER-UPI/DR/506067172276/Nandini/YESB/paytm.s1au/Paid v--</t>
  </si>
  <si>
    <t xml:space="preserve">   TO TRANSFER-UPI/DR/542611346817/CRED/UTIB/cred.rent@/payment--</t>
  </si>
  <si>
    <t xml:space="preserve">   TO TRANSFER-UPI/DR/542613134435/CRED/UTIB/cred.club@/payment--</t>
  </si>
  <si>
    <t xml:space="preserve">   TO TRANSFER-UPI/DR/542714000294/CRED/UTIB/cred.club@/payment--</t>
  </si>
  <si>
    <t xml:space="preserve">   TO TRANSFER-UPI/DR/542714024668/Nandini/YESB/paytm.s1au/Paid v--</t>
  </si>
  <si>
    <t xml:space="preserve">   TO TRANSFER-UPI/DR/506180899388/SWAPNA B/SBIN/dh589246@o/Paid--</t>
  </si>
  <si>
    <t xml:space="preserve">   TO TRANSFER-UPI/DR/506184220005/HANAMANT/BKID/hanuman297/Paid--</t>
  </si>
  <si>
    <t xml:space="preserve">   TO TRANSFER-UPI/DR/506185847363/SHIVANNA D/CNRB/9108591013/Pai--</t>
  </si>
  <si>
    <t xml:space="preserve">   BY TRANSFER-INB IMPS/506205164161/ybp-XX201-DREAMPLU/Paid via--</t>
  </si>
  <si>
    <t xml:space="preserve">MALO00194558555          MALO00194558555          </t>
  </si>
  <si>
    <t xml:space="preserve">   TO TRANSFER-UPI/DR/542836068315/CRED Club/UTIB/cred.club@/paym--</t>
  </si>
  <si>
    <t xml:space="preserve">   BY TRANSFER-UPI/CR/100895889902/Miss MEG/CBIN/meghaghati/done--</t>
  </si>
  <si>
    <t xml:space="preserve">   TO TRANSFER-INB HDFC LIFE INSURANCE COMPA--</t>
  </si>
  <si>
    <t>Q2M8f1D8BTRcrqIGASNLRKJ7               TRANSFER TO</t>
  </si>
  <si>
    <t xml:space="preserve">   TO TRANSFER-UPI/DR/542915527043/CRED Club/UTIB/cred.club@/paym--</t>
  </si>
  <si>
    <t xml:space="preserve">   TO TRANSFER-UPI/DR/506336153708/Miss RIS/CBIN/rishikagup/Megha--</t>
  </si>
  <si>
    <t xml:space="preserve">   TO TRANSFER-UPI/DR/542909542075/MAHADEVA/SBIN/mahadevasy/Paid--</t>
  </si>
  <si>
    <t xml:space="preserve">   TO TRANSFER-UPI/DR/506491911748/CRED Club/UTIB/cred.club@/paym--</t>
  </si>
  <si>
    <t xml:space="preserve">   TO TRANSFER-UPI/DR/543019533304/Nandini/YESB/paytm.s1au/Paid v--</t>
  </si>
  <si>
    <t xml:space="preserve">   TO TRANSFER-UPI/DR/506557617010/CRED Club/UTIB/cred.club@/paym--</t>
  </si>
  <si>
    <t xml:space="preserve">   TO TRANSFER-UPI/DR/506618533164/CRED Club/UTIB/cred.club@/paym--</t>
  </si>
  <si>
    <t xml:space="preserve">   BY TRANSFER-UPI/CR/543428365827/MEGHA GU/HDFC/8005604328/Paid--</t>
  </si>
  <si>
    <t xml:space="preserve">   BY TRANSFER-UPI/CR/543428367159/MEGHA GU/HDFC/8005604328/Paid--</t>
  </si>
  <si>
    <t xml:space="preserve">   TO TRANSFER-UPI/DR/507101840936/Mrs. G  /SBIN/mrs.gpavit/Paid--</t>
  </si>
  <si>
    <t xml:space="preserve">   TO TRANSFER-UPI/DR/507105099205/Green Ch/YESB/paytmqr281/Paid--</t>
  </si>
  <si>
    <t xml:space="preserve">   TO TRANSFER-UPI/DR/507214774987/M JAGADI/ESFB/m.jagdishk/Paid--</t>
  </si>
  <si>
    <t xml:space="preserve">   TO TRANSFER-UPI/DR/507214983370/Bykemani/YESB/paytm-1375/Paid--</t>
  </si>
  <si>
    <t xml:space="preserve">   TO TRANSFER-UPI/DR/507328227318/M MOHIT /HDFC/mohitvaid2/Paid--</t>
  </si>
  <si>
    <t xml:space="preserve">   TO TRANSFER-UPI/DR/507429370171/CBDT/HDFC/cbdt.payu@/UPIIntent--</t>
  </si>
  <si>
    <t xml:space="preserve">   TO TRANSFER-UPI/DR/507434895785/Nandini/YESB/paytm.s1c3/Paid v--</t>
  </si>
  <si>
    <t xml:space="preserve">   TO TRANSFER-UPI/DR/507657176053/Centro B/JIOP/2433862747/Paid--</t>
  </si>
  <si>
    <t xml:space="preserve">   TO TRANSFER-UPI/DR/507657426058/AJAZ PASHA/IOBA/ajaz.pasha/Pai--</t>
  </si>
  <si>
    <t xml:space="preserve">   TO TRANSFER-UPI/DR/507771707109/AYISHA/CNRB/9886718617/Paid vi--</t>
  </si>
  <si>
    <t xml:space="preserve">   TO TRANSFER-UPI/DR/544609270369/PVR INOX/YESB/amznplpvrv/Paid--</t>
  </si>
  <si>
    <t xml:space="preserve">   TO TRANSFER-UPI/DR/544710585685/SRIDHARA/KKBK/shreedhara/Paid--</t>
  </si>
  <si>
    <t xml:space="preserve">   TO TRANSFER-UPI/DR/544713312848/Centro B/JIOP/2433862747/Paid--</t>
  </si>
  <si>
    <t xml:space="preserve">   TO TRANSFER-UPI/DR/544824970911/S DAVIDR/UCBA/davidraja6/Paid--</t>
  </si>
  <si>
    <t>UPI/ANANDA  M/418469528084/Paid via CRED</t>
  </si>
  <si>
    <t>UPI-418483892255</t>
  </si>
  <si>
    <t>UPI/RAHUL AGARWAL/418612180032/Paid via CRED</t>
  </si>
  <si>
    <t>UPI-418685779363</t>
  </si>
  <si>
    <t>UPI/DIGVIJAY/418680689217/Pay to BharatPe</t>
  </si>
  <si>
    <t>UPI-418690674690</t>
  </si>
  <si>
    <t>UPI/CredClub/418706211660/cred</t>
  </si>
  <si>
    <t>UPI-418704384375</t>
  </si>
  <si>
    <t>UPI/ARCHITA GUPTA/418880948965/Paid via CRED</t>
  </si>
  <si>
    <t>UPI-418856759006</t>
  </si>
  <si>
    <t>ATL/4395/504433/+OUTER RING ROADBENGAL070724/17:54</t>
  </si>
  <si>
    <t>ATL/4395/504433/+OUTER RING ROADBENGAL070724/17:56</t>
  </si>
  <si>
    <t>NACHDR10072400095205</t>
  </si>
  <si>
    <t>PG FOR QUANT SMALL CAP INDIAN CLEARING CORP</t>
  </si>
  <si>
    <t>KPG-0212793068</t>
  </si>
  <si>
    <t>UPI/GoKhana/419308275349/UPIIntent</t>
  </si>
  <si>
    <t>UPI-419383962965</t>
  </si>
  <si>
    <t>UPI/GoKhana/419365701710/UPIIntent</t>
  </si>
  <si>
    <t>UPI-419385334696</t>
  </si>
  <si>
    <t>UPI/Zerodha Broking/419473803414/453164444066213</t>
  </si>
  <si>
    <t>UPI-419416901604</t>
  </si>
  <si>
    <t>UPI/MUHAMED FAIS/419459176295/Paid via CRED</t>
  </si>
  <si>
    <t>UPI-419440227153</t>
  </si>
  <si>
    <t>UPI/RAJASTHAN SWEET/419545113990/Pay to BharatPe</t>
  </si>
  <si>
    <t>UPI-419575903317</t>
  </si>
  <si>
    <t>UPI/NITHIN KUMARSBA/419552700761/Paid via CRED</t>
  </si>
  <si>
    <t>UPI-419588206860</t>
  </si>
  <si>
    <t>UPI/ARCHIT GUPTA/419616944803/Paid via CRED a</t>
  </si>
  <si>
    <t>UPI-419610774259</t>
  </si>
  <si>
    <t>UPI/ARCHIT GUPTA/419623151834/Paid via CRED a</t>
  </si>
  <si>
    <t>UPI-419610870981</t>
  </si>
  <si>
    <t>UPI/AAYUSH KUMAR GU/419699887552/Paid via CRED</t>
  </si>
  <si>
    <t>UPI-419610958371</t>
  </si>
  <si>
    <t>UPI/AAYUSH KUMAR GU/419685377480/Paid via CRED</t>
  </si>
  <si>
    <t>UPI-419611045862</t>
  </si>
  <si>
    <t>UPI/RAJASTHAN SWEET/419622684681/Pay to BharatPe</t>
  </si>
  <si>
    <t>UPI-419619686532</t>
  </si>
  <si>
    <t>UPI/ARCHIT GUPTA/419606654171/UPI</t>
  </si>
  <si>
    <t>UPI-419628549557</t>
  </si>
  <si>
    <t>UPI/Miss. MEGHA  GU/419722361453/UPI</t>
  </si>
  <si>
    <t>UPI-419782822265</t>
  </si>
  <si>
    <t>UPI/ANANDA  M/419858273714/Paid via CRED</t>
  </si>
  <si>
    <t>UPI-419811593964</t>
  </si>
  <si>
    <t>UPI/RazorpayZomato/419968878148/PayviaRazorpay</t>
  </si>
  <si>
    <t>UPI-419936735056</t>
  </si>
  <si>
    <t>UPI/Tobox Ventures /420035671914/UPIIntent</t>
  </si>
  <si>
    <t>UPI-420079678037</t>
  </si>
  <si>
    <t>UPI/Tobox Ventures /420084338496/UPIIntent</t>
  </si>
  <si>
    <t>UPI-420081090568</t>
  </si>
  <si>
    <t>UPI/JIBAN CHANDRA M/420188921518/Paid via CRED</t>
  </si>
  <si>
    <t>UPI-420133326837</t>
  </si>
  <si>
    <t>UPI/ARIF/420226179989/Pay to BharatPe</t>
  </si>
  <si>
    <t>UPI-420263914243</t>
  </si>
  <si>
    <t>UPI/SIKANDAR HADALA/420250977146/Paid via CRED</t>
  </si>
  <si>
    <t>UPI-420273500775</t>
  </si>
  <si>
    <t>UPI/ANUJ AJAY MAHAJ/420234198664/Paid via CRED a</t>
  </si>
  <si>
    <t>UPI-420276227240</t>
  </si>
  <si>
    <t>UPI/TIBIL COMPUTER /420392018281/Paid via CRED</t>
  </si>
  <si>
    <t>UPI-420393276048</t>
  </si>
  <si>
    <t>UPI/DIGVIJAY/420328365428/Pay to BharatPe</t>
  </si>
  <si>
    <t>UPI-420398728890</t>
  </si>
  <si>
    <t>UPI/RAJASTHAN SWEET/420394932096/Pay to BharatPe</t>
  </si>
  <si>
    <t>UPI-420398842907</t>
  </si>
  <si>
    <t>UPI/Tobox Ventures /420426585555/UPIIntent</t>
  </si>
  <si>
    <t>UPI-420444487019</t>
  </si>
  <si>
    <t>UPI/Tobox Ventures /420535184628/UPIIntent</t>
  </si>
  <si>
    <t>UPI-420585958753</t>
  </si>
  <si>
    <t>UPI/Miss MEGHA  GUP/420523245923/UPI</t>
  </si>
  <si>
    <t>UPI-420591277982</t>
  </si>
  <si>
    <t>KPG-0213488251</t>
  </si>
  <si>
    <t>PCD/4395/BLR DOMESTIC/BANGALORE230724/18:39</t>
  </si>
  <si>
    <t>UPI/ANIL  KUMAR/420506960645/Paid via CRED</t>
  </si>
  <si>
    <t>UPI-420511867490</t>
  </si>
  <si>
    <t>UPI/VIJENDRA  KUMAR/420887747647/UPI</t>
  </si>
  <si>
    <t>UPI-420835372523</t>
  </si>
  <si>
    <t>UPI/Santosh Kumar M/420948381440/Paid via CRED</t>
  </si>
  <si>
    <t>UPI-420937597184</t>
  </si>
  <si>
    <t>UPI/TSRTC iTIMs/420991915647/Paid via CRED</t>
  </si>
  <si>
    <t>UPI-420966192180</t>
  </si>
  <si>
    <t>UPI/IRCTC CF/421045606102/IRCTC TICKET BO</t>
  </si>
  <si>
    <t>UPI-421088682606</t>
  </si>
  <si>
    <t>UPI/MEGHA GUPTA/421085344738/Paid via CRED</t>
  </si>
  <si>
    <t>UPI-421016697766</t>
  </si>
  <si>
    <t>UPI/MEGHA GUPTA/421061705162/Paid via CRED</t>
  </si>
  <si>
    <t>UPI-421016712492</t>
  </si>
  <si>
    <t>UPI/MEGHA GUPTA/421018343996/Paid via CRED a</t>
  </si>
  <si>
    <t>UPI-421016737166</t>
  </si>
  <si>
    <t>UPI/MEGHA GUPTA/421074483824/Paid via CRED</t>
  </si>
  <si>
    <t>UPI-421016749449</t>
  </si>
  <si>
    <t>UPI/ANANDA  M/421196640673/Paid via CRED</t>
  </si>
  <si>
    <t>UPI-421132216651</t>
  </si>
  <si>
    <t>FCM-240731BWHVWA</t>
  </si>
  <si>
    <t>UPI/Hariram/421381432066/Paid via CRED</t>
  </si>
  <si>
    <t>UPI-421334823501</t>
  </si>
  <si>
    <t>UPI/Tobox Ventures /421400240968/UPIIntent</t>
  </si>
  <si>
    <t>UPI-421456873152</t>
  </si>
  <si>
    <t>UPI/MUHAMED FAIS/421574698538/Paid via CRED</t>
  </si>
  <si>
    <t>UPI-421515964899</t>
  </si>
  <si>
    <t>UPI/ZAM ZAM FRUITS /421629868959/1756513A</t>
  </si>
  <si>
    <t>UPI-421647114680</t>
  </si>
  <si>
    <t>UPI/Axis/421680177463/payment on CRED</t>
  </si>
  <si>
    <t>UPI-421647170174</t>
  </si>
  <si>
    <t>UPI/ANANDA  M/421683625144/Paid via CRED</t>
  </si>
  <si>
    <t>UPI-421647798443</t>
  </si>
  <si>
    <t>UPI/JASTI  PRIYANKA/421728073276/UPI</t>
  </si>
  <si>
    <t>UPI-421788604602</t>
  </si>
  <si>
    <t>PG INVESTMENT INDIAN CLEARING CORP</t>
  </si>
  <si>
    <t>KPG-0214210911</t>
  </si>
  <si>
    <t>UPI/Tobox Ventures /421859734728/UPIIntent</t>
  </si>
  <si>
    <t>UPI-421842006997</t>
  </si>
  <si>
    <t>UPI/Tobox Ventures /421979521305/UPIIntent</t>
  </si>
  <si>
    <t>UPI-421987639502</t>
  </si>
  <si>
    <t>UPI/Zerodha Broking/422054592991/087815413818441</t>
  </si>
  <si>
    <t>UPI-422022362594</t>
  </si>
  <si>
    <t>UPI/Tobox Ventures /422020368872/UPIIntent</t>
  </si>
  <si>
    <t>UPI-422031854494</t>
  </si>
  <si>
    <t>UPI/AVISHEK   BANER/422076575090/Paid via CRED a</t>
  </si>
  <si>
    <t>UPI-422034679678</t>
  </si>
  <si>
    <t>UPI/Tobox Ventures /422196912839/UPIIntent</t>
  </si>
  <si>
    <t>UPI-422178504924</t>
  </si>
  <si>
    <t>UPI/UDAY KUMAR SHET/422177790950/Paid via CRED</t>
  </si>
  <si>
    <t>UPI-422197007201</t>
  </si>
  <si>
    <t>UPI/DIGVIJAY/422140749343/Pay to BharatPe</t>
  </si>
  <si>
    <t>UPI-422198106642</t>
  </si>
  <si>
    <t>UPI/Axis/422224402881/payment on CRED</t>
  </si>
  <si>
    <t>UPI-422225981045</t>
  </si>
  <si>
    <t>UPI/MAHEBOOB  PATEL/422453256697/Paid via CRED</t>
  </si>
  <si>
    <t>UPI-422420073483</t>
  </si>
  <si>
    <t>UPI/TUSHARKANTA  SI/422521938928/Paid via CRED</t>
  </si>
  <si>
    <t>UPI-422544224718</t>
  </si>
  <si>
    <t>NACHDR12082400405531</t>
  </si>
  <si>
    <t>UPI/Tobox Ventures /422570395129/UPIIntent</t>
  </si>
  <si>
    <t>UPI-422557823762</t>
  </si>
  <si>
    <t>UPI/Tobox Ventures /422681600865/UPIIntent</t>
  </si>
  <si>
    <t>UPI-422602531840</t>
  </si>
  <si>
    <t>UPI/DIGVIJAY/422608742400/Pay to BharatPe</t>
  </si>
  <si>
    <t>UPI-422620170372</t>
  </si>
  <si>
    <t>UPI/Tobox Ventures /422751361617/UPIIntent</t>
  </si>
  <si>
    <t>UPI-422748581531</t>
  </si>
  <si>
    <t>UPI/BUTHAPPA KUSHAL/422737744502/Paid via CRED</t>
  </si>
  <si>
    <t>UPI-422772488370</t>
  </si>
  <si>
    <t>UPI/SOMASHEKAR/422703659784/Paid via CRED</t>
  </si>
  <si>
    <t>UPI-422778363874</t>
  </si>
  <si>
    <t>UPI/AKANSH AGRAWAL/423021843740/UPI</t>
  </si>
  <si>
    <t>UPI-423086342010</t>
  </si>
  <si>
    <t>UPI/Sahukar chai/423101091934/Paid via CRED</t>
  </si>
  <si>
    <t>UPI-423115757572</t>
  </si>
  <si>
    <t>UPI/Tobox Ventures /423276196270/UPIIntent</t>
  </si>
  <si>
    <t>UPI-423271010912</t>
  </si>
  <si>
    <t>UPI/Aditya Birla So/423302145718/Paid via CRED</t>
  </si>
  <si>
    <t>UPI-423304013842</t>
  </si>
  <si>
    <t>UPI/Tobox Ventures /423361266290/UPIIntent</t>
  </si>
  <si>
    <t>UPI-423314189563</t>
  </si>
  <si>
    <t>UPI/Sahukar chai/423428275872/Paid via CRED</t>
  </si>
  <si>
    <t>UPI-423456938469</t>
  </si>
  <si>
    <t>UPI/Tobox Ventures /423555882164/UPIIntent</t>
  </si>
  <si>
    <t>UPI-423595992253</t>
  </si>
  <si>
    <t>UPI/IRCTC CF/423596582353/IRCTC TICKET BO</t>
  </si>
  <si>
    <t>UPI-423506229653</t>
  </si>
  <si>
    <t>UPI/RAJASTHAN SWEET/423684893230/Pay to BharatPe</t>
  </si>
  <si>
    <t>UPI-423645136187</t>
  </si>
  <si>
    <t>UPI/RAJASTHAN SWEET/423837889770/Pay to BharatPe</t>
  </si>
  <si>
    <t>UPI-423831694045</t>
  </si>
  <si>
    <t>UPI/KISHLAY KUMAR/423871142364/Paid via CRED</t>
  </si>
  <si>
    <t>UPI-423832144315</t>
  </si>
  <si>
    <t>UPI/TAJASVI  KUMAR /423820852828/Paid via CRED</t>
  </si>
  <si>
    <t>UPI-423832204199</t>
  </si>
  <si>
    <t>UPI/SHANTHARAMA/424072417824/Paid via CRED</t>
  </si>
  <si>
    <t>UPI-424003163496</t>
  </si>
  <si>
    <t>UPI/Tobox Ventures /424256934951/UPIIntent</t>
  </si>
  <si>
    <t>UPI-424285443572</t>
  </si>
  <si>
    <t>UPI/RAHULAGARWAL/460857670340/UPI</t>
  </si>
  <si>
    <t>UPI-424201195557</t>
  </si>
  <si>
    <t>UPI/SAYYED ABDUL VA/424366603107/Paid via CRED a</t>
  </si>
  <si>
    <t>UPI-424314920584</t>
  </si>
  <si>
    <t>FCM-240830CEL0UH</t>
  </si>
  <si>
    <t>UPI/Shankar Narayan/424466344137/Paid via CRED</t>
  </si>
  <si>
    <t>UPI-424471551568</t>
  </si>
  <si>
    <t>UPI/KIRAN SHARAD RA/424631018048/Paid via CRED</t>
  </si>
  <si>
    <t>UPI-424649460483</t>
  </si>
  <si>
    <t>UPI/KHANDU POPAT LA/424617064335/Pay To KHANDU P</t>
  </si>
  <si>
    <t>UPI-424683904024</t>
  </si>
  <si>
    <t>UPI/GULSANAVVAR/424617726766/Paid via CRED</t>
  </si>
  <si>
    <t>UPI-424695542170</t>
  </si>
  <si>
    <t>UPI/CRED/424761069593/payment on CRED</t>
  </si>
  <si>
    <t>UPI-424798151629</t>
  </si>
  <si>
    <t>ATW/4395/+Dom Ret - New West BIABangal030924/06:27</t>
  </si>
  <si>
    <t>UPI/Tobox Ventures /424793803652/UPIIntent</t>
  </si>
  <si>
    <t>UPI-424711840712</t>
  </si>
  <si>
    <t>UPI/Impact Guru Fou/424790893231/Pay via Razorpa</t>
  </si>
  <si>
    <t>UPI-424712932018</t>
  </si>
  <si>
    <t>UPI/Sahukar chai/424839614767/Paid via CRED</t>
  </si>
  <si>
    <t>UPI-424847881720</t>
  </si>
  <si>
    <t>UPI/ASGAR/424821459997/Pay to BharatPe</t>
  </si>
  <si>
    <t>UPI-424873923952</t>
  </si>
  <si>
    <t>UPI/ALAPARTHI SHIVA/424991550963/UPI</t>
  </si>
  <si>
    <t>UPI-424997406976</t>
  </si>
  <si>
    <t>UPI/Tobox Ventures /424948512582/UPIIntent</t>
  </si>
  <si>
    <t>UPI-424907575621</t>
  </si>
  <si>
    <t>UPI/Zerodha Broking/425090398402/675239509739279</t>
  </si>
  <si>
    <t>UPI-425059508996</t>
  </si>
  <si>
    <t>UPI/CHOLARAM  SIRVI/425154657651/Paid via CRED</t>
  </si>
  <si>
    <t>UPI-425192411813</t>
  </si>
  <si>
    <t>UPI/KRISHNA GARMENT/425194187280/Paid via CRED</t>
  </si>
  <si>
    <t>UPI-425192927347</t>
  </si>
  <si>
    <t>UPI/Sahukar chai/425241258344/Paid via CRED</t>
  </si>
  <si>
    <t>UPI-425232885084</t>
  </si>
  <si>
    <t>UPI/M R DIGITAL STU/425234108355/Paid via CRED</t>
  </si>
  <si>
    <t>UPI-425257245825</t>
  </si>
  <si>
    <t>UPI/Tobox Ventures /425380134638/UPIIntent</t>
  </si>
  <si>
    <t>UPI-425391345941</t>
  </si>
  <si>
    <t>UPI/ANANDA  M/425313359275/Paid via CRED</t>
  </si>
  <si>
    <t>UPI-425301394100</t>
  </si>
  <si>
    <t>NACHDR10092400079038</t>
  </si>
  <si>
    <t>UPI/Tobox Ventures /425414782071/UPIIntent</t>
  </si>
  <si>
    <t>UPI-425437011916</t>
  </si>
  <si>
    <t>IB: ETAX TIN2 0033283854</t>
  </si>
  <si>
    <t>GBM-0033283854</t>
  </si>
  <si>
    <t>UPI/ANANDA  M/425525323372/Paid via CRED</t>
  </si>
  <si>
    <t>UPI-425589157827</t>
  </si>
  <si>
    <t>UPI/Tobox Ventures /425603229088/UPIIntent</t>
  </si>
  <si>
    <t>UPI-425629067209</t>
  </si>
  <si>
    <t>UPI/MeghanaFoods/425851299370/Paid via CRED</t>
  </si>
  <si>
    <t>UPI-425820614676</t>
  </si>
  <si>
    <t>UPI/Tobox Ventures /426090246690/UPIIntent</t>
  </si>
  <si>
    <t>UPI-426007829643</t>
  </si>
  <si>
    <t>UPI/Tobox Ventures /426019489150/UPIIntent</t>
  </si>
  <si>
    <t>UPI-426009559304</t>
  </si>
  <si>
    <t>UPI/GoKhana/426121982481/Payment for 66e</t>
  </si>
  <si>
    <t>UPI-426148020466</t>
  </si>
  <si>
    <t>UPI/Tobox Ventures /426114787540/UPIIntent</t>
  </si>
  <si>
    <t>UPI-426152679712</t>
  </si>
  <si>
    <t>UPI/Chai eraumiya/426131644141/Paid via CRED</t>
  </si>
  <si>
    <t>UPI-426166100051</t>
  </si>
  <si>
    <t>UPI/Miss. MEGHA  GU/426209083081/UPI</t>
  </si>
  <si>
    <t>UPI-426221756834</t>
  </si>
  <si>
    <t>UPI/AAYUSHKUMARGUPT/426464384963/PaidviaSuperMon</t>
  </si>
  <si>
    <t>UPI-426470367238</t>
  </si>
  <si>
    <t>UPI/ARCHIT GUPTA/426452510551/Paid via SuperM</t>
  </si>
  <si>
    <t>UPI-426470383182</t>
  </si>
  <si>
    <t>UPI/ARCHITGUPTA/426409940052/PaidviaSuperMon</t>
  </si>
  <si>
    <t>UPI-426472832605</t>
  </si>
  <si>
    <t>UPI/Udemy India LLP/426449428295/UPI</t>
  </si>
  <si>
    <t>UPI-426474669428</t>
  </si>
  <si>
    <t>UPI/RAJASTHAN SWEET/426477200961/Pay to BharatPe</t>
  </si>
  <si>
    <t>UPI-426493519863</t>
  </si>
  <si>
    <t>UPI/GANGULASAIKIRAN/426468476054/Tea</t>
  </si>
  <si>
    <t>UPI-426494325535</t>
  </si>
  <si>
    <t>UPI/ARCHIT GUPTA/426605068007/Paid via SuperM</t>
  </si>
  <si>
    <t>UPI-426659721840</t>
  </si>
  <si>
    <t>UPI/Tobox Ventures /426767698560/UPIIntent</t>
  </si>
  <si>
    <t>UPI-426717504292</t>
  </si>
  <si>
    <t>UPI/Tobox Ventures /426889088753/UPIIntent</t>
  </si>
  <si>
    <t>UPI-426860796728</t>
  </si>
  <si>
    <t>UPI/Tobox Ventures /426849076182/UPIIntent</t>
  </si>
  <si>
    <t>UPI-426862337633</t>
  </si>
  <si>
    <t>UPI/MissMEGHAGUPTA/426857133183/UPI</t>
  </si>
  <si>
    <t>UPI-426888468466</t>
  </si>
  <si>
    <t>UPI/IRCTCCF/426954522259/UPIRefund</t>
  </si>
  <si>
    <t>UPI-426991421328</t>
  </si>
  <si>
    <t>UPI/Tobox Ventures /426981000063/UPIIntent</t>
  </si>
  <si>
    <t>UPI-426903982943</t>
  </si>
  <si>
    <t>UPI/Tobox Ventures /426930961365/UPIIntent</t>
  </si>
  <si>
    <t>UPI-426904025103</t>
  </si>
  <si>
    <t>UPI/JASROOPSINGHCHA/463528559845/UPI</t>
  </si>
  <si>
    <t>UPI-426905630422</t>
  </si>
  <si>
    <t>UPI/MEGHA GUPTA/426923157621/Paid via SuperM</t>
  </si>
  <si>
    <t>UPI-426931285141</t>
  </si>
  <si>
    <t>UPI/Mr AKSHAT GUPTA/426963373930/Paid via SuperM</t>
  </si>
  <si>
    <t>UPI-426931310460</t>
  </si>
  <si>
    <t>UPI/Tobox Ventures /427078922000/UPIIntent</t>
  </si>
  <si>
    <t>UPI-427048437589</t>
  </si>
  <si>
    <t>UPI/Chai eraumiya/427032243296/Paid via SuperM</t>
  </si>
  <si>
    <t>UPI-427050434700</t>
  </si>
  <si>
    <t>NEFT SBIN224270701211 ITDTAX REFUND 2024 25 BRGPG</t>
  </si>
  <si>
    <t>NEFTINW-0982671943</t>
  </si>
  <si>
    <t>UPI/CAPITALFLOAT/463790551996/You are paying</t>
  </si>
  <si>
    <t>UPI-427103379615</t>
  </si>
  <si>
    <t>FCM-240927CW4N6N</t>
  </si>
  <si>
    <t>UPI/MrAKSHATGUPTASO/463870685564/UPI</t>
  </si>
  <si>
    <t>UPI-427229998200</t>
  </si>
  <si>
    <t>UPI/SANJANA  R/427257066273/Paid via SuperM</t>
  </si>
  <si>
    <t>UPI-427238646101</t>
  </si>
  <si>
    <t>UPI/Zerodha/427453437820/499120111521272</t>
  </si>
  <si>
    <t>UPI-427418769104</t>
  </si>
  <si>
    <t>UPI/Tobox Ventures /427413054499/UPIIntent</t>
  </si>
  <si>
    <t>UPI-427425492550</t>
  </si>
  <si>
    <t>UPI/Tobox Ventures /427433009756/UPIIntent</t>
  </si>
  <si>
    <t>UPI-427427068115</t>
  </si>
  <si>
    <t>Int.Pd:3649610333:01-07-2024 to 30-09-2024</t>
  </si>
  <si>
    <t>UPI/Tobox Ventures /427548490890/UPIIntent</t>
  </si>
  <si>
    <t>UPI-427576752200</t>
  </si>
  <si>
    <t>UPI/Chai eraumiya/427555955880/Paid via CRED</t>
  </si>
  <si>
    <t>UPI-427578599116</t>
  </si>
  <si>
    <t>UPI/DIGVIJAY/427565616420/Pay to BharatPe</t>
  </si>
  <si>
    <t>UPI-427596694894</t>
  </si>
  <si>
    <t>UPI/CRED/427608649780/payment on CRED</t>
  </si>
  <si>
    <t>UPI-427610934572</t>
  </si>
  <si>
    <t>UPI/IRCTC CF/427617542504/IRCTC TICKET BO</t>
  </si>
  <si>
    <t>UPI-427640472510</t>
  </si>
  <si>
    <t>UPI/Tobox Ventures /427776866030/UPIIntent</t>
  </si>
  <si>
    <t>UPI-427779218584</t>
  </si>
  <si>
    <t>UPI/9594435259@supe/427826295007/Paid via SuperM</t>
  </si>
  <si>
    <t>UPI-427811508865</t>
  </si>
  <si>
    <t>UPI/Tobox Ventures /428124107805/UPIIntent</t>
  </si>
  <si>
    <t>UPI-428176331887</t>
  </si>
  <si>
    <t>Recd:IMPS/428120429249/ZERODHA BR/KKBK/X3413/IMPS</t>
  </si>
  <si>
    <t>IMPS-428120594211</t>
  </si>
  <si>
    <t>UPI/Tobox Ventures /428206265943/UPIIntent</t>
  </si>
  <si>
    <t>UPI-428226765100</t>
  </si>
  <si>
    <t>UPI/Tobox Ventures /428253398650/UPIIntent</t>
  </si>
  <si>
    <t>UPI-428228185234</t>
  </si>
  <si>
    <t>UPI/Lila Gayari/428290115097/Paid via SuperM</t>
  </si>
  <si>
    <t>UPI-428239970378</t>
  </si>
  <si>
    <t>PCD/4395/DROGHERIA SELLERS PRIV/Bangal091024/14:20</t>
  </si>
  <si>
    <t>UPI/Tobox Ventures /428485612509/UPIIntent</t>
  </si>
  <si>
    <t>UPI-428426755115</t>
  </si>
  <si>
    <t>UPI/DIGVIJAY/428575884476/Pay to BharatPe</t>
  </si>
  <si>
    <t>UPI-428578202481</t>
  </si>
  <si>
    <t>UPI/SUNEEL YADAV SO/428523950796/Paid via SuperM</t>
  </si>
  <si>
    <t>UPI-428588351823</t>
  </si>
  <si>
    <t>UPI/UDAY KUMAR SHET/428528137393/Paid via SuperM</t>
  </si>
  <si>
    <t>UPI-428588632912</t>
  </si>
  <si>
    <t>UPI/SHADOWFAX TECHN/428679728426/Paid via SuperM</t>
  </si>
  <si>
    <t>UPI-428613625401</t>
  </si>
  <si>
    <t>UPI/MRKIRANG/428673888433/Paid via SuperM</t>
  </si>
  <si>
    <t>UPI-428633180186</t>
  </si>
  <si>
    <t>UPI/MRKIRANG/428695219968/Paid via SuperM</t>
  </si>
  <si>
    <t>UPI-428634881495</t>
  </si>
  <si>
    <t>UPI/AMAR KUMAR BEHE/428787220299/Paid via SuperM</t>
  </si>
  <si>
    <t>UPI-428774342196</t>
  </si>
  <si>
    <t>UPI/Tobox Ventures /428894168081/UPIIntent</t>
  </si>
  <si>
    <t>UPI-428814557312</t>
  </si>
  <si>
    <t>UPI/Tobox Ventures /428804868913/UPIIntent</t>
  </si>
  <si>
    <t>UPI-428814697997</t>
  </si>
  <si>
    <t>UPI/MOHD HASHIM/428841356428/Pay to BharatPe</t>
  </si>
  <si>
    <t>UPI-428831066013</t>
  </si>
  <si>
    <t>UPI/Sodexo Aditya B/428989099703/Paid via CRED</t>
  </si>
  <si>
    <t>UPI-428954687793</t>
  </si>
  <si>
    <t>UPI/Tobox Ventures /428974827998/UPIIntent</t>
  </si>
  <si>
    <t>UPI-428962520123</t>
  </si>
  <si>
    <t>UPI/Sajan Kumar yad/429099146321/Paid via SuperM</t>
  </si>
  <si>
    <t>UPI-429020588882</t>
  </si>
  <si>
    <t>UPI/ASGAR/429077551806/Pay to BharatPe</t>
  </si>
  <si>
    <t>UPI-429020845723</t>
  </si>
  <si>
    <t>UPI/Tobox Ventures /429134621370/UPIIntent</t>
  </si>
  <si>
    <t>UPI-429156143310</t>
  </si>
  <si>
    <t>UPI/DIGVIJAY/429140871013/Paid via SuperM</t>
  </si>
  <si>
    <t>UPI-429175918015</t>
  </si>
  <si>
    <t>PG RETURN NK TICKETS INDIAN RAILWAY CATER</t>
  </si>
  <si>
    <t>KPG-0218308775</t>
  </si>
  <si>
    <t>UPI/BHAGA RAM/429201538200/Paid via SuperM</t>
  </si>
  <si>
    <t>UPI-429216039749</t>
  </si>
  <si>
    <t>UPI/SATHISH S N/429213411524/Paid via CRED</t>
  </si>
  <si>
    <t>UPI-429216117780</t>
  </si>
  <si>
    <t>UPI/Sajan Kumar yad/429207971015/Paid via SuperM</t>
  </si>
  <si>
    <t>UPI-429217312137</t>
  </si>
  <si>
    <t>UPI/RAJASTHAN SWEET/429320801805/Pay to BharatPe</t>
  </si>
  <si>
    <t>UPI-429361379651</t>
  </si>
  <si>
    <t>UPI/SAHUKAR CHAI/429349376454/Paid via SuperM</t>
  </si>
  <si>
    <t>UPI-429361656468</t>
  </si>
  <si>
    <t>UPI/EKRAMUL HOQUE/429449904980/Paid via SuperM</t>
  </si>
  <si>
    <t>UPI-429404921440</t>
  </si>
  <si>
    <t>UPI/DALPAT  PATEL/429429995629/Pay To DALPAT</t>
  </si>
  <si>
    <t>UPI-429405581389</t>
  </si>
  <si>
    <t>UPI/Sahukar Chai/429490818470/Paid via CRED</t>
  </si>
  <si>
    <t>UPI-429405944231</t>
  </si>
  <si>
    <t>UPI/Sajan Kumar yad/429435923067/Paid via SuperM</t>
  </si>
  <si>
    <t>UPI-429408252249</t>
  </si>
  <si>
    <t>UPI/PELOLLA RAVITEJ/429547917344/Paid via SuperM</t>
  </si>
  <si>
    <t>UPI-429556523795</t>
  </si>
  <si>
    <t>UPI/Sajan Kumar yad/429585851958/Paid via SuperM</t>
  </si>
  <si>
    <t>UPI-429566308847</t>
  </si>
  <si>
    <t>UPI/Sodexo Aditya B/429653794467/Paid via SuperM</t>
  </si>
  <si>
    <t>UPI-429684240810</t>
  </si>
  <si>
    <t>UPI/Tobox Ventures /429645685974/UPIIntent</t>
  </si>
  <si>
    <t>UPI-429690368728</t>
  </si>
  <si>
    <t>UPI/SAHUKAR CHAI/429624951698/Paid via SuperM</t>
  </si>
  <si>
    <t>UPI-429611233973</t>
  </si>
  <si>
    <t>UPI/Tobox Ventures /429706001696/UPIIntent</t>
  </si>
  <si>
    <t>UPI-429737543887</t>
  </si>
  <si>
    <t>UPI/Tobox Ventures /429747511149/UPIIntent</t>
  </si>
  <si>
    <t>UPI-429738786629</t>
  </si>
  <si>
    <t>UPI/RYANABRAHAMTHOM/429708875714/UPI</t>
  </si>
  <si>
    <t>UPI-429738791550</t>
  </si>
  <si>
    <t>UPI/Tobox Ventures /429862924970/UPIIntent</t>
  </si>
  <si>
    <t>UPI-429882811778</t>
  </si>
  <si>
    <t>UPI/Zomato Ltd/429849628144/Zomato Payment</t>
  </si>
  <si>
    <t>UPI-429805729826</t>
  </si>
  <si>
    <t>UPI/Sajan Kumar yad/429838140500/Paid via SuperM</t>
  </si>
  <si>
    <t>UPI-429808968358</t>
  </si>
  <si>
    <t>UPI/Tobox Ventures /429961311725/UPIIntent</t>
  </si>
  <si>
    <t>UPI-429930325823</t>
  </si>
  <si>
    <t>UPI/MUHAMED FAIS/429912564700/Paid via SuperM</t>
  </si>
  <si>
    <t>UPI-429944361882</t>
  </si>
  <si>
    <t>UPI/UMESH KUMAR YAD/429968760636/Paid via SuperM</t>
  </si>
  <si>
    <t>UPI-429954097321</t>
  </si>
  <si>
    <t>UPI/CRED/430018841932/payment on CRED</t>
  </si>
  <si>
    <t>UPI-430068717417</t>
  </si>
  <si>
    <t>UPI/Tobox Ventures /430297545453/UPIIntent</t>
  </si>
  <si>
    <t>UPI-430273663242</t>
  </si>
  <si>
    <t>UPI/MEGHA GUPTA/430209556269/Paid via SuperM</t>
  </si>
  <si>
    <t>UPI-430201954679</t>
  </si>
  <si>
    <t>FCM-241029DHJBTW</t>
  </si>
  <si>
    <t>UPI/ARCHITGUPTA/466947290788/Resend</t>
  </si>
  <si>
    <t>UPI-430348946771</t>
  </si>
  <si>
    <t>UPI/ARCHIT GUPTA/430357451290/UPI</t>
  </si>
  <si>
    <t>UPI-430349005328</t>
  </si>
  <si>
    <t>UPI/ARCHIT GUPTA/430363529227/UPI</t>
  </si>
  <si>
    <t>UPI-430354498500</t>
  </si>
  <si>
    <t>UPI/GOOGLEINDIADIGI/328789493034/Rewardedformaki</t>
  </si>
  <si>
    <t>UPI-430354518221</t>
  </si>
  <si>
    <t>UPI/ARCHITGUPTA/466917495950/UPI</t>
  </si>
  <si>
    <t>UPI-430354536824</t>
  </si>
  <si>
    <t>UPI/CRED/430452454902/payment on CRED</t>
  </si>
  <si>
    <t>UPI-430471323036</t>
  </si>
  <si>
    <t>UPI/CRED/430565662340/payment on CRED</t>
  </si>
  <si>
    <t>UPI-430515513015</t>
  </si>
  <si>
    <t>UPI/RZPX/456516033054/SupermoneyRewar</t>
  </si>
  <si>
    <t>UPI-430515574557</t>
  </si>
  <si>
    <t>UPI/IndianClearingC/430564464071/InaCIs8f0JrdDkx</t>
  </si>
  <si>
    <t>UPI-430528161307</t>
  </si>
  <si>
    <t>UPI/ICCL ZERODHA CO/430598397781/wf2vJPip0qMvdi0</t>
  </si>
  <si>
    <t>UPI-430528446754</t>
  </si>
  <si>
    <t>PCD/4395/BLR Domestic Lounge/BENGALURU011124/10:56</t>
  </si>
  <si>
    <t>UPI/CRED/430634043850/payment on CRED</t>
  </si>
  <si>
    <t>UPI-430687903401</t>
  </si>
  <si>
    <t>UPI/CRED/430660163850/payment on CRED</t>
  </si>
  <si>
    <t>UPI-430689710618</t>
  </si>
  <si>
    <t>UPI/Himanshu Sharma/430782872635/Paid via CRED a</t>
  </si>
  <si>
    <t>UPI-430714244786</t>
  </si>
  <si>
    <t>UPI/CRED/430708123486/payment on CRED</t>
  </si>
  <si>
    <t>UPI-430722208098</t>
  </si>
  <si>
    <t>UPI/CRED/430803926361/payment on CRED</t>
  </si>
  <si>
    <t>UPI-430859455360</t>
  </si>
  <si>
    <t>UPI/CRED/430980105263/payment on CRED</t>
  </si>
  <si>
    <t>UPI-430904043564</t>
  </si>
  <si>
    <t>UPI/CRED/431002476328/payment on CRED</t>
  </si>
  <si>
    <t>UPI-431051275800</t>
  </si>
  <si>
    <t>UPI/CRED/431171973876/payment on CRED</t>
  </si>
  <si>
    <t>UPI-431106076080</t>
  </si>
  <si>
    <t>UPI/ATTIPALLI HARIT/431396530996/Paid via CRED a</t>
  </si>
  <si>
    <t>UPI-431308174735</t>
  </si>
  <si>
    <t>REV-UPI/ATTIPALLI HAR/431396530996/</t>
  </si>
  <si>
    <t>UPI/ATTIPALLI HARIT/431374587000/Paid via SuperM</t>
  </si>
  <si>
    <t>UPI-431308432676</t>
  </si>
  <si>
    <t>REV-UPI/ATTIPALLI HAR/431374587000/</t>
  </si>
  <si>
    <t>UPI/ALAPARTHI SHIVA/431307581132/Paid via CRED</t>
  </si>
  <si>
    <t>UPI-431309302242</t>
  </si>
  <si>
    <t>UPI/AMBEY BURGER SA/431377467410/Paid via SuperM</t>
  </si>
  <si>
    <t>UPI-431326004106</t>
  </si>
  <si>
    <t>UPI/IRCTC/431722692336/IRCTC TICKET BO</t>
  </si>
  <si>
    <t>UPI-431786702506</t>
  </si>
  <si>
    <t>UPI/MUKESH GOYAL/431817853367/Paid via CRED</t>
  </si>
  <si>
    <t>UPI-431837669296</t>
  </si>
  <si>
    <t>UPI/MEGHA GUPTA/431841637473/Paid via CRED</t>
  </si>
  <si>
    <t>UPI-431849461282</t>
  </si>
  <si>
    <t>UPI/CRED/431974067857/payment on CRED</t>
  </si>
  <si>
    <t>UPI-431983121855</t>
  </si>
  <si>
    <t>UPI/JAI AMBE NAMKEE/468737636490/Paid via SuperM</t>
  </si>
  <si>
    <t>UPI-432177585616</t>
  </si>
  <si>
    <t>UPI/MUKESH GOYAL/468737696443/Paid via SuperM</t>
  </si>
  <si>
    <t>UPI-432177907191</t>
  </si>
  <si>
    <t>UPI/IRCTCETICKETING/432154846103/Pine Labs Payme</t>
  </si>
  <si>
    <t>UPI-432181253931</t>
  </si>
  <si>
    <t>UPI/IRCTC/432144969214/refundrequest</t>
  </si>
  <si>
    <t>UPI-432104139679</t>
  </si>
  <si>
    <t>UPI/MUKESH GOYAL/468845705652/Paid via SuperM</t>
  </si>
  <si>
    <t>UPI-432225213888</t>
  </si>
  <si>
    <t>UPI/BHAIRU PRAKASH /468845765241/Paid via SuperM</t>
  </si>
  <si>
    <t>UPI-432225512603</t>
  </si>
  <si>
    <t>UPI/ASHOK KUMAR/468851661085/Paid via SuperM</t>
  </si>
  <si>
    <t>UPI-432259843023</t>
  </si>
  <si>
    <t>UPI/Kalu Singh/468952454197/Paid via SuperM</t>
  </si>
  <si>
    <t>UPI-432365610235</t>
  </si>
  <si>
    <t>NACH-ECS-CR-NTPC-INT DIV 24-25-NT0211242619813</t>
  </si>
  <si>
    <t>NACHDB18112406305500</t>
  </si>
  <si>
    <t>NACH-ECS-CR-CAMS 2ND INT 2024 25-280473</t>
  </si>
  <si>
    <t>NACHDB19112406310500</t>
  </si>
  <si>
    <t>UPI/CRED/432459723382/payment on CRED</t>
  </si>
  <si>
    <t>UPI-432454035515</t>
  </si>
  <si>
    <t>UPI/CRED/432555934921/payment on CRED</t>
  </si>
  <si>
    <t>UPI-432557335025</t>
  </si>
  <si>
    <t>UPI/CRED/432677916528/payment on CRED</t>
  </si>
  <si>
    <t>UPI-432635339988</t>
  </si>
  <si>
    <t>UPI/CRED/432734235036/payment on CRED</t>
  </si>
  <si>
    <t>UPI-432748611030</t>
  </si>
  <si>
    <t>UPI/CRED/432837056331/payment on CRED</t>
  </si>
  <si>
    <t>UPI-432893955361</t>
  </si>
  <si>
    <t>UPI/ARUNA KUMARA S /432906385800/Paid via SuperM</t>
  </si>
  <si>
    <t>UPI-432951105220</t>
  </si>
  <si>
    <t>UPI/CRED/432922570690/payment on CRED</t>
  </si>
  <si>
    <t>UPI-432968183119</t>
  </si>
  <si>
    <t>UPI/CRED/433067955458/payment on CRED</t>
  </si>
  <si>
    <t>UPI-433084044172</t>
  </si>
  <si>
    <t>UPI/CRED/433162804095/payment on CRED</t>
  </si>
  <si>
    <t>UPI-433130062976</t>
  </si>
  <si>
    <t>UPI/IRCTCETICKETING/433189764668/Pine Labs Payme</t>
  </si>
  <si>
    <t>UPI-433130221042</t>
  </si>
  <si>
    <t>UPI/Sodexo Aditya B/433180820699/Paid via CRED</t>
  </si>
  <si>
    <t>UPI-433134262890</t>
  </si>
  <si>
    <t>UPI/IRCTCCF/433192180404/UPIRefund</t>
  </si>
  <si>
    <t>UPI-433148199834</t>
  </si>
  <si>
    <t>UPI/RAJASTHAN SWEET/433127012479/Pay to BharatPe</t>
  </si>
  <si>
    <t>UPI-433161842478</t>
  </si>
  <si>
    <t>UPI/CRED/433294816058/payment on CRED</t>
  </si>
  <si>
    <t>UPI-433275937219</t>
  </si>
  <si>
    <t>UPI/CRED/433311354035/payment on CRED</t>
  </si>
  <si>
    <t>UPI-433321837180</t>
  </si>
  <si>
    <t>NACH-MUT-DR-INDIAN CLEARING CORP-WIGHIWHVBV7R</t>
  </si>
  <si>
    <t>NACHDR28112406210700</t>
  </si>
  <si>
    <t>UPI/Sodexo Aditya B/433339079903/Paid via SuperM</t>
  </si>
  <si>
    <t>UPI-433326311440</t>
  </si>
  <si>
    <t>FCM-241128DXLPQS</t>
  </si>
  <si>
    <t>UPI/Sajan Kumar yad/433345741394/Paid via SuperM</t>
  </si>
  <si>
    <t>UPI-433360326260</t>
  </si>
  <si>
    <t>UPI/Sodexo Aditya B/433447758474/Paid via SuperM</t>
  </si>
  <si>
    <t>UPI-433471693913</t>
  </si>
  <si>
    <t>UPI/MOHD HASHIM/433561165031/Pay to BharatPe</t>
  </si>
  <si>
    <t>UPI-433544105269</t>
  </si>
  <si>
    <t>UPI/DARSHAN S M/433773253958/Paid via SuperM</t>
  </si>
  <si>
    <t>UPI-433714731007</t>
  </si>
  <si>
    <t>UPI/Tobox Ventures /433776515134/Paid via SuperM</t>
  </si>
  <si>
    <t>UPI-433730644400</t>
  </si>
  <si>
    <t>UPI/Sodexo Aditya B/433883988279/Paid via SuperM</t>
  </si>
  <si>
    <t>UPI-433871397770</t>
  </si>
  <si>
    <t>UPI/Tobox Ventures /433886338233/Paid via SuperM</t>
  </si>
  <si>
    <t>UPI-433882947299</t>
  </si>
  <si>
    <t>NACH-ECS-CR-CHAMBAL FERTILISERSA-8160012081600772</t>
  </si>
  <si>
    <t>NACHDB03122416445901</t>
  </si>
  <si>
    <t>UPI/NELABALLI PRADE/433828712258/Paid via CRED</t>
  </si>
  <si>
    <t>UPI-433896633088</t>
  </si>
  <si>
    <t>UPI/Chai eraumiya/470606909613/Paid via SuperM</t>
  </si>
  <si>
    <t>UPI-434088978152</t>
  </si>
  <si>
    <t>UPI/PAPUDIPPU SYAMA/470824040186/Paid via SuperM</t>
  </si>
  <si>
    <t>UPI-434275935424</t>
  </si>
  <si>
    <t>UPI/PANDARI/470824514213/Paid via SuperM</t>
  </si>
  <si>
    <t>UPI-434278209926</t>
  </si>
  <si>
    <t>UPI/P  BALAJI/470826579488/Paid via SuperM</t>
  </si>
  <si>
    <t>UPI-434288761292</t>
  </si>
  <si>
    <t>UPI/BADARE   ALAM/470829148952/Paid via SuperM</t>
  </si>
  <si>
    <t>UPI-434202385075</t>
  </si>
  <si>
    <t>UPI/UMAKANTA  MAHAK/470933194695/Paid via SuperM</t>
  </si>
  <si>
    <t>UPI-434324075976</t>
  </si>
  <si>
    <t>UPI/HITESH G PATEL/470934325631/Paid via SuperM</t>
  </si>
  <si>
    <t>UPI-434329096172</t>
  </si>
  <si>
    <t>UPI/MEGHA GUPTA/434358109306/Paid via CRED</t>
  </si>
  <si>
    <t>UPI-434357454511</t>
  </si>
  <si>
    <t>NEFT CMS4710851499 CENTRAL DEPOSITORY SERVICES IN</t>
  </si>
  <si>
    <t>NEFTINW-1057721036</t>
  </si>
  <si>
    <t>UPI/NAVEENKUMARSHAH/434486517861/UPI</t>
  </si>
  <si>
    <t>UPI-434409699837</t>
  </si>
  <si>
    <t>UPI/Sodexo Aditya B/471152384437/Paid via SuperM</t>
  </si>
  <si>
    <t>UPI-434521127370</t>
  </si>
  <si>
    <t>UPI/Jevoya cafe/471594615819/Paid via SuperM</t>
  </si>
  <si>
    <t>UPI-434929656508</t>
  </si>
  <si>
    <t>UPI/AJAY SHOP/471596123901/Paid via SuperM</t>
  </si>
  <si>
    <t>UPI-434937243507</t>
  </si>
  <si>
    <t>UPI/PUTHURU BHARATH/471597852379/Paid via SuperM</t>
  </si>
  <si>
    <t>UPI-434946033052</t>
  </si>
  <si>
    <t>UPI/CRED/434987985034/payment on CRED</t>
  </si>
  <si>
    <t>UPI-434958003745</t>
  </si>
  <si>
    <t>UPI/CRED/435088496312/payment on CRED</t>
  </si>
  <si>
    <t>UPI-435064259508</t>
  </si>
  <si>
    <t>UPI/SHAMBHAVI M/435001501361/Paid via SuperM</t>
  </si>
  <si>
    <t>UPI-435065100860</t>
  </si>
  <si>
    <t>UPI/Bhartiya Jalpan/435003802856/Paid via SuperM</t>
  </si>
  <si>
    <t>UPI-435075360059</t>
  </si>
  <si>
    <t>UPI/ASHEESHKUMARSIN/435040533669/UPI</t>
  </si>
  <si>
    <t>UPI-435087250906</t>
  </si>
  <si>
    <t>UPI/CRED/435193340232/payment on CRED</t>
  </si>
  <si>
    <t>UPI-435111612459</t>
  </si>
  <si>
    <t>UPI/SANKAR  DEBNATH/435116686997/Paid via SuperM</t>
  </si>
  <si>
    <t>UPI-435138506474</t>
  </si>
  <si>
    <t>UPI/Sodexo Aditya B/435222780165/Paid via SuperM</t>
  </si>
  <si>
    <t>UPI-435268086543</t>
  </si>
  <si>
    <t>UPI/MOHAMMED KHADIR/435227418631/Paid via SuperM</t>
  </si>
  <si>
    <t>UPI-435290051335</t>
  </si>
  <si>
    <t>UPI/GUNA C/435230021593/Paid via SuperM</t>
  </si>
  <si>
    <t>UPI-435201675143</t>
  </si>
  <si>
    <t>UPI/MAHESH KUMAR A /435331195579/Paid via SuperM</t>
  </si>
  <si>
    <t>UPI-435308038461</t>
  </si>
  <si>
    <t>UPI/CRED/471902279530/payment on CRED</t>
  </si>
  <si>
    <t>UPI-435309174439</t>
  </si>
  <si>
    <t>UPI/Tobox Ventures /471903684097/UPIIntent</t>
  </si>
  <si>
    <t>UPI-435323979176</t>
  </si>
  <si>
    <t>UPI/GUNA C/471906220214/Paid via CRED</t>
  </si>
  <si>
    <t>UPI-435351395152</t>
  </si>
  <si>
    <t>UPI/GUNA C/471906225506/Paid via CRED</t>
  </si>
  <si>
    <t>UPI-435351454146</t>
  </si>
  <si>
    <t>UPI/Chai eraumiya/435445536882/Paid via SuperM</t>
  </si>
  <si>
    <t>UPI-435473023038</t>
  </si>
  <si>
    <t>UPI/CRED/472111199646/payment on CRED</t>
  </si>
  <si>
    <t>UPI-435507266973</t>
  </si>
  <si>
    <t>UPI/MUHAMED FAIS/435558352430/Paid via SuperM</t>
  </si>
  <si>
    <t>UPI-435532522283</t>
  </si>
  <si>
    <t>UPI/CRED/472215758550/payment on CRED</t>
  </si>
  <si>
    <t>UPI-435656520565</t>
  </si>
  <si>
    <t>UPI/VAIBHAV  RATHI/472215859886/Paid via CRED a</t>
  </si>
  <si>
    <t>UPI-435657506901</t>
  </si>
  <si>
    <t>UPI/SARASWATHI M/435669758179/Paid via SuperM</t>
  </si>
  <si>
    <t>UPI-435686819155</t>
  </si>
  <si>
    <t>UPI/CRED/472320494036/payment on CRED</t>
  </si>
  <si>
    <t>UPI-435705287201</t>
  </si>
  <si>
    <t>UPI/TRENT LIMITED/435777928477/Payment for 505</t>
  </si>
  <si>
    <t>UPI-435725892576</t>
  </si>
  <si>
    <t>UPI/PWC_LENSKART_ON/472322986662/payment on CRED</t>
  </si>
  <si>
    <t>UPI-435730228346</t>
  </si>
  <si>
    <t>UPI/CRED/472425309490/payment on CRED</t>
  </si>
  <si>
    <t>UPI-435855385538</t>
  </si>
  <si>
    <t>UPI/Lila Gayari/435888775108/Paid via SuperM</t>
  </si>
  <si>
    <t>UPI-435877323442</t>
  </si>
  <si>
    <t>UPI/caratlane/435826156428/Upi Transaction</t>
  </si>
  <si>
    <t>UPI-435890760978</t>
  </si>
  <si>
    <t>UPI/CRED/472528972062/payment on CRED</t>
  </si>
  <si>
    <t>UPI-435998362712</t>
  </si>
  <si>
    <t>UPI/Sodexo Aditya B/435994567833/Paid via SuperM</t>
  </si>
  <si>
    <t>UPI-435904053046</t>
  </si>
  <si>
    <t>UPI/Chai eraumiya/435997102187/Paid via SuperM</t>
  </si>
  <si>
    <t>UPI-435915519358</t>
  </si>
  <si>
    <t>UPI/caratlane/435930300366/Refundfor219412</t>
  </si>
  <si>
    <t>UPI-435931199648</t>
  </si>
  <si>
    <t>UPI/RZPX/567947283604/SupermoneyRewar</t>
  </si>
  <si>
    <t>UPI-436047285483</t>
  </si>
  <si>
    <t>UPI/Chai eraumiya/472606694652/Paid via SuperM</t>
  </si>
  <si>
    <t>UPI-436061502084</t>
  </si>
  <si>
    <t>UPI/Chai eraumiya/472606871319/Paid via SuperM</t>
  </si>
  <si>
    <t>UPI-436062378413</t>
  </si>
  <si>
    <t>UPI/NIXON JOJI/472716905137/Paid via SuperM</t>
  </si>
  <si>
    <t>UPI-436110517887</t>
  </si>
  <si>
    <t>NEFT YESF343613754237 ZERODHA BROKING LTD DSCNB A</t>
  </si>
  <si>
    <t>NEFTINW-1074447582</t>
  </si>
  <si>
    <t>UPI/VIKAS  KANDA/472721532684/Paid via SuperM</t>
  </si>
  <si>
    <t>UPI-436132145410</t>
  </si>
  <si>
    <t>UPI/VIKAS  KANDA/472721750874/Paid via SuperM</t>
  </si>
  <si>
    <t>UPI-436133069487</t>
  </si>
  <si>
    <t>UPI/Chai eraumiya/472825179919/Paid via SuperM</t>
  </si>
  <si>
    <t>UPI-436248427536</t>
  </si>
  <si>
    <t>UPI/Tobox Ventures /472826233265/UPIIntent</t>
  </si>
  <si>
    <t>UPI-436253129837</t>
  </si>
  <si>
    <t>UPI/DIGVATSA B PRAS/472842804607/Paid via CRED</t>
  </si>
  <si>
    <t>UPI-436266099380</t>
  </si>
  <si>
    <t>NACH-MUT-DR-INDIAN CLEARING CORP-000000C8VV2P1K4H</t>
  </si>
  <si>
    <t>NACHDR28122406193300</t>
  </si>
  <si>
    <t>UPI/TIRTHATILAKPANI/436300855056/HappyWedding</t>
  </si>
  <si>
    <t>UPI-436388939429</t>
  </si>
  <si>
    <t>UPI/TIRTHATILAKPANI/436326179460/SentusingPaytmU</t>
  </si>
  <si>
    <t>UPI-436388943977</t>
  </si>
  <si>
    <t>UPI/GUNA C/472945584745/Paid via CRED</t>
  </si>
  <si>
    <t>UPI-436301023654</t>
  </si>
  <si>
    <t>UPI/Pramod/472945745049/Paid via CRED</t>
  </si>
  <si>
    <t>UPI-436303007504</t>
  </si>
  <si>
    <t>UPI/GUNA C/473049065775/Paid via CRED</t>
  </si>
  <si>
    <t>UPI-436444999587</t>
  </si>
  <si>
    <t>UPI/TANDOORI CHA/473050786400/Paid via SuperM</t>
  </si>
  <si>
    <t>UPI-436470090156</t>
  </si>
  <si>
    <t>UPI/BMTC BUS KA01F4/473050887041/Pay to Merchant</t>
  </si>
  <si>
    <t>UPI-436470569152</t>
  </si>
  <si>
    <t>NEFT N365243477890564 INDIAN CLEARING CORPORATION</t>
  </si>
  <si>
    <t>NEFTINW-1077540468</t>
  </si>
  <si>
    <t>FCM-241230EFVQPC</t>
  </si>
  <si>
    <t>NEFT YESF343653798090 ZERODHA BROKING LTD DSCNB A</t>
  </si>
  <si>
    <t>NEFTINW-1078025024</t>
  </si>
  <si>
    <t>UPI/GUNA C/473267815251/Paid via SuperM</t>
  </si>
  <si>
    <t>UPI-436648991912</t>
  </si>
  <si>
    <t>UPI/KAMLESH  KUMAR/473269950377/Paid via SuperM</t>
  </si>
  <si>
    <t>UPI-436659826936</t>
  </si>
  <si>
    <t>Int.Pd:3649610333:01-10-2024 to 31-12-2024</t>
  </si>
  <si>
    <t>UPI/NARESHKUMARM/536775161444/Paid via SuperM</t>
  </si>
  <si>
    <t>UPI-500187187641</t>
  </si>
  <si>
    <t>UPI/SURYA HOME APPL/536778562199/Paid via SuperM</t>
  </si>
  <si>
    <t>UPI-500102928245</t>
  </si>
  <si>
    <t>UPI/AYISHA/536779551748/Paid via SuperM</t>
  </si>
  <si>
    <t>UPI-500107799017</t>
  </si>
  <si>
    <t>UPI/CRED/536763238883/payment on CRED</t>
  </si>
  <si>
    <t>UPI-500115583163</t>
  </si>
  <si>
    <t>UPI/CRED/536763253998/payment on CRED</t>
  </si>
  <si>
    <t>UPI-500115753847</t>
  </si>
  <si>
    <t>UPI/PRADEEP  R/536782346831/Pay to BharatPe</t>
  </si>
  <si>
    <t>UPI-500122082111</t>
  </si>
  <si>
    <t>UPI/C 108 KA Bengal/536782555221/Paid via SuperM</t>
  </si>
  <si>
    <t>UPI-500123131537</t>
  </si>
  <si>
    <t>UPI/Sodexo Aditya B/536886030551/Paid via SuperM</t>
  </si>
  <si>
    <t>UPI-500241014591</t>
  </si>
  <si>
    <t>UPI/Zerodha Broking/536866006216/482025564279950</t>
  </si>
  <si>
    <t>UPI-500248314499</t>
  </si>
  <si>
    <t>UPI/Chai eraumiya/536888326143/Paid via SuperM</t>
  </si>
  <si>
    <t>UPI-500251472827</t>
  </si>
  <si>
    <t>UPI/CRED WALLET/536969263945/payment on CRED</t>
  </si>
  <si>
    <t>UPI-500389725991</t>
  </si>
  <si>
    <t>UPI/CRED/536969270364/payment on CRED</t>
  </si>
  <si>
    <t>UPI-500389796725</t>
  </si>
  <si>
    <t>NEFT N003253488404645 MIRAE ASSET MF REDEMPTION A</t>
  </si>
  <si>
    <t>NEFTINW-1082227339</t>
  </si>
  <si>
    <t>UPI/Sodexo Aditya B/536997456463/Paid via SuperM</t>
  </si>
  <si>
    <t>UPI-500395042950</t>
  </si>
  <si>
    <t>UPI/CRED/536971412438/payment on CRED</t>
  </si>
  <si>
    <t>UPI-500316532537</t>
  </si>
  <si>
    <t>UPI/CREDDreamPlug/500378130281/credUser</t>
  </si>
  <si>
    <t>UPI-500316739288</t>
  </si>
  <si>
    <t>UPI/CRED/536971891426/payment on CRED</t>
  </si>
  <si>
    <t>UPI-500322794179</t>
  </si>
  <si>
    <t>UPI/CREDDreamPlug/500378671616/credUser</t>
  </si>
  <si>
    <t>UPI-500322963170</t>
  </si>
  <si>
    <t>UPI/Mohith S Reddy/536971926009/Remaining depos</t>
  </si>
  <si>
    <t>UPI-500323238259</t>
  </si>
  <si>
    <t>REV-UPI/Mohith S Redd/536971926009/</t>
  </si>
  <si>
    <t>UPI/MOHITH S REDDY/500303860417/Paid via SuperM</t>
  </si>
  <si>
    <t>UPI-500323327603</t>
  </si>
  <si>
    <t>UPI/IRCTC CF/500306167352/IRCTC TICKET BO</t>
  </si>
  <si>
    <t>UPI-500334139244</t>
  </si>
  <si>
    <t>NEFT YESF350043585008 ZERODHA BROKING LTD DSCNB A</t>
  </si>
  <si>
    <t>NEFTINW-1083390676</t>
  </si>
  <si>
    <t>UPI/NAGARAJ V R/537026056673/UPI</t>
  </si>
  <si>
    <t>UPI-500465784384</t>
  </si>
  <si>
    <t>UPI/VISHWAS S G SHA/500413154574/Paid via SuperM</t>
  </si>
  <si>
    <t>UPI-500467183303</t>
  </si>
  <si>
    <t>UPI/DARSHINI H P/500413393939/Paid via SuperM</t>
  </si>
  <si>
    <t>UPI-500468308347</t>
  </si>
  <si>
    <t>UPI/Mehak Islam/500413640725/Paid via SuperM</t>
  </si>
  <si>
    <t>UPI-500469433166</t>
  </si>
  <si>
    <t>UPI/SHANKARAPPA/500414607123/Paid via SuperM</t>
  </si>
  <si>
    <t>UPI-500473895286</t>
  </si>
  <si>
    <t>UPI/BMTC BUS KA57F0/500415658573/Pay to Merchant</t>
  </si>
  <si>
    <t>UPI-500478855078</t>
  </si>
  <si>
    <t>UPI/CHAI VENUE 02/500415820820/Paid via SuperM</t>
  </si>
  <si>
    <t>UPI-500479623667</t>
  </si>
  <si>
    <t>UPI/PRADEEP  R/500520245483/Pay to BharatPe</t>
  </si>
  <si>
    <t>UPI-500501096447</t>
  </si>
  <si>
    <t>UPI/AMARNATHCHALAMC/500564975600/alrefund</t>
  </si>
  <si>
    <t>UPI-500515383326</t>
  </si>
  <si>
    <t>UPI/PREM BAHADUR CH/500523929670/Paid via SuperM</t>
  </si>
  <si>
    <t>UPI-500518547551</t>
  </si>
  <si>
    <t>UPI/MOHITHSREDDY/500513896382/UPI</t>
  </si>
  <si>
    <t>UPI-500519031293</t>
  </si>
  <si>
    <t>UPI/Sodexo Aditya B/500630097231/Paid via SuperM</t>
  </si>
  <si>
    <t>UPI-500646643227</t>
  </si>
  <si>
    <t>UPI/Chai eraumiya/500632824300/Paid via SuperM</t>
  </si>
  <si>
    <t>UPI-500657277703</t>
  </si>
  <si>
    <t>UPI/SNEGHA   M/500633753650/Paid via SuperM</t>
  </si>
  <si>
    <t>UPI-500660976533</t>
  </si>
  <si>
    <t>UPI/ARJUN PRASAD/500637412694/Paid via SuperM</t>
  </si>
  <si>
    <t>UPI-500676806059</t>
  </si>
  <si>
    <t>UPI/Sodexo Aditya B/500742409470/Paid via SuperM</t>
  </si>
  <si>
    <t>UPI-500799132341</t>
  </si>
  <si>
    <t>UPI/Chai eraumiya/500744483097/Paid via SuperM</t>
  </si>
  <si>
    <t>UPI-500707803192</t>
  </si>
  <si>
    <t>UPI/Sodexo Aditya B/500854217245/Paid via SuperM</t>
  </si>
  <si>
    <t>UPI-500852302004</t>
  </si>
  <si>
    <t>NEFT N008253501926262 INDIAN CLEARING CORPORATION</t>
  </si>
  <si>
    <t>NEFTINW-1088035863</t>
  </si>
  <si>
    <t>UPI/Chai eraumiya/500856556912/Paid via SuperM</t>
  </si>
  <si>
    <t>UPI-500862157736</t>
  </si>
  <si>
    <t>UPI/AVNEESH FAST FO/500859461156/Paid via SuperM</t>
  </si>
  <si>
    <t>UPI-500875575244</t>
  </si>
  <si>
    <t>UPI/KAPOORS CHAAT B/500861869176/Paid via SuperM</t>
  </si>
  <si>
    <t>UPI-500885961439</t>
  </si>
  <si>
    <t>UPI/T THIMMAPPA/500965744531/Paid via SuperM</t>
  </si>
  <si>
    <t>UPI-500903134599</t>
  </si>
  <si>
    <t>UPI/Chai eraumiya/500967848952/Paid via SuperM</t>
  </si>
  <si>
    <t>UPI-500911725055</t>
  </si>
  <si>
    <t>UPI/JASROOP SINGH C/500968326538/Paid via SuperM</t>
  </si>
  <si>
    <t>UPI-500913735823</t>
  </si>
  <si>
    <t>PCD/4395/BLR DOMESTIC LOUNGE/BANGALORE090125/18:42</t>
  </si>
  <si>
    <t>UPI/AJAY KUMAR JORW/500975593943/Paid via SuperM</t>
  </si>
  <si>
    <t>UPI-500945827299</t>
  </si>
  <si>
    <t>UPI/UBER INDIA SYST/501075929815/UberRide</t>
  </si>
  <si>
    <t>UPI-501047935614</t>
  </si>
  <si>
    <t>NEFT AXISCN0883722661 NIPPON INDIA SMALL CAP FUND</t>
  </si>
  <si>
    <t>NEFTINW-1090203955</t>
  </si>
  <si>
    <t>UPI_CRADJ_U2_TDT_100125_501075929815_100125_6C</t>
  </si>
  <si>
    <t>FOS2501057956096</t>
  </si>
  <si>
    <t>UPI/MAHI DUBEY/501190383755/Paid via SuperM</t>
  </si>
  <si>
    <t>UPI-501108032985</t>
  </si>
  <si>
    <t>UPI/MUKESH GOYAL/501197503838/Paid via SuperM</t>
  </si>
  <si>
    <t>UPI-501139052289</t>
  </si>
  <si>
    <t>UPI/RZPX/788763890135/SupermoneyRewar</t>
  </si>
  <si>
    <t>UPI-501324776665</t>
  </si>
  <si>
    <t>Recd:IMPS/501327193927/DREAMPURSE/KKBK/X4277/PaidV</t>
  </si>
  <si>
    <t>IMPS-501315155198</t>
  </si>
  <si>
    <t>UPI/RAJ KUMAR/538028859454/Paid via SuperM</t>
  </si>
  <si>
    <t>UPI-501472054910</t>
  </si>
  <si>
    <t>UPI/PRITI ENTERPRIS/501612448386/Paid via CRED</t>
  </si>
  <si>
    <t>UPI-501671112410</t>
  </si>
  <si>
    <t>UPI/CRED/501818277347/payment on CRED</t>
  </si>
  <si>
    <t>UPI-501882045745</t>
  </si>
  <si>
    <t>UPI/Miss. MEGHA  GU/501920176296/Paid via CRED a</t>
  </si>
  <si>
    <t>UPI-501916694471</t>
  </si>
  <si>
    <t>UPI/Miss. MEGHA  GU/501920238798/Paid via CRED a</t>
  </si>
  <si>
    <t>UPI-501917944055</t>
  </si>
  <si>
    <t>UPI/CRED/501920758953/payment on CRED</t>
  </si>
  <si>
    <t>UPI-501928012362</t>
  </si>
  <si>
    <t>UPI/CRED/502124835926/payment on CRED</t>
  </si>
  <si>
    <t>UPI-502105706826</t>
  </si>
  <si>
    <t>UPI/CRED/502228631239/payment on CRED</t>
  </si>
  <si>
    <t>UPI-502279340998</t>
  </si>
  <si>
    <t>UPI/CRED/502329384396/payment on CRED</t>
  </si>
  <si>
    <t>UPI-502394468295</t>
  </si>
  <si>
    <t>UPI/CRED/502534163145/payment on CRED</t>
  </si>
  <si>
    <t>UPI-502590576931</t>
  </si>
  <si>
    <t>UPI/AAYUSHKUMARGUPT/502586505096/UPI</t>
  </si>
  <si>
    <t>UPI-502594911405</t>
  </si>
  <si>
    <t>UPI/CRED/502741045181/payment on CRED</t>
  </si>
  <si>
    <t>UPI-502727718020</t>
  </si>
  <si>
    <t>NACH-MUT-DR-ZERODHA BROKING LTD-HTWNU38X6R6W</t>
  </si>
  <si>
    <t>NACHDR28012506300800</t>
  </si>
  <si>
    <t>UPI/CRED/502842595109/payment on CRED</t>
  </si>
  <si>
    <t>UPI-502860017486</t>
  </si>
  <si>
    <t>UPI/CRED/502943772281/payment on CRED</t>
  </si>
  <si>
    <t>UPI-502984542903</t>
  </si>
  <si>
    <t>UPI/CRED/503046625178/payment on CRED</t>
  </si>
  <si>
    <t>UPI-503040178640</t>
  </si>
  <si>
    <t>FCM-250130EY2HKX</t>
  </si>
  <si>
    <t>UPI/RAKESH POPAT AH/539736665013/Paid via SuperM</t>
  </si>
  <si>
    <t>UPI-503186870307</t>
  </si>
  <si>
    <t>UPI/BHARAT SHIVAJI /539857337977/Paid via SuperM</t>
  </si>
  <si>
    <t>UPI-503269038850</t>
  </si>
  <si>
    <t>UPI/NSK MAXX POPCOR/503357921550/Paid via CRED</t>
  </si>
  <si>
    <t>UPI-503321621179</t>
  </si>
  <si>
    <t>UPI/Pizza And Kabab/539970971486/Paid via SuperM</t>
  </si>
  <si>
    <t>UPI-503325814764</t>
  </si>
  <si>
    <t>UPI/BHARAT SHIVAJI /539972472879/Paid via SuperM</t>
  </si>
  <si>
    <t>UPI-503332839414</t>
  </si>
  <si>
    <t>UPI/SOMESHRAMESHPAN/540023880379/UPI</t>
  </si>
  <si>
    <t>UPI-503458734970</t>
  </si>
  <si>
    <t>UPI/Zerodha Broking/503482444034/237312860955769</t>
  </si>
  <si>
    <t>UPI-503461148621</t>
  </si>
  <si>
    <t>UPI/MOHITH S REDDY/503562029985/Paid via CRED</t>
  </si>
  <si>
    <t>UPI-503596021896</t>
  </si>
  <si>
    <t>UPI/PRAFUL KRISHNAR/503638310244/9th Feb photogr</t>
  </si>
  <si>
    <t>UPI-503689272680</t>
  </si>
  <si>
    <t>UPI/Mr RAMESH PUNDL/503869905853/Paid via CRED</t>
  </si>
  <si>
    <t>UPI-503856907091</t>
  </si>
  <si>
    <t>UPI/RISHABH GUPTA/504177120310/Paid via CRED</t>
  </si>
  <si>
    <t>UPI-504120131035</t>
  </si>
  <si>
    <t>UPI/DHARMENDRA  KUM/504178722414/Paid via CRED</t>
  </si>
  <si>
    <t>UPI-504160408980</t>
  </si>
  <si>
    <t>UPI/Mr Dharmendra K/540793206174/UPI</t>
  </si>
  <si>
    <t>UPI-504161211188</t>
  </si>
  <si>
    <t>UPI/TEJU BAI BADOLI/504279136447/Paid via CRED</t>
  </si>
  <si>
    <t>UPI-504270915528</t>
  </si>
  <si>
    <t>NEFT AXISCN0915269799 NIPPON INDIA SMALL CAP FUND</t>
  </si>
  <si>
    <t>NEFTINW-1122845509</t>
  </si>
  <si>
    <t>UPI/UBER INDIA SYST/145108900435/Pay via Razorpa</t>
  </si>
  <si>
    <t>UPI-504361998988</t>
  </si>
  <si>
    <t>UPI/Bangalore Metro/541216862101/Paid via SuperM</t>
  </si>
  <si>
    <t>UPI-504674570216</t>
  </si>
  <si>
    <t>UPI/Bangalore Metro/541216876050/Paid via SuperM</t>
  </si>
  <si>
    <t>UPI-504674604935</t>
  </si>
  <si>
    <t>UPI/CHAI VENUE 02/541217340874/Paid via SuperM</t>
  </si>
  <si>
    <t>UPI-504676498083</t>
  </si>
  <si>
    <t>UPI/IRCTC CF/100006750671/IRCTC TICKET BO</t>
  </si>
  <si>
    <t>UPI-504678751106</t>
  </si>
  <si>
    <t>UPI/VIKETH C/504696259010/airtel wifi con</t>
  </si>
  <si>
    <t>UPI-504679827795</t>
  </si>
  <si>
    <t>UPI/SHAMSHUDDIN/541218566045/Paid via SuperM</t>
  </si>
  <si>
    <t>UPI-504682072096</t>
  </si>
  <si>
    <t>UPI/IRCTC CF/100007578172/IRCTC TICKET BO</t>
  </si>
  <si>
    <t>UPI-504686821507</t>
  </si>
  <si>
    <t>UPI/paddu center/541221977084/Merchant QR</t>
  </si>
  <si>
    <t>UPI-504699140683</t>
  </si>
  <si>
    <t>UPI/CHAI VENUE 02/541222034585/Paid via SuperM</t>
  </si>
  <si>
    <t>UPI-504699435280</t>
  </si>
  <si>
    <t>UPI/IRCTCCF/100009179737/UPIRefund</t>
  </si>
  <si>
    <t>UPI-504603566088</t>
  </si>
  <si>
    <t>UPI/SUNITASAINIWOMU/541327787930/Paid via SuperM</t>
  </si>
  <si>
    <t>UPI-504727361397</t>
  </si>
  <si>
    <t>UPI/CHAI VENUE 02/541327849492/Paid via SuperM</t>
  </si>
  <si>
    <t>UPI-504727564082</t>
  </si>
  <si>
    <t>UPI/BMTC BUS KA01AR/541329613522/Paid via SuperM</t>
  </si>
  <si>
    <t>UPI-504735705394</t>
  </si>
  <si>
    <t>UPI/Mr Pankaj Kumar/541330137380/Paid via SuperM</t>
  </si>
  <si>
    <t>UPI-504738232573</t>
  </si>
  <si>
    <t>UPI/DOMINOS PIZZA/541330215420/Paid via SuperM</t>
  </si>
  <si>
    <t>UPI-504738614589</t>
  </si>
  <si>
    <t>UPI/AMAR SINGH/541330745897/Pay to BharatPe</t>
  </si>
  <si>
    <t>UPI-504741239827</t>
  </si>
  <si>
    <t>UPI/BMTC BUS KA57F1/541332535612/Pay to Merchant</t>
  </si>
  <si>
    <t>UPI-504750542610</t>
  </si>
  <si>
    <t>UPI/CHAI VENUE 02/541332970403/Paid via SuperM</t>
  </si>
  <si>
    <t>UPI-504752919637</t>
  </si>
  <si>
    <t>UPI/GOWRI GAJANAND /541335845819/Paid via SuperM</t>
  </si>
  <si>
    <t>UPI-504766699374</t>
  </si>
  <si>
    <t>UPI/BMTC BUS KA57F0/541438649594/Pay to Merchant</t>
  </si>
  <si>
    <t>UPI-504881301232</t>
  </si>
  <si>
    <t>UPI/Sodexo Aditya B/541439186353/Paid via SuperM</t>
  </si>
  <si>
    <t>UPI-504883238773</t>
  </si>
  <si>
    <t>UPI/ARCHITA GUPTA/504891943813/wakefit</t>
  </si>
  <si>
    <t>UPI-504826409113</t>
  </si>
  <si>
    <t>UPI/ABDUL BATEN/541448450760/Paid via SuperM</t>
  </si>
  <si>
    <t>UPI-504828104439</t>
  </si>
  <si>
    <t>NACH-ECS-CR-NTPC-2-INT DIV 24-25-NT3101252613078</t>
  </si>
  <si>
    <t>NACHDB18022506362100</t>
  </si>
  <si>
    <t>NACH-ECS-CR-CAMS 3INTDIV 24 25-305528</t>
  </si>
  <si>
    <t>NACHDB18022512394300</t>
  </si>
  <si>
    <t>UPI/Sodexo Aditya B/541661353709/Paid via SuperM</t>
  </si>
  <si>
    <t>UPI-505088483406</t>
  </si>
  <si>
    <t>UPI/CHAI FUSION CAF/541668230856/Paid via SuperM</t>
  </si>
  <si>
    <t>UPI-505020474955</t>
  </si>
  <si>
    <t>UPI/SRI GAJANANA FR/541668692270/Paid via SuperM</t>
  </si>
  <si>
    <t>UPI-505022581153</t>
  </si>
  <si>
    <t>UPI/Sodexo Aditya B/541882494002/Paid via SuperM</t>
  </si>
  <si>
    <t>UPI-505288004279</t>
  </si>
  <si>
    <t>UPI/HARSHA DEEPAK B/505297583971/Paid via CRED</t>
  </si>
  <si>
    <t>UPI-505295552109</t>
  </si>
  <si>
    <t>UPI/VSJ ENTERPRISES/541885124681/Paid via SuperM</t>
  </si>
  <si>
    <t>UPI-505299421358</t>
  </si>
  <si>
    <t>UPI/PUNEETH   KUMAR/541888225317/Paid via SuperM</t>
  </si>
  <si>
    <t>UPI-505213956769</t>
  </si>
  <si>
    <t>UPI/C R RATHNAMMA/541996627159/Paid via SuperM</t>
  </si>
  <si>
    <t>UPI-505354020588</t>
  </si>
  <si>
    <t>UPI/SUNITASAINIWOMU/505403311254/Paid via SuperM</t>
  </si>
  <si>
    <t>UPI-505487227086</t>
  </si>
  <si>
    <t>UPI/CHAI VENUE 02/505403336094/Paid via SuperM</t>
  </si>
  <si>
    <t>UPI-505487326830</t>
  </si>
  <si>
    <t>UPI/CHANDAN KUMAR S/505404137319/Paid via SuperM</t>
  </si>
  <si>
    <t>UPI-505490676226</t>
  </si>
  <si>
    <t>UPI/ANILAKUMAR PARA/505404834894/Paid via SuperM</t>
  </si>
  <si>
    <t>UPI-505493856184</t>
  </si>
  <si>
    <t>UPI/ABDUL   WAJID/505405496933/Paid via SuperM</t>
  </si>
  <si>
    <t>UPI-505496893782</t>
  </si>
  <si>
    <t>UPI/UMAPATHI/542001235563/Paid via CRED a</t>
  </si>
  <si>
    <t>UPI-505400688227</t>
  </si>
  <si>
    <t>UPI/NOV DIGITAL ENT/100049491416/UPI Mandate</t>
  </si>
  <si>
    <t>UPI-505403925980</t>
  </si>
  <si>
    <t>UPI/Nandini/505409714878/Paid via SuperM</t>
  </si>
  <si>
    <t>UPI-505418203835</t>
  </si>
  <si>
    <t>UPI/Sodexo Aditya B/505514205449/Paid via SuperM</t>
  </si>
  <si>
    <t>UPI-505540194124</t>
  </si>
  <si>
    <t>UPI/KHABIRUL  ISLAM/505522949355/Paid via SuperM</t>
  </si>
  <si>
    <t>UPI-505580976864</t>
  </si>
  <si>
    <t>UPI/Chai eraumiya/505627181168/Paid via SuperM</t>
  </si>
  <si>
    <t>UPI-505601058355</t>
  </si>
  <si>
    <t>UPI/AJAZ PASHA/505632324597/Paid via SuperM</t>
  </si>
  <si>
    <t>UPI-505625047942</t>
  </si>
  <si>
    <t>UPI/XXXPGN KOTAK 81/505632341738/Paid via SuperM</t>
  </si>
  <si>
    <t>UPI-505625128606</t>
  </si>
  <si>
    <t>UPI/Sodexo Aditya B/505735993583/Paid via SuperM</t>
  </si>
  <si>
    <t>UPI-505743811974</t>
  </si>
  <si>
    <t>UPI/AAYUSHKUMARGUPT/505744264201/PaidviaSuperMon</t>
  </si>
  <si>
    <t>UPI-505784196942</t>
  </si>
  <si>
    <t>NACH-10-CR-NESTLEINDIALTD-00000000000000194591</t>
  </si>
  <si>
    <t>NACHDB27022506330300</t>
  </si>
  <si>
    <t>UPI/SNEGHAM/505886941296/UPI</t>
  </si>
  <si>
    <t>UPI-505810506701</t>
  </si>
  <si>
    <t>NACH-MUT-DR-INDIAN CLEARING CORP-0000001JIHD173T2</t>
  </si>
  <si>
    <t>NACHDR28022506181300</t>
  </si>
  <si>
    <t>UPI/ARCHITGUPTA/505930400250/UPI</t>
  </si>
  <si>
    <t>UPI-505979750852</t>
  </si>
  <si>
    <t>NACH-10-CR-KFILINTDIV2425-00000000000000127654</t>
  </si>
  <si>
    <t>NACHDB03032518484701</t>
  </si>
  <si>
    <t>Recd:IMPS/506220824208/PERFIOS SO/KKBK/X9432/hdfcL</t>
  </si>
  <si>
    <t>IMPS-506220478459</t>
  </si>
  <si>
    <t>UPI/RZPX/646531000655/Supermoney Rewa</t>
  </si>
  <si>
    <t>UPI-506506579337</t>
  </si>
  <si>
    <t>NACH-ECS-CR-ITC LIMITED-1855762</t>
  </si>
  <si>
    <t>NACHDB07032512461200</t>
  </si>
  <si>
    <t>UPI/Nandini/543354163889/Paid via SuperM</t>
  </si>
  <si>
    <t>UPI-506739070505</t>
  </si>
  <si>
    <t>UPI/Nandini/543468082726/Paid via SuperM</t>
  </si>
  <si>
    <t>UPI-506815492670</t>
  </si>
  <si>
    <t>UPI/BMTC BUS KA57F0/543577556889/Pay to Merchant</t>
  </si>
  <si>
    <t>UPI-506967068248</t>
  </si>
  <si>
    <t>UPI/Nandini/543580746805/Paid via SuperM</t>
  </si>
  <si>
    <t>UPI-506983902415</t>
  </si>
  <si>
    <t>UPI/MAHESH  N/543683213914/Paid via SuperM</t>
  </si>
  <si>
    <t>UPI-507098877870</t>
  </si>
  <si>
    <t>UPI/RANI KUMARI/543687520282/Paid via SuperM</t>
  </si>
  <si>
    <t>UPI-507020715879</t>
  </si>
  <si>
    <t>UPI/Nandini/543690469766/Paid via SuperM</t>
  </si>
  <si>
    <t>UPI-507036334882</t>
  </si>
  <si>
    <t>NEFT AXISCN0941716941 NIPPON INDIA SMALL CAP FUND</t>
  </si>
  <si>
    <t>NEFTINW-1151035213</t>
  </si>
  <si>
    <t>UPI/Nandini/543797339354/Paid via SuperM</t>
  </si>
  <si>
    <t>UPI-507174843133</t>
  </si>
  <si>
    <t>UPI/Country Delight/507424226924/OidcdJP95944352</t>
  </si>
  <si>
    <t>UPI-507442583730</t>
  </si>
  <si>
    <t>UPI/MEGHA GUPTA/507434436982/UPI</t>
  </si>
  <si>
    <t>UPI-507472616613</t>
  </si>
  <si>
    <t>UPI/POPCLUBPAYOUTS/507434437548/CashbackFTUE ca</t>
  </si>
  <si>
    <t>UPI-507472620321</t>
  </si>
  <si>
    <t>UPI/POPCLUBPAYOUTS/507434438482/POP Cashback</t>
  </si>
  <si>
    <t>UPI-507472625049</t>
  </si>
  <si>
    <t>UPI/Zerodha Broking/507653556297/273569153733193</t>
  </si>
  <si>
    <t>UPI-507672785390</t>
  </si>
  <si>
    <t>UPI/LA PLAGE A UNIT/544829247554/Paid via SuperM</t>
  </si>
  <si>
    <t>UPI-508260534096</t>
  </si>
  <si>
    <t>UPI/K RAMAKRISHNAN/544936987536/Paid via SuperM</t>
  </si>
  <si>
    <t>UPI-508301170934</t>
  </si>
  <si>
    <t>UPI/VISHNU PRATHAP /545045872634/Paid via SuperM</t>
  </si>
  <si>
    <t>UPI-508447582589</t>
  </si>
  <si>
    <t>UPI/MRSALEEM ALLASA/545048271939/Paid via SuperM</t>
  </si>
  <si>
    <t>UPI-508457117939</t>
  </si>
  <si>
    <t>UPI/UMESH BISWAKARM/545053128890/Paid via SuperM</t>
  </si>
  <si>
    <t>UPI-508479812188</t>
  </si>
  <si>
    <t>UPI/MUKESH KUMAR CH/545184715583/commission</t>
  </si>
  <si>
    <t>UPI-508515384228</t>
  </si>
  <si>
    <t>UPI/Miss MEGHA  GUP/102162167048/UPI</t>
  </si>
  <si>
    <t>UPI-508626033658</t>
  </si>
  <si>
    <t>NACH-MUT-DR-ZERODHA BROKING LTD-JZPEFCBBZDEI</t>
  </si>
  <si>
    <t>NACHDR28032506440000</t>
  </si>
  <si>
    <t>UPI/UDUPI UPACHAR/545396430220/Paid via SuperM</t>
  </si>
  <si>
    <t>UPI-508783403647</t>
  </si>
  <si>
    <t>UPI/SHRADDHA K HEGD/545396921060/Paid via SuperM</t>
  </si>
  <si>
    <t>UPI-508785885548</t>
  </si>
  <si>
    <t>UPI/Mr SURESH K S/509030340309/Paid via SuperM</t>
  </si>
  <si>
    <t>UPI-509064810477</t>
  </si>
  <si>
    <t>UPI/T S ASHOKA/509030811839/Paid via SuperM</t>
  </si>
  <si>
    <t>UPI-509067155382</t>
  </si>
  <si>
    <t>Int.Pd:3649610333:01-01-2025 to 31-03-2025</t>
  </si>
  <si>
    <t>Transfer to Ajay</t>
  </si>
  <si>
    <t>Transfer from Sunita</t>
  </si>
  <si>
    <t>Transfer from Ajay</t>
  </si>
  <si>
    <t>Cash Deposit</t>
  </si>
  <si>
    <t>Debit</t>
  </si>
  <si>
    <t>Ye kya hai?</t>
  </si>
  <si>
    <t>Which income?</t>
  </si>
  <si>
    <t>HDFC STANDARD LIFE</t>
  </si>
  <si>
    <t>CARE HEALTH INSURANCE - RELIGARE</t>
  </si>
  <si>
    <t>What is this</t>
  </si>
  <si>
    <t>Deposit?</t>
  </si>
  <si>
    <t>LIFE INSURANCE COMPANY</t>
  </si>
  <si>
    <t>Upwork Income</t>
  </si>
  <si>
    <t>Advance Tax</t>
  </si>
  <si>
    <t>SIP - 7000</t>
  </si>
  <si>
    <t>SIP - 10000</t>
  </si>
  <si>
    <t>Income Tax Refund</t>
  </si>
  <si>
    <t>CDSL?</t>
  </si>
  <si>
    <t>Sale of MF</t>
  </si>
  <si>
    <t>Sale of MF??</t>
  </si>
  <si>
    <t>SIP</t>
  </si>
  <si>
    <t>MF Redemption</t>
  </si>
  <si>
    <t>HDFC Life</t>
  </si>
  <si>
    <t>All Banks</t>
  </si>
  <si>
    <t>Aayush Gupta Bank Summary</t>
  </si>
  <si>
    <t>₹</t>
  </si>
  <si>
    <t>Opening Balances</t>
  </si>
  <si>
    <t>01-04-2024 to 31-03-2025</t>
  </si>
  <si>
    <t>Opening</t>
  </si>
  <si>
    <t>Closing</t>
  </si>
  <si>
    <t>Rent - Mp</t>
  </si>
  <si>
    <t>NIL</t>
  </si>
  <si>
    <t>Brokerage (24000)+Deposit (80000)</t>
  </si>
  <si>
    <t>INTEREST PAID TILL 31-MAR-2025</t>
  </si>
  <si>
    <t>Savings Account  No.: 20052205306441</t>
  </si>
  <si>
    <t>Statement from 01-04-2024 To 31-03-2025</t>
  </si>
  <si>
    <t>IFSC Code : STCB0000065</t>
  </si>
  <si>
    <t>Customer ID : R003428697</t>
  </si>
  <si>
    <t>MICR Code : 110332002</t>
  </si>
  <si>
    <t>Cheque Details</t>
  </si>
  <si>
    <t>B/F</t>
  </si>
  <si>
    <t xml:space="preserve">to </t>
  </si>
  <si>
    <t>20052205306441:Int.Pd:</t>
  </si>
  <si>
    <t>20052205306441:Int.Pd:31-03-2024- to  30-04-2024</t>
  </si>
  <si>
    <t>20052205306441:Int.Pd:01-05-2024- to  31-05-2024</t>
  </si>
  <si>
    <t>20052205306441:Int.Pd:01-06-2024- to  30-06-2024</t>
  </si>
  <si>
    <t>20052205306441:Int.Pd:01-07-2024- to  31-07-2024</t>
  </si>
  <si>
    <t>20052205306441:Int.Pd:01-08-2024- to  31-08-2024</t>
  </si>
  <si>
    <t>20052205306441:Int.Pd:01-09-2024- to  30-09-2024</t>
  </si>
  <si>
    <t>20052205306441:Int.Pd:01-10-2024- to  31-10-2024</t>
  </si>
  <si>
    <t>20052205306441:Int.Pd:01-11-2024- to  30-11-2024</t>
  </si>
  <si>
    <t>20052205306441:Int.Pd:01-12-2024- to  31-12-2024</t>
  </si>
  <si>
    <t>20052205306441:Int.Pd:01-01-2025- to  31-01-2025</t>
  </si>
  <si>
    <t>20052205306441:Int.Pd:01-02-2025- to  28-02-2025</t>
  </si>
  <si>
    <t>20052205306441:Int.Pd:01-03-2025- to  31-03-2025</t>
  </si>
  <si>
    <t>SBM</t>
  </si>
  <si>
    <t>Cost Centre</t>
  </si>
  <si>
    <t>Account Head</t>
  </si>
  <si>
    <t>01-04-2024 NET PI TO HSL SEC A/C 2554606-00602340029427</t>
  </si>
  <si>
    <t>01-04-2024 ACH D- TP ACH INDIANESIGN-1400211801</t>
  </si>
  <si>
    <t>01-04-2024    TO TRANSFER-UPI/DR/409241614305/NELABALL/UTIB/alphalivin/UPI--</t>
  </si>
  <si>
    <t>02-04-2024 NET PO FROM HSL A/C 2554606-50200085415108</t>
  </si>
  <si>
    <t>02-04-2024 NET PI TO HSL SEC A/C 2554606-00602340029427</t>
  </si>
  <si>
    <t>02-04-2024    BY TRANSFER-UPI/CR/409308961216/AAYUSH K/KKBK/9594435259/MB UP--</t>
  </si>
  <si>
    <t>02-04-2024    BY TRANSFER-UPI/CR/409364666330/ADARSH N/HDFC/adusma02-1/UPI--</t>
  </si>
  <si>
    <t>02-04-2024    BY TRANSFER-UPI/CR/409364703330/K PRAMOD/HDFC/kpramodkri/UPI--</t>
  </si>
  <si>
    <t>02-04-2024    BY TRANSFER-UPI/CR/445977564613/ADARSH K M/UTIB/coorgadars/Pay--</t>
  </si>
  <si>
    <t>02-04-2024    BY TRANSFER-UPI/CR/445927539114/MONISH K/ICIC/8296488092/Payme--</t>
  </si>
  <si>
    <t>02-04-2024    BY TRANSFER-UPI/CR/409341661367/SHASHANK/HDFC/9880498899/Sent--</t>
  </si>
  <si>
    <t>02-04-2024 UPI/AAYUSH KUMAR GU/409308961216/MB UPI</t>
  </si>
  <si>
    <t>02-04-2024 UPI/AAYUSH KUMAR GU/409319949339/MB UPI</t>
  </si>
  <si>
    <t>02-04-2024 UPIOUT/409397404482/
paytmqr1dvntqhgaz@ paytm//5462</t>
  </si>
  <si>
    <t>02-04-2024 UPIOUT/409339830970/
gokhana.payu@indus/ UPIIn/7311</t>
  </si>
  <si>
    <t>02-04-2024 UPIOUT/409311132507/
payzomato@hdfcbank/Sent
/5814</t>
  </si>
  <si>
    <t>02-04-2024 UPI IN/409319949339/9594435259
@kotak/MB UPI/0000</t>
  </si>
  <si>
    <t>02-04-2024 UPIOUT/409312264752/
ashokanknk1985@okicici/S/0000</t>
  </si>
  <si>
    <t>02-04-2024 UPIOUT/409313107361/
zomatoltd9.rzp@mairtel/P/5811</t>
  </si>
  <si>
    <t>02-04-2024 UPIOUT/409313529213/rapido.
rzp@icici/Payment/4121</t>
  </si>
  <si>
    <t>03-04-2024 NET PI TO HSL SEC A/C 2554606-00602340029427</t>
  </si>
  <si>
    <t>03-04-2024 UPIOUT/409418186188/
Q651974618@ybl/Sent via /5814</t>
  </si>
  <si>
    <t>03-04-2024 UPI REFUND RRC 409145904712</t>
  </si>
  <si>
    <t>03-04-2024 UPIOUT/409420241196/
paytmqr3zacjjhvyp@paytm//5462</t>
  </si>
  <si>
    <t>04-04-2024 NET PO FROM HSL A/C 2554606-50200085415108</t>
  </si>
  <si>
    <t>04-04-2024 01671000060094-TPT-TO MUMMY-SUNITA GUPTA</t>
  </si>
  <si>
    <t>04-04-2024 NET PI TO HSL SEC A/C 2554606-00602340029427</t>
  </si>
  <si>
    <t>04-04-2024 UPI/AAYUSH KUMAR GU/409518581802/MB UPI</t>
  </si>
  <si>
    <t>04-04-2024 UPIOUT/409524533570/
zomatoltd9.rzp@mairtel/P/5811</t>
  </si>
  <si>
    <t>04-04-2024 UPI IN/409518581802/9594435259
@kotak/MB UPI/0000</t>
  </si>
  <si>
    <t>04-04-2024 UPIOUT/409527353958/998092
5903@ibl/Sent via /0000</t>
  </si>
  <si>
    <t>04-04-2024 UPIOUT/409528741307/
zomato-order@paytm/ Zomat/5812</t>
  </si>
  <si>
    <t>04-04-2024 UPIOUT/409528978527/938076
1013@paytm/Sent vi/0000</t>
  </si>
  <si>
    <t>05-04-2024 NET PO FROM HSL A/C 2554606-50200085415108</t>
  </si>
  <si>
    <t>05-04-2024 NET PI TO HSL SEC A/C 2554606-00602340029427</t>
  </si>
  <si>
    <t>05-04-2024 DEPOSITORY CHARGES MAR24 - 52812428</t>
  </si>
  <si>
    <t>05-04-2024 UPIOUT/409631112280/
Q676438340@ybl/Sent via /5812</t>
  </si>
  <si>
    <t>05-04-2024 UPIOUT/409633002087/
zomato-order@paytm/ Zomat/5812</t>
  </si>
  <si>
    <t>05-04-2024 UPIOUT/409634938769/
paytmqr2810050501014ev0m/58 12</t>
  </si>
  <si>
    <t>05-04-2024 UPIOUT/409635741109/rapido.
rzp@icici/Payment/4121</t>
  </si>
  <si>
    <t>05-04-2024 UPIOUT/409635999364/948088
7151@kotak/Sent vi/0000</t>
  </si>
  <si>
    <t>06-04-2024    BY TRANSFER-NEFT*YESB0000001*YESB40973500546*ZERODHA BROKING L--</t>
  </si>
  <si>
    <t>06-04-2024 UPIOUT/409740412335/
dk031089-1@okaxis/Sent v/0000</t>
  </si>
  <si>
    <t>06-04-2024 UPIOUT/409741437061/
zomato-order@paytm/ Zomat/5814</t>
  </si>
  <si>
    <t>06-04-2024 UPIOUT/409741714291/761940
9652@ybl/Sent via /0000</t>
  </si>
  <si>
    <t>07-04-2024    TO TRANSFER-UPI/DR/409845869033/Ajithkumar/KKBK/6383724961/Sen--</t>
  </si>
  <si>
    <t>07-04-2024 UPI/AAYUSH KUMAR GU/409860235500/UPI</t>
  </si>
  <si>
    <t>07-04-2024 UPIOUT/409845421519/
zomato-order@paytm/ Zomat/5814</t>
  </si>
  <si>
    <t>07-04-2024 UPIOUT/409845708938/
Q674963589@ybl/Sent via /5814</t>
  </si>
  <si>
    <t>07-04-2024 UPI IN/409860235500/
aayush20gupta-2@oksbi/</t>
  </si>
  <si>
    <t>07-04-2024 UPIOUT/409846392126/917619
591582@paytm/Sent /0000</t>
  </si>
  <si>
    <t>07-04-2024 UPIOUT/409846423002/
Q482978637@ybl/Sent via /5812</t>
  </si>
  <si>
    <t>07-04-2024 UPIOUT/409847012370/
zomatoonlineorder.rzp@ic/5811</t>
  </si>
  <si>
    <t>07-04-2024 UPIOUT/409847542255/
ameenuddeen75-1@okaxis/ S/0000</t>
  </si>
  <si>
    <t>08-04-2024 NET PI TO HSL SEC A/C 2554606-00602340029427</t>
  </si>
  <si>
    <t>08-04-2024 HDFCLIFE CENTR-027086150</t>
  </si>
  <si>
    <t>08-04-2024 UPI/Setu BrokenTusk/409900283744/Account Verific</t>
  </si>
  <si>
    <t>08-04-2024 UPIOUT/409950113342/
Q429259031@ybl/Sent via /5814</t>
  </si>
  <si>
    <t>08-04-2024 UPIOUT/409909465458/
bharatpe.90068347282@ fbp/7230</t>
  </si>
  <si>
    <t>09-04-2024 NET PI TO HSL SEC A/C 2554606-00602340029427</t>
  </si>
  <si>
    <t>09-04-2024 UPI/AAYUSH KUMAR GU/410013514219/UPI</t>
  </si>
  <si>
    <t>09-04-2024 UPI IN/410013514219/
aayush20gupta-3@okicici//0000</t>
  </si>
  <si>
    <t>09-04-2024 UPIOUT/410058801403/
Q403465439@ybl/Sent via /5812</t>
  </si>
  <si>
    <t>10-04-2024 NET PO FROM HSL A/C 2554606-50200085415108</t>
  </si>
  <si>
    <t>10-04-2024 NET PI TO HSL SEC A/C 2554606-00602340029427</t>
  </si>
  <si>
    <t>10-04-2024    BY TRANSFER-UPI/CR/446766838451/MOHANA P/KKBK/7904299233/Payme--</t>
  </si>
  <si>
    <t>10-04-2024 UPI_CRADJ_U2_TDT_080424_409900283744_10APR2024_7C</t>
  </si>
  <si>
    <t>12-04-2024 NET PO FROM HSL A/C 2554606-50200085415108</t>
  </si>
  <si>
    <t>12-04-2024 NET PI TO HSL SEC A/C 2554606-00602340029427</t>
  </si>
  <si>
    <t>12-04-2024 UPI/Zerodha Broking/410380501907/448310154506035</t>
  </si>
  <si>
    <t>12-04-2024 REV-UPI/Zerodha Broki/410380501907/</t>
  </si>
  <si>
    <t>12-04-2024 Recd:IMPS/410309449048/ZERODHA BR/KKBK/X3413/IMPS</t>
  </si>
  <si>
    <t>12-04-2024 UPI/Zerodha/410384058067/141141334036312</t>
  </si>
  <si>
    <t>12-04-2024 UPI/CHINNA SWAMY  R/410353464865/UPI</t>
  </si>
  <si>
    <t>13-04-2024 UPI/AAYUSH KUMAR GU/410480092425/ADDMONEY</t>
  </si>
  <si>
    <t>13-04-2024 UPI/RAHUL AGARWAL/447012952315/UPI</t>
  </si>
  <si>
    <t>13-04-2024 UPI IN/410480092425/9594435259
@jupiteraxis/A/0000</t>
  </si>
  <si>
    <t>14-04-2024 UPI/Nagaraj  A/410511624982/UPI</t>
  </si>
  <si>
    <t>14-04-2024 UPI/KOMMURI JAGADIS/410512463371/UPI</t>
  </si>
  <si>
    <t>15-04-2024 NET PI TO HSL SEC A/C 2554606-00602340029427</t>
  </si>
  <si>
    <t>15-04-2024    TO TRANSFER-UPI/DR/410617540948/ARCHIT G/UTIB/archit4801/UPI--</t>
  </si>
  <si>
    <t>15-04-2024 UPI/ARCHIT GUPTA/410634004305/UPI</t>
  </si>
  <si>
    <t>15-04-2024 PG INDIAN CLEARING CORP</t>
  </si>
  <si>
    <t>15-04-2024 NFT/ NEOSIEXEDDD2024041502302
824034 Mirae Asset Mut</t>
  </si>
  <si>
    <t>16-04-2024 NET PO FROM HSL A/C 2554606-50200085415108</t>
  </si>
  <si>
    <t>16-04-2024 NET PI TO HSL SEC A/C 2554606-00602340029427</t>
  </si>
  <si>
    <t>16-04-2024 YHDF2301856276/BILLDKINDIANCLEARING</t>
  </si>
  <si>
    <t>16-04-2024 UPI/ARCHIT GUPTA/410737012268/Paid via CRED a</t>
  </si>
  <si>
    <t>16-04-2024 UPI/ARCHIT GUPTA/410743282961/Paid via CRED a</t>
  </si>
  <si>
    <t>16-04-2024 UPI/ARCHIT GUPTA/447379909052/Paid via CRED a</t>
  </si>
  <si>
    <t>16-04-2024 UPI/MYNTRA DESIGNS /447367977121/UPIIntent</t>
  </si>
  <si>
    <t>16-04-2024 UPI/AAYUSH KUMAR GU/410798005765/ADDMONEY</t>
  </si>
  <si>
    <t>16-04-2024 UPI/Aditya Birla So/447341452275/Paid via CRED</t>
  </si>
  <si>
    <t>16-04-2024 UPI/PRASAD SHETTY/410746487309/UPI</t>
  </si>
  <si>
    <t>16-04-2024 Recd:IMPS/410720539655/FLIPKART I/KKBK/X1838/FT240</t>
  </si>
  <si>
    <t>16-04-2024 UPI IN/410798005765/9594435259
@jupiteraxis/A/0000</t>
  </si>
  <si>
    <t>17-04-2024 UPI/Axis/410847142015/payment on CRED</t>
  </si>
  <si>
    <t>17-04-2024 UPI/NAANCHA HOSPITA/447416230941/Paid via CRED</t>
  </si>
  <si>
    <t>17-04-2024 UPI/SHIV NARAYAN YA/447451408669/Paid via CRED</t>
  </si>
  <si>
    <t>17-04-2024 UPI/SANSAR CENTRE/410871423165/Paid via CRED</t>
  </si>
  <si>
    <t>18-04-2024 NET PO FROM HSL A/C 2554606-50200085415108</t>
  </si>
  <si>
    <t>18-04-2024 NET PI TO HSL SEC A/C 2554606-00602340029427</t>
  </si>
  <si>
    <t>18-04-2024 UPIOUT/410920147275/
paytmqr1gs01dt6zx@ paytm//5812</t>
  </si>
  <si>
    <t>19-04-2024 NET PI TO HSL SEC A/C 2554606-00602340029427</t>
  </si>
  <si>
    <t>21-04-2024 SMS Alerts Chrgs Incl GST</t>
  </si>
  <si>
    <t>21-04-2024 UPI/Axis/447838732796/payment on CRED</t>
  </si>
  <si>
    <t>21-04-2024 MB:PAID CARD NUMBER XX3381</t>
  </si>
  <si>
    <t>21-04-2024 UPI/Lakshmi Prasad /447867321154/Paid via CRED</t>
  </si>
  <si>
    <t>22-04-2024 NET PI TO HSL SEC A/C 2554606-00602340029427</t>
  </si>
  <si>
    <t>22-04-2024 UPI/SUBRAT  TRIPATH/411356883255/UPI</t>
  </si>
  <si>
    <t>23-04-2024 NET PO FROM HSL A/C 2554606-50200085415108</t>
  </si>
  <si>
    <t>23-04-2024 NET PI TO HSL SEC A/C 2554606-00602340029427</t>
  </si>
  <si>
    <t>23-04-2024    BY TRANSFER-UPI/CR/411456275014/AAYUSH K/FDRL/9594435259/Sent--</t>
  </si>
  <si>
    <t>23-04-2024 UPIOUT/411456275014/
aayush20gupta@oksbi/ Sent/0000</t>
  </si>
  <si>
    <t>24-04-2024 NET PI TO HSL SEC A/C 2554606-00602340029427</t>
  </si>
  <si>
    <t>25-04-2024 NET PO FROM HSL A/C 2554606-50200085415108</t>
  </si>
  <si>
    <t>25-04-2024 NET PI TO HSL SEC A/C 2554606-00602340029427</t>
  </si>
  <si>
    <t>25-04-2024 UPI/TIBIL COMPUTER /448213133723/UPI</t>
  </si>
  <si>
    <t>25-04-2024 UPI/Google Play Sto/411674555803/MandateExecute</t>
  </si>
  <si>
    <t>26-04-2024 NET PO FROM HSL A/C 2554606-50200085415108</t>
  </si>
  <si>
    <t>26-04-2024 NET PI TO HSL SEC A/C 2554606-00602340029427</t>
  </si>
  <si>
    <t>27-04-2024 UPI/PRASAD SHETTY/411810615819/UPI</t>
  </si>
  <si>
    <t>28-04-2024    TO TRANSFER-UPI/DR/448503591089/Zerodha/YESB/zerodhabro/501854--</t>
  </si>
  <si>
    <t>29-04-2024 NET PO FROM HSL A/C 2554606-50200085415108</t>
  </si>
  <si>
    <t>29-04-2024 ACH D- TP ACH INDIANESIGN-1424093900</t>
  </si>
  <si>
    <t>29-04-2024 NET PI TO HSL SEC A/C 2554606-00602340029427</t>
  </si>
  <si>
    <t>29-04-2024 SALARYTRANS</t>
  </si>
  <si>
    <t>30-04-2024 NET PO FROM HSL A/C 2554606-50200085415108</t>
  </si>
  <si>
    <t>30-04-2024 ACH D- TP ACH INDIANESIGN-1426353840</t>
  </si>
  <si>
    <t>30-04-2024 NET PI TO HSL SEC A/C 2554606-00602340029427</t>
  </si>
  <si>
    <t>30-04-2024    BY TRANSFER-UPI/CR/412101194543/AAYUSH K/KKBK/9594435259/MB UP--</t>
  </si>
  <si>
    <t>30-04-2024 UPI/AAYUSH KUMAR GU/412101194543/MB UPI</t>
  </si>
  <si>
    <t>30-04-2024 UPI/HAKEEM HADI MAQ/412140848489/UPI</t>
  </si>
  <si>
    <t>30-04-2024 UPI/AJAY/412114749591/UPI</t>
  </si>
  <si>
    <t>30-04-2024 UPI/DIGVIJAY/412125769450/Pay to BharatPe</t>
  </si>
  <si>
    <t>01-05-2024 20052205306441:Int.Pd:31-03-2024- to  30-04-2024</t>
  </si>
  <si>
    <t>02-05-2024 NET PI TO HSL SEC A/C 2554606-00602340029427</t>
  </si>
  <si>
    <t>03-05-2024 ISAQMC-JAN-MAR24-417944 260424-MIR2512491109879</t>
  </si>
  <si>
    <t>03-05-2024 NET PI TO HSL SEC A/C 2554606-00602340029427</t>
  </si>
  <si>
    <t>03-05-2024 ATW-652166XXXXXX7402-S1ANMN04-NASHIK</t>
  </si>
  <si>
    <t>05-05-2024 UPI/NELABALLI PRADE/412652501217/PG fees</t>
  </si>
  <si>
    <t>05-05-2024 UPI/Axis/449260771925/payment on CRED</t>
  </si>
  <si>
    <t>06-05-2024 NET PI TO HSL SEC A/C 2554606-00602340029427</t>
  </si>
  <si>
    <t>06-05-2024 UPI/SUBRAT  TRIPATH/412789253690/UPI</t>
  </si>
  <si>
    <t>07-05-2024 NET PO FROM HSL A/C 2554606-50200085415108</t>
  </si>
  <si>
    <t>07-05-2024 NET PI TO HSL SEC A/C 2554606-00602340029427</t>
  </si>
  <si>
    <t>07-05-2024 HDFCLIFE CENTR-027651267</t>
  </si>
  <si>
    <t>07-05-2024 UPI/Mr ANANDA M/412842830199/UPI</t>
  </si>
  <si>
    <t>08-05-2024 NET PI TO HSL SEC A/C 2554606-00602340029427</t>
  </si>
  <si>
    <t>08-05-2024 UPI/IRCTC CF/412954399010/IRCTC TICKET BO</t>
  </si>
  <si>
    <t>09-05-2024 NET PO FROM HSL A/C 2554606-50200085415108</t>
  </si>
  <si>
    <t>09-05-2024 NET PI TO HSL SEC A/C 2554606-00602340029427</t>
  </si>
  <si>
    <t>09-05-2024 DEPOSITORY CHARGES APR24 - 52812428</t>
  </si>
  <si>
    <t>09-05-2024    TO TRANSFER-UPI/DR/413028375248/Tobox Ve/YESB/paytm-1446/UPI--</t>
  </si>
  <si>
    <t>09-05-2024    TO TRANSFER-UPI/DR/413028434538/Tobox Ve/YESB/paytm-1446/UPI--</t>
  </si>
  <si>
    <t>09-05-2024    TO TRANSFER-UPI/DR/413030079091/Tobox Ve/YESB/paytm-1446/UPI--</t>
  </si>
  <si>
    <t>09-05-2024    TO TRANSFER-UPI/DR/413031032292/Tobox Ve/YESB/paytm-1446/UPI--</t>
  </si>
  <si>
    <t>09-05-2024    BY TRANSFER-UPI/CR/449613145879/SARGARAJ/KKBK/8590554623/Payme--</t>
  </si>
  <si>
    <t>09-05-2024 UPI/MYNTRA DESIGNS /413012109533/Upi Transaction</t>
  </si>
  <si>
    <t>09-05-2024 UPI/MYNTRA DESIGNS /413013204545/Upi Transaction</t>
  </si>
  <si>
    <t>09-05-2024 UPI/DIGVATSA B PRAS/413037819772/Fig n Honey</t>
  </si>
  <si>
    <t>09-05-2024 UPI/FASHNEAR TECHNO/413022739497/Upi Transaction</t>
  </si>
  <si>
    <t>09-05-2024 UPI/RAHUL AGARWAL/413054534680/UPI</t>
  </si>
  <si>
    <t>10-05-2024 NET PI TO HSL SEC A/C 2554606-00602340029427</t>
  </si>
  <si>
    <t>10-05-2024 UPI/MYNTRA DESIGNS /413104841243/Refund for UPI</t>
  </si>
  <si>
    <t>10-05-2024 UPI/TIBIL COMPUTER /449713898460/UPI</t>
  </si>
  <si>
    <t>12-05-2024 UPI/Pratiksha  Sukl/413341681020/UPI</t>
  </si>
  <si>
    <t>12-05-2024 UPI/RAJASTHAN SWEET/413380778188/Pay to BharatPe</t>
  </si>
  <si>
    <t>13-05-2024 NET PI TO HSL SEC A/C 2554606-00602340029427</t>
  </si>
  <si>
    <t>13-05-2024 UPI/RAJASTHAN SWEET/413435241644/Pay to BharatPe</t>
  </si>
  <si>
    <t>14-05-2024 NET PO FROM HSL A/C 2554606-50200085415108</t>
  </si>
  <si>
    <t>14-05-2024 NET PI TO HSL SEC A/C 2554606-00602340029427</t>
  </si>
  <si>
    <t>14-05-2024 UPI/AJAY/413501873334/UPI</t>
  </si>
  <si>
    <t>15-05-2024 NET PO FROM HSL A/C 2554606-50200085415108</t>
  </si>
  <si>
    <t>15-05-2024 NET PI TO HSL SEC A/C 2554606-00602340029427</t>
  </si>
  <si>
    <t>15-05-2024 UPI/MOHD HASHIM/450243483393/Pay to BharatPe</t>
  </si>
  <si>
    <t>16-05-2024 NET PO FROM HSL A/C 2554606-50200085415108</t>
  </si>
  <si>
    <t>16-05-2024 NET PI TO HSL SEC A/C 2554606-00602340029427</t>
  </si>
  <si>
    <t>16-05-2024 ACH C- ORACLEFINANCIALSER-00000000000000</t>
  </si>
  <si>
    <t>16-05-2024 IMPS-413721392818-TAPITS TECHNOLOGIES-ICIC-XXXXXXXX8888-BANKACCOUN</t>
  </si>
  <si>
    <t>16-05-2024 UPI/FASHNEAR TECHNO/413713392397/Refund for UPI</t>
  </si>
  <si>
    <t>16-05-2024 UPI/DIGVATSA B PRAS/450353592087/Spanish Delight</t>
  </si>
  <si>
    <t>17-05-2024 NET PI TO HSL SEC A/C 2554606-00602340029427</t>
  </si>
  <si>
    <t>17-05-2024    BULK POSTING-ACHCr NACH00000000006422 LAURUS LABS LI--</t>
  </si>
  <si>
    <t>17-05-2024    BY TRANSFER-UPI/CR/450405067757/MOHANA P/KKBK/7904299233/Payme--</t>
  </si>
  <si>
    <t>17-05-2024 UPI/AAYUSH KUMAR GU/413856144623/Self transfer</t>
  </si>
  <si>
    <t>17-05-2024 UPI/AAYUSH KUMAR GU/413856342655/Self transfer</t>
  </si>
  <si>
    <t>17-05-2024 UPI/AAYUSH KUMAR GU/413859249444/Self transfer</t>
  </si>
  <si>
    <t>17-05-2024 IFN/ INBINBFT20240517063209434
Jupiter Rewards</t>
  </si>
  <si>
    <t>17-05-2024 UPIOUT/413856144623/959443
5259@jupiteraxis/S/0000</t>
  </si>
  <si>
    <t>17-05-2024 IFN/arMpXLmvgPlEKLWZ Withdraw from Interest Pot</t>
  </si>
  <si>
    <t>17-05-2024 UPIOUT/413856342655/959443
5259@jupiteraxis/S/0000</t>
  </si>
  <si>
    <t>17-05-2024 NFT/NAVI REDEMPTION/
N138243045353376/HDFC</t>
  </si>
  <si>
    <t>17-05-2024 UPIOUT/413859249444/959443
5259@jupiteraxis/S/0000</t>
  </si>
  <si>
    <t>18-05-2024 NET PI TO HSL SEC A/C 2554606-00602340029427</t>
  </si>
  <si>
    <t>20-05-2024 UPI/ANANDA  M/414156843995/UPI</t>
  </si>
  <si>
    <t>21-05-2024 NET PO FROM HSL A/C 2554606-50200085415108</t>
  </si>
  <si>
    <t>21-05-2024 NET PI TO HSL SEC A/C 2554606-00602340029427</t>
  </si>
  <si>
    <t>21-05-2024 UPI/MADHAMSETTY SAI/414290962755/UPI</t>
  </si>
  <si>
    <t>21-05-2024 Recd:IMPS/414213288543/Jupiter/KKBK/X8710/Penny</t>
  </si>
  <si>
    <t>21-05-2024 SBINT:23-03-2024 to
20-05-2024[77770101840847]</t>
  </si>
  <si>
    <t>21-05-2024 Dr Operative A/c</t>
  </si>
  <si>
    <t>22-05-2024 NET PI TO HSL SEC A/C 2554606-00602340029427</t>
  </si>
  <si>
    <t>22-05-2024 UPI/Axis/414318591881/payment on CRED</t>
  </si>
  <si>
    <t>23-05-2024 JANMAR24 INSTAALERTCHG 75 SMS 140524-MIR2514339870077</t>
  </si>
  <si>
    <t>24-05-2024 NET PO FROM HSL A/C 2554606-50200085415108</t>
  </si>
  <si>
    <t>24-05-2024 NET PI TO HSL SEC A/C 2554606-00602340029427</t>
  </si>
  <si>
    <t>24-05-2024 UPI/TIBIL COMPUTER /451100723823/Paid via CRED</t>
  </si>
  <si>
    <t>24-05-2024 UPI/KANTHARAJU/414559692109/UPI</t>
  </si>
  <si>
    <t>25-05-2024 NET PI TO HSL SEC A/C 2554606-00602340029427</t>
  </si>
  <si>
    <t>25-05-2024 UPI/Komal  Kumari/451267616384/UPI</t>
  </si>
  <si>
    <t>27-05-2024 NET PI TO HSL SEC A/C 2554606-00602340029427</t>
  </si>
  <si>
    <t>27-05-2024 UPI/RAHUL AGARWAL/414855624067/UPI</t>
  </si>
  <si>
    <t>28-05-2024 NET PO FROM HSL A/C 2554606-50200085415108</t>
  </si>
  <si>
    <t>28-05-2024 ACH D- TP ACH INDIANESIGN-1452623103</t>
  </si>
  <si>
    <t>28-05-2024 NET PI TO HSL SEC A/C 2554606-00602340029427</t>
  </si>
  <si>
    <t>28-05-2024    TO TRANSFER-UPI/DR/414914812788/DIGVATSA/FDRL/digvatsa-1/murud--</t>
  </si>
  <si>
    <t>29-05-2024 NET PI TO HSL SEC A/C 2554606-00602340029427</t>
  </si>
  <si>
    <t>29-05-2024 PG INDIAN CLEARING CORP</t>
  </si>
  <si>
    <t>30-05-2024 NET PO FROM HSL A/C 2554606-50200085415108</t>
  </si>
  <si>
    <t>30-05-2024 ACH D- TP ACH INDIANESIGN-1454497074</t>
  </si>
  <si>
    <t>30-05-2024 NET PI TO HSL SEC A/C 2554606-00602340029427</t>
  </si>
  <si>
    <t>30-05-2024 UPI/SHRADDHA K HEGD/415101008971/UPI</t>
  </si>
  <si>
    <t>30-05-2024 SALARYTRANS</t>
  </si>
  <si>
    <t>30-05-2024 UPI/RAHUL AGARWAL/415106674021/UPI</t>
  </si>
  <si>
    <t>30-05-2024 UPI/NELABALLI PRADE/415110471261/Rent June 2024</t>
  </si>
  <si>
    <t>30-05-2024 UPI/DIGVIJAY/415148486279/Pay to BharatPe</t>
  </si>
  <si>
    <t>30-05-2024 ATL/4395/504433/+OUTER RING ROADBENGAL300524/22:26</t>
  </si>
  <si>
    <t>30-05-2024 UPI/M BHOOPAL/415186393331/UPI</t>
  </si>
  <si>
    <t>31-05-2024 NET PI TO HSL SEC A/C 2554606-00602340029427</t>
  </si>
  <si>
    <t>31-05-2024 UPI/ANANDA PAVABA D/415227527561/UPI</t>
  </si>
  <si>
    <t>01-06-2024 UPI/MANGAL BABAN CH/415308665779/UPI</t>
  </si>
  <si>
    <t>01-06-2024 20052205306441:Int.Pd:01-05-2024- to  31-05-2024</t>
  </si>
  <si>
    <t>02-06-2024 UPI/HOTEL KRISHNA R/415435780407/hotel booking</t>
  </si>
  <si>
    <t>02-06-2024 UPI/HOTEL KRISHNA R/415453362758/hotel booking</t>
  </si>
  <si>
    <t>03-06-2024 NET PI TO HSL SEC A/C 2554606-00602340029427</t>
  </si>
  <si>
    <t>03-06-2024    TO TRANSFER-UPI/DR/415599577481/ANIL KUM/BKID/9685883055/UPI--</t>
  </si>
  <si>
    <t>03-06-2024    BY TRANSFER-UPI/REV/415599577481--</t>
  </si>
  <si>
    <t>03-06-2024 UPI/ANIL KUMAR BHAW/415599585093/UPI</t>
  </si>
  <si>
    <t>03-06-2024 REV-UPI/ANIL KUMAR BH/415599585093/</t>
  </si>
  <si>
    <t>04-06-2024 NET PO FROM HSL A/C 2554606-50200085415108</t>
  </si>
  <si>
    <t>04-06-2024 NET PI TO HSL SEC A/C 2554606-00602340029427</t>
  </si>
  <si>
    <t>04-06-2024 ACH C- TCSFINDIV040624-1679357</t>
  </si>
  <si>
    <t>04-06-2024 UPI/Axis/415600362923/payment on CRED</t>
  </si>
  <si>
    <t>04-06-2024 NEFT FDRLH24156013040 CURRENT ACCOUNT GENERAL FDR</t>
  </si>
  <si>
    <t>05-06-2024 NET PI TO HSL SEC A/C 2554606-00602340029427</t>
  </si>
  <si>
    <t>05-06-2024 ACH C- STATE BANK OF INDIA-2503654</t>
  </si>
  <si>
    <t>06-06-2024 NET PO FROM HSL A/C 2554606-50200085415108</t>
  </si>
  <si>
    <t>06-06-2024 NET PI TO HSL SEC A/C 2554606-00602340029427</t>
  </si>
  <si>
    <t>07-06-2024 NET PO FROM HSL A/C 2554606-50200085415108</t>
  </si>
  <si>
    <t>07-06-2024 NET PI TO HSL SEC A/C 2554606-00602340029427</t>
  </si>
  <si>
    <t>07-06-2024 HDFCLIFE CENTR-028278229</t>
  </si>
  <si>
    <t>09-06-2024 ATW-652166XXXXXX7402-S1ANNK52-NASHIK</t>
  </si>
  <si>
    <t>09-06-2024    TO TRANSFER-UPI/DR/452792884479/1/UTIB/7774977758/UPI--</t>
  </si>
  <si>
    <t>09-06-2024 UPI/IRCTC CF/416156140207/IRCTC TICKET BO</t>
  </si>
  <si>
    <t>10-06-2024 NET PI TO HSL SEC A/C 2554606-00602340029427</t>
  </si>
  <si>
    <t>10-06-2024    BY TRANSFER-NEFT*ICIC0099999*CMS4218149841*CENTRAL DEPOSITORY--</t>
  </si>
  <si>
    <t>10-06-2024 NACH-MUT-DR-INDIAN CLEARING CORP-P33751105X081016</t>
  </si>
  <si>
    <t>11-06-2024 50100542230922-TPT-TRANSFER FROM AAYUSH-ARCHIT GUPTA</t>
  </si>
  <si>
    <t>11-06-2024 NET PI TO HSL SEC A/C 2554606-00602340029427</t>
  </si>
  <si>
    <t>12-06-2024 NET PO FROM HSL A/C 2554606-50200085415108</t>
  </si>
  <si>
    <t>12-06-2024 NET PI TO HSL SEC A/C 2554606-00602340029427</t>
  </si>
  <si>
    <t>12-06-2024    TO TRANSFER-UPI/DR/416418674665/AAYUSH K/KKBK/aayush20gu/UPI--</t>
  </si>
  <si>
    <t>12-06-2024    TO TRANSFER-UPI/DR/416418731041/AAYUSH K/KKBK/aayush20gu/UPI--</t>
  </si>
  <si>
    <t>12-06-2024 UPI/AAYUSH KUMAR GU/416418674665/UPI</t>
  </si>
  <si>
    <t>12-06-2024 UPI/AAYUSH KUMAR GU/416418731041/UPI</t>
  </si>
  <si>
    <t>12-06-2024 PG INDIAN CLEARING CORP</t>
  </si>
  <si>
    <t>13-06-2024 NET PI TO HSL SEC A/C 2554606-00602340029427</t>
  </si>
  <si>
    <t>14-06-2024 NET PI TO HSL SEC A/C 2554606-00602340029427</t>
  </si>
  <si>
    <t>14-06-2024 APRAPR24 INSTAALERTCHG 12 SMS 070624-MIR2516503200754</t>
  </si>
  <si>
    <t>15-06-2024 UPI/MOHAMMAD ZUBAIR/416781769261/Paid via CRED a</t>
  </si>
  <si>
    <t>17-06-2024 UPI/NITHIN KUMARSBA/416977527955/Paid via CRED</t>
  </si>
  <si>
    <t>17-06-2024 UPI/MR SHIBASHIS AC/453567199695/UPI</t>
  </si>
  <si>
    <t>18-06-2024 NET PO FROM HSL A/C 2554606-50200085415108</t>
  </si>
  <si>
    <t>18-06-2024 DEPOSITORY CHARGES MAY24 - 52812428</t>
  </si>
  <si>
    <t>18-06-2024 NET PI TO HSL SEC A/C 2554606-00602340029427</t>
  </si>
  <si>
    <t>18-06-2024    BY TRANSFER-UPI/CR/453670031804/SUBRAT  /KKBK/7809763739/Payme--</t>
  </si>
  <si>
    <t>18-06-2024 UPI/PRASHANTAKUMAR /417051243536/Paid via CRED a</t>
  </si>
  <si>
    <t>18-06-2024 UPI/Mr Gollapalli S/417049039574/UPI</t>
  </si>
  <si>
    <t>19-06-2024 NET PO FROM HSL A/C 2554606-50200085415108</t>
  </si>
  <si>
    <t>19-06-2024 NET PI TO HSL SEC A/C 2554606-00602340029427</t>
  </si>
  <si>
    <t>20-06-2024 NET PO FROM HSL A/C 2554606-50200085415108</t>
  </si>
  <si>
    <t>20-06-2024 NET PI TO HSL SEC A/C 2554606-00602340029427</t>
  </si>
  <si>
    <t>20-06-2024 MAYMAY24 INSTAALERTCHG 10 SMS 160624-MIR2517232549100</t>
  </si>
  <si>
    <t>21-06-2024 NET PI TO HSL SEC A/C 2554606-00602340029427</t>
  </si>
  <si>
    <t>22-06-2024 UPI/CRED TELECOM/417421161340/payment on CRED</t>
  </si>
  <si>
    <t>22-06-2024 UPI/MUHAMED FAIS/417486223766/Paid via CRED</t>
  </si>
  <si>
    <t>23-06-2024 UPI/Muktikanta Das/417569461334/Paid via CRED</t>
  </si>
  <si>
    <t>24-06-2024 NET PO FROM HSL A/C 2554606-50200085415108</t>
  </si>
  <si>
    <t>24-06-2024 NET PI TO HSL SEC A/C 2554606-00602340029427</t>
  </si>
  <si>
    <t>25-06-2024 NET PI TO HSL SEC A/C 2554606-00602340029427</t>
  </si>
  <si>
    <t>25-06-2024    TO TRANSFER-UPI/DR/454324852197/Amazon Pay/UTIB/amazonpayb/Req--</t>
  </si>
  <si>
    <t>25-06-2024    CREDIT INTEREST---</t>
  </si>
  <si>
    <t>25-06-2024 UPI/RAJASTHAN SWEET/417759933152/Pay to BharatPe</t>
  </si>
  <si>
    <t>25-06-2024 UPI/DIGVIJAY/417760067319/Pay to BharatPe</t>
  </si>
  <si>
    <t>26-06-2024 NET PO FROM HSL A/C 2554606-50200085415108</t>
  </si>
  <si>
    <t>26-06-2024 ACH C- IIL FINAL 2023 24-115130</t>
  </si>
  <si>
    <t>26-06-2024 NET PI TO HSL SEC A/C 2554606-00602340029427</t>
  </si>
  <si>
    <t>26-06-2024 UPI/RAJASTHAN SWEET/417805689554/Pay to BharatPe</t>
  </si>
  <si>
    <t>27-06-2024 NET PO FROM HSL A/C 2554606-50200085415108</t>
  </si>
  <si>
    <t>27-06-2024 NET PI TO HSL SEC A/C 2554606-00602340029427</t>
  </si>
  <si>
    <t>27-06-2024 SALARYTRANS</t>
  </si>
  <si>
    <t>27-06-2024 UPI/DIGVIJAY/417945115673/Pay to BharatPe</t>
  </si>
  <si>
    <t>28-06-2024 ACH D- TP ACH INDIANESIGN-1481536021</t>
  </si>
  <si>
    <t>28-06-2024 ACH C- LTIMIN FINAL 2023 24-370802</t>
  </si>
  <si>
    <t>28-06-2024 NET PI TO HSL SEC A/C 2554606-00602340029427</t>
  </si>
  <si>
    <t>28-06-2024    BULK POSTING-ACHCr NACH00000000060732 LTIMIN FINAL 2--</t>
  </si>
  <si>
    <t>28-06-2024 UPI/magicpin/418076506325/UPIIntent</t>
  </si>
  <si>
    <t>29-06-2024 UPI/HARISH KUMARA G/418157819156/Paid via CRED</t>
  </si>
  <si>
    <t>29-06-2024 UPI/Meghana Foods M/418116124587/UPI</t>
  </si>
  <si>
    <t>29-06-2024 UPI/RAHUL AGARWAL/454729322324/UPI</t>
  </si>
  <si>
    <t>29-06-2024 UPI/RAHUL AGARWAL/454726714939/UPI</t>
  </si>
  <si>
    <t>30-06-2024 INTEREST PAID TILL 30-JUN-2024</t>
  </si>
  <si>
    <t>30-06-2024 UPI/MOHD HASHIM/418202403918/Pay to BharatPe</t>
  </si>
  <si>
    <t>30-06-2024 UPI/RAJASTHAN SWEET/418205629025/Pay to BharatPe</t>
  </si>
  <si>
    <t>30-06-2024 Int.Pd:3649610333:01-04-2024 to 30-06-2024</t>
  </si>
  <si>
    <t>01-07-2024 SB:915010020334307:Int.Pd:01-04-2024 to 30-06-2024</t>
  </si>
  <si>
    <t>01-07-2024 ACH D- TP ACH INDIANESIGN-1481812360</t>
  </si>
  <si>
    <t>01-07-2024 NET PI TO HSL SEC A/C 2554606-00602340029427</t>
  </si>
  <si>
    <t>01-07-2024 ACH C- INFOSYS LIMITED-41593907</t>
  </si>
  <si>
    <t>01-07-2024 ATW-652166XXXXXX7402-CHBDL001-NASHIK</t>
  </si>
  <si>
    <t>01-07-2024 20052205306441:Int.Pd:01-06-2024- to  30-06-2024</t>
  </si>
  <si>
    <t>02-07-2024 NET PO FROM HSL A/C 2554606-50200085415108</t>
  </si>
  <si>
    <t>02-07-2024 NET PI TO HSL SEC A/C 2554606-00602340029427</t>
  </si>
  <si>
    <t>02-07-2024 ACH C- BANK OF INDIA - EQUI-BOI0FIN02024</t>
  </si>
  <si>
    <t>02-07-2024 UPI/ANANDA  M/418469528084/Paid via CRED</t>
  </si>
  <si>
    <t>03-07-2024 NET PI TO HSL SEC A/C 2554606-00602340029427</t>
  </si>
  <si>
    <t>03-07-2024    BY TRANSFER-NEFT*YESB0000001*YESEB41852119137*ZERODHA BROKING--</t>
  </si>
  <si>
    <t>04-07-2024 NET PO FROM HSL A/C 2554606-50200085415108</t>
  </si>
  <si>
    <t>04-07-2024 NET PI TO HSL SEC A/C 2554606-00602340029427</t>
  </si>
  <si>
    <t>04-07-2024 ACH C- SONA BLW PRECISION F-000000000000</t>
  </si>
  <si>
    <t>04-07-2024 UPI/RAHUL AGARWAL/418612180032/Paid via CRED</t>
  </si>
  <si>
    <t>04-07-2024 UPI/DIGVIJAY/418680689217/Pay to BharatPe</t>
  </si>
  <si>
    <t>05-07-2024 NET PI TO HSL SEC A/C 2554606-00602340029427</t>
  </si>
  <si>
    <t>05-07-2024 UPI/CredClub/418706211660/cred</t>
  </si>
  <si>
    <t>06-07-2024 K4QX45ELAB72BNOXCU/PAYUHDFCSTANDARDLIFE</t>
  </si>
  <si>
    <t>06-07-2024    TO TRANSFER-INB Deposit / Investment---</t>
  </si>
  <si>
    <t>06-07-2024 UPI/ARCHITA GUPTA/418880948965/Paid via CRED</t>
  </si>
  <si>
    <t>07-07-2024 ATL/4395/504433/+OUTER RING ROADBENGAL070724/17:54</t>
  </si>
  <si>
    <t>07-07-2024 ATL/4395/504433/+OUTER RING ROADBENGAL070724/17:56</t>
  </si>
  <si>
    <t>08-07-2024 NET PI TO HSL SEC A/C 2554606-00602340029427</t>
  </si>
  <si>
    <t>08-07-2024 HDFCLIFE CENTR-028984365</t>
  </si>
  <si>
    <t>09-07-2024 NET PO FROM HSL A/C 2554606-50200085415108</t>
  </si>
  <si>
    <t>09-07-2024 NET PI TO HSL SEC A/C 2554606-00602340029427</t>
  </si>
  <si>
    <t>10-07-2024 NET PO FROM HSL A/C 2554606-50200085415108</t>
  </si>
  <si>
    <t>10-07-2024 NET PI TO HSL SEC A/C 2554606-00602340029427</t>
  </si>
  <si>
    <t>10-07-2024 NACH-MUT-DR-INDIAN CLEARING CORP-P33751105X081016</t>
  </si>
  <si>
    <t>10-07-2024 PG FOR QUANT SMALL CAP INDIAN CLEARING CORP</t>
  </si>
  <si>
    <t>11-07-2024 NET PI TO HSL SEC A/C 2554606-00602340029427</t>
  </si>
  <si>
    <t>11-07-2024 UPI/GoKhana/419308275349/UPIIntent</t>
  </si>
  <si>
    <t>11-07-2024 UPI/GoKhana/419365701710/UPIIntent</t>
  </si>
  <si>
    <t>12-07-2024 NET PI TO HSL SEC A/C 2554606-00602340029427</t>
  </si>
  <si>
    <t>12-07-2024 UPI/Zerodha Broking/419473803414/453164444066213</t>
  </si>
  <si>
    <t>12-07-2024 UPI/MUHAMED FAIS/419459176295/Paid via CRED</t>
  </si>
  <si>
    <t>13-07-2024    TO TRANSFER-UPI/DR/419523703783/Air Indi/YESB/paytm-flig/Oid23--</t>
  </si>
  <si>
    <t>13-07-2024    TO TRANSFER-UPI/DR/419519992874/Lila Gay/YESB/paytmqr281/UPI--</t>
  </si>
  <si>
    <t>13-07-2024 UPI/RAJASTHAN SWEET/419545113990/Pay to BharatPe</t>
  </si>
  <si>
    <t>13-07-2024 UPI/NITHIN KUMARSBA/419552700761/Paid via CRED</t>
  </si>
  <si>
    <t>14-07-2024    BY TRANSFER-UPI/CR/419699887552/AAYUSH K/KKBK/9594435259/Paid--</t>
  </si>
  <si>
    <t>14-07-2024    BY TRANSFER-UPI/CR/419685377480/AAYUSH K/KKBK/9594435259/Paid--</t>
  </si>
  <si>
    <t>14-07-2024 UPI/ARCHIT GUPTA/419616944803/Paid via CRED a</t>
  </si>
  <si>
    <t>14-07-2024 UPI/ARCHIT GUPTA/419623151834/Paid via CRED a</t>
  </si>
  <si>
    <t>14-07-2024 UPI/AAYUSH KUMAR GU/419699887552/Paid via CRED</t>
  </si>
  <si>
    <t>14-07-2024 UPI/AAYUSH KUMAR GU/419685377480/Paid via CRED</t>
  </si>
  <si>
    <t>14-07-2024 UPI/RAJASTHAN SWEET/419622684681/Pay to BharatPe</t>
  </si>
  <si>
    <t>14-07-2024 UPI/ARCHIT GUPTA/419606654171/UPI</t>
  </si>
  <si>
    <t>15-07-2024 NET PI TO HSL SEC A/C 2554606-00602340029427</t>
  </si>
  <si>
    <t>15-07-2024    BY TRANSFER-UPI/CR/456306761444/MANDEM B/UBIN/984546939@/Payme--</t>
  </si>
  <si>
    <t>15-07-2024 UPI/Miss. MEGHA  GU/419722361453/UPI</t>
  </si>
  <si>
    <t>16-07-2024 NET PO FROM HSL A/C 2554606-50200085415108</t>
  </si>
  <si>
    <t>16-07-2024 DEPOSITORY CHARGES JUN24 - 52812428</t>
  </si>
  <si>
    <t>16-07-2024 NET PI TO HSL SEC A/C 2554606-00602340029427</t>
  </si>
  <si>
    <t>16-07-2024 ACH C- POLYCAB INDIA LTD-000000000000017</t>
  </si>
  <si>
    <t>16-07-2024 UPI/ANANDA  M/419858273714/Paid via CRED</t>
  </si>
  <si>
    <t>17-07-2024 UPI/RazorpayZomato/419968878148/PayviaRazorpay</t>
  </si>
  <si>
    <t>18-07-2024 JUNJUN24 INSTAALERTCHG 9 SMS 130724-MIR2519901446768</t>
  </si>
  <si>
    <t>18-07-2024 NET PI TO HSL SEC A/C 2554606-00602340029427</t>
  </si>
  <si>
    <t>18-07-2024 UPI/Tobox Ventures /420035671914/UPIIntent</t>
  </si>
  <si>
    <t>18-07-2024 UPI/Tobox Ventures /420084338496/UPIIntent</t>
  </si>
  <si>
    <t>19-07-2024 NET PI TO HSL SEC A/C 2554606-00602340029427</t>
  </si>
  <si>
    <t>19-07-2024 ACH C- KPIL FNLDIV 2023 24-58389</t>
  </si>
  <si>
    <t>19-07-2024 ACH C- BAJAJ AUTO LIMITED-4275088</t>
  </si>
  <si>
    <t>19-07-2024 ACH C- CYIENTLIMITED-4808639</t>
  </si>
  <si>
    <t>19-07-2024 ACH C- BOB DIVIDEND FY23-24-10918798</t>
  </si>
  <si>
    <t>19-07-2024    BULK POSTING-ACHCr ICIC02860000005377 CAMSL FINALDIV--</t>
  </si>
  <si>
    <t>19-07-2024 UPI/JIBAN CHANDRA M/420188921518/Paid via CRED</t>
  </si>
  <si>
    <t>20-07-2024 UPI/ARIF/420226179989/Pay to BharatPe</t>
  </si>
  <si>
    <t>20-07-2024 UPI/SIKANDAR HADALA/420250977146/Paid via CRED</t>
  </si>
  <si>
    <t>20-07-2024 UPI/ANUJ AJAY MAHAJ/420234198664/Paid via CRED a</t>
  </si>
  <si>
    <t>21-07-2024 UPI/TIBIL COMPUTER /420392018281/Paid via CRED</t>
  </si>
  <si>
    <t>21-07-2024 UPI/DIGVIJAY/420328365428/Pay to BharatPe</t>
  </si>
  <si>
    <t>21-07-2024 UPI/RAJASTHAN SWEET/420394932096/Pay to BharatPe</t>
  </si>
  <si>
    <t>22-07-2024 NET PI TO HSL SEC A/C 2554606-00602340029427</t>
  </si>
  <si>
    <t>22-07-2024 UPI/Tobox Ventures /420426585555/UPIIntent</t>
  </si>
  <si>
    <t>23-07-2024 NET PI TO HSL SEC A/C 2554606-00602340029427</t>
  </si>
  <si>
    <t>23-07-2024 UPI/Tobox Ventures /420535184628/UPIIntent</t>
  </si>
  <si>
    <t>23-07-2024 UPI/Miss MEGHA  GUP/420523245923/UPI</t>
  </si>
  <si>
    <t>23-07-2024 PG INDIAN CLEARING CORP</t>
  </si>
  <si>
    <t>23-07-2024 PCD/4395/BLR DOMESTIC/BANGALORE230724/18:39</t>
  </si>
  <si>
    <t>23-07-2024 UPI/ANIL  KUMAR/420506960645/Paid via CRED</t>
  </si>
  <si>
    <t>24-07-2024 NET PI TO HSL SEC A/C 2554606-00602340029427</t>
  </si>
  <si>
    <t>25-07-2024 NET PI TO HSL SEC A/C 2554606-00602340029427</t>
  </si>
  <si>
    <t>25-07-2024 ALEMBIC PHAR DIV232400000000000000014101</t>
  </si>
  <si>
    <t>26-07-2024 NET PI TO HSL SEC A/C 2554606-00602340029427</t>
  </si>
  <si>
    <t>26-07-2024 UPI/VIJENDRA  KUMAR/420887747647/UPI</t>
  </si>
  <si>
    <t>27-07-2024 UPI/Santosh Kumar M/420948381440/Paid via CRED</t>
  </si>
  <si>
    <t>27-07-2024 UPI/TSRTC iTIMs/420991915647/Paid via CRED</t>
  </si>
  <si>
    <t>28-07-2024 UPI/IRCTC CF/421045606102/IRCTC TICKET BO</t>
  </si>
  <si>
    <t>28-07-2024 UPI/MEGHA GUPTA/421085344738/Paid via CRED</t>
  </si>
  <si>
    <t>28-07-2024 UPI/MEGHA GUPTA/421061705162/Paid via CRED</t>
  </si>
  <si>
    <t>28-07-2024 UPI/MEGHA GUPTA/421018343996/Paid via CRED a</t>
  </si>
  <si>
    <t>28-07-2024 UPI/MEGHA GUPTA/421074483824/Paid via CRED</t>
  </si>
  <si>
    <t>29-07-2024 ACH D- TP ACH INDIANESIGN-1507580300</t>
  </si>
  <si>
    <t>29-07-2024 NET PI TO HSL SEC A/C 2554606-00602340029427</t>
  </si>
  <si>
    <t>29-07-2024 UPI/ANANDA  M/421196640673/Paid via CRED</t>
  </si>
  <si>
    <t>30-07-2024 ACH D- TP ACH INDIANESIGN-1509238249</t>
  </si>
  <si>
    <t>30-07-2024 NET PI TO HSL SEC A/C 2554606-00602340029427</t>
  </si>
  <si>
    <t>30-07-2024    BULK POSTING-ACHCr IBKL00249000010274 ITC LIMITED--</t>
  </si>
  <si>
    <t>31-07-2024 NET PI TO HSL SEC A/C 2554606-00602340029427</t>
  </si>
  <si>
    <t>31-07-2024 SALARYTRANS</t>
  </si>
  <si>
    <t>31-07-2024 UPI/Hariram/421381432066/Paid via CRED</t>
  </si>
  <si>
    <t>01-08-2024 NET PI TO HSL SEC A/C 2554606-00602340029427</t>
  </si>
  <si>
    <t>01-08-2024 UPI/Tobox Ventures /421400240968/UPIIntent</t>
  </si>
  <si>
    <t>01-08-2024 20052205306441:Int.Pd:01-07-2024- to  31-07-2024</t>
  </si>
  <si>
    <t>02-08-2024 NET PI TO HSL SEC A/C 2554606-00602340029427</t>
  </si>
  <si>
    <t>02-08-2024 ACH C- MAHINDRA  AND MAHIND-50551869</t>
  </si>
  <si>
    <t>02-08-2024 UPI/MUHAMED FAIS/421574698538/Paid via CRED</t>
  </si>
  <si>
    <t>03-08-2024 UPI/ZAM ZAM FRUITS /421629868959/1756513A</t>
  </si>
  <si>
    <t>03-08-2024 UPI/Axis/421680177463/payment on CRED</t>
  </si>
  <si>
    <t>03-08-2024 UPI/ANANDA  M/421683625144/Paid via CRED</t>
  </si>
  <si>
    <t>04-08-2024 UPI/JASTI  PRIYANKA/421728073276/UPI</t>
  </si>
  <si>
    <t>05-08-2024 BIRLASOFT LT DIV232400000000000000051054</t>
  </si>
  <si>
    <t>05-08-2024 NET PI TO HSL SEC A/C 2554606-00602340029427</t>
  </si>
  <si>
    <t>05-08-2024 ACH C- TCS1STINTDIV050824-1609744</t>
  </si>
  <si>
    <t>05-08-2024 ACH C- UNION BANK OF INDIA-2499286</t>
  </si>
  <si>
    <t>05-08-2024    TO TRANSFER-UPI/DR/421831301082/Flipkart/YESB/paytm-5650/OD331--</t>
  </si>
  <si>
    <t>05-08-2024 PG INVESTMENT INDIAN CLEARING CORP</t>
  </si>
  <si>
    <t>05-08-2024 UPI/Tobox Ventures /421859734728/UPIIntent</t>
  </si>
  <si>
    <t>06-08-2024 NET PI TO HSL SEC A/C 2554606-00602340029427</t>
  </si>
  <si>
    <t>06-08-2024    BULK POSTING-ACHCr HDFC00781000009637 NESTLE INDIA L--</t>
  </si>
  <si>
    <t>06-08-2024 UPI/Tobox Ventures /421979521305/UPIIntent</t>
  </si>
  <si>
    <t>07-08-2024 NET PI TO HSL SEC A/C 2554606-00602340029427</t>
  </si>
  <si>
    <t>07-08-2024 HDFCLIFE CENTR-029722019</t>
  </si>
  <si>
    <t>07-08-2024 UPI/Zerodha Broking/422054592991/087815413818441</t>
  </si>
  <si>
    <t>07-08-2024 UPI/Tobox Ventures /422020368872/UPIIntent</t>
  </si>
  <si>
    <t>07-08-2024 UPI/AVISHEK   BANER/422076575090/Paid via CRED a</t>
  </si>
  <si>
    <t>08-08-2024 NET PI TO HSL SEC A/C 2554606-00602340029427</t>
  </si>
  <si>
    <t>08-08-2024 UPI/Tobox Ventures /422196912839/UPIIntent</t>
  </si>
  <si>
    <t>08-08-2024 UPI/UDAY KUMAR SHET/422177790950/Paid via CRED</t>
  </si>
  <si>
    <t>08-08-2024 UPI/DIGVIJAY/422140749343/Pay to BharatPe</t>
  </si>
  <si>
    <t>09-08-2024 NET PI TO HSL SEC A/C 2554606-00602340029427</t>
  </si>
  <si>
    <t>09-08-2024 UPI/Axis/422224402881/payment on CRED</t>
  </si>
  <si>
    <t>11-08-2024 UPI/MAHEBOOB  PATEL/422453256697/Paid via CRED</t>
  </si>
  <si>
    <t>12-08-2024 NET PO FROM HSL A/C 2554606-50200085415108</t>
  </si>
  <si>
    <t>12-08-2024 0708513379 HDFC BANK DIV 23 24 00636771</t>
  </si>
  <si>
    <t>12-08-2024 NET PI TO HSL SEC A/C 2554606-00602340029427</t>
  </si>
  <si>
    <t>12-08-2024 DEPOSITORY CHARGES JUL24 - 52812428</t>
  </si>
  <si>
    <t>12-08-2024 UPI/TUSHARKANTA  SI/422521938928/Paid via CRED</t>
  </si>
  <si>
    <t>12-08-2024 NACH-MUT-DR-INDIAN CLEARING CORP-P33751105X081016</t>
  </si>
  <si>
    <t>12-08-2024 UPI/Tobox Ventures /422570395129/UPIIntent</t>
  </si>
  <si>
    <t>13-08-2024 NET PI TO HSL SEC A/C 2554606-00602340029427</t>
  </si>
  <si>
    <t>13-08-2024 UPI/Tobox Ventures /422681600865/UPIIntent</t>
  </si>
  <si>
    <t>13-08-2024 UPI/DIGVIJAY/422608742400/Pay to BharatPe</t>
  </si>
  <si>
    <t>14-08-2024 NET PI TO HSL SEC A/C 2554606-00602340029427</t>
  </si>
  <si>
    <t>14-08-2024 UPI/Tobox Ventures /422751361617/UPIIntent</t>
  </si>
  <si>
    <t>14-08-2024 UPI/BUTHAPPA KUSHAL/422737744502/Paid via CRED</t>
  </si>
  <si>
    <t>14-08-2024 UPI/SOMASHEKAR/422703659784/Paid via CRED</t>
  </si>
  <si>
    <t>16-08-2024 NET PI TO HSL SEC A/C 2554606-00602340029427</t>
  </si>
  <si>
    <t>17-08-2024 ISAQMC-APR-JUN24-417944 230724-MIR2522960522287</t>
  </si>
  <si>
    <t>17-08-2024 UPI/AKANSH AGRAWAL/423021843740/UPI</t>
  </si>
  <si>
    <t>18-08-2024 01671000085930-TPT-BORROW BY AKG-AJAY KUMAR GUPTA</t>
  </si>
  <si>
    <t>18-08-2024 UPI/Sahukar chai/423101091934/Paid via CRED</t>
  </si>
  <si>
    <t>19-08-2024 NET PI TO HSL SEC A/C 2554606-00602340029427</t>
  </si>
  <si>
    <t>19-08-2024 UPI/Tobox Ventures /423276196270/UPIIntent</t>
  </si>
  <si>
    <t>20-08-2024 NET PO FROM HSL A/C 2554606-50200085415108</t>
  </si>
  <si>
    <t>20-08-2024 NET PI TO HSL SEC A/C 2554606-00602340029427</t>
  </si>
  <si>
    <t>20-08-2024 UPI/Aditya Birla So/423302145718/Paid via CRED</t>
  </si>
  <si>
    <t>20-08-2024 UPI/Tobox Ventures /423361266290/UPIIntent</t>
  </si>
  <si>
    <t>21-08-2024 NET PI TO HSL SEC A/C 2554606-00602340029427</t>
  </si>
  <si>
    <t>21-08-2024    BULK POSTING-ACHCr NACH00000000020087 CDSL FNLDIV 20--</t>
  </si>
  <si>
    <t>21-08-2024 UPI/Sahukar chai/423428275872/Paid via CRED</t>
  </si>
  <si>
    <t>22-08-2024 NET PI TO HSL SEC A/C 2554606-00602340029427</t>
  </si>
  <si>
    <t>22-08-2024 UPI/Tobox Ventures /423555882164/UPIIntent</t>
  </si>
  <si>
    <t>22-08-2024 UPI/IRCTC CF/423596582353/IRCTC TICKET BO</t>
  </si>
  <si>
    <t>23-08-2024 NET PI TO HSL SEC A/C 2554606-00602340029427</t>
  </si>
  <si>
    <t>23-08-2024    BULK POSTING-ACHCr ICIC02860000005377 CAMS Int Div 2--</t>
  </si>
  <si>
    <t>23-08-2024 UPI/RAJASTHAN SWEET/423684893230/Pay to BharatPe</t>
  </si>
  <si>
    <t>25-08-2024    TO TRANSFER-UPI/DR/423899021601/Flipkart/YESB/paytm-5650/OD332--</t>
  </si>
  <si>
    <t>25-08-2024 UPI/RAJASTHAN SWEET/423837889770/Pay to BharatPe</t>
  </si>
  <si>
    <t>25-08-2024 UPI/KISHLAY KUMAR/423871142364/Paid via CRED</t>
  </si>
  <si>
    <t>25-08-2024 UPI/TAJASVI  KUMAR /423820852828/Paid via CRED</t>
  </si>
  <si>
    <t>26-08-2024 NET PI TO HSL SEC A/C 2554606-00602340029427</t>
  </si>
  <si>
    <t>27-08-2024 ACH C- DATAPATTERN FNLDIV24-127791</t>
  </si>
  <si>
    <t>27-08-2024 NET PI TO HSL SEC A/C 2554606-00602340029427</t>
  </si>
  <si>
    <t>27-08-2024    BY TRANSFER-UPI/CR/460688790062/SUBRAT  /KKBK/7809763739/Payme--</t>
  </si>
  <si>
    <t>27-08-2024 UPI/SHANTHARAMA/424072417824/Paid via CRED</t>
  </si>
  <si>
    <t>28-08-2024 NET PO FROM HSL A/C 2554606-50200085415108</t>
  </si>
  <si>
    <t>28-08-2024 ACH D- TP ACH INDIANESIGN-1537020331</t>
  </si>
  <si>
    <t>28-08-2024 NET PI TO HSL SEC A/C 2554606-00602340029427</t>
  </si>
  <si>
    <t>29-08-2024 ACH C- KPIT TECHNOLOGIES-3703960</t>
  </si>
  <si>
    <t>29-08-2024 NET PI TO HSL SEC A/C 2554606-00602340029427</t>
  </si>
  <si>
    <t>29-08-2024 ACH C- RELIANCE INDUSTRIES-242544357</t>
  </si>
  <si>
    <t>29-08-2024    BULK POSTING-C24914540661     43004001104RELIANCE INDUSTRIES LI--</t>
  </si>
  <si>
    <t>29-08-2024 UPI/Tobox Ventures /424256934951/UPIIntent</t>
  </si>
  <si>
    <t>29-08-2024 UPI/RAHULAGARWAL/460857670340/UPI</t>
  </si>
  <si>
    <t>30-08-2024 ACH D- TP ACH INDIANESIGN-1538779438</t>
  </si>
  <si>
    <t>30-08-2024 NET PI TO HSL SEC A/C 2554606-00602340029427</t>
  </si>
  <si>
    <t>30-08-2024 ACH C- NGLFINECHEMLIMITE-0000IN301549528</t>
  </si>
  <si>
    <t>30-08-2024 UPI/SAYYED ABDUL VA/424366603107/Paid via CRED a</t>
  </si>
  <si>
    <t>30-08-2024 SALARYTRANS</t>
  </si>
  <si>
    <t>31-08-2024 UPI/Shankar Narayan/424466344137/Paid via CRED</t>
  </si>
  <si>
    <t>01-09-2024 20052205306441:Int.Pd:01-08-2024- to  31-08-2024</t>
  </si>
  <si>
    <t>02-09-2024 ACH C- ICICI BANK LTD.-7826787</t>
  </si>
  <si>
    <t>02-09-2024 NET PI TO HSL SEC A/C 2554606-00602340029427</t>
  </si>
  <si>
    <t>02-09-2024    BULK POSTING-ACHCr HDFC01346000011215 CHAMBAL FERTIL--</t>
  </si>
  <si>
    <t>02-09-2024 UPI/KIRAN SHARAD RA/424631018048/Paid via CRED</t>
  </si>
  <si>
    <t>02-09-2024 UPI/KHANDU POPAT LA/424617064335/Pay To KHANDU P</t>
  </si>
  <si>
    <t>02-09-2024 UPI/GULSANAVVAR/424617726766/Paid via CRED</t>
  </si>
  <si>
    <t>02-09-2024 ATW/4395/+Dom Ret - New West BIABangal030924/06:27</t>
  </si>
  <si>
    <t>03-09-2024 01671000060094-TPT-FROM AAYUSH-SUNITA GUPTA</t>
  </si>
  <si>
    <t>03-09-2024 NET PI TO HSL SEC A/C 2554606-00602340029427</t>
  </si>
  <si>
    <t>03-09-2024 UPI/CRED/424761069593/payment on CRED</t>
  </si>
  <si>
    <t>03-09-2024 UPI/Tobox Ventures /424793803652/UPIIntent</t>
  </si>
  <si>
    <t>03-09-2024 UPI/Impact Guru Fou/424790893231/Pay via Razorpa</t>
  </si>
  <si>
    <t>04-09-2024 NET PI TO HSL SEC A/C 2554606-00602340029427</t>
  </si>
  <si>
    <t>04-09-2024 UPI/Sahukar chai/424839614767/Paid via CRED</t>
  </si>
  <si>
    <t>04-09-2024 UPI/ASGAR/424821459997/Pay to BharatPe</t>
  </si>
  <si>
    <t>05-09-2024 NET PI TO HSL SEC A/C 2554606-00602340029427</t>
  </si>
  <si>
    <t>05-09-2024 ACH C- POWER FINANCE CORPOR-15115327</t>
  </si>
  <si>
    <t>05-09-2024    BY TRANSFER-UPI/CR/424929034375/Flipkart/YESB/paytm-5650/expre--</t>
  </si>
  <si>
    <t>05-09-2024 UPI/ALAPARTHI SHIVA/424991550963/UPI</t>
  </si>
  <si>
    <t>05-09-2024 UPI/Tobox Ventures /424948512582/UPIIntent</t>
  </si>
  <si>
    <t>06-09-2024 NET PI TO HSL SEC A/C 2554606-00602340029427</t>
  </si>
  <si>
    <t>06-09-2024 ACH C- APOLLO HOS FDIV2024-AHLIN30154952</t>
  </si>
  <si>
    <t>06-09-2024 UPI/Zerodha Broking/425090398402/675239509739279</t>
  </si>
  <si>
    <t>07-09-2024 UPI/CHOLARAM  SIRVI/425154657651/Paid via CRED</t>
  </si>
  <si>
    <t>07-09-2024 UPI/KRISHNA GARMENT/425194187280/Paid via CRED</t>
  </si>
  <si>
    <t>08-09-2024    BY TRANSFER-UPI/CR/461895870034/SARGARAJ/KKBK/8590554623/Payme--</t>
  </si>
  <si>
    <t>08-09-2024 UPI/Sahukar chai/425241258344/Paid via CRED</t>
  </si>
  <si>
    <t>08-09-2024 UPI/M R DIGITAL STU/425234108355/Paid via CRED</t>
  </si>
  <si>
    <t>09-09-2024 NET PI TO HSL SEC A/C 2554606-00602340029427</t>
  </si>
  <si>
    <t>09-09-2024 HDFCLIFE CENTR-030486853</t>
  </si>
  <si>
    <t>09-09-2024 UPI/Tobox Ventures /425380134638/UPIIntent</t>
  </si>
  <si>
    <t>09-09-2024 UPI/ANANDA  M/425313359275/Paid via CRED</t>
  </si>
  <si>
    <t>10-09-2024 NET PI TO HSL SEC A/C 2554606-00602340029427</t>
  </si>
  <si>
    <t>10-09-2024 NACH-MUT-DR-INDIAN CLEARING CORP-P33751105X081016</t>
  </si>
  <si>
    <t>10-09-2024 UPI/Tobox Ventures /425414782071/UPIIntent</t>
  </si>
  <si>
    <t>11-09-2024 NET PO FROM HSL A/C 2554606-50200085415108</t>
  </si>
  <si>
    <t>11-09-2024 NET PI TO HSL SEC A/C 2554606-00602340029427</t>
  </si>
  <si>
    <t>11-09-2024 IB: ETAX TIN2 0033283854</t>
  </si>
  <si>
    <t>11-09-2024 UPI/ANANDA  M/425525323372/Paid via CRED</t>
  </si>
  <si>
    <t>12-09-2024 NET PI TO HSL SEC A/C 2554606-00602340029427</t>
  </si>
  <si>
    <t>12-09-2024 UPI/Tobox Ventures /425603229088/UPIIntent</t>
  </si>
  <si>
    <t>13-09-2024 NET PI TO HSL SEC A/C 2554606-00602340029427</t>
  </si>
  <si>
    <t>13-09-2024 ACH C- POWER FINANCE CORPOR-16612094</t>
  </si>
  <si>
    <t>14-09-2024 UPI/MeghanaFoods/425851299370/Paid via CRED</t>
  </si>
  <si>
    <t>15-09-2024 01671000060094-TPT-MNY RETRN FRM SUNITA TO AAYUSH-SUNITA GUPTA</t>
  </si>
  <si>
    <t>16-09-2024 NET PI TO HSL SEC A/C 2554606-00602340029427</t>
  </si>
  <si>
    <t>16-09-2024 UPI/Tobox Ventures /426090246690/UPIIntent</t>
  </si>
  <si>
    <t>16-09-2024 UPI/Tobox Ventures /426019489150/UPIIntent</t>
  </si>
  <si>
    <t>17-09-2024 NET PI TO HSL SEC A/C 2554606-00602340029427</t>
  </si>
  <si>
    <t>17-09-2024 DEPOSITORY CHARGES AUG24 - 52812428</t>
  </si>
  <si>
    <t>17-09-2024 UPI/GoKhana/426121982481/Payment for 66e</t>
  </si>
  <si>
    <t>17-09-2024 UPI/Tobox Ventures /426114787540/UPIIntent</t>
  </si>
  <si>
    <t>17-09-2024 UPI/Chai eraumiya/426131644141/Paid via CRED</t>
  </si>
  <si>
    <t>18-09-2024 NET PI TO HSL SEC A/C 2554606-00602340029427</t>
  </si>
  <si>
    <t>18-09-2024    TO TRANSFER-UPI/DR/426272794756/Magicpin/YESB/paytm-7078/NA--</t>
  </si>
  <si>
    <t>18-09-2024 UPI/Miss. MEGHA  GU/426209083081/UPI</t>
  </si>
  <si>
    <t>19-09-2024 NET PI TO HSL SEC A/C 2554606-00602340029427</t>
  </si>
  <si>
    <t>19-09-2024 INSTAALERT CHGS JUL24 SMS(6) 010724-MIR2526278317585</t>
  </si>
  <si>
    <t>19-09-2024 50100542230922-TPT-BORROW FROM ARCHIT-ARCHIT GUPTA</t>
  </si>
  <si>
    <t>20-09-2024 NET PI TO HSL SEC A/C 2554606-00602340029427</t>
  </si>
  <si>
    <t>20-09-2024 CLEAN SCIEN DIV23 2400000000000000034830</t>
  </si>
  <si>
    <t>20-09-2024    TO TRANSFER-UPI/DR/426464384963/95944352/KKBK/9594435259/Paid--</t>
  </si>
  <si>
    <t>20-09-2024 UPI/AAYUSHKUMARGUPT/426464384963/PaidviaSuperMon</t>
  </si>
  <si>
    <t>20-09-2024 UPI/ARCHIT GUPTA/426452510551/Paid via SuperM</t>
  </si>
  <si>
    <t>20-09-2024 UPI/ARCHITGUPTA/426409940052/PaidviaSuperMon</t>
  </si>
  <si>
    <t>20-09-2024 UPI/Udemy India LLP/426449428295/UPI</t>
  </si>
  <si>
    <t>20-09-2024 UPI/RAJASTHAN SWEET/426477200961/Pay to BharatPe</t>
  </si>
  <si>
    <t>20-09-2024 UPI/GANGULASAIKIRAN/426468476054/Tea</t>
  </si>
  <si>
    <t>22-09-2024 50100542230922-TPT-LOAN MONEY RETURNED-ARCHIT GUPTA</t>
  </si>
  <si>
    <t>22-09-2024    TO TRANSFER-UPI/DR/426646898572/ICCL ZER/HDFC/zerodhamf@/MO6Lr--</t>
  </si>
  <si>
    <t>22-09-2024 UPI/ARCHIT GUPTA/426605068007/Paid via SuperM</t>
  </si>
  <si>
    <t>23-09-2024 NET PI TO HSL SEC A/C 2554606-00602340029427</t>
  </si>
  <si>
    <t>23-09-2024 UPI/Tobox Ventures /426767698560/UPIIntent</t>
  </si>
  <si>
    <t>24-09-2024 FT- 565372861-50200085415108 - HDFC SECURITIES LTD-CLIENT DSCNB A/C -</t>
  </si>
  <si>
    <t>24-09-2024 FT- 565401591-50200085415108 - HDFC SECURITIES LTD-CLIENT DSCNB A/C -</t>
  </si>
  <si>
    <t>24-09-2024 NET PI TO HSL SEC A/C 2554606-00602340029427</t>
  </si>
  <si>
    <t>24-09-2024 UPI/Tobox Ventures /426889088753/UPIIntent</t>
  </si>
  <si>
    <t>24-09-2024 UPI/Tobox Ventures /426849076182/UPIIntent</t>
  </si>
  <si>
    <t>24-09-2024 UPI/MissMEGHAGUPTA/426857133183/UPI</t>
  </si>
  <si>
    <t>25-09-2024 FT- 565839639-50200085415108 - HDFC SECURITIES LTD-CLIENT DSCNB A/C -</t>
  </si>
  <si>
    <t>25-09-2024 UPI-ARCHIT GUPTA-ARCHIT4801@OKHDFCBANK-HDFC0004690-426955875835-PAYMENT FROM PHONE</t>
  </si>
  <si>
    <t>25-09-2024 NET PI TO HSL SEC A/C 2554606-00602340029427</t>
  </si>
  <si>
    <t>25-09-2024    CREDIT INTEREST---</t>
  </si>
  <si>
    <t>25-09-2024 UPI/IRCTCCF/426954522259/UPIRefund</t>
  </si>
  <si>
    <t>25-09-2024 UPI/Tobox Ventures /426981000063/UPIIntent</t>
  </si>
  <si>
    <t>25-09-2024 UPI/Tobox Ventures /426930961365/UPIIntent</t>
  </si>
  <si>
    <t>25-09-2024 UPI/JASROOPSINGHCHA/463528559845/UPI</t>
  </si>
  <si>
    <t>25-09-2024 UPI/MEGHA GUPTA/426923157621/Paid via SuperM</t>
  </si>
  <si>
    <t>25-09-2024 UPI/Mr AKSHAT GUPTA/426963373930/Paid via SuperM</t>
  </si>
  <si>
    <t>26-09-2024 NET PI TO HSL SEC A/C 2554606-00602340029427</t>
  </si>
  <si>
    <t>26-09-2024 UPI/Tobox Ventures /427078922000/UPIIntent</t>
  </si>
  <si>
    <t>26-09-2024 UPI/Chai eraumiya/427032243296/Paid via SuperM</t>
  </si>
  <si>
    <t>26-09-2024 NEFT SBIN224270701211 ITDTAX REFUND 2024 25 BRGPG</t>
  </si>
  <si>
    <t>27-09-2024 NET PI TO HSL SEC A/C 2554606-00602340029427</t>
  </si>
  <si>
    <t>27-09-2024    TO TRANSFER-UPI/DR/427150564794/Flipkart/YESB/paytm-5650/OD332--</t>
  </si>
  <si>
    <t>27-09-2024    BY TRANSFER-UPI/CR/427119846895/Flipkart/YESB/paytm-5650/expre--</t>
  </si>
  <si>
    <t>27-09-2024 UPI/CAPITALFLOAT/463790551996/You are paying</t>
  </si>
  <si>
    <t>27-09-2024 SALARYTRANS</t>
  </si>
  <si>
    <t>28-09-2024 UPI-ARCHIT GUPTA-ARCHIT4801@OKHDFCBANK-HDFC0004690-427286006231-LOAN MONEY RETURNE</t>
  </si>
  <si>
    <t>28-09-2024 UPI/MrAKSHATGUPTASO/463870685564/UPI</t>
  </si>
  <si>
    <t>28-09-2024 UPI/SANJANA  R/427257066273/Paid via SuperM</t>
  </si>
  <si>
    <t>30-09-2024 ACH D- TP ACH INDIANESIGN-1567790768</t>
  </si>
  <si>
    <t>30-09-2024 ACH D- TP ACH INDIANESIGN-1567725795</t>
  </si>
  <si>
    <t>30-09-2024 NET PI TO HSL SEC A/C 2554606-00602340029427</t>
  </si>
  <si>
    <t>30-09-2024 GARWARE TEC DIV23 2400000000000000008368</t>
  </si>
  <si>
    <t>30-09-2024 INTEREST PAID TILL 30-SEP-2024</t>
  </si>
  <si>
    <t>30-09-2024    BY TRANSFER-UPI/CR/464034324525/SARGARAJ/KKBK/8590554623/Payme--</t>
  </si>
  <si>
    <t>30-09-2024 UPI/Zerodha/427453437820/499120111521272</t>
  </si>
  <si>
    <t>30-09-2024 UPI/Tobox Ventures /427413054499/UPIIntent</t>
  </si>
  <si>
    <t>30-09-2024 UPI/Tobox Ventures /427433009756/UPIIntent</t>
  </si>
  <si>
    <t>30-09-2024 Int.Pd:3649610333:01-07-2024 to 30-09-2024</t>
  </si>
  <si>
    <t>01-10-2024 SB:915010020334307:Int.Pd:01-07-2024 to 30-09-2024</t>
  </si>
  <si>
    <t>01-10-2024 NET PI TO HSL SEC A/C 2554606-00602340029427</t>
  </si>
  <si>
    <t>01-10-2024    BY TRANSFER-UPI/CR/464127986188/SARGARAJ/KKBK/8590554623/Payme--</t>
  </si>
  <si>
    <t>01-10-2024 UPI/Tobox Ventures /427548490890/UPIIntent</t>
  </si>
  <si>
    <t>01-10-2024 UPI/Chai eraumiya/427555955880/Paid via CRED</t>
  </si>
  <si>
    <t>01-10-2024 UPI/DIGVIJAY/427565616420/Pay to BharatPe</t>
  </si>
  <si>
    <t>01-10-2024 20052205306441:Int.Pd:01-09-2024- to  30-09-2024</t>
  </si>
  <si>
    <t>02-10-2024 UPI-CARE HEALTH INSURANC-RELIGAREHEALTHCOQR.PAYU@HDFCBANK-HDFC0000499-427679901344-AAYUSH HEALTH POLI</t>
  </si>
  <si>
    <t>02-10-2024 UPI/CRED/427608649780/payment on CRED</t>
  </si>
  <si>
    <t>02-10-2024 UPI/IRCTC CF/427617542504/IRCTC TICKET BO</t>
  </si>
  <si>
    <t>03-10-2024 FT- 568250306-50200085415108 - HDFC SECURITIES LTD-CLIENT DSCNB A/C -</t>
  </si>
  <si>
    <t>03-10-2024 NET PI TO HSL SEC A/C 2554606-00602340029427</t>
  </si>
  <si>
    <t>03-10-2024    TO TRANSFER-UPI/DR/427718384277/Indian C/YESB/icclzerodh/Merch--</t>
  </si>
  <si>
    <t>03-10-2024    TO TRANSFER-UPI/DR/427704876685/Indian C/YESB/icclzerodh/Merch--</t>
  </si>
  <si>
    <t>03-10-2024    TO TRANSFER-UPI/DR/427736335018/Indian C/YESB/icclzerodh/Merch--</t>
  </si>
  <si>
    <t>03-10-2024    TO TRANSFER-UPI/DR/427755036793/Indian C/YESB/icclzerodh/Merch--</t>
  </si>
  <si>
    <t>03-10-2024    BY TRANSFER-UPI/CR/427826295007/AAYUSH K/KKBK/9594435259/Paid--</t>
  </si>
  <si>
    <t>03-10-2024 UPI/Tobox Ventures /427776866030/UPIIntent</t>
  </si>
  <si>
    <t>04-10-2024 NET PI TO HSL SEC A/C 2554606-00602340029427</t>
  </si>
  <si>
    <t>04-10-2024 UPI/9594435259@supe/427826295007/Paid via SuperM</t>
  </si>
  <si>
    <t>05-10-2024    BY TRANSFER-NEFT*YESB0000001*YESF342791374688*ZERODHA BROKING--</t>
  </si>
  <si>
    <t>07-10-2024 FT- 569405835-50200085415108 - HDFC SECURITIES LTD-CLIENT DSCNB A/C -</t>
  </si>
  <si>
    <t>07-10-2024 NET PI TO HSL SEC A/C 2554606-00602340029427</t>
  </si>
  <si>
    <t>07-10-2024 HDFCLIFE CENTR-031322452</t>
  </si>
  <si>
    <t>07-10-2024    TO TRANSFER-UPI/DR/428119389665/Indian C/YESB/icclzerodh/Merch--</t>
  </si>
  <si>
    <t>07-10-2024 UPI/Tobox Ventures /428124107805/UPIIntent</t>
  </si>
  <si>
    <t>07-10-2024 Recd:IMPS/428120429249/ZERODHA BR/KKBK/X3413/IMPS</t>
  </si>
  <si>
    <t>08-10-2024 NET PI TO HSL SEC A/C 2554606-00602340029427</t>
  </si>
  <si>
    <t>08-10-2024 UPI/Tobox Ventures /428206265943/UPIIntent</t>
  </si>
  <si>
    <t>08-10-2024 UPI/Tobox Ventures /428253398650/UPIIntent</t>
  </si>
  <si>
    <t>08-10-2024 UPI/Lila Gayari/428290115097/Paid via SuperM</t>
  </si>
  <si>
    <t>09-10-2024 FT- 570449090-50200085415108 - HDFC SECURITIES LTD-CLIENT DSCNB A/C -</t>
  </si>
  <si>
    <t>09-10-2024 NET PI TO HSL SEC A/C 2554606-00602340029427</t>
  </si>
  <si>
    <t>09-10-2024 PCD/4395/DROGHERIA SELLERS PRIV/Bangal091024/14:20</t>
  </si>
  <si>
    <t>10-10-2024 FT- 570874946-50200085415108 - HDFC SECURITIES LTD-CLIENT DSCNB A/C -</t>
  </si>
  <si>
    <t>10-10-2024 FT- 570898064-50200085415108 - HDFC SECURITIES LTD-CLIENT DSCNB A/C -</t>
  </si>
  <si>
    <t>10-10-2024 NET PI TO HSL SEC A/C 2554606-00602340029427</t>
  </si>
  <si>
    <t>10-10-2024 ACH C- POWER MECH PROJECTS-829185</t>
  </si>
  <si>
    <t>10-10-2024 50100542230922-TPT-LOAN RETURNED-ARCHIT GUPTA</t>
  </si>
  <si>
    <t>10-10-2024 UPI/Tobox Ventures /428485612509/UPIIntent</t>
  </si>
  <si>
    <t>11-10-2024 FT- 571346453-50200085415108 - HDFC SECURITIES LTD-CLIENT DSCNB A/C -</t>
  </si>
  <si>
    <t>11-10-2024 NET PI TO HSL SEC A/C 2554606-00602340029427</t>
  </si>
  <si>
    <t>11-10-2024 ACH C- OLECTRA GREENTECH LT-000000110962</t>
  </si>
  <si>
    <t>11-10-2024 UPI/DIGVIJAY/428575884476/Pay to BharatPe</t>
  </si>
  <si>
    <t>11-10-2024 UPI/SUNEEL YADAV SO/428523950796/Paid via SuperM</t>
  </si>
  <si>
    <t>11-10-2024 UPI/UDAY KUMAR SHET/428528137393/Paid via SuperM</t>
  </si>
  <si>
    <t>12-10-2024 UPI/SHADOWFAX TECHN/428679728426/Paid via SuperM</t>
  </si>
  <si>
    <t>12-10-2024 UPI/MRKIRANG/428673888433/Paid via SuperM</t>
  </si>
  <si>
    <t>12-10-2024 UPI/MRKIRANG/428695219968/Paid via SuperM</t>
  </si>
  <si>
    <t>13-10-2024 UPI/AMAR KUMAR BEHE/428787220299/Paid via SuperM</t>
  </si>
  <si>
    <t>14-10-2024 FT- 571716949-50200085415108 - HDFC SECURITIES LTD-CLIENT DSCNB A/C -</t>
  </si>
  <si>
    <t>14-10-2024 NET PI TO HSL SEC A/C 2554606-00602340029427</t>
  </si>
  <si>
    <t>14-10-2024 UPI/Tobox Ventures /428894168081/UPIIntent</t>
  </si>
  <si>
    <t>14-10-2024 UPI/Tobox Ventures /428804868913/UPIIntent</t>
  </si>
  <si>
    <t>14-10-2024 UPI/MOHD HASHIM/428841356428/Pay to BharatPe</t>
  </si>
  <si>
    <t>15-10-2024 DEPOSITORY CHARGES SEP24 - 52812428</t>
  </si>
  <si>
    <t>15-10-2024 NET PI TO HSL SEC A/C 2554606-00602340029427</t>
  </si>
  <si>
    <t>15-10-2024 UPI/Sodexo Aditya B/428989099703/Paid via CRED</t>
  </si>
  <si>
    <t>15-10-2024 UPI/Tobox Ventures /428974827998/UPIIntent</t>
  </si>
  <si>
    <t>16-10-2024 FT- 572588555-50200085415108 - HDFC SECURITIES LTD-CLIENT DSCNB A/C -</t>
  </si>
  <si>
    <t>16-10-2024 NET PI TO HSL SEC A/C 2554606-00602340029427</t>
  </si>
  <si>
    <t>16-10-2024 UPI/Sajan Kumar yad/429099146321/Paid via SuperM</t>
  </si>
  <si>
    <t>16-10-2024 UPI/ASGAR/429077551806/Pay to BharatPe</t>
  </si>
  <si>
    <t>17-10-2024 NET PI TO HSL SEC A/C 2554606-00602340029427</t>
  </si>
  <si>
    <t>17-10-2024 UPI/Tobox Ventures /429134621370/UPIIntent</t>
  </si>
  <si>
    <t>17-10-2024 UPI/DIGVIJAY/429140871013/Paid via SuperM</t>
  </si>
  <si>
    <t>17-10-2024 PG RETURN NK TICKETS INDIAN RAILWAY CATER</t>
  </si>
  <si>
    <t>18-10-2024 NET PI TO HSL SEC A/C 2554606-00602340029427</t>
  </si>
  <si>
    <t>18-10-2024 UPI/BHAGA RAM/429201538200/Paid via SuperM</t>
  </si>
  <si>
    <t>18-10-2024 UPI/SATHISH S N/429213411524/Paid via CRED</t>
  </si>
  <si>
    <t>18-10-2024 UPI/Sajan Kumar yad/429207971015/Paid via SuperM</t>
  </si>
  <si>
    <t>19-10-2024    BY TRANSFER-UPI/CR/429322739022/AKHILESH/BKID/9850713655/NA--</t>
  </si>
  <si>
    <t>19-10-2024 UPI/RAJASTHAN SWEET/429320801805/Pay to BharatPe</t>
  </si>
  <si>
    <t>19-10-2024 UPI/SAHUKAR CHAI/429349376454/Paid via SuperM</t>
  </si>
  <si>
    <t>20-10-2024 UPI/EKRAMUL HOQUE/429449904980/Paid via SuperM</t>
  </si>
  <si>
    <t>20-10-2024 UPI/DALPAT  PATEL/429429995629/Pay To DALPAT</t>
  </si>
  <si>
    <t>20-10-2024 UPI/Sahukar Chai/429490818470/Paid via CRED</t>
  </si>
  <si>
    <t>20-10-2024 UPI/Sajan Kumar yad/429435923067/Paid via SuperM</t>
  </si>
  <si>
    <t>21-10-2024 FT- 573879295-50200085415108 - HDFC SECURITIES LTD-CLIENT DSCNB A/C -</t>
  </si>
  <si>
    <t>21-10-2024 NET PI TO HSL SEC A/C 2554606-00602340029427</t>
  </si>
  <si>
    <t>21-10-2024 UPI/PELOLLA RAVITEJ/429547917344/Paid via SuperM</t>
  </si>
  <si>
    <t>21-10-2024 UPI/Sajan Kumar yad/429585851958/Paid via SuperM</t>
  </si>
  <si>
    <t>22-10-2024 FT- 574387699-50200085415108 - HDFC SECURITIES LTD-CLIENT DSCNB A/C -</t>
  </si>
  <si>
    <t>22-10-2024 AUGAUG24 INSTAALERTCHG 5 SMS 011024-MIR2529468650627</t>
  </si>
  <si>
    <t>22-10-2024 NET PI TO HSL SEC A/C 2554606-00602340029427</t>
  </si>
  <si>
    <t>22-10-2024    BULK POSTING-ACHCr HDFC01281000011076 KFILFNL2023202--</t>
  </si>
  <si>
    <t>22-10-2024 UPI/Sodexo Aditya B/429653794467/Paid via SuperM</t>
  </si>
  <si>
    <t>22-10-2024 UPI/Tobox Ventures /429645685974/UPIIntent</t>
  </si>
  <si>
    <t>22-10-2024 UPI/SAHUKAR CHAI/429624951698/Paid via SuperM</t>
  </si>
  <si>
    <t>23-10-2024 NET PI TO HSL SEC A/C 2554606-00602340029427</t>
  </si>
  <si>
    <t>23-10-2024 UPI/Tobox Ventures /429706001696/UPIIntent</t>
  </si>
  <si>
    <t>23-10-2024 UPI/Tobox Ventures /429747511149/UPIIntent</t>
  </si>
  <si>
    <t>23-10-2024 UPI/RYANABRAHAMTHOM/429708875714/UPI</t>
  </si>
  <si>
    <t>24-10-2024 FT- 575322967-50200085415108 - HDFC SECURITIES LTD-CLIENT DSCNB A/C -</t>
  </si>
  <si>
    <t>24-10-2024 NET PI TO HSL SEC A/C 2554606-00602340029427</t>
  </si>
  <si>
    <t>24-10-2024 ACH C- NATIONAL ALUMINIUM C-NAT0FIN02024</t>
  </si>
  <si>
    <t>24-10-2024 UPI/Tobox Ventures /429862924970/UPIIntent</t>
  </si>
  <si>
    <t>24-10-2024 UPI/Zomato Ltd/429849628144/Zomato Payment</t>
  </si>
  <si>
    <t>24-10-2024 UPI/Sajan Kumar yad/429838140500/Paid via SuperM</t>
  </si>
  <si>
    <t>25-10-2024 NET PI TO HSL SEC A/C 2554606-00602340029427</t>
  </si>
  <si>
    <t>25-10-2024 UPI/Tobox Ventures /429961311725/UPIIntent</t>
  </si>
  <si>
    <t>25-10-2024 UPI/MUHAMED FAIS/429912564700/Paid via SuperM</t>
  </si>
  <si>
    <t>25-10-2024 UPI/UMESH KUMAR YAD/429968760636/Paid via SuperM</t>
  </si>
  <si>
    <t>26-10-2024 NET PI TO HSL SEC A/C 2554606-00602340029427</t>
  </si>
  <si>
    <t>26-10-2024 UPI/CRED/430018841932/payment on CRED</t>
  </si>
  <si>
    <t>27-10-2024 01671000060094-TPT-BOROW FROM AAYUSH-SUNITA GUPTA</t>
  </si>
  <si>
    <t>28-10-2024 ACH D- TP ACH INDIANESIGN-1596170243</t>
  </si>
  <si>
    <t>28-10-2024 ACH D- HDFCLIFE-26688787</t>
  </si>
  <si>
    <t>28-10-2024 ACH D- HDFCLIFE-26688571</t>
  </si>
  <si>
    <t>28-10-2024 NET PI TO HSL SEC A/C 2554606-00602340029427</t>
  </si>
  <si>
    <t>28-10-2024 UPI/Tobox Ventures /430297545453/UPIIntent</t>
  </si>
  <si>
    <t>28-10-2024 UPI/MEGHA GUPTA/430209556269/Paid via SuperM</t>
  </si>
  <si>
    <t>29-10-2024 FT- 576756745-50200085415108 - HDFC SECURITIES LTD-CLIENT DSCNB A/C -</t>
  </si>
  <si>
    <t>29-10-2024 NET PI TO HSL SEC A/C 2554606-00602340029427</t>
  </si>
  <si>
    <t>29-10-2024 SALARYTRANS</t>
  </si>
  <si>
    <t>29-10-2024 UPI/ARCHITGUPTA/466947290788/Resend</t>
  </si>
  <si>
    <t>29-10-2024 UPI/ARCHIT GUPTA/430357451290/UPI</t>
  </si>
  <si>
    <t>29-10-2024 UPI/ARCHIT GUPTA/430363529227/UPI</t>
  </si>
  <si>
    <t>29-10-2024 UPI/GOOGLEINDIADIGI/328789493034/Rewardedformaki</t>
  </si>
  <si>
    <t>29-10-2024 UPI/ARCHITGUPTA/466917495950/UPI</t>
  </si>
  <si>
    <t>30-10-2024 ACH D- TP ACH INDIANESIGN-1597891115</t>
  </si>
  <si>
    <t>30-10-2024 NET PI TO HSL SEC A/C 2554606-00602340029427</t>
  </si>
  <si>
    <t>30-10-2024 UPI/CRED/430452454902/payment on CRED</t>
  </si>
  <si>
    <t>31-10-2024 NET PI TO HSL SEC A/C 2554606-00602340029427</t>
  </si>
  <si>
    <t>31-10-2024 UPI/CRED/430565662340/payment on CRED</t>
  </si>
  <si>
    <t>31-10-2024 UPI/RZPX/456516033054/SupermoneyRewar</t>
  </si>
  <si>
    <t>31-10-2024 UPI/IndianClearingC/430564464071/InaCIs8f0JrdDkx</t>
  </si>
  <si>
    <t>31-10-2024 UPI/ICCL ZERODHA CO/430598397781/wf2vJPip0qMvdi0</t>
  </si>
  <si>
    <t>01-11-2024 PCD/4395/BLR Domestic Lounge/BENGALURU011124/10:56</t>
  </si>
  <si>
    <t>01-11-2024 UPI/CRED/430634043850/payment on CRED</t>
  </si>
  <si>
    <t>01-11-2024 UPI/CRED/430660163850/payment on CRED</t>
  </si>
  <si>
    <t>01-11-2024 20052205306441:Int.Pd:01-10-2024- to  31-10-2024</t>
  </si>
  <si>
    <t>02-11-2024 UPI/Himanshu Sharma/430782872635/Paid via CRED a</t>
  </si>
  <si>
    <t>02-11-2024 UPI/CRED/430708123486/payment on CRED</t>
  </si>
  <si>
    <t>03-11-2024 UPI/CRED/430803926361/payment on CRED</t>
  </si>
  <si>
    <t>04-11-2024 FT- 578233386-50200085415108 - HDFC SECURITIES LTD-CLIENT DSCNB A/C -</t>
  </si>
  <si>
    <t>04-11-2024 FT- 578266751-50200085415108 - HDFC SECURITIES LTD-CLIENT DSCNB A/C -</t>
  </si>
  <si>
    <t>04-11-2024 NET PI TO HSL SEC A/C 2554606-00602340029427</t>
  </si>
  <si>
    <t>04-11-2024 UPI/CRED/430980105263/payment on CRED</t>
  </si>
  <si>
    <t>05-11-2024 NET PI TO HSL SEC A/C 2554606-00602340029427</t>
  </si>
  <si>
    <t>05-11-2024 ACH C- TCS2NDINTDIV051124-1598352</t>
  </si>
  <si>
    <t>05-11-2024 UPI/CRED/431002476328/payment on CRED</t>
  </si>
  <si>
    <t>06-11-2024 FT- 579354275-50200085415108 - HDFC SECURITIES LTD-CLIENT DSCNB A/C -</t>
  </si>
  <si>
    <t>06-11-2024 NET PI TO HSL SEC A/C 2554606-00602340029427</t>
  </si>
  <si>
    <t>06-11-2024 UPI/CRED/431171973876/payment on CRED</t>
  </si>
  <si>
    <t>07-11-2024 FT- 579776540-50200085415108 - HDFC SECURITIES LTD-CLIENT DSCNB A/C -</t>
  </si>
  <si>
    <t>07-11-2024 NET PI TO HSL SEC A/C 2554606-00602340029427</t>
  </si>
  <si>
    <t>07-11-2024 ACH C- LTIMIN INT 2024 25-322604</t>
  </si>
  <si>
    <t>07-11-2024 HDFCLIFE CENTR-032202222</t>
  </si>
  <si>
    <t>08-11-2024 NET PI TO HSL SEC A/C 2554606-00602340029427</t>
  </si>
  <si>
    <t>08-11-2024 UPI/ATTIPALLI HARIT/431396530996/Paid via CRED a</t>
  </si>
  <si>
    <t>08-11-2024 REV-UPI/ATTIPALLI HAR/431396530996/</t>
  </si>
  <si>
    <t>08-11-2024 UPI/ATTIPALLI HARIT/431374587000/Paid via SuperM</t>
  </si>
  <si>
    <t>08-11-2024 REV-UPI/ATTIPALLI HAR/431374587000/</t>
  </si>
  <si>
    <t>08-11-2024 UPI/ALAPARTHI SHIVA/431307581132/Paid via CRED</t>
  </si>
  <si>
    <t>08-11-2024 UPI/AMBEY BURGER SA/431377467410/Paid via SuperM</t>
  </si>
  <si>
    <t>11-11-2024 NET PI TO HSL SEC A/C 2554606-00602340029427</t>
  </si>
  <si>
    <t>12-11-2024 NET PI TO HSL SEC A/C 2554606-00602340029427</t>
  </si>
  <si>
    <t>12-11-2024 UPI/IRCTC/431722692336/IRCTC TICKET BO</t>
  </si>
  <si>
    <t>13-11-2024 BIRLASOFT L DIV24 2500000000000000060419</t>
  </si>
  <si>
    <t>13-11-2024 DEPOSITORY CHARGES OCT24 - 52812428</t>
  </si>
  <si>
    <t>13-11-2024 NET PI TO HSL SEC A/C 2554606-00602340029427</t>
  </si>
  <si>
    <t>13-11-2024 UPI/MUKESH GOYAL/431817853367/Paid via CRED</t>
  </si>
  <si>
    <t>13-11-2024 UPI/MEGHA GUPTA/431841637473/Paid via CRED</t>
  </si>
  <si>
    <t>14-11-2024 NET PI TO HSL SEC A/C 2554606-00602340029427</t>
  </si>
  <si>
    <t>14-11-2024 UPI/CRED/431974067857/payment on CRED</t>
  </si>
  <si>
    <t>16-11-2024 UPI/JAI AMBE NAMKEE/468737636490/Paid via SuperM</t>
  </si>
  <si>
    <t>16-11-2024 UPI/MUKESH GOYAL/468737696443/Paid via SuperM</t>
  </si>
  <si>
    <t>16-11-2024 UPI/IRCTCETICKETING/432154846103/Pine Labs Payme</t>
  </si>
  <si>
    <t>16-11-2024 UPI/IRCTC/432144969214/refundrequest</t>
  </si>
  <si>
    <t>17-11-2024 UPI/MUKESH GOYAL/468845705652/Paid via SuperM</t>
  </si>
  <si>
    <t>17-11-2024 UPI/BHAIRU PRAKASH /468845765241/Paid via SuperM</t>
  </si>
  <si>
    <t>17-11-2024 UPI/ASHOK KUMAR/468851661085/Paid via SuperM</t>
  </si>
  <si>
    <t>18-11-2024 NET PI TO HSL SEC A/C 2554606-00602340029427</t>
  </si>
  <si>
    <t>18-11-2024 UPI/Kalu Singh/468952454197/Paid via SuperM</t>
  </si>
  <si>
    <t>18-11-2024 NACH-ECS-CR-NTPC-INT DIV 24-25-NT0211242619813</t>
  </si>
  <si>
    <t>19-11-2024 NET PI TO HSL SEC A/C 2554606-00602340029427</t>
  </si>
  <si>
    <t>19-11-2024 NACH-ECS-CR-CAMS 2ND INT 2024 25-280473</t>
  </si>
  <si>
    <t>19-11-2024 UPI/CRED/432459723382/payment on CRED</t>
  </si>
  <si>
    <t>20-11-2024 UPI/CRED/432555934921/payment on CRED</t>
  </si>
  <si>
    <t>21-11-2024 NET PI TO HSL SEC A/C 2554606-00602340029427</t>
  </si>
  <si>
    <t>21-11-2024 ACH C- CYIENTLIMITED-5007587</t>
  </si>
  <si>
    <t>21-11-2024    BY TRANSFER-UPI/CR/301256860443/SARGARAJ/KKBK/8590554623/Payme--</t>
  </si>
  <si>
    <t>21-11-2024 UPI/CRED/432677916528/payment on CRED</t>
  </si>
  <si>
    <t>22-11-2024 NET PI TO HSL SEC A/C 2554606-00602340029427</t>
  </si>
  <si>
    <t>22-11-2024 UPI/CRED/432734235036/payment on CRED</t>
  </si>
  <si>
    <t>23-11-2024 UPI/CRED/432837056331/payment on CRED</t>
  </si>
  <si>
    <t>24-11-2024 UPI/ARUNA KUMARA S /432906385800/Paid via SuperM</t>
  </si>
  <si>
    <t>24-11-2024 UPI/CRED/432922570690/payment on CRED</t>
  </si>
  <si>
    <t>25-11-2024 FT- 584488934-50200085415108 - HDFC SECURITIES LTD-CLIENT DSCNB A/C -</t>
  </si>
  <si>
    <t>25-11-2024 NET PI TO HSL SEC A/C 2554606-00602340029427</t>
  </si>
  <si>
    <t>25-11-2024 UPI/CRED/433067955458/payment on CRED</t>
  </si>
  <si>
    <t>26-11-2024 FT- 584925690-50200085415108 - HDFC SECURITIES LTD-CLIENT DSCNB A/C -</t>
  </si>
  <si>
    <t>26-11-2024 FT- 584960243-50200085415108 - HDFC SECURITIES LTD-CLIENT DSCNB A/C -</t>
  </si>
  <si>
    <t>26-11-2024 NET PI TO HSL SEC A/C 2554606-00602340029427</t>
  </si>
  <si>
    <t>26-11-2024 UPI/CRED/433162804095/payment on CRED</t>
  </si>
  <si>
    <t>26-11-2024 UPI/IRCTCETICKETING/433189764668/Pine Labs Payme</t>
  </si>
  <si>
    <t>26-11-2024 UPI/Sodexo Aditya B/433180820699/Paid via CRED</t>
  </si>
  <si>
    <t>26-11-2024 UPI/IRCTCCF/433192180404/UPIRefund</t>
  </si>
  <si>
    <t>26-11-2024 UPI/RAJASTHAN SWEET/433127012479/Pay to BharatPe</t>
  </si>
  <si>
    <t>27-11-2024 FT- 585339786-50200085415108 - HDFC SECURITIES LTD-CLIENT DSCNB A/C -</t>
  </si>
  <si>
    <t>27-11-2024 NET PI TO HSL SEC A/C 2554606-00602340029427</t>
  </si>
  <si>
    <t>27-11-2024 UPI/CRED/433294816058/payment on CRED</t>
  </si>
  <si>
    <t>28-11-2024 FT- 585737582-50200085415108 - HDFC SECURITIES LTD-CLIENT DSCNB A/C -</t>
  </si>
  <si>
    <t>28-11-2024 ACH D- TP ACH INDIANESIGN-1629171616</t>
  </si>
  <si>
    <t>28-11-2024 NET PI TO HSL SEC A/C 2554606-00602340029427</t>
  </si>
  <si>
    <t>28-11-2024 UPI/CRED/433311354035/payment on CRED</t>
  </si>
  <si>
    <t>28-11-2024 NACH-MUT-DR-INDIAN CLEARING CORP-WIGHIWHVBV7R</t>
  </si>
  <si>
    <t>28-11-2024 UPI/Sodexo Aditya B/433339079903/Paid via SuperM</t>
  </si>
  <si>
    <t>28-11-2024 SALARYTRANS</t>
  </si>
  <si>
    <t>28-11-2024 UPI/Sajan Kumar yad/433345741394/Paid via SuperM</t>
  </si>
  <si>
    <t>29-11-2024 NET PI TO HSL SEC A/C 2554606-00602340029427</t>
  </si>
  <si>
    <t>29-11-2024 UPI/Sodexo Aditya B/433447758474/Paid via SuperM</t>
  </si>
  <si>
    <t>30-11-2024 NET PI TO HSL SEC A/C 2554606-00602340029427</t>
  </si>
  <si>
    <t>30-11-2024 UPI/MOHD HASHIM/433561165031/Pay to BharatPe</t>
  </si>
  <si>
    <t>01-12-2024 20052205306441:Int.Pd:01-11-2024- to  30-11-2024</t>
  </si>
  <si>
    <t>02-12-2024 ACH D- TP ACH INDIANESIGN-1631121546</t>
  </si>
  <si>
    <t>02-12-2024 NET PI TO HSL SEC A/C 2554606-00602340029427</t>
  </si>
  <si>
    <t>02-12-2024 UPI/DARSHAN S M/433773253958/Paid via SuperM</t>
  </si>
  <si>
    <t>02-12-2024 UPI/Tobox Ventures /433776515134/Paid via SuperM</t>
  </si>
  <si>
    <t>03-12-2024 NET PI TO HSL SEC A/C 2554606-00602340029427</t>
  </si>
  <si>
    <t>03-12-2024 UPI/Sodexo Aditya B/433883988279/Paid via SuperM</t>
  </si>
  <si>
    <t>03-12-2024 UPI/Tobox Ventures /433886338233/Paid via SuperM</t>
  </si>
  <si>
    <t>03-12-2024 NACH-ECS-CR-CHAMBAL FERTILISERSA-8160012081600772</t>
  </si>
  <si>
    <t>03-12-2024 UPI/NELABALLI PRADE/433828712258/Paid via CRED</t>
  </si>
  <si>
    <t>04-12-2024 NET PI TO HSL SEC A/C 2554606-00602340029427</t>
  </si>
  <si>
    <t>05-12-2024 NET PI TO HSL SEC A/C 2554606-00602340029427</t>
  </si>
  <si>
    <t>05-12-2024 UPI/Chai eraumiya/470606909613/Paid via SuperM</t>
  </si>
  <si>
    <t>06-12-2024 NET PI TO HSL SEC A/C 2554606-00602340029427</t>
  </si>
  <si>
    <t>06-12-2024 NET PO FROM HSL A/C 2554606-50200085415108</t>
  </si>
  <si>
    <t>07-12-2024 HDFCLIFE CENTR-033132415</t>
  </si>
  <si>
    <t>07-12-2024 UPI/PAPUDIPPU SYAMA/470824040186/Paid via SuperM</t>
  </si>
  <si>
    <t>07-12-2024 UPI/PANDARI/470824514213/Paid via SuperM</t>
  </si>
  <si>
    <t>07-12-2024 UPI/P  BALAJI/470826579488/Paid via SuperM</t>
  </si>
  <si>
    <t>07-12-2024 UPI/BADARE   ALAM/470829148952/Paid via SuperM</t>
  </si>
  <si>
    <t>08-12-2024 UPI/UMAKANTA  MAHAK/470933194695/Paid via SuperM</t>
  </si>
  <si>
    <t>08-12-2024 UPI/HITESH G PATEL/470934325631/Paid via SuperM</t>
  </si>
  <si>
    <t>08-12-2024 UPI/MEGHA GUPTA/434358109306/Paid via CRED</t>
  </si>
  <si>
    <t>09-12-2024 NET PI TO HSL SEC A/C 2554606-00602340029427</t>
  </si>
  <si>
    <t>09-12-2024    BY TRANSFER-UPI/CR/471025988613/MR AKHIL/BDBL/9850713655/Paan--</t>
  </si>
  <si>
    <t>09-12-2024 NEFT CMS4710851499 CENTRAL DEPOSITORY SERVICES IN</t>
  </si>
  <si>
    <t>09-12-2024 UPI/NAVEENKUMARSHAH/434486517861/UPI</t>
  </si>
  <si>
    <t>10-12-2024 NET PI TO HSL SEC A/C 2554606-00602340029427</t>
  </si>
  <si>
    <t>10-12-2024    BY TRANSFER-NEFT*INDB0000006*INDBN10121746567*Upwork Escrow In--</t>
  </si>
  <si>
    <t>10-12-2024 UPI/Sodexo Aditya B/471152384437/Paid via SuperM</t>
  </si>
  <si>
    <t>11-12-2024 FT- 589793426-50200085415108 - HDFC SECURITIES LTD-CLIENT DSCNB A/C -</t>
  </si>
  <si>
    <t>11-12-2024 NET PI TO HSL SEC A/C 2554606-00602340029427</t>
  </si>
  <si>
    <t>11-12-2024 ACH C- NATIONAL ALUMINIUM C-NAT0INT02025</t>
  </si>
  <si>
    <t>12-12-2024 NET PI TO HSL SEC A/C 2554606-00602340029427</t>
  </si>
  <si>
    <t>13-12-2024 NET PI TO HSL SEC A/C 2554606-00602340029427</t>
  </si>
  <si>
    <t>14-12-2024 UPI/Jevoya cafe/471594615819/Paid via SuperM</t>
  </si>
  <si>
    <t>14-12-2024 UPI/AJAY SHOP/471596123901/Paid via SuperM</t>
  </si>
  <si>
    <t>14-12-2024 UPI/PUTHURU BHARATH/471597852379/Paid via SuperM</t>
  </si>
  <si>
    <t>14-12-2024 UPI/CRED/434987985034/payment on CRED</t>
  </si>
  <si>
    <t>15-12-2024 UPI/CRED/435088496312/payment on CRED</t>
  </si>
  <si>
    <t>15-12-2024 UPI/SHAMBHAVI M/435001501361/Paid via SuperM</t>
  </si>
  <si>
    <t>15-12-2024 UPI/Bhartiya Jalpan/435003802856/Paid via SuperM</t>
  </si>
  <si>
    <t>15-12-2024 UPI/ASHEESHKUMARSIN/435040533669/UPI</t>
  </si>
  <si>
    <t>16-12-2024 NET PI TO HSL SEC A/C 2554606-00602340029427</t>
  </si>
  <si>
    <t>16-12-2024 UPI/CRED/435193340232/payment on CRED</t>
  </si>
  <si>
    <t>16-12-2024 UPI/SANKAR  DEBNATH/435116686997/Paid via SuperM</t>
  </si>
  <si>
    <t>17-12-2024 FT- 591515917-50200085415108 - HDFC SECURITIES LTD-CLIENT DSCNB A/C -</t>
  </si>
  <si>
    <t>17-12-2024 NET PI TO HSL SEC A/C 2554606-00602340029427</t>
  </si>
  <si>
    <t>17-12-2024 DEPOSITORY CHARGES NOV24 - 52812428</t>
  </si>
  <si>
    <t>17-12-2024 UPI/Sodexo Aditya B/435222780165/Paid via SuperM</t>
  </si>
  <si>
    <t>17-12-2024 UPI/MOHAMMED KHADIR/435227418631/Paid via SuperM</t>
  </si>
  <si>
    <t>17-12-2024 UPI/GUNA C/435230021593/Paid via SuperM</t>
  </si>
  <si>
    <t>18-12-2024 NET PI TO HSL SEC A/C 2554606-00602340029427</t>
  </si>
  <si>
    <t>18-12-2024 UPI/MAHESH KUMAR A /435331195579/Paid via SuperM</t>
  </si>
  <si>
    <t>18-12-2024 UPI/CRED/471902279530/payment on CRED</t>
  </si>
  <si>
    <t>18-12-2024 UPI/Tobox Ventures /471903684097/UPIIntent</t>
  </si>
  <si>
    <t>18-12-2024 UPI/GUNA C/471906220214/Paid via CRED</t>
  </si>
  <si>
    <t>18-12-2024 UPI/GUNA C/471906225506/Paid via CRED</t>
  </si>
  <si>
    <t>19-12-2024 SEPSEP24 INSTAALERTCHG 10 SMS 041124-MIR2535321295994</t>
  </si>
  <si>
    <t>19-12-2024 NET PI TO HSL SEC A/C 2554606-00602340029427</t>
  </si>
  <si>
    <t>19-12-2024 UPI/Chai eraumiya/435445536882/Paid via SuperM</t>
  </si>
  <si>
    <t>20-12-2024 NET PI TO HSL SEC A/C 2554606-00602340029427</t>
  </si>
  <si>
    <t>20-12-2024 UPI/CRED/472111199646/payment on CRED</t>
  </si>
  <si>
    <t>20-12-2024 UPI/MUHAMED FAIS/435558352430/Paid via SuperM</t>
  </si>
  <si>
    <t>21-12-2024 UPI/CRED/472215758550/payment on CRED</t>
  </si>
  <si>
    <t>21-12-2024 UPI/VAIBHAV  RATHI/472215859886/Paid via CRED a</t>
  </si>
  <si>
    <t>21-12-2024 UPI/SARASWATHI M/435669758179/Paid via SuperM</t>
  </si>
  <si>
    <t>22-12-2024 UPI/CRED/472320494036/payment on CRED</t>
  </si>
  <si>
    <t>22-12-2024 UPI/TRENT LIMITED/435777928477/Payment for 505</t>
  </si>
  <si>
    <t>22-12-2024 UPI/PWC_LENSKART_ON/472322986662/payment on CRED</t>
  </si>
  <si>
    <t>23-12-2024 NET PI TO HSL SEC A/C 2554606-00602340029427</t>
  </si>
  <si>
    <t>23-12-2024 UPI/CRED/472425309490/payment on CRED</t>
  </si>
  <si>
    <t>23-12-2024 UPI/Lila Gayari/435888775108/Paid via SuperM</t>
  </si>
  <si>
    <t>23-12-2024 UPI/caratlane/435826156428/Upi Transaction</t>
  </si>
  <si>
    <t>24-12-2024 NET PI TO HSL SEC A/C 2554606-00602340029427</t>
  </si>
  <si>
    <t>24-12-2024 UPI/CRED/472528972062/payment on CRED</t>
  </si>
  <si>
    <t>24-12-2024 UPI/Sodexo Aditya B/435994567833/Paid via SuperM</t>
  </si>
  <si>
    <t>24-12-2024 UPI/Chai eraumiya/435997102187/Paid via SuperM</t>
  </si>
  <si>
    <t>24-12-2024 UPI/caratlane/435930300366/Refundfor219412</t>
  </si>
  <si>
    <t>25-12-2024    CREDIT INTEREST---</t>
  </si>
  <si>
    <t>25-12-2024 UPI/RZPX/567947283604/SupermoneyRewar</t>
  </si>
  <si>
    <t>25-12-2024 UPI/Chai eraumiya/472606694652/Paid via SuperM</t>
  </si>
  <si>
    <t>25-12-2024 UPI/Chai eraumiya/472606871319/Paid via SuperM</t>
  </si>
  <si>
    <t>26-12-2024 FT- 594263740-50200085415108 - HDFC SECURITIES LTD-CLIENT DSCNB A/C -</t>
  </si>
  <si>
    <t>26-12-2024 NET PI TO HSL SEC A/C 2554606-00602340029427</t>
  </si>
  <si>
    <t>26-12-2024 UPI/NIXON JOJI/472716905137/Paid via SuperM</t>
  </si>
  <si>
    <t>26-12-2024 NEFT YESF343613754237 ZERODHA BROKING LTD DSCNB A</t>
  </si>
  <si>
    <t>26-12-2024 UPI/VIKAS  KANDA/472721532684/Paid via SuperM</t>
  </si>
  <si>
    <t>26-12-2024 UPI/VIKAS  KANDA/472721750874/Paid via SuperM</t>
  </si>
  <si>
    <t>27-12-2024 NET PI TO HSL SEC A/C 2554606-00602340029427</t>
  </si>
  <si>
    <t>27-12-2024 UPI/Chai eraumiya/472825179919/Paid via SuperM</t>
  </si>
  <si>
    <t>27-12-2024 UPI/Tobox Ventures /472826233265/UPIIntent</t>
  </si>
  <si>
    <t>27-12-2024 UPI/DIGVATSA B PRAS/472842804607/Paid via CRED</t>
  </si>
  <si>
    <t>28-12-2024 NACH-MUT-DR-INDIAN CLEARING CORP-000000C8VV2P1K4H</t>
  </si>
  <si>
    <t>28-12-2024 UPI/TIRTHATILAKPANI/436300855056/HappyWedding</t>
  </si>
  <si>
    <t>28-12-2024 UPI/TIRTHATILAKPANI/436326179460/SentusingPaytmU</t>
  </si>
  <si>
    <t>28-12-2024 UPI/GUNA C/472945584745/Paid via CRED</t>
  </si>
  <si>
    <t>28-12-2024 UPI/Pramod/472945745049/Paid via CRED</t>
  </si>
  <si>
    <t>29-12-2024 UPI/GUNA C/473049065775/Paid via CRED</t>
  </si>
  <si>
    <t>29-12-2024 UPI/TANDOORI CHA/473050786400/Paid via SuperM</t>
  </si>
  <si>
    <t>29-12-2024 UPI/BMTC BUS KA01F4/473050887041/Pay to Merchant</t>
  </si>
  <si>
    <t>30-12-2024 ACH D- TP ACH INDIANESIGN-1661558316</t>
  </si>
  <si>
    <t>30-12-2024 ACH D- TP ACH INDIANESIGN-1661593330</t>
  </si>
  <si>
    <t>30-12-2024 NET PI TO HSL SEC A/C 2554606-00602340029427</t>
  </si>
  <si>
    <t>30-12-2024 NEFT N365243477890564 INDIAN CLEARING CORPORATION</t>
  </si>
  <si>
    <t>30-12-2024 SALARYTRANS</t>
  </si>
  <si>
    <t>30-12-2024 NEFT YESF343653798090 ZERODHA BROKING LTD DSCNB A</t>
  </si>
  <si>
    <t>31-12-2024 FT- 595649150-50200085415108 - HDFC SECURITIES LTD-CLIENT DSCNB A/C -</t>
  </si>
  <si>
    <t>31-12-2024 NET PI TO HSL SEC A/C 2554606-00602340029427</t>
  </si>
  <si>
    <t>31-12-2024 INTEREST PAID TILL 31-DEC-2024</t>
  </si>
  <si>
    <t>31-12-2024 UPI/GUNA C/473267815251/Paid via SuperM</t>
  </si>
  <si>
    <t>31-12-2024 UPI/KAMLESH  KUMAR/473269950377/Paid via SuperM</t>
  </si>
  <si>
    <t>31-12-2024 Int.Pd:3649610333:01-10-2024 to 31-12-2024</t>
  </si>
  <si>
    <t>01-01-2025 SB:915010020334307:Int.Pd:01-10-2024 to 31-12-2024</t>
  </si>
  <si>
    <t>01-01-2025 NET PI TO HSL SEC A/C 2554606-00602340029427</t>
  </si>
  <si>
    <t>01-01-2025 UPI/NARESHKUMARM/536775161444/Paid via SuperM</t>
  </si>
  <si>
    <t>01-01-2025 UPI/SURYA HOME APPL/536778562199/Paid via SuperM</t>
  </si>
  <si>
    <t>01-01-2025 UPI/AYISHA/536779551748/Paid via SuperM</t>
  </si>
  <si>
    <t>01-01-2025 UPI/CRED/536763238883/payment on CRED</t>
  </si>
  <si>
    <t>01-01-2025 UPI/CRED/536763253998/payment on CRED</t>
  </si>
  <si>
    <t>01-01-2025 UPI/PRADEEP  R/536782346831/Pay to BharatPe</t>
  </si>
  <si>
    <t>01-01-2025 UPI/C 108 KA Bengal/536782555221/Paid via SuperM</t>
  </si>
  <si>
    <t>01-01-2025 20052205306441:Int.Pd:01-12-2024- to  31-12-2024</t>
  </si>
  <si>
    <t>02-01-2025 FT- 596462466-50200085415108 - HDFC SECURITIES LTD-CLIENT DSCNB A/C -</t>
  </si>
  <si>
    <t>02-01-2025 01671000085930-TPT-TRANSFER FROM AJAY-AJAY KUMAR GUPTA</t>
  </si>
  <si>
    <t>02-01-2025 NET PI TO HSL SEC A/C 2554606-00602340029427</t>
  </si>
  <si>
    <t>02-01-2025 UPI/Sodexo Aditya B/536886030551/Paid via SuperM</t>
  </si>
  <si>
    <t>02-01-2025 UPI/Zerodha Broking/536866006216/482025564279950</t>
  </si>
  <si>
    <t>02-01-2025 UPI/Chai eraumiya/536888326143/Paid via SuperM</t>
  </si>
  <si>
    <t>03-01-2025 NET PI TO HSL SEC A/C 2554606-00602340029427</t>
  </si>
  <si>
    <t>03-01-2025 UPI/CRED WALLET/536969263945/payment on CRED</t>
  </si>
  <si>
    <t>03-01-2025 UPI/CRED/536969270364/payment on CRED</t>
  </si>
  <si>
    <t>03-01-2025 NEFT N003253488404645 MIRAE ASSET MF REDEMPTION A</t>
  </si>
  <si>
    <t>03-01-2025 UPI/Sodexo Aditya B/536997456463/Paid via SuperM</t>
  </si>
  <si>
    <t>03-01-2025 UPI/CRED/536971412438/payment on CRED</t>
  </si>
  <si>
    <t>03-01-2025 UPI/CREDDreamPlug/500378130281/credUser</t>
  </si>
  <si>
    <t>03-01-2025 UPI/CRED/536971891426/payment on CRED</t>
  </si>
  <si>
    <t>03-01-2025 UPI/CREDDreamPlug/500378671616/credUser</t>
  </si>
  <si>
    <t>03-01-2025 UPI/Mohith S Reddy/536971926009/Remaining depos</t>
  </si>
  <si>
    <t>03-01-2025 REV-UPI/Mohith S Redd/536971926009/</t>
  </si>
  <si>
    <t>03-01-2025 UPI/MOHITH S REDDY/500303860417/Paid via SuperM</t>
  </si>
  <si>
    <t>03-01-2025 UPI/IRCTC CF/500306167352/IRCTC TICKET BO</t>
  </si>
  <si>
    <t>04-01-2025 NEFT YESF350043585008 ZERODHA BROKING LTD DSCNB A</t>
  </si>
  <si>
    <t>04-01-2025 UPI/NAGARAJ V R/537026056673/UPI</t>
  </si>
  <si>
    <t>04-01-2025 UPI/VISHWAS S G SHA/500413154574/Paid via SuperM</t>
  </si>
  <si>
    <t>04-01-2025 UPI/DARSHINI H P/500413393939/Paid via SuperM</t>
  </si>
  <si>
    <t>04-01-2025 UPI/Mehak Islam/500413640725/Paid via SuperM</t>
  </si>
  <si>
    <t>04-01-2025 UPI/SHANKARAPPA/500414607123/Paid via SuperM</t>
  </si>
  <si>
    <t>04-01-2025 UPI/BMTC BUS KA57F0/500415658573/Pay to Merchant</t>
  </si>
  <si>
    <t>04-01-2025 UPI/CHAI VENUE 02/500415820820/Paid via SuperM</t>
  </si>
  <si>
    <t>05-01-2025 UPI/PRADEEP  R/500520245483/Pay to BharatPe</t>
  </si>
  <si>
    <t>05-01-2025 UPI/AMARNATHCHALAMC/500564975600/alrefund</t>
  </si>
  <si>
    <t>05-01-2025 UPI/PREM BAHADUR CH/500523929670/Paid via SuperM</t>
  </si>
  <si>
    <t>05-01-2025 UPI/MOHITHSREDDY/500513896382/UPI</t>
  </si>
  <si>
    <t>06-01-2025 NET PI TO HSL SEC A/C 2554606-00602340029427</t>
  </si>
  <si>
    <t>06-01-2025 UPI/Sodexo Aditya B/500630097231/Paid via SuperM</t>
  </si>
  <si>
    <t>06-01-2025 UPI/Chai eraumiya/500632824300/Paid via SuperM</t>
  </si>
  <si>
    <t>06-01-2025 UPI/SNEGHA   M/500633753650/Paid via SuperM</t>
  </si>
  <si>
    <t>06-01-2025 UPI/ARJUN PRASAD/500637412694/Paid via SuperM</t>
  </si>
  <si>
    <t>07-01-2025 NET PI TO HSL SEC A/C 2554606-00602340029427</t>
  </si>
  <si>
    <t>07-01-2025 HDFCLIFE CENTR-034193154</t>
  </si>
  <si>
    <t>07-01-2025 UPI/Sodexo Aditya B/500742409470/Paid via SuperM</t>
  </si>
  <si>
    <t>07-01-2025 UPI/Chai eraumiya/500744483097/Paid via SuperM</t>
  </si>
  <si>
    <t>08-01-2025 FT- 598449969-50200085415108 - HDFC SECURITIES LTD-CLIENT DSCNB A/C -</t>
  </si>
  <si>
    <t>08-01-2025 FT- INVESCO MF A/C - BS77 12062683 2104118234 48215142</t>
  </si>
  <si>
    <t>08-01-2025 NET PI TO HSL SEC A/C 2554606-00602340029427</t>
  </si>
  <si>
    <t>08-01-2025 UPI/Sodexo Aditya B/500854217245/Paid via SuperM</t>
  </si>
  <si>
    <t>08-01-2025 NEFT N008253501926262 INDIAN CLEARING CORPORATION</t>
  </si>
  <si>
    <t>08-01-2025 UPI/Chai eraumiya/500856556912/Paid via SuperM</t>
  </si>
  <si>
    <t>08-01-2025 UPI/AVNEESH FAST FO/500859461156/Paid via SuperM</t>
  </si>
  <si>
    <t>08-01-2025 UPI/KAPOORS CHAAT B/500861869176/Paid via SuperM</t>
  </si>
  <si>
    <t>09-01-2025 NET PI TO HSL SEC A/C 2554606-00602340029427</t>
  </si>
  <si>
    <t>09-01-2025 UPI/T THIMMAPPA/500965744531/Paid via SuperM</t>
  </si>
  <si>
    <t>09-01-2025 UPI/Chai eraumiya/500967848952/Paid via SuperM</t>
  </si>
  <si>
    <t>09-01-2025 UPI/JASROOP SINGH C/500968326538/Paid via SuperM</t>
  </si>
  <si>
    <t>09-01-2025 PCD/4395/BLR DOMESTIC LOUNGE/BANGALORE090125/18:42</t>
  </si>
  <si>
    <t>09-01-2025 UPI/AJAY KUMAR JORW/500975593943/Paid via SuperM</t>
  </si>
  <si>
    <t>10-01-2025 NET PI TO HSL SEC A/C 2554606-00602340029427</t>
  </si>
  <si>
    <t>10-01-2025 UPI/UBER INDIA SYST/501075929815/UberRide</t>
  </si>
  <si>
    <t>10-01-2025 NEFT AXISCN0883722661 NIPPON INDIA SMALL CAP FUND</t>
  </si>
  <si>
    <t>10-01-2025 UPI_CRADJ_U2_TDT_100125_501075929815_100125_6C</t>
  </si>
  <si>
    <t>11-01-2025 UPI/MAHI DUBEY/501190383755/Paid via SuperM</t>
  </si>
  <si>
    <t>11-01-2025 UPI/MUKESH GOYAL/501197503838/Paid via SuperM</t>
  </si>
  <si>
    <t>13-01-2025 NET PI TO HSL SEC A/C 2554606-00602340029427</t>
  </si>
  <si>
    <t>13-01-2025 DEPOSITORY CHARGES DEC24 - 52812428</t>
  </si>
  <si>
    <t>13-01-2025 UPI/RZPX/788763890135/SupermoneyRewar</t>
  </si>
  <si>
    <t>13-01-2025 Recd:IMPS/501327193927/DREAMPURSE/KKBK/X4277/PaidV</t>
  </si>
  <si>
    <t>14-01-2025 NET PI TO HSL SEC A/C 2554606-00602340029427</t>
  </si>
  <si>
    <t>14-01-2025 UPI/RAJ KUMAR/538028859454/Paid via SuperM</t>
  </si>
  <si>
    <t>15-01-2025 FT- 600809313-50200085415108 - HDFC SECURITIES LTD-CLIENT DSCNB A/C -</t>
  </si>
  <si>
    <t>15-01-2025 NET PI TO HSL SEC A/C 2554606-00602340029427</t>
  </si>
  <si>
    <t>16-01-2025 NET PI TO HSL SEC A/C 2554606-00602340029427</t>
  </si>
  <si>
    <t>16-01-2025 UPI/PRITI ENTERPRIS/501612448386/Paid via CRED</t>
  </si>
  <si>
    <t>17-01-2025 FT- 601636211-50200085415108 - HDFC SECURITIES LTD-CLIENT DSCNB A/C -</t>
  </si>
  <si>
    <t>17-01-2025 NET PI TO HSL SEC A/C 2554606-00602340029427</t>
  </si>
  <si>
    <t>18-01-2025 UPI/CRED/501818277347/payment on CRED</t>
  </si>
  <si>
    <t>19-01-2025 UPI/Miss. MEGHA  GU/501920176296/Paid via CRED a</t>
  </si>
  <si>
    <t>19-01-2025 UPI/Miss. MEGHA  GU/501920238798/Paid via CRED a</t>
  </si>
  <si>
    <t>19-01-2025 UPI/CRED/501920758953/payment on CRED</t>
  </si>
  <si>
    <t>20-01-2025 NET PI TO HSL SEC A/C 2554606-00602340029427</t>
  </si>
  <si>
    <t>21-01-2025 FT- 602465212-50200085415108 - HDFC SECURITIES LTD-CLIENT DSCNB A/C -</t>
  </si>
  <si>
    <t>21-01-2025 NET PI TO HSL SEC A/C 2554606-00602340029427</t>
  </si>
  <si>
    <t>21-01-2025 UPI/CRED/502124835926/payment on CRED</t>
  </si>
  <si>
    <t>22-01-2025 NET PI TO HSL SEC A/C 2554606-00602340029427</t>
  </si>
  <si>
    <t>22-01-2025 UPI/CRED/502228631239/payment on CRED</t>
  </si>
  <si>
    <t>23-01-2025 NET PI TO HSL SEC A/C 2554606-00602340029427</t>
  </si>
  <si>
    <t>23-01-2025 UPI/CRED/502329384396/payment on CRED</t>
  </si>
  <si>
    <t>24-01-2025 FT- 603756311-50200085415108 - HDFC SECURITIES LTD-CLIENT DSCNB A/C -</t>
  </si>
  <si>
    <t>24-01-2025 NET PI TO HSL SEC A/C 2554606-00602340029427</t>
  </si>
  <si>
    <t>25-01-2025    TO TRANSFER-UPI/DR/502586505096/AAYUSH K/KKBK/aayush20gu/UPI--</t>
  </si>
  <si>
    <t>25-01-2025 UPI/CRED/502534163145/payment on CRED</t>
  </si>
  <si>
    <t>25-01-2025 UPI/AAYUSHKUMARGUPT/502586505096/UPI</t>
  </si>
  <si>
    <t>27-01-2025 NET PI TO HSL SEC A/C 2554606-00602340029427</t>
  </si>
  <si>
    <t>27-01-2025 UPI/CRED/502741045181/payment on CRED</t>
  </si>
  <si>
    <t>28-01-2025 ACH D- TP ACH INDIANESIGN-1693364810</t>
  </si>
  <si>
    <t>28-01-2025 NET PI TO HSL SEC A/C 2554606-00602340029427</t>
  </si>
  <si>
    <t>28-01-2025 CASH DEPOSIT BY - SELF - VISHWAKARMA CIRCLE</t>
  </si>
  <si>
    <t>28-01-2025 NACH-MUT-DR-ZERODHA BROKING LTD-HTWNU38X6R6W</t>
  </si>
  <si>
    <t>28-01-2025 UPI/CRED/502842595109/payment on CRED</t>
  </si>
  <si>
    <t>29-01-2025 OCTDEC24 INSTAALERTCHG 25 SMS 140125-MIR2502829544955</t>
  </si>
  <si>
    <t>29-01-2025 NET PI TO HSL SEC A/C 2554606-00602340029427</t>
  </si>
  <si>
    <t>29-01-2025 UPI/CRED/502943772281/payment on CRED</t>
  </si>
  <si>
    <t>30-01-2025 FT- 605540707-50200085415108 - HDFC SECURITIES LTD-CLIENT DSCNB A/C -</t>
  </si>
  <si>
    <t>30-01-2025 ACH D- TP ACH INDIANESIGN-1694733250</t>
  </si>
  <si>
    <t>30-01-2025 NET PI TO HSL SEC A/C 2554606-00602340029427</t>
  </si>
  <si>
    <t>30-01-2025 UPI/CRED/503046625178/payment on CRED</t>
  </si>
  <si>
    <t>30-01-2025 SALARYTRANS</t>
  </si>
  <si>
    <t>31-01-2025 FT- 606006597-50200085415108 - HDFC SECURITIES LTD-CLIENT DSCNB A/C -</t>
  </si>
  <si>
    <t>31-01-2025 NET PI TO HSL SEC A/C 2554606-00602340029427</t>
  </si>
  <si>
    <t>31-01-2025 UPI/RAKESH POPAT AH/539736665013/Paid via SuperM</t>
  </si>
  <si>
    <t>01-02-2025 UPI/BHARAT SHIVAJI /539857337977/Paid via SuperM</t>
  </si>
  <si>
    <t>01-02-2025 20052205306441:Int.Pd:01-01-2025- to  31-01-2025</t>
  </si>
  <si>
    <t>02-02-2025 NET PI TO HSL SEC A/C 2554606-00602340029427</t>
  </si>
  <si>
    <t>02-02-2025 UPI/NSK MAXX POPCOR/503357921550/Paid via CRED</t>
  </si>
  <si>
    <t>02-02-2025 UPI/Pizza And Kabab/539970971486/Paid via SuperM</t>
  </si>
  <si>
    <t>02-02-2025 UPI/BHARAT SHIVAJI /539972472879/Paid via SuperM</t>
  </si>
  <si>
    <t>03-02-2025 ACH C- TCS3INTSPLDIV030225-1569454</t>
  </si>
  <si>
    <t>03-02-2025 NET PI TO HSL SEC A/C 2554606-00602340029427</t>
  </si>
  <si>
    <t>03-02-2025 UPI/SOMESHRAMESHPAN/540023880379/UPI</t>
  </si>
  <si>
    <t>03-02-2025 UPI/Zerodha Broking/503482444034/237312860955769</t>
  </si>
  <si>
    <t>04-02-2025 NET PI TO HSL SEC A/C 2554606-00602340029427</t>
  </si>
  <si>
    <t>04-02-2025 UPI/MOHITH S REDDY/503562029985/Paid via CRED</t>
  </si>
  <si>
    <t>05-02-2025 FT- 607529660-50200085415108 - HDFC SECURITIES LTD-CLIENT DSCNB A/C -</t>
  </si>
  <si>
    <t>05-02-2025 NET PI TO HSL SEC A/C 2554606-00602340029427</t>
  </si>
  <si>
    <t>05-02-2025 UPI/PRAFUL KRISHNAR/503638310244/9th Feb photogr</t>
  </si>
  <si>
    <t>06-02-2025 NET PI TO HSL SEC A/C 2554606-00602340029427</t>
  </si>
  <si>
    <t>07-02-2025 FT- 608346542-50200085415108 - HDFC SECURITIES LTD-CLIENT DSCNB A/C -</t>
  </si>
  <si>
    <t>07-02-2025 HDFCLIFE CENTR-035528458</t>
  </si>
  <si>
    <t>07-02-2025 NET PI TO HSL SEC A/C 2554606-00602340029427</t>
  </si>
  <si>
    <t>07-02-2025 DEBIT CARD ANNUAL FEE-JAN-2025 170125-MIR2503845725051</t>
  </si>
  <si>
    <t>07-02-2025 UPI/Mr RAMESH PUNDL/503869905853/Paid via CRED</t>
  </si>
  <si>
    <t>10-02-2025 NET PI TO HSL SEC A/C 2554606-00602340029427</t>
  </si>
  <si>
    <t>10-02-2025 UPI/RISHABH GUPTA/504177120310/Paid via CRED</t>
  </si>
  <si>
    <t>10-02-2025 UPI/DHARMENDRA  KUM/504178722414/Paid via CRED</t>
  </si>
  <si>
    <t>10-02-2025 UPI/Mr Dharmendra K/540793206174/UPI</t>
  </si>
  <si>
    <t>11-02-2025 NET PI TO HSL SEC A/C 2554606-00602340029427</t>
  </si>
  <si>
    <t>11-02-2025 UPI-ARCHIT  GUPTA-8668331033@YBL-SBIN0011669-302843713734-PAYMENT FROM PHONE</t>
  </si>
  <si>
    <t>11-02-2025 UPI/TEJU BAI BADOLI/504279136447/Paid via CRED</t>
  </si>
  <si>
    <t>12-02-2025 NET PI TO HSL SEC A/C 2554606-00602340029427</t>
  </si>
  <si>
    <t>12-02-2025 NEFT AXISCN0915269799 NIPPON INDIA SMALL CAP FUND</t>
  </si>
  <si>
    <t>12-02-2025 UPI/UBER INDIA SYST/145108900435/Pay via Razorpa</t>
  </si>
  <si>
    <t>13-02-2025 NET PI TO HSL SEC A/C 2554606-00602340029427</t>
  </si>
  <si>
    <t>14-02-2025 50100542230922-TPT-FROM AAYUSH TO ARCHIT-ARCHIT GUPTA</t>
  </si>
  <si>
    <t>14-02-2025 NET PI TO HSL SEC A/C 2554606-00602340029427</t>
  </si>
  <si>
    <t>14-02-2025 DEPOSITORY CHARGES JAN25 - 52812428</t>
  </si>
  <si>
    <t>15-02-2025 ACH C- SONABLWPRECISION-0000000000000334</t>
  </si>
  <si>
    <t>15-02-2025 50100542230922-TPT-FROM AAYUSH-ARCHIT GUPTA</t>
  </si>
  <si>
    <t>15-02-2025    TO TRANSFER-UPI/DR/504622528478/Ola Money/AIRP/olamoney85/OlaM--</t>
  </si>
  <si>
    <t>15-02-2025 UPI/Bangalore Metro/541216862101/Paid via SuperM</t>
  </si>
  <si>
    <t>15-02-2025 UPI/Bangalore Metro/541216876050/Paid via SuperM</t>
  </si>
  <si>
    <t>15-02-2025 UPI/CHAI VENUE 02/541217340874/Paid via SuperM</t>
  </si>
  <si>
    <t>15-02-2025 UPI/IRCTC CF/100006750671/IRCTC TICKET BO</t>
  </si>
  <si>
    <t>15-02-2025 UPI/VIKETH C/504696259010/airtel wifi con</t>
  </si>
  <si>
    <t>15-02-2025 UPI/SHAMSHUDDIN/541218566045/Paid via SuperM</t>
  </si>
  <si>
    <t>15-02-2025 UPI/IRCTC CF/100007578172/IRCTC TICKET BO</t>
  </si>
  <si>
    <t>15-02-2025 UPI/paddu center/541221977084/Merchant QR</t>
  </si>
  <si>
    <t>15-02-2025 UPI/CHAI VENUE 02/541222034585/Paid via SuperM</t>
  </si>
  <si>
    <t>15-02-2025 UPI/IRCTCCF/100009179737/UPIRefund</t>
  </si>
  <si>
    <t>16-02-2025    TO TRANSFER-UPI/DR/541214384962/ZipcashC/ICIC/olamoney1./UPI--</t>
  </si>
  <si>
    <t>16-02-2025 UPI/SUNITASAINIWOMU/541327787930/Paid via SuperM</t>
  </si>
  <si>
    <t>16-02-2025 UPI/CHAI VENUE 02/541327849492/Paid via SuperM</t>
  </si>
  <si>
    <t>16-02-2025 UPI/BMTC BUS KA01AR/541329613522/Paid via SuperM</t>
  </si>
  <si>
    <t>16-02-2025 UPI/Mr Pankaj Kumar/541330137380/Paid via SuperM</t>
  </si>
  <si>
    <t>16-02-2025 UPI/DOMINOS PIZZA/541330215420/Paid via SuperM</t>
  </si>
  <si>
    <t>16-02-2025 UPI/AMAR SINGH/541330745897/Pay to BharatPe</t>
  </si>
  <si>
    <t>16-02-2025 UPI/BMTC BUS KA57F1/541332535612/Pay to Merchant</t>
  </si>
  <si>
    <t>16-02-2025 UPI/CHAI VENUE 02/541332970403/Paid via SuperM</t>
  </si>
  <si>
    <t>16-02-2025 UPI/GOWRI GAJANAND /541335845819/Paid via SuperM</t>
  </si>
  <si>
    <t>17-02-2025 NET PI TO HSL SEC A/C 2554606-00602340029427</t>
  </si>
  <si>
    <t>17-02-2025 UPI/BMTC BUS KA57F0/541438649594/Pay to Merchant</t>
  </si>
  <si>
    <t>17-02-2025 UPI/Sodexo Aditya B/541439186353/Paid via SuperM</t>
  </si>
  <si>
    <t>17-02-2025 UPI/ARCHITA GUPTA/504891943813/wakefit</t>
  </si>
  <si>
    <t>17-02-2025 UPI/ABDUL BATEN/541448450760/Paid via SuperM</t>
  </si>
  <si>
    <t>18-02-2025 NET PI TO HSL SEC A/C 2554606-00602340029427</t>
  </si>
  <si>
    <t>18-02-2025 ACH C- KPIT TECHNOLOGIES-4334072</t>
  </si>
  <si>
    <t>18-02-2025 NACH-ECS-CR-NTPC-2-INT DIV 24-25-NT3101252613078</t>
  </si>
  <si>
    <t>18-02-2025 NACH-ECS-CR-CAMS 3INTDIV 24 25-305528</t>
  </si>
  <si>
    <t>19-02-2025 NET PI TO HSL SEC A/C 2554606-00602340029427</t>
  </si>
  <si>
    <t>19-02-2025 UPI/Sodexo Aditya B/541661353709/Paid via SuperM</t>
  </si>
  <si>
    <t>19-02-2025 UPI/CHAI FUSION CAF/541668230856/Paid via SuperM</t>
  </si>
  <si>
    <t>19-02-2025 UPI/SRI GAJANANA FR/541668692270/Paid via SuperM</t>
  </si>
  <si>
    <t>20-02-2025 FT- 612372820-50200085415108 - HDFC SECURITIES LTD-CLIENT DSCNB A/C -</t>
  </si>
  <si>
    <t>20-02-2025 FT- 612409446-50200085415108 - HDFC SECURITIES LTD-CLIENT DSCNB A/C -</t>
  </si>
  <si>
    <t>20-02-2025 NET PI TO HSL SEC A/C 2554606-00602340029427</t>
  </si>
  <si>
    <t>21-02-2025 FT- 612772945-50200085415108 - HDFC SECURITIES LTD-CLIENT DSCNB A/C -</t>
  </si>
  <si>
    <t>21-02-2025 NET PI TO HSL SEC A/C 2554606-00602340029427</t>
  </si>
  <si>
    <t>21-02-2025 UPI/Sodexo Aditya B/541882494002/Paid via SuperM</t>
  </si>
  <si>
    <t>21-02-2025 UPI/HARSHA DEEPAK B/505297583971/Paid via CRED</t>
  </si>
  <si>
    <t>21-02-2025 UPI/VSJ ENTERPRISES/541885124681/Paid via SuperM</t>
  </si>
  <si>
    <t>21-02-2025 UPI/PUNEETH   KUMAR/541888225317/Paid via SuperM</t>
  </si>
  <si>
    <t>22-02-2025 UPI/C R RATHNAMMA/541996627159/Paid via SuperM</t>
  </si>
  <si>
    <t>23-02-2025    TO TRANSFER-UPI/DR/505411355992/ABDUL   /KKBK/wajidabdul/Paid--</t>
  </si>
  <si>
    <t>23-02-2025 UPI/SUNITASAINIWOMU/505403311254/Paid via SuperM</t>
  </si>
  <si>
    <t>23-02-2025 UPI/CHAI VENUE 02/505403336094/Paid via SuperM</t>
  </si>
  <si>
    <t>23-02-2025 UPI/CHANDAN KUMAR S/505404137319/Paid via SuperM</t>
  </si>
  <si>
    <t>23-02-2025 UPI/ANILAKUMAR PARA/505404834894/Paid via SuperM</t>
  </si>
  <si>
    <t>23-02-2025 UPI/ABDUL   WAJID/505405496933/Paid via SuperM</t>
  </si>
  <si>
    <t>23-02-2025 UPI/UMAPATHI/542001235563/Paid via CRED a</t>
  </si>
  <si>
    <t>23-02-2025 UPI/NOV DIGITAL ENT/100049491416/UPI Mandate</t>
  </si>
  <si>
    <t>23-02-2025 UPI/Nandini/505409714878/Paid via SuperM</t>
  </si>
  <si>
    <t>24-02-2025 NET PI TO HSL SEC A/C 2554606-00602340029427</t>
  </si>
  <si>
    <t>24-02-2025 UPI-THE GLAMOUR HOUSE-7020998295-2@IBL-HDFC0004690-330636964164-PAYMENT FROM PHONE</t>
  </si>
  <si>
    <t>24-02-2025 UPI/Sodexo Aditya B/505514205449/Paid via SuperM</t>
  </si>
  <si>
    <t>24-02-2025 UPI/KHABIRUL  ISLAM/505522949355/Paid via SuperM</t>
  </si>
  <si>
    <t>25-02-2025 NET PI TO HSL SEC A/C 2554606-00602340029427</t>
  </si>
  <si>
    <t>25-02-2025 ACH C- HEROMOTOCORPLTD-00000000000007576</t>
  </si>
  <si>
    <t>25-02-2025    TO TRANSFER-UPI/DR/505633062031/Centro B/JIOP/2433862754/Paid--</t>
  </si>
  <si>
    <t>25-02-2025 UPI/Chai eraumiya/505627181168/Paid via SuperM</t>
  </si>
  <si>
    <t>25-02-2025 UPI/AJAZ PASHA/505632324597/Paid via SuperM</t>
  </si>
  <si>
    <t>25-02-2025 UPI/XXXPGN KOTAK 81/505632341738/Paid via SuperM</t>
  </si>
  <si>
    <t>26-02-2025 NET PI TO HSL SEC A/C 2554606-00602340029427</t>
  </si>
  <si>
    <t>26-02-2025    TO TRANSFER-UPI/DR/505741741934/BALAJI   P/KKBK/8310492587/Pai--</t>
  </si>
  <si>
    <t>26-02-2025    TO TRANSFER-UPI/DR/505741790992/Indian R/SBIN/railsbiupi/Paid--</t>
  </si>
  <si>
    <t>26-02-2025    TO TRANSFER-UPI/DR/505742100245/PRABHAKA/YESB/q696652558/Paid--</t>
  </si>
  <si>
    <t>26-02-2025    TO TRANSFER-UPI/DR/505743429140/GURUPRAS/HDFC/9019299663/Paid--</t>
  </si>
  <si>
    <t>26-02-2025    TO TRANSFER-UPI/DR/505744264201/95944352/KKBK/9594435259/Paid--</t>
  </si>
  <si>
    <t>26-02-2025 UPI/Sodexo Aditya B/505735993583/Paid via SuperM</t>
  </si>
  <si>
    <t>26-02-2025 UPI/AAYUSHKUMARGUPT/505744264201/PaidviaSuperMon</t>
  </si>
  <si>
    <t>27-02-2025 NET PI TO HSL SEC A/C 2554606-00602340029427</t>
  </si>
  <si>
    <t>27-02-2025    BY TRANSFER-UPI/CR/100659299986/Miss MEG/CBIN/meghaghati/UPI--</t>
  </si>
  <si>
    <t>27-02-2025 NACH-10-CR-NESTLEINDIALTD-00000000000000194591</t>
  </si>
  <si>
    <t>27-02-2025 UPI/SNEGHAM/505886941296/UPI</t>
  </si>
  <si>
    <t>28-02-2025 ACH D- TP ACH INDIANESIGN-1726468160</t>
  </si>
  <si>
    <t>28-02-2025 ACH D- TP ACH INDIANESIGN-1726468161</t>
  </si>
  <si>
    <t>28-02-2025 NET PI TO HSL SEC A/C 2554606-00602340029427</t>
  </si>
  <si>
    <t>28-02-2025 ACH C- APOLLO HOS IDIV2025-AHLIN30154952</t>
  </si>
  <si>
    <t>28-02-2025    TO TRANSFER-UPI/DR/505965484086/Centro B/JIOP/2433862747/Paid--</t>
  </si>
  <si>
    <t>28-02-2025    TO TRANSFER-UPI/DR/505965636812/Centro B/JIOP/2433862747/Paid--</t>
  </si>
  <si>
    <t>28-02-2025 NACH-MUT-DR-INDIAN CLEARING CORP-0000001JIHD173T2</t>
  </si>
  <si>
    <t>28-02-2025 UPI/ARCHITGUPTA/505930400250/UPI</t>
  </si>
  <si>
    <t>01-03-2025 NET PI TO HSL SEC A/C 2554606-00602340029427</t>
  </si>
  <si>
    <t>01-03-2025    TO TRANSFER-UPI/DR/506067172276/Nandini/YESB/paytm.s1au/Paid v--</t>
  </si>
  <si>
    <t>01-03-2025    TO TRANSFER-UPI/DR/542611346817/CRED/UTIB/cred.rent@/payment--</t>
  </si>
  <si>
    <t>01-03-2025    TO TRANSFER-UPI/DR/542613134435/CRED/UTIB/cred.club@/payment--</t>
  </si>
  <si>
    <t>01-03-2025 20052205306441:Int.Pd:01-02-2025- to  28-02-2025</t>
  </si>
  <si>
    <t>02-03-2025 01671000085930-TPT-BORROW FROM AAYUSH-AJAY KUMAR GUPTA</t>
  </si>
  <si>
    <t>02-03-2025    TO TRANSFER-UPI/DR/542714000294/CRED/UTIB/cred.club@/payment--</t>
  </si>
  <si>
    <t>02-03-2025    TO TRANSFER-UPI/DR/542714024668/Nandini/YESB/paytm.s1au/Paid v--</t>
  </si>
  <si>
    <t>02-03-2025    TO TRANSFER-UPI/DR/506180899388/SWAPNA B/SBIN/dh589246@o/Paid--</t>
  </si>
  <si>
    <t>02-03-2025    TO TRANSFER-UPI/DR/506184220005/HANAMANT/BKID/hanuman297/Paid--</t>
  </si>
  <si>
    <t>02-03-2025    TO TRANSFER-UPI/DR/506185847363/SHIVANNA D/CNRB/9108591013/Pai--</t>
  </si>
  <si>
    <t>03-03-2025 NET PI TO HSL SEC A/C 2554606-00602340029427</t>
  </si>
  <si>
    <t>03-03-2025    BY TRANSFER-INB IMPS/506205164161/ybp-XX201-DREAMPLU/Paid via--</t>
  </si>
  <si>
    <t>03-03-2025    TO TRANSFER-UPI/DR/542836068315/CRED Club/UTIB/cred.club@/paym--</t>
  </si>
  <si>
    <t>03-03-2025    BY TRANSFER-UPI/CR/100895889902/Miss MEG/CBIN/meghaghati/done--</t>
  </si>
  <si>
    <t>03-03-2025    TO TRANSFER-INB HDFC LIFE INSURANCE COMPA--</t>
  </si>
  <si>
    <t>03-03-2025 NACH-10-CR-KFILINTDIV2425-00000000000000127654</t>
  </si>
  <si>
    <t>03-03-2025 Recd:IMPS/506220824208/PERFIOS SO/KKBK/X9432/hdfcL</t>
  </si>
  <si>
    <t>04-03-2025 NET PI TO HSL SEC A/C 2554606-00602340029427</t>
  </si>
  <si>
    <t>04-03-2025    TO TRANSFER-UPI/DR/542915527043/CRED Club/UTIB/cred.club@/paym--</t>
  </si>
  <si>
    <t>04-03-2025    TO TRANSFER-UPI/DR/506336153708/Miss RIS/CBIN/rishikagup/Megha--</t>
  </si>
  <si>
    <t>04-03-2025    TO TRANSFER-UPI/DR/542909542075/MAHADEVA/SBIN/mahadevasy/Paid--</t>
  </si>
  <si>
    <t>05-03-2025 FT- 615941488-50200085415108 - HDFC SECURITIES LTD-CLIENT DSCNB A/C -</t>
  </si>
  <si>
    <t>05-03-2025 NET PI TO HSL SEC A/C 2554606-00602340029427</t>
  </si>
  <si>
    <t>05-03-2025 01671000085930-TPT-BORROW BY AAYUSH-AJAY KUMAR GUPTA</t>
  </si>
  <si>
    <t>05-03-2025    TO TRANSFER-UPI/DR/506491911748/CRED Club/UTIB/cred.club@/paym--</t>
  </si>
  <si>
    <t>05-03-2025    TO TRANSFER-UPI/DR/543019533304/Nandini/YESB/paytm.s1au/Paid v--</t>
  </si>
  <si>
    <t>06-03-2025 FT- 616335784-50200085415108 - HDFC SECURITIES LTD-CLIENT DSCNB A/C -</t>
  </si>
  <si>
    <t>06-03-2025 NET PI TO HSL SEC A/C 2554606-00602340029427</t>
  </si>
  <si>
    <t>06-03-2025    TO TRANSFER-UPI/DR/506557617010/CRED Club/UTIB/cred.club@/paym--</t>
  </si>
  <si>
    <t>06-03-2025 UPI/RZPX/646531000655/Supermoney Rewa</t>
  </si>
  <si>
    <t>07-03-2025 50200000003402   23560474_HLIC_INST</t>
  </si>
  <si>
    <t>07-03-2025 FT- 616721585-50200085415108 - HDFC SECURITIES LTD-CLIENT DSCNB A/C -</t>
  </si>
  <si>
    <t>07-03-2025 NET PI TO HSL SEC A/C 2554606-00602340029427</t>
  </si>
  <si>
    <t>07-03-2025 ACH C- NATIONAL ALUMINIUM C-NAT0INT02025</t>
  </si>
  <si>
    <t>07-03-2025 HDFCLIFE CENTR-036714639</t>
  </si>
  <si>
    <t>07-03-2025    TO TRANSFER-UPI/DR/506618533164/CRED Club/UTIB/cred.club@/paym--</t>
  </si>
  <si>
    <t>07-03-2025 NACH-ECS-CR-ITC LIMITED-1855762</t>
  </si>
  <si>
    <t>08-03-2025 01671000085930-TPT-MNY RTN TO AKG-AJAY KUMAR GUPTA</t>
  </si>
  <si>
    <t>08-03-2025 UPI/Nandini/543354163889/Paid via SuperM</t>
  </si>
  <si>
    <t>09-03-2025    BY TRANSFER-UPI/CR/543428365827/MEGHA GU/HDFC/8005604328/Paid--</t>
  </si>
  <si>
    <t>09-03-2025    BY TRANSFER-UPI/CR/543428367159/MEGHA GU/HDFC/8005604328/Paid--</t>
  </si>
  <si>
    <t>09-03-2025 UPI/Nandini/543468082726/Paid via SuperM</t>
  </si>
  <si>
    <t>10-03-2025 NET PI TO HSL SEC A/C 2554606-00602340029427</t>
  </si>
  <si>
    <t>10-03-2025 UPI/BMTC BUS KA57F0/543577556889/Pay to Merchant</t>
  </si>
  <si>
    <t>10-03-2025 UPI/Nandini/543580746805/Paid via SuperM</t>
  </si>
  <si>
    <t>11-03-2025 NET PI TO HSL SEC A/C 2554606-00602340029427</t>
  </si>
  <si>
    <t>11-03-2025 UPI/MAHESH  N/543683213914/Paid via SuperM</t>
  </si>
  <si>
    <t>11-03-2025 UPI/RANI KUMARI/543687520282/Paid via SuperM</t>
  </si>
  <si>
    <t>11-03-2025 UPI/Nandini/543690469766/Paid via SuperM</t>
  </si>
  <si>
    <t>12-03-2025 NET PI TO HSL SEC A/C 2554606-00602340029427</t>
  </si>
  <si>
    <t>12-03-2025    TO TRANSFER-UPI/DR/507101840936/Mrs. G  /SBIN/mrs.gpavit/Paid--</t>
  </si>
  <si>
    <t>12-03-2025    TO TRANSFER-UPI/DR/507105099205/Green Ch/YESB/paytmqr281/Paid--</t>
  </si>
  <si>
    <t>12-03-2025 NEFT AXISCN0941716941 NIPPON INDIA SMALL CAP FUND</t>
  </si>
  <si>
    <t>12-03-2025 UPI/Nandini/543797339354/Paid via SuperM</t>
  </si>
  <si>
    <t>13-03-2025 NET PI TO HSL SEC A/C 2554606-00602340029427</t>
  </si>
  <si>
    <t>13-03-2025    TO TRANSFER-UPI/DR/507214774987/M JAGADI/ESFB/m.jagdishk/Paid--</t>
  </si>
  <si>
    <t>13-03-2025    TO TRANSFER-UPI/DR/507214983370/Bykemani/YESB/paytm-1375/Paid--</t>
  </si>
  <si>
    <t>14-03-2025    TO TRANSFER-UPI/DR/507328227318/M MOHIT /HDFC/mohitvaid2/Paid--</t>
  </si>
  <si>
    <t>15-03-2025 DEPOSITORY CHARGES FEB25 - 52812428</t>
  </si>
  <si>
    <t>15-03-2025    TO TRANSFER-UPI/DR/507429370171/CBDT/HDFC/cbdt.payu@/UPIIntent--</t>
  </si>
  <si>
    <t>15-03-2025    TO TRANSFER-UPI/DR/507434895785/Nandini/YESB/paytm.s1c3/Paid v--</t>
  </si>
  <si>
    <t>15-03-2025 UPI/Country Delight/507424226924/OidcdJP95944352</t>
  </si>
  <si>
    <t>15-03-2025 UPI/MEGHA GUPTA/507434436982/UPI</t>
  </si>
  <si>
    <t>15-03-2025 UPI/POPCLUBPAYOUTS/507434437548/CashbackFTUE ca</t>
  </si>
  <si>
    <t>15-03-2025 UPI/POPCLUBPAYOUTS/507434438482/POP Cashback</t>
  </si>
  <si>
    <t>17-03-2025 NET PI TO HSL SEC A/C 2554606-00602340029427</t>
  </si>
  <si>
    <t>17-03-2025    TO TRANSFER-UPI/DR/507657176053/Centro B/JIOP/2433862747/Paid--</t>
  </si>
  <si>
    <t>17-03-2025    TO TRANSFER-UPI/DR/507657426058/AJAZ PASHA/IOBA/ajaz.pasha/Pai--</t>
  </si>
  <si>
    <t>17-03-2025 UPI/Zerodha Broking/507653556297/273569153733193</t>
  </si>
  <si>
    <t>18-03-2025 FT- 619402405-50200085415108 - HDFC SECURITIES LTD-CLIENT DSCNB A/C -</t>
  </si>
  <si>
    <t>18-03-2025 NET PI TO HSL SEC A/C 2554606-00602340029427</t>
  </si>
  <si>
    <t>18-03-2025    TO TRANSFER-UPI/DR/507771707109/AYISHA/CNRB/9886718617/Paid vi--</t>
  </si>
  <si>
    <t>19-03-2025 NET PI TO HSL SEC A/C 2554606-00602340029427</t>
  </si>
  <si>
    <t>20-03-2025 50100542230922-TPT-BORROW FROM ARCHIT-ARCHIT GUPTA</t>
  </si>
  <si>
    <t>20-03-2025 NET PI TO HSL SEC A/C 2554606-00602340029427</t>
  </si>
  <si>
    <t>21-03-2025 FT- 620507614-50200085415108 - HDFC SECURITIES LTD-CLIENT DSCNB A/C -</t>
  </si>
  <si>
    <t>21-03-2025 01671000085930-TPT-MNY RETURN BY AAYUSH TO AJAY-AJAY KUMAR GUPTA</t>
  </si>
  <si>
    <t>21-03-2025 NET PI TO HSL SEC A/C 2554606-00602340029427</t>
  </si>
  <si>
    <t>21-03-2025 NET PO FROM HSL A/C 2554606-50200085415108</t>
  </si>
  <si>
    <t>21-03-2025    TO TRANSFER-UPI/DR/544609270369/PVR INOX/YESB/amznplpvrv/Paid--</t>
  </si>
  <si>
    <t>22-03-2025    TO TRANSFER-UPI/DR/544710585685/SRIDHARA/KKBK/shreedhara/Paid--</t>
  </si>
  <si>
    <t>22-03-2025    TO TRANSFER-UPI/DR/544713312848/Centro B/JIOP/2433862747/Paid--</t>
  </si>
  <si>
    <t>23-03-2025    TO TRANSFER-UPI/DR/544824970911/S DAVIDR/UCBA/davidraja6/Paid--</t>
  </si>
  <si>
    <t>23-03-2025 UPI/LA PLAGE A UNIT/544829247554/Paid via SuperM</t>
  </si>
  <si>
    <t>24-03-2025 NET PI TO HSL SEC A/C 2554606-00602340029427</t>
  </si>
  <si>
    <t>24-03-2025 UPI/K RAMAKRISHNAN/544936987536/Paid via SuperM</t>
  </si>
  <si>
    <t>25-03-2025 NET PI TO HSL SEC A/C 2554606-00602340029427</t>
  </si>
  <si>
    <t>25-03-2025    CREDIT INTEREST---</t>
  </si>
  <si>
    <t>25-03-2025 UPI/VISHNU PRATHAP /545045872634/Paid via SuperM</t>
  </si>
  <si>
    <t>25-03-2025 UPI/MRSALEEM ALLASA/545048271939/Paid via SuperM</t>
  </si>
  <si>
    <t>25-03-2025 UPI/UMESH BISWAKARM/545053128890/Paid via SuperM</t>
  </si>
  <si>
    <t>26-03-2025 FT- 621806817-50200085415108 - HDFC SECURITIES LTD-CLIENT DSCNB A/C -</t>
  </si>
  <si>
    <t>26-03-2025 NET PI TO HSL SEC A/C 2554606-00602340029427</t>
  </si>
  <si>
    <t>26-03-2025 UPI/MUKESH KUMAR CH/545184715583/commission</t>
  </si>
  <si>
    <t>27-03-2025 NET PI TO HSL SEC A/C 2554606-00602340029427</t>
  </si>
  <si>
    <t>27-03-2025 UPI/Miss MEGHA  GUP/102162167048/UPI</t>
  </si>
  <si>
    <t>28-03-2025 ACH D- TP ACH INDIANESIGN-1757433693</t>
  </si>
  <si>
    <t>28-03-2025 FT- 622597938-50200085415108 - HDFC SECURITIES LTD-CLIENT DSCNB A/C -</t>
  </si>
  <si>
    <t>28-03-2025 NET PI TO HSL SEC A/C 2554606-00602340029427</t>
  </si>
  <si>
    <t>28-03-2025 NACH-MUT-DR-ZERODHA BROKING LTD-JZPEFCBBZDEI</t>
  </si>
  <si>
    <t>28-03-2025 UPI/UDUPI UPACHAR/545396430220/Paid via SuperM</t>
  </si>
  <si>
    <t>28-03-2025 UPI/SHRADDHA K HEGD/545396921060/Paid via SuperM</t>
  </si>
  <si>
    <t>29-03-2025 ISAQMC-JUL-SEP24-417944 070325-MIR2508871584497</t>
  </si>
  <si>
    <t>31-03-2025 SB:915010020334307:Int.Pd:01-01-2025 to 31-03-2025</t>
  </si>
  <si>
    <t>31-03-2025 UPI/Mr SURESH K S/509030340309/Paid via SuperM</t>
  </si>
  <si>
    <t>31-03-2025 UPI/T S ASHOKA/509030811839/Paid via SuperM</t>
  </si>
  <si>
    <t>31-03-2025 Int.Pd:3649610333:01-01-2025 to 31-03-2025</t>
  </si>
  <si>
    <t>31-03-2025 INTEREST PAID TILL 31-MAR-2025</t>
  </si>
  <si>
    <t>31-03-2025 20052205306441:Int.Pd:01-03-2025- to  31-03-2025</t>
  </si>
  <si>
    <t>Kya Hai?</t>
  </si>
  <si>
    <t>Suspense</t>
  </si>
  <si>
    <t>Insurance</t>
  </si>
  <si>
    <t>Cash</t>
  </si>
  <si>
    <t>Rent Expenses</t>
  </si>
  <si>
    <t>80C</t>
  </si>
  <si>
    <t>80D</t>
  </si>
  <si>
    <t>HDFC Securities</t>
  </si>
  <si>
    <t>Income Tax</t>
  </si>
  <si>
    <t>Mutual Funds</t>
  </si>
  <si>
    <t>CRED</t>
  </si>
  <si>
    <t>Ajay Gupta</t>
  </si>
  <si>
    <t>Archit Gupta</t>
  </si>
  <si>
    <t>Sunita Gupta</t>
  </si>
  <si>
    <t>Zerodha Broking Limited</t>
  </si>
  <si>
    <t>HDFC 5413</t>
  </si>
  <si>
    <t>AXIS 4307</t>
  </si>
  <si>
    <t>FEDERAL 0847</t>
  </si>
  <si>
    <t>KOTAK 0333</t>
  </si>
  <si>
    <t>SBI 1227</t>
  </si>
  <si>
    <t>SBM 6441</t>
  </si>
  <si>
    <t>Oracle Financial Services Software Ltd.</t>
  </si>
  <si>
    <t>INFOSYS LTD</t>
  </si>
  <si>
    <t>STATE BANK OF INDIA</t>
  </si>
  <si>
    <t>BANK OF INDIA</t>
  </si>
  <si>
    <t>UNION BANK OF INDIA</t>
  </si>
  <si>
    <t>HDFC BANK LTD</t>
  </si>
  <si>
    <t>ICICI BANK LTD.</t>
  </si>
  <si>
    <t>MAHINDRA &amp; MAHINDRA LTD</t>
  </si>
  <si>
    <t>CHAMBLFERT</t>
  </si>
  <si>
    <t>TATA CONSULTANCY SERVICES LIMITED</t>
  </si>
  <si>
    <t>KIRLFER</t>
  </si>
  <si>
    <t>LAURUSLABS</t>
  </si>
  <si>
    <t>SONA BLW PRECISION FORGINGS LIMITED</t>
  </si>
  <si>
    <t>BIRLASOFT LIMITED</t>
  </si>
  <si>
    <t>INDIAMART INTERMESH LIMITED</t>
  </si>
  <si>
    <t>LTI MINDTREE LIMITED</t>
  </si>
  <si>
    <t>LTIM</t>
  </si>
  <si>
    <t>POLYCAB INDIA LIMITED</t>
  </si>
  <si>
    <t>KALPATARU PROJECTS INTERNATIONAL LIMITED</t>
  </si>
  <si>
    <t>BAJAJ AUTO LTD</t>
  </si>
  <si>
    <t>CYIENT LIMITED</t>
  </si>
  <si>
    <t>BANK OF BARODA</t>
  </si>
  <si>
    <t>CAMS</t>
  </si>
  <si>
    <t>ALEMBIC PHARMACEUTICALS LIMITED</t>
  </si>
  <si>
    <t>ITC</t>
  </si>
  <si>
    <t>NESTLE</t>
  </si>
  <si>
    <t>CDSL</t>
  </si>
  <si>
    <t>DATA PATTERNS (INDIA) LTD</t>
  </si>
  <si>
    <t>KPIT TECHNOLOGIES LIMITED</t>
  </si>
  <si>
    <t>RELIANCE</t>
  </si>
  <si>
    <t>N G L FINE-CHEM LIMITED</t>
  </si>
  <si>
    <t>POWER FINANCE CORPORATION LTD.</t>
  </si>
  <si>
    <t>APOLLO HOSPITALS ENTER. L</t>
  </si>
  <si>
    <t>CLEAN SCIENCE &amp; TECHNOLOGY LIMITED</t>
  </si>
  <si>
    <t>GARWARE TECHNICAL FIBRES LIMITED</t>
  </si>
  <si>
    <t>POWER MECH PROJECTS LIMITED</t>
  </si>
  <si>
    <t>OLECTRA GREENTECH LIMITED</t>
  </si>
  <si>
    <t>NATIONAL ALUMINIUM COMPANY LIMITED</t>
  </si>
  <si>
    <t>NTPC</t>
  </si>
  <si>
    <t>HERO MOTOCORP LIMITED</t>
  </si>
  <si>
    <t xml:space="preserve">Upwork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</si>
</sst>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dd/mm/yyyy;@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6"/>
      <name val="Arial MT"/>
      <family val="2"/>
    </font>
    <font>
      <sz val="6"/>
      <name val="Times New Roman"/>
      <family val="1"/>
    </font>
    <font>
      <b/>
      <sz val="10"/>
      <name val="Arial"/>
      <family val="2"/>
    </font>
    <font>
      <sz val="11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ABBE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0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164" fontId="0" fillId="0" borderId="0" xfId="1" applyNumberFormat="1" applyFont="1"/>
    <xf numFmtId="14" fontId="0" fillId="0" borderId="0" xfId="0" applyNumberFormat="1"/>
    <xf numFmtId="4" fontId="0" fillId="0" borderId="0" xfId="0" applyNumberFormat="1"/>
    <xf numFmtId="11" fontId="0" fillId="0" borderId="0" xfId="0" applyNumberFormat="1"/>
    <xf numFmtId="43" fontId="0" fillId="0" borderId="0" xfId="0" applyNumberFormat="1"/>
    <xf numFmtId="15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3" fillId="2" borderId="2" xfId="0" applyFont="1" applyFill="1" applyBorder="1" applyAlignment="1">
      <alignment horizontal="center" vertical="top" wrapText="1"/>
    </xf>
    <xf numFmtId="0" fontId="0" fillId="2" borderId="3" xfId="0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top" wrapText="1"/>
    </xf>
    <xf numFmtId="0" fontId="0" fillId="2" borderId="3" xfId="0" applyFill="1" applyBorder="1" applyAlignment="1">
      <alignment horizontal="left" vertical="top" wrapText="1" indent="1"/>
    </xf>
    <xf numFmtId="0" fontId="3" fillId="2" borderId="3" xfId="0" applyFont="1" applyFill="1" applyBorder="1" applyAlignment="1">
      <alignment horizontal="right" vertical="top" wrapText="1" indent="1"/>
    </xf>
    <xf numFmtId="0" fontId="3" fillId="2" borderId="3" xfId="0" applyFont="1" applyFill="1" applyBorder="1" applyAlignment="1">
      <alignment horizontal="left" vertical="top" wrapText="1" indent="1"/>
    </xf>
    <xf numFmtId="0" fontId="3" fillId="2" borderId="3" xfId="0" applyFont="1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165" fontId="5" fillId="0" borderId="5" xfId="0" applyNumberFormat="1" applyFont="1" applyBorder="1" applyAlignment="1">
      <alignment horizontal="center" vertical="top" shrinkToFit="1"/>
    </xf>
    <xf numFmtId="165" fontId="5" fillId="0" borderId="6" xfId="0" applyNumberFormat="1" applyFont="1" applyBorder="1" applyAlignment="1">
      <alignment horizontal="left" vertical="top" shrinkToFit="1"/>
    </xf>
    <xf numFmtId="0" fontId="0" fillId="0" borderId="6" xfId="0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5" fontId="5" fillId="0" borderId="8" xfId="0" applyNumberFormat="1" applyFont="1" applyBorder="1" applyAlignment="1">
      <alignment horizontal="center" vertical="top" shrinkToFit="1"/>
    </xf>
    <xf numFmtId="165" fontId="5" fillId="0" borderId="9" xfId="0" applyNumberFormat="1" applyFont="1" applyBorder="1" applyAlignment="1">
      <alignment horizontal="left" vertical="top" shrinkToFit="1"/>
    </xf>
    <xf numFmtId="0" fontId="0" fillId="0" borderId="9" xfId="0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165" fontId="5" fillId="0" borderId="11" xfId="0" applyNumberFormat="1" applyFont="1" applyBorder="1" applyAlignment="1">
      <alignment horizontal="center" vertical="top" shrinkToFit="1"/>
    </xf>
    <xf numFmtId="165" fontId="5" fillId="0" borderId="12" xfId="0" applyNumberFormat="1" applyFont="1" applyBorder="1" applyAlignment="1">
      <alignment horizontal="left" vertical="top" shrinkToFit="1"/>
    </xf>
    <xf numFmtId="0" fontId="0" fillId="0" borderId="12" xfId="0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2" fontId="0" fillId="0" borderId="0" xfId="0" applyNumberFormat="1" applyAlignment="1">
      <alignment horizontal="left"/>
    </xf>
    <xf numFmtId="164" fontId="5" fillId="0" borderId="6" xfId="1" applyNumberFormat="1" applyFont="1" applyBorder="1" applyAlignment="1">
      <alignment horizontal="right" vertical="top" shrinkToFit="1"/>
    </xf>
    <xf numFmtId="164" fontId="0" fillId="0" borderId="6" xfId="1" applyNumberFormat="1" applyFont="1" applyBorder="1" applyAlignment="1">
      <alignment horizontal="left" vertical="top"/>
    </xf>
    <xf numFmtId="164" fontId="5" fillId="0" borderId="9" xfId="1" applyNumberFormat="1" applyFont="1" applyBorder="1" applyAlignment="1">
      <alignment horizontal="right" vertical="top" shrinkToFit="1"/>
    </xf>
    <xf numFmtId="164" fontId="0" fillId="0" borderId="9" xfId="1" applyNumberFormat="1" applyFont="1" applyBorder="1" applyAlignment="1">
      <alignment horizontal="left" vertical="top"/>
    </xf>
    <xf numFmtId="164" fontId="5" fillId="0" borderId="12" xfId="1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center"/>
    </xf>
    <xf numFmtId="15" fontId="0" fillId="3" borderId="0" xfId="0" applyNumberFormat="1" applyFill="1"/>
    <xf numFmtId="0" fontId="0" fillId="3" borderId="0" xfId="0" applyFill="1"/>
    <xf numFmtId="164" fontId="0" fillId="3" borderId="0" xfId="1" applyNumberFormat="1" applyFont="1" applyFill="1"/>
    <xf numFmtId="14" fontId="0" fillId="3" borderId="0" xfId="0" applyNumberFormat="1" applyFill="1"/>
    <xf numFmtId="43" fontId="0" fillId="3" borderId="0" xfId="0" applyNumberFormat="1" applyFill="1"/>
    <xf numFmtId="165" fontId="5" fillId="4" borderId="8" xfId="0" applyNumberFormat="1" applyFont="1" applyFill="1" applyBorder="1" applyAlignment="1">
      <alignment horizontal="center" vertical="top" shrinkToFit="1"/>
    </xf>
    <xf numFmtId="165" fontId="5" fillId="4" borderId="9" xfId="0" applyNumberFormat="1" applyFont="1" applyFill="1" applyBorder="1" applyAlignment="1">
      <alignment horizontal="left" vertical="top" shrinkToFit="1"/>
    </xf>
    <xf numFmtId="0" fontId="0" fillId="4" borderId="9" xfId="0" applyFill="1" applyBorder="1" applyAlignment="1">
      <alignment horizontal="left" vertical="top"/>
    </xf>
    <xf numFmtId="0" fontId="4" fillId="4" borderId="9" xfId="0" applyFont="1" applyFill="1" applyBorder="1" applyAlignment="1">
      <alignment horizontal="left" vertical="top"/>
    </xf>
    <xf numFmtId="164" fontId="5" fillId="4" borderId="9" xfId="1" applyNumberFormat="1" applyFont="1" applyFill="1" applyBorder="1" applyAlignment="1">
      <alignment horizontal="right" vertical="top" shrinkToFit="1"/>
    </xf>
    <xf numFmtId="164" fontId="0" fillId="4" borderId="6" xfId="1" applyNumberFormat="1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left" vertical="top"/>
    </xf>
    <xf numFmtId="15" fontId="0" fillId="4" borderId="0" xfId="0" applyNumberFormat="1" applyFill="1"/>
    <xf numFmtId="0" fontId="0" fillId="4" borderId="0" xfId="0" applyFill="1"/>
    <xf numFmtId="164" fontId="0" fillId="4" borderId="0" xfId="1" applyNumberFormat="1" applyFont="1" applyFill="1"/>
    <xf numFmtId="0" fontId="0" fillId="5" borderId="0" xfId="0" applyFill="1"/>
    <xf numFmtId="14" fontId="0" fillId="5" borderId="0" xfId="0" applyNumberFormat="1" applyFill="1"/>
    <xf numFmtId="164" fontId="0" fillId="5" borderId="0" xfId="1" applyNumberFormat="1" applyFont="1" applyFill="1"/>
    <xf numFmtId="43" fontId="0" fillId="5" borderId="0" xfId="0" applyNumberFormat="1" applyFill="1"/>
    <xf numFmtId="165" fontId="5" fillId="5" borderId="8" xfId="0" applyNumberFormat="1" applyFont="1" applyFill="1" applyBorder="1" applyAlignment="1">
      <alignment horizontal="center" vertical="top" shrinkToFit="1"/>
    </xf>
    <xf numFmtId="165" fontId="5" fillId="5" borderId="9" xfId="0" applyNumberFormat="1" applyFont="1" applyFill="1" applyBorder="1" applyAlignment="1">
      <alignment horizontal="left" vertical="top" shrinkToFit="1"/>
    </xf>
    <xf numFmtId="0" fontId="0" fillId="5" borderId="9" xfId="0" applyFill="1" applyBorder="1" applyAlignment="1">
      <alignment horizontal="left" vertical="top"/>
    </xf>
    <xf numFmtId="0" fontId="4" fillId="5" borderId="9" xfId="0" applyFont="1" applyFill="1" applyBorder="1" applyAlignment="1">
      <alignment horizontal="left" vertical="top"/>
    </xf>
    <xf numFmtId="164" fontId="0" fillId="5" borderId="9" xfId="1" applyNumberFormat="1" applyFont="1" applyFill="1" applyBorder="1" applyAlignment="1">
      <alignment horizontal="left" vertical="top"/>
    </xf>
    <xf numFmtId="164" fontId="5" fillId="5" borderId="9" xfId="1" applyNumberFormat="1" applyFont="1" applyFill="1" applyBorder="1" applyAlignment="1">
      <alignment horizontal="right" vertical="top" shrinkToFit="1"/>
    </xf>
    <xf numFmtId="0" fontId="4" fillId="5" borderId="10" xfId="0" applyFont="1" applyFill="1" applyBorder="1" applyAlignment="1">
      <alignment horizontal="left" vertical="top"/>
    </xf>
    <xf numFmtId="0" fontId="4" fillId="5" borderId="7" xfId="0" applyFont="1" applyFill="1" applyBorder="1" applyAlignment="1">
      <alignment horizontal="left" vertical="top"/>
    </xf>
    <xf numFmtId="164" fontId="0" fillId="5" borderId="6" xfId="1" applyNumberFormat="1" applyFont="1" applyFill="1" applyBorder="1" applyAlignment="1">
      <alignment horizontal="left" vertical="top"/>
    </xf>
    <xf numFmtId="0" fontId="8" fillId="0" borderId="0" xfId="0" applyFont="1"/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" fillId="0" borderId="0" xfId="2" applyFont="1"/>
    <xf numFmtId="0" fontId="2" fillId="0" borderId="0" xfId="0" applyFont="1"/>
    <xf numFmtId="0" fontId="2" fillId="0" borderId="0" xfId="0" applyFont="1" applyAlignment="1">
      <alignment horizontal="left"/>
    </xf>
    <xf numFmtId="164" fontId="9" fillId="0" borderId="0" xfId="1" applyNumberFormat="1" applyFont="1" applyAlignment="1">
      <alignment horizontal="center" vertical="center"/>
    </xf>
    <xf numFmtId="0" fontId="4" fillId="0" borderId="0" xfId="0" applyFont="1"/>
    <xf numFmtId="0" fontId="10" fillId="0" borderId="0" xfId="3"/>
    <xf numFmtId="14" fontId="10" fillId="0" borderId="0" xfId="3" applyNumberFormat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left"/>
    </xf>
    <xf numFmtId="164" fontId="0" fillId="0" borderId="18" xfId="1" applyNumberFormat="1" applyFont="1" applyBorder="1" applyAlignment="1"/>
    <xf numFmtId="0" fontId="0" fillId="0" borderId="18" xfId="0" applyBorder="1" applyAlignment="1">
      <alignment horizontal="center"/>
    </xf>
    <xf numFmtId="43" fontId="0" fillId="0" borderId="18" xfId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166" fontId="0" fillId="0" borderId="19" xfId="1" applyNumberFormat="1" applyFont="1" applyBorder="1"/>
    <xf numFmtId="166" fontId="0" fillId="0" borderId="20" xfId="0" applyNumberFormat="1" applyBorder="1"/>
    <xf numFmtId="0" fontId="0" fillId="0" borderId="21" xfId="0" applyBorder="1"/>
    <xf numFmtId="164" fontId="0" fillId="0" borderId="0" xfId="0" applyNumberFormat="1"/>
    <xf numFmtId="166" fontId="0" fillId="0" borderId="0" xfId="0" applyNumberFormat="1"/>
    <xf numFmtId="9" fontId="0" fillId="0" borderId="0" xfId="4" applyFont="1"/>
    <xf numFmtId="164" fontId="9" fillId="0" borderId="0" xfId="1" applyNumberFormat="1" applyFont="1" applyAlignment="1">
      <alignment horizontal="left" vertical="center"/>
    </xf>
    <xf numFmtId="0" fontId="2" fillId="0" borderId="0" xfId="2" applyFont="1" applyAlignment="1">
      <alignment horizontal="left"/>
    </xf>
    <xf numFmtId="43" fontId="9" fillId="0" borderId="0" xfId="1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5">
    <cellStyle name="Comma" xfId="1" builtinId="3"/>
    <cellStyle name="Normal" xfId="0" builtinId="0"/>
    <cellStyle name="Normal 2" xfId="2" xr:uid="{9936DB7A-4899-47B5-9279-3E1FEAA09B33}"/>
    <cellStyle name="Normal 3" xfId="3" xr:uid="{1C0D5E46-4D54-4C56-B4BB-A6ABFCD52219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259250</xdr:rowOff>
    </xdr:from>
    <xdr:ext cx="0" cy="18034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E966CC98-EE03-458B-BEE6-997A9992A21C}"/>
            </a:ext>
          </a:extLst>
        </xdr:cNvPr>
        <xdr:cNvSpPr/>
      </xdr:nvSpPr>
      <xdr:spPr>
        <a:xfrm>
          <a:off x="4298950" y="259250"/>
          <a:ext cx="0" cy="180340"/>
        </a:xfrm>
        <a:custGeom>
          <a:avLst/>
          <a:gdLst/>
          <a:ahLst/>
          <a:cxnLst/>
          <a:rect l="0" t="0" r="0" b="0"/>
          <a:pathLst>
            <a:path h="180340">
              <a:moveTo>
                <a:pt x="0" y="0"/>
              </a:moveTo>
              <a:lnTo>
                <a:pt x="0" y="179959"/>
              </a:lnTo>
            </a:path>
          </a:pathLst>
        </a:custGeom>
        <a:ln w="4762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C004F-70FC-4BE2-BFB9-01E4453DE7FB}">
  <dimension ref="A1:H638"/>
  <sheetViews>
    <sheetView workbookViewId="0">
      <selection activeCell="E15" sqref="E15"/>
    </sheetView>
  </sheetViews>
  <sheetFormatPr defaultRowHeight="14.4" x14ac:dyDescent="0.3"/>
  <cols>
    <col min="1" max="1" width="10.33203125" bestFit="1" customWidth="1"/>
    <col min="2" max="2" width="45" customWidth="1"/>
    <col min="3" max="3" width="18.77734375" customWidth="1"/>
    <col min="4" max="4" width="10.33203125" bestFit="1" customWidth="1"/>
    <col min="5" max="7" width="18.77734375" customWidth="1"/>
    <col min="8" max="256" width="11.5546875" customWidth="1"/>
    <col min="257" max="257" width="8.44140625" customWidth="1"/>
    <col min="258" max="258" width="45" customWidth="1"/>
    <col min="259" max="259" width="18.77734375" customWidth="1"/>
    <col min="260" max="260" width="8.44140625" customWidth="1"/>
    <col min="261" max="263" width="18.77734375" customWidth="1"/>
    <col min="264" max="512" width="11.5546875" customWidth="1"/>
    <col min="513" max="513" width="8.44140625" customWidth="1"/>
    <col min="514" max="514" width="45" customWidth="1"/>
    <col min="515" max="515" width="18.77734375" customWidth="1"/>
    <col min="516" max="516" width="8.44140625" customWidth="1"/>
    <col min="517" max="519" width="18.77734375" customWidth="1"/>
    <col min="520" max="768" width="11.5546875" customWidth="1"/>
    <col min="769" max="769" width="8.44140625" customWidth="1"/>
    <col min="770" max="770" width="45" customWidth="1"/>
    <col min="771" max="771" width="18.77734375" customWidth="1"/>
    <col min="772" max="772" width="8.44140625" customWidth="1"/>
    <col min="773" max="775" width="18.77734375" customWidth="1"/>
    <col min="776" max="1024" width="11.5546875" customWidth="1"/>
    <col min="1025" max="1025" width="8.44140625" customWidth="1"/>
    <col min="1026" max="1026" width="45" customWidth="1"/>
    <col min="1027" max="1027" width="18.77734375" customWidth="1"/>
    <col min="1028" max="1028" width="8.44140625" customWidth="1"/>
    <col min="1029" max="1031" width="18.77734375" customWidth="1"/>
    <col min="1032" max="1280" width="11.5546875" customWidth="1"/>
    <col min="1281" max="1281" width="8.44140625" customWidth="1"/>
    <col min="1282" max="1282" width="45" customWidth="1"/>
    <col min="1283" max="1283" width="18.77734375" customWidth="1"/>
    <col min="1284" max="1284" width="8.44140625" customWidth="1"/>
    <col min="1285" max="1287" width="18.77734375" customWidth="1"/>
    <col min="1288" max="1536" width="11.5546875" customWidth="1"/>
    <col min="1537" max="1537" width="8.44140625" customWidth="1"/>
    <col min="1538" max="1538" width="45" customWidth="1"/>
    <col min="1539" max="1539" width="18.77734375" customWidth="1"/>
    <col min="1540" max="1540" width="8.44140625" customWidth="1"/>
    <col min="1541" max="1543" width="18.77734375" customWidth="1"/>
    <col min="1544" max="1792" width="11.5546875" customWidth="1"/>
    <col min="1793" max="1793" width="8.44140625" customWidth="1"/>
    <col min="1794" max="1794" width="45" customWidth="1"/>
    <col min="1795" max="1795" width="18.77734375" customWidth="1"/>
    <col min="1796" max="1796" width="8.44140625" customWidth="1"/>
    <col min="1797" max="1799" width="18.77734375" customWidth="1"/>
    <col min="1800" max="2048" width="11.5546875" customWidth="1"/>
    <col min="2049" max="2049" width="8.44140625" customWidth="1"/>
    <col min="2050" max="2050" width="45" customWidth="1"/>
    <col min="2051" max="2051" width="18.77734375" customWidth="1"/>
    <col min="2052" max="2052" width="8.44140625" customWidth="1"/>
    <col min="2053" max="2055" width="18.77734375" customWidth="1"/>
    <col min="2056" max="2304" width="11.5546875" customWidth="1"/>
    <col min="2305" max="2305" width="8.44140625" customWidth="1"/>
    <col min="2306" max="2306" width="45" customWidth="1"/>
    <col min="2307" max="2307" width="18.77734375" customWidth="1"/>
    <col min="2308" max="2308" width="8.44140625" customWidth="1"/>
    <col min="2309" max="2311" width="18.77734375" customWidth="1"/>
    <col min="2312" max="2560" width="11.5546875" customWidth="1"/>
    <col min="2561" max="2561" width="8.44140625" customWidth="1"/>
    <col min="2562" max="2562" width="45" customWidth="1"/>
    <col min="2563" max="2563" width="18.77734375" customWidth="1"/>
    <col min="2564" max="2564" width="8.44140625" customWidth="1"/>
    <col min="2565" max="2567" width="18.77734375" customWidth="1"/>
    <col min="2568" max="2816" width="11.5546875" customWidth="1"/>
    <col min="2817" max="2817" width="8.44140625" customWidth="1"/>
    <col min="2818" max="2818" width="45" customWidth="1"/>
    <col min="2819" max="2819" width="18.77734375" customWidth="1"/>
    <col min="2820" max="2820" width="8.44140625" customWidth="1"/>
    <col min="2821" max="2823" width="18.77734375" customWidth="1"/>
    <col min="2824" max="3072" width="11.5546875" customWidth="1"/>
    <col min="3073" max="3073" width="8.44140625" customWidth="1"/>
    <col min="3074" max="3074" width="45" customWidth="1"/>
    <col min="3075" max="3075" width="18.77734375" customWidth="1"/>
    <col min="3076" max="3076" width="8.44140625" customWidth="1"/>
    <col min="3077" max="3079" width="18.77734375" customWidth="1"/>
    <col min="3080" max="3328" width="11.5546875" customWidth="1"/>
    <col min="3329" max="3329" width="8.44140625" customWidth="1"/>
    <col min="3330" max="3330" width="45" customWidth="1"/>
    <col min="3331" max="3331" width="18.77734375" customWidth="1"/>
    <col min="3332" max="3332" width="8.44140625" customWidth="1"/>
    <col min="3333" max="3335" width="18.77734375" customWidth="1"/>
    <col min="3336" max="3584" width="11.5546875" customWidth="1"/>
    <col min="3585" max="3585" width="8.44140625" customWidth="1"/>
    <col min="3586" max="3586" width="45" customWidth="1"/>
    <col min="3587" max="3587" width="18.77734375" customWidth="1"/>
    <col min="3588" max="3588" width="8.44140625" customWidth="1"/>
    <col min="3589" max="3591" width="18.77734375" customWidth="1"/>
    <col min="3592" max="3840" width="11.5546875" customWidth="1"/>
    <col min="3841" max="3841" width="8.44140625" customWidth="1"/>
    <col min="3842" max="3842" width="45" customWidth="1"/>
    <col min="3843" max="3843" width="18.77734375" customWidth="1"/>
    <col min="3844" max="3844" width="8.44140625" customWidth="1"/>
    <col min="3845" max="3847" width="18.77734375" customWidth="1"/>
    <col min="3848" max="4096" width="11.5546875" customWidth="1"/>
    <col min="4097" max="4097" width="8.44140625" customWidth="1"/>
    <col min="4098" max="4098" width="45" customWidth="1"/>
    <col min="4099" max="4099" width="18.77734375" customWidth="1"/>
    <col min="4100" max="4100" width="8.44140625" customWidth="1"/>
    <col min="4101" max="4103" width="18.77734375" customWidth="1"/>
    <col min="4104" max="4352" width="11.5546875" customWidth="1"/>
    <col min="4353" max="4353" width="8.44140625" customWidth="1"/>
    <col min="4354" max="4354" width="45" customWidth="1"/>
    <col min="4355" max="4355" width="18.77734375" customWidth="1"/>
    <col min="4356" max="4356" width="8.44140625" customWidth="1"/>
    <col min="4357" max="4359" width="18.77734375" customWidth="1"/>
    <col min="4360" max="4608" width="11.5546875" customWidth="1"/>
    <col min="4609" max="4609" width="8.44140625" customWidth="1"/>
    <col min="4610" max="4610" width="45" customWidth="1"/>
    <col min="4611" max="4611" width="18.77734375" customWidth="1"/>
    <col min="4612" max="4612" width="8.44140625" customWidth="1"/>
    <col min="4613" max="4615" width="18.77734375" customWidth="1"/>
    <col min="4616" max="4864" width="11.5546875" customWidth="1"/>
    <col min="4865" max="4865" width="8.44140625" customWidth="1"/>
    <col min="4866" max="4866" width="45" customWidth="1"/>
    <col min="4867" max="4867" width="18.77734375" customWidth="1"/>
    <col min="4868" max="4868" width="8.44140625" customWidth="1"/>
    <col min="4869" max="4871" width="18.77734375" customWidth="1"/>
    <col min="4872" max="5120" width="11.5546875" customWidth="1"/>
    <col min="5121" max="5121" width="8.44140625" customWidth="1"/>
    <col min="5122" max="5122" width="45" customWidth="1"/>
    <col min="5123" max="5123" width="18.77734375" customWidth="1"/>
    <col min="5124" max="5124" width="8.44140625" customWidth="1"/>
    <col min="5125" max="5127" width="18.77734375" customWidth="1"/>
    <col min="5128" max="5376" width="11.5546875" customWidth="1"/>
    <col min="5377" max="5377" width="8.44140625" customWidth="1"/>
    <col min="5378" max="5378" width="45" customWidth="1"/>
    <col min="5379" max="5379" width="18.77734375" customWidth="1"/>
    <col min="5380" max="5380" width="8.44140625" customWidth="1"/>
    <col min="5381" max="5383" width="18.77734375" customWidth="1"/>
    <col min="5384" max="5632" width="11.5546875" customWidth="1"/>
    <col min="5633" max="5633" width="8.44140625" customWidth="1"/>
    <col min="5634" max="5634" width="45" customWidth="1"/>
    <col min="5635" max="5635" width="18.77734375" customWidth="1"/>
    <col min="5636" max="5636" width="8.44140625" customWidth="1"/>
    <col min="5637" max="5639" width="18.77734375" customWidth="1"/>
    <col min="5640" max="5888" width="11.5546875" customWidth="1"/>
    <col min="5889" max="5889" width="8.44140625" customWidth="1"/>
    <col min="5890" max="5890" width="45" customWidth="1"/>
    <col min="5891" max="5891" width="18.77734375" customWidth="1"/>
    <col min="5892" max="5892" width="8.44140625" customWidth="1"/>
    <col min="5893" max="5895" width="18.77734375" customWidth="1"/>
    <col min="5896" max="6144" width="11.5546875" customWidth="1"/>
    <col min="6145" max="6145" width="8.44140625" customWidth="1"/>
    <col min="6146" max="6146" width="45" customWidth="1"/>
    <col min="6147" max="6147" width="18.77734375" customWidth="1"/>
    <col min="6148" max="6148" width="8.44140625" customWidth="1"/>
    <col min="6149" max="6151" width="18.77734375" customWidth="1"/>
    <col min="6152" max="6400" width="11.5546875" customWidth="1"/>
    <col min="6401" max="6401" width="8.44140625" customWidth="1"/>
    <col min="6402" max="6402" width="45" customWidth="1"/>
    <col min="6403" max="6403" width="18.77734375" customWidth="1"/>
    <col min="6404" max="6404" width="8.44140625" customWidth="1"/>
    <col min="6405" max="6407" width="18.77734375" customWidth="1"/>
    <col min="6408" max="6656" width="11.5546875" customWidth="1"/>
    <col min="6657" max="6657" width="8.44140625" customWidth="1"/>
    <col min="6658" max="6658" width="45" customWidth="1"/>
    <col min="6659" max="6659" width="18.77734375" customWidth="1"/>
    <col min="6660" max="6660" width="8.44140625" customWidth="1"/>
    <col min="6661" max="6663" width="18.77734375" customWidth="1"/>
    <col min="6664" max="6912" width="11.5546875" customWidth="1"/>
    <col min="6913" max="6913" width="8.44140625" customWidth="1"/>
    <col min="6914" max="6914" width="45" customWidth="1"/>
    <col min="6915" max="6915" width="18.77734375" customWidth="1"/>
    <col min="6916" max="6916" width="8.44140625" customWidth="1"/>
    <col min="6917" max="6919" width="18.77734375" customWidth="1"/>
    <col min="6920" max="7168" width="11.5546875" customWidth="1"/>
    <col min="7169" max="7169" width="8.44140625" customWidth="1"/>
    <col min="7170" max="7170" width="45" customWidth="1"/>
    <col min="7171" max="7171" width="18.77734375" customWidth="1"/>
    <col min="7172" max="7172" width="8.44140625" customWidth="1"/>
    <col min="7173" max="7175" width="18.77734375" customWidth="1"/>
    <col min="7176" max="7424" width="11.5546875" customWidth="1"/>
    <col min="7425" max="7425" width="8.44140625" customWidth="1"/>
    <col min="7426" max="7426" width="45" customWidth="1"/>
    <col min="7427" max="7427" width="18.77734375" customWidth="1"/>
    <col min="7428" max="7428" width="8.44140625" customWidth="1"/>
    <col min="7429" max="7431" width="18.77734375" customWidth="1"/>
    <col min="7432" max="7680" width="11.5546875" customWidth="1"/>
    <col min="7681" max="7681" width="8.44140625" customWidth="1"/>
    <col min="7682" max="7682" width="45" customWidth="1"/>
    <col min="7683" max="7683" width="18.77734375" customWidth="1"/>
    <col min="7684" max="7684" width="8.44140625" customWidth="1"/>
    <col min="7685" max="7687" width="18.77734375" customWidth="1"/>
    <col min="7688" max="7936" width="11.5546875" customWidth="1"/>
    <col min="7937" max="7937" width="8.44140625" customWidth="1"/>
    <col min="7938" max="7938" width="45" customWidth="1"/>
    <col min="7939" max="7939" width="18.77734375" customWidth="1"/>
    <col min="7940" max="7940" width="8.44140625" customWidth="1"/>
    <col min="7941" max="7943" width="18.77734375" customWidth="1"/>
    <col min="7944" max="8192" width="11.5546875" customWidth="1"/>
    <col min="8193" max="8193" width="8.44140625" customWidth="1"/>
    <col min="8194" max="8194" width="45" customWidth="1"/>
    <col min="8195" max="8195" width="18.77734375" customWidth="1"/>
    <col min="8196" max="8196" width="8.44140625" customWidth="1"/>
    <col min="8197" max="8199" width="18.77734375" customWidth="1"/>
    <col min="8200" max="8448" width="11.5546875" customWidth="1"/>
    <col min="8449" max="8449" width="8.44140625" customWidth="1"/>
    <col min="8450" max="8450" width="45" customWidth="1"/>
    <col min="8451" max="8451" width="18.77734375" customWidth="1"/>
    <col min="8452" max="8452" width="8.44140625" customWidth="1"/>
    <col min="8453" max="8455" width="18.77734375" customWidth="1"/>
    <col min="8456" max="8704" width="11.5546875" customWidth="1"/>
    <col min="8705" max="8705" width="8.44140625" customWidth="1"/>
    <col min="8706" max="8706" width="45" customWidth="1"/>
    <col min="8707" max="8707" width="18.77734375" customWidth="1"/>
    <col min="8708" max="8708" width="8.44140625" customWidth="1"/>
    <col min="8709" max="8711" width="18.77734375" customWidth="1"/>
    <col min="8712" max="8960" width="11.5546875" customWidth="1"/>
    <col min="8961" max="8961" width="8.44140625" customWidth="1"/>
    <col min="8962" max="8962" width="45" customWidth="1"/>
    <col min="8963" max="8963" width="18.77734375" customWidth="1"/>
    <col min="8964" max="8964" width="8.44140625" customWidth="1"/>
    <col min="8965" max="8967" width="18.77734375" customWidth="1"/>
    <col min="8968" max="9216" width="11.5546875" customWidth="1"/>
    <col min="9217" max="9217" width="8.44140625" customWidth="1"/>
    <col min="9218" max="9218" width="45" customWidth="1"/>
    <col min="9219" max="9219" width="18.77734375" customWidth="1"/>
    <col min="9220" max="9220" width="8.44140625" customWidth="1"/>
    <col min="9221" max="9223" width="18.77734375" customWidth="1"/>
    <col min="9224" max="9472" width="11.5546875" customWidth="1"/>
    <col min="9473" max="9473" width="8.44140625" customWidth="1"/>
    <col min="9474" max="9474" width="45" customWidth="1"/>
    <col min="9475" max="9475" width="18.77734375" customWidth="1"/>
    <col min="9476" max="9476" width="8.44140625" customWidth="1"/>
    <col min="9477" max="9479" width="18.77734375" customWidth="1"/>
    <col min="9480" max="9728" width="11.5546875" customWidth="1"/>
    <col min="9729" max="9729" width="8.44140625" customWidth="1"/>
    <col min="9730" max="9730" width="45" customWidth="1"/>
    <col min="9731" max="9731" width="18.77734375" customWidth="1"/>
    <col min="9732" max="9732" width="8.44140625" customWidth="1"/>
    <col min="9733" max="9735" width="18.77734375" customWidth="1"/>
    <col min="9736" max="9984" width="11.5546875" customWidth="1"/>
    <col min="9985" max="9985" width="8.44140625" customWidth="1"/>
    <col min="9986" max="9986" width="45" customWidth="1"/>
    <col min="9987" max="9987" width="18.77734375" customWidth="1"/>
    <col min="9988" max="9988" width="8.44140625" customWidth="1"/>
    <col min="9989" max="9991" width="18.77734375" customWidth="1"/>
    <col min="9992" max="10240" width="11.5546875" customWidth="1"/>
    <col min="10241" max="10241" width="8.44140625" customWidth="1"/>
    <col min="10242" max="10242" width="45" customWidth="1"/>
    <col min="10243" max="10243" width="18.77734375" customWidth="1"/>
    <col min="10244" max="10244" width="8.44140625" customWidth="1"/>
    <col min="10245" max="10247" width="18.77734375" customWidth="1"/>
    <col min="10248" max="10496" width="11.5546875" customWidth="1"/>
    <col min="10497" max="10497" width="8.44140625" customWidth="1"/>
    <col min="10498" max="10498" width="45" customWidth="1"/>
    <col min="10499" max="10499" width="18.77734375" customWidth="1"/>
    <col min="10500" max="10500" width="8.44140625" customWidth="1"/>
    <col min="10501" max="10503" width="18.77734375" customWidth="1"/>
    <col min="10504" max="10752" width="11.5546875" customWidth="1"/>
    <col min="10753" max="10753" width="8.44140625" customWidth="1"/>
    <col min="10754" max="10754" width="45" customWidth="1"/>
    <col min="10755" max="10755" width="18.77734375" customWidth="1"/>
    <col min="10756" max="10756" width="8.44140625" customWidth="1"/>
    <col min="10757" max="10759" width="18.77734375" customWidth="1"/>
    <col min="10760" max="11008" width="11.5546875" customWidth="1"/>
    <col min="11009" max="11009" width="8.44140625" customWidth="1"/>
    <col min="11010" max="11010" width="45" customWidth="1"/>
    <col min="11011" max="11011" width="18.77734375" customWidth="1"/>
    <col min="11012" max="11012" width="8.44140625" customWidth="1"/>
    <col min="11013" max="11015" width="18.77734375" customWidth="1"/>
    <col min="11016" max="11264" width="11.5546875" customWidth="1"/>
    <col min="11265" max="11265" width="8.44140625" customWidth="1"/>
    <col min="11266" max="11266" width="45" customWidth="1"/>
    <col min="11267" max="11267" width="18.77734375" customWidth="1"/>
    <col min="11268" max="11268" width="8.44140625" customWidth="1"/>
    <col min="11269" max="11271" width="18.77734375" customWidth="1"/>
    <col min="11272" max="11520" width="11.5546875" customWidth="1"/>
    <col min="11521" max="11521" width="8.44140625" customWidth="1"/>
    <col min="11522" max="11522" width="45" customWidth="1"/>
    <col min="11523" max="11523" width="18.77734375" customWidth="1"/>
    <col min="11524" max="11524" width="8.44140625" customWidth="1"/>
    <col min="11525" max="11527" width="18.77734375" customWidth="1"/>
    <col min="11528" max="11776" width="11.5546875" customWidth="1"/>
    <col min="11777" max="11777" width="8.44140625" customWidth="1"/>
    <col min="11778" max="11778" width="45" customWidth="1"/>
    <col min="11779" max="11779" width="18.77734375" customWidth="1"/>
    <col min="11780" max="11780" width="8.44140625" customWidth="1"/>
    <col min="11781" max="11783" width="18.77734375" customWidth="1"/>
    <col min="11784" max="12032" width="11.5546875" customWidth="1"/>
    <col min="12033" max="12033" width="8.44140625" customWidth="1"/>
    <col min="12034" max="12034" width="45" customWidth="1"/>
    <col min="12035" max="12035" width="18.77734375" customWidth="1"/>
    <col min="12036" max="12036" width="8.44140625" customWidth="1"/>
    <col min="12037" max="12039" width="18.77734375" customWidth="1"/>
    <col min="12040" max="12288" width="11.5546875" customWidth="1"/>
    <col min="12289" max="12289" width="8.44140625" customWidth="1"/>
    <col min="12290" max="12290" width="45" customWidth="1"/>
    <col min="12291" max="12291" width="18.77734375" customWidth="1"/>
    <col min="12292" max="12292" width="8.44140625" customWidth="1"/>
    <col min="12293" max="12295" width="18.77734375" customWidth="1"/>
    <col min="12296" max="12544" width="11.5546875" customWidth="1"/>
    <col min="12545" max="12545" width="8.44140625" customWidth="1"/>
    <col min="12546" max="12546" width="45" customWidth="1"/>
    <col min="12547" max="12547" width="18.77734375" customWidth="1"/>
    <col min="12548" max="12548" width="8.44140625" customWidth="1"/>
    <col min="12549" max="12551" width="18.77734375" customWidth="1"/>
    <col min="12552" max="12800" width="11.5546875" customWidth="1"/>
    <col min="12801" max="12801" width="8.44140625" customWidth="1"/>
    <col min="12802" max="12802" width="45" customWidth="1"/>
    <col min="12803" max="12803" width="18.77734375" customWidth="1"/>
    <col min="12804" max="12804" width="8.44140625" customWidth="1"/>
    <col min="12805" max="12807" width="18.77734375" customWidth="1"/>
    <col min="12808" max="13056" width="11.5546875" customWidth="1"/>
    <col min="13057" max="13057" width="8.44140625" customWidth="1"/>
    <col min="13058" max="13058" width="45" customWidth="1"/>
    <col min="13059" max="13059" width="18.77734375" customWidth="1"/>
    <col min="13060" max="13060" width="8.44140625" customWidth="1"/>
    <col min="13061" max="13063" width="18.77734375" customWidth="1"/>
    <col min="13064" max="13312" width="11.5546875" customWidth="1"/>
    <col min="13313" max="13313" width="8.44140625" customWidth="1"/>
    <col min="13314" max="13314" width="45" customWidth="1"/>
    <col min="13315" max="13315" width="18.77734375" customWidth="1"/>
    <col min="13316" max="13316" width="8.44140625" customWidth="1"/>
    <col min="13317" max="13319" width="18.77734375" customWidth="1"/>
    <col min="13320" max="13568" width="11.5546875" customWidth="1"/>
    <col min="13569" max="13569" width="8.44140625" customWidth="1"/>
    <col min="13570" max="13570" width="45" customWidth="1"/>
    <col min="13571" max="13571" width="18.77734375" customWidth="1"/>
    <col min="13572" max="13572" width="8.44140625" customWidth="1"/>
    <col min="13573" max="13575" width="18.77734375" customWidth="1"/>
    <col min="13576" max="13824" width="11.5546875" customWidth="1"/>
    <col min="13825" max="13825" width="8.44140625" customWidth="1"/>
    <col min="13826" max="13826" width="45" customWidth="1"/>
    <col min="13827" max="13827" width="18.77734375" customWidth="1"/>
    <col min="13828" max="13828" width="8.44140625" customWidth="1"/>
    <col min="13829" max="13831" width="18.77734375" customWidth="1"/>
    <col min="13832" max="14080" width="11.5546875" customWidth="1"/>
    <col min="14081" max="14081" width="8.44140625" customWidth="1"/>
    <col min="14082" max="14082" width="45" customWidth="1"/>
    <col min="14083" max="14083" width="18.77734375" customWidth="1"/>
    <col min="14084" max="14084" width="8.44140625" customWidth="1"/>
    <col min="14085" max="14087" width="18.77734375" customWidth="1"/>
    <col min="14088" max="14336" width="11.5546875" customWidth="1"/>
    <col min="14337" max="14337" width="8.44140625" customWidth="1"/>
    <col min="14338" max="14338" width="45" customWidth="1"/>
    <col min="14339" max="14339" width="18.77734375" customWidth="1"/>
    <col min="14340" max="14340" width="8.44140625" customWidth="1"/>
    <col min="14341" max="14343" width="18.77734375" customWidth="1"/>
    <col min="14344" max="14592" width="11.5546875" customWidth="1"/>
    <col min="14593" max="14593" width="8.44140625" customWidth="1"/>
    <col min="14594" max="14594" width="45" customWidth="1"/>
    <col min="14595" max="14595" width="18.77734375" customWidth="1"/>
    <col min="14596" max="14596" width="8.44140625" customWidth="1"/>
    <col min="14597" max="14599" width="18.77734375" customWidth="1"/>
    <col min="14600" max="14848" width="11.5546875" customWidth="1"/>
    <col min="14849" max="14849" width="8.44140625" customWidth="1"/>
    <col min="14850" max="14850" width="45" customWidth="1"/>
    <col min="14851" max="14851" width="18.77734375" customWidth="1"/>
    <col min="14852" max="14852" width="8.44140625" customWidth="1"/>
    <col min="14853" max="14855" width="18.77734375" customWidth="1"/>
    <col min="14856" max="15104" width="11.5546875" customWidth="1"/>
    <col min="15105" max="15105" width="8.44140625" customWidth="1"/>
    <col min="15106" max="15106" width="45" customWidth="1"/>
    <col min="15107" max="15107" width="18.77734375" customWidth="1"/>
    <col min="15108" max="15108" width="8.44140625" customWidth="1"/>
    <col min="15109" max="15111" width="18.77734375" customWidth="1"/>
    <col min="15112" max="15360" width="11.5546875" customWidth="1"/>
    <col min="15361" max="15361" width="8.44140625" customWidth="1"/>
    <col min="15362" max="15362" width="45" customWidth="1"/>
    <col min="15363" max="15363" width="18.77734375" customWidth="1"/>
    <col min="15364" max="15364" width="8.44140625" customWidth="1"/>
    <col min="15365" max="15367" width="18.77734375" customWidth="1"/>
    <col min="15368" max="15616" width="11.5546875" customWidth="1"/>
    <col min="15617" max="15617" width="8.44140625" customWidth="1"/>
    <col min="15618" max="15618" width="45" customWidth="1"/>
    <col min="15619" max="15619" width="18.77734375" customWidth="1"/>
    <col min="15620" max="15620" width="8.44140625" customWidth="1"/>
    <col min="15621" max="15623" width="18.77734375" customWidth="1"/>
    <col min="15624" max="15872" width="11.5546875" customWidth="1"/>
    <col min="15873" max="15873" width="8.44140625" customWidth="1"/>
    <col min="15874" max="15874" width="45" customWidth="1"/>
    <col min="15875" max="15875" width="18.77734375" customWidth="1"/>
    <col min="15876" max="15876" width="8.44140625" customWidth="1"/>
    <col min="15877" max="15879" width="18.77734375" customWidth="1"/>
    <col min="15880" max="16128" width="11.5546875" customWidth="1"/>
    <col min="16129" max="16129" width="8.44140625" customWidth="1"/>
    <col min="16130" max="16130" width="45" customWidth="1"/>
    <col min="16131" max="16131" width="18.77734375" customWidth="1"/>
    <col min="16132" max="16132" width="8.44140625" customWidth="1"/>
    <col min="16133" max="16135" width="18.77734375" customWidth="1"/>
    <col min="16136" max="16384" width="11.5546875" customWidth="1"/>
  </cols>
  <sheetData>
    <row r="1" spans="1:5" x14ac:dyDescent="0.3">
      <c r="A1" t="s">
        <v>0</v>
      </c>
    </row>
    <row r="5" spans="1:5" x14ac:dyDescent="0.3">
      <c r="E5" t="s">
        <v>1</v>
      </c>
    </row>
    <row r="6" spans="1:5" x14ac:dyDescent="0.3">
      <c r="A6" t="s">
        <v>2</v>
      </c>
      <c r="E6" t="s">
        <v>3</v>
      </c>
    </row>
    <row r="7" spans="1:5" x14ac:dyDescent="0.3">
      <c r="A7" t="s">
        <v>4</v>
      </c>
      <c r="E7" t="s">
        <v>5</v>
      </c>
    </row>
    <row r="8" spans="1:5" x14ac:dyDescent="0.3">
      <c r="A8" t="s">
        <v>6</v>
      </c>
      <c r="E8" t="s">
        <v>7</v>
      </c>
    </row>
    <row r="9" spans="1:5" x14ac:dyDescent="0.3">
      <c r="A9" t="s">
        <v>8</v>
      </c>
      <c r="E9" t="s">
        <v>9</v>
      </c>
    </row>
    <row r="10" spans="1:5" x14ac:dyDescent="0.3">
      <c r="A10" t="s">
        <v>10</v>
      </c>
      <c r="E10" t="s">
        <v>11</v>
      </c>
    </row>
    <row r="11" spans="1:5" x14ac:dyDescent="0.3">
      <c r="E11" t="s">
        <v>12</v>
      </c>
    </row>
    <row r="12" spans="1:5" x14ac:dyDescent="0.3">
      <c r="E12" t="s">
        <v>13</v>
      </c>
    </row>
    <row r="13" spans="1:5" x14ac:dyDescent="0.3">
      <c r="A13" t="s">
        <v>14</v>
      </c>
      <c r="E13" t="s">
        <v>15</v>
      </c>
    </row>
    <row r="14" spans="1:5" x14ac:dyDescent="0.3">
      <c r="E14" t="s">
        <v>16</v>
      </c>
    </row>
    <row r="15" spans="1:5" x14ac:dyDescent="0.3">
      <c r="A15" t="s">
        <v>17</v>
      </c>
      <c r="E15" t="s">
        <v>18</v>
      </c>
    </row>
    <row r="16" spans="1:5" x14ac:dyDescent="0.3">
      <c r="A16" t="s">
        <v>19</v>
      </c>
      <c r="E16" t="s">
        <v>20</v>
      </c>
    </row>
    <row r="17" spans="1:8" x14ac:dyDescent="0.3">
      <c r="E17" t="s">
        <v>21</v>
      </c>
    </row>
    <row r="18" spans="1:8" x14ac:dyDescent="0.3">
      <c r="E18" t="s">
        <v>22</v>
      </c>
    </row>
    <row r="19" spans="1:8" x14ac:dyDescent="0.3">
      <c r="E19" s="1">
        <f>SUBTOTAL(9,E21:E638)</f>
        <v>1959345.0500000003</v>
      </c>
      <c r="F19" s="1">
        <f>SUBTOTAL(9,F21:F638)</f>
        <v>1945074.64</v>
      </c>
    </row>
    <row r="20" spans="1:8" x14ac:dyDescent="0.3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29</v>
      </c>
      <c r="H20" t="s">
        <v>24</v>
      </c>
    </row>
    <row r="21" spans="1:8" x14ac:dyDescent="0.3">
      <c r="A21" s="2">
        <v>45383</v>
      </c>
      <c r="B21" t="s">
        <v>30</v>
      </c>
      <c r="C21" t="s">
        <v>31</v>
      </c>
      <c r="D21" s="2">
        <v>45383</v>
      </c>
      <c r="E21" s="1">
        <v>686.24</v>
      </c>
      <c r="F21" s="1">
        <v>0</v>
      </c>
      <c r="G21" s="1">
        <v>42364.65</v>
      </c>
      <c r="H21" t="s">
        <v>217</v>
      </c>
    </row>
    <row r="22" spans="1:8" x14ac:dyDescent="0.3">
      <c r="A22" s="2">
        <v>45383</v>
      </c>
      <c r="B22" t="s">
        <v>32</v>
      </c>
      <c r="C22" t="s">
        <v>33</v>
      </c>
      <c r="D22" s="2">
        <v>45383</v>
      </c>
      <c r="E22" s="1">
        <v>5000</v>
      </c>
      <c r="F22" s="1">
        <v>0</v>
      </c>
      <c r="G22" s="1">
        <v>37364.65</v>
      </c>
      <c r="H22" t="s">
        <v>219</v>
      </c>
    </row>
    <row r="23" spans="1:8" x14ac:dyDescent="0.3">
      <c r="A23" s="2">
        <v>45384</v>
      </c>
      <c r="B23" t="s">
        <v>34</v>
      </c>
      <c r="C23" t="s">
        <v>35</v>
      </c>
      <c r="D23" s="2">
        <v>45384</v>
      </c>
      <c r="E23" s="1">
        <v>0</v>
      </c>
      <c r="F23" s="1">
        <v>4127.8999999999996</v>
      </c>
      <c r="G23" s="1">
        <v>41492.550000000003</v>
      </c>
      <c r="H23" t="s">
        <v>217</v>
      </c>
    </row>
    <row r="24" spans="1:8" x14ac:dyDescent="0.3">
      <c r="A24" s="2">
        <v>45384</v>
      </c>
      <c r="B24" t="s">
        <v>30</v>
      </c>
      <c r="C24" t="s">
        <v>36</v>
      </c>
      <c r="D24" s="2">
        <v>45384</v>
      </c>
      <c r="E24" s="1">
        <v>171.56</v>
      </c>
      <c r="F24" s="1">
        <v>0</v>
      </c>
      <c r="G24" s="1">
        <v>41320.99</v>
      </c>
      <c r="H24" t="s">
        <v>217</v>
      </c>
    </row>
    <row r="25" spans="1:8" x14ac:dyDescent="0.3">
      <c r="A25" s="2">
        <v>45384</v>
      </c>
      <c r="B25" t="s">
        <v>30</v>
      </c>
      <c r="C25" t="s">
        <v>37</v>
      </c>
      <c r="D25" s="2">
        <v>45384</v>
      </c>
      <c r="E25" s="1">
        <v>10704.09</v>
      </c>
      <c r="F25" s="1">
        <v>0</v>
      </c>
      <c r="G25" s="1">
        <v>30616.9</v>
      </c>
      <c r="H25" t="s">
        <v>217</v>
      </c>
    </row>
    <row r="26" spans="1:8" x14ac:dyDescent="0.3">
      <c r="A26" s="2">
        <v>45385</v>
      </c>
      <c r="B26" t="s">
        <v>30</v>
      </c>
      <c r="C26" t="s">
        <v>38</v>
      </c>
      <c r="D26" s="2">
        <v>45385</v>
      </c>
      <c r="E26" s="1">
        <v>158.35</v>
      </c>
      <c r="F26" s="1">
        <v>0</v>
      </c>
      <c r="G26" s="1">
        <v>30458.55</v>
      </c>
      <c r="H26" t="s">
        <v>217</v>
      </c>
    </row>
    <row r="27" spans="1:8" x14ac:dyDescent="0.3">
      <c r="A27" s="2">
        <v>45386</v>
      </c>
      <c r="B27" t="s">
        <v>34</v>
      </c>
      <c r="C27" t="s">
        <v>39</v>
      </c>
      <c r="D27" s="2">
        <v>45386</v>
      </c>
      <c r="E27" s="1">
        <v>0</v>
      </c>
      <c r="F27" s="1">
        <v>11625.48</v>
      </c>
      <c r="G27" s="1">
        <v>42084.03</v>
      </c>
      <c r="H27" t="s">
        <v>217</v>
      </c>
    </row>
    <row r="28" spans="1:8" x14ac:dyDescent="0.3">
      <c r="A28" s="2">
        <v>45386</v>
      </c>
      <c r="B28" t="s">
        <v>40</v>
      </c>
      <c r="C28" t="s">
        <v>41</v>
      </c>
      <c r="D28" s="2">
        <v>45386</v>
      </c>
      <c r="E28" s="1">
        <v>30000</v>
      </c>
      <c r="F28" s="1">
        <v>0</v>
      </c>
      <c r="G28" s="1">
        <v>12084.03</v>
      </c>
      <c r="H28" t="s">
        <v>224</v>
      </c>
    </row>
    <row r="29" spans="1:8" x14ac:dyDescent="0.3">
      <c r="A29" s="2">
        <v>45386</v>
      </c>
      <c r="B29" t="s">
        <v>30</v>
      </c>
      <c r="C29" t="s">
        <v>42</v>
      </c>
      <c r="D29" s="2">
        <v>45386</v>
      </c>
      <c r="E29" s="1">
        <v>158.35</v>
      </c>
      <c r="F29" s="1">
        <v>0</v>
      </c>
      <c r="G29" s="1">
        <v>11925.68</v>
      </c>
      <c r="H29" t="s">
        <v>217</v>
      </c>
    </row>
    <row r="30" spans="1:8" x14ac:dyDescent="0.3">
      <c r="A30" s="2">
        <v>45387</v>
      </c>
      <c r="B30" t="s">
        <v>34</v>
      </c>
      <c r="C30" t="s">
        <v>43</v>
      </c>
      <c r="D30" s="2">
        <v>45387</v>
      </c>
      <c r="E30" s="1">
        <v>0</v>
      </c>
      <c r="F30" s="1">
        <v>2099.75</v>
      </c>
      <c r="G30" s="1">
        <v>14025.43</v>
      </c>
      <c r="H30" t="s">
        <v>217</v>
      </c>
    </row>
    <row r="31" spans="1:8" x14ac:dyDescent="0.3">
      <c r="A31" s="2">
        <v>45387</v>
      </c>
      <c r="B31" t="s">
        <v>30</v>
      </c>
      <c r="C31" t="s">
        <v>44</v>
      </c>
      <c r="D31" s="2">
        <v>45387</v>
      </c>
      <c r="E31" s="1">
        <v>154.71</v>
      </c>
      <c r="F31" s="1">
        <v>0</v>
      </c>
      <c r="G31" s="1">
        <v>13870.72</v>
      </c>
      <c r="H31" t="s">
        <v>217</v>
      </c>
    </row>
    <row r="32" spans="1:8" x14ac:dyDescent="0.3">
      <c r="A32" s="2">
        <v>45387</v>
      </c>
      <c r="B32" t="s">
        <v>45</v>
      </c>
      <c r="C32" t="s">
        <v>46</v>
      </c>
      <c r="D32" s="2">
        <v>45387</v>
      </c>
      <c r="E32" s="1">
        <v>585.49</v>
      </c>
      <c r="F32" s="1">
        <v>0</v>
      </c>
      <c r="G32" s="1">
        <v>13285.23</v>
      </c>
      <c r="H32" t="s">
        <v>220</v>
      </c>
    </row>
    <row r="33" spans="1:8" x14ac:dyDescent="0.3">
      <c r="A33" s="2">
        <v>45387</v>
      </c>
      <c r="B33" t="s">
        <v>34</v>
      </c>
      <c r="C33" t="s">
        <v>47</v>
      </c>
      <c r="D33" s="2">
        <v>45387</v>
      </c>
      <c r="E33" s="1">
        <v>0</v>
      </c>
      <c r="F33" s="1">
        <v>58.08</v>
      </c>
      <c r="G33" s="1">
        <v>13343.31</v>
      </c>
      <c r="H33" t="s">
        <v>217</v>
      </c>
    </row>
    <row r="34" spans="1:8" x14ac:dyDescent="0.3">
      <c r="A34" s="2">
        <v>45390</v>
      </c>
      <c r="B34" t="s">
        <v>30</v>
      </c>
      <c r="C34" t="s">
        <v>48</v>
      </c>
      <c r="D34" s="2">
        <v>45390</v>
      </c>
      <c r="E34" s="1">
        <v>466.44</v>
      </c>
      <c r="F34" s="1">
        <v>0</v>
      </c>
      <c r="G34" s="1">
        <v>12876.87</v>
      </c>
      <c r="H34" t="s">
        <v>217</v>
      </c>
    </row>
    <row r="35" spans="1:8" x14ac:dyDescent="0.3">
      <c r="A35" s="2">
        <v>45390</v>
      </c>
      <c r="B35" t="s">
        <v>49</v>
      </c>
      <c r="C35" t="s">
        <v>50</v>
      </c>
      <c r="D35" s="2">
        <v>45390</v>
      </c>
      <c r="E35" s="1">
        <v>0</v>
      </c>
      <c r="F35" s="1">
        <v>1880</v>
      </c>
      <c r="G35" s="1">
        <v>14756.87</v>
      </c>
      <c r="H35" t="s">
        <v>222</v>
      </c>
    </row>
    <row r="36" spans="1:8" x14ac:dyDescent="0.3">
      <c r="A36" s="2">
        <v>45390</v>
      </c>
      <c r="B36" t="s">
        <v>30</v>
      </c>
      <c r="C36" t="s">
        <v>51</v>
      </c>
      <c r="D36" s="2">
        <v>45390</v>
      </c>
      <c r="E36" s="1">
        <v>277.68</v>
      </c>
      <c r="F36" s="1">
        <v>0</v>
      </c>
      <c r="G36" s="1">
        <v>14479.19</v>
      </c>
      <c r="H36" t="s">
        <v>217</v>
      </c>
    </row>
    <row r="37" spans="1:8" x14ac:dyDescent="0.3">
      <c r="A37" s="2">
        <v>45391</v>
      </c>
      <c r="B37" t="s">
        <v>30</v>
      </c>
      <c r="C37" t="s">
        <v>52</v>
      </c>
      <c r="D37" s="2">
        <v>45391</v>
      </c>
      <c r="E37" s="1">
        <v>28.05</v>
      </c>
      <c r="F37" s="1">
        <v>0</v>
      </c>
      <c r="G37" s="1">
        <v>14451.14</v>
      </c>
      <c r="H37" t="s">
        <v>217</v>
      </c>
    </row>
    <row r="38" spans="1:8" x14ac:dyDescent="0.3">
      <c r="A38" s="2">
        <v>45392</v>
      </c>
      <c r="B38" t="s">
        <v>34</v>
      </c>
      <c r="C38" t="s">
        <v>53</v>
      </c>
      <c r="D38" s="2">
        <v>45392</v>
      </c>
      <c r="E38" s="1">
        <v>0</v>
      </c>
      <c r="F38" s="1">
        <v>46373.79</v>
      </c>
      <c r="G38" s="1">
        <v>60824.93</v>
      </c>
      <c r="H38" t="s">
        <v>217</v>
      </c>
    </row>
    <row r="39" spans="1:8" x14ac:dyDescent="0.3">
      <c r="A39" s="2">
        <v>45392</v>
      </c>
      <c r="B39" t="s">
        <v>30</v>
      </c>
      <c r="C39" t="s">
        <v>54</v>
      </c>
      <c r="D39" s="2">
        <v>45392</v>
      </c>
      <c r="E39" s="1">
        <v>155.41999999999999</v>
      </c>
      <c r="F39" s="1">
        <v>0</v>
      </c>
      <c r="G39" s="1">
        <v>60669.51</v>
      </c>
      <c r="H39" t="s">
        <v>217</v>
      </c>
    </row>
    <row r="40" spans="1:8" x14ac:dyDescent="0.3">
      <c r="A40" s="2">
        <v>45394</v>
      </c>
      <c r="B40" t="s">
        <v>34</v>
      </c>
      <c r="C40" t="s">
        <v>55</v>
      </c>
      <c r="D40" s="2">
        <v>45394</v>
      </c>
      <c r="E40" s="1">
        <v>0</v>
      </c>
      <c r="F40" s="1">
        <v>68.67</v>
      </c>
      <c r="G40" s="1">
        <v>60738.18</v>
      </c>
      <c r="H40" t="s">
        <v>217</v>
      </c>
    </row>
    <row r="41" spans="1:8" x14ac:dyDescent="0.3">
      <c r="A41" s="2">
        <v>45394</v>
      </c>
      <c r="B41" t="s">
        <v>34</v>
      </c>
      <c r="C41" t="s">
        <v>56</v>
      </c>
      <c r="D41" s="2">
        <v>45394</v>
      </c>
      <c r="E41" s="1">
        <v>0</v>
      </c>
      <c r="F41" s="1">
        <v>22631.71</v>
      </c>
      <c r="G41" s="1">
        <v>83369.89</v>
      </c>
      <c r="H41" t="s">
        <v>217</v>
      </c>
    </row>
    <row r="42" spans="1:8" x14ac:dyDescent="0.3">
      <c r="A42" s="2">
        <v>45394</v>
      </c>
      <c r="B42" t="s">
        <v>30</v>
      </c>
      <c r="C42" t="s">
        <v>57</v>
      </c>
      <c r="D42" s="2">
        <v>45394</v>
      </c>
      <c r="E42" s="1">
        <v>310.83999999999997</v>
      </c>
      <c r="F42" s="1">
        <v>0</v>
      </c>
      <c r="G42" s="1">
        <v>83059.05</v>
      </c>
      <c r="H42" t="s">
        <v>217</v>
      </c>
    </row>
    <row r="43" spans="1:8" x14ac:dyDescent="0.3">
      <c r="A43" s="2">
        <v>45394</v>
      </c>
      <c r="B43" t="s">
        <v>30</v>
      </c>
      <c r="C43" t="s">
        <v>58</v>
      </c>
      <c r="D43" s="2">
        <v>45394</v>
      </c>
      <c r="E43" s="1">
        <v>37368.43</v>
      </c>
      <c r="F43" s="1">
        <v>0</v>
      </c>
      <c r="G43" s="1">
        <v>45690.62</v>
      </c>
      <c r="H43" t="s">
        <v>217</v>
      </c>
    </row>
    <row r="44" spans="1:8" x14ac:dyDescent="0.3">
      <c r="A44" s="2">
        <v>45394</v>
      </c>
      <c r="B44" t="s">
        <v>30</v>
      </c>
      <c r="C44" t="s">
        <v>59</v>
      </c>
      <c r="D44" s="2">
        <v>45394</v>
      </c>
      <c r="E44" s="1">
        <v>134.79</v>
      </c>
      <c r="F44" s="1">
        <v>0</v>
      </c>
      <c r="G44" s="1">
        <v>45555.83</v>
      </c>
      <c r="H44" t="s">
        <v>217</v>
      </c>
    </row>
    <row r="45" spans="1:8" x14ac:dyDescent="0.3">
      <c r="A45" s="2">
        <v>45397</v>
      </c>
      <c r="B45" t="s">
        <v>30</v>
      </c>
      <c r="C45" t="s">
        <v>60</v>
      </c>
      <c r="D45" s="2">
        <v>45397</v>
      </c>
      <c r="E45" s="1">
        <v>426.42</v>
      </c>
      <c r="F45" s="1">
        <v>0</v>
      </c>
      <c r="G45" s="1">
        <v>45129.41</v>
      </c>
      <c r="H45" t="s">
        <v>217</v>
      </c>
    </row>
    <row r="46" spans="1:8" x14ac:dyDescent="0.3">
      <c r="A46" s="2">
        <v>45398</v>
      </c>
      <c r="B46" t="s">
        <v>34</v>
      </c>
      <c r="C46" t="s">
        <v>61</v>
      </c>
      <c r="D46" s="2">
        <v>45398</v>
      </c>
      <c r="E46" s="1">
        <v>0</v>
      </c>
      <c r="F46" s="1">
        <v>2228.21</v>
      </c>
      <c r="G46" s="1">
        <v>47357.62</v>
      </c>
      <c r="H46" t="s">
        <v>217</v>
      </c>
    </row>
    <row r="47" spans="1:8" x14ac:dyDescent="0.3">
      <c r="A47" s="2">
        <v>45398</v>
      </c>
      <c r="B47" t="s">
        <v>34</v>
      </c>
      <c r="C47" t="s">
        <v>62</v>
      </c>
      <c r="D47" s="2">
        <v>45398</v>
      </c>
      <c r="E47" s="1">
        <v>0</v>
      </c>
      <c r="F47" s="1">
        <v>19000</v>
      </c>
      <c r="G47" s="1">
        <v>66357.62</v>
      </c>
      <c r="H47" t="s">
        <v>217</v>
      </c>
    </row>
    <row r="48" spans="1:8" x14ac:dyDescent="0.3">
      <c r="A48" s="2">
        <v>45398</v>
      </c>
      <c r="B48" t="s">
        <v>30</v>
      </c>
      <c r="C48" t="s">
        <v>63</v>
      </c>
      <c r="D48" s="2">
        <v>45398</v>
      </c>
      <c r="E48" s="1">
        <v>142.13999999999999</v>
      </c>
      <c r="F48" s="1">
        <v>0</v>
      </c>
      <c r="G48" s="1">
        <v>66215.48</v>
      </c>
      <c r="H48" t="s">
        <v>217</v>
      </c>
    </row>
    <row r="49" spans="1:8" x14ac:dyDescent="0.3">
      <c r="A49" s="2">
        <v>45398</v>
      </c>
      <c r="B49" t="s">
        <v>64</v>
      </c>
      <c r="C49" t="s">
        <v>65</v>
      </c>
      <c r="D49" s="2">
        <v>45398</v>
      </c>
      <c r="E49" s="1">
        <v>10000</v>
      </c>
      <c r="F49" s="1">
        <v>0</v>
      </c>
      <c r="G49" s="1">
        <v>56215.48</v>
      </c>
      <c r="H49" t="s">
        <v>2538</v>
      </c>
    </row>
    <row r="50" spans="1:8" x14ac:dyDescent="0.3">
      <c r="A50" s="2">
        <v>45400</v>
      </c>
      <c r="B50" t="s">
        <v>34</v>
      </c>
      <c r="C50" t="s">
        <v>66</v>
      </c>
      <c r="D50" s="2">
        <v>45400</v>
      </c>
      <c r="E50" s="1">
        <v>0</v>
      </c>
      <c r="F50" s="1">
        <v>360.75</v>
      </c>
      <c r="G50" s="1">
        <v>56576.23</v>
      </c>
      <c r="H50" t="s">
        <v>217</v>
      </c>
    </row>
    <row r="51" spans="1:8" x14ac:dyDescent="0.3">
      <c r="A51" s="2">
        <v>45400</v>
      </c>
      <c r="B51" t="s">
        <v>30</v>
      </c>
      <c r="C51" t="s">
        <v>67</v>
      </c>
      <c r="D51" s="2">
        <v>45400</v>
      </c>
      <c r="E51" s="1">
        <v>275.68</v>
      </c>
      <c r="F51" s="1">
        <v>0</v>
      </c>
      <c r="G51" s="1">
        <v>56300.55</v>
      </c>
      <c r="H51" t="s">
        <v>217</v>
      </c>
    </row>
    <row r="52" spans="1:8" x14ac:dyDescent="0.3">
      <c r="A52" s="2">
        <v>45400</v>
      </c>
      <c r="B52" t="s">
        <v>30</v>
      </c>
      <c r="C52" t="s">
        <v>68</v>
      </c>
      <c r="D52" s="2">
        <v>45400</v>
      </c>
      <c r="E52" s="1">
        <v>710.07</v>
      </c>
      <c r="F52" s="1">
        <v>0</v>
      </c>
      <c r="G52" s="1">
        <v>55590.48</v>
      </c>
      <c r="H52" t="s">
        <v>217</v>
      </c>
    </row>
    <row r="53" spans="1:8" x14ac:dyDescent="0.3">
      <c r="A53" s="2">
        <v>45401</v>
      </c>
      <c r="B53" t="s">
        <v>30</v>
      </c>
      <c r="C53" t="s">
        <v>69</v>
      </c>
      <c r="D53" s="2">
        <v>45401</v>
      </c>
      <c r="E53" s="1">
        <v>137.72</v>
      </c>
      <c r="F53" s="1">
        <v>0</v>
      </c>
      <c r="G53" s="1">
        <v>55452.76</v>
      </c>
      <c r="H53" t="s">
        <v>217</v>
      </c>
    </row>
    <row r="54" spans="1:8" x14ac:dyDescent="0.3">
      <c r="A54" s="2">
        <v>45401</v>
      </c>
      <c r="B54" t="s">
        <v>30</v>
      </c>
      <c r="C54" t="s">
        <v>70</v>
      </c>
      <c r="D54" s="2">
        <v>45401</v>
      </c>
      <c r="E54" s="1">
        <v>1181.51</v>
      </c>
      <c r="F54" s="1">
        <v>0</v>
      </c>
      <c r="G54" s="1">
        <v>54271.25</v>
      </c>
      <c r="H54" t="s">
        <v>217</v>
      </c>
    </row>
    <row r="55" spans="1:8" x14ac:dyDescent="0.3">
      <c r="A55" s="2">
        <v>45404</v>
      </c>
      <c r="B55" t="s">
        <v>30</v>
      </c>
      <c r="C55" t="s">
        <v>71</v>
      </c>
      <c r="D55" s="2">
        <v>45404</v>
      </c>
      <c r="E55" s="1">
        <v>411.9</v>
      </c>
      <c r="F55" s="1">
        <v>0</v>
      </c>
      <c r="G55" s="1">
        <v>53859.35</v>
      </c>
      <c r="H55" t="s">
        <v>217</v>
      </c>
    </row>
    <row r="56" spans="1:8" x14ac:dyDescent="0.3">
      <c r="A56" s="2">
        <v>45405</v>
      </c>
      <c r="B56" t="s">
        <v>34</v>
      </c>
      <c r="C56" t="s">
        <v>72</v>
      </c>
      <c r="D56" s="2">
        <v>45405</v>
      </c>
      <c r="E56" s="1">
        <v>0</v>
      </c>
      <c r="F56" s="1">
        <v>1968.45</v>
      </c>
      <c r="G56" s="1">
        <v>55827.8</v>
      </c>
      <c r="H56" t="s">
        <v>217</v>
      </c>
    </row>
    <row r="57" spans="1:8" x14ac:dyDescent="0.3">
      <c r="A57" s="2">
        <v>45405</v>
      </c>
      <c r="B57" t="s">
        <v>30</v>
      </c>
      <c r="C57" t="s">
        <v>73</v>
      </c>
      <c r="D57" s="2">
        <v>45405</v>
      </c>
      <c r="E57" s="1">
        <v>137.30000000000001</v>
      </c>
      <c r="F57" s="1">
        <v>0</v>
      </c>
      <c r="G57" s="1">
        <v>55690.5</v>
      </c>
      <c r="H57" t="s">
        <v>217</v>
      </c>
    </row>
    <row r="58" spans="1:8" x14ac:dyDescent="0.3">
      <c r="A58" s="2">
        <v>45405</v>
      </c>
      <c r="B58" t="s">
        <v>30</v>
      </c>
      <c r="C58" t="s">
        <v>74</v>
      </c>
      <c r="D58" s="2">
        <v>45405</v>
      </c>
      <c r="E58" s="1">
        <v>640.47</v>
      </c>
      <c r="F58" s="1">
        <v>0</v>
      </c>
      <c r="G58" s="1">
        <v>55050.03</v>
      </c>
      <c r="H58" t="s">
        <v>217</v>
      </c>
    </row>
    <row r="59" spans="1:8" x14ac:dyDescent="0.3">
      <c r="A59" s="2">
        <v>45406</v>
      </c>
      <c r="B59" t="s">
        <v>30</v>
      </c>
      <c r="C59" t="s">
        <v>75</v>
      </c>
      <c r="D59" s="2">
        <v>45406</v>
      </c>
      <c r="E59" s="1">
        <v>137.77000000000001</v>
      </c>
      <c r="F59" s="1">
        <v>0</v>
      </c>
      <c r="G59" s="1">
        <v>54912.26</v>
      </c>
      <c r="H59" t="s">
        <v>217</v>
      </c>
    </row>
    <row r="60" spans="1:8" x14ac:dyDescent="0.3">
      <c r="A60" s="2">
        <v>45407</v>
      </c>
      <c r="B60" t="s">
        <v>34</v>
      </c>
      <c r="C60" t="s">
        <v>76</v>
      </c>
      <c r="D60" s="2">
        <v>45407</v>
      </c>
      <c r="E60" s="1">
        <v>0</v>
      </c>
      <c r="F60" s="1">
        <v>34.58</v>
      </c>
      <c r="G60" s="1">
        <v>54946.84</v>
      </c>
      <c r="H60" t="s">
        <v>217</v>
      </c>
    </row>
    <row r="61" spans="1:8" x14ac:dyDescent="0.3">
      <c r="A61" s="2">
        <v>45407</v>
      </c>
      <c r="B61" t="s">
        <v>30</v>
      </c>
      <c r="C61" t="s">
        <v>77</v>
      </c>
      <c r="D61" s="2">
        <v>45407</v>
      </c>
      <c r="E61" s="1">
        <v>137.77000000000001</v>
      </c>
      <c r="F61" s="1">
        <v>0</v>
      </c>
      <c r="G61" s="1">
        <v>54809.07</v>
      </c>
      <c r="H61" t="s">
        <v>217</v>
      </c>
    </row>
    <row r="62" spans="1:8" x14ac:dyDescent="0.3">
      <c r="A62" s="2">
        <v>45408</v>
      </c>
      <c r="B62" t="s">
        <v>34</v>
      </c>
      <c r="C62" t="s">
        <v>78</v>
      </c>
      <c r="D62" s="2">
        <v>45408</v>
      </c>
      <c r="E62" s="1">
        <v>0</v>
      </c>
      <c r="F62" s="1">
        <v>808.17</v>
      </c>
      <c r="G62" s="1">
        <v>55617.24</v>
      </c>
      <c r="H62" t="s">
        <v>217</v>
      </c>
    </row>
    <row r="63" spans="1:8" x14ac:dyDescent="0.3">
      <c r="A63" s="2">
        <v>45408</v>
      </c>
      <c r="B63" t="s">
        <v>30</v>
      </c>
      <c r="C63" t="s">
        <v>79</v>
      </c>
      <c r="D63" s="2">
        <v>45408</v>
      </c>
      <c r="E63" s="1">
        <v>137.78</v>
      </c>
      <c r="F63" s="1">
        <v>0</v>
      </c>
      <c r="G63" s="1">
        <v>55479.46</v>
      </c>
      <c r="H63" t="s">
        <v>217</v>
      </c>
    </row>
    <row r="64" spans="1:8" x14ac:dyDescent="0.3">
      <c r="A64" s="2">
        <v>45411</v>
      </c>
      <c r="B64" t="s">
        <v>34</v>
      </c>
      <c r="C64" t="s">
        <v>80</v>
      </c>
      <c r="D64" s="2">
        <v>45411</v>
      </c>
      <c r="E64" s="1">
        <v>0</v>
      </c>
      <c r="F64" s="1">
        <v>12156</v>
      </c>
      <c r="G64" s="1">
        <v>67635.460000000006</v>
      </c>
      <c r="H64" t="s">
        <v>217</v>
      </c>
    </row>
    <row r="65" spans="1:8" x14ac:dyDescent="0.3">
      <c r="A65" s="2">
        <v>45411</v>
      </c>
      <c r="B65" t="s">
        <v>81</v>
      </c>
      <c r="C65" t="s">
        <v>82</v>
      </c>
      <c r="D65" s="2">
        <v>45411</v>
      </c>
      <c r="E65" s="1">
        <v>5000</v>
      </c>
      <c r="F65" s="1">
        <v>0</v>
      </c>
      <c r="G65" s="1">
        <v>62635.46</v>
      </c>
      <c r="H65" t="s">
        <v>219</v>
      </c>
    </row>
    <row r="66" spans="1:8" x14ac:dyDescent="0.3">
      <c r="A66" s="2">
        <v>45411</v>
      </c>
      <c r="B66" t="s">
        <v>30</v>
      </c>
      <c r="C66" t="s">
        <v>83</v>
      </c>
      <c r="D66" s="2">
        <v>45411</v>
      </c>
      <c r="E66" s="1">
        <v>414.21</v>
      </c>
      <c r="F66" s="1">
        <v>0</v>
      </c>
      <c r="G66" s="1">
        <v>62221.25</v>
      </c>
      <c r="H66" t="s">
        <v>217</v>
      </c>
    </row>
    <row r="67" spans="1:8" x14ac:dyDescent="0.3">
      <c r="A67" s="2">
        <v>45412</v>
      </c>
      <c r="B67" t="s">
        <v>34</v>
      </c>
      <c r="C67" t="s">
        <v>84</v>
      </c>
      <c r="D67" s="2">
        <v>45412</v>
      </c>
      <c r="E67" s="1">
        <v>0</v>
      </c>
      <c r="F67" s="1">
        <v>25414.99</v>
      </c>
      <c r="G67" s="1">
        <v>87636.24</v>
      </c>
      <c r="H67" t="s">
        <v>217</v>
      </c>
    </row>
    <row r="68" spans="1:8" x14ac:dyDescent="0.3">
      <c r="A68" s="2">
        <v>45412</v>
      </c>
      <c r="B68" t="s">
        <v>85</v>
      </c>
      <c r="C68" t="s">
        <v>86</v>
      </c>
      <c r="D68" s="2">
        <v>45412</v>
      </c>
      <c r="E68" s="1">
        <v>5000</v>
      </c>
      <c r="F68" s="1">
        <v>0</v>
      </c>
      <c r="G68" s="1">
        <v>82636.240000000005</v>
      </c>
      <c r="H68" t="s">
        <v>219</v>
      </c>
    </row>
    <row r="69" spans="1:8" x14ac:dyDescent="0.3">
      <c r="A69" s="2">
        <v>45412</v>
      </c>
      <c r="B69" t="s">
        <v>30</v>
      </c>
      <c r="C69" t="s">
        <v>87</v>
      </c>
      <c r="D69" s="2">
        <v>45412</v>
      </c>
      <c r="E69" s="1">
        <v>133.97999999999999</v>
      </c>
      <c r="F69" s="1">
        <v>0</v>
      </c>
      <c r="G69" s="1">
        <v>82502.259999999995</v>
      </c>
      <c r="H69" t="s">
        <v>217</v>
      </c>
    </row>
    <row r="70" spans="1:8" x14ac:dyDescent="0.3">
      <c r="A70" s="2">
        <v>45412</v>
      </c>
      <c r="B70" t="s">
        <v>30</v>
      </c>
      <c r="C70" t="s">
        <v>88</v>
      </c>
      <c r="D70" s="2">
        <v>45412</v>
      </c>
      <c r="E70" s="1">
        <v>42065.11</v>
      </c>
      <c r="F70" s="1">
        <v>0</v>
      </c>
      <c r="G70" s="1">
        <v>40437.15</v>
      </c>
      <c r="H70" t="s">
        <v>217</v>
      </c>
    </row>
    <row r="71" spans="1:8" x14ac:dyDescent="0.3">
      <c r="A71" s="2">
        <v>45414</v>
      </c>
      <c r="B71" t="s">
        <v>30</v>
      </c>
      <c r="C71" t="s">
        <v>89</v>
      </c>
      <c r="D71" s="2">
        <v>45414</v>
      </c>
      <c r="E71" s="1">
        <v>212.74</v>
      </c>
      <c r="F71" s="1">
        <v>0</v>
      </c>
      <c r="G71" s="1">
        <v>40224.410000000003</v>
      </c>
      <c r="H71" t="s">
        <v>217</v>
      </c>
    </row>
    <row r="72" spans="1:8" x14ac:dyDescent="0.3">
      <c r="A72" s="2">
        <v>45414</v>
      </c>
      <c r="B72" t="s">
        <v>30</v>
      </c>
      <c r="C72" t="s">
        <v>90</v>
      </c>
      <c r="D72" s="2">
        <v>45414</v>
      </c>
      <c r="E72" s="1">
        <v>93.48</v>
      </c>
      <c r="F72" s="1">
        <v>0</v>
      </c>
      <c r="G72" s="1">
        <v>40130.93</v>
      </c>
      <c r="H72" t="s">
        <v>217</v>
      </c>
    </row>
    <row r="73" spans="1:8" x14ac:dyDescent="0.3">
      <c r="A73" s="2">
        <v>45415</v>
      </c>
      <c r="B73" t="s">
        <v>91</v>
      </c>
      <c r="C73" t="s">
        <v>92</v>
      </c>
      <c r="D73" s="2">
        <v>45415</v>
      </c>
      <c r="E73" s="1">
        <v>295</v>
      </c>
      <c r="F73" s="1">
        <v>0</v>
      </c>
      <c r="G73" s="1">
        <v>39835.93</v>
      </c>
      <c r="H73" t="s">
        <v>221</v>
      </c>
    </row>
    <row r="74" spans="1:8" x14ac:dyDescent="0.3">
      <c r="A74" s="2">
        <v>45415</v>
      </c>
      <c r="B74" t="s">
        <v>30</v>
      </c>
      <c r="C74" t="s">
        <v>93</v>
      </c>
      <c r="D74" s="2">
        <v>45415</v>
      </c>
      <c r="E74" s="1">
        <v>106.34</v>
      </c>
      <c r="F74" s="1">
        <v>0</v>
      </c>
      <c r="G74" s="1">
        <v>39729.589999999997</v>
      </c>
      <c r="H74" t="s">
        <v>217</v>
      </c>
    </row>
    <row r="75" spans="1:8" x14ac:dyDescent="0.3">
      <c r="A75" s="2">
        <v>45415</v>
      </c>
      <c r="B75" t="s">
        <v>94</v>
      </c>
      <c r="C75" t="s">
        <v>95</v>
      </c>
      <c r="D75" s="2">
        <v>45415</v>
      </c>
      <c r="E75" s="1">
        <v>2000</v>
      </c>
      <c r="F75" s="1">
        <v>0</v>
      </c>
      <c r="G75" s="1">
        <v>37729.589999999997</v>
      </c>
      <c r="H75" t="s">
        <v>223</v>
      </c>
    </row>
    <row r="76" spans="1:8" x14ac:dyDescent="0.3">
      <c r="A76" s="2">
        <v>45415</v>
      </c>
      <c r="B76" t="s">
        <v>30</v>
      </c>
      <c r="C76" t="s">
        <v>96</v>
      </c>
      <c r="D76" s="2">
        <v>45415</v>
      </c>
      <c r="E76" s="1">
        <v>517.47</v>
      </c>
      <c r="F76" s="1">
        <v>0</v>
      </c>
      <c r="G76" s="1">
        <v>37212.120000000003</v>
      </c>
      <c r="H76" t="s">
        <v>217</v>
      </c>
    </row>
    <row r="77" spans="1:8" x14ac:dyDescent="0.3">
      <c r="A77" s="2">
        <v>45418</v>
      </c>
      <c r="B77" t="s">
        <v>30</v>
      </c>
      <c r="C77" t="s">
        <v>97</v>
      </c>
      <c r="D77" s="2">
        <v>45418</v>
      </c>
      <c r="E77" s="1">
        <v>318.48</v>
      </c>
      <c r="F77" s="1">
        <v>0</v>
      </c>
      <c r="G77" s="1">
        <v>36893.64</v>
      </c>
      <c r="H77" t="s">
        <v>217</v>
      </c>
    </row>
    <row r="78" spans="1:8" x14ac:dyDescent="0.3">
      <c r="A78" s="2">
        <v>45419</v>
      </c>
      <c r="B78" t="s">
        <v>34</v>
      </c>
      <c r="C78" t="s">
        <v>98</v>
      </c>
      <c r="D78" s="2">
        <v>45419</v>
      </c>
      <c r="E78" s="1">
        <v>0</v>
      </c>
      <c r="F78" s="1">
        <v>22182.26</v>
      </c>
      <c r="G78" s="1">
        <v>59075.9</v>
      </c>
      <c r="H78" t="s">
        <v>217</v>
      </c>
    </row>
    <row r="79" spans="1:8" x14ac:dyDescent="0.3">
      <c r="A79" s="2">
        <v>45419</v>
      </c>
      <c r="B79" t="s">
        <v>30</v>
      </c>
      <c r="C79" t="s">
        <v>99</v>
      </c>
      <c r="D79" s="2">
        <v>45419</v>
      </c>
      <c r="E79" s="1">
        <v>106.16</v>
      </c>
      <c r="F79" s="1">
        <v>0</v>
      </c>
      <c r="G79" s="1">
        <v>58969.74</v>
      </c>
      <c r="H79" t="s">
        <v>217</v>
      </c>
    </row>
    <row r="80" spans="1:8" x14ac:dyDescent="0.3">
      <c r="A80" s="2">
        <v>45419</v>
      </c>
      <c r="B80" t="s">
        <v>100</v>
      </c>
      <c r="C80" t="s">
        <v>101</v>
      </c>
      <c r="D80" s="2">
        <v>45419</v>
      </c>
      <c r="E80" s="1">
        <v>0</v>
      </c>
      <c r="F80" s="1">
        <v>1880</v>
      </c>
      <c r="G80" s="1">
        <v>60849.74</v>
      </c>
      <c r="H80" t="s">
        <v>222</v>
      </c>
    </row>
    <row r="81" spans="1:8" x14ac:dyDescent="0.3">
      <c r="A81" s="2">
        <v>45419</v>
      </c>
      <c r="B81" t="s">
        <v>30</v>
      </c>
      <c r="C81" t="s">
        <v>102</v>
      </c>
      <c r="D81" s="2">
        <v>45419</v>
      </c>
      <c r="E81" s="1">
        <v>3897.36</v>
      </c>
      <c r="F81" s="1">
        <v>0</v>
      </c>
      <c r="G81" s="1">
        <v>56952.38</v>
      </c>
      <c r="H81" t="s">
        <v>217</v>
      </c>
    </row>
    <row r="82" spans="1:8" x14ac:dyDescent="0.3">
      <c r="A82" s="2">
        <v>45420</v>
      </c>
      <c r="B82" t="s">
        <v>30</v>
      </c>
      <c r="C82" t="s">
        <v>103</v>
      </c>
      <c r="D82" s="2">
        <v>45420</v>
      </c>
      <c r="E82" s="1">
        <v>95.13</v>
      </c>
      <c r="F82" s="1">
        <v>0</v>
      </c>
      <c r="G82" s="1">
        <v>56857.25</v>
      </c>
      <c r="H82" t="s">
        <v>217</v>
      </c>
    </row>
    <row r="83" spans="1:8" x14ac:dyDescent="0.3">
      <c r="A83" s="2">
        <v>45421</v>
      </c>
      <c r="B83" t="s">
        <v>34</v>
      </c>
      <c r="C83" t="s">
        <v>104</v>
      </c>
      <c r="D83" s="2">
        <v>45421</v>
      </c>
      <c r="E83" s="1">
        <v>0</v>
      </c>
      <c r="F83" s="1">
        <v>11.83</v>
      </c>
      <c r="G83" s="1">
        <v>56869.08</v>
      </c>
      <c r="H83" t="s">
        <v>217</v>
      </c>
    </row>
    <row r="84" spans="1:8" x14ac:dyDescent="0.3">
      <c r="A84" s="2">
        <v>45421</v>
      </c>
      <c r="B84" t="s">
        <v>30</v>
      </c>
      <c r="C84" t="s">
        <v>105</v>
      </c>
      <c r="D84" s="2">
        <v>45421</v>
      </c>
      <c r="E84" s="1">
        <v>98.24</v>
      </c>
      <c r="F84" s="1">
        <v>0</v>
      </c>
      <c r="G84" s="1">
        <v>56770.84</v>
      </c>
      <c r="H84" t="s">
        <v>217</v>
      </c>
    </row>
    <row r="85" spans="1:8" x14ac:dyDescent="0.3">
      <c r="A85" s="2">
        <v>45421</v>
      </c>
      <c r="B85" t="s">
        <v>106</v>
      </c>
      <c r="C85" t="s">
        <v>46</v>
      </c>
      <c r="D85" s="2">
        <v>45421</v>
      </c>
      <c r="E85" s="1">
        <v>726.48</v>
      </c>
      <c r="F85" s="1">
        <v>0</v>
      </c>
      <c r="G85" s="1">
        <v>56044.36</v>
      </c>
      <c r="H85" t="s">
        <v>220</v>
      </c>
    </row>
    <row r="86" spans="1:8" x14ac:dyDescent="0.3">
      <c r="A86" s="2">
        <v>45421</v>
      </c>
      <c r="B86" t="s">
        <v>30</v>
      </c>
      <c r="C86" t="s">
        <v>107</v>
      </c>
      <c r="D86" s="2">
        <v>45421</v>
      </c>
      <c r="E86" s="1">
        <v>1266.3399999999999</v>
      </c>
      <c r="F86" s="1">
        <v>0</v>
      </c>
      <c r="G86" s="1">
        <v>54778.02</v>
      </c>
      <c r="H86" t="s">
        <v>217</v>
      </c>
    </row>
    <row r="87" spans="1:8" x14ac:dyDescent="0.3">
      <c r="A87" s="2">
        <v>45422</v>
      </c>
      <c r="B87" t="s">
        <v>30</v>
      </c>
      <c r="C87" t="s">
        <v>108</v>
      </c>
      <c r="D87" s="2">
        <v>45422</v>
      </c>
      <c r="E87" s="1">
        <v>97.79</v>
      </c>
      <c r="F87" s="1">
        <v>0</v>
      </c>
      <c r="G87" s="1">
        <v>54680.23</v>
      </c>
      <c r="H87" t="s">
        <v>217</v>
      </c>
    </row>
    <row r="88" spans="1:8" x14ac:dyDescent="0.3">
      <c r="A88" s="2">
        <v>45422</v>
      </c>
      <c r="B88" t="s">
        <v>30</v>
      </c>
      <c r="C88" t="s">
        <v>109</v>
      </c>
      <c r="D88" s="2">
        <v>45422</v>
      </c>
      <c r="E88" s="1">
        <v>6393.74</v>
      </c>
      <c r="F88" s="1">
        <v>0</v>
      </c>
      <c r="G88" s="1">
        <v>48286.49</v>
      </c>
      <c r="H88" t="s">
        <v>217</v>
      </c>
    </row>
    <row r="89" spans="1:8" x14ac:dyDescent="0.3">
      <c r="A89" s="2">
        <v>45422</v>
      </c>
      <c r="B89" t="s">
        <v>30</v>
      </c>
      <c r="C89" t="s">
        <v>110</v>
      </c>
      <c r="D89" s="2">
        <v>45422</v>
      </c>
      <c r="E89" s="1">
        <v>166.9</v>
      </c>
      <c r="F89" s="1">
        <v>0</v>
      </c>
      <c r="G89" s="1">
        <v>48119.59</v>
      </c>
      <c r="H89" t="s">
        <v>217</v>
      </c>
    </row>
    <row r="90" spans="1:8" x14ac:dyDescent="0.3">
      <c r="A90" s="2">
        <v>45425</v>
      </c>
      <c r="B90" t="s">
        <v>30</v>
      </c>
      <c r="C90" t="s">
        <v>111</v>
      </c>
      <c r="D90" s="2">
        <v>45425</v>
      </c>
      <c r="E90" s="1">
        <v>293.19</v>
      </c>
      <c r="F90" s="1">
        <v>0</v>
      </c>
      <c r="G90" s="1">
        <v>47826.400000000001</v>
      </c>
      <c r="H90" t="s">
        <v>217</v>
      </c>
    </row>
    <row r="91" spans="1:8" x14ac:dyDescent="0.3">
      <c r="A91" s="2">
        <v>45426</v>
      </c>
      <c r="B91" t="s">
        <v>34</v>
      </c>
      <c r="C91" t="s">
        <v>112</v>
      </c>
      <c r="D91" s="2">
        <v>45426</v>
      </c>
      <c r="E91" s="1">
        <v>0</v>
      </c>
      <c r="F91" s="1">
        <v>18201.25</v>
      </c>
      <c r="G91" s="1">
        <v>66027.649999999994</v>
      </c>
      <c r="H91" t="s">
        <v>217</v>
      </c>
    </row>
    <row r="92" spans="1:8" x14ac:dyDescent="0.3">
      <c r="A92" s="2">
        <v>45426</v>
      </c>
      <c r="B92" t="s">
        <v>30</v>
      </c>
      <c r="C92" t="s">
        <v>113</v>
      </c>
      <c r="D92" s="2">
        <v>45426</v>
      </c>
      <c r="E92" s="1">
        <v>97.73</v>
      </c>
      <c r="F92" s="1">
        <v>0</v>
      </c>
      <c r="G92" s="1">
        <v>65929.919999999998</v>
      </c>
      <c r="H92" t="s">
        <v>217</v>
      </c>
    </row>
    <row r="93" spans="1:8" x14ac:dyDescent="0.3">
      <c r="A93" s="2">
        <v>45427</v>
      </c>
      <c r="B93" t="s">
        <v>34</v>
      </c>
      <c r="C93" t="s">
        <v>114</v>
      </c>
      <c r="D93" s="2">
        <v>45427</v>
      </c>
      <c r="E93" s="1">
        <v>0</v>
      </c>
      <c r="F93" s="1">
        <v>10616.44</v>
      </c>
      <c r="G93" s="1">
        <v>76546.36</v>
      </c>
      <c r="H93" t="s">
        <v>217</v>
      </c>
    </row>
    <row r="94" spans="1:8" x14ac:dyDescent="0.3">
      <c r="A94" s="2">
        <v>45427</v>
      </c>
      <c r="B94" t="s">
        <v>30</v>
      </c>
      <c r="C94" t="s">
        <v>115</v>
      </c>
      <c r="D94" s="2">
        <v>45427</v>
      </c>
      <c r="E94" s="1">
        <v>86.54</v>
      </c>
      <c r="F94" s="1">
        <v>0</v>
      </c>
      <c r="G94" s="1">
        <v>76459.820000000007</v>
      </c>
      <c r="H94" t="s">
        <v>217</v>
      </c>
    </row>
    <row r="95" spans="1:8" x14ac:dyDescent="0.3">
      <c r="A95" s="2">
        <v>45428</v>
      </c>
      <c r="B95" t="s">
        <v>34</v>
      </c>
      <c r="C95" t="s">
        <v>116</v>
      </c>
      <c r="D95" s="2">
        <v>45428</v>
      </c>
      <c r="E95" s="1">
        <v>0</v>
      </c>
      <c r="F95" s="1">
        <v>2567.1799999999998</v>
      </c>
      <c r="G95" s="1">
        <v>79027</v>
      </c>
      <c r="H95" t="s">
        <v>217</v>
      </c>
    </row>
    <row r="96" spans="1:8" x14ac:dyDescent="0.3">
      <c r="A96" s="2">
        <v>45428</v>
      </c>
      <c r="B96" t="s">
        <v>30</v>
      </c>
      <c r="C96" t="s">
        <v>117</v>
      </c>
      <c r="D96" s="2">
        <v>45428</v>
      </c>
      <c r="E96" s="1">
        <v>83.58</v>
      </c>
      <c r="F96" s="1">
        <v>0</v>
      </c>
      <c r="G96" s="1">
        <v>78943.42</v>
      </c>
      <c r="H96" t="s">
        <v>217</v>
      </c>
    </row>
    <row r="97" spans="1:8" x14ac:dyDescent="0.3">
      <c r="A97" s="2">
        <v>45428</v>
      </c>
      <c r="B97" t="s">
        <v>118</v>
      </c>
      <c r="C97" t="s">
        <v>119</v>
      </c>
      <c r="D97" s="2">
        <v>45428</v>
      </c>
      <c r="E97" s="1">
        <v>0</v>
      </c>
      <c r="F97" s="1">
        <v>1440</v>
      </c>
      <c r="G97" s="1">
        <v>80383.42</v>
      </c>
      <c r="H97" t="s">
        <v>218</v>
      </c>
    </row>
    <row r="98" spans="1:8" x14ac:dyDescent="0.3">
      <c r="A98" s="2">
        <v>45428</v>
      </c>
      <c r="B98" t="s">
        <v>30</v>
      </c>
      <c r="C98" t="s">
        <v>120</v>
      </c>
      <c r="D98" s="2">
        <v>45428</v>
      </c>
      <c r="E98" s="1">
        <v>22275.31</v>
      </c>
      <c r="F98" s="1">
        <v>0</v>
      </c>
      <c r="G98" s="1">
        <v>58108.11</v>
      </c>
      <c r="H98" t="s">
        <v>217</v>
      </c>
    </row>
    <row r="99" spans="1:8" x14ac:dyDescent="0.3">
      <c r="A99" s="2">
        <v>45428</v>
      </c>
      <c r="B99" t="s">
        <v>121</v>
      </c>
      <c r="C99" t="s">
        <v>122</v>
      </c>
      <c r="D99" s="2">
        <v>45428</v>
      </c>
      <c r="E99" s="1">
        <v>0</v>
      </c>
      <c r="F99" s="1">
        <v>1</v>
      </c>
      <c r="G99" s="1">
        <v>58109.11</v>
      </c>
      <c r="H99" t="s">
        <v>226</v>
      </c>
    </row>
    <row r="100" spans="1:8" x14ac:dyDescent="0.3">
      <c r="A100" s="2">
        <v>45429</v>
      </c>
      <c r="B100" t="s">
        <v>30</v>
      </c>
      <c r="C100" t="s">
        <v>123</v>
      </c>
      <c r="D100" s="2">
        <v>45429</v>
      </c>
      <c r="E100" s="1">
        <v>76.56</v>
      </c>
      <c r="F100" s="1">
        <v>0</v>
      </c>
      <c r="G100" s="1">
        <v>58032.55</v>
      </c>
      <c r="H100" t="s">
        <v>217</v>
      </c>
    </row>
    <row r="101" spans="1:8" x14ac:dyDescent="0.3">
      <c r="A101" s="2">
        <v>45429</v>
      </c>
      <c r="B101" t="s">
        <v>30</v>
      </c>
      <c r="C101" t="s">
        <v>124</v>
      </c>
      <c r="D101" s="2">
        <v>45429</v>
      </c>
      <c r="E101" s="1">
        <v>9498.26</v>
      </c>
      <c r="F101" s="1">
        <v>0</v>
      </c>
      <c r="G101" s="1">
        <v>48534.29</v>
      </c>
      <c r="H101" t="s">
        <v>217</v>
      </c>
    </row>
    <row r="102" spans="1:8" x14ac:dyDescent="0.3">
      <c r="A102" s="2">
        <v>45430</v>
      </c>
      <c r="B102" t="s">
        <v>30</v>
      </c>
      <c r="C102" t="s">
        <v>125</v>
      </c>
      <c r="D102" s="2">
        <v>45430</v>
      </c>
      <c r="E102" s="1">
        <v>93.5</v>
      </c>
      <c r="F102" s="1">
        <v>0</v>
      </c>
      <c r="G102" s="1">
        <v>48440.79</v>
      </c>
      <c r="H102" t="s">
        <v>217</v>
      </c>
    </row>
    <row r="103" spans="1:8" x14ac:dyDescent="0.3">
      <c r="A103" s="2">
        <v>45433</v>
      </c>
      <c r="B103" t="s">
        <v>34</v>
      </c>
      <c r="C103" t="s">
        <v>126</v>
      </c>
      <c r="D103" s="2">
        <v>45433</v>
      </c>
      <c r="E103" s="1">
        <v>0</v>
      </c>
      <c r="F103" s="1">
        <v>725.24</v>
      </c>
      <c r="G103" s="1">
        <v>49166.03</v>
      </c>
      <c r="H103" t="s">
        <v>217</v>
      </c>
    </row>
    <row r="104" spans="1:8" x14ac:dyDescent="0.3">
      <c r="A104" s="2">
        <v>45433</v>
      </c>
      <c r="B104" t="s">
        <v>30</v>
      </c>
      <c r="C104" t="s">
        <v>127</v>
      </c>
      <c r="D104" s="2">
        <v>45433</v>
      </c>
      <c r="E104" s="1">
        <v>280.5</v>
      </c>
      <c r="F104" s="1">
        <v>0</v>
      </c>
      <c r="G104" s="1">
        <v>48885.53</v>
      </c>
      <c r="H104" t="s">
        <v>217</v>
      </c>
    </row>
    <row r="105" spans="1:8" x14ac:dyDescent="0.3">
      <c r="A105" s="2">
        <v>45433</v>
      </c>
      <c r="B105" t="s">
        <v>30</v>
      </c>
      <c r="C105" t="s">
        <v>128</v>
      </c>
      <c r="D105" s="2">
        <v>45433</v>
      </c>
      <c r="E105" s="1">
        <v>1</v>
      </c>
      <c r="F105" s="1">
        <v>0</v>
      </c>
      <c r="G105" s="1">
        <v>48884.53</v>
      </c>
      <c r="H105" t="s">
        <v>217</v>
      </c>
    </row>
    <row r="106" spans="1:8" x14ac:dyDescent="0.3">
      <c r="A106" s="2">
        <v>45433</v>
      </c>
      <c r="B106" t="s">
        <v>30</v>
      </c>
      <c r="C106" t="s">
        <v>129</v>
      </c>
      <c r="D106" s="2">
        <v>45433</v>
      </c>
      <c r="E106" s="1">
        <v>729.81</v>
      </c>
      <c r="F106" s="1">
        <v>0</v>
      </c>
      <c r="G106" s="1">
        <v>48154.720000000001</v>
      </c>
      <c r="H106" t="s">
        <v>217</v>
      </c>
    </row>
    <row r="107" spans="1:8" x14ac:dyDescent="0.3">
      <c r="A107" s="2">
        <v>45434</v>
      </c>
      <c r="B107" t="s">
        <v>30</v>
      </c>
      <c r="C107" t="s">
        <v>130</v>
      </c>
      <c r="D107" s="2">
        <v>45434</v>
      </c>
      <c r="E107" s="1">
        <v>101.86</v>
      </c>
      <c r="F107" s="1">
        <v>0</v>
      </c>
      <c r="G107" s="1">
        <v>48052.86</v>
      </c>
      <c r="H107" t="s">
        <v>217</v>
      </c>
    </row>
    <row r="108" spans="1:8" x14ac:dyDescent="0.3">
      <c r="A108" s="2">
        <v>45435</v>
      </c>
      <c r="B108" t="s">
        <v>131</v>
      </c>
      <c r="C108" t="s">
        <v>132</v>
      </c>
      <c r="D108" s="2">
        <v>45435</v>
      </c>
      <c r="E108" s="1">
        <v>17.7</v>
      </c>
      <c r="F108" s="1">
        <v>0</v>
      </c>
      <c r="G108" s="1">
        <v>48035.16</v>
      </c>
      <c r="H108" t="s">
        <v>221</v>
      </c>
    </row>
    <row r="109" spans="1:8" x14ac:dyDescent="0.3">
      <c r="A109" s="2">
        <v>45436</v>
      </c>
      <c r="B109" t="s">
        <v>34</v>
      </c>
      <c r="C109" t="s">
        <v>133</v>
      </c>
      <c r="D109" s="2">
        <v>45436</v>
      </c>
      <c r="E109" s="1">
        <v>0</v>
      </c>
      <c r="F109" s="1">
        <v>4819.47</v>
      </c>
      <c r="G109" s="1">
        <v>52854.63</v>
      </c>
      <c r="H109" t="s">
        <v>217</v>
      </c>
    </row>
    <row r="110" spans="1:8" x14ac:dyDescent="0.3">
      <c r="A110" s="2">
        <v>45436</v>
      </c>
      <c r="B110" t="s">
        <v>30</v>
      </c>
      <c r="C110" t="s">
        <v>134</v>
      </c>
      <c r="D110" s="2">
        <v>45436</v>
      </c>
      <c r="E110" s="1">
        <v>101.9</v>
      </c>
      <c r="F110" s="1">
        <v>0</v>
      </c>
      <c r="G110" s="1">
        <v>52752.73</v>
      </c>
      <c r="H110" t="s">
        <v>217</v>
      </c>
    </row>
    <row r="111" spans="1:8" x14ac:dyDescent="0.3">
      <c r="A111" s="2">
        <v>45437</v>
      </c>
      <c r="B111" t="s">
        <v>30</v>
      </c>
      <c r="C111" t="s">
        <v>135</v>
      </c>
      <c r="D111" s="2">
        <v>45437</v>
      </c>
      <c r="E111" s="1">
        <v>659.14</v>
      </c>
      <c r="F111" s="1">
        <v>0</v>
      </c>
      <c r="G111" s="1">
        <v>52093.59</v>
      </c>
      <c r="H111" t="s">
        <v>217</v>
      </c>
    </row>
    <row r="112" spans="1:8" x14ac:dyDescent="0.3">
      <c r="A112" s="2">
        <v>45439</v>
      </c>
      <c r="B112" t="s">
        <v>30</v>
      </c>
      <c r="C112" t="s">
        <v>136</v>
      </c>
      <c r="D112" s="2">
        <v>45439</v>
      </c>
      <c r="E112" s="1">
        <v>310.14</v>
      </c>
      <c r="F112" s="1">
        <v>0</v>
      </c>
      <c r="G112" s="1">
        <v>51783.45</v>
      </c>
      <c r="H112" t="s">
        <v>217</v>
      </c>
    </row>
    <row r="113" spans="1:8" x14ac:dyDescent="0.3">
      <c r="A113" s="2">
        <v>45440</v>
      </c>
      <c r="B113" t="s">
        <v>34</v>
      </c>
      <c r="C113" t="s">
        <v>137</v>
      </c>
      <c r="D113" s="2">
        <v>45440</v>
      </c>
      <c r="E113" s="1">
        <v>0</v>
      </c>
      <c r="F113" s="1">
        <v>950.25</v>
      </c>
      <c r="G113" s="1">
        <v>52733.7</v>
      </c>
      <c r="H113" t="s">
        <v>217</v>
      </c>
    </row>
    <row r="114" spans="1:8" x14ac:dyDescent="0.3">
      <c r="A114" s="2">
        <v>45440</v>
      </c>
      <c r="B114" t="s">
        <v>138</v>
      </c>
      <c r="C114" t="s">
        <v>139</v>
      </c>
      <c r="D114" s="2">
        <v>45440</v>
      </c>
      <c r="E114" s="1">
        <v>5000</v>
      </c>
      <c r="F114" s="1">
        <v>0</v>
      </c>
      <c r="G114" s="1">
        <v>47733.7</v>
      </c>
      <c r="H114" t="s">
        <v>219</v>
      </c>
    </row>
    <row r="115" spans="1:8" x14ac:dyDescent="0.3">
      <c r="A115" s="2">
        <v>45440</v>
      </c>
      <c r="B115" t="s">
        <v>30</v>
      </c>
      <c r="C115" t="s">
        <v>140</v>
      </c>
      <c r="D115" s="2">
        <v>45440</v>
      </c>
      <c r="E115" s="1">
        <v>103.38</v>
      </c>
      <c r="F115" s="1">
        <v>0</v>
      </c>
      <c r="G115" s="1">
        <v>47630.32</v>
      </c>
      <c r="H115" t="s">
        <v>217</v>
      </c>
    </row>
    <row r="116" spans="1:8" x14ac:dyDescent="0.3">
      <c r="A116" s="2">
        <v>45440</v>
      </c>
      <c r="B116" t="s">
        <v>30</v>
      </c>
      <c r="C116" t="s">
        <v>141</v>
      </c>
      <c r="D116" s="2">
        <v>45440</v>
      </c>
      <c r="E116" s="1">
        <v>17070.650000000001</v>
      </c>
      <c r="F116" s="1">
        <v>0</v>
      </c>
      <c r="G116" s="1">
        <v>30559.67</v>
      </c>
      <c r="H116" t="s">
        <v>217</v>
      </c>
    </row>
    <row r="117" spans="1:8" x14ac:dyDescent="0.3">
      <c r="A117" s="2">
        <v>45440</v>
      </c>
      <c r="B117" t="s">
        <v>30</v>
      </c>
      <c r="C117" t="s">
        <v>142</v>
      </c>
      <c r="D117" s="2">
        <v>45440</v>
      </c>
      <c r="E117" s="1">
        <v>631.52</v>
      </c>
      <c r="F117" s="1">
        <v>0</v>
      </c>
      <c r="G117" s="1">
        <v>29928.15</v>
      </c>
      <c r="H117" t="s">
        <v>217</v>
      </c>
    </row>
    <row r="118" spans="1:8" x14ac:dyDescent="0.3">
      <c r="A118" s="2">
        <v>45441</v>
      </c>
      <c r="B118" t="s">
        <v>30</v>
      </c>
      <c r="C118" t="s">
        <v>143</v>
      </c>
      <c r="D118" s="2">
        <v>45441</v>
      </c>
      <c r="E118" s="1">
        <v>103.49</v>
      </c>
      <c r="F118" s="1">
        <v>0</v>
      </c>
      <c r="G118" s="1">
        <v>29824.66</v>
      </c>
      <c r="H118" t="s">
        <v>217</v>
      </c>
    </row>
    <row r="119" spans="1:8" x14ac:dyDescent="0.3">
      <c r="A119" s="2">
        <v>45441</v>
      </c>
      <c r="B119" t="s">
        <v>30</v>
      </c>
      <c r="C119" t="s">
        <v>144</v>
      </c>
      <c r="D119" s="2">
        <v>45441</v>
      </c>
      <c r="E119" s="1">
        <v>712.88</v>
      </c>
      <c r="F119" s="1">
        <v>0</v>
      </c>
      <c r="G119" s="1">
        <v>29111.78</v>
      </c>
      <c r="H119" t="s">
        <v>217</v>
      </c>
    </row>
    <row r="120" spans="1:8" x14ac:dyDescent="0.3">
      <c r="A120" s="2">
        <v>45442</v>
      </c>
      <c r="B120" t="s">
        <v>34</v>
      </c>
      <c r="C120" t="s">
        <v>145</v>
      </c>
      <c r="D120" s="2">
        <v>45442</v>
      </c>
      <c r="E120" s="1">
        <v>0</v>
      </c>
      <c r="F120" s="1">
        <v>40008.449999999997</v>
      </c>
      <c r="G120" s="1">
        <v>69120.23</v>
      </c>
      <c r="H120" t="s">
        <v>217</v>
      </c>
    </row>
    <row r="121" spans="1:8" x14ac:dyDescent="0.3">
      <c r="A121" s="2">
        <v>45442</v>
      </c>
      <c r="B121" t="s">
        <v>146</v>
      </c>
      <c r="C121" t="s">
        <v>147</v>
      </c>
      <c r="D121" s="2">
        <v>45442</v>
      </c>
      <c r="E121" s="1">
        <v>5000</v>
      </c>
      <c r="F121" s="1">
        <v>0</v>
      </c>
      <c r="G121" s="1">
        <v>64120.23</v>
      </c>
      <c r="H121" t="s">
        <v>219</v>
      </c>
    </row>
    <row r="122" spans="1:8" x14ac:dyDescent="0.3">
      <c r="A122" s="2">
        <v>45442</v>
      </c>
      <c r="B122" t="s">
        <v>30</v>
      </c>
      <c r="C122" t="s">
        <v>148</v>
      </c>
      <c r="D122" s="2">
        <v>45442</v>
      </c>
      <c r="E122" s="1">
        <v>103.24</v>
      </c>
      <c r="F122" s="1">
        <v>0</v>
      </c>
      <c r="G122" s="1">
        <v>64016.99</v>
      </c>
      <c r="H122" t="s">
        <v>217</v>
      </c>
    </row>
    <row r="123" spans="1:8" x14ac:dyDescent="0.3">
      <c r="A123" s="2">
        <v>45442</v>
      </c>
      <c r="B123" t="s">
        <v>30</v>
      </c>
      <c r="C123" t="s">
        <v>149</v>
      </c>
      <c r="D123" s="2">
        <v>45442</v>
      </c>
      <c r="E123" s="1">
        <v>1261.72</v>
      </c>
      <c r="F123" s="1">
        <v>0</v>
      </c>
      <c r="G123" s="1">
        <v>62755.27</v>
      </c>
      <c r="H123" t="s">
        <v>217</v>
      </c>
    </row>
    <row r="124" spans="1:8" x14ac:dyDescent="0.3">
      <c r="A124" s="2">
        <v>45443</v>
      </c>
      <c r="B124" t="s">
        <v>30</v>
      </c>
      <c r="C124" t="s">
        <v>150</v>
      </c>
      <c r="D124" s="2">
        <v>45443</v>
      </c>
      <c r="E124" s="1">
        <v>102.79</v>
      </c>
      <c r="F124" s="1">
        <v>0</v>
      </c>
      <c r="G124" s="1">
        <v>62652.480000000003</v>
      </c>
      <c r="H124" t="s">
        <v>217</v>
      </c>
    </row>
    <row r="125" spans="1:8" x14ac:dyDescent="0.3">
      <c r="A125" s="2">
        <v>45443</v>
      </c>
      <c r="B125" t="s">
        <v>30</v>
      </c>
      <c r="C125" t="s">
        <v>151</v>
      </c>
      <c r="D125" s="2">
        <v>45443</v>
      </c>
      <c r="E125" s="1">
        <v>726.98</v>
      </c>
      <c r="F125" s="1">
        <v>0</v>
      </c>
      <c r="G125" s="1">
        <v>61925.5</v>
      </c>
      <c r="H125" t="s">
        <v>217</v>
      </c>
    </row>
    <row r="126" spans="1:8" x14ac:dyDescent="0.3">
      <c r="A126" s="2">
        <v>45446</v>
      </c>
      <c r="B126" t="s">
        <v>30</v>
      </c>
      <c r="C126" t="s">
        <v>152</v>
      </c>
      <c r="D126" s="2">
        <v>45446</v>
      </c>
      <c r="E126" s="1">
        <v>307.58999999999997</v>
      </c>
      <c r="F126" s="1">
        <v>0</v>
      </c>
      <c r="G126" s="1">
        <v>61617.91</v>
      </c>
      <c r="H126" t="s">
        <v>217</v>
      </c>
    </row>
    <row r="127" spans="1:8" x14ac:dyDescent="0.3">
      <c r="A127" s="2">
        <v>45447</v>
      </c>
      <c r="B127" t="s">
        <v>34</v>
      </c>
      <c r="C127" t="s">
        <v>153</v>
      </c>
      <c r="D127" s="2">
        <v>45447</v>
      </c>
      <c r="E127" s="1">
        <v>0</v>
      </c>
      <c r="F127" s="1">
        <v>1822.48</v>
      </c>
      <c r="G127" s="1">
        <v>63440.39</v>
      </c>
      <c r="H127" t="s">
        <v>217</v>
      </c>
    </row>
    <row r="128" spans="1:8" x14ac:dyDescent="0.3">
      <c r="A128" s="2">
        <v>45447</v>
      </c>
      <c r="B128" t="s">
        <v>30</v>
      </c>
      <c r="C128" t="s">
        <v>154</v>
      </c>
      <c r="D128" s="2">
        <v>45447</v>
      </c>
      <c r="E128" s="1">
        <v>102.53</v>
      </c>
      <c r="F128" s="1">
        <v>0</v>
      </c>
      <c r="G128" s="1">
        <v>63337.86</v>
      </c>
      <c r="H128" t="s">
        <v>217</v>
      </c>
    </row>
    <row r="129" spans="1:8" x14ac:dyDescent="0.3">
      <c r="A129" s="2">
        <v>45447</v>
      </c>
      <c r="B129" t="s">
        <v>155</v>
      </c>
      <c r="C129" t="s">
        <v>156</v>
      </c>
      <c r="D129" s="2">
        <v>45447</v>
      </c>
      <c r="E129" s="1">
        <v>0</v>
      </c>
      <c r="F129" s="1">
        <v>448</v>
      </c>
      <c r="G129" s="1">
        <v>63785.86</v>
      </c>
      <c r="H129" t="s">
        <v>218</v>
      </c>
    </row>
    <row r="130" spans="1:8" x14ac:dyDescent="0.3">
      <c r="A130" s="2">
        <v>45447</v>
      </c>
      <c r="B130" t="s">
        <v>30</v>
      </c>
      <c r="C130" t="s">
        <v>157</v>
      </c>
      <c r="D130" s="2">
        <v>45447</v>
      </c>
      <c r="E130" s="1">
        <v>8240.77</v>
      </c>
      <c r="F130" s="1">
        <v>0</v>
      </c>
      <c r="G130" s="1">
        <v>55545.09</v>
      </c>
      <c r="H130" t="s">
        <v>217</v>
      </c>
    </row>
    <row r="131" spans="1:8" x14ac:dyDescent="0.3">
      <c r="A131" s="2">
        <v>45448</v>
      </c>
      <c r="B131" t="s">
        <v>30</v>
      </c>
      <c r="C131" t="s">
        <v>158</v>
      </c>
      <c r="D131" s="2">
        <v>45448</v>
      </c>
      <c r="E131" s="1">
        <v>100.24</v>
      </c>
      <c r="F131" s="1">
        <v>0</v>
      </c>
      <c r="G131" s="1">
        <v>55444.85</v>
      </c>
      <c r="H131" t="s">
        <v>217</v>
      </c>
    </row>
    <row r="132" spans="1:8" x14ac:dyDescent="0.3">
      <c r="A132" s="2">
        <v>45448</v>
      </c>
      <c r="B132" t="s">
        <v>159</v>
      </c>
      <c r="C132" t="s">
        <v>160</v>
      </c>
      <c r="D132" s="2">
        <v>45448</v>
      </c>
      <c r="E132" s="1">
        <v>0</v>
      </c>
      <c r="F132" s="1">
        <v>1370</v>
      </c>
      <c r="G132" s="1">
        <v>56814.85</v>
      </c>
      <c r="H132" t="s">
        <v>218</v>
      </c>
    </row>
    <row r="133" spans="1:8" x14ac:dyDescent="0.3">
      <c r="A133" s="2">
        <v>45449</v>
      </c>
      <c r="B133" t="s">
        <v>34</v>
      </c>
      <c r="C133" t="s">
        <v>161</v>
      </c>
      <c r="D133" s="2">
        <v>45449</v>
      </c>
      <c r="E133" s="1">
        <v>0</v>
      </c>
      <c r="F133" s="1">
        <v>3961.37</v>
      </c>
      <c r="G133" s="1">
        <v>60776.22</v>
      </c>
      <c r="H133" t="s">
        <v>217</v>
      </c>
    </row>
    <row r="134" spans="1:8" x14ac:dyDescent="0.3">
      <c r="A134" s="2">
        <v>45449</v>
      </c>
      <c r="B134" t="s">
        <v>30</v>
      </c>
      <c r="C134" t="s">
        <v>162</v>
      </c>
      <c r="D134" s="2">
        <v>45449</v>
      </c>
      <c r="E134" s="1">
        <v>100.24</v>
      </c>
      <c r="F134" s="1">
        <v>0</v>
      </c>
      <c r="G134" s="1">
        <v>60675.98</v>
      </c>
      <c r="H134" t="s">
        <v>217</v>
      </c>
    </row>
    <row r="135" spans="1:8" x14ac:dyDescent="0.3">
      <c r="A135" s="2">
        <v>45450</v>
      </c>
      <c r="B135" t="s">
        <v>34</v>
      </c>
      <c r="C135" t="s">
        <v>163</v>
      </c>
      <c r="D135" s="2">
        <v>45450</v>
      </c>
      <c r="E135" s="1">
        <v>0</v>
      </c>
      <c r="F135" s="1">
        <v>2281.29</v>
      </c>
      <c r="G135" s="1">
        <v>62957.27</v>
      </c>
      <c r="H135" t="s">
        <v>217</v>
      </c>
    </row>
    <row r="136" spans="1:8" x14ac:dyDescent="0.3">
      <c r="A136" s="2">
        <v>45450</v>
      </c>
      <c r="B136" t="s">
        <v>34</v>
      </c>
      <c r="C136" t="s">
        <v>164</v>
      </c>
      <c r="D136" s="2">
        <v>45450</v>
      </c>
      <c r="E136" s="1">
        <v>0</v>
      </c>
      <c r="F136" s="1">
        <v>36733.370000000003</v>
      </c>
      <c r="G136" s="1">
        <v>99690.64</v>
      </c>
      <c r="H136" t="s">
        <v>217</v>
      </c>
    </row>
    <row r="137" spans="1:8" x14ac:dyDescent="0.3">
      <c r="A137" s="2">
        <v>45450</v>
      </c>
      <c r="B137" t="s">
        <v>30</v>
      </c>
      <c r="C137" t="s">
        <v>165</v>
      </c>
      <c r="D137" s="2">
        <v>45450</v>
      </c>
      <c r="E137" s="1">
        <v>101.66</v>
      </c>
      <c r="F137" s="1">
        <v>0</v>
      </c>
      <c r="G137" s="1">
        <v>99588.98</v>
      </c>
      <c r="H137" t="s">
        <v>217</v>
      </c>
    </row>
    <row r="138" spans="1:8" x14ac:dyDescent="0.3">
      <c r="A138" s="2">
        <v>45450</v>
      </c>
      <c r="B138" t="s">
        <v>166</v>
      </c>
      <c r="C138" t="s">
        <v>167</v>
      </c>
      <c r="D138" s="2">
        <v>45450</v>
      </c>
      <c r="E138" s="1">
        <v>0</v>
      </c>
      <c r="F138" s="1">
        <v>1880</v>
      </c>
      <c r="G138" s="1">
        <v>101468.98</v>
      </c>
      <c r="H138" t="s">
        <v>222</v>
      </c>
    </row>
    <row r="139" spans="1:8" x14ac:dyDescent="0.3">
      <c r="A139" s="2">
        <v>45450</v>
      </c>
      <c r="B139" t="s">
        <v>34</v>
      </c>
      <c r="C139" t="s">
        <v>168</v>
      </c>
      <c r="D139" s="2">
        <v>45450</v>
      </c>
      <c r="E139" s="1">
        <v>0</v>
      </c>
      <c r="F139" s="1">
        <v>1840.52</v>
      </c>
      <c r="G139" s="1">
        <v>103309.5</v>
      </c>
      <c r="H139" t="s">
        <v>217</v>
      </c>
    </row>
    <row r="140" spans="1:8" x14ac:dyDescent="0.3">
      <c r="A140" s="2">
        <v>45452</v>
      </c>
      <c r="B140" t="s">
        <v>169</v>
      </c>
      <c r="C140" t="s">
        <v>170</v>
      </c>
      <c r="D140" s="2">
        <v>45452</v>
      </c>
      <c r="E140" s="1">
        <v>1000</v>
      </c>
      <c r="F140" s="1">
        <v>0</v>
      </c>
      <c r="G140" s="1">
        <v>102309.5</v>
      </c>
      <c r="H140" t="s">
        <v>223</v>
      </c>
    </row>
    <row r="141" spans="1:8" x14ac:dyDescent="0.3">
      <c r="A141" s="2">
        <v>45453</v>
      </c>
      <c r="B141" t="s">
        <v>30</v>
      </c>
      <c r="C141" t="s">
        <v>171</v>
      </c>
      <c r="D141" s="2">
        <v>45453</v>
      </c>
      <c r="E141" s="1">
        <v>309.36</v>
      </c>
      <c r="F141" s="1">
        <v>0</v>
      </c>
      <c r="G141" s="1">
        <v>102000.14</v>
      </c>
      <c r="H141" t="s">
        <v>217</v>
      </c>
    </row>
    <row r="142" spans="1:8" x14ac:dyDescent="0.3">
      <c r="A142" s="2">
        <v>45453</v>
      </c>
      <c r="B142" t="s">
        <v>30</v>
      </c>
      <c r="C142" t="s">
        <v>172</v>
      </c>
      <c r="D142" s="2">
        <v>45453</v>
      </c>
      <c r="E142" s="1">
        <v>14669.42</v>
      </c>
      <c r="F142" s="1">
        <v>0</v>
      </c>
      <c r="G142" s="1">
        <v>87330.72</v>
      </c>
      <c r="H142" t="s">
        <v>217</v>
      </c>
    </row>
    <row r="143" spans="1:8" x14ac:dyDescent="0.3">
      <c r="A143" s="2">
        <v>45454</v>
      </c>
      <c r="B143" t="s">
        <v>173</v>
      </c>
      <c r="C143" t="s">
        <v>174</v>
      </c>
      <c r="D143" s="2">
        <v>45454</v>
      </c>
      <c r="E143" s="1">
        <v>50000</v>
      </c>
      <c r="F143" s="1">
        <v>0</v>
      </c>
      <c r="G143" s="1">
        <v>37330.720000000001</v>
      </c>
      <c r="H143" t="s">
        <v>225</v>
      </c>
    </row>
    <row r="144" spans="1:8" x14ac:dyDescent="0.3">
      <c r="A144" s="2">
        <v>45454</v>
      </c>
      <c r="B144" t="s">
        <v>30</v>
      </c>
      <c r="C144" t="s">
        <v>175</v>
      </c>
      <c r="D144" s="2">
        <v>45454</v>
      </c>
      <c r="E144" s="1">
        <v>97.9</v>
      </c>
      <c r="F144" s="1">
        <v>0</v>
      </c>
      <c r="G144" s="1">
        <v>37232.82</v>
      </c>
      <c r="H144" t="s">
        <v>217</v>
      </c>
    </row>
    <row r="145" spans="1:8" x14ac:dyDescent="0.3">
      <c r="A145" s="2">
        <v>45455</v>
      </c>
      <c r="B145" t="s">
        <v>34</v>
      </c>
      <c r="C145" t="s">
        <v>176</v>
      </c>
      <c r="D145" s="2">
        <v>45455</v>
      </c>
      <c r="E145" s="1">
        <v>0</v>
      </c>
      <c r="F145" s="1">
        <v>12292.31</v>
      </c>
      <c r="G145" s="1">
        <v>49525.13</v>
      </c>
      <c r="H145" t="s">
        <v>217</v>
      </c>
    </row>
    <row r="146" spans="1:8" x14ac:dyDescent="0.3">
      <c r="A146" s="2">
        <v>45455</v>
      </c>
      <c r="B146" t="s">
        <v>34</v>
      </c>
      <c r="C146" t="s">
        <v>177</v>
      </c>
      <c r="D146" s="2">
        <v>45455</v>
      </c>
      <c r="E146" s="1">
        <v>0</v>
      </c>
      <c r="F146" s="1">
        <v>12515.66</v>
      </c>
      <c r="G146" s="1">
        <v>62040.79</v>
      </c>
      <c r="H146" t="s">
        <v>217</v>
      </c>
    </row>
    <row r="147" spans="1:8" x14ac:dyDescent="0.3">
      <c r="A147" s="2">
        <v>45455</v>
      </c>
      <c r="B147" t="s">
        <v>30</v>
      </c>
      <c r="C147" t="s">
        <v>178</v>
      </c>
      <c r="D147" s="2">
        <v>45455</v>
      </c>
      <c r="E147" s="1">
        <v>97.9</v>
      </c>
      <c r="F147" s="1">
        <v>0</v>
      </c>
      <c r="G147" s="1">
        <v>61942.89</v>
      </c>
      <c r="H147" t="s">
        <v>217</v>
      </c>
    </row>
    <row r="148" spans="1:8" x14ac:dyDescent="0.3">
      <c r="A148" s="2">
        <v>45455</v>
      </c>
      <c r="B148" t="s">
        <v>30</v>
      </c>
      <c r="C148" t="s">
        <v>179</v>
      </c>
      <c r="D148" s="2">
        <v>45455</v>
      </c>
      <c r="E148" s="1">
        <v>2251.88</v>
      </c>
      <c r="F148" s="1">
        <v>0</v>
      </c>
      <c r="G148" s="1">
        <v>59691.01</v>
      </c>
      <c r="H148" t="s">
        <v>217</v>
      </c>
    </row>
    <row r="149" spans="1:8" x14ac:dyDescent="0.3">
      <c r="A149" s="2">
        <v>45456</v>
      </c>
      <c r="B149" t="s">
        <v>30</v>
      </c>
      <c r="C149" t="s">
        <v>180</v>
      </c>
      <c r="D149" s="2">
        <v>45456</v>
      </c>
      <c r="E149" s="1">
        <v>92.56</v>
      </c>
      <c r="F149" s="1">
        <v>0</v>
      </c>
      <c r="G149" s="1">
        <v>59598.45</v>
      </c>
      <c r="H149" t="s">
        <v>217</v>
      </c>
    </row>
    <row r="150" spans="1:8" x14ac:dyDescent="0.3">
      <c r="A150" s="2">
        <v>45456</v>
      </c>
      <c r="B150" t="s">
        <v>30</v>
      </c>
      <c r="C150" t="s">
        <v>181</v>
      </c>
      <c r="D150" s="2">
        <v>45456</v>
      </c>
      <c r="E150" s="1">
        <v>32739.14</v>
      </c>
      <c r="F150" s="1">
        <v>0</v>
      </c>
      <c r="G150" s="1">
        <v>26859.31</v>
      </c>
      <c r="H150" t="s">
        <v>217</v>
      </c>
    </row>
    <row r="151" spans="1:8" x14ac:dyDescent="0.3">
      <c r="A151" s="2">
        <v>45457</v>
      </c>
      <c r="B151" t="s">
        <v>30</v>
      </c>
      <c r="C151" t="s">
        <v>182</v>
      </c>
      <c r="D151" s="2">
        <v>45457</v>
      </c>
      <c r="E151" s="1">
        <v>80.900000000000006</v>
      </c>
      <c r="F151" s="1">
        <v>0</v>
      </c>
      <c r="G151" s="1">
        <v>26778.41</v>
      </c>
      <c r="H151" t="s">
        <v>217</v>
      </c>
    </row>
    <row r="152" spans="1:8" x14ac:dyDescent="0.3">
      <c r="A152" s="2">
        <v>45457</v>
      </c>
      <c r="B152" t="s">
        <v>183</v>
      </c>
      <c r="C152" t="s">
        <v>184</v>
      </c>
      <c r="D152" s="2">
        <v>45457</v>
      </c>
      <c r="E152" s="1">
        <v>2.84</v>
      </c>
      <c r="F152" s="1">
        <v>0</v>
      </c>
      <c r="G152" s="1">
        <v>26775.57</v>
      </c>
      <c r="H152" t="s">
        <v>221</v>
      </c>
    </row>
    <row r="153" spans="1:8" x14ac:dyDescent="0.3">
      <c r="A153" s="2">
        <v>45461</v>
      </c>
      <c r="B153" t="s">
        <v>34</v>
      </c>
      <c r="C153" t="s">
        <v>185</v>
      </c>
      <c r="D153" s="2">
        <v>45461</v>
      </c>
      <c r="E153" s="1">
        <v>0</v>
      </c>
      <c r="F153" s="1">
        <v>164.71</v>
      </c>
      <c r="G153" s="1">
        <v>26940.28</v>
      </c>
      <c r="H153" t="s">
        <v>217</v>
      </c>
    </row>
    <row r="154" spans="1:8" x14ac:dyDescent="0.3">
      <c r="A154" s="2">
        <v>45461</v>
      </c>
      <c r="B154" t="s">
        <v>186</v>
      </c>
      <c r="C154" t="s">
        <v>46</v>
      </c>
      <c r="D154" s="2">
        <v>45461</v>
      </c>
      <c r="E154" s="1">
        <v>342.2</v>
      </c>
      <c r="F154" s="1">
        <v>0</v>
      </c>
      <c r="G154" s="1">
        <v>26598.080000000002</v>
      </c>
      <c r="H154" t="s">
        <v>220</v>
      </c>
    </row>
    <row r="155" spans="1:8" x14ac:dyDescent="0.3">
      <c r="A155" s="2">
        <v>45461</v>
      </c>
      <c r="B155" t="s">
        <v>30</v>
      </c>
      <c r="C155" t="s">
        <v>187</v>
      </c>
      <c r="D155" s="2">
        <v>45461</v>
      </c>
      <c r="E155" s="1">
        <v>323.60000000000002</v>
      </c>
      <c r="F155" s="1">
        <v>0</v>
      </c>
      <c r="G155" s="1">
        <v>26274.48</v>
      </c>
      <c r="H155" t="s">
        <v>217</v>
      </c>
    </row>
    <row r="156" spans="1:8" x14ac:dyDescent="0.3">
      <c r="A156" s="2">
        <v>45462</v>
      </c>
      <c r="B156" t="s">
        <v>34</v>
      </c>
      <c r="C156" t="s">
        <v>188</v>
      </c>
      <c r="D156" s="2">
        <v>45462</v>
      </c>
      <c r="E156" s="1">
        <v>0</v>
      </c>
      <c r="F156" s="1">
        <v>1049.5</v>
      </c>
      <c r="G156" s="1">
        <v>27323.98</v>
      </c>
      <c r="H156" t="s">
        <v>217</v>
      </c>
    </row>
    <row r="157" spans="1:8" x14ac:dyDescent="0.3">
      <c r="A157" s="2">
        <v>45462</v>
      </c>
      <c r="B157" t="s">
        <v>34</v>
      </c>
      <c r="C157" t="s">
        <v>189</v>
      </c>
      <c r="D157" s="2">
        <v>45462</v>
      </c>
      <c r="E157" s="1">
        <v>0</v>
      </c>
      <c r="F157" s="1">
        <v>25889.17</v>
      </c>
      <c r="G157" s="1">
        <v>53213.15</v>
      </c>
      <c r="H157" t="s">
        <v>217</v>
      </c>
    </row>
    <row r="158" spans="1:8" x14ac:dyDescent="0.3">
      <c r="A158" s="2">
        <v>45462</v>
      </c>
      <c r="B158" t="s">
        <v>30</v>
      </c>
      <c r="C158" t="s">
        <v>190</v>
      </c>
      <c r="D158" s="2">
        <v>45462</v>
      </c>
      <c r="E158" s="1">
        <v>80.959999999999994</v>
      </c>
      <c r="F158" s="1">
        <v>0</v>
      </c>
      <c r="G158" s="1">
        <v>53132.19</v>
      </c>
      <c r="H158" t="s">
        <v>217</v>
      </c>
    </row>
    <row r="159" spans="1:8" x14ac:dyDescent="0.3">
      <c r="A159" s="2">
        <v>45463</v>
      </c>
      <c r="B159" t="s">
        <v>34</v>
      </c>
      <c r="C159" t="s">
        <v>191</v>
      </c>
      <c r="D159" s="2">
        <v>45463</v>
      </c>
      <c r="E159" s="1">
        <v>0</v>
      </c>
      <c r="F159" s="1">
        <v>571.07000000000005</v>
      </c>
      <c r="G159" s="1">
        <v>53703.26</v>
      </c>
      <c r="H159" t="s">
        <v>217</v>
      </c>
    </row>
    <row r="160" spans="1:8" x14ac:dyDescent="0.3">
      <c r="A160" s="2">
        <v>45463</v>
      </c>
      <c r="B160" t="s">
        <v>30</v>
      </c>
      <c r="C160" t="s">
        <v>192</v>
      </c>
      <c r="D160" s="2">
        <v>45463</v>
      </c>
      <c r="E160" s="1">
        <v>81.33</v>
      </c>
      <c r="F160" s="1">
        <v>0</v>
      </c>
      <c r="G160" s="1">
        <v>53621.93</v>
      </c>
      <c r="H160" t="s">
        <v>217</v>
      </c>
    </row>
    <row r="161" spans="1:8" x14ac:dyDescent="0.3">
      <c r="A161" s="2">
        <v>45463</v>
      </c>
      <c r="B161" t="s">
        <v>193</v>
      </c>
      <c r="C161" t="s">
        <v>194</v>
      </c>
      <c r="D161" s="2">
        <v>45463</v>
      </c>
      <c r="E161" s="1">
        <v>2.36</v>
      </c>
      <c r="F161" s="1">
        <v>0</v>
      </c>
      <c r="G161" s="1">
        <v>53619.57</v>
      </c>
      <c r="H161" t="s">
        <v>221</v>
      </c>
    </row>
    <row r="162" spans="1:8" x14ac:dyDescent="0.3">
      <c r="A162" s="2">
        <v>45463</v>
      </c>
      <c r="B162" t="s">
        <v>30</v>
      </c>
      <c r="C162" t="s">
        <v>195</v>
      </c>
      <c r="D162" s="2">
        <v>45463</v>
      </c>
      <c r="E162" s="1">
        <v>274.02999999999997</v>
      </c>
      <c r="F162" s="1">
        <v>0</v>
      </c>
      <c r="G162" s="1">
        <v>53345.54</v>
      </c>
      <c r="H162" t="s">
        <v>217</v>
      </c>
    </row>
    <row r="163" spans="1:8" x14ac:dyDescent="0.3">
      <c r="A163" s="2">
        <v>45464</v>
      </c>
      <c r="B163" t="s">
        <v>30</v>
      </c>
      <c r="C163" t="s">
        <v>196</v>
      </c>
      <c r="D163" s="2">
        <v>45464</v>
      </c>
      <c r="E163" s="1">
        <v>81.44</v>
      </c>
      <c r="F163" s="1">
        <v>0</v>
      </c>
      <c r="G163" s="1">
        <v>53264.1</v>
      </c>
      <c r="H163" t="s">
        <v>217</v>
      </c>
    </row>
    <row r="164" spans="1:8" x14ac:dyDescent="0.3">
      <c r="A164" s="2">
        <v>45467</v>
      </c>
      <c r="B164" t="s">
        <v>34</v>
      </c>
      <c r="C164" t="s">
        <v>197</v>
      </c>
      <c r="D164" s="2">
        <v>45467</v>
      </c>
      <c r="E164" s="1">
        <v>0</v>
      </c>
      <c r="F164" s="1">
        <v>242.1</v>
      </c>
      <c r="G164" s="1">
        <v>53506.2</v>
      </c>
      <c r="H164" t="s">
        <v>217</v>
      </c>
    </row>
    <row r="165" spans="1:8" x14ac:dyDescent="0.3">
      <c r="A165" s="2">
        <v>45467</v>
      </c>
      <c r="B165" t="s">
        <v>30</v>
      </c>
      <c r="C165" t="s">
        <v>198</v>
      </c>
      <c r="D165" s="2">
        <v>45467</v>
      </c>
      <c r="E165" s="1">
        <v>244.32</v>
      </c>
      <c r="F165" s="1">
        <v>0</v>
      </c>
      <c r="G165" s="1">
        <v>53261.88</v>
      </c>
      <c r="H165" t="s">
        <v>217</v>
      </c>
    </row>
    <row r="166" spans="1:8" x14ac:dyDescent="0.3">
      <c r="A166" s="2">
        <v>45467</v>
      </c>
      <c r="B166" t="s">
        <v>30</v>
      </c>
      <c r="C166" t="s">
        <v>199</v>
      </c>
      <c r="D166" s="2">
        <v>45467</v>
      </c>
      <c r="E166" s="1">
        <v>1211.01</v>
      </c>
      <c r="F166" s="1">
        <v>0</v>
      </c>
      <c r="G166" s="1">
        <v>52050.87</v>
      </c>
      <c r="H166" t="s">
        <v>217</v>
      </c>
    </row>
    <row r="167" spans="1:8" x14ac:dyDescent="0.3">
      <c r="A167" s="2">
        <v>45468</v>
      </c>
      <c r="B167" t="s">
        <v>30</v>
      </c>
      <c r="C167" t="s">
        <v>200</v>
      </c>
      <c r="D167" s="2">
        <v>45468</v>
      </c>
      <c r="E167" s="1">
        <v>81.09</v>
      </c>
      <c r="F167" s="1">
        <v>0</v>
      </c>
      <c r="G167" s="1">
        <v>51969.78</v>
      </c>
      <c r="H167" t="s">
        <v>217</v>
      </c>
    </row>
    <row r="168" spans="1:8" x14ac:dyDescent="0.3">
      <c r="A168" s="2">
        <v>45469</v>
      </c>
      <c r="B168" t="s">
        <v>34</v>
      </c>
      <c r="C168" t="s">
        <v>201</v>
      </c>
      <c r="D168" s="2">
        <v>45469</v>
      </c>
      <c r="E168" s="1">
        <v>0</v>
      </c>
      <c r="F168" s="1">
        <v>1667.68</v>
      </c>
      <c r="G168" s="1">
        <v>53637.46</v>
      </c>
      <c r="H168" t="s">
        <v>217</v>
      </c>
    </row>
    <row r="169" spans="1:8" x14ac:dyDescent="0.3">
      <c r="A169" s="2">
        <v>45469</v>
      </c>
      <c r="B169" t="s">
        <v>34</v>
      </c>
      <c r="C169" t="s">
        <v>202</v>
      </c>
      <c r="D169" s="2">
        <v>45469</v>
      </c>
      <c r="E169" s="1">
        <v>0</v>
      </c>
      <c r="F169" s="1">
        <v>21600.85</v>
      </c>
      <c r="G169" s="1">
        <v>75238.31</v>
      </c>
      <c r="H169" t="s">
        <v>217</v>
      </c>
    </row>
    <row r="170" spans="1:8" x14ac:dyDescent="0.3">
      <c r="A170" s="2">
        <v>45469</v>
      </c>
      <c r="B170" t="s">
        <v>203</v>
      </c>
      <c r="C170" t="s">
        <v>204</v>
      </c>
      <c r="D170" s="2">
        <v>45469</v>
      </c>
      <c r="E170" s="1">
        <v>0</v>
      </c>
      <c r="F170" s="1">
        <v>160</v>
      </c>
      <c r="G170" s="1">
        <v>75398.31</v>
      </c>
      <c r="H170" t="s">
        <v>218</v>
      </c>
    </row>
    <row r="171" spans="1:8" x14ac:dyDescent="0.3">
      <c r="A171" s="2">
        <v>45469</v>
      </c>
      <c r="B171" t="s">
        <v>30</v>
      </c>
      <c r="C171" t="s">
        <v>205</v>
      </c>
      <c r="D171" s="2">
        <v>45469</v>
      </c>
      <c r="E171" s="1">
        <v>81.09</v>
      </c>
      <c r="F171" s="1">
        <v>0</v>
      </c>
      <c r="G171" s="1">
        <v>75317.22</v>
      </c>
      <c r="H171" t="s">
        <v>217</v>
      </c>
    </row>
    <row r="172" spans="1:8" x14ac:dyDescent="0.3">
      <c r="A172" s="2">
        <v>45469</v>
      </c>
      <c r="B172" t="s">
        <v>30</v>
      </c>
      <c r="C172" t="s">
        <v>206</v>
      </c>
      <c r="D172" s="2">
        <v>45469</v>
      </c>
      <c r="E172" s="1">
        <v>31.18</v>
      </c>
      <c r="F172" s="1">
        <v>0</v>
      </c>
      <c r="G172" s="1">
        <v>75286.039999999994</v>
      </c>
      <c r="H172" t="s">
        <v>217</v>
      </c>
    </row>
    <row r="173" spans="1:8" x14ac:dyDescent="0.3">
      <c r="A173" s="2">
        <v>45470</v>
      </c>
      <c r="B173" t="s">
        <v>34</v>
      </c>
      <c r="C173" t="s">
        <v>207</v>
      </c>
      <c r="D173" s="2">
        <v>45470</v>
      </c>
      <c r="E173" s="1">
        <v>0</v>
      </c>
      <c r="F173" s="1">
        <v>36739.339999999997</v>
      </c>
      <c r="G173" s="1">
        <v>112025.38</v>
      </c>
      <c r="H173" t="s">
        <v>217</v>
      </c>
    </row>
    <row r="174" spans="1:8" x14ac:dyDescent="0.3">
      <c r="A174" s="2">
        <v>45470</v>
      </c>
      <c r="B174" t="s">
        <v>30</v>
      </c>
      <c r="C174" t="s">
        <v>208</v>
      </c>
      <c r="D174" s="2">
        <v>45470</v>
      </c>
      <c r="E174" s="1">
        <v>81.67</v>
      </c>
      <c r="F174" s="1">
        <v>0</v>
      </c>
      <c r="G174" s="1">
        <v>111943.71</v>
      </c>
      <c r="H174" t="s">
        <v>217</v>
      </c>
    </row>
    <row r="175" spans="1:8" x14ac:dyDescent="0.3">
      <c r="A175" s="2">
        <v>45470</v>
      </c>
      <c r="B175" t="s">
        <v>30</v>
      </c>
      <c r="C175" t="s">
        <v>209</v>
      </c>
      <c r="D175" s="2">
        <v>45470</v>
      </c>
      <c r="E175" s="1">
        <v>869.16</v>
      </c>
      <c r="F175" s="1">
        <v>0</v>
      </c>
      <c r="G175" s="1">
        <v>111074.55</v>
      </c>
      <c r="H175" t="s">
        <v>217</v>
      </c>
    </row>
    <row r="176" spans="1:8" x14ac:dyDescent="0.3">
      <c r="A176" s="2">
        <v>45471</v>
      </c>
      <c r="B176" t="s">
        <v>210</v>
      </c>
      <c r="C176" t="s">
        <v>211</v>
      </c>
      <c r="D176" s="2">
        <v>45471</v>
      </c>
      <c r="E176" s="1">
        <v>5000</v>
      </c>
      <c r="F176" s="1">
        <v>0</v>
      </c>
      <c r="G176" s="1">
        <v>106074.55</v>
      </c>
      <c r="H176" t="s">
        <v>219</v>
      </c>
    </row>
    <row r="177" spans="1:8" x14ac:dyDescent="0.3">
      <c r="A177" s="2">
        <v>45471</v>
      </c>
      <c r="B177" t="s">
        <v>212</v>
      </c>
      <c r="C177" t="s">
        <v>213</v>
      </c>
      <c r="D177" s="2">
        <v>45471</v>
      </c>
      <c r="E177" s="1">
        <v>0</v>
      </c>
      <c r="F177" s="1">
        <v>1800</v>
      </c>
      <c r="G177" s="1">
        <v>107874.55</v>
      </c>
      <c r="H177" t="s">
        <v>218</v>
      </c>
    </row>
    <row r="178" spans="1:8" x14ac:dyDescent="0.3">
      <c r="A178" s="2">
        <v>45471</v>
      </c>
      <c r="B178" t="s">
        <v>30</v>
      </c>
      <c r="C178" t="s">
        <v>214</v>
      </c>
      <c r="D178" s="2">
        <v>45471</v>
      </c>
      <c r="E178" s="1">
        <v>81.36</v>
      </c>
      <c r="F178" s="1">
        <v>0</v>
      </c>
      <c r="G178" s="1">
        <v>107793.19</v>
      </c>
      <c r="H178" t="s">
        <v>217</v>
      </c>
    </row>
    <row r="179" spans="1:8" x14ac:dyDescent="0.3">
      <c r="A179" s="2">
        <v>45471</v>
      </c>
      <c r="B179" t="s">
        <v>30</v>
      </c>
      <c r="C179" t="s">
        <v>215</v>
      </c>
      <c r="D179" s="2">
        <v>45471</v>
      </c>
      <c r="E179" s="1">
        <v>411.64</v>
      </c>
      <c r="F179" s="1">
        <v>0</v>
      </c>
      <c r="G179" s="1">
        <v>107381.55</v>
      </c>
      <c r="H179" t="s">
        <v>217</v>
      </c>
    </row>
    <row r="180" spans="1:8" x14ac:dyDescent="0.3">
      <c r="A180" s="2">
        <v>45474</v>
      </c>
      <c r="B180" t="s">
        <v>216</v>
      </c>
      <c r="C180" t="s">
        <v>46</v>
      </c>
      <c r="D180" s="2">
        <v>45473</v>
      </c>
      <c r="E180" s="1">
        <v>0</v>
      </c>
      <c r="F180" s="1">
        <v>389</v>
      </c>
      <c r="G180" s="1">
        <v>107770.55</v>
      </c>
      <c r="H180" t="s">
        <v>227</v>
      </c>
    </row>
    <row r="181" spans="1:8" x14ac:dyDescent="0.3">
      <c r="A181" s="78">
        <v>45474</v>
      </c>
      <c r="B181" s="77" t="s">
        <v>809</v>
      </c>
      <c r="C181" s="77" t="s">
        <v>810</v>
      </c>
      <c r="D181" s="78">
        <v>45474</v>
      </c>
      <c r="E181" s="1">
        <v>5000</v>
      </c>
      <c r="F181" s="1">
        <v>0</v>
      </c>
      <c r="G181" s="1">
        <v>102770.55</v>
      </c>
      <c r="H181" t="s">
        <v>219</v>
      </c>
    </row>
    <row r="182" spans="1:8" x14ac:dyDescent="0.3">
      <c r="A182" s="78">
        <v>45474</v>
      </c>
      <c r="B182" s="77" t="s">
        <v>30</v>
      </c>
      <c r="C182" s="77" t="s">
        <v>811</v>
      </c>
      <c r="D182" s="78">
        <v>45474</v>
      </c>
      <c r="E182" s="1">
        <v>243.66</v>
      </c>
      <c r="F182" s="1">
        <v>0</v>
      </c>
      <c r="G182" s="1">
        <v>102526.89</v>
      </c>
      <c r="H182" t="s">
        <v>217</v>
      </c>
    </row>
    <row r="183" spans="1:8" x14ac:dyDescent="0.3">
      <c r="A183" s="78">
        <v>45474</v>
      </c>
      <c r="B183" s="77" t="s">
        <v>812</v>
      </c>
      <c r="C183" s="77" t="s">
        <v>813</v>
      </c>
      <c r="D183" s="78">
        <v>45474</v>
      </c>
      <c r="E183" s="1">
        <v>0</v>
      </c>
      <c r="F183" s="1">
        <v>700</v>
      </c>
      <c r="G183" s="1">
        <v>103226.89</v>
      </c>
      <c r="H183" t="s">
        <v>218</v>
      </c>
    </row>
    <row r="184" spans="1:8" x14ac:dyDescent="0.3">
      <c r="A184" s="78">
        <v>45474</v>
      </c>
      <c r="B184" s="77" t="s">
        <v>814</v>
      </c>
      <c r="C184" s="77" t="s">
        <v>815</v>
      </c>
      <c r="D184" s="78">
        <v>45474</v>
      </c>
      <c r="E184" s="1">
        <v>2000</v>
      </c>
      <c r="F184" s="1">
        <v>0</v>
      </c>
      <c r="G184" s="1">
        <v>101226.89</v>
      </c>
      <c r="H184" t="s">
        <v>223</v>
      </c>
    </row>
    <row r="185" spans="1:8" x14ac:dyDescent="0.3">
      <c r="A185" s="78">
        <v>45475</v>
      </c>
      <c r="B185" s="77" t="s">
        <v>34</v>
      </c>
      <c r="C185" s="77" t="s">
        <v>816</v>
      </c>
      <c r="D185" s="78">
        <v>45475</v>
      </c>
      <c r="E185" s="1">
        <v>0</v>
      </c>
      <c r="F185" s="1">
        <v>1282.1500000000001</v>
      </c>
      <c r="G185" s="1">
        <v>102509.04</v>
      </c>
      <c r="H185" t="s">
        <v>217</v>
      </c>
    </row>
    <row r="186" spans="1:8" x14ac:dyDescent="0.3">
      <c r="A186" s="78">
        <v>45475</v>
      </c>
      <c r="B186" s="77" t="s">
        <v>30</v>
      </c>
      <c r="C186" s="77" t="s">
        <v>817</v>
      </c>
      <c r="D186" s="78">
        <v>45475</v>
      </c>
      <c r="E186" s="1">
        <v>81.22</v>
      </c>
      <c r="F186" s="1">
        <v>0</v>
      </c>
      <c r="G186" s="1">
        <v>102427.82</v>
      </c>
      <c r="H186" t="s">
        <v>217</v>
      </c>
    </row>
    <row r="187" spans="1:8" x14ac:dyDescent="0.3">
      <c r="A187" s="78">
        <v>45475</v>
      </c>
      <c r="B187" s="77" t="s">
        <v>818</v>
      </c>
      <c r="C187" s="77" t="s">
        <v>819</v>
      </c>
      <c r="D187" s="78">
        <v>45475</v>
      </c>
      <c r="E187" s="1">
        <v>0</v>
      </c>
      <c r="F187" s="1">
        <v>1400</v>
      </c>
      <c r="G187" s="1">
        <v>103827.82</v>
      </c>
      <c r="H187" t="s">
        <v>218</v>
      </c>
    </row>
    <row r="188" spans="1:8" x14ac:dyDescent="0.3">
      <c r="A188" s="78">
        <v>45475</v>
      </c>
      <c r="B188" s="77" t="s">
        <v>30</v>
      </c>
      <c r="C188" s="77" t="s">
        <v>820</v>
      </c>
      <c r="D188" s="78">
        <v>45475</v>
      </c>
      <c r="E188" s="1">
        <v>560.69000000000005</v>
      </c>
      <c r="F188" s="1">
        <v>0</v>
      </c>
      <c r="G188" s="1">
        <v>103267.13</v>
      </c>
      <c r="H188" t="s">
        <v>217</v>
      </c>
    </row>
    <row r="189" spans="1:8" x14ac:dyDescent="0.3">
      <c r="A189" s="78">
        <v>45476</v>
      </c>
      <c r="B189" s="77" t="s">
        <v>30</v>
      </c>
      <c r="C189" s="77" t="s">
        <v>821</v>
      </c>
      <c r="D189" s="78">
        <v>45476</v>
      </c>
      <c r="E189" s="1">
        <v>81.48</v>
      </c>
      <c r="F189" s="1">
        <v>0</v>
      </c>
      <c r="G189" s="1">
        <v>103185.65</v>
      </c>
      <c r="H189" t="s">
        <v>217</v>
      </c>
    </row>
    <row r="190" spans="1:8" x14ac:dyDescent="0.3">
      <c r="A190" s="78">
        <v>45477</v>
      </c>
      <c r="B190" s="77" t="s">
        <v>34</v>
      </c>
      <c r="C190" s="77" t="s">
        <v>822</v>
      </c>
      <c r="D190" s="78">
        <v>45477</v>
      </c>
      <c r="E190" s="1">
        <v>0</v>
      </c>
      <c r="F190" s="1">
        <v>805.1</v>
      </c>
      <c r="G190" s="1">
        <v>103990.75</v>
      </c>
      <c r="H190" t="s">
        <v>217</v>
      </c>
    </row>
    <row r="191" spans="1:8" x14ac:dyDescent="0.3">
      <c r="A191" s="78">
        <v>45477</v>
      </c>
      <c r="B191" s="77" t="s">
        <v>30</v>
      </c>
      <c r="C191" s="77" t="s">
        <v>823</v>
      </c>
      <c r="D191" s="78">
        <v>45477</v>
      </c>
      <c r="E191" s="1">
        <v>81.48</v>
      </c>
      <c r="F191" s="1">
        <v>0</v>
      </c>
      <c r="G191" s="1">
        <v>103909.27</v>
      </c>
      <c r="H191" t="s">
        <v>217</v>
      </c>
    </row>
    <row r="192" spans="1:8" x14ac:dyDescent="0.3">
      <c r="A192" s="78">
        <v>45477</v>
      </c>
      <c r="B192" s="77" t="s">
        <v>824</v>
      </c>
      <c r="C192" s="77" t="s">
        <v>825</v>
      </c>
      <c r="D192" s="78">
        <v>45477</v>
      </c>
      <c r="E192" s="1">
        <v>0</v>
      </c>
      <c r="F192" s="1">
        <v>107.1</v>
      </c>
      <c r="G192" s="1">
        <v>104016.37</v>
      </c>
      <c r="H192" t="s">
        <v>218</v>
      </c>
    </row>
    <row r="193" spans="1:8" x14ac:dyDescent="0.3">
      <c r="A193" s="78">
        <v>45477</v>
      </c>
      <c r="B193" s="77" t="s">
        <v>30</v>
      </c>
      <c r="C193" s="77" t="s">
        <v>826</v>
      </c>
      <c r="D193" s="78">
        <v>45477</v>
      </c>
      <c r="E193" s="1">
        <v>6954.22</v>
      </c>
      <c r="F193" s="1">
        <v>0</v>
      </c>
      <c r="G193" s="1">
        <v>97062.15</v>
      </c>
      <c r="H193" t="s">
        <v>217</v>
      </c>
    </row>
    <row r="194" spans="1:8" x14ac:dyDescent="0.3">
      <c r="A194" s="78">
        <v>45478</v>
      </c>
      <c r="B194" s="77" t="s">
        <v>30</v>
      </c>
      <c r="C194" s="77" t="s">
        <v>827</v>
      </c>
      <c r="D194" s="78">
        <v>45478</v>
      </c>
      <c r="E194" s="1">
        <v>79.290000000000006</v>
      </c>
      <c r="F194" s="1">
        <v>0</v>
      </c>
      <c r="G194" s="1">
        <v>96982.86</v>
      </c>
      <c r="H194" t="s">
        <v>217</v>
      </c>
    </row>
    <row r="195" spans="1:8" x14ac:dyDescent="0.3">
      <c r="A195" s="78">
        <v>45478</v>
      </c>
      <c r="B195" s="77" t="s">
        <v>30</v>
      </c>
      <c r="C195" s="77" t="s">
        <v>828</v>
      </c>
      <c r="D195" s="78">
        <v>45478</v>
      </c>
      <c r="E195" s="1">
        <v>610.30999999999995</v>
      </c>
      <c r="F195" s="1">
        <v>0</v>
      </c>
      <c r="G195" s="1">
        <v>96372.55</v>
      </c>
      <c r="H195" t="s">
        <v>217</v>
      </c>
    </row>
    <row r="196" spans="1:8" x14ac:dyDescent="0.3">
      <c r="A196" s="78">
        <v>45479</v>
      </c>
      <c r="B196" s="77" t="s">
        <v>829</v>
      </c>
      <c r="C196" s="77" t="s">
        <v>830</v>
      </c>
      <c r="D196" s="78">
        <v>45479</v>
      </c>
      <c r="E196" s="1">
        <v>50000</v>
      </c>
      <c r="F196" s="1">
        <v>0</v>
      </c>
      <c r="G196" s="1">
        <v>46372.55</v>
      </c>
      <c r="H196" t="s">
        <v>2525</v>
      </c>
    </row>
    <row r="197" spans="1:8" x14ac:dyDescent="0.3">
      <c r="A197" s="78">
        <v>45481</v>
      </c>
      <c r="B197" s="77" t="s">
        <v>30</v>
      </c>
      <c r="C197" s="77" t="s">
        <v>831</v>
      </c>
      <c r="D197" s="78">
        <v>45481</v>
      </c>
      <c r="E197" s="1">
        <v>256.52999999999997</v>
      </c>
      <c r="F197" s="1">
        <v>0</v>
      </c>
      <c r="G197" s="1">
        <v>46116.02</v>
      </c>
      <c r="H197" t="s">
        <v>217</v>
      </c>
    </row>
    <row r="198" spans="1:8" x14ac:dyDescent="0.3">
      <c r="A198" s="78">
        <v>45481</v>
      </c>
      <c r="B198" s="77" t="s">
        <v>832</v>
      </c>
      <c r="C198" s="77" t="s">
        <v>833</v>
      </c>
      <c r="D198" s="78">
        <v>45481</v>
      </c>
      <c r="E198" s="1">
        <v>0</v>
      </c>
      <c r="F198" s="1">
        <v>1880</v>
      </c>
      <c r="G198" s="1">
        <v>47996.02</v>
      </c>
      <c r="H198" t="s">
        <v>2524</v>
      </c>
    </row>
    <row r="199" spans="1:8" x14ac:dyDescent="0.3">
      <c r="A199" s="78">
        <v>45482</v>
      </c>
      <c r="B199" s="77" t="s">
        <v>34</v>
      </c>
      <c r="C199" s="77" t="s">
        <v>834</v>
      </c>
      <c r="D199" s="78">
        <v>45482</v>
      </c>
      <c r="E199" s="1">
        <v>0</v>
      </c>
      <c r="F199" s="1">
        <v>1053.8399999999999</v>
      </c>
      <c r="G199" s="1">
        <v>49049.86</v>
      </c>
      <c r="H199" t="s">
        <v>217</v>
      </c>
    </row>
    <row r="200" spans="1:8" x14ac:dyDescent="0.3">
      <c r="A200" s="78">
        <v>45482</v>
      </c>
      <c r="B200" s="77" t="s">
        <v>30</v>
      </c>
      <c r="C200" s="77" t="s">
        <v>835</v>
      </c>
      <c r="D200" s="78">
        <v>45482</v>
      </c>
      <c r="E200" s="1">
        <v>85.51</v>
      </c>
      <c r="F200" s="1">
        <v>0</v>
      </c>
      <c r="G200" s="1">
        <v>48964.35</v>
      </c>
      <c r="H200" t="s">
        <v>217</v>
      </c>
    </row>
    <row r="201" spans="1:8" x14ac:dyDescent="0.3">
      <c r="A201" s="78">
        <v>45483</v>
      </c>
      <c r="B201" s="77" t="s">
        <v>34</v>
      </c>
      <c r="C201" s="77" t="s">
        <v>836</v>
      </c>
      <c r="D201" s="78">
        <v>45483</v>
      </c>
      <c r="E201" s="1">
        <v>0</v>
      </c>
      <c r="F201" s="1">
        <v>122418.47</v>
      </c>
      <c r="G201" s="1">
        <v>171382.82</v>
      </c>
      <c r="H201" t="s">
        <v>217</v>
      </c>
    </row>
    <row r="202" spans="1:8" x14ac:dyDescent="0.3">
      <c r="A202" s="78">
        <v>45483</v>
      </c>
      <c r="B202" s="77" t="s">
        <v>30</v>
      </c>
      <c r="C202" s="77" t="s">
        <v>837</v>
      </c>
      <c r="D202" s="78">
        <v>45483</v>
      </c>
      <c r="E202" s="1">
        <v>85.88</v>
      </c>
      <c r="F202" s="1">
        <v>0</v>
      </c>
      <c r="G202" s="1">
        <v>171296.94</v>
      </c>
      <c r="H202" t="s">
        <v>217</v>
      </c>
    </row>
    <row r="203" spans="1:8" x14ac:dyDescent="0.3">
      <c r="A203" s="78">
        <v>45484</v>
      </c>
      <c r="B203" s="77" t="s">
        <v>30</v>
      </c>
      <c r="C203" s="77" t="s">
        <v>838</v>
      </c>
      <c r="D203" s="78">
        <v>45484</v>
      </c>
      <c r="E203" s="1">
        <v>129.47999999999999</v>
      </c>
      <c r="F203" s="1">
        <v>0</v>
      </c>
      <c r="G203" s="1">
        <v>171167.46</v>
      </c>
      <c r="H203" t="s">
        <v>217</v>
      </c>
    </row>
    <row r="204" spans="1:8" x14ac:dyDescent="0.3">
      <c r="A204" s="78">
        <v>45485</v>
      </c>
      <c r="B204" s="77" t="s">
        <v>30</v>
      </c>
      <c r="C204" s="77" t="s">
        <v>839</v>
      </c>
      <c r="D204" s="78">
        <v>45485</v>
      </c>
      <c r="E204" s="1">
        <v>139.38</v>
      </c>
      <c r="F204" s="1">
        <v>0</v>
      </c>
      <c r="G204" s="1">
        <v>171028.08</v>
      </c>
      <c r="H204" t="s">
        <v>217</v>
      </c>
    </row>
    <row r="205" spans="1:8" x14ac:dyDescent="0.3">
      <c r="A205" s="78">
        <v>45488</v>
      </c>
      <c r="B205" s="77" t="s">
        <v>30</v>
      </c>
      <c r="C205" s="77" t="s">
        <v>840</v>
      </c>
      <c r="D205" s="78">
        <v>45488</v>
      </c>
      <c r="E205" s="1">
        <v>418.14</v>
      </c>
      <c r="F205" s="1">
        <v>0</v>
      </c>
      <c r="G205" s="1">
        <v>170609.94</v>
      </c>
      <c r="H205" t="s">
        <v>217</v>
      </c>
    </row>
    <row r="206" spans="1:8" x14ac:dyDescent="0.3">
      <c r="A206" s="78">
        <v>45489</v>
      </c>
      <c r="B206" s="77" t="s">
        <v>34</v>
      </c>
      <c r="C206" s="77" t="s">
        <v>841</v>
      </c>
      <c r="D206" s="78">
        <v>45489</v>
      </c>
      <c r="E206" s="1">
        <v>0</v>
      </c>
      <c r="F206" s="1">
        <v>21897.09</v>
      </c>
      <c r="G206" s="1">
        <v>192507.03</v>
      </c>
      <c r="H206" t="s">
        <v>217</v>
      </c>
    </row>
    <row r="207" spans="1:8" x14ac:dyDescent="0.3">
      <c r="A207" s="78">
        <v>45489</v>
      </c>
      <c r="B207" s="77" t="s">
        <v>842</v>
      </c>
      <c r="C207" s="77" t="s">
        <v>46</v>
      </c>
      <c r="D207" s="78">
        <v>45489</v>
      </c>
      <c r="E207" s="1">
        <v>306.8</v>
      </c>
      <c r="F207" s="1">
        <v>0</v>
      </c>
      <c r="G207" s="1">
        <v>192200.23</v>
      </c>
      <c r="H207" t="s">
        <v>220</v>
      </c>
    </row>
    <row r="208" spans="1:8" x14ac:dyDescent="0.3">
      <c r="A208" s="78">
        <v>45489</v>
      </c>
      <c r="B208" s="77" t="s">
        <v>30</v>
      </c>
      <c r="C208" s="77" t="s">
        <v>843</v>
      </c>
      <c r="D208" s="78">
        <v>45489</v>
      </c>
      <c r="E208" s="1">
        <v>139.38</v>
      </c>
      <c r="F208" s="1">
        <v>0</v>
      </c>
      <c r="G208" s="1">
        <v>192060.85</v>
      </c>
      <c r="H208" t="s">
        <v>217</v>
      </c>
    </row>
    <row r="209" spans="1:8" x14ac:dyDescent="0.3">
      <c r="A209" s="78">
        <v>45489</v>
      </c>
      <c r="B209" s="77" t="s">
        <v>844</v>
      </c>
      <c r="C209" s="77" t="s">
        <v>845</v>
      </c>
      <c r="D209" s="78">
        <v>45489</v>
      </c>
      <c r="E209" s="1">
        <v>0</v>
      </c>
      <c r="F209" s="1">
        <v>390</v>
      </c>
      <c r="G209" s="1">
        <v>192450.85</v>
      </c>
      <c r="H209" t="s">
        <v>218</v>
      </c>
    </row>
    <row r="210" spans="1:8" x14ac:dyDescent="0.3">
      <c r="A210" s="78">
        <v>45491</v>
      </c>
      <c r="B210" s="77" t="s">
        <v>846</v>
      </c>
      <c r="C210" s="77" t="s">
        <v>847</v>
      </c>
      <c r="D210" s="78">
        <v>45491</v>
      </c>
      <c r="E210" s="1">
        <v>2.12</v>
      </c>
      <c r="F210" s="1">
        <v>0</v>
      </c>
      <c r="G210" s="1">
        <v>192448.73</v>
      </c>
      <c r="H210" t="s">
        <v>221</v>
      </c>
    </row>
    <row r="211" spans="1:8" x14ac:dyDescent="0.3">
      <c r="A211" s="78">
        <v>45491</v>
      </c>
      <c r="B211" s="77" t="s">
        <v>30</v>
      </c>
      <c r="C211" s="77" t="s">
        <v>848</v>
      </c>
      <c r="D211" s="78">
        <v>45491</v>
      </c>
      <c r="E211" s="1">
        <v>278.76</v>
      </c>
      <c r="F211" s="1">
        <v>0</v>
      </c>
      <c r="G211" s="1">
        <v>192169.97</v>
      </c>
      <c r="H211" t="s">
        <v>217</v>
      </c>
    </row>
    <row r="212" spans="1:8" x14ac:dyDescent="0.3">
      <c r="A212" s="78">
        <v>45492</v>
      </c>
      <c r="B212" s="77" t="s">
        <v>30</v>
      </c>
      <c r="C212" s="77" t="s">
        <v>849</v>
      </c>
      <c r="D212" s="78">
        <v>45492</v>
      </c>
      <c r="E212" s="1">
        <v>139.38</v>
      </c>
      <c r="F212" s="1">
        <v>0</v>
      </c>
      <c r="G212" s="1">
        <v>192030.59</v>
      </c>
      <c r="H212" t="s">
        <v>217</v>
      </c>
    </row>
    <row r="213" spans="1:8" x14ac:dyDescent="0.3">
      <c r="A213" s="78">
        <v>45492</v>
      </c>
      <c r="B213" s="77" t="s">
        <v>850</v>
      </c>
      <c r="C213" s="77" t="s">
        <v>851</v>
      </c>
      <c r="D213" s="78">
        <v>45492</v>
      </c>
      <c r="E213" s="1">
        <v>0</v>
      </c>
      <c r="F213" s="1">
        <v>200</v>
      </c>
      <c r="G213" s="1">
        <v>192230.59</v>
      </c>
      <c r="H213" t="s">
        <v>218</v>
      </c>
    </row>
    <row r="214" spans="1:8" x14ac:dyDescent="0.3">
      <c r="A214" s="78">
        <v>45492</v>
      </c>
      <c r="B214" s="77" t="s">
        <v>852</v>
      </c>
      <c r="C214" s="77" t="s">
        <v>853</v>
      </c>
      <c r="D214" s="78">
        <v>45492</v>
      </c>
      <c r="E214" s="1">
        <v>0</v>
      </c>
      <c r="F214" s="1">
        <v>880</v>
      </c>
      <c r="G214" s="1">
        <v>193110.59</v>
      </c>
      <c r="H214" t="s">
        <v>218</v>
      </c>
    </row>
    <row r="215" spans="1:8" x14ac:dyDescent="0.3">
      <c r="A215" s="78">
        <v>45492</v>
      </c>
      <c r="B215" s="77" t="s">
        <v>854</v>
      </c>
      <c r="C215" s="77" t="s">
        <v>855</v>
      </c>
      <c r="D215" s="78">
        <v>45492</v>
      </c>
      <c r="E215" s="1">
        <v>0</v>
      </c>
      <c r="F215" s="1">
        <v>900</v>
      </c>
      <c r="G215" s="1">
        <v>194010.59</v>
      </c>
      <c r="H215" t="s">
        <v>218</v>
      </c>
    </row>
    <row r="216" spans="1:8" x14ac:dyDescent="0.3">
      <c r="A216" s="78">
        <v>45492</v>
      </c>
      <c r="B216" s="77" t="s">
        <v>856</v>
      </c>
      <c r="C216" s="77" t="s">
        <v>857</v>
      </c>
      <c r="D216" s="78">
        <v>45492</v>
      </c>
      <c r="E216" s="1">
        <v>0</v>
      </c>
      <c r="F216" s="1">
        <v>3040</v>
      </c>
      <c r="G216" s="1">
        <v>197050.59</v>
      </c>
      <c r="H216" t="s">
        <v>218</v>
      </c>
    </row>
    <row r="217" spans="1:8" x14ac:dyDescent="0.3">
      <c r="A217" s="78">
        <v>45495</v>
      </c>
      <c r="B217" s="77" t="s">
        <v>30</v>
      </c>
      <c r="C217" s="77" t="s">
        <v>858</v>
      </c>
      <c r="D217" s="78">
        <v>45495</v>
      </c>
      <c r="E217" s="1">
        <v>418.14</v>
      </c>
      <c r="F217" s="1">
        <v>0</v>
      </c>
      <c r="G217" s="1">
        <v>196632.45</v>
      </c>
      <c r="H217" t="s">
        <v>217</v>
      </c>
    </row>
    <row r="218" spans="1:8" x14ac:dyDescent="0.3">
      <c r="A218" s="78">
        <v>45496</v>
      </c>
      <c r="B218" s="77" t="s">
        <v>30</v>
      </c>
      <c r="C218" s="77" t="s">
        <v>859</v>
      </c>
      <c r="D218" s="78">
        <v>45496</v>
      </c>
      <c r="E218" s="1">
        <v>139.38</v>
      </c>
      <c r="F218" s="1">
        <v>0</v>
      </c>
      <c r="G218" s="1">
        <v>196493.07</v>
      </c>
      <c r="H218" t="s">
        <v>217</v>
      </c>
    </row>
    <row r="219" spans="1:8" x14ac:dyDescent="0.3">
      <c r="A219" s="78">
        <v>45497</v>
      </c>
      <c r="B219" s="77" t="s">
        <v>30</v>
      </c>
      <c r="C219" s="77" t="s">
        <v>860</v>
      </c>
      <c r="D219" s="78">
        <v>45497</v>
      </c>
      <c r="E219" s="1">
        <v>139.38</v>
      </c>
      <c r="F219" s="1">
        <v>0</v>
      </c>
      <c r="G219" s="1">
        <v>196353.69</v>
      </c>
      <c r="H219" t="s">
        <v>217</v>
      </c>
    </row>
    <row r="220" spans="1:8" x14ac:dyDescent="0.3">
      <c r="A220" s="78">
        <v>45498</v>
      </c>
      <c r="B220" s="77" t="s">
        <v>30</v>
      </c>
      <c r="C220" s="77" t="s">
        <v>861</v>
      </c>
      <c r="D220" s="78">
        <v>45498</v>
      </c>
      <c r="E220" s="1">
        <v>139.38</v>
      </c>
      <c r="F220" s="1">
        <v>0</v>
      </c>
      <c r="G220" s="1">
        <v>196214.31</v>
      </c>
      <c r="H220" t="s">
        <v>217</v>
      </c>
    </row>
    <row r="221" spans="1:8" x14ac:dyDescent="0.3">
      <c r="A221" s="78">
        <v>45498</v>
      </c>
      <c r="B221" s="77" t="s">
        <v>862</v>
      </c>
      <c r="C221" s="77" t="s">
        <v>863</v>
      </c>
      <c r="D221" s="78">
        <v>45498</v>
      </c>
      <c r="E221" s="1">
        <v>0</v>
      </c>
      <c r="F221" s="1">
        <v>715</v>
      </c>
      <c r="G221" s="1">
        <v>196929.31</v>
      </c>
      <c r="H221" t="s">
        <v>218</v>
      </c>
    </row>
    <row r="222" spans="1:8" x14ac:dyDescent="0.3">
      <c r="A222" s="78">
        <v>45499</v>
      </c>
      <c r="B222" s="77" t="s">
        <v>30</v>
      </c>
      <c r="C222" s="77" t="s">
        <v>864</v>
      </c>
      <c r="D222" s="78">
        <v>45499</v>
      </c>
      <c r="E222" s="1">
        <v>139.38</v>
      </c>
      <c r="F222" s="1">
        <v>0</v>
      </c>
      <c r="G222" s="1">
        <v>196789.93</v>
      </c>
      <c r="H222" t="s">
        <v>217</v>
      </c>
    </row>
    <row r="223" spans="1:8" x14ac:dyDescent="0.3">
      <c r="A223" s="78">
        <v>45502</v>
      </c>
      <c r="B223" s="77" t="s">
        <v>865</v>
      </c>
      <c r="C223" s="77" t="s">
        <v>866</v>
      </c>
      <c r="D223" s="78">
        <v>45502</v>
      </c>
      <c r="E223" s="1">
        <v>5000</v>
      </c>
      <c r="F223" s="1">
        <v>0</v>
      </c>
      <c r="G223" s="1">
        <v>191789.93</v>
      </c>
      <c r="H223" t="s">
        <v>219</v>
      </c>
    </row>
    <row r="224" spans="1:8" x14ac:dyDescent="0.3">
      <c r="A224" s="78">
        <v>45502</v>
      </c>
      <c r="B224" s="77" t="s">
        <v>30</v>
      </c>
      <c r="C224" s="77" t="s">
        <v>867</v>
      </c>
      <c r="D224" s="78">
        <v>45502</v>
      </c>
      <c r="E224" s="1">
        <v>418.14</v>
      </c>
      <c r="F224" s="1">
        <v>0</v>
      </c>
      <c r="G224" s="1">
        <v>191371.79</v>
      </c>
      <c r="H224" t="s">
        <v>217</v>
      </c>
    </row>
    <row r="225" spans="1:8" x14ac:dyDescent="0.3">
      <c r="A225" s="78">
        <v>45503</v>
      </c>
      <c r="B225" s="77" t="s">
        <v>868</v>
      </c>
      <c r="C225" s="77" t="s">
        <v>869</v>
      </c>
      <c r="D225" s="78">
        <v>45503</v>
      </c>
      <c r="E225" s="1">
        <v>5000</v>
      </c>
      <c r="F225" s="1">
        <v>0</v>
      </c>
      <c r="G225" s="1">
        <v>186371.79</v>
      </c>
      <c r="H225" t="s">
        <v>219</v>
      </c>
    </row>
    <row r="226" spans="1:8" x14ac:dyDescent="0.3">
      <c r="A226" s="78">
        <v>45503</v>
      </c>
      <c r="B226" s="77" t="s">
        <v>30</v>
      </c>
      <c r="C226" s="77" t="s">
        <v>870</v>
      </c>
      <c r="D226" s="78">
        <v>45503</v>
      </c>
      <c r="E226" s="1">
        <v>139.38</v>
      </c>
      <c r="F226" s="1">
        <v>0</v>
      </c>
      <c r="G226" s="1">
        <v>186232.41</v>
      </c>
      <c r="H226" t="s">
        <v>217</v>
      </c>
    </row>
    <row r="227" spans="1:8" x14ac:dyDescent="0.3">
      <c r="A227" s="78">
        <v>45504</v>
      </c>
      <c r="B227" s="77" t="s">
        <v>30</v>
      </c>
      <c r="C227" s="77" t="s">
        <v>871</v>
      </c>
      <c r="D227" s="78">
        <v>45504</v>
      </c>
      <c r="E227" s="1">
        <v>139.38</v>
      </c>
      <c r="F227" s="1">
        <v>0</v>
      </c>
      <c r="G227" s="1">
        <v>186093.03</v>
      </c>
      <c r="H227" t="s">
        <v>217</v>
      </c>
    </row>
    <row r="228" spans="1:8" x14ac:dyDescent="0.3">
      <c r="A228" s="78">
        <v>45505</v>
      </c>
      <c r="B228" s="77" t="s">
        <v>30</v>
      </c>
      <c r="C228" s="77" t="s">
        <v>872</v>
      </c>
      <c r="D228" s="78">
        <v>45505</v>
      </c>
      <c r="E228" s="1">
        <v>139.38</v>
      </c>
      <c r="F228" s="1">
        <v>0</v>
      </c>
      <c r="G228" s="1">
        <v>185953.65</v>
      </c>
      <c r="H228" t="s">
        <v>217</v>
      </c>
    </row>
    <row r="229" spans="1:8" x14ac:dyDescent="0.3">
      <c r="A229" s="78">
        <v>45506</v>
      </c>
      <c r="B229" s="77" t="s">
        <v>30</v>
      </c>
      <c r="C229" s="77" t="s">
        <v>873</v>
      </c>
      <c r="D229" s="78">
        <v>45506</v>
      </c>
      <c r="E229" s="1">
        <v>139.38</v>
      </c>
      <c r="F229" s="1">
        <v>0</v>
      </c>
      <c r="G229" s="1">
        <v>185814.27</v>
      </c>
      <c r="H229" t="s">
        <v>217</v>
      </c>
    </row>
    <row r="230" spans="1:8" x14ac:dyDescent="0.3">
      <c r="A230" s="78">
        <v>45506</v>
      </c>
      <c r="B230" s="77" t="s">
        <v>874</v>
      </c>
      <c r="C230" s="77" t="s">
        <v>875</v>
      </c>
      <c r="D230" s="78">
        <v>45506</v>
      </c>
      <c r="E230" s="1">
        <v>0</v>
      </c>
      <c r="F230" s="1">
        <v>1582.5</v>
      </c>
      <c r="G230" s="1">
        <v>187396.77</v>
      </c>
      <c r="H230" t="s">
        <v>218</v>
      </c>
    </row>
    <row r="231" spans="1:8" x14ac:dyDescent="0.3">
      <c r="A231" s="78">
        <v>45509</v>
      </c>
      <c r="B231" s="77" t="s">
        <v>876</v>
      </c>
      <c r="C231" s="77" t="s">
        <v>877</v>
      </c>
      <c r="D231" s="78">
        <v>45509</v>
      </c>
      <c r="E231" s="1">
        <v>0</v>
      </c>
      <c r="F231" s="1">
        <v>600</v>
      </c>
      <c r="G231" s="1">
        <v>187996.77</v>
      </c>
      <c r="H231" t="s">
        <v>218</v>
      </c>
    </row>
    <row r="232" spans="1:8" x14ac:dyDescent="0.3">
      <c r="A232" s="78">
        <v>45509</v>
      </c>
      <c r="B232" s="77" t="s">
        <v>30</v>
      </c>
      <c r="C232" s="77" t="s">
        <v>878</v>
      </c>
      <c r="D232" s="78">
        <v>45509</v>
      </c>
      <c r="E232" s="1">
        <v>418.14</v>
      </c>
      <c r="F232" s="1">
        <v>0</v>
      </c>
      <c r="G232" s="1">
        <v>187578.63</v>
      </c>
      <c r="H232" t="s">
        <v>217</v>
      </c>
    </row>
    <row r="233" spans="1:8" x14ac:dyDescent="0.3">
      <c r="A233" s="78">
        <v>45509</v>
      </c>
      <c r="B233" s="77" t="s">
        <v>879</v>
      </c>
      <c r="C233" s="77" t="s">
        <v>880</v>
      </c>
      <c r="D233" s="78">
        <v>45509</v>
      </c>
      <c r="E233" s="1">
        <v>0</v>
      </c>
      <c r="F233" s="1">
        <v>160</v>
      </c>
      <c r="G233" s="1">
        <v>187738.63</v>
      </c>
      <c r="H233" t="s">
        <v>218</v>
      </c>
    </row>
    <row r="234" spans="1:8" x14ac:dyDescent="0.3">
      <c r="A234" s="78">
        <v>45509</v>
      </c>
      <c r="B234" s="77" t="s">
        <v>881</v>
      </c>
      <c r="C234" s="77" t="s">
        <v>882</v>
      </c>
      <c r="D234" s="78">
        <v>45509</v>
      </c>
      <c r="E234" s="1">
        <v>0</v>
      </c>
      <c r="F234" s="1">
        <v>720</v>
      </c>
      <c r="G234" s="1">
        <v>188458.63</v>
      </c>
      <c r="H234" t="s">
        <v>218</v>
      </c>
    </row>
    <row r="235" spans="1:8" x14ac:dyDescent="0.3">
      <c r="A235" s="78">
        <v>45510</v>
      </c>
      <c r="B235" s="77" t="s">
        <v>30</v>
      </c>
      <c r="C235" s="77" t="s">
        <v>883</v>
      </c>
      <c r="D235" s="78">
        <v>45510</v>
      </c>
      <c r="E235" s="1">
        <v>139.38</v>
      </c>
      <c r="F235" s="1">
        <v>0</v>
      </c>
      <c r="G235" s="1">
        <v>188319.25</v>
      </c>
      <c r="H235" t="s">
        <v>217</v>
      </c>
    </row>
    <row r="236" spans="1:8" x14ac:dyDescent="0.3">
      <c r="A236" s="78">
        <v>45511</v>
      </c>
      <c r="B236" s="77" t="s">
        <v>30</v>
      </c>
      <c r="C236" s="77" t="s">
        <v>884</v>
      </c>
      <c r="D236" s="78">
        <v>45511</v>
      </c>
      <c r="E236" s="1">
        <v>139.38</v>
      </c>
      <c r="F236" s="1">
        <v>0</v>
      </c>
      <c r="G236" s="1">
        <v>188179.87</v>
      </c>
      <c r="H236" t="s">
        <v>217</v>
      </c>
    </row>
    <row r="237" spans="1:8" x14ac:dyDescent="0.3">
      <c r="A237" s="78">
        <v>45511</v>
      </c>
      <c r="B237" s="77" t="s">
        <v>885</v>
      </c>
      <c r="C237" s="77" t="s">
        <v>886</v>
      </c>
      <c r="D237" s="78">
        <v>45511</v>
      </c>
      <c r="E237" s="1">
        <v>0</v>
      </c>
      <c r="F237" s="1">
        <v>1880</v>
      </c>
      <c r="G237" s="1">
        <v>190059.87</v>
      </c>
      <c r="H237" t="s">
        <v>2524</v>
      </c>
    </row>
    <row r="238" spans="1:8" x14ac:dyDescent="0.3">
      <c r="A238" s="78">
        <v>45512</v>
      </c>
      <c r="B238" s="77" t="s">
        <v>30</v>
      </c>
      <c r="C238" s="77" t="s">
        <v>887</v>
      </c>
      <c r="D238" s="78">
        <v>45512</v>
      </c>
      <c r="E238" s="1">
        <v>139.38</v>
      </c>
      <c r="F238" s="1">
        <v>0</v>
      </c>
      <c r="G238" s="1">
        <v>189920.49</v>
      </c>
      <c r="H238" t="s">
        <v>217</v>
      </c>
    </row>
    <row r="239" spans="1:8" x14ac:dyDescent="0.3">
      <c r="A239" s="78">
        <v>45513</v>
      </c>
      <c r="B239" s="77" t="s">
        <v>30</v>
      </c>
      <c r="C239" s="77" t="s">
        <v>888</v>
      </c>
      <c r="D239" s="78">
        <v>45513</v>
      </c>
      <c r="E239" s="1">
        <v>139.38</v>
      </c>
      <c r="F239" s="1">
        <v>0</v>
      </c>
      <c r="G239" s="1">
        <v>189781.11</v>
      </c>
      <c r="H239" t="s">
        <v>217</v>
      </c>
    </row>
    <row r="240" spans="1:8" x14ac:dyDescent="0.3">
      <c r="A240" s="78">
        <v>45516</v>
      </c>
      <c r="B240" s="77" t="s">
        <v>34</v>
      </c>
      <c r="C240" s="77" t="s">
        <v>889</v>
      </c>
      <c r="D240" s="78">
        <v>45516</v>
      </c>
      <c r="E240" s="1">
        <v>0</v>
      </c>
      <c r="F240" s="1">
        <v>41907.449999999997</v>
      </c>
      <c r="G240" s="1">
        <v>231688.56</v>
      </c>
      <c r="H240" t="s">
        <v>217</v>
      </c>
    </row>
    <row r="241" spans="1:8" x14ac:dyDescent="0.3">
      <c r="A241" s="78">
        <v>45516</v>
      </c>
      <c r="B241" s="77" t="s">
        <v>890</v>
      </c>
      <c r="C241" s="77" t="s">
        <v>891</v>
      </c>
      <c r="D241" s="78">
        <v>45516</v>
      </c>
      <c r="E241" s="1">
        <v>0</v>
      </c>
      <c r="F241" s="1">
        <v>1365</v>
      </c>
      <c r="G241" s="1">
        <v>233053.56</v>
      </c>
      <c r="H241" t="s">
        <v>218</v>
      </c>
    </row>
    <row r="242" spans="1:8" x14ac:dyDescent="0.3">
      <c r="A242" s="78">
        <v>45516</v>
      </c>
      <c r="B242" s="77" t="s">
        <v>30</v>
      </c>
      <c r="C242" s="77" t="s">
        <v>892</v>
      </c>
      <c r="D242" s="78">
        <v>45516</v>
      </c>
      <c r="E242" s="1">
        <v>418.14</v>
      </c>
      <c r="F242" s="1">
        <v>0</v>
      </c>
      <c r="G242" s="1">
        <v>232635.42</v>
      </c>
      <c r="H242" t="s">
        <v>217</v>
      </c>
    </row>
    <row r="243" spans="1:8" x14ac:dyDescent="0.3">
      <c r="A243" s="78">
        <v>45516</v>
      </c>
      <c r="B243" s="77" t="s">
        <v>893</v>
      </c>
      <c r="C243" s="77" t="s">
        <v>46</v>
      </c>
      <c r="D243" s="78">
        <v>45516</v>
      </c>
      <c r="E243" s="1">
        <v>177</v>
      </c>
      <c r="F243" s="1">
        <v>0</v>
      </c>
      <c r="G243" s="1">
        <v>232458.42</v>
      </c>
      <c r="H243" t="s">
        <v>220</v>
      </c>
    </row>
    <row r="244" spans="1:8" x14ac:dyDescent="0.3">
      <c r="A244" s="78">
        <v>45517</v>
      </c>
      <c r="B244" s="77" t="s">
        <v>30</v>
      </c>
      <c r="C244" s="77" t="s">
        <v>894</v>
      </c>
      <c r="D244" s="78">
        <v>45517</v>
      </c>
      <c r="E244" s="1">
        <v>139.38</v>
      </c>
      <c r="F244" s="1">
        <v>0</v>
      </c>
      <c r="G244" s="1">
        <v>232319.04</v>
      </c>
      <c r="H244" t="s">
        <v>217</v>
      </c>
    </row>
    <row r="245" spans="1:8" x14ac:dyDescent="0.3">
      <c r="A245" s="78">
        <v>45518</v>
      </c>
      <c r="B245" s="77" t="s">
        <v>30</v>
      </c>
      <c r="C245" s="77" t="s">
        <v>895</v>
      </c>
      <c r="D245" s="78">
        <v>45518</v>
      </c>
      <c r="E245" s="1">
        <v>139.38</v>
      </c>
      <c r="F245" s="1">
        <v>0</v>
      </c>
      <c r="G245" s="1">
        <v>232179.66</v>
      </c>
      <c r="H245" t="s">
        <v>217</v>
      </c>
    </row>
    <row r="246" spans="1:8" x14ac:dyDescent="0.3">
      <c r="A246" s="78">
        <v>45520</v>
      </c>
      <c r="B246" s="77" t="s">
        <v>30</v>
      </c>
      <c r="C246" s="77" t="s">
        <v>896</v>
      </c>
      <c r="D246" s="78">
        <v>45520</v>
      </c>
      <c r="E246" s="1">
        <v>278.76</v>
      </c>
      <c r="F246" s="1">
        <v>0</v>
      </c>
      <c r="G246" s="1">
        <v>231900.9</v>
      </c>
      <c r="H246" t="s">
        <v>217</v>
      </c>
    </row>
    <row r="247" spans="1:8" x14ac:dyDescent="0.3">
      <c r="A247" s="78">
        <v>45521</v>
      </c>
      <c r="B247" s="77" t="s">
        <v>897</v>
      </c>
      <c r="C247" s="77" t="s">
        <v>898</v>
      </c>
      <c r="D247" s="78">
        <v>45521</v>
      </c>
      <c r="E247" s="1">
        <v>295</v>
      </c>
      <c r="F247" s="1">
        <v>0</v>
      </c>
      <c r="G247" s="1">
        <v>231605.9</v>
      </c>
      <c r="H247" t="s">
        <v>221</v>
      </c>
    </row>
    <row r="248" spans="1:8" x14ac:dyDescent="0.3">
      <c r="A248" s="78">
        <v>45522</v>
      </c>
      <c r="B248" s="77" t="s">
        <v>899</v>
      </c>
      <c r="C248" s="77" t="s">
        <v>900</v>
      </c>
      <c r="D248" s="78">
        <v>45522</v>
      </c>
      <c r="E248" s="1">
        <v>100000</v>
      </c>
      <c r="F248" s="1">
        <v>0</v>
      </c>
      <c r="G248" s="1">
        <v>131605.9</v>
      </c>
      <c r="H248" t="s">
        <v>2518</v>
      </c>
    </row>
    <row r="249" spans="1:8" x14ac:dyDescent="0.3">
      <c r="A249" s="78">
        <v>45523</v>
      </c>
      <c r="B249" s="77" t="s">
        <v>30</v>
      </c>
      <c r="C249" s="77" t="s">
        <v>901</v>
      </c>
      <c r="D249" s="78">
        <v>45523</v>
      </c>
      <c r="E249" s="1">
        <v>425.16</v>
      </c>
      <c r="F249" s="1">
        <v>0</v>
      </c>
      <c r="G249" s="1">
        <v>131180.74</v>
      </c>
      <c r="H249" t="s">
        <v>217</v>
      </c>
    </row>
    <row r="250" spans="1:8" x14ac:dyDescent="0.3">
      <c r="A250" s="78">
        <v>45524</v>
      </c>
      <c r="B250" s="77" t="s">
        <v>34</v>
      </c>
      <c r="C250" s="77" t="s">
        <v>902</v>
      </c>
      <c r="D250" s="78">
        <v>45524</v>
      </c>
      <c r="E250" s="1">
        <v>0</v>
      </c>
      <c r="F250" s="1">
        <v>35671.14</v>
      </c>
      <c r="G250" s="1">
        <v>166851.88</v>
      </c>
      <c r="H250" t="s">
        <v>217</v>
      </c>
    </row>
    <row r="251" spans="1:8" x14ac:dyDescent="0.3">
      <c r="A251" s="78">
        <v>45524</v>
      </c>
      <c r="B251" s="77" t="s">
        <v>30</v>
      </c>
      <c r="C251" s="77" t="s">
        <v>903</v>
      </c>
      <c r="D251" s="78">
        <v>45524</v>
      </c>
      <c r="E251" s="1">
        <v>141.72</v>
      </c>
      <c r="F251" s="1">
        <v>0</v>
      </c>
      <c r="G251" s="1">
        <v>166710.16</v>
      </c>
      <c r="H251" t="s">
        <v>217</v>
      </c>
    </row>
    <row r="252" spans="1:8" x14ac:dyDescent="0.3">
      <c r="A252" s="78">
        <v>45525</v>
      </c>
      <c r="B252" s="77" t="s">
        <v>30</v>
      </c>
      <c r="C252" s="77" t="s">
        <v>904</v>
      </c>
      <c r="D252" s="78">
        <v>45525</v>
      </c>
      <c r="E252" s="1">
        <v>141.72</v>
      </c>
      <c r="F252" s="1">
        <v>0</v>
      </c>
      <c r="G252" s="1">
        <v>166568.44</v>
      </c>
      <c r="H252" t="s">
        <v>217</v>
      </c>
    </row>
    <row r="253" spans="1:8" x14ac:dyDescent="0.3">
      <c r="A253" s="78">
        <v>45526</v>
      </c>
      <c r="B253" s="77" t="s">
        <v>30</v>
      </c>
      <c r="C253" s="77" t="s">
        <v>905</v>
      </c>
      <c r="D253" s="78">
        <v>45526</v>
      </c>
      <c r="E253" s="1">
        <v>141.72</v>
      </c>
      <c r="F253" s="1">
        <v>0</v>
      </c>
      <c r="G253" s="1">
        <v>166426.72</v>
      </c>
      <c r="H253" t="s">
        <v>217</v>
      </c>
    </row>
    <row r="254" spans="1:8" x14ac:dyDescent="0.3">
      <c r="A254" s="78">
        <v>45527</v>
      </c>
      <c r="B254" s="77" t="s">
        <v>30</v>
      </c>
      <c r="C254" s="77" t="s">
        <v>906</v>
      </c>
      <c r="D254" s="78">
        <v>45527</v>
      </c>
      <c r="E254" s="1">
        <v>141.72</v>
      </c>
      <c r="F254" s="1">
        <v>0</v>
      </c>
      <c r="G254" s="1">
        <v>166285</v>
      </c>
      <c r="H254" t="s">
        <v>217</v>
      </c>
    </row>
    <row r="255" spans="1:8" x14ac:dyDescent="0.3">
      <c r="A255" s="78">
        <v>45530</v>
      </c>
      <c r="B255" s="77" t="s">
        <v>30</v>
      </c>
      <c r="C255" s="77" t="s">
        <v>907</v>
      </c>
      <c r="D255" s="78">
        <v>45530</v>
      </c>
      <c r="E255" s="1">
        <v>425.16</v>
      </c>
      <c r="F255" s="1">
        <v>0</v>
      </c>
      <c r="G255" s="1">
        <v>165859.84</v>
      </c>
      <c r="H255" t="s">
        <v>217</v>
      </c>
    </row>
    <row r="256" spans="1:8" x14ac:dyDescent="0.3">
      <c r="A256" s="78">
        <v>45531</v>
      </c>
      <c r="B256" s="77" t="s">
        <v>908</v>
      </c>
      <c r="C256" s="77" t="s">
        <v>909</v>
      </c>
      <c r="D256" s="78">
        <v>45531</v>
      </c>
      <c r="E256" s="1">
        <v>0</v>
      </c>
      <c r="F256" s="1">
        <v>65</v>
      </c>
      <c r="G256" s="1">
        <v>165924.84</v>
      </c>
      <c r="H256" t="s">
        <v>218</v>
      </c>
    </row>
    <row r="257" spans="1:8" x14ac:dyDescent="0.3">
      <c r="A257" s="78">
        <v>45531</v>
      </c>
      <c r="B257" s="77" t="s">
        <v>30</v>
      </c>
      <c r="C257" s="77" t="s">
        <v>910</v>
      </c>
      <c r="D257" s="78">
        <v>45531</v>
      </c>
      <c r="E257" s="1">
        <v>141.72</v>
      </c>
      <c r="F257" s="1">
        <v>0</v>
      </c>
      <c r="G257" s="1">
        <v>165783.12</v>
      </c>
      <c r="H257" t="s">
        <v>217</v>
      </c>
    </row>
    <row r="258" spans="1:8" x14ac:dyDescent="0.3">
      <c r="A258" s="78">
        <v>45532</v>
      </c>
      <c r="B258" s="77" t="s">
        <v>34</v>
      </c>
      <c r="C258" s="77" t="s">
        <v>911</v>
      </c>
      <c r="D258" s="78">
        <v>45532</v>
      </c>
      <c r="E258" s="1">
        <v>0</v>
      </c>
      <c r="F258" s="1">
        <v>9920.6</v>
      </c>
      <c r="G258" s="1">
        <v>175703.72</v>
      </c>
      <c r="H258" t="s">
        <v>217</v>
      </c>
    </row>
    <row r="259" spans="1:8" x14ac:dyDescent="0.3">
      <c r="A259" s="78">
        <v>45532</v>
      </c>
      <c r="B259" s="77" t="s">
        <v>912</v>
      </c>
      <c r="C259" s="77" t="s">
        <v>913</v>
      </c>
      <c r="D259" s="78">
        <v>45532</v>
      </c>
      <c r="E259" s="1">
        <v>5000</v>
      </c>
      <c r="F259" s="1">
        <v>0</v>
      </c>
      <c r="G259" s="1">
        <v>170703.72</v>
      </c>
      <c r="H259" t="s">
        <v>219</v>
      </c>
    </row>
    <row r="260" spans="1:8" x14ac:dyDescent="0.3">
      <c r="A260" s="78">
        <v>45532</v>
      </c>
      <c r="B260" s="77" t="s">
        <v>30</v>
      </c>
      <c r="C260" s="77" t="s">
        <v>914</v>
      </c>
      <c r="D260" s="78">
        <v>45532</v>
      </c>
      <c r="E260" s="1">
        <v>141.72</v>
      </c>
      <c r="F260" s="1">
        <v>0</v>
      </c>
      <c r="G260" s="1">
        <v>170562</v>
      </c>
      <c r="H260" t="s">
        <v>217</v>
      </c>
    </row>
    <row r="261" spans="1:8" x14ac:dyDescent="0.3">
      <c r="A261" s="78">
        <v>45533</v>
      </c>
      <c r="B261" s="77" t="s">
        <v>915</v>
      </c>
      <c r="C261" s="77" t="s">
        <v>916</v>
      </c>
      <c r="D261" s="78">
        <v>45533</v>
      </c>
      <c r="E261" s="1">
        <v>0</v>
      </c>
      <c r="F261" s="1">
        <v>230</v>
      </c>
      <c r="G261" s="1">
        <v>170792</v>
      </c>
      <c r="H261" t="s">
        <v>218</v>
      </c>
    </row>
    <row r="262" spans="1:8" x14ac:dyDescent="0.3">
      <c r="A262" s="78">
        <v>45533</v>
      </c>
      <c r="B262" s="77" t="s">
        <v>30</v>
      </c>
      <c r="C262" s="77" t="s">
        <v>917</v>
      </c>
      <c r="D262" s="78">
        <v>45533</v>
      </c>
      <c r="E262" s="1">
        <v>128.80000000000001</v>
      </c>
      <c r="F262" s="1">
        <v>0</v>
      </c>
      <c r="G262" s="1">
        <v>170663.2</v>
      </c>
      <c r="H262" t="s">
        <v>217</v>
      </c>
    </row>
    <row r="263" spans="1:8" x14ac:dyDescent="0.3">
      <c r="A263" s="78">
        <v>45533</v>
      </c>
      <c r="B263" s="77" t="s">
        <v>918</v>
      </c>
      <c r="C263" s="77" t="s">
        <v>919</v>
      </c>
      <c r="D263" s="78">
        <v>45533</v>
      </c>
      <c r="E263" s="1">
        <v>0</v>
      </c>
      <c r="F263" s="1">
        <v>20</v>
      </c>
      <c r="G263" s="1">
        <v>170683.2</v>
      </c>
      <c r="H263" t="s">
        <v>218</v>
      </c>
    </row>
    <row r="264" spans="1:8" x14ac:dyDescent="0.3">
      <c r="A264" s="78">
        <v>45534</v>
      </c>
      <c r="B264" s="77" t="s">
        <v>920</v>
      </c>
      <c r="C264" s="77" t="s">
        <v>921</v>
      </c>
      <c r="D264" s="78">
        <v>45534</v>
      </c>
      <c r="E264" s="1">
        <v>5000</v>
      </c>
      <c r="F264" s="1">
        <v>0</v>
      </c>
      <c r="G264" s="1">
        <v>165683.20000000001</v>
      </c>
      <c r="H264" t="s">
        <v>219</v>
      </c>
    </row>
    <row r="265" spans="1:8" x14ac:dyDescent="0.3">
      <c r="A265" s="78">
        <v>45534</v>
      </c>
      <c r="B265" s="77" t="s">
        <v>30</v>
      </c>
      <c r="C265" s="77" t="s">
        <v>922</v>
      </c>
      <c r="D265" s="78">
        <v>45534</v>
      </c>
      <c r="E265" s="1">
        <v>128.80000000000001</v>
      </c>
      <c r="F265" s="1">
        <v>0</v>
      </c>
      <c r="G265" s="1">
        <v>165554.4</v>
      </c>
      <c r="H265" t="s">
        <v>217</v>
      </c>
    </row>
    <row r="266" spans="1:8" x14ac:dyDescent="0.3">
      <c r="A266" s="78">
        <v>45534</v>
      </c>
      <c r="B266" s="77" t="s">
        <v>923</v>
      </c>
      <c r="C266" s="77" t="s">
        <v>924</v>
      </c>
      <c r="D266" s="78">
        <v>45534</v>
      </c>
      <c r="E266" s="1">
        <v>0</v>
      </c>
      <c r="F266" s="1">
        <v>26.25</v>
      </c>
      <c r="G266" s="1">
        <v>165580.65</v>
      </c>
      <c r="H266" t="s">
        <v>218</v>
      </c>
    </row>
    <row r="267" spans="1:8" x14ac:dyDescent="0.3">
      <c r="A267" s="78">
        <v>45537</v>
      </c>
      <c r="B267" s="77" t="s">
        <v>925</v>
      </c>
      <c r="C267" s="77" t="s">
        <v>926</v>
      </c>
      <c r="D267" s="78">
        <v>45537</v>
      </c>
      <c r="E267" s="1">
        <v>0</v>
      </c>
      <c r="F267" s="1">
        <v>550</v>
      </c>
      <c r="G267" s="1">
        <v>166130.65</v>
      </c>
      <c r="H267" t="s">
        <v>218</v>
      </c>
    </row>
    <row r="268" spans="1:8" x14ac:dyDescent="0.3">
      <c r="A268" s="78">
        <v>45537</v>
      </c>
      <c r="B268" s="77" t="s">
        <v>30</v>
      </c>
      <c r="C268" s="77" t="s">
        <v>927</v>
      </c>
      <c r="D268" s="78">
        <v>45537</v>
      </c>
      <c r="E268" s="1">
        <v>386.4</v>
      </c>
      <c r="F268" s="1">
        <v>0</v>
      </c>
      <c r="G268" s="1">
        <v>165744.25</v>
      </c>
      <c r="H268" t="s">
        <v>217</v>
      </c>
    </row>
    <row r="269" spans="1:8" x14ac:dyDescent="0.3">
      <c r="A269" s="78">
        <v>45538</v>
      </c>
      <c r="B269" s="77" t="s">
        <v>928</v>
      </c>
      <c r="C269" s="77" t="s">
        <v>929</v>
      </c>
      <c r="D269" s="78">
        <v>45538</v>
      </c>
      <c r="E269" s="1">
        <v>75000</v>
      </c>
      <c r="F269" s="1">
        <v>0</v>
      </c>
      <c r="G269" s="1">
        <v>90744.25</v>
      </c>
      <c r="H269" t="s">
        <v>224</v>
      </c>
    </row>
    <row r="270" spans="1:8" x14ac:dyDescent="0.3">
      <c r="A270" s="78">
        <v>45538</v>
      </c>
      <c r="B270" s="77" t="s">
        <v>30</v>
      </c>
      <c r="C270" s="77" t="s">
        <v>930</v>
      </c>
      <c r="D270" s="78">
        <v>45538</v>
      </c>
      <c r="E270" s="1">
        <v>128.80000000000001</v>
      </c>
      <c r="F270" s="1">
        <v>0</v>
      </c>
      <c r="G270" s="1">
        <v>90615.45</v>
      </c>
      <c r="H270" t="s">
        <v>217</v>
      </c>
    </row>
    <row r="271" spans="1:8" x14ac:dyDescent="0.3">
      <c r="A271" s="78">
        <v>45539</v>
      </c>
      <c r="B271" s="77" t="s">
        <v>30</v>
      </c>
      <c r="C271" s="77" t="s">
        <v>931</v>
      </c>
      <c r="D271" s="78">
        <v>45539</v>
      </c>
      <c r="E271" s="1">
        <v>128.80000000000001</v>
      </c>
      <c r="F271" s="1">
        <v>0</v>
      </c>
      <c r="G271" s="1">
        <v>90486.65</v>
      </c>
      <c r="H271" t="s">
        <v>217</v>
      </c>
    </row>
    <row r="272" spans="1:8" x14ac:dyDescent="0.3">
      <c r="A272" s="78">
        <v>45540</v>
      </c>
      <c r="B272" s="77" t="s">
        <v>30</v>
      </c>
      <c r="C272" s="77" t="s">
        <v>932</v>
      </c>
      <c r="D272" s="78">
        <v>45540</v>
      </c>
      <c r="E272" s="1">
        <v>128.80000000000001</v>
      </c>
      <c r="F272" s="1">
        <v>0</v>
      </c>
      <c r="G272" s="1">
        <v>90357.85</v>
      </c>
      <c r="H272" t="s">
        <v>217</v>
      </c>
    </row>
    <row r="273" spans="1:8" x14ac:dyDescent="0.3">
      <c r="A273" s="78">
        <v>45540</v>
      </c>
      <c r="B273" s="77" t="s">
        <v>933</v>
      </c>
      <c r="C273" s="77" t="s">
        <v>934</v>
      </c>
      <c r="D273" s="78">
        <v>45540</v>
      </c>
      <c r="E273" s="1">
        <v>0</v>
      </c>
      <c r="F273" s="1">
        <v>58.5</v>
      </c>
      <c r="G273" s="1">
        <v>90416.35</v>
      </c>
      <c r="H273" t="s">
        <v>218</v>
      </c>
    </row>
    <row r="274" spans="1:8" x14ac:dyDescent="0.3">
      <c r="A274" s="78">
        <v>45541</v>
      </c>
      <c r="B274" s="77" t="s">
        <v>30</v>
      </c>
      <c r="C274" s="77" t="s">
        <v>935</v>
      </c>
      <c r="D274" s="78">
        <v>45541</v>
      </c>
      <c r="E274" s="1">
        <v>128.80000000000001</v>
      </c>
      <c r="F274" s="1">
        <v>0</v>
      </c>
      <c r="G274" s="1">
        <v>90287.55</v>
      </c>
      <c r="H274" t="s">
        <v>217</v>
      </c>
    </row>
    <row r="275" spans="1:8" x14ac:dyDescent="0.3">
      <c r="A275" s="78">
        <v>45541</v>
      </c>
      <c r="B275" s="77" t="s">
        <v>936</v>
      </c>
      <c r="C275" s="77" t="s">
        <v>937</v>
      </c>
      <c r="D275" s="78">
        <v>45541</v>
      </c>
      <c r="E275" s="1">
        <v>0</v>
      </c>
      <c r="F275" s="1">
        <v>150</v>
      </c>
      <c r="G275" s="1">
        <v>90437.55</v>
      </c>
      <c r="H275" t="s">
        <v>218</v>
      </c>
    </row>
    <row r="276" spans="1:8" x14ac:dyDescent="0.3">
      <c r="A276" s="78">
        <v>45544</v>
      </c>
      <c r="B276" s="77" t="s">
        <v>30</v>
      </c>
      <c r="C276" s="77" t="s">
        <v>938</v>
      </c>
      <c r="D276" s="78">
        <v>45544</v>
      </c>
      <c r="E276" s="1">
        <v>386.4</v>
      </c>
      <c r="F276" s="1">
        <v>0</v>
      </c>
      <c r="G276" s="1">
        <v>90051.15</v>
      </c>
      <c r="H276" t="s">
        <v>217</v>
      </c>
    </row>
    <row r="277" spans="1:8" x14ac:dyDescent="0.3">
      <c r="A277" s="78">
        <v>45544</v>
      </c>
      <c r="B277" s="77" t="s">
        <v>939</v>
      </c>
      <c r="C277" s="77" t="s">
        <v>940</v>
      </c>
      <c r="D277" s="78">
        <v>45544</v>
      </c>
      <c r="E277" s="1">
        <v>0</v>
      </c>
      <c r="F277" s="1">
        <v>1880</v>
      </c>
      <c r="G277" s="1">
        <v>91931.15</v>
      </c>
      <c r="H277" t="s">
        <v>2524</v>
      </c>
    </row>
    <row r="278" spans="1:8" x14ac:dyDescent="0.3">
      <c r="A278" s="78">
        <v>45545</v>
      </c>
      <c r="B278" s="77" t="s">
        <v>30</v>
      </c>
      <c r="C278" s="77" t="s">
        <v>941</v>
      </c>
      <c r="D278" s="78">
        <v>45545</v>
      </c>
      <c r="E278" s="1">
        <v>128.80000000000001</v>
      </c>
      <c r="F278" s="1">
        <v>0</v>
      </c>
      <c r="G278" s="1">
        <v>91802.35</v>
      </c>
      <c r="H278" t="s">
        <v>217</v>
      </c>
    </row>
    <row r="279" spans="1:8" x14ac:dyDescent="0.3">
      <c r="A279" s="78">
        <v>45546</v>
      </c>
      <c r="B279" s="77" t="s">
        <v>34</v>
      </c>
      <c r="C279" s="77" t="s">
        <v>942</v>
      </c>
      <c r="D279" s="78">
        <v>45546</v>
      </c>
      <c r="E279" s="1">
        <v>0</v>
      </c>
      <c r="F279" s="1">
        <v>56997.72</v>
      </c>
      <c r="G279" s="1">
        <v>148800.07</v>
      </c>
      <c r="H279" t="s">
        <v>217</v>
      </c>
    </row>
    <row r="280" spans="1:8" x14ac:dyDescent="0.3">
      <c r="A280" s="78">
        <v>45546</v>
      </c>
      <c r="B280" s="77" t="s">
        <v>30</v>
      </c>
      <c r="C280" s="77" t="s">
        <v>943</v>
      </c>
      <c r="D280" s="78">
        <v>45546</v>
      </c>
      <c r="E280" s="1">
        <v>128.80000000000001</v>
      </c>
      <c r="F280" s="1">
        <v>0</v>
      </c>
      <c r="G280" s="1">
        <v>148671.26999999999</v>
      </c>
      <c r="H280" t="s">
        <v>217</v>
      </c>
    </row>
    <row r="281" spans="1:8" x14ac:dyDescent="0.3">
      <c r="A281" s="78">
        <v>45547</v>
      </c>
      <c r="B281" s="77" t="s">
        <v>30</v>
      </c>
      <c r="C281" s="77" t="s">
        <v>944</v>
      </c>
      <c r="D281" s="78">
        <v>45547</v>
      </c>
      <c r="E281" s="1">
        <v>128.80000000000001</v>
      </c>
      <c r="F281" s="1">
        <v>0</v>
      </c>
      <c r="G281" s="1">
        <v>148542.47</v>
      </c>
      <c r="H281" t="s">
        <v>217</v>
      </c>
    </row>
    <row r="282" spans="1:8" x14ac:dyDescent="0.3">
      <c r="A282" s="78">
        <v>45548</v>
      </c>
      <c r="B282" s="77" t="s">
        <v>30</v>
      </c>
      <c r="C282" s="77" t="s">
        <v>945</v>
      </c>
      <c r="D282" s="78">
        <v>45548</v>
      </c>
      <c r="E282" s="1">
        <v>128.80000000000001</v>
      </c>
      <c r="F282" s="1">
        <v>0</v>
      </c>
      <c r="G282" s="1">
        <v>148413.67000000001</v>
      </c>
      <c r="H282" t="s">
        <v>217</v>
      </c>
    </row>
    <row r="283" spans="1:8" x14ac:dyDescent="0.3">
      <c r="A283" s="78">
        <v>45548</v>
      </c>
      <c r="B283" s="77" t="s">
        <v>946</v>
      </c>
      <c r="C283" s="77" t="s">
        <v>947</v>
      </c>
      <c r="D283" s="78">
        <v>45548</v>
      </c>
      <c r="E283" s="1">
        <v>0</v>
      </c>
      <c r="F283" s="1">
        <v>45</v>
      </c>
      <c r="G283" s="1">
        <v>148458.67000000001</v>
      </c>
      <c r="H283" t="s">
        <v>218</v>
      </c>
    </row>
    <row r="284" spans="1:8" x14ac:dyDescent="0.3">
      <c r="A284" s="78">
        <v>45550</v>
      </c>
      <c r="B284" s="77" t="s">
        <v>948</v>
      </c>
      <c r="C284" s="77" t="s">
        <v>949</v>
      </c>
      <c r="D284" s="78">
        <v>45550</v>
      </c>
      <c r="E284" s="1">
        <v>0</v>
      </c>
      <c r="F284" s="1">
        <v>105000</v>
      </c>
      <c r="G284" s="1">
        <v>253458.67</v>
      </c>
      <c r="H284" t="s">
        <v>2519</v>
      </c>
    </row>
    <row r="285" spans="1:8" x14ac:dyDescent="0.3">
      <c r="A285" s="78">
        <v>45551</v>
      </c>
      <c r="B285" s="77" t="s">
        <v>30</v>
      </c>
      <c r="C285" s="77" t="s">
        <v>950</v>
      </c>
      <c r="D285" s="78">
        <v>45551</v>
      </c>
      <c r="E285" s="1">
        <v>386.4</v>
      </c>
      <c r="F285" s="1">
        <v>0</v>
      </c>
      <c r="G285" s="1">
        <v>253072.27</v>
      </c>
      <c r="H285" t="s">
        <v>217</v>
      </c>
    </row>
    <row r="286" spans="1:8" x14ac:dyDescent="0.3">
      <c r="A286" s="78">
        <v>45552</v>
      </c>
      <c r="B286" s="77" t="s">
        <v>30</v>
      </c>
      <c r="C286" s="77" t="s">
        <v>951</v>
      </c>
      <c r="D286" s="78">
        <v>45552</v>
      </c>
      <c r="E286" s="1">
        <v>128.80000000000001</v>
      </c>
      <c r="F286" s="1">
        <v>0</v>
      </c>
      <c r="G286" s="1">
        <v>252943.47</v>
      </c>
      <c r="H286" t="s">
        <v>217</v>
      </c>
    </row>
    <row r="287" spans="1:8" x14ac:dyDescent="0.3">
      <c r="A287" s="78">
        <v>45552</v>
      </c>
      <c r="B287" s="77" t="s">
        <v>952</v>
      </c>
      <c r="C287" s="77" t="s">
        <v>46</v>
      </c>
      <c r="D287" s="78">
        <v>45552</v>
      </c>
      <c r="E287" s="1">
        <v>224.2</v>
      </c>
      <c r="F287" s="1">
        <v>0</v>
      </c>
      <c r="G287" s="1">
        <v>252719.27</v>
      </c>
      <c r="H287" t="s">
        <v>220</v>
      </c>
    </row>
    <row r="288" spans="1:8" x14ac:dyDescent="0.3">
      <c r="A288" s="78">
        <v>45552</v>
      </c>
      <c r="B288" s="77" t="s">
        <v>30</v>
      </c>
      <c r="C288" s="77" t="s">
        <v>953</v>
      </c>
      <c r="D288" s="78">
        <v>45552</v>
      </c>
      <c r="E288" s="1">
        <v>144398.46</v>
      </c>
      <c r="F288" s="1">
        <v>0</v>
      </c>
      <c r="G288" s="1">
        <v>108320.81</v>
      </c>
      <c r="H288" t="s">
        <v>217</v>
      </c>
    </row>
    <row r="289" spans="1:8" x14ac:dyDescent="0.3">
      <c r="A289" s="78">
        <v>45553</v>
      </c>
      <c r="B289" s="77" t="s">
        <v>30</v>
      </c>
      <c r="C289" s="77" t="s">
        <v>954</v>
      </c>
      <c r="D289" s="78">
        <v>45553</v>
      </c>
      <c r="E289" s="1">
        <v>77.37</v>
      </c>
      <c r="F289" s="1">
        <v>0</v>
      </c>
      <c r="G289" s="1">
        <v>108243.44</v>
      </c>
      <c r="H289" t="s">
        <v>217</v>
      </c>
    </row>
    <row r="290" spans="1:8" x14ac:dyDescent="0.3">
      <c r="A290" s="78">
        <v>45553</v>
      </c>
      <c r="B290" s="77" t="s">
        <v>30</v>
      </c>
      <c r="C290" s="77" t="s">
        <v>955</v>
      </c>
      <c r="D290" s="78">
        <v>45553</v>
      </c>
      <c r="E290" s="1">
        <v>384.41</v>
      </c>
      <c r="F290" s="1">
        <v>0</v>
      </c>
      <c r="G290" s="1">
        <v>107859.03</v>
      </c>
      <c r="H290" t="s">
        <v>217</v>
      </c>
    </row>
    <row r="291" spans="1:8" x14ac:dyDescent="0.3">
      <c r="A291" s="78">
        <v>45554</v>
      </c>
      <c r="B291" s="77" t="s">
        <v>30</v>
      </c>
      <c r="C291" s="77" t="s">
        <v>956</v>
      </c>
      <c r="D291" s="78">
        <v>45554</v>
      </c>
      <c r="E291" s="1">
        <v>77.239999999999995</v>
      </c>
      <c r="F291" s="1">
        <v>0</v>
      </c>
      <c r="G291" s="1">
        <v>107781.79</v>
      </c>
      <c r="H291" t="s">
        <v>217</v>
      </c>
    </row>
    <row r="292" spans="1:8" x14ac:dyDescent="0.3">
      <c r="A292" s="78">
        <v>45554</v>
      </c>
      <c r="B292" s="77" t="s">
        <v>957</v>
      </c>
      <c r="C292" s="77" t="s">
        <v>958</v>
      </c>
      <c r="D292" s="78">
        <v>45554</v>
      </c>
      <c r="E292" s="1">
        <v>1.42</v>
      </c>
      <c r="F292" s="1">
        <v>0</v>
      </c>
      <c r="G292" s="1">
        <v>107780.37</v>
      </c>
      <c r="H292" t="s">
        <v>221</v>
      </c>
    </row>
    <row r="293" spans="1:8" x14ac:dyDescent="0.3">
      <c r="A293" s="78">
        <v>45554</v>
      </c>
      <c r="B293" s="77" t="s">
        <v>959</v>
      </c>
      <c r="C293" s="77" t="s">
        <v>960</v>
      </c>
      <c r="D293" s="78">
        <v>45554</v>
      </c>
      <c r="E293" s="1">
        <v>25000</v>
      </c>
      <c r="F293" s="1">
        <v>0</v>
      </c>
      <c r="G293" s="1">
        <v>82780.37</v>
      </c>
      <c r="H293" t="s">
        <v>225</v>
      </c>
    </row>
    <row r="294" spans="1:8" x14ac:dyDescent="0.3">
      <c r="A294" s="78">
        <v>45554</v>
      </c>
      <c r="B294" s="77" t="s">
        <v>30</v>
      </c>
      <c r="C294" s="77" t="s">
        <v>961</v>
      </c>
      <c r="D294" s="78">
        <v>45554</v>
      </c>
      <c r="E294" s="1">
        <v>7655.07</v>
      </c>
      <c r="F294" s="1">
        <v>0</v>
      </c>
      <c r="G294" s="1">
        <v>75125.3</v>
      </c>
      <c r="H294" t="s">
        <v>217</v>
      </c>
    </row>
    <row r="295" spans="1:8" x14ac:dyDescent="0.3">
      <c r="A295" s="78">
        <v>45555</v>
      </c>
      <c r="B295" s="77" t="s">
        <v>30</v>
      </c>
      <c r="C295" s="77" t="s">
        <v>962</v>
      </c>
      <c r="D295" s="78">
        <v>45555</v>
      </c>
      <c r="E295" s="1">
        <v>74.510000000000005</v>
      </c>
      <c r="F295" s="1">
        <v>0</v>
      </c>
      <c r="G295" s="1">
        <v>75050.789999999994</v>
      </c>
      <c r="H295" t="s">
        <v>217</v>
      </c>
    </row>
    <row r="296" spans="1:8" x14ac:dyDescent="0.3">
      <c r="A296" s="78">
        <v>45555</v>
      </c>
      <c r="B296" s="77" t="s">
        <v>963</v>
      </c>
      <c r="C296" s="77" t="s">
        <v>964</v>
      </c>
      <c r="D296" s="78">
        <v>45555</v>
      </c>
      <c r="E296" s="1">
        <v>0</v>
      </c>
      <c r="F296" s="1">
        <v>75</v>
      </c>
      <c r="G296" s="1">
        <v>75125.789999999994</v>
      </c>
      <c r="H296" t="s">
        <v>218</v>
      </c>
    </row>
    <row r="297" spans="1:8" x14ac:dyDescent="0.3">
      <c r="A297" s="78">
        <v>45555</v>
      </c>
      <c r="B297" s="77" t="s">
        <v>30</v>
      </c>
      <c r="C297" s="77" t="s">
        <v>965</v>
      </c>
      <c r="D297" s="78">
        <v>45555</v>
      </c>
      <c r="E297" s="1">
        <v>6306.1</v>
      </c>
      <c r="F297" s="1">
        <v>0</v>
      </c>
      <c r="G297" s="1">
        <v>68819.69</v>
      </c>
      <c r="H297" t="s">
        <v>217</v>
      </c>
    </row>
    <row r="298" spans="1:8" x14ac:dyDescent="0.3">
      <c r="A298" s="78">
        <v>45557</v>
      </c>
      <c r="B298" s="77" t="s">
        <v>966</v>
      </c>
      <c r="C298" s="77" t="s">
        <v>967</v>
      </c>
      <c r="D298" s="78">
        <v>45557</v>
      </c>
      <c r="E298" s="1">
        <v>0</v>
      </c>
      <c r="F298" s="1">
        <v>25000</v>
      </c>
      <c r="G298" s="1">
        <v>93819.69</v>
      </c>
      <c r="H298" t="s">
        <v>505</v>
      </c>
    </row>
    <row r="299" spans="1:8" x14ac:dyDescent="0.3">
      <c r="A299" s="78">
        <v>45558</v>
      </c>
      <c r="B299" s="77" t="s">
        <v>30</v>
      </c>
      <c r="C299" s="77" t="s">
        <v>968</v>
      </c>
      <c r="D299" s="78">
        <v>45558</v>
      </c>
      <c r="E299" s="1">
        <v>233.67</v>
      </c>
      <c r="F299" s="1">
        <v>0</v>
      </c>
      <c r="G299" s="1">
        <v>93586.02</v>
      </c>
      <c r="H299" t="s">
        <v>217</v>
      </c>
    </row>
    <row r="300" spans="1:8" x14ac:dyDescent="0.3">
      <c r="A300" s="78">
        <v>45559</v>
      </c>
      <c r="B300" s="77" t="s">
        <v>969</v>
      </c>
      <c r="C300" s="77" t="s">
        <v>970</v>
      </c>
      <c r="D300" s="78">
        <v>45559</v>
      </c>
      <c r="E300" s="1">
        <v>0</v>
      </c>
      <c r="F300" s="1">
        <v>6152.22</v>
      </c>
      <c r="G300" s="1">
        <v>99738.240000000005</v>
      </c>
      <c r="H300" t="s">
        <v>2523</v>
      </c>
    </row>
    <row r="301" spans="1:8" x14ac:dyDescent="0.3">
      <c r="A301" s="78">
        <v>45559</v>
      </c>
      <c r="B301" s="77" t="s">
        <v>971</v>
      </c>
      <c r="C301" s="77" t="s">
        <v>972</v>
      </c>
      <c r="D301" s="78">
        <v>45559</v>
      </c>
      <c r="E301" s="1">
        <v>0</v>
      </c>
      <c r="F301" s="1">
        <v>8757.74</v>
      </c>
      <c r="G301" s="1">
        <v>108495.98</v>
      </c>
      <c r="H301" t="s">
        <v>2523</v>
      </c>
    </row>
    <row r="302" spans="1:8" x14ac:dyDescent="0.3">
      <c r="A302" s="78">
        <v>45559</v>
      </c>
      <c r="B302" s="77" t="s">
        <v>30</v>
      </c>
      <c r="C302" s="77" t="s">
        <v>973</v>
      </c>
      <c r="D302" s="78">
        <v>45559</v>
      </c>
      <c r="E302" s="1">
        <v>85.55</v>
      </c>
      <c r="F302" s="1">
        <v>0</v>
      </c>
      <c r="G302" s="1">
        <v>108410.43</v>
      </c>
      <c r="H302" t="s">
        <v>217</v>
      </c>
    </row>
    <row r="303" spans="1:8" x14ac:dyDescent="0.3">
      <c r="A303" s="78">
        <v>45560</v>
      </c>
      <c r="B303" s="77" t="s">
        <v>974</v>
      </c>
      <c r="C303" s="77" t="s">
        <v>975</v>
      </c>
      <c r="D303" s="78">
        <v>45560</v>
      </c>
      <c r="E303" s="1">
        <v>0</v>
      </c>
      <c r="F303" s="1">
        <v>20.82</v>
      </c>
      <c r="G303" s="1">
        <v>108431.25</v>
      </c>
      <c r="H303" t="s">
        <v>2523</v>
      </c>
    </row>
    <row r="304" spans="1:8" x14ac:dyDescent="0.3">
      <c r="A304" s="78">
        <v>45560</v>
      </c>
      <c r="B304" s="77" t="s">
        <v>976</v>
      </c>
      <c r="C304" s="77" t="s">
        <v>977</v>
      </c>
      <c r="D304" s="78">
        <v>45560</v>
      </c>
      <c r="E304" s="1">
        <v>30000</v>
      </c>
      <c r="F304" s="1">
        <v>0</v>
      </c>
      <c r="G304" s="1">
        <v>78431.25</v>
      </c>
      <c r="H304" t="s">
        <v>225</v>
      </c>
    </row>
    <row r="305" spans="1:8" x14ac:dyDescent="0.3">
      <c r="A305" s="78">
        <v>45560</v>
      </c>
      <c r="B305" s="77" t="s">
        <v>30</v>
      </c>
      <c r="C305" s="77" t="s">
        <v>978</v>
      </c>
      <c r="D305" s="78">
        <v>45560</v>
      </c>
      <c r="E305" s="1">
        <v>87.74</v>
      </c>
      <c r="F305" s="1">
        <v>0</v>
      </c>
      <c r="G305" s="1">
        <v>78343.509999999995</v>
      </c>
      <c r="H305" t="s">
        <v>217</v>
      </c>
    </row>
    <row r="306" spans="1:8" x14ac:dyDescent="0.3">
      <c r="A306" s="78">
        <v>45560</v>
      </c>
      <c r="B306" s="77" t="s">
        <v>30</v>
      </c>
      <c r="C306" s="77" t="s">
        <v>979</v>
      </c>
      <c r="D306" s="78">
        <v>45560</v>
      </c>
      <c r="E306" s="1">
        <v>998.6</v>
      </c>
      <c r="F306" s="1">
        <v>0</v>
      </c>
      <c r="G306" s="1">
        <v>77344.91</v>
      </c>
      <c r="H306" t="s">
        <v>217</v>
      </c>
    </row>
    <row r="307" spans="1:8" x14ac:dyDescent="0.3">
      <c r="A307" s="78">
        <v>45561</v>
      </c>
      <c r="B307" s="77" t="s">
        <v>30</v>
      </c>
      <c r="C307" s="77" t="s">
        <v>980</v>
      </c>
      <c r="D307" s="78">
        <v>45561</v>
      </c>
      <c r="E307" s="1">
        <v>87.39</v>
      </c>
      <c r="F307" s="1">
        <v>0</v>
      </c>
      <c r="G307" s="1">
        <v>77257.52</v>
      </c>
      <c r="H307" t="s">
        <v>217</v>
      </c>
    </row>
    <row r="308" spans="1:8" x14ac:dyDescent="0.3">
      <c r="A308" s="78">
        <v>45561</v>
      </c>
      <c r="B308" s="77" t="s">
        <v>30</v>
      </c>
      <c r="C308" s="77" t="s">
        <v>981</v>
      </c>
      <c r="D308" s="78">
        <v>45561</v>
      </c>
      <c r="E308" s="1">
        <v>456.14</v>
      </c>
      <c r="F308" s="1">
        <v>0</v>
      </c>
      <c r="G308" s="1">
        <v>76801.38</v>
      </c>
      <c r="H308" t="s">
        <v>217</v>
      </c>
    </row>
    <row r="309" spans="1:8" x14ac:dyDescent="0.3">
      <c r="A309" s="78">
        <v>45562</v>
      </c>
      <c r="B309" s="77" t="s">
        <v>30</v>
      </c>
      <c r="C309" s="77" t="s">
        <v>982</v>
      </c>
      <c r="D309" s="78">
        <v>45562</v>
      </c>
      <c r="E309" s="1">
        <v>87.23</v>
      </c>
      <c r="F309" s="1">
        <v>0</v>
      </c>
      <c r="G309" s="1">
        <v>76714.149999999994</v>
      </c>
      <c r="H309" t="s">
        <v>217</v>
      </c>
    </row>
    <row r="310" spans="1:8" x14ac:dyDescent="0.3">
      <c r="A310" s="78">
        <v>45562</v>
      </c>
      <c r="B310" s="77" t="s">
        <v>30</v>
      </c>
      <c r="C310" s="77" t="s">
        <v>983</v>
      </c>
      <c r="D310" s="78">
        <v>45562</v>
      </c>
      <c r="E310" s="1">
        <v>1598.96</v>
      </c>
      <c r="F310" s="1">
        <v>0</v>
      </c>
      <c r="G310" s="1">
        <v>75115.19</v>
      </c>
      <c r="H310" t="s">
        <v>217</v>
      </c>
    </row>
    <row r="311" spans="1:8" x14ac:dyDescent="0.3">
      <c r="A311" s="78">
        <v>45563</v>
      </c>
      <c r="B311" s="77" t="s">
        <v>984</v>
      </c>
      <c r="C311" s="77" t="s">
        <v>985</v>
      </c>
      <c r="D311" s="78">
        <v>45563</v>
      </c>
      <c r="E311" s="1">
        <v>0</v>
      </c>
      <c r="F311" s="1">
        <v>30000</v>
      </c>
      <c r="G311" s="1">
        <v>105115.19</v>
      </c>
      <c r="H311" t="s">
        <v>505</v>
      </c>
    </row>
    <row r="312" spans="1:8" x14ac:dyDescent="0.3">
      <c r="A312" s="78">
        <v>45565</v>
      </c>
      <c r="B312" s="77" t="s">
        <v>986</v>
      </c>
      <c r="C312" s="77" t="s">
        <v>987</v>
      </c>
      <c r="D312" s="78">
        <v>45565</v>
      </c>
      <c r="E312" s="1">
        <v>5000</v>
      </c>
      <c r="F312" s="1">
        <v>0</v>
      </c>
      <c r="G312" s="1">
        <v>100115.19</v>
      </c>
      <c r="H312" t="s">
        <v>219</v>
      </c>
    </row>
    <row r="313" spans="1:8" x14ac:dyDescent="0.3">
      <c r="A313" s="78">
        <v>45565</v>
      </c>
      <c r="B313" s="77" t="s">
        <v>988</v>
      </c>
      <c r="C313" s="77" t="s">
        <v>989</v>
      </c>
      <c r="D313" s="78">
        <v>45565</v>
      </c>
      <c r="E313" s="1">
        <v>5000</v>
      </c>
      <c r="F313" s="1">
        <v>0</v>
      </c>
      <c r="G313" s="1">
        <v>95115.19</v>
      </c>
      <c r="H313" t="s">
        <v>219</v>
      </c>
    </row>
    <row r="314" spans="1:8" x14ac:dyDescent="0.3">
      <c r="A314" s="78">
        <v>45565</v>
      </c>
      <c r="B314" s="77" t="s">
        <v>30</v>
      </c>
      <c r="C314" s="77" t="s">
        <v>990</v>
      </c>
      <c r="D314" s="78">
        <v>45565</v>
      </c>
      <c r="E314" s="1">
        <v>259.98</v>
      </c>
      <c r="F314" s="1">
        <v>0</v>
      </c>
      <c r="G314" s="1">
        <v>94855.21</v>
      </c>
      <c r="H314" t="s">
        <v>217</v>
      </c>
    </row>
    <row r="315" spans="1:8" x14ac:dyDescent="0.3">
      <c r="A315" s="78">
        <v>45565</v>
      </c>
      <c r="B315" s="77" t="s">
        <v>991</v>
      </c>
      <c r="C315" s="77" t="s">
        <v>992</v>
      </c>
      <c r="D315" s="78">
        <v>45565</v>
      </c>
      <c r="E315" s="1">
        <v>0</v>
      </c>
      <c r="F315" s="1">
        <v>39</v>
      </c>
      <c r="G315" s="1">
        <v>94894.21</v>
      </c>
      <c r="H315" t="s">
        <v>218</v>
      </c>
    </row>
    <row r="316" spans="1:8" x14ac:dyDescent="0.3">
      <c r="A316" s="78">
        <v>45565</v>
      </c>
      <c r="B316" s="77" t="s">
        <v>30</v>
      </c>
      <c r="C316" s="77" t="s">
        <v>993</v>
      </c>
      <c r="D316" s="78">
        <v>45565</v>
      </c>
      <c r="E316" s="1">
        <v>4068.04</v>
      </c>
      <c r="F316" s="1">
        <v>0</v>
      </c>
      <c r="G316" s="1">
        <v>90826.17</v>
      </c>
      <c r="H316" t="s">
        <v>217</v>
      </c>
    </row>
    <row r="317" spans="1:8" x14ac:dyDescent="0.3">
      <c r="A317" s="78">
        <v>45566</v>
      </c>
      <c r="B317" s="77" t="s">
        <v>994</v>
      </c>
      <c r="C317" s="77" t="s">
        <v>46</v>
      </c>
      <c r="D317" s="78">
        <v>45565</v>
      </c>
      <c r="E317" s="1">
        <v>0</v>
      </c>
      <c r="F317" s="1">
        <v>1145</v>
      </c>
      <c r="G317" s="1">
        <v>91971.17</v>
      </c>
      <c r="H317" t="s">
        <v>227</v>
      </c>
    </row>
    <row r="318" spans="1:8" x14ac:dyDescent="0.3">
      <c r="A318" s="78">
        <v>45566</v>
      </c>
      <c r="B318" s="77" t="s">
        <v>30</v>
      </c>
      <c r="C318" s="77" t="s">
        <v>995</v>
      </c>
      <c r="D318" s="78">
        <v>45566</v>
      </c>
      <c r="E318" s="1">
        <v>85.21</v>
      </c>
      <c r="F318" s="1">
        <v>0</v>
      </c>
      <c r="G318" s="1">
        <v>91885.96</v>
      </c>
      <c r="H318" t="s">
        <v>217</v>
      </c>
    </row>
    <row r="319" spans="1:8" x14ac:dyDescent="0.3">
      <c r="A319" s="78">
        <v>45567</v>
      </c>
      <c r="B319" s="77" t="s">
        <v>996</v>
      </c>
      <c r="C319" s="77" t="s">
        <v>997</v>
      </c>
      <c r="D319" s="78">
        <v>45567</v>
      </c>
      <c r="E319" s="1">
        <v>11240</v>
      </c>
      <c r="F319" s="1">
        <v>0</v>
      </c>
      <c r="G319" s="1">
        <v>80645.960000000006</v>
      </c>
      <c r="H319" t="s">
        <v>2526</v>
      </c>
    </row>
    <row r="320" spans="1:8" x14ac:dyDescent="0.3">
      <c r="A320" s="78">
        <v>45568</v>
      </c>
      <c r="B320" s="77" t="s">
        <v>998</v>
      </c>
      <c r="C320" s="77" t="s">
        <v>999</v>
      </c>
      <c r="D320" s="78">
        <v>45568</v>
      </c>
      <c r="E320" s="1">
        <v>0</v>
      </c>
      <c r="F320" s="1">
        <v>1411.24</v>
      </c>
      <c r="G320" s="1">
        <v>82057.2</v>
      </c>
      <c r="H320" t="s">
        <v>2523</v>
      </c>
    </row>
    <row r="321" spans="1:8" x14ac:dyDescent="0.3">
      <c r="A321" s="78">
        <v>45568</v>
      </c>
      <c r="B321" s="77" t="s">
        <v>30</v>
      </c>
      <c r="C321" s="77" t="s">
        <v>1000</v>
      </c>
      <c r="D321" s="78">
        <v>45568</v>
      </c>
      <c r="E321" s="1">
        <v>170.42</v>
      </c>
      <c r="F321" s="1">
        <v>0</v>
      </c>
      <c r="G321" s="1">
        <v>81886.78</v>
      </c>
      <c r="H321" t="s">
        <v>217</v>
      </c>
    </row>
    <row r="322" spans="1:8" x14ac:dyDescent="0.3">
      <c r="A322" s="78">
        <v>45569</v>
      </c>
      <c r="B322" s="77" t="s">
        <v>30</v>
      </c>
      <c r="C322" s="77" t="s">
        <v>1001</v>
      </c>
      <c r="D322" s="78">
        <v>45569</v>
      </c>
      <c r="E322" s="1">
        <v>3856.02</v>
      </c>
      <c r="F322" s="1">
        <v>0</v>
      </c>
      <c r="G322" s="1">
        <v>78030.759999999995</v>
      </c>
      <c r="H322" t="s">
        <v>217</v>
      </c>
    </row>
    <row r="323" spans="1:8" x14ac:dyDescent="0.3">
      <c r="A323" s="78">
        <v>45569</v>
      </c>
      <c r="B323" s="77" t="s">
        <v>30</v>
      </c>
      <c r="C323" s="77" t="s">
        <v>1002</v>
      </c>
      <c r="D323" s="78">
        <v>45569</v>
      </c>
      <c r="E323" s="1">
        <v>84.34</v>
      </c>
      <c r="F323" s="1">
        <v>0</v>
      </c>
      <c r="G323" s="1">
        <v>77946.42</v>
      </c>
      <c r="H323" t="s">
        <v>217</v>
      </c>
    </row>
    <row r="324" spans="1:8" x14ac:dyDescent="0.3">
      <c r="A324" s="78">
        <v>45569</v>
      </c>
      <c r="B324" s="77" t="s">
        <v>30</v>
      </c>
      <c r="C324" s="77" t="s">
        <v>1003</v>
      </c>
      <c r="D324" s="78">
        <v>45569</v>
      </c>
      <c r="E324" s="1">
        <v>1807.01</v>
      </c>
      <c r="F324" s="1">
        <v>0</v>
      </c>
      <c r="G324" s="1">
        <v>76139.41</v>
      </c>
      <c r="H324" t="s">
        <v>217</v>
      </c>
    </row>
    <row r="325" spans="1:8" x14ac:dyDescent="0.3">
      <c r="A325" s="78">
        <v>45572</v>
      </c>
      <c r="B325" s="77" t="s">
        <v>1004</v>
      </c>
      <c r="C325" s="77" t="s">
        <v>1005</v>
      </c>
      <c r="D325" s="78">
        <v>45572</v>
      </c>
      <c r="E325" s="1">
        <v>0</v>
      </c>
      <c r="F325" s="1">
        <v>48407.81</v>
      </c>
      <c r="G325" s="1">
        <v>124547.22</v>
      </c>
      <c r="H325" t="s">
        <v>2523</v>
      </c>
    </row>
    <row r="326" spans="1:8" x14ac:dyDescent="0.3">
      <c r="A326" s="78">
        <v>45572</v>
      </c>
      <c r="B326" s="77" t="s">
        <v>30</v>
      </c>
      <c r="C326" s="77" t="s">
        <v>1006</v>
      </c>
      <c r="D326" s="78">
        <v>45572</v>
      </c>
      <c r="E326" s="1">
        <v>258.57</v>
      </c>
      <c r="F326" s="1">
        <v>0</v>
      </c>
      <c r="G326" s="1">
        <v>124288.65</v>
      </c>
      <c r="H326" t="s">
        <v>217</v>
      </c>
    </row>
    <row r="327" spans="1:8" x14ac:dyDescent="0.3">
      <c r="A327" s="78">
        <v>45572</v>
      </c>
      <c r="B327" s="77" t="s">
        <v>1007</v>
      </c>
      <c r="C327" s="77" t="s">
        <v>1008</v>
      </c>
      <c r="D327" s="78">
        <v>45572</v>
      </c>
      <c r="E327" s="1">
        <v>0</v>
      </c>
      <c r="F327" s="1">
        <v>1880</v>
      </c>
      <c r="G327" s="1">
        <v>126168.65</v>
      </c>
      <c r="H327" t="s">
        <v>2524</v>
      </c>
    </row>
    <row r="328" spans="1:8" x14ac:dyDescent="0.3">
      <c r="A328" s="78">
        <v>45572</v>
      </c>
      <c r="B328" s="77" t="s">
        <v>30</v>
      </c>
      <c r="C328" s="77" t="s">
        <v>1009</v>
      </c>
      <c r="D328" s="78">
        <v>45572</v>
      </c>
      <c r="E328" s="1">
        <v>2029.43</v>
      </c>
      <c r="F328" s="1">
        <v>0</v>
      </c>
      <c r="G328" s="1">
        <v>124139.22</v>
      </c>
      <c r="H328" t="s">
        <v>217</v>
      </c>
    </row>
    <row r="329" spans="1:8" x14ac:dyDescent="0.3">
      <c r="A329" s="78">
        <v>45573</v>
      </c>
      <c r="B329" s="77" t="s">
        <v>30</v>
      </c>
      <c r="C329" s="77" t="s">
        <v>1010</v>
      </c>
      <c r="D329" s="78">
        <v>45573</v>
      </c>
      <c r="E329" s="1">
        <v>85.46</v>
      </c>
      <c r="F329" s="1">
        <v>0</v>
      </c>
      <c r="G329" s="1">
        <v>124053.75999999999</v>
      </c>
      <c r="H329" t="s">
        <v>217</v>
      </c>
    </row>
    <row r="330" spans="1:8" x14ac:dyDescent="0.3">
      <c r="A330" s="78">
        <v>45574</v>
      </c>
      <c r="B330" s="77" t="s">
        <v>1011</v>
      </c>
      <c r="C330" s="77" t="s">
        <v>1012</v>
      </c>
      <c r="D330" s="78">
        <v>45574</v>
      </c>
      <c r="E330" s="1">
        <v>0</v>
      </c>
      <c r="F330" s="1">
        <v>1680.05</v>
      </c>
      <c r="G330" s="1">
        <v>125733.81</v>
      </c>
      <c r="H330" t="s">
        <v>2523</v>
      </c>
    </row>
    <row r="331" spans="1:8" x14ac:dyDescent="0.3">
      <c r="A331" s="78">
        <v>45574</v>
      </c>
      <c r="B331" s="77" t="s">
        <v>30</v>
      </c>
      <c r="C331" s="77" t="s">
        <v>1013</v>
      </c>
      <c r="D331" s="78">
        <v>45574</v>
      </c>
      <c r="E331" s="1">
        <v>85.46</v>
      </c>
      <c r="F331" s="1">
        <v>0</v>
      </c>
      <c r="G331" s="1">
        <v>125648.35</v>
      </c>
      <c r="H331" t="s">
        <v>217</v>
      </c>
    </row>
    <row r="332" spans="1:8" x14ac:dyDescent="0.3">
      <c r="A332" s="78">
        <v>45575</v>
      </c>
      <c r="B332" s="77" t="s">
        <v>1014</v>
      </c>
      <c r="C332" s="77" t="s">
        <v>1015</v>
      </c>
      <c r="D332" s="78">
        <v>45575</v>
      </c>
      <c r="E332" s="1">
        <v>0</v>
      </c>
      <c r="F332" s="1">
        <v>1108.3499999999999</v>
      </c>
      <c r="G332" s="1">
        <v>126756.7</v>
      </c>
      <c r="H332" t="s">
        <v>2523</v>
      </c>
    </row>
    <row r="333" spans="1:8" x14ac:dyDescent="0.3">
      <c r="A333" s="78">
        <v>45575</v>
      </c>
      <c r="B333" s="77" t="s">
        <v>1016</v>
      </c>
      <c r="C333" s="77" t="s">
        <v>1017</v>
      </c>
      <c r="D333" s="78">
        <v>45575</v>
      </c>
      <c r="E333" s="1">
        <v>0</v>
      </c>
      <c r="F333" s="1">
        <v>23346.43</v>
      </c>
      <c r="G333" s="1">
        <v>150103.13</v>
      </c>
      <c r="H333" t="s">
        <v>2523</v>
      </c>
    </row>
    <row r="334" spans="1:8" x14ac:dyDescent="0.3">
      <c r="A334" s="78">
        <v>45575</v>
      </c>
      <c r="B334" s="77" t="s">
        <v>30</v>
      </c>
      <c r="C334" s="77" t="s">
        <v>1018</v>
      </c>
      <c r="D334" s="78">
        <v>45575</v>
      </c>
      <c r="E334" s="1">
        <v>86.06</v>
      </c>
      <c r="F334" s="1">
        <v>0</v>
      </c>
      <c r="G334" s="1">
        <v>150017.07</v>
      </c>
      <c r="H334" t="s">
        <v>217</v>
      </c>
    </row>
    <row r="335" spans="1:8" x14ac:dyDescent="0.3">
      <c r="A335" s="78">
        <v>45575</v>
      </c>
      <c r="B335" s="77" t="s">
        <v>1019</v>
      </c>
      <c r="C335" s="77" t="s">
        <v>1020</v>
      </c>
      <c r="D335" s="78">
        <v>45575</v>
      </c>
      <c r="E335" s="1">
        <v>0</v>
      </c>
      <c r="F335" s="1">
        <v>20</v>
      </c>
      <c r="G335" s="1">
        <v>150037.07</v>
      </c>
      <c r="H335" t="s">
        <v>218</v>
      </c>
    </row>
    <row r="336" spans="1:8" x14ac:dyDescent="0.3">
      <c r="A336" s="78">
        <v>45575</v>
      </c>
      <c r="B336" s="77" t="s">
        <v>1021</v>
      </c>
      <c r="C336" s="77" t="s">
        <v>1022</v>
      </c>
      <c r="D336" s="78">
        <v>45575</v>
      </c>
      <c r="E336" s="1">
        <v>0</v>
      </c>
      <c r="F336" s="1">
        <v>75000</v>
      </c>
      <c r="G336" s="1">
        <v>225037.07</v>
      </c>
      <c r="H336" t="s">
        <v>505</v>
      </c>
    </row>
    <row r="337" spans="1:8" x14ac:dyDescent="0.3">
      <c r="A337" s="78">
        <v>45575</v>
      </c>
      <c r="B337" s="77" t="s">
        <v>30</v>
      </c>
      <c r="C337" s="77" t="s">
        <v>1023</v>
      </c>
      <c r="D337" s="78">
        <v>45575</v>
      </c>
      <c r="E337" s="1">
        <v>298.7</v>
      </c>
      <c r="F337" s="1">
        <v>0</v>
      </c>
      <c r="G337" s="1">
        <v>224738.37</v>
      </c>
      <c r="H337" t="s">
        <v>217</v>
      </c>
    </row>
    <row r="338" spans="1:8" x14ac:dyDescent="0.3">
      <c r="A338" s="78">
        <v>45576</v>
      </c>
      <c r="B338" s="77" t="s">
        <v>1024</v>
      </c>
      <c r="C338" s="77" t="s">
        <v>1025</v>
      </c>
      <c r="D338" s="78">
        <v>45576</v>
      </c>
      <c r="E338" s="1">
        <v>0</v>
      </c>
      <c r="F338" s="1">
        <v>12020.99</v>
      </c>
      <c r="G338" s="1">
        <v>236759.36</v>
      </c>
      <c r="H338" t="s">
        <v>2523</v>
      </c>
    </row>
    <row r="339" spans="1:8" x14ac:dyDescent="0.3">
      <c r="A339" s="78">
        <v>45576</v>
      </c>
      <c r="B339" s="77" t="s">
        <v>30</v>
      </c>
      <c r="C339" s="77" t="s">
        <v>1026</v>
      </c>
      <c r="D339" s="78">
        <v>45576</v>
      </c>
      <c r="E339" s="1">
        <v>86.35</v>
      </c>
      <c r="F339" s="1">
        <v>0</v>
      </c>
      <c r="G339" s="1">
        <v>236673.01</v>
      </c>
      <c r="H339" t="s">
        <v>217</v>
      </c>
    </row>
    <row r="340" spans="1:8" x14ac:dyDescent="0.3">
      <c r="A340" s="78">
        <v>45576</v>
      </c>
      <c r="B340" s="77" t="s">
        <v>1027</v>
      </c>
      <c r="C340" s="77" t="s">
        <v>1028</v>
      </c>
      <c r="D340" s="78">
        <v>45576</v>
      </c>
      <c r="E340" s="1">
        <v>0</v>
      </c>
      <c r="F340" s="1">
        <v>14</v>
      </c>
      <c r="G340" s="1">
        <v>236687.01</v>
      </c>
      <c r="H340" t="s">
        <v>218</v>
      </c>
    </row>
    <row r="341" spans="1:8" x14ac:dyDescent="0.3">
      <c r="A341" s="78">
        <v>45579</v>
      </c>
      <c r="B341" s="77" t="s">
        <v>1029</v>
      </c>
      <c r="C341" s="77" t="s">
        <v>1030</v>
      </c>
      <c r="D341" s="78">
        <v>45579</v>
      </c>
      <c r="E341" s="1">
        <v>0</v>
      </c>
      <c r="F341" s="1">
        <v>1755.66</v>
      </c>
      <c r="G341" s="1">
        <v>238442.67</v>
      </c>
      <c r="H341" t="s">
        <v>2523</v>
      </c>
    </row>
    <row r="342" spans="1:8" x14ac:dyDescent="0.3">
      <c r="A342" s="78">
        <v>45579</v>
      </c>
      <c r="B342" s="77" t="s">
        <v>30</v>
      </c>
      <c r="C342" s="77" t="s">
        <v>1031</v>
      </c>
      <c r="D342" s="78">
        <v>45579</v>
      </c>
      <c r="E342" s="1">
        <v>676.51</v>
      </c>
      <c r="F342" s="1">
        <v>0</v>
      </c>
      <c r="G342" s="1">
        <v>237766.16</v>
      </c>
      <c r="H342" t="s">
        <v>217</v>
      </c>
    </row>
    <row r="343" spans="1:8" x14ac:dyDescent="0.3">
      <c r="A343" s="78">
        <v>45580</v>
      </c>
      <c r="B343" s="77" t="s">
        <v>1032</v>
      </c>
      <c r="C343" s="77" t="s">
        <v>46</v>
      </c>
      <c r="D343" s="78">
        <v>45580</v>
      </c>
      <c r="E343" s="1">
        <v>224.2</v>
      </c>
      <c r="F343" s="1">
        <v>0</v>
      </c>
      <c r="G343" s="1">
        <v>237541.96</v>
      </c>
      <c r="H343" t="s">
        <v>220</v>
      </c>
    </row>
    <row r="344" spans="1:8" x14ac:dyDescent="0.3">
      <c r="A344" s="78">
        <v>45580</v>
      </c>
      <c r="B344" s="77" t="s">
        <v>30</v>
      </c>
      <c r="C344" s="77" t="s">
        <v>1033</v>
      </c>
      <c r="D344" s="78">
        <v>45580</v>
      </c>
      <c r="E344" s="1">
        <v>86.83</v>
      </c>
      <c r="F344" s="1">
        <v>0</v>
      </c>
      <c r="G344" s="1">
        <v>237455.13</v>
      </c>
      <c r="H344" t="s">
        <v>217</v>
      </c>
    </row>
    <row r="345" spans="1:8" x14ac:dyDescent="0.3">
      <c r="A345" s="78">
        <v>45580</v>
      </c>
      <c r="B345" s="77" t="s">
        <v>30</v>
      </c>
      <c r="C345" s="77" t="s">
        <v>1034</v>
      </c>
      <c r="D345" s="78">
        <v>45580</v>
      </c>
      <c r="E345" s="1">
        <v>1954.43</v>
      </c>
      <c r="F345" s="1">
        <v>0</v>
      </c>
      <c r="G345" s="1">
        <v>235500.7</v>
      </c>
      <c r="H345" t="s">
        <v>217</v>
      </c>
    </row>
    <row r="346" spans="1:8" x14ac:dyDescent="0.3">
      <c r="A346" s="78">
        <v>45581</v>
      </c>
      <c r="B346" s="77" t="s">
        <v>1035</v>
      </c>
      <c r="C346" s="77" t="s">
        <v>1036</v>
      </c>
      <c r="D346" s="78">
        <v>45581</v>
      </c>
      <c r="E346" s="1">
        <v>0</v>
      </c>
      <c r="F346" s="1">
        <v>31768.06</v>
      </c>
      <c r="G346" s="1">
        <v>267268.76</v>
      </c>
      <c r="H346" t="s">
        <v>2523</v>
      </c>
    </row>
    <row r="347" spans="1:8" x14ac:dyDescent="0.3">
      <c r="A347" s="78">
        <v>45581</v>
      </c>
      <c r="B347" s="77" t="s">
        <v>30</v>
      </c>
      <c r="C347" s="77" t="s">
        <v>1037</v>
      </c>
      <c r="D347" s="78">
        <v>45581</v>
      </c>
      <c r="E347" s="1">
        <v>86.13</v>
      </c>
      <c r="F347" s="1">
        <v>0</v>
      </c>
      <c r="G347" s="1">
        <v>267182.63</v>
      </c>
      <c r="H347" t="s">
        <v>217</v>
      </c>
    </row>
    <row r="348" spans="1:8" x14ac:dyDescent="0.3">
      <c r="A348" s="78">
        <v>45581</v>
      </c>
      <c r="B348" s="77" t="s">
        <v>30</v>
      </c>
      <c r="C348" s="77" t="s">
        <v>1038</v>
      </c>
      <c r="D348" s="78">
        <v>45581</v>
      </c>
      <c r="E348" s="1">
        <v>377.15</v>
      </c>
      <c r="F348" s="1">
        <v>0</v>
      </c>
      <c r="G348" s="1">
        <v>266805.48</v>
      </c>
      <c r="H348" t="s">
        <v>217</v>
      </c>
    </row>
    <row r="349" spans="1:8" x14ac:dyDescent="0.3">
      <c r="A349" s="78">
        <v>45582</v>
      </c>
      <c r="B349" s="77" t="s">
        <v>30</v>
      </c>
      <c r="C349" s="77" t="s">
        <v>1039</v>
      </c>
      <c r="D349" s="78">
        <v>45582</v>
      </c>
      <c r="E349" s="1">
        <v>86</v>
      </c>
      <c r="F349" s="1">
        <v>0</v>
      </c>
      <c r="G349" s="1">
        <v>266719.48</v>
      </c>
      <c r="H349" t="s">
        <v>217</v>
      </c>
    </row>
    <row r="350" spans="1:8" x14ac:dyDescent="0.3">
      <c r="A350" s="78">
        <v>45582</v>
      </c>
      <c r="B350" s="77" t="s">
        <v>30</v>
      </c>
      <c r="C350" s="77" t="s">
        <v>1040</v>
      </c>
      <c r="D350" s="78">
        <v>45582</v>
      </c>
      <c r="E350" s="1">
        <v>569.25</v>
      </c>
      <c r="F350" s="1">
        <v>0</v>
      </c>
      <c r="G350" s="1">
        <v>266150.23</v>
      </c>
      <c r="H350" t="s">
        <v>217</v>
      </c>
    </row>
    <row r="351" spans="1:8" x14ac:dyDescent="0.3">
      <c r="A351" s="78">
        <v>45583</v>
      </c>
      <c r="B351" s="77" t="s">
        <v>30</v>
      </c>
      <c r="C351" s="77" t="s">
        <v>1041</v>
      </c>
      <c r="D351" s="78">
        <v>45583</v>
      </c>
      <c r="E351" s="1">
        <v>85.79</v>
      </c>
      <c r="F351" s="1">
        <v>0</v>
      </c>
      <c r="G351" s="1">
        <v>266064.44</v>
      </c>
      <c r="H351" t="s">
        <v>217</v>
      </c>
    </row>
    <row r="352" spans="1:8" x14ac:dyDescent="0.3">
      <c r="A352" s="78">
        <v>45583</v>
      </c>
      <c r="B352" s="77" t="s">
        <v>30</v>
      </c>
      <c r="C352" s="77" t="s">
        <v>1042</v>
      </c>
      <c r="D352" s="78">
        <v>45583</v>
      </c>
      <c r="E352" s="1">
        <v>204.48</v>
      </c>
      <c r="F352" s="1">
        <v>0</v>
      </c>
      <c r="G352" s="1">
        <v>265859.96000000002</v>
      </c>
      <c r="H352" t="s">
        <v>217</v>
      </c>
    </row>
    <row r="353" spans="1:8" x14ac:dyDescent="0.3">
      <c r="A353" s="78">
        <v>45586</v>
      </c>
      <c r="B353" s="77" t="s">
        <v>1043</v>
      </c>
      <c r="C353" s="77" t="s">
        <v>1044</v>
      </c>
      <c r="D353" s="78">
        <v>45586</v>
      </c>
      <c r="E353" s="1">
        <v>0</v>
      </c>
      <c r="F353" s="1">
        <v>33301.120000000003</v>
      </c>
      <c r="G353" s="1">
        <v>299161.08</v>
      </c>
      <c r="H353" t="s">
        <v>2523</v>
      </c>
    </row>
    <row r="354" spans="1:8" x14ac:dyDescent="0.3">
      <c r="A354" s="78">
        <v>45586</v>
      </c>
      <c r="B354" s="77" t="s">
        <v>30</v>
      </c>
      <c r="C354" s="77" t="s">
        <v>1045</v>
      </c>
      <c r="D354" s="78">
        <v>45586</v>
      </c>
      <c r="E354" s="1">
        <v>257.16000000000003</v>
      </c>
      <c r="F354" s="1">
        <v>0</v>
      </c>
      <c r="G354" s="1">
        <v>298903.92</v>
      </c>
      <c r="H354" t="s">
        <v>217</v>
      </c>
    </row>
    <row r="355" spans="1:8" x14ac:dyDescent="0.3">
      <c r="A355" s="78">
        <v>45587</v>
      </c>
      <c r="B355" s="77" t="s">
        <v>1046</v>
      </c>
      <c r="C355" s="77" t="s">
        <v>1047</v>
      </c>
      <c r="D355" s="78">
        <v>45587</v>
      </c>
      <c r="E355" s="1">
        <v>0</v>
      </c>
      <c r="F355" s="1">
        <v>838.81</v>
      </c>
      <c r="G355" s="1">
        <v>299742.73</v>
      </c>
      <c r="H355" t="s">
        <v>2523</v>
      </c>
    </row>
    <row r="356" spans="1:8" x14ac:dyDescent="0.3">
      <c r="A356" s="78">
        <v>45587</v>
      </c>
      <c r="B356" s="77" t="s">
        <v>1048</v>
      </c>
      <c r="C356" s="77" t="s">
        <v>1049</v>
      </c>
      <c r="D356" s="78">
        <v>45587</v>
      </c>
      <c r="E356" s="1">
        <v>1.18</v>
      </c>
      <c r="F356" s="1">
        <v>0</v>
      </c>
      <c r="G356" s="1">
        <v>299741.55</v>
      </c>
      <c r="H356" t="s">
        <v>221</v>
      </c>
    </row>
    <row r="357" spans="1:8" x14ac:dyDescent="0.3">
      <c r="A357" s="78">
        <v>45587</v>
      </c>
      <c r="B357" s="77" t="s">
        <v>30</v>
      </c>
      <c r="C357" s="77" t="s">
        <v>1050</v>
      </c>
      <c r="D357" s="78">
        <v>45587</v>
      </c>
      <c r="E357" s="1">
        <v>85.72</v>
      </c>
      <c r="F357" s="1">
        <v>0</v>
      </c>
      <c r="G357" s="1">
        <v>299655.83</v>
      </c>
      <c r="H357" t="s">
        <v>217</v>
      </c>
    </row>
    <row r="358" spans="1:8" x14ac:dyDescent="0.3">
      <c r="A358" s="78">
        <v>45587</v>
      </c>
      <c r="B358" s="77" t="s">
        <v>30</v>
      </c>
      <c r="C358" s="77" t="s">
        <v>1051</v>
      </c>
      <c r="D358" s="78">
        <v>45587</v>
      </c>
      <c r="E358" s="1">
        <v>16105.2</v>
      </c>
      <c r="F358" s="1">
        <v>0</v>
      </c>
      <c r="G358" s="1">
        <v>283550.63</v>
      </c>
      <c r="H358" t="s">
        <v>217</v>
      </c>
    </row>
    <row r="359" spans="1:8" x14ac:dyDescent="0.3">
      <c r="A359" s="78">
        <v>45588</v>
      </c>
      <c r="B359" s="77" t="s">
        <v>30</v>
      </c>
      <c r="C359" s="77" t="s">
        <v>1052</v>
      </c>
      <c r="D359" s="78">
        <v>45588</v>
      </c>
      <c r="E359" s="1">
        <v>80.28</v>
      </c>
      <c r="F359" s="1">
        <v>0</v>
      </c>
      <c r="G359" s="1">
        <v>283470.34999999998</v>
      </c>
      <c r="H359" t="s">
        <v>217</v>
      </c>
    </row>
    <row r="360" spans="1:8" x14ac:dyDescent="0.3">
      <c r="A360" s="78">
        <v>45589</v>
      </c>
      <c r="B360" s="77" t="s">
        <v>1053</v>
      </c>
      <c r="C360" s="77" t="s">
        <v>1054</v>
      </c>
      <c r="D360" s="78">
        <v>45589</v>
      </c>
      <c r="E360" s="1">
        <v>0</v>
      </c>
      <c r="F360" s="1">
        <v>3223.25</v>
      </c>
      <c r="G360" s="1">
        <v>286693.59999999998</v>
      </c>
      <c r="H360" t="s">
        <v>2523</v>
      </c>
    </row>
    <row r="361" spans="1:8" x14ac:dyDescent="0.3">
      <c r="A361" s="78">
        <v>45589</v>
      </c>
      <c r="B361" s="77" t="s">
        <v>30</v>
      </c>
      <c r="C361" s="77" t="s">
        <v>1055</v>
      </c>
      <c r="D361" s="78">
        <v>45589</v>
      </c>
      <c r="E361" s="1">
        <v>90.19</v>
      </c>
      <c r="F361" s="1">
        <v>0</v>
      </c>
      <c r="G361" s="1">
        <v>286603.40999999997</v>
      </c>
      <c r="H361" t="s">
        <v>217</v>
      </c>
    </row>
    <row r="362" spans="1:8" x14ac:dyDescent="0.3">
      <c r="A362" s="78">
        <v>45589</v>
      </c>
      <c r="B362" s="77" t="s">
        <v>1056</v>
      </c>
      <c r="C362" s="77" t="s">
        <v>1057</v>
      </c>
      <c r="D362" s="78">
        <v>45589</v>
      </c>
      <c r="E362" s="1">
        <v>0</v>
      </c>
      <c r="F362" s="1">
        <v>400</v>
      </c>
      <c r="G362" s="1">
        <v>287003.40999999997</v>
      </c>
      <c r="H362" t="s">
        <v>218</v>
      </c>
    </row>
    <row r="363" spans="1:8" x14ac:dyDescent="0.3">
      <c r="A363" s="78">
        <v>45589</v>
      </c>
      <c r="B363" s="77" t="s">
        <v>30</v>
      </c>
      <c r="C363" s="77" t="s">
        <v>1058</v>
      </c>
      <c r="D363" s="78">
        <v>45589</v>
      </c>
      <c r="E363" s="1">
        <v>6677.8</v>
      </c>
      <c r="F363" s="1">
        <v>0</v>
      </c>
      <c r="G363" s="1">
        <v>280325.61</v>
      </c>
      <c r="H363" t="s">
        <v>217</v>
      </c>
    </row>
    <row r="364" spans="1:8" x14ac:dyDescent="0.3">
      <c r="A364" s="78">
        <v>45590</v>
      </c>
      <c r="B364" s="77" t="s">
        <v>30</v>
      </c>
      <c r="C364" s="77" t="s">
        <v>1059</v>
      </c>
      <c r="D364" s="78">
        <v>45590</v>
      </c>
      <c r="E364" s="1">
        <v>88.96</v>
      </c>
      <c r="F364" s="1">
        <v>0</v>
      </c>
      <c r="G364" s="1">
        <v>280236.65000000002</v>
      </c>
      <c r="H364" t="s">
        <v>217</v>
      </c>
    </row>
    <row r="365" spans="1:8" x14ac:dyDescent="0.3">
      <c r="A365" s="78">
        <v>45591</v>
      </c>
      <c r="B365" s="77" t="s">
        <v>30</v>
      </c>
      <c r="C365" s="77" t="s">
        <v>1060</v>
      </c>
      <c r="D365" s="78">
        <v>45591</v>
      </c>
      <c r="E365" s="1">
        <v>5527.85</v>
      </c>
      <c r="F365" s="1">
        <v>0</v>
      </c>
      <c r="G365" s="1">
        <v>274708.8</v>
      </c>
      <c r="H365" t="s">
        <v>217</v>
      </c>
    </row>
    <row r="366" spans="1:8" x14ac:dyDescent="0.3">
      <c r="A366" s="78">
        <v>45592</v>
      </c>
      <c r="B366" s="77" t="s">
        <v>1061</v>
      </c>
      <c r="C366" s="77" t="s">
        <v>1062</v>
      </c>
      <c r="D366" s="78">
        <v>45592</v>
      </c>
      <c r="E366" s="1">
        <v>0</v>
      </c>
      <c r="F366" s="1">
        <v>20000</v>
      </c>
      <c r="G366" s="1">
        <v>294708.8</v>
      </c>
      <c r="H366" t="s">
        <v>2519</v>
      </c>
    </row>
    <row r="367" spans="1:8" x14ac:dyDescent="0.3">
      <c r="A367" s="78">
        <v>45593</v>
      </c>
      <c r="B367" s="77" t="s">
        <v>1063</v>
      </c>
      <c r="C367" s="77" t="s">
        <v>1064</v>
      </c>
      <c r="D367" s="78">
        <v>45593</v>
      </c>
      <c r="E367" s="1">
        <v>5000</v>
      </c>
      <c r="F367" s="1">
        <v>0</v>
      </c>
      <c r="G367" s="1">
        <v>289708.79999999999</v>
      </c>
      <c r="H367" t="s">
        <v>219</v>
      </c>
    </row>
    <row r="368" spans="1:8" x14ac:dyDescent="0.3">
      <c r="A368" s="78">
        <v>45593</v>
      </c>
      <c r="B368" s="77" t="s">
        <v>1065</v>
      </c>
      <c r="C368" s="77" t="s">
        <v>1066</v>
      </c>
      <c r="D368" s="78">
        <v>45593</v>
      </c>
      <c r="E368" s="1">
        <v>125244</v>
      </c>
      <c r="F368" s="1">
        <v>0</v>
      </c>
      <c r="G368" s="1">
        <v>164464.79999999999</v>
      </c>
      <c r="H368" t="s">
        <v>228</v>
      </c>
    </row>
    <row r="369" spans="1:8" x14ac:dyDescent="0.3">
      <c r="A369" s="78">
        <v>45593</v>
      </c>
      <c r="B369" s="77" t="s">
        <v>1067</v>
      </c>
      <c r="C369" s="77" t="s">
        <v>1068</v>
      </c>
      <c r="D369" s="78">
        <v>45593</v>
      </c>
      <c r="E369" s="1">
        <v>128000</v>
      </c>
      <c r="F369" s="1">
        <v>0</v>
      </c>
      <c r="G369" s="1">
        <v>36464.800000000003</v>
      </c>
      <c r="H369" t="s">
        <v>228</v>
      </c>
    </row>
    <row r="370" spans="1:8" x14ac:dyDescent="0.3">
      <c r="A370" s="78">
        <v>45593</v>
      </c>
      <c r="B370" s="77" t="s">
        <v>30</v>
      </c>
      <c r="C370" s="77" t="s">
        <v>1069</v>
      </c>
      <c r="D370" s="78">
        <v>45593</v>
      </c>
      <c r="E370" s="1">
        <v>282.93</v>
      </c>
      <c r="F370" s="1">
        <v>0</v>
      </c>
      <c r="G370" s="1">
        <v>36181.870000000003</v>
      </c>
      <c r="H370" t="s">
        <v>217</v>
      </c>
    </row>
    <row r="371" spans="1:8" x14ac:dyDescent="0.3">
      <c r="A371" s="78">
        <v>45594</v>
      </c>
      <c r="B371" s="77" t="s">
        <v>1070</v>
      </c>
      <c r="C371" s="77" t="s">
        <v>1071</v>
      </c>
      <c r="D371" s="78">
        <v>45594</v>
      </c>
      <c r="E371" s="1">
        <v>0</v>
      </c>
      <c r="F371" s="1">
        <v>1841.7</v>
      </c>
      <c r="G371" s="1">
        <v>38023.57</v>
      </c>
      <c r="H371" t="s">
        <v>2523</v>
      </c>
    </row>
    <row r="372" spans="1:8" x14ac:dyDescent="0.3">
      <c r="A372" s="78">
        <v>45594</v>
      </c>
      <c r="B372" s="77" t="s">
        <v>30</v>
      </c>
      <c r="C372" s="77" t="s">
        <v>1072</v>
      </c>
      <c r="D372" s="78">
        <v>45594</v>
      </c>
      <c r="E372" s="1">
        <v>97.06</v>
      </c>
      <c r="F372" s="1">
        <v>0</v>
      </c>
      <c r="G372" s="1">
        <v>37926.51</v>
      </c>
      <c r="H372" t="s">
        <v>217</v>
      </c>
    </row>
    <row r="373" spans="1:8" x14ac:dyDescent="0.3">
      <c r="A373" s="78">
        <v>45594</v>
      </c>
      <c r="B373" s="77" t="s">
        <v>30</v>
      </c>
      <c r="C373" s="77" t="s">
        <v>1073</v>
      </c>
      <c r="D373" s="78">
        <v>45594</v>
      </c>
      <c r="E373" s="1">
        <v>3247.27</v>
      </c>
      <c r="F373" s="1">
        <v>0</v>
      </c>
      <c r="G373" s="1">
        <v>34679.24</v>
      </c>
      <c r="H373" t="s">
        <v>217</v>
      </c>
    </row>
    <row r="374" spans="1:8" x14ac:dyDescent="0.3">
      <c r="A374" s="78">
        <v>45595</v>
      </c>
      <c r="B374" s="77" t="s">
        <v>1074</v>
      </c>
      <c r="C374" s="77" t="s">
        <v>1075</v>
      </c>
      <c r="D374" s="78">
        <v>45595</v>
      </c>
      <c r="E374" s="1">
        <v>5000</v>
      </c>
      <c r="F374" s="1">
        <v>0</v>
      </c>
      <c r="G374" s="1">
        <v>29679.24</v>
      </c>
      <c r="H374" t="s">
        <v>219</v>
      </c>
    </row>
    <row r="375" spans="1:8" x14ac:dyDescent="0.3">
      <c r="A375" s="78">
        <v>45595</v>
      </c>
      <c r="B375" s="77" t="s">
        <v>30</v>
      </c>
      <c r="C375" s="77" t="s">
        <v>1076</v>
      </c>
      <c r="D375" s="78">
        <v>45595</v>
      </c>
      <c r="E375" s="1">
        <v>96.56</v>
      </c>
      <c r="F375" s="1">
        <v>0</v>
      </c>
      <c r="G375" s="1">
        <v>29582.68</v>
      </c>
      <c r="H375" t="s">
        <v>217</v>
      </c>
    </row>
    <row r="376" spans="1:8" x14ac:dyDescent="0.3">
      <c r="A376" s="78">
        <v>45595</v>
      </c>
      <c r="B376" s="77" t="s">
        <v>30</v>
      </c>
      <c r="C376" s="77" t="s">
        <v>1077</v>
      </c>
      <c r="D376" s="78">
        <v>45595</v>
      </c>
      <c r="E376" s="1">
        <v>49.8</v>
      </c>
      <c r="F376" s="1">
        <v>0</v>
      </c>
      <c r="G376" s="1">
        <v>29532.880000000001</v>
      </c>
      <c r="H376" t="s">
        <v>217</v>
      </c>
    </row>
    <row r="377" spans="1:8" x14ac:dyDescent="0.3">
      <c r="A377" s="78">
        <v>45596</v>
      </c>
      <c r="B377" s="77" t="s">
        <v>30</v>
      </c>
      <c r="C377" s="77" t="s">
        <v>1078</v>
      </c>
      <c r="D377" s="78">
        <v>45596</v>
      </c>
      <c r="E377" s="1">
        <v>100.02</v>
      </c>
      <c r="F377" s="1">
        <v>0</v>
      </c>
      <c r="G377" s="1">
        <v>29432.86</v>
      </c>
      <c r="H377" t="s">
        <v>217</v>
      </c>
    </row>
    <row r="378" spans="1:8" x14ac:dyDescent="0.3">
      <c r="A378" s="78">
        <v>45596</v>
      </c>
      <c r="B378" s="77" t="s">
        <v>30</v>
      </c>
      <c r="C378" s="77" t="s">
        <v>1079</v>
      </c>
      <c r="D378" s="78">
        <v>45596</v>
      </c>
      <c r="E378" s="1">
        <v>17700.419999999998</v>
      </c>
      <c r="F378" s="1">
        <v>0</v>
      </c>
      <c r="G378" s="1">
        <v>11732.44</v>
      </c>
      <c r="H378" t="s">
        <v>217</v>
      </c>
    </row>
    <row r="379" spans="1:8" x14ac:dyDescent="0.3">
      <c r="A379" s="78">
        <v>45596</v>
      </c>
      <c r="B379" s="77" t="s">
        <v>30</v>
      </c>
      <c r="C379" s="77" t="s">
        <v>1080</v>
      </c>
      <c r="D379" s="78">
        <v>45596</v>
      </c>
      <c r="E379" s="1">
        <v>488.32</v>
      </c>
      <c r="F379" s="1">
        <v>0</v>
      </c>
      <c r="G379" s="1">
        <v>11244.12</v>
      </c>
      <c r="H379" t="s">
        <v>217</v>
      </c>
    </row>
    <row r="380" spans="1:8" x14ac:dyDescent="0.3">
      <c r="A380" s="78">
        <v>45600</v>
      </c>
      <c r="B380" s="77" t="s">
        <v>1081</v>
      </c>
      <c r="C380" s="77" t="s">
        <v>1082</v>
      </c>
      <c r="D380" s="78">
        <v>45600</v>
      </c>
      <c r="E380" s="1">
        <v>0</v>
      </c>
      <c r="F380" s="1">
        <v>15574.31</v>
      </c>
      <c r="G380" s="1">
        <v>26818.43</v>
      </c>
      <c r="H380" t="s">
        <v>2523</v>
      </c>
    </row>
    <row r="381" spans="1:8" x14ac:dyDescent="0.3">
      <c r="A381" s="78">
        <v>45600</v>
      </c>
      <c r="B381" s="77" t="s">
        <v>1083</v>
      </c>
      <c r="C381" s="77" t="s">
        <v>1084</v>
      </c>
      <c r="D381" s="78">
        <v>45600</v>
      </c>
      <c r="E381" s="1">
        <v>0</v>
      </c>
      <c r="F381" s="1">
        <v>9289.3799999999992</v>
      </c>
      <c r="G381" s="1">
        <v>36107.81</v>
      </c>
      <c r="H381" t="s">
        <v>2523</v>
      </c>
    </row>
    <row r="382" spans="1:8" x14ac:dyDescent="0.3">
      <c r="A382" s="78">
        <v>45600</v>
      </c>
      <c r="B382" s="77" t="s">
        <v>30</v>
      </c>
      <c r="C382" s="77" t="s">
        <v>1085</v>
      </c>
      <c r="D382" s="78">
        <v>45600</v>
      </c>
      <c r="E382" s="1">
        <v>399.4</v>
      </c>
      <c r="F382" s="1">
        <v>0</v>
      </c>
      <c r="G382" s="1">
        <v>35708.410000000003</v>
      </c>
      <c r="H382" t="s">
        <v>217</v>
      </c>
    </row>
    <row r="383" spans="1:8" x14ac:dyDescent="0.3">
      <c r="A383" s="78">
        <v>45600</v>
      </c>
      <c r="B383" s="77" t="s">
        <v>30</v>
      </c>
      <c r="C383" s="77" t="s">
        <v>1086</v>
      </c>
      <c r="D383" s="78">
        <v>45600</v>
      </c>
      <c r="E383" s="1">
        <v>1291.04</v>
      </c>
      <c r="F383" s="1">
        <v>0</v>
      </c>
      <c r="G383" s="1">
        <v>34417.370000000003</v>
      </c>
      <c r="H383" t="s">
        <v>217</v>
      </c>
    </row>
    <row r="384" spans="1:8" x14ac:dyDescent="0.3">
      <c r="A384" s="78">
        <v>45601</v>
      </c>
      <c r="B384" s="77" t="s">
        <v>30</v>
      </c>
      <c r="C384" s="77" t="s">
        <v>1087</v>
      </c>
      <c r="D384" s="78">
        <v>45601</v>
      </c>
      <c r="E384" s="1">
        <v>90.03</v>
      </c>
      <c r="F384" s="1">
        <v>0</v>
      </c>
      <c r="G384" s="1">
        <v>34327.339999999997</v>
      </c>
      <c r="H384" t="s">
        <v>217</v>
      </c>
    </row>
    <row r="385" spans="1:8" x14ac:dyDescent="0.3">
      <c r="A385" s="78">
        <v>45601</v>
      </c>
      <c r="B385" s="77" t="s">
        <v>1088</v>
      </c>
      <c r="C385" s="77" t="s">
        <v>1089</v>
      </c>
      <c r="D385" s="78">
        <v>45601</v>
      </c>
      <c r="E385" s="1">
        <v>0</v>
      </c>
      <c r="F385" s="1">
        <v>130</v>
      </c>
      <c r="G385" s="1">
        <v>34457.339999999997</v>
      </c>
      <c r="H385" t="s">
        <v>218</v>
      </c>
    </row>
    <row r="386" spans="1:8" x14ac:dyDescent="0.3">
      <c r="A386" s="78">
        <v>45602</v>
      </c>
      <c r="B386" s="77" t="s">
        <v>1090</v>
      </c>
      <c r="C386" s="77" t="s">
        <v>1091</v>
      </c>
      <c r="D386" s="78">
        <v>45602</v>
      </c>
      <c r="E386" s="1">
        <v>0</v>
      </c>
      <c r="F386" s="1">
        <v>491.22</v>
      </c>
      <c r="G386" s="1">
        <v>34948.559999999998</v>
      </c>
      <c r="H386" t="s">
        <v>2523</v>
      </c>
    </row>
    <row r="387" spans="1:8" x14ac:dyDescent="0.3">
      <c r="A387" s="78">
        <v>45602</v>
      </c>
      <c r="B387" s="77" t="s">
        <v>30</v>
      </c>
      <c r="C387" s="77" t="s">
        <v>1092</v>
      </c>
      <c r="D387" s="78">
        <v>45602</v>
      </c>
      <c r="E387" s="1">
        <v>90.03</v>
      </c>
      <c r="F387" s="1">
        <v>0</v>
      </c>
      <c r="G387" s="1">
        <v>34858.53</v>
      </c>
      <c r="H387" t="s">
        <v>217</v>
      </c>
    </row>
    <row r="388" spans="1:8" x14ac:dyDescent="0.3">
      <c r="A388" s="78">
        <v>45603</v>
      </c>
      <c r="B388" s="77" t="s">
        <v>1093</v>
      </c>
      <c r="C388" s="77" t="s">
        <v>1094</v>
      </c>
      <c r="D388" s="78">
        <v>45603</v>
      </c>
      <c r="E388" s="1">
        <v>0</v>
      </c>
      <c r="F388" s="1">
        <v>2671.04</v>
      </c>
      <c r="G388" s="1">
        <v>37529.57</v>
      </c>
      <c r="H388" t="s">
        <v>2523</v>
      </c>
    </row>
    <row r="389" spans="1:8" x14ac:dyDescent="0.3">
      <c r="A389" s="78">
        <v>45603</v>
      </c>
      <c r="B389" s="77" t="s">
        <v>30</v>
      </c>
      <c r="C389" s="77" t="s">
        <v>1095</v>
      </c>
      <c r="D389" s="78">
        <v>45603</v>
      </c>
      <c r="E389" s="1">
        <v>90.2</v>
      </c>
      <c r="F389" s="1">
        <v>0</v>
      </c>
      <c r="G389" s="1">
        <v>37439.370000000003</v>
      </c>
      <c r="H389" t="s">
        <v>217</v>
      </c>
    </row>
    <row r="390" spans="1:8" x14ac:dyDescent="0.3">
      <c r="A390" s="78">
        <v>45603</v>
      </c>
      <c r="B390" s="77" t="s">
        <v>1096</v>
      </c>
      <c r="C390" s="77" t="s">
        <v>1097</v>
      </c>
      <c r="D390" s="78">
        <v>45603</v>
      </c>
      <c r="E390" s="1">
        <v>0</v>
      </c>
      <c r="F390" s="1">
        <v>620</v>
      </c>
      <c r="G390" s="1">
        <v>38059.370000000003</v>
      </c>
      <c r="H390" t="s">
        <v>218</v>
      </c>
    </row>
    <row r="391" spans="1:8" x14ac:dyDescent="0.3">
      <c r="A391" s="78">
        <v>45603</v>
      </c>
      <c r="B391" s="77" t="s">
        <v>1098</v>
      </c>
      <c r="C391" s="77" t="s">
        <v>1099</v>
      </c>
      <c r="D391" s="78">
        <v>45603</v>
      </c>
      <c r="E391" s="1">
        <v>0</v>
      </c>
      <c r="F391" s="1">
        <v>1880</v>
      </c>
      <c r="G391" s="1">
        <v>39939.370000000003</v>
      </c>
      <c r="H391" t="s">
        <v>2524</v>
      </c>
    </row>
    <row r="392" spans="1:8" x14ac:dyDescent="0.3">
      <c r="A392" s="78">
        <v>45603</v>
      </c>
      <c r="B392" s="77" t="s">
        <v>30</v>
      </c>
      <c r="C392" s="77" t="s">
        <v>1100</v>
      </c>
      <c r="D392" s="78">
        <v>45603</v>
      </c>
      <c r="E392" s="1">
        <v>1010.28</v>
      </c>
      <c r="F392" s="1">
        <v>0</v>
      </c>
      <c r="G392" s="1">
        <v>38929.089999999997</v>
      </c>
      <c r="H392" t="s">
        <v>217</v>
      </c>
    </row>
    <row r="393" spans="1:8" x14ac:dyDescent="0.3">
      <c r="A393" s="78">
        <v>45604</v>
      </c>
      <c r="B393" s="77" t="s">
        <v>30</v>
      </c>
      <c r="C393" s="77" t="s">
        <v>1101</v>
      </c>
      <c r="D393" s="78">
        <v>45604</v>
      </c>
      <c r="E393" s="1">
        <v>90.79</v>
      </c>
      <c r="F393" s="1">
        <v>0</v>
      </c>
      <c r="G393" s="1">
        <v>38838.300000000003</v>
      </c>
      <c r="H393" t="s">
        <v>217</v>
      </c>
    </row>
    <row r="394" spans="1:8" x14ac:dyDescent="0.3">
      <c r="A394" s="78">
        <v>45604</v>
      </c>
      <c r="B394" s="77" t="s">
        <v>30</v>
      </c>
      <c r="C394" s="77" t="s">
        <v>1102</v>
      </c>
      <c r="D394" s="78">
        <v>45604</v>
      </c>
      <c r="E394" s="1">
        <v>984.27</v>
      </c>
      <c r="F394" s="1">
        <v>0</v>
      </c>
      <c r="G394" s="1">
        <v>37854.03</v>
      </c>
      <c r="H394" t="s">
        <v>217</v>
      </c>
    </row>
    <row r="395" spans="1:8" x14ac:dyDescent="0.3">
      <c r="A395" s="78">
        <v>45607</v>
      </c>
      <c r="B395" s="77" t="s">
        <v>30</v>
      </c>
      <c r="C395" s="77" t="s">
        <v>1103</v>
      </c>
      <c r="D395" s="78">
        <v>45607</v>
      </c>
      <c r="E395" s="1">
        <v>271.32</v>
      </c>
      <c r="F395" s="1">
        <v>0</v>
      </c>
      <c r="G395" s="1">
        <v>37582.71</v>
      </c>
      <c r="H395" t="s">
        <v>217</v>
      </c>
    </row>
    <row r="396" spans="1:8" x14ac:dyDescent="0.3">
      <c r="A396" s="78">
        <v>45608</v>
      </c>
      <c r="B396" s="77" t="s">
        <v>30</v>
      </c>
      <c r="C396" s="77" t="s">
        <v>1104</v>
      </c>
      <c r="D396" s="78">
        <v>45608</v>
      </c>
      <c r="E396" s="1">
        <v>150.01</v>
      </c>
      <c r="F396" s="1">
        <v>0</v>
      </c>
      <c r="G396" s="1">
        <v>37432.699999999997</v>
      </c>
      <c r="H396" t="s">
        <v>217</v>
      </c>
    </row>
    <row r="397" spans="1:8" x14ac:dyDescent="0.3">
      <c r="A397" s="78">
        <v>45608</v>
      </c>
      <c r="B397" s="77" t="s">
        <v>30</v>
      </c>
      <c r="C397" s="77" t="s">
        <v>1105</v>
      </c>
      <c r="D397" s="78">
        <v>45608</v>
      </c>
      <c r="E397" s="1">
        <v>90.39</v>
      </c>
      <c r="F397" s="1">
        <v>0</v>
      </c>
      <c r="G397" s="1">
        <v>37342.31</v>
      </c>
      <c r="H397" t="s">
        <v>217</v>
      </c>
    </row>
    <row r="398" spans="1:8" x14ac:dyDescent="0.3">
      <c r="A398" s="78">
        <v>45608</v>
      </c>
      <c r="B398" s="77" t="s">
        <v>30</v>
      </c>
      <c r="C398" s="77" t="s">
        <v>1106</v>
      </c>
      <c r="D398" s="78">
        <v>45608</v>
      </c>
      <c r="E398" s="1">
        <v>1818.18</v>
      </c>
      <c r="F398" s="1">
        <v>0</v>
      </c>
      <c r="G398" s="1">
        <v>35524.129999999997</v>
      </c>
      <c r="H398" t="s">
        <v>217</v>
      </c>
    </row>
    <row r="399" spans="1:8" x14ac:dyDescent="0.3">
      <c r="A399" s="78">
        <v>45609</v>
      </c>
      <c r="B399" s="77" t="s">
        <v>1107</v>
      </c>
      <c r="C399" s="77" t="s">
        <v>1108</v>
      </c>
      <c r="D399" s="78">
        <v>45609</v>
      </c>
      <c r="E399" s="1">
        <v>0</v>
      </c>
      <c r="F399" s="1">
        <v>437.5</v>
      </c>
      <c r="G399" s="1">
        <v>35961.629999999997</v>
      </c>
      <c r="H399" t="s">
        <v>218</v>
      </c>
    </row>
    <row r="400" spans="1:8" x14ac:dyDescent="0.3">
      <c r="A400" s="78">
        <v>45609</v>
      </c>
      <c r="B400" s="77" t="s">
        <v>1109</v>
      </c>
      <c r="C400" s="77" t="s">
        <v>46</v>
      </c>
      <c r="D400" s="78">
        <v>45609</v>
      </c>
      <c r="E400" s="1">
        <v>1227.2</v>
      </c>
      <c r="F400" s="1">
        <v>0</v>
      </c>
      <c r="G400" s="1">
        <v>34734.43</v>
      </c>
      <c r="H400" t="s">
        <v>220</v>
      </c>
    </row>
    <row r="401" spans="1:8" x14ac:dyDescent="0.3">
      <c r="A401" s="78">
        <v>45609</v>
      </c>
      <c r="B401" s="77" t="s">
        <v>30</v>
      </c>
      <c r="C401" s="77" t="s">
        <v>1110</v>
      </c>
      <c r="D401" s="78">
        <v>45609</v>
      </c>
      <c r="E401" s="1">
        <v>89.74</v>
      </c>
      <c r="F401" s="1">
        <v>0</v>
      </c>
      <c r="G401" s="1">
        <v>34644.69</v>
      </c>
      <c r="H401" t="s">
        <v>217</v>
      </c>
    </row>
    <row r="402" spans="1:8" x14ac:dyDescent="0.3">
      <c r="A402" s="78">
        <v>45609</v>
      </c>
      <c r="B402" s="77" t="s">
        <v>30</v>
      </c>
      <c r="C402" s="77" t="s">
        <v>1111</v>
      </c>
      <c r="D402" s="78">
        <v>45609</v>
      </c>
      <c r="E402" s="1">
        <v>3724.48</v>
      </c>
      <c r="F402" s="1">
        <v>0</v>
      </c>
      <c r="G402" s="1">
        <v>30920.21</v>
      </c>
      <c r="H402" t="s">
        <v>217</v>
      </c>
    </row>
    <row r="403" spans="1:8" x14ac:dyDescent="0.3">
      <c r="A403" s="78">
        <v>45610</v>
      </c>
      <c r="B403" s="77" t="s">
        <v>30</v>
      </c>
      <c r="C403" s="77" t="s">
        <v>1112</v>
      </c>
      <c r="D403" s="78">
        <v>45610</v>
      </c>
      <c r="E403" s="1">
        <v>88.42</v>
      </c>
      <c r="F403" s="1">
        <v>0</v>
      </c>
      <c r="G403" s="1">
        <v>30831.79</v>
      </c>
      <c r="H403" t="s">
        <v>217</v>
      </c>
    </row>
    <row r="404" spans="1:8" x14ac:dyDescent="0.3">
      <c r="A404" s="78">
        <v>45610</v>
      </c>
      <c r="B404" s="77" t="s">
        <v>30</v>
      </c>
      <c r="C404" s="77" t="s">
        <v>1113</v>
      </c>
      <c r="D404" s="78">
        <v>45610</v>
      </c>
      <c r="E404" s="1">
        <v>321.52</v>
      </c>
      <c r="F404" s="1">
        <v>0</v>
      </c>
      <c r="G404" s="1">
        <v>30510.27</v>
      </c>
      <c r="H404" t="s">
        <v>217</v>
      </c>
    </row>
    <row r="405" spans="1:8" x14ac:dyDescent="0.3">
      <c r="A405" s="78">
        <v>45614</v>
      </c>
      <c r="B405" s="77" t="s">
        <v>30</v>
      </c>
      <c r="C405" s="77" t="s">
        <v>1114</v>
      </c>
      <c r="D405" s="78">
        <v>45614</v>
      </c>
      <c r="E405" s="1">
        <v>353.2</v>
      </c>
      <c r="F405" s="1">
        <v>0</v>
      </c>
      <c r="G405" s="1">
        <v>30157.07</v>
      </c>
      <c r="H405" t="s">
        <v>217</v>
      </c>
    </row>
    <row r="406" spans="1:8" x14ac:dyDescent="0.3">
      <c r="A406" s="78">
        <v>45614</v>
      </c>
      <c r="B406" s="77" t="s">
        <v>30</v>
      </c>
      <c r="C406" s="77" t="s">
        <v>1115</v>
      </c>
      <c r="D406" s="78">
        <v>45614</v>
      </c>
      <c r="E406" s="1">
        <v>481.35</v>
      </c>
      <c r="F406" s="1">
        <v>0</v>
      </c>
      <c r="G406" s="1">
        <v>29675.72</v>
      </c>
      <c r="H406" t="s">
        <v>217</v>
      </c>
    </row>
    <row r="407" spans="1:8" x14ac:dyDescent="0.3">
      <c r="A407" s="78">
        <v>45615</v>
      </c>
      <c r="B407" s="77" t="s">
        <v>30</v>
      </c>
      <c r="C407" s="77" t="s">
        <v>1116</v>
      </c>
      <c r="D407" s="78">
        <v>45615</v>
      </c>
      <c r="E407" s="1">
        <v>88.13</v>
      </c>
      <c r="F407" s="1">
        <v>0</v>
      </c>
      <c r="G407" s="1">
        <v>29587.59</v>
      </c>
      <c r="H407" t="s">
        <v>217</v>
      </c>
    </row>
    <row r="408" spans="1:8" x14ac:dyDescent="0.3">
      <c r="A408" s="78">
        <v>45615</v>
      </c>
      <c r="B408" s="77" t="s">
        <v>30</v>
      </c>
      <c r="C408" s="77" t="s">
        <v>1117</v>
      </c>
      <c r="D408" s="78">
        <v>45615</v>
      </c>
      <c r="E408" s="1">
        <v>999.68</v>
      </c>
      <c r="F408" s="1">
        <v>0</v>
      </c>
      <c r="G408" s="1">
        <v>28587.91</v>
      </c>
      <c r="H408" t="s">
        <v>217</v>
      </c>
    </row>
    <row r="409" spans="1:8" x14ac:dyDescent="0.3">
      <c r="A409" s="78">
        <v>45617</v>
      </c>
      <c r="B409" s="77" t="s">
        <v>30</v>
      </c>
      <c r="C409" s="77" t="s">
        <v>1118</v>
      </c>
      <c r="D409" s="78">
        <v>45617</v>
      </c>
      <c r="E409" s="1">
        <v>175.54</v>
      </c>
      <c r="F409" s="1">
        <v>0</v>
      </c>
      <c r="G409" s="1">
        <v>28412.37</v>
      </c>
      <c r="H409" t="s">
        <v>217</v>
      </c>
    </row>
    <row r="410" spans="1:8" x14ac:dyDescent="0.3">
      <c r="A410" s="78">
        <v>45617</v>
      </c>
      <c r="B410" s="77" t="s">
        <v>1119</v>
      </c>
      <c r="C410" s="77" t="s">
        <v>1120</v>
      </c>
      <c r="D410" s="78">
        <v>45617</v>
      </c>
      <c r="E410" s="1">
        <v>0</v>
      </c>
      <c r="F410" s="1">
        <v>600</v>
      </c>
      <c r="G410" s="1">
        <v>29012.37</v>
      </c>
      <c r="H410" t="s">
        <v>218</v>
      </c>
    </row>
    <row r="411" spans="1:8" x14ac:dyDescent="0.3">
      <c r="A411" s="78">
        <v>45617</v>
      </c>
      <c r="B411" s="77" t="s">
        <v>30</v>
      </c>
      <c r="C411" s="77" t="s">
        <v>1121</v>
      </c>
      <c r="D411" s="78">
        <v>45617</v>
      </c>
      <c r="E411" s="1">
        <v>3164.36</v>
      </c>
      <c r="F411" s="1">
        <v>0</v>
      </c>
      <c r="G411" s="1">
        <v>25848.01</v>
      </c>
      <c r="H411" t="s">
        <v>217</v>
      </c>
    </row>
    <row r="412" spans="1:8" x14ac:dyDescent="0.3">
      <c r="A412" s="78">
        <v>45618</v>
      </c>
      <c r="B412" s="77" t="s">
        <v>30</v>
      </c>
      <c r="C412" s="77" t="s">
        <v>1122</v>
      </c>
      <c r="D412" s="78">
        <v>45618</v>
      </c>
      <c r="E412" s="1">
        <v>86.65</v>
      </c>
      <c r="F412" s="1">
        <v>0</v>
      </c>
      <c r="G412" s="1">
        <v>25761.360000000001</v>
      </c>
      <c r="H412" t="s">
        <v>217</v>
      </c>
    </row>
    <row r="413" spans="1:8" x14ac:dyDescent="0.3">
      <c r="A413" s="78">
        <v>45621</v>
      </c>
      <c r="B413" s="77" t="s">
        <v>1123</v>
      </c>
      <c r="C413" s="77" t="s">
        <v>1124</v>
      </c>
      <c r="D413" s="78">
        <v>45621</v>
      </c>
      <c r="E413" s="1">
        <v>0</v>
      </c>
      <c r="F413" s="1">
        <v>3399.23</v>
      </c>
      <c r="G413" s="1">
        <v>29160.59</v>
      </c>
      <c r="H413" t="s">
        <v>2523</v>
      </c>
    </row>
    <row r="414" spans="1:8" x14ac:dyDescent="0.3">
      <c r="A414" s="78">
        <v>45621</v>
      </c>
      <c r="B414" s="77" t="s">
        <v>30</v>
      </c>
      <c r="C414" s="77" t="s">
        <v>1125</v>
      </c>
      <c r="D414" s="78">
        <v>45621</v>
      </c>
      <c r="E414" s="1">
        <v>259.95</v>
      </c>
      <c r="F414" s="1">
        <v>0</v>
      </c>
      <c r="G414" s="1">
        <v>28900.639999999999</v>
      </c>
      <c r="H414" t="s">
        <v>217</v>
      </c>
    </row>
    <row r="415" spans="1:8" x14ac:dyDescent="0.3">
      <c r="A415" s="78">
        <v>45622</v>
      </c>
      <c r="B415" s="77" t="s">
        <v>1126</v>
      </c>
      <c r="C415" s="77" t="s">
        <v>1127</v>
      </c>
      <c r="D415" s="78">
        <v>45622</v>
      </c>
      <c r="E415" s="1">
        <v>0</v>
      </c>
      <c r="F415" s="1">
        <v>4446.21</v>
      </c>
      <c r="G415" s="1">
        <v>33346.85</v>
      </c>
      <c r="H415" t="s">
        <v>2523</v>
      </c>
    </row>
    <row r="416" spans="1:8" x14ac:dyDescent="0.3">
      <c r="A416" s="78">
        <v>45622</v>
      </c>
      <c r="B416" s="77" t="s">
        <v>1128</v>
      </c>
      <c r="C416" s="77" t="s">
        <v>1129</v>
      </c>
      <c r="D416" s="78">
        <v>45622</v>
      </c>
      <c r="E416" s="1">
        <v>0</v>
      </c>
      <c r="F416" s="1">
        <v>44662.98</v>
      </c>
      <c r="G416" s="1">
        <v>78009.83</v>
      </c>
      <c r="H416" t="s">
        <v>2523</v>
      </c>
    </row>
    <row r="417" spans="1:8" x14ac:dyDescent="0.3">
      <c r="A417" s="78">
        <v>45622</v>
      </c>
      <c r="B417" s="77" t="s">
        <v>30</v>
      </c>
      <c r="C417" s="77" t="s">
        <v>1130</v>
      </c>
      <c r="D417" s="78">
        <v>45622</v>
      </c>
      <c r="E417" s="1">
        <v>87.86</v>
      </c>
      <c r="F417" s="1">
        <v>0</v>
      </c>
      <c r="G417" s="1">
        <v>77921.97</v>
      </c>
      <c r="H417" t="s">
        <v>217</v>
      </c>
    </row>
    <row r="418" spans="1:8" x14ac:dyDescent="0.3">
      <c r="A418" s="78">
        <v>45623</v>
      </c>
      <c r="B418" s="77" t="s">
        <v>1131</v>
      </c>
      <c r="C418" s="77" t="s">
        <v>1132</v>
      </c>
      <c r="D418" s="78">
        <v>45623</v>
      </c>
      <c r="E418" s="1">
        <v>0</v>
      </c>
      <c r="F418" s="1">
        <v>894.1</v>
      </c>
      <c r="G418" s="1">
        <v>78816.070000000007</v>
      </c>
      <c r="H418" t="s">
        <v>2523</v>
      </c>
    </row>
    <row r="419" spans="1:8" x14ac:dyDescent="0.3">
      <c r="A419" s="78">
        <v>45623</v>
      </c>
      <c r="B419" s="77" t="s">
        <v>30</v>
      </c>
      <c r="C419" s="77" t="s">
        <v>1133</v>
      </c>
      <c r="D419" s="78">
        <v>45623</v>
      </c>
      <c r="E419" s="1">
        <v>89.44</v>
      </c>
      <c r="F419" s="1">
        <v>0</v>
      </c>
      <c r="G419" s="1">
        <v>78726.63</v>
      </c>
      <c r="H419" t="s">
        <v>217</v>
      </c>
    </row>
    <row r="420" spans="1:8" x14ac:dyDescent="0.3">
      <c r="A420" s="78">
        <v>45624</v>
      </c>
      <c r="B420" s="77" t="s">
        <v>1134</v>
      </c>
      <c r="C420" s="77" t="s">
        <v>1135</v>
      </c>
      <c r="D420" s="78">
        <v>45624</v>
      </c>
      <c r="E420" s="1">
        <v>0</v>
      </c>
      <c r="F420" s="1">
        <v>2212</v>
      </c>
      <c r="G420" s="1">
        <v>80938.63</v>
      </c>
      <c r="H420" t="s">
        <v>2523</v>
      </c>
    </row>
    <row r="421" spans="1:8" x14ac:dyDescent="0.3">
      <c r="A421" s="78">
        <v>45624</v>
      </c>
      <c r="B421" s="77" t="s">
        <v>1136</v>
      </c>
      <c r="C421" s="77" t="s">
        <v>1137</v>
      </c>
      <c r="D421" s="78">
        <v>45624</v>
      </c>
      <c r="E421" s="1">
        <v>5000</v>
      </c>
      <c r="F421" s="1">
        <v>0</v>
      </c>
      <c r="G421" s="1">
        <v>75938.63</v>
      </c>
      <c r="H421" t="s">
        <v>219</v>
      </c>
    </row>
    <row r="422" spans="1:8" x14ac:dyDescent="0.3">
      <c r="A422" s="78">
        <v>45624</v>
      </c>
      <c r="B422" s="77" t="s">
        <v>30</v>
      </c>
      <c r="C422" s="77" t="s">
        <v>1138</v>
      </c>
      <c r="D422" s="78">
        <v>45624</v>
      </c>
      <c r="E422" s="1">
        <v>89.76</v>
      </c>
      <c r="F422" s="1">
        <v>0</v>
      </c>
      <c r="G422" s="1">
        <v>75848.87</v>
      </c>
      <c r="H422" t="s">
        <v>217</v>
      </c>
    </row>
    <row r="423" spans="1:8" x14ac:dyDescent="0.3">
      <c r="A423" s="78">
        <v>45625</v>
      </c>
      <c r="B423" s="77" t="s">
        <v>30</v>
      </c>
      <c r="C423" s="77" t="s">
        <v>1139</v>
      </c>
      <c r="D423" s="78">
        <v>45625</v>
      </c>
      <c r="E423" s="1">
        <v>812.57</v>
      </c>
      <c r="F423" s="1">
        <v>0</v>
      </c>
      <c r="G423" s="1">
        <v>75036.3</v>
      </c>
      <c r="H423" t="s">
        <v>217</v>
      </c>
    </row>
    <row r="424" spans="1:8" x14ac:dyDescent="0.3">
      <c r="A424" s="78">
        <v>45625</v>
      </c>
      <c r="B424" s="77" t="s">
        <v>30</v>
      </c>
      <c r="C424" s="77" t="s">
        <v>1140</v>
      </c>
      <c r="D424" s="78">
        <v>45625</v>
      </c>
      <c r="E424" s="1">
        <v>90.26</v>
      </c>
      <c r="F424" s="1">
        <v>0</v>
      </c>
      <c r="G424" s="1">
        <v>74946.039999999994</v>
      </c>
      <c r="H424" t="s">
        <v>217</v>
      </c>
    </row>
    <row r="425" spans="1:8" x14ac:dyDescent="0.3">
      <c r="A425" s="78">
        <v>45626</v>
      </c>
      <c r="B425" s="77" t="s">
        <v>30</v>
      </c>
      <c r="C425" s="77" t="s">
        <v>1141</v>
      </c>
      <c r="D425" s="78">
        <v>45626</v>
      </c>
      <c r="E425" s="1">
        <v>13601.67</v>
      </c>
      <c r="F425" s="1">
        <v>0</v>
      </c>
      <c r="G425" s="1">
        <v>61344.37</v>
      </c>
      <c r="H425" t="s">
        <v>217</v>
      </c>
    </row>
    <row r="426" spans="1:8" x14ac:dyDescent="0.3">
      <c r="A426" s="78">
        <v>45628</v>
      </c>
      <c r="B426" s="77" t="s">
        <v>1142</v>
      </c>
      <c r="C426" s="77" t="s">
        <v>1143</v>
      </c>
      <c r="D426" s="78">
        <v>45628</v>
      </c>
      <c r="E426" s="1">
        <v>5000</v>
      </c>
      <c r="F426" s="1">
        <v>0</v>
      </c>
      <c r="G426" s="1">
        <v>56344.37</v>
      </c>
      <c r="H426" t="s">
        <v>219</v>
      </c>
    </row>
    <row r="427" spans="1:8" x14ac:dyDescent="0.3">
      <c r="A427" s="78">
        <v>45628</v>
      </c>
      <c r="B427" s="77" t="s">
        <v>30</v>
      </c>
      <c r="C427" s="77" t="s">
        <v>1144</v>
      </c>
      <c r="D427" s="78">
        <v>45628</v>
      </c>
      <c r="E427" s="1">
        <v>256.23</v>
      </c>
      <c r="F427" s="1">
        <v>0</v>
      </c>
      <c r="G427" s="1">
        <v>56088.14</v>
      </c>
      <c r="H427" t="s">
        <v>217</v>
      </c>
    </row>
    <row r="428" spans="1:8" x14ac:dyDescent="0.3">
      <c r="A428" s="78">
        <v>45628</v>
      </c>
      <c r="B428" s="77" t="s">
        <v>30</v>
      </c>
      <c r="C428" s="77" t="s">
        <v>1145</v>
      </c>
      <c r="D428" s="78">
        <v>45628</v>
      </c>
      <c r="E428" s="1">
        <v>838.51</v>
      </c>
      <c r="F428" s="1">
        <v>0</v>
      </c>
      <c r="G428" s="1">
        <v>55249.63</v>
      </c>
      <c r="H428" t="s">
        <v>217</v>
      </c>
    </row>
    <row r="429" spans="1:8" x14ac:dyDescent="0.3">
      <c r="A429" s="78">
        <v>45629</v>
      </c>
      <c r="B429" s="77" t="s">
        <v>30</v>
      </c>
      <c r="C429" s="77" t="s">
        <v>1146</v>
      </c>
      <c r="D429" s="78">
        <v>45629</v>
      </c>
      <c r="E429" s="1">
        <v>98.26</v>
      </c>
      <c r="F429" s="1">
        <v>0</v>
      </c>
      <c r="G429" s="1">
        <v>55151.37</v>
      </c>
      <c r="H429" t="s">
        <v>217</v>
      </c>
    </row>
    <row r="430" spans="1:8" x14ac:dyDescent="0.3">
      <c r="A430" s="78">
        <v>45629</v>
      </c>
      <c r="B430" s="77" t="s">
        <v>30</v>
      </c>
      <c r="C430" s="77" t="s">
        <v>1147</v>
      </c>
      <c r="D430" s="78">
        <v>45629</v>
      </c>
      <c r="E430" s="1">
        <v>12308.55</v>
      </c>
      <c r="F430" s="1">
        <v>0</v>
      </c>
      <c r="G430" s="1">
        <v>42842.82</v>
      </c>
      <c r="H430" t="s">
        <v>217</v>
      </c>
    </row>
    <row r="431" spans="1:8" x14ac:dyDescent="0.3">
      <c r="A431" s="78">
        <v>45630</v>
      </c>
      <c r="B431" s="77" t="s">
        <v>30</v>
      </c>
      <c r="C431" s="77" t="s">
        <v>1148</v>
      </c>
      <c r="D431" s="78">
        <v>45630</v>
      </c>
      <c r="E431" s="1">
        <v>93.88</v>
      </c>
      <c r="F431" s="1">
        <v>0</v>
      </c>
      <c r="G431" s="1">
        <v>42748.94</v>
      </c>
      <c r="H431" t="s">
        <v>217</v>
      </c>
    </row>
    <row r="432" spans="1:8" x14ac:dyDescent="0.3">
      <c r="A432" s="78">
        <v>45630</v>
      </c>
      <c r="B432" s="77" t="s">
        <v>30</v>
      </c>
      <c r="C432" s="77" t="s">
        <v>1149</v>
      </c>
      <c r="D432" s="78">
        <v>45630</v>
      </c>
      <c r="E432" s="1">
        <v>4796.38</v>
      </c>
      <c r="F432" s="1">
        <v>0</v>
      </c>
      <c r="G432" s="1">
        <v>37952.559999999998</v>
      </c>
      <c r="H432" t="s">
        <v>217</v>
      </c>
    </row>
    <row r="433" spans="1:8" x14ac:dyDescent="0.3">
      <c r="A433" s="78">
        <v>45631</v>
      </c>
      <c r="B433" s="77" t="s">
        <v>30</v>
      </c>
      <c r="C433" s="77" t="s">
        <v>1150</v>
      </c>
      <c r="D433" s="78">
        <v>45631</v>
      </c>
      <c r="E433" s="1">
        <v>104.72</v>
      </c>
      <c r="F433" s="1">
        <v>0</v>
      </c>
      <c r="G433" s="1">
        <v>37847.839999999997</v>
      </c>
      <c r="H433" t="s">
        <v>217</v>
      </c>
    </row>
    <row r="434" spans="1:8" x14ac:dyDescent="0.3">
      <c r="A434" s="78">
        <v>45631</v>
      </c>
      <c r="B434" s="77" t="s">
        <v>30</v>
      </c>
      <c r="C434" s="77" t="s">
        <v>1151</v>
      </c>
      <c r="D434" s="78">
        <v>45631</v>
      </c>
      <c r="E434" s="1">
        <v>254.4</v>
      </c>
      <c r="F434" s="1">
        <v>0</v>
      </c>
      <c r="G434" s="1">
        <v>37593.440000000002</v>
      </c>
      <c r="H434" t="s">
        <v>217</v>
      </c>
    </row>
    <row r="435" spans="1:8" x14ac:dyDescent="0.3">
      <c r="A435" s="78">
        <v>45632</v>
      </c>
      <c r="B435" s="77" t="s">
        <v>30</v>
      </c>
      <c r="C435" s="77" t="s">
        <v>1152</v>
      </c>
      <c r="D435" s="78">
        <v>45632</v>
      </c>
      <c r="E435" s="1">
        <v>109.03</v>
      </c>
      <c r="F435" s="1">
        <v>0</v>
      </c>
      <c r="G435" s="1">
        <v>37484.410000000003</v>
      </c>
      <c r="H435" t="s">
        <v>217</v>
      </c>
    </row>
    <row r="436" spans="1:8" x14ac:dyDescent="0.3">
      <c r="A436" s="78">
        <v>45632</v>
      </c>
      <c r="B436" s="77" t="s">
        <v>34</v>
      </c>
      <c r="C436" s="77" t="s">
        <v>1153</v>
      </c>
      <c r="D436" s="78">
        <v>45632</v>
      </c>
      <c r="E436" s="1">
        <v>0</v>
      </c>
      <c r="F436" s="1">
        <v>584.53</v>
      </c>
      <c r="G436" s="1">
        <v>38068.94</v>
      </c>
      <c r="H436" t="s">
        <v>217</v>
      </c>
    </row>
    <row r="437" spans="1:8" x14ac:dyDescent="0.3">
      <c r="A437" s="78">
        <v>45633</v>
      </c>
      <c r="B437" s="77" t="s">
        <v>1154</v>
      </c>
      <c r="C437" s="77" t="s">
        <v>1155</v>
      </c>
      <c r="D437" s="78">
        <v>45633</v>
      </c>
      <c r="E437" s="1">
        <v>0</v>
      </c>
      <c r="F437" s="1">
        <v>1880</v>
      </c>
      <c r="G437" s="1">
        <v>39948.94</v>
      </c>
      <c r="H437" t="s">
        <v>2524</v>
      </c>
    </row>
    <row r="438" spans="1:8" x14ac:dyDescent="0.3">
      <c r="A438" s="78">
        <v>45635</v>
      </c>
      <c r="B438" s="77" t="s">
        <v>30</v>
      </c>
      <c r="C438" s="77" t="s">
        <v>1156</v>
      </c>
      <c r="D438" s="78">
        <v>45635</v>
      </c>
      <c r="E438" s="1">
        <v>327.72</v>
      </c>
      <c r="F438" s="1">
        <v>0</v>
      </c>
      <c r="G438" s="1">
        <v>39621.22</v>
      </c>
      <c r="H438" t="s">
        <v>217</v>
      </c>
    </row>
    <row r="439" spans="1:8" x14ac:dyDescent="0.3">
      <c r="A439" s="78">
        <v>45635</v>
      </c>
      <c r="B439" s="77" t="s">
        <v>30</v>
      </c>
      <c r="C439" s="77" t="s">
        <v>1157</v>
      </c>
      <c r="D439" s="78">
        <v>45635</v>
      </c>
      <c r="E439" s="1">
        <v>152.9</v>
      </c>
      <c r="F439" s="1">
        <v>0</v>
      </c>
      <c r="G439" s="1">
        <v>39468.32</v>
      </c>
      <c r="H439" t="s">
        <v>217</v>
      </c>
    </row>
    <row r="440" spans="1:8" x14ac:dyDescent="0.3">
      <c r="A440" s="78">
        <v>45636</v>
      </c>
      <c r="B440" s="77" t="s">
        <v>30</v>
      </c>
      <c r="C440" s="77" t="s">
        <v>1158</v>
      </c>
      <c r="D440" s="78">
        <v>45636</v>
      </c>
      <c r="E440" s="1">
        <v>109.18</v>
      </c>
      <c r="F440" s="1">
        <v>0</v>
      </c>
      <c r="G440" s="1">
        <v>39359.14</v>
      </c>
      <c r="H440" t="s">
        <v>217</v>
      </c>
    </row>
    <row r="441" spans="1:8" x14ac:dyDescent="0.3">
      <c r="A441" s="78">
        <v>45637</v>
      </c>
      <c r="B441" s="77" t="s">
        <v>1159</v>
      </c>
      <c r="C441" s="77" t="s">
        <v>1160</v>
      </c>
      <c r="D441" s="78">
        <v>45637</v>
      </c>
      <c r="E441" s="1">
        <v>0</v>
      </c>
      <c r="F441" s="1">
        <v>3068.94</v>
      </c>
      <c r="G441" s="1">
        <v>42428.08</v>
      </c>
      <c r="H441" t="s">
        <v>2523</v>
      </c>
    </row>
    <row r="442" spans="1:8" x14ac:dyDescent="0.3">
      <c r="A442" s="78">
        <v>45637</v>
      </c>
      <c r="B442" s="77" t="s">
        <v>30</v>
      </c>
      <c r="C442" s="77" t="s">
        <v>1161</v>
      </c>
      <c r="D442" s="78">
        <v>45637</v>
      </c>
      <c r="E442" s="1">
        <v>109.18</v>
      </c>
      <c r="F442" s="1">
        <v>0</v>
      </c>
      <c r="G442" s="1">
        <v>42318.9</v>
      </c>
      <c r="H442" t="s">
        <v>217</v>
      </c>
    </row>
    <row r="443" spans="1:8" x14ac:dyDescent="0.3">
      <c r="A443" s="78">
        <v>45637</v>
      </c>
      <c r="B443" s="77" t="s">
        <v>1162</v>
      </c>
      <c r="C443" s="77" t="s">
        <v>1163</v>
      </c>
      <c r="D443" s="78">
        <v>45637</v>
      </c>
      <c r="E443" s="1">
        <v>0</v>
      </c>
      <c r="F443" s="1">
        <v>800</v>
      </c>
      <c r="G443" s="1">
        <v>43118.9</v>
      </c>
      <c r="H443" t="s">
        <v>218</v>
      </c>
    </row>
    <row r="444" spans="1:8" x14ac:dyDescent="0.3">
      <c r="A444" s="78">
        <v>45637</v>
      </c>
      <c r="B444" s="77" t="s">
        <v>30</v>
      </c>
      <c r="C444" s="77" t="s">
        <v>1164</v>
      </c>
      <c r="D444" s="78">
        <v>45637</v>
      </c>
      <c r="E444" s="1">
        <v>67.39</v>
      </c>
      <c r="F444" s="1">
        <v>0</v>
      </c>
      <c r="G444" s="1">
        <v>43051.51</v>
      </c>
      <c r="H444" t="s">
        <v>217</v>
      </c>
    </row>
    <row r="445" spans="1:8" x14ac:dyDescent="0.3">
      <c r="A445" s="78">
        <v>45638</v>
      </c>
      <c r="B445" s="77" t="s">
        <v>30</v>
      </c>
      <c r="C445" s="77" t="s">
        <v>1165</v>
      </c>
      <c r="D445" s="78">
        <v>45638</v>
      </c>
      <c r="E445" s="1">
        <v>110.25</v>
      </c>
      <c r="F445" s="1">
        <v>0</v>
      </c>
      <c r="G445" s="1">
        <v>42941.26</v>
      </c>
      <c r="H445" t="s">
        <v>217</v>
      </c>
    </row>
    <row r="446" spans="1:8" x14ac:dyDescent="0.3">
      <c r="A446" s="78">
        <v>45638</v>
      </c>
      <c r="B446" s="77" t="s">
        <v>30</v>
      </c>
      <c r="C446" s="77" t="s">
        <v>1166</v>
      </c>
      <c r="D446" s="78">
        <v>45638</v>
      </c>
      <c r="E446" s="1">
        <v>1276.49</v>
      </c>
      <c r="F446" s="1">
        <v>0</v>
      </c>
      <c r="G446" s="1">
        <v>41664.769999999997</v>
      </c>
      <c r="H446" t="s">
        <v>217</v>
      </c>
    </row>
    <row r="447" spans="1:8" x14ac:dyDescent="0.3">
      <c r="A447" s="78">
        <v>45639</v>
      </c>
      <c r="B447" s="77" t="s">
        <v>30</v>
      </c>
      <c r="C447" s="77" t="s">
        <v>1167</v>
      </c>
      <c r="D447" s="78">
        <v>45639</v>
      </c>
      <c r="E447" s="1">
        <v>109.8</v>
      </c>
      <c r="F447" s="1">
        <v>0</v>
      </c>
      <c r="G447" s="1">
        <v>41554.97</v>
      </c>
      <c r="H447" t="s">
        <v>217</v>
      </c>
    </row>
    <row r="448" spans="1:8" x14ac:dyDescent="0.3">
      <c r="A448" s="78">
        <v>45639</v>
      </c>
      <c r="B448" s="77" t="s">
        <v>30</v>
      </c>
      <c r="C448" s="77" t="s">
        <v>1168</v>
      </c>
      <c r="D448" s="78">
        <v>45639</v>
      </c>
      <c r="E448" s="1">
        <v>100.77</v>
      </c>
      <c r="F448" s="1">
        <v>0</v>
      </c>
      <c r="G448" s="1">
        <v>41454.199999999997</v>
      </c>
      <c r="H448" t="s">
        <v>217</v>
      </c>
    </row>
    <row r="449" spans="1:8" x14ac:dyDescent="0.3">
      <c r="A449" s="78">
        <v>45642</v>
      </c>
      <c r="B449" s="77" t="s">
        <v>30</v>
      </c>
      <c r="C449" s="77" t="s">
        <v>1169</v>
      </c>
      <c r="D449" s="78">
        <v>45642</v>
      </c>
      <c r="E449" s="1">
        <v>329.28</v>
      </c>
      <c r="F449" s="1">
        <v>0</v>
      </c>
      <c r="G449" s="1">
        <v>41124.92</v>
      </c>
      <c r="H449" t="s">
        <v>217</v>
      </c>
    </row>
    <row r="450" spans="1:8" x14ac:dyDescent="0.3">
      <c r="A450" s="78">
        <v>45643</v>
      </c>
      <c r="B450" s="77" t="s">
        <v>1170</v>
      </c>
      <c r="C450" s="77" t="s">
        <v>1171</v>
      </c>
      <c r="D450" s="78">
        <v>45643</v>
      </c>
      <c r="E450" s="1">
        <v>0</v>
      </c>
      <c r="F450" s="1">
        <v>40.29</v>
      </c>
      <c r="G450" s="1">
        <v>41165.21</v>
      </c>
      <c r="H450" t="s">
        <v>2523</v>
      </c>
    </row>
    <row r="451" spans="1:8" x14ac:dyDescent="0.3">
      <c r="A451" s="78">
        <v>45643</v>
      </c>
      <c r="B451" s="77" t="s">
        <v>30</v>
      </c>
      <c r="C451" s="77" t="s">
        <v>1172</v>
      </c>
      <c r="D451" s="78">
        <v>45643</v>
      </c>
      <c r="E451" s="1">
        <v>109.76</v>
      </c>
      <c r="F451" s="1">
        <v>0</v>
      </c>
      <c r="G451" s="1">
        <v>41055.449999999997</v>
      </c>
      <c r="H451" t="s">
        <v>217</v>
      </c>
    </row>
    <row r="452" spans="1:8" x14ac:dyDescent="0.3">
      <c r="A452" s="78">
        <v>45643</v>
      </c>
      <c r="B452" s="77" t="s">
        <v>1173</v>
      </c>
      <c r="C452" s="77" t="s">
        <v>46</v>
      </c>
      <c r="D452" s="78">
        <v>45643</v>
      </c>
      <c r="E452" s="1">
        <v>153.4</v>
      </c>
      <c r="F452" s="1">
        <v>0</v>
      </c>
      <c r="G452" s="1">
        <v>40902.050000000003</v>
      </c>
      <c r="H452" t="s">
        <v>220</v>
      </c>
    </row>
    <row r="453" spans="1:8" x14ac:dyDescent="0.3">
      <c r="A453" s="78">
        <v>45643</v>
      </c>
      <c r="B453" s="77" t="s">
        <v>30</v>
      </c>
      <c r="C453" s="77" t="s">
        <v>1174</v>
      </c>
      <c r="D453" s="78">
        <v>45643</v>
      </c>
      <c r="E453" s="1">
        <v>921.59</v>
      </c>
      <c r="F453" s="1">
        <v>0</v>
      </c>
      <c r="G453" s="1">
        <v>39980.46</v>
      </c>
      <c r="H453" t="s">
        <v>217</v>
      </c>
    </row>
    <row r="454" spans="1:8" x14ac:dyDescent="0.3">
      <c r="A454" s="78">
        <v>45644</v>
      </c>
      <c r="B454" s="77" t="s">
        <v>30</v>
      </c>
      <c r="C454" s="77" t="s">
        <v>1175</v>
      </c>
      <c r="D454" s="78">
        <v>45644</v>
      </c>
      <c r="E454" s="1">
        <v>109.45</v>
      </c>
      <c r="F454" s="1">
        <v>0</v>
      </c>
      <c r="G454" s="1">
        <v>39871.01</v>
      </c>
      <c r="H454" t="s">
        <v>217</v>
      </c>
    </row>
    <row r="455" spans="1:8" x14ac:dyDescent="0.3">
      <c r="A455" s="78">
        <v>45644</v>
      </c>
      <c r="B455" s="77" t="s">
        <v>30</v>
      </c>
      <c r="C455" s="77" t="s">
        <v>1176</v>
      </c>
      <c r="D455" s="78">
        <v>45644</v>
      </c>
      <c r="E455" s="1">
        <v>3188.14</v>
      </c>
      <c r="F455" s="1">
        <v>0</v>
      </c>
      <c r="G455" s="1">
        <v>36682.870000000003</v>
      </c>
      <c r="H455" t="s">
        <v>217</v>
      </c>
    </row>
    <row r="456" spans="1:8" x14ac:dyDescent="0.3">
      <c r="A456" s="78">
        <v>45645</v>
      </c>
      <c r="B456" s="77" t="s">
        <v>1177</v>
      </c>
      <c r="C456" s="77" t="s">
        <v>1178</v>
      </c>
      <c r="D456" s="78">
        <v>45645</v>
      </c>
      <c r="E456" s="1">
        <v>2.36</v>
      </c>
      <c r="F456" s="1">
        <v>0</v>
      </c>
      <c r="G456" s="1">
        <v>36680.51</v>
      </c>
      <c r="H456" t="s">
        <v>221</v>
      </c>
    </row>
    <row r="457" spans="1:8" x14ac:dyDescent="0.3">
      <c r="A457" s="78">
        <v>45645</v>
      </c>
      <c r="B457" s="77" t="s">
        <v>30</v>
      </c>
      <c r="C457" s="77" t="s">
        <v>1179</v>
      </c>
      <c r="D457" s="78">
        <v>45645</v>
      </c>
      <c r="E457" s="1">
        <v>108.31</v>
      </c>
      <c r="F457" s="1">
        <v>0</v>
      </c>
      <c r="G457" s="1">
        <v>36572.199999999997</v>
      </c>
      <c r="H457" t="s">
        <v>217</v>
      </c>
    </row>
    <row r="458" spans="1:8" x14ac:dyDescent="0.3">
      <c r="A458" s="78">
        <v>45645</v>
      </c>
      <c r="B458" s="77" t="s">
        <v>30</v>
      </c>
      <c r="C458" s="77" t="s">
        <v>1180</v>
      </c>
      <c r="D458" s="78">
        <v>45645</v>
      </c>
      <c r="E458" s="1">
        <v>1010.87</v>
      </c>
      <c r="F458" s="1">
        <v>0</v>
      </c>
      <c r="G458" s="1">
        <v>35561.33</v>
      </c>
      <c r="H458" t="s">
        <v>217</v>
      </c>
    </row>
    <row r="459" spans="1:8" x14ac:dyDescent="0.3">
      <c r="A459" s="78">
        <v>45646</v>
      </c>
      <c r="B459" s="77" t="s">
        <v>30</v>
      </c>
      <c r="C459" s="77" t="s">
        <v>1181</v>
      </c>
      <c r="D459" s="78">
        <v>45646</v>
      </c>
      <c r="E459" s="1">
        <v>110.12</v>
      </c>
      <c r="F459" s="1">
        <v>0</v>
      </c>
      <c r="G459" s="1">
        <v>35451.21</v>
      </c>
      <c r="H459" t="s">
        <v>217</v>
      </c>
    </row>
    <row r="460" spans="1:8" x14ac:dyDescent="0.3">
      <c r="A460" s="78">
        <v>45646</v>
      </c>
      <c r="B460" s="77" t="s">
        <v>30</v>
      </c>
      <c r="C460" s="77" t="s">
        <v>1182</v>
      </c>
      <c r="D460" s="78">
        <v>45646</v>
      </c>
      <c r="E460" s="1">
        <v>1898.9</v>
      </c>
      <c r="F460" s="1">
        <v>0</v>
      </c>
      <c r="G460" s="1">
        <v>33552.31</v>
      </c>
      <c r="H460" t="s">
        <v>217</v>
      </c>
    </row>
    <row r="461" spans="1:8" x14ac:dyDescent="0.3">
      <c r="A461" s="78">
        <v>45649</v>
      </c>
      <c r="B461" s="77" t="s">
        <v>30</v>
      </c>
      <c r="C461" s="77" t="s">
        <v>1183</v>
      </c>
      <c r="D461" s="78">
        <v>45649</v>
      </c>
      <c r="E461" s="1">
        <v>328.35</v>
      </c>
      <c r="F461" s="1">
        <v>0</v>
      </c>
      <c r="G461" s="1">
        <v>33223.96</v>
      </c>
      <c r="H461" t="s">
        <v>217</v>
      </c>
    </row>
    <row r="462" spans="1:8" x14ac:dyDescent="0.3">
      <c r="A462" s="78">
        <v>45649</v>
      </c>
      <c r="B462" s="77" t="s">
        <v>30</v>
      </c>
      <c r="C462" s="77" t="s">
        <v>1184</v>
      </c>
      <c r="D462" s="78">
        <v>45649</v>
      </c>
      <c r="E462" s="1">
        <v>15512.44</v>
      </c>
      <c r="F462" s="1">
        <v>0</v>
      </c>
      <c r="G462" s="1">
        <v>17711.52</v>
      </c>
      <c r="H462" t="s">
        <v>217</v>
      </c>
    </row>
    <row r="463" spans="1:8" x14ac:dyDescent="0.3">
      <c r="A463" s="78">
        <v>45650</v>
      </c>
      <c r="B463" s="77" t="s">
        <v>30</v>
      </c>
      <c r="C463" s="77" t="s">
        <v>1185</v>
      </c>
      <c r="D463" s="78">
        <v>45650</v>
      </c>
      <c r="E463" s="1">
        <v>103.92</v>
      </c>
      <c r="F463" s="1">
        <v>0</v>
      </c>
      <c r="G463" s="1">
        <v>17607.599999999999</v>
      </c>
      <c r="H463" t="s">
        <v>217</v>
      </c>
    </row>
    <row r="464" spans="1:8" x14ac:dyDescent="0.3">
      <c r="A464" s="78">
        <v>45652</v>
      </c>
      <c r="B464" s="77" t="s">
        <v>1186</v>
      </c>
      <c r="C464" s="77" t="s">
        <v>1187</v>
      </c>
      <c r="D464" s="78">
        <v>45652</v>
      </c>
      <c r="E464" s="1">
        <v>0</v>
      </c>
      <c r="F464" s="1">
        <v>138.88999999999999</v>
      </c>
      <c r="G464" s="1">
        <v>17746.490000000002</v>
      </c>
      <c r="H464" t="s">
        <v>2523</v>
      </c>
    </row>
    <row r="465" spans="1:8" x14ac:dyDescent="0.3">
      <c r="A465" s="78">
        <v>45652</v>
      </c>
      <c r="B465" s="77" t="s">
        <v>30</v>
      </c>
      <c r="C465" s="77" t="s">
        <v>1188</v>
      </c>
      <c r="D465" s="78">
        <v>45652</v>
      </c>
      <c r="E465" s="1">
        <v>203.7</v>
      </c>
      <c r="F465" s="1">
        <v>0</v>
      </c>
      <c r="G465" s="1">
        <v>17542.79</v>
      </c>
      <c r="H465" t="s">
        <v>217</v>
      </c>
    </row>
    <row r="466" spans="1:8" x14ac:dyDescent="0.3">
      <c r="A466" s="78">
        <v>45652</v>
      </c>
      <c r="B466" s="77" t="s">
        <v>30</v>
      </c>
      <c r="C466" s="77" t="s">
        <v>1189</v>
      </c>
      <c r="D466" s="78">
        <v>45652</v>
      </c>
      <c r="E466" s="1">
        <v>718.11</v>
      </c>
      <c r="F466" s="1">
        <v>0</v>
      </c>
      <c r="G466" s="1">
        <v>16824.68</v>
      </c>
      <c r="H466" t="s">
        <v>217</v>
      </c>
    </row>
    <row r="467" spans="1:8" x14ac:dyDescent="0.3">
      <c r="A467" s="78">
        <v>45653</v>
      </c>
      <c r="B467" s="77" t="s">
        <v>30</v>
      </c>
      <c r="C467" s="77" t="s">
        <v>1190</v>
      </c>
      <c r="D467" s="78">
        <v>45653</v>
      </c>
      <c r="E467" s="1">
        <v>101.64</v>
      </c>
      <c r="F467" s="1">
        <v>0</v>
      </c>
      <c r="G467" s="1">
        <v>16723.04</v>
      </c>
      <c r="H467" t="s">
        <v>217</v>
      </c>
    </row>
    <row r="468" spans="1:8" x14ac:dyDescent="0.3">
      <c r="A468" s="78">
        <v>45653</v>
      </c>
      <c r="B468" s="77" t="s">
        <v>30</v>
      </c>
      <c r="C468" s="77" t="s">
        <v>1191</v>
      </c>
      <c r="D468" s="78">
        <v>45653</v>
      </c>
      <c r="E468" s="1">
        <v>17.440000000000001</v>
      </c>
      <c r="F468" s="1">
        <v>0</v>
      </c>
      <c r="G468" s="1">
        <v>16705.599999999999</v>
      </c>
      <c r="H468" t="s">
        <v>217</v>
      </c>
    </row>
    <row r="469" spans="1:8" x14ac:dyDescent="0.3">
      <c r="A469" s="78">
        <v>45656</v>
      </c>
      <c r="B469" s="77" t="s">
        <v>1192</v>
      </c>
      <c r="C469" s="77" t="s">
        <v>1193</v>
      </c>
      <c r="D469" s="78">
        <v>45656</v>
      </c>
      <c r="E469" s="1">
        <v>5000</v>
      </c>
      <c r="F469" s="1">
        <v>0</v>
      </c>
      <c r="G469" s="1">
        <v>11705.6</v>
      </c>
      <c r="H469" t="s">
        <v>219</v>
      </c>
    </row>
    <row r="470" spans="1:8" x14ac:dyDescent="0.3">
      <c r="A470" s="78">
        <v>45656</v>
      </c>
      <c r="B470" s="77" t="s">
        <v>1194</v>
      </c>
      <c r="C470" s="77" t="s">
        <v>1195</v>
      </c>
      <c r="D470" s="78">
        <v>45656</v>
      </c>
      <c r="E470" s="1">
        <v>5000</v>
      </c>
      <c r="F470" s="1">
        <v>0</v>
      </c>
      <c r="G470" s="1">
        <v>6705.6</v>
      </c>
      <c r="H470" t="s">
        <v>219</v>
      </c>
    </row>
    <row r="471" spans="1:8" x14ac:dyDescent="0.3">
      <c r="A471" s="78">
        <v>45656</v>
      </c>
      <c r="B471" s="77" t="s">
        <v>30</v>
      </c>
      <c r="C471" s="77" t="s">
        <v>1196</v>
      </c>
      <c r="D471" s="78">
        <v>45656</v>
      </c>
      <c r="E471" s="1">
        <v>304.92</v>
      </c>
      <c r="F471" s="1">
        <v>0</v>
      </c>
      <c r="G471" s="1">
        <v>6400.68</v>
      </c>
      <c r="H471" t="s">
        <v>217</v>
      </c>
    </row>
    <row r="472" spans="1:8" x14ac:dyDescent="0.3">
      <c r="A472" s="78">
        <v>45657</v>
      </c>
      <c r="B472" s="77" t="s">
        <v>1197</v>
      </c>
      <c r="C472" s="77" t="s">
        <v>1198</v>
      </c>
      <c r="D472" s="78">
        <v>45657</v>
      </c>
      <c r="E472" s="1">
        <v>0</v>
      </c>
      <c r="F472" s="1">
        <v>318.27</v>
      </c>
      <c r="G472" s="1">
        <v>6718.95</v>
      </c>
      <c r="H472" t="s">
        <v>2523</v>
      </c>
    </row>
    <row r="473" spans="1:8" x14ac:dyDescent="0.3">
      <c r="A473" s="78">
        <v>45657</v>
      </c>
      <c r="B473" s="77" t="s">
        <v>30</v>
      </c>
      <c r="C473" s="77" t="s">
        <v>1199</v>
      </c>
      <c r="D473" s="78">
        <v>45657</v>
      </c>
      <c r="E473" s="1">
        <v>101.64</v>
      </c>
      <c r="F473" s="1">
        <v>0</v>
      </c>
      <c r="G473" s="1">
        <v>6617.31</v>
      </c>
      <c r="H473" t="s">
        <v>217</v>
      </c>
    </row>
    <row r="474" spans="1:8" x14ac:dyDescent="0.3">
      <c r="A474" s="78">
        <v>45657</v>
      </c>
      <c r="B474" s="77" t="s">
        <v>30</v>
      </c>
      <c r="C474" s="77" t="s">
        <v>1200</v>
      </c>
      <c r="D474" s="78">
        <v>45657</v>
      </c>
      <c r="E474" s="1">
        <v>527.37</v>
      </c>
      <c r="F474" s="1">
        <v>0</v>
      </c>
      <c r="G474" s="1">
        <v>6089.94</v>
      </c>
      <c r="H474" t="s">
        <v>217</v>
      </c>
    </row>
    <row r="475" spans="1:8" x14ac:dyDescent="0.3">
      <c r="A475" s="78">
        <v>45658</v>
      </c>
      <c r="B475" s="77" t="s">
        <v>1201</v>
      </c>
      <c r="C475" s="77" t="s">
        <v>46</v>
      </c>
      <c r="D475" s="78">
        <v>45657</v>
      </c>
      <c r="E475" s="1">
        <v>0</v>
      </c>
      <c r="F475" s="1">
        <v>642</v>
      </c>
      <c r="G475" s="1">
        <v>6731.94</v>
      </c>
      <c r="H475" t="s">
        <v>227</v>
      </c>
    </row>
    <row r="476" spans="1:8" x14ac:dyDescent="0.3">
      <c r="A476" s="78">
        <v>45658</v>
      </c>
      <c r="B476" s="77" t="s">
        <v>30</v>
      </c>
      <c r="C476" s="77" t="s">
        <v>1202</v>
      </c>
      <c r="D476" s="78">
        <v>45658</v>
      </c>
      <c r="E476" s="1">
        <v>101.56</v>
      </c>
      <c r="F476" s="1">
        <v>0</v>
      </c>
      <c r="G476" s="1">
        <v>6630.38</v>
      </c>
      <c r="H476" t="s">
        <v>217</v>
      </c>
    </row>
    <row r="477" spans="1:8" x14ac:dyDescent="0.3">
      <c r="A477" s="78">
        <v>45659</v>
      </c>
      <c r="B477" s="77" t="s">
        <v>1203</v>
      </c>
      <c r="C477" s="77" t="s">
        <v>1204</v>
      </c>
      <c r="D477" s="78">
        <v>45659</v>
      </c>
      <c r="E477" s="1">
        <v>0</v>
      </c>
      <c r="F477" s="1">
        <v>19857.53</v>
      </c>
      <c r="G477" s="1">
        <v>26487.91</v>
      </c>
      <c r="H477" t="s">
        <v>2523</v>
      </c>
    </row>
    <row r="478" spans="1:8" x14ac:dyDescent="0.3">
      <c r="A478" s="78">
        <v>45659</v>
      </c>
      <c r="B478" s="77" t="s">
        <v>1205</v>
      </c>
      <c r="C478" s="77" t="s">
        <v>1206</v>
      </c>
      <c r="D478" s="78">
        <v>45659</v>
      </c>
      <c r="E478" s="1">
        <v>0</v>
      </c>
      <c r="F478" s="1">
        <v>100000</v>
      </c>
      <c r="G478" s="1">
        <v>126487.91</v>
      </c>
      <c r="H478" t="s">
        <v>2520</v>
      </c>
    </row>
    <row r="479" spans="1:8" x14ac:dyDescent="0.3">
      <c r="A479" s="78">
        <v>45659</v>
      </c>
      <c r="B479" s="77" t="s">
        <v>30</v>
      </c>
      <c r="C479" s="77" t="s">
        <v>1207</v>
      </c>
      <c r="D479" s="78">
        <v>45659</v>
      </c>
      <c r="E479" s="1">
        <v>101.56</v>
      </c>
      <c r="F479" s="1">
        <v>0</v>
      </c>
      <c r="G479" s="1">
        <v>126386.35</v>
      </c>
      <c r="H479" t="s">
        <v>217</v>
      </c>
    </row>
    <row r="480" spans="1:8" x14ac:dyDescent="0.3">
      <c r="A480" s="78">
        <v>45659</v>
      </c>
      <c r="B480" s="77" t="s">
        <v>30</v>
      </c>
      <c r="C480" s="77" t="s">
        <v>1208</v>
      </c>
      <c r="D480" s="78">
        <v>45659</v>
      </c>
      <c r="E480" s="1">
        <v>32529.78</v>
      </c>
      <c r="F480" s="1">
        <v>0</v>
      </c>
      <c r="G480" s="1">
        <v>93856.57</v>
      </c>
      <c r="H480" t="s">
        <v>217</v>
      </c>
    </row>
    <row r="481" spans="1:8" x14ac:dyDescent="0.3">
      <c r="A481" s="78">
        <v>45659</v>
      </c>
      <c r="B481" s="77" t="s">
        <v>30</v>
      </c>
      <c r="C481" s="77" t="s">
        <v>1209</v>
      </c>
      <c r="D481" s="78">
        <v>45659</v>
      </c>
      <c r="E481" s="1">
        <v>5548.07</v>
      </c>
      <c r="F481" s="1">
        <v>0</v>
      </c>
      <c r="G481" s="1">
        <v>88308.5</v>
      </c>
      <c r="H481" t="s">
        <v>217</v>
      </c>
    </row>
    <row r="482" spans="1:8" x14ac:dyDescent="0.3">
      <c r="A482" s="78">
        <v>45660</v>
      </c>
      <c r="B482" s="77" t="s">
        <v>30</v>
      </c>
      <c r="C482" s="77" t="s">
        <v>1210</v>
      </c>
      <c r="D482" s="78">
        <v>45660</v>
      </c>
      <c r="E482" s="1">
        <v>90.12</v>
      </c>
      <c r="F482" s="1">
        <v>0</v>
      </c>
      <c r="G482" s="1">
        <v>88218.38</v>
      </c>
      <c r="H482" t="s">
        <v>217</v>
      </c>
    </row>
    <row r="483" spans="1:8" x14ac:dyDescent="0.3">
      <c r="A483" s="78">
        <v>45660</v>
      </c>
      <c r="B483" s="77" t="s">
        <v>30</v>
      </c>
      <c r="C483" s="77" t="s">
        <v>1211</v>
      </c>
      <c r="D483" s="78">
        <v>45660</v>
      </c>
      <c r="E483" s="1">
        <v>24679.84</v>
      </c>
      <c r="F483" s="1">
        <v>0</v>
      </c>
      <c r="G483" s="1">
        <v>63538.54</v>
      </c>
      <c r="H483" t="s">
        <v>217</v>
      </c>
    </row>
    <row r="484" spans="1:8" x14ac:dyDescent="0.3">
      <c r="A484" s="78">
        <v>45663</v>
      </c>
      <c r="B484" s="77" t="s">
        <v>30</v>
      </c>
      <c r="C484" s="77" t="s">
        <v>1212</v>
      </c>
      <c r="D484" s="78">
        <v>45663</v>
      </c>
      <c r="E484" s="1">
        <v>259.89</v>
      </c>
      <c r="F484" s="1">
        <v>0</v>
      </c>
      <c r="G484" s="1">
        <v>63278.65</v>
      </c>
      <c r="H484" t="s">
        <v>217</v>
      </c>
    </row>
    <row r="485" spans="1:8" x14ac:dyDescent="0.3">
      <c r="A485" s="78">
        <v>45663</v>
      </c>
      <c r="B485" s="77" t="s">
        <v>30</v>
      </c>
      <c r="C485" s="77" t="s">
        <v>1213</v>
      </c>
      <c r="D485" s="78">
        <v>45663</v>
      </c>
      <c r="E485" s="1">
        <v>7402.78</v>
      </c>
      <c r="F485" s="1">
        <v>0</v>
      </c>
      <c r="G485" s="1">
        <v>55875.87</v>
      </c>
      <c r="H485" t="s">
        <v>217</v>
      </c>
    </row>
    <row r="486" spans="1:8" x14ac:dyDescent="0.3">
      <c r="A486" s="78">
        <v>45664</v>
      </c>
      <c r="B486" s="77" t="s">
        <v>30</v>
      </c>
      <c r="C486" s="77" t="s">
        <v>1214</v>
      </c>
      <c r="D486" s="78">
        <v>45664</v>
      </c>
      <c r="E486" s="1">
        <v>84</v>
      </c>
      <c r="F486" s="1">
        <v>0</v>
      </c>
      <c r="G486" s="1">
        <v>55791.87</v>
      </c>
      <c r="H486" t="s">
        <v>217</v>
      </c>
    </row>
    <row r="487" spans="1:8" x14ac:dyDescent="0.3">
      <c r="A487" s="78">
        <v>45664</v>
      </c>
      <c r="B487" s="77" t="s">
        <v>1215</v>
      </c>
      <c r="C487" s="77" t="s">
        <v>1216</v>
      </c>
      <c r="D487" s="78">
        <v>45664</v>
      </c>
      <c r="E487" s="1">
        <v>0</v>
      </c>
      <c r="F487" s="1">
        <v>1880</v>
      </c>
      <c r="G487" s="1">
        <v>57671.87</v>
      </c>
      <c r="H487" t="s">
        <v>2524</v>
      </c>
    </row>
    <row r="488" spans="1:8" x14ac:dyDescent="0.3">
      <c r="A488" s="78">
        <v>45665</v>
      </c>
      <c r="B488" s="77" t="s">
        <v>1217</v>
      </c>
      <c r="C488" s="77" t="s">
        <v>1218</v>
      </c>
      <c r="D488" s="78">
        <v>45665</v>
      </c>
      <c r="E488" s="1">
        <v>0</v>
      </c>
      <c r="F488" s="1">
        <v>1633.99</v>
      </c>
      <c r="G488" s="1">
        <v>59305.86</v>
      </c>
      <c r="H488" t="s">
        <v>2523</v>
      </c>
    </row>
    <row r="489" spans="1:8" x14ac:dyDescent="0.3">
      <c r="A489" s="78">
        <v>45665</v>
      </c>
      <c r="B489" s="77" t="s">
        <v>1219</v>
      </c>
      <c r="C489" s="77" t="s">
        <v>1220</v>
      </c>
      <c r="D489" s="78">
        <v>45665</v>
      </c>
      <c r="E489" s="1">
        <v>0</v>
      </c>
      <c r="F489" s="1">
        <v>51991.49</v>
      </c>
      <c r="G489" s="1">
        <v>111297.35</v>
      </c>
      <c r="H489" t="s">
        <v>2539</v>
      </c>
    </row>
    <row r="490" spans="1:8" x14ac:dyDescent="0.3">
      <c r="A490" s="78">
        <v>45665</v>
      </c>
      <c r="B490" s="77" t="s">
        <v>30</v>
      </c>
      <c r="C490" s="77" t="s">
        <v>1221</v>
      </c>
      <c r="D490" s="78">
        <v>45665</v>
      </c>
      <c r="E490" s="1">
        <v>84</v>
      </c>
      <c r="F490" s="1">
        <v>0</v>
      </c>
      <c r="G490" s="1">
        <v>111213.35</v>
      </c>
      <c r="H490" t="s">
        <v>217</v>
      </c>
    </row>
    <row r="491" spans="1:8" x14ac:dyDescent="0.3">
      <c r="A491" s="78">
        <v>45665</v>
      </c>
      <c r="B491" s="77" t="s">
        <v>30</v>
      </c>
      <c r="C491" s="77" t="s">
        <v>1222</v>
      </c>
      <c r="D491" s="78">
        <v>45665</v>
      </c>
      <c r="E491" s="1">
        <v>160.37</v>
      </c>
      <c r="F491" s="1">
        <v>0</v>
      </c>
      <c r="G491" s="1">
        <v>111052.98</v>
      </c>
      <c r="H491" t="s">
        <v>217</v>
      </c>
    </row>
    <row r="492" spans="1:8" x14ac:dyDescent="0.3">
      <c r="A492" s="78">
        <v>45666</v>
      </c>
      <c r="B492" s="77" t="s">
        <v>30</v>
      </c>
      <c r="C492" s="77" t="s">
        <v>1223</v>
      </c>
      <c r="D492" s="78">
        <v>45666</v>
      </c>
      <c r="E492" s="1">
        <v>84.52</v>
      </c>
      <c r="F492" s="1">
        <v>0</v>
      </c>
      <c r="G492" s="1">
        <v>110968.46</v>
      </c>
      <c r="H492" t="s">
        <v>217</v>
      </c>
    </row>
    <row r="493" spans="1:8" x14ac:dyDescent="0.3">
      <c r="A493" s="78">
        <v>45666</v>
      </c>
      <c r="B493" s="77" t="s">
        <v>30</v>
      </c>
      <c r="C493" s="77" t="s">
        <v>1224</v>
      </c>
      <c r="D493" s="78">
        <v>45666</v>
      </c>
      <c r="E493" s="1">
        <v>1427.42</v>
      </c>
      <c r="F493" s="1">
        <v>0</v>
      </c>
      <c r="G493" s="1">
        <v>109541.04</v>
      </c>
      <c r="H493" t="s">
        <v>217</v>
      </c>
    </row>
    <row r="494" spans="1:8" x14ac:dyDescent="0.3">
      <c r="A494" s="78">
        <v>45667</v>
      </c>
      <c r="B494" s="77" t="s">
        <v>30</v>
      </c>
      <c r="C494" s="77" t="s">
        <v>1225</v>
      </c>
      <c r="D494" s="78">
        <v>45667</v>
      </c>
      <c r="E494" s="1">
        <v>84.01</v>
      </c>
      <c r="F494" s="1">
        <v>0</v>
      </c>
      <c r="G494" s="1">
        <v>109457.03</v>
      </c>
      <c r="H494" t="s">
        <v>217</v>
      </c>
    </row>
    <row r="495" spans="1:8" x14ac:dyDescent="0.3">
      <c r="A495" s="78">
        <v>45667</v>
      </c>
      <c r="B495" s="77" t="s">
        <v>30</v>
      </c>
      <c r="C495" s="77" t="s">
        <v>1226</v>
      </c>
      <c r="D495" s="78">
        <v>45667</v>
      </c>
      <c r="E495" s="1">
        <v>4522.53</v>
      </c>
      <c r="F495" s="1">
        <v>0</v>
      </c>
      <c r="G495" s="1">
        <v>104934.5</v>
      </c>
      <c r="H495" t="s">
        <v>217</v>
      </c>
    </row>
    <row r="496" spans="1:8" x14ac:dyDescent="0.3">
      <c r="A496" s="78">
        <v>45670</v>
      </c>
      <c r="B496" s="77" t="s">
        <v>30</v>
      </c>
      <c r="C496" s="77" t="s">
        <v>1227</v>
      </c>
      <c r="D496" s="78">
        <v>45670</v>
      </c>
      <c r="E496" s="1">
        <v>247.2</v>
      </c>
      <c r="F496" s="1">
        <v>0</v>
      </c>
      <c r="G496" s="1">
        <v>104687.3</v>
      </c>
      <c r="H496" t="s">
        <v>217</v>
      </c>
    </row>
    <row r="497" spans="1:8" x14ac:dyDescent="0.3">
      <c r="A497" s="78">
        <v>45670</v>
      </c>
      <c r="B497" s="77" t="s">
        <v>1228</v>
      </c>
      <c r="C497" s="77" t="s">
        <v>46</v>
      </c>
      <c r="D497" s="78">
        <v>45670</v>
      </c>
      <c r="E497" s="1">
        <v>200.6</v>
      </c>
      <c r="F497" s="1">
        <v>0</v>
      </c>
      <c r="G497" s="1">
        <v>104486.7</v>
      </c>
      <c r="H497" t="s">
        <v>220</v>
      </c>
    </row>
    <row r="498" spans="1:8" x14ac:dyDescent="0.3">
      <c r="A498" s="78">
        <v>45670</v>
      </c>
      <c r="B498" s="77" t="s">
        <v>30</v>
      </c>
      <c r="C498" s="77" t="s">
        <v>1229</v>
      </c>
      <c r="D498" s="78">
        <v>45670</v>
      </c>
      <c r="E498" s="1">
        <v>7864.69</v>
      </c>
      <c r="F498" s="1">
        <v>0</v>
      </c>
      <c r="G498" s="1">
        <v>96622.01</v>
      </c>
      <c r="H498" t="s">
        <v>217</v>
      </c>
    </row>
    <row r="499" spans="1:8" x14ac:dyDescent="0.3">
      <c r="A499" s="78">
        <v>45671</v>
      </c>
      <c r="B499" s="77" t="s">
        <v>30</v>
      </c>
      <c r="C499" s="77" t="s">
        <v>1230</v>
      </c>
      <c r="D499" s="78">
        <v>45671</v>
      </c>
      <c r="E499" s="1">
        <v>79.599999999999994</v>
      </c>
      <c r="F499" s="1">
        <v>0</v>
      </c>
      <c r="G499" s="1">
        <v>96542.41</v>
      </c>
      <c r="H499" t="s">
        <v>217</v>
      </c>
    </row>
    <row r="500" spans="1:8" x14ac:dyDescent="0.3">
      <c r="A500" s="78">
        <v>45672</v>
      </c>
      <c r="B500" s="77" t="s">
        <v>1231</v>
      </c>
      <c r="C500" s="77" t="s">
        <v>1232</v>
      </c>
      <c r="D500" s="78">
        <v>45672</v>
      </c>
      <c r="E500" s="1">
        <v>0</v>
      </c>
      <c r="F500" s="1">
        <v>6345.12</v>
      </c>
      <c r="G500" s="1">
        <v>102887.53</v>
      </c>
      <c r="H500" t="s">
        <v>2523</v>
      </c>
    </row>
    <row r="501" spans="1:8" x14ac:dyDescent="0.3">
      <c r="A501" s="78">
        <v>45672</v>
      </c>
      <c r="B501" s="77" t="s">
        <v>30</v>
      </c>
      <c r="C501" s="77" t="s">
        <v>1233</v>
      </c>
      <c r="D501" s="78">
        <v>45672</v>
      </c>
      <c r="E501" s="1">
        <v>79.599999999999994</v>
      </c>
      <c r="F501" s="1">
        <v>0</v>
      </c>
      <c r="G501" s="1">
        <v>102807.93</v>
      </c>
      <c r="H501" t="s">
        <v>217</v>
      </c>
    </row>
    <row r="502" spans="1:8" x14ac:dyDescent="0.3">
      <c r="A502" s="78">
        <v>45672</v>
      </c>
      <c r="B502" s="77" t="s">
        <v>30</v>
      </c>
      <c r="C502" s="77" t="s">
        <v>1234</v>
      </c>
      <c r="D502" s="78">
        <v>45672</v>
      </c>
      <c r="E502" s="1">
        <v>1375.4</v>
      </c>
      <c r="F502" s="1">
        <v>0</v>
      </c>
      <c r="G502" s="1">
        <v>101432.53</v>
      </c>
      <c r="H502" t="s">
        <v>217</v>
      </c>
    </row>
    <row r="503" spans="1:8" x14ac:dyDescent="0.3">
      <c r="A503" s="78">
        <v>45673</v>
      </c>
      <c r="B503" s="77" t="s">
        <v>30</v>
      </c>
      <c r="C503" s="77" t="s">
        <v>1235</v>
      </c>
      <c r="D503" s="78">
        <v>45673</v>
      </c>
      <c r="E503" s="1">
        <v>81.37</v>
      </c>
      <c r="F503" s="1">
        <v>0</v>
      </c>
      <c r="G503" s="1">
        <v>101351.16</v>
      </c>
      <c r="H503" t="s">
        <v>217</v>
      </c>
    </row>
    <row r="504" spans="1:8" x14ac:dyDescent="0.3">
      <c r="A504" s="78">
        <v>45674</v>
      </c>
      <c r="B504" s="77" t="s">
        <v>1236</v>
      </c>
      <c r="C504" s="77" t="s">
        <v>1237</v>
      </c>
      <c r="D504" s="78">
        <v>45674</v>
      </c>
      <c r="E504" s="1">
        <v>0</v>
      </c>
      <c r="F504" s="1">
        <v>3353.16</v>
      </c>
      <c r="G504" s="1">
        <v>104704.32000000001</v>
      </c>
      <c r="H504" t="s">
        <v>2523</v>
      </c>
    </row>
    <row r="505" spans="1:8" x14ac:dyDescent="0.3">
      <c r="A505" s="78">
        <v>45674</v>
      </c>
      <c r="B505" s="77" t="s">
        <v>30</v>
      </c>
      <c r="C505" s="77" t="s">
        <v>1238</v>
      </c>
      <c r="D505" s="78">
        <v>45674</v>
      </c>
      <c r="E505" s="1">
        <v>81.37</v>
      </c>
      <c r="F505" s="1">
        <v>0</v>
      </c>
      <c r="G505" s="1">
        <v>104622.95</v>
      </c>
      <c r="H505" t="s">
        <v>217</v>
      </c>
    </row>
    <row r="506" spans="1:8" x14ac:dyDescent="0.3">
      <c r="A506" s="78">
        <v>45674</v>
      </c>
      <c r="B506" s="77" t="s">
        <v>30</v>
      </c>
      <c r="C506" s="77" t="s">
        <v>1239</v>
      </c>
      <c r="D506" s="78">
        <v>45674</v>
      </c>
      <c r="E506" s="1">
        <v>691.59</v>
      </c>
      <c r="F506" s="1">
        <v>0</v>
      </c>
      <c r="G506" s="1">
        <v>103931.36</v>
      </c>
      <c r="H506" t="s">
        <v>217</v>
      </c>
    </row>
    <row r="507" spans="1:8" x14ac:dyDescent="0.3">
      <c r="A507" s="78">
        <v>45677</v>
      </c>
      <c r="B507" s="77" t="s">
        <v>30</v>
      </c>
      <c r="C507" s="77" t="s">
        <v>1240</v>
      </c>
      <c r="D507" s="78">
        <v>45677</v>
      </c>
      <c r="E507" s="1">
        <v>246.96</v>
      </c>
      <c r="F507" s="1">
        <v>0</v>
      </c>
      <c r="G507" s="1">
        <v>103684.4</v>
      </c>
      <c r="H507" t="s">
        <v>217</v>
      </c>
    </row>
    <row r="508" spans="1:8" x14ac:dyDescent="0.3">
      <c r="A508" s="78">
        <v>45678</v>
      </c>
      <c r="B508" s="77" t="s">
        <v>1241</v>
      </c>
      <c r="C508" s="77" t="s">
        <v>1242</v>
      </c>
      <c r="D508" s="78">
        <v>45678</v>
      </c>
      <c r="E508" s="1">
        <v>0</v>
      </c>
      <c r="F508" s="1">
        <v>2129.64</v>
      </c>
      <c r="G508" s="1">
        <v>105814.04</v>
      </c>
      <c r="H508" t="s">
        <v>2523</v>
      </c>
    </row>
    <row r="509" spans="1:8" x14ac:dyDescent="0.3">
      <c r="A509" s="78">
        <v>45678</v>
      </c>
      <c r="B509" s="77" t="s">
        <v>30</v>
      </c>
      <c r="C509" s="77" t="s">
        <v>1243</v>
      </c>
      <c r="D509" s="78">
        <v>45678</v>
      </c>
      <c r="E509" s="1">
        <v>82.32</v>
      </c>
      <c r="F509" s="1">
        <v>0</v>
      </c>
      <c r="G509" s="1">
        <v>105731.72</v>
      </c>
      <c r="H509" t="s">
        <v>217</v>
      </c>
    </row>
    <row r="510" spans="1:8" x14ac:dyDescent="0.3">
      <c r="A510" s="78">
        <v>45678</v>
      </c>
      <c r="B510" s="77" t="s">
        <v>30</v>
      </c>
      <c r="C510" s="77" t="s">
        <v>1244</v>
      </c>
      <c r="D510" s="78">
        <v>45678</v>
      </c>
      <c r="E510" s="1">
        <v>2642.04</v>
      </c>
      <c r="F510" s="1">
        <v>0</v>
      </c>
      <c r="G510" s="1">
        <v>103089.68</v>
      </c>
      <c r="H510" t="s">
        <v>217</v>
      </c>
    </row>
    <row r="511" spans="1:8" x14ac:dyDescent="0.3">
      <c r="A511" s="78">
        <v>45679</v>
      </c>
      <c r="B511" s="77" t="s">
        <v>30</v>
      </c>
      <c r="C511" s="77" t="s">
        <v>1245</v>
      </c>
      <c r="D511" s="78">
        <v>45679</v>
      </c>
      <c r="E511" s="1">
        <v>82.14</v>
      </c>
      <c r="F511" s="1">
        <v>0</v>
      </c>
      <c r="G511" s="1">
        <v>103007.54</v>
      </c>
      <c r="H511" t="s">
        <v>217</v>
      </c>
    </row>
    <row r="512" spans="1:8" x14ac:dyDescent="0.3">
      <c r="A512" s="78">
        <v>45679</v>
      </c>
      <c r="B512" s="77" t="s">
        <v>30</v>
      </c>
      <c r="C512" s="77" t="s">
        <v>1246</v>
      </c>
      <c r="D512" s="78">
        <v>45679</v>
      </c>
      <c r="E512" s="1">
        <v>365.35</v>
      </c>
      <c r="F512" s="1">
        <v>0</v>
      </c>
      <c r="G512" s="1">
        <v>102642.19</v>
      </c>
      <c r="H512" t="s">
        <v>217</v>
      </c>
    </row>
    <row r="513" spans="1:8" x14ac:dyDescent="0.3">
      <c r="A513" s="78">
        <v>45680</v>
      </c>
      <c r="B513" s="77" t="s">
        <v>30</v>
      </c>
      <c r="C513" s="77" t="s">
        <v>1247</v>
      </c>
      <c r="D513" s="78">
        <v>45680</v>
      </c>
      <c r="E513" s="1">
        <v>82.01</v>
      </c>
      <c r="F513" s="1">
        <v>0</v>
      </c>
      <c r="G513" s="1">
        <v>102560.18</v>
      </c>
      <c r="H513" t="s">
        <v>217</v>
      </c>
    </row>
    <row r="514" spans="1:8" x14ac:dyDescent="0.3">
      <c r="A514" s="78">
        <v>45680</v>
      </c>
      <c r="B514" s="77" t="s">
        <v>30</v>
      </c>
      <c r="C514" s="77" t="s">
        <v>1248</v>
      </c>
      <c r="D514" s="78">
        <v>45680</v>
      </c>
      <c r="E514" s="1">
        <v>22709.88</v>
      </c>
      <c r="F514" s="1">
        <v>0</v>
      </c>
      <c r="G514" s="1">
        <v>79850.3</v>
      </c>
      <c r="H514" t="s">
        <v>217</v>
      </c>
    </row>
    <row r="515" spans="1:8" x14ac:dyDescent="0.3">
      <c r="A515" s="78">
        <v>45681</v>
      </c>
      <c r="B515" s="77" t="s">
        <v>1249</v>
      </c>
      <c r="C515" s="77" t="s">
        <v>1250</v>
      </c>
      <c r="D515" s="78">
        <v>45681</v>
      </c>
      <c r="E515" s="1">
        <v>0</v>
      </c>
      <c r="F515" s="1">
        <v>2421.16</v>
      </c>
      <c r="G515" s="1">
        <v>82271.460000000006</v>
      </c>
      <c r="H515" t="s">
        <v>2523</v>
      </c>
    </row>
    <row r="516" spans="1:8" x14ac:dyDescent="0.3">
      <c r="A516" s="78">
        <v>45681</v>
      </c>
      <c r="B516" s="77" t="s">
        <v>30</v>
      </c>
      <c r="C516" s="77" t="s">
        <v>1251</v>
      </c>
      <c r="D516" s="78">
        <v>45681</v>
      </c>
      <c r="E516" s="1">
        <v>82.01</v>
      </c>
      <c r="F516" s="1">
        <v>0</v>
      </c>
      <c r="G516" s="1">
        <v>82189.45</v>
      </c>
      <c r="H516" t="s">
        <v>217</v>
      </c>
    </row>
    <row r="517" spans="1:8" x14ac:dyDescent="0.3">
      <c r="A517" s="78">
        <v>45681</v>
      </c>
      <c r="B517" s="77" t="s">
        <v>30</v>
      </c>
      <c r="C517" s="77" t="s">
        <v>1252</v>
      </c>
      <c r="D517" s="78">
        <v>45681</v>
      </c>
      <c r="E517" s="1">
        <v>9112.92</v>
      </c>
      <c r="F517" s="1">
        <v>0</v>
      </c>
      <c r="G517" s="1">
        <v>73076.53</v>
      </c>
      <c r="H517" t="s">
        <v>217</v>
      </c>
    </row>
    <row r="518" spans="1:8" x14ac:dyDescent="0.3">
      <c r="A518" s="78">
        <v>45684</v>
      </c>
      <c r="B518" s="77" t="s">
        <v>30</v>
      </c>
      <c r="C518" s="77" t="s">
        <v>1253</v>
      </c>
      <c r="D518" s="78">
        <v>45684</v>
      </c>
      <c r="E518" s="1">
        <v>238.86</v>
      </c>
      <c r="F518" s="1">
        <v>0</v>
      </c>
      <c r="G518" s="1">
        <v>72837.67</v>
      </c>
      <c r="H518" t="s">
        <v>217</v>
      </c>
    </row>
    <row r="519" spans="1:8" x14ac:dyDescent="0.3">
      <c r="A519" s="78">
        <v>45684</v>
      </c>
      <c r="B519" s="77" t="s">
        <v>30</v>
      </c>
      <c r="C519" s="77" t="s">
        <v>1254</v>
      </c>
      <c r="D519" s="78">
        <v>45684</v>
      </c>
      <c r="E519" s="1">
        <v>4938.5200000000004</v>
      </c>
      <c r="F519" s="1">
        <v>0</v>
      </c>
      <c r="G519" s="1">
        <v>67899.149999999994</v>
      </c>
      <c r="H519" t="s">
        <v>217</v>
      </c>
    </row>
    <row r="520" spans="1:8" x14ac:dyDescent="0.3">
      <c r="A520" s="78">
        <v>45685</v>
      </c>
      <c r="B520" s="77" t="s">
        <v>1255</v>
      </c>
      <c r="C520" s="77" t="s">
        <v>1256</v>
      </c>
      <c r="D520" s="78">
        <v>45685</v>
      </c>
      <c r="E520" s="1">
        <v>5000</v>
      </c>
      <c r="F520" s="1">
        <v>0</v>
      </c>
      <c r="G520" s="1">
        <v>62899.15</v>
      </c>
      <c r="H520" t="s">
        <v>219</v>
      </c>
    </row>
    <row r="521" spans="1:8" x14ac:dyDescent="0.3">
      <c r="A521" s="78">
        <v>45685</v>
      </c>
      <c r="B521" s="77" t="s">
        <v>30</v>
      </c>
      <c r="C521" s="77" t="s">
        <v>1257</v>
      </c>
      <c r="D521" s="78">
        <v>45685</v>
      </c>
      <c r="E521" s="1">
        <v>77.87</v>
      </c>
      <c r="F521" s="1">
        <v>0</v>
      </c>
      <c r="G521" s="1">
        <v>62821.279999999999</v>
      </c>
      <c r="H521" t="s">
        <v>217</v>
      </c>
    </row>
    <row r="522" spans="1:8" x14ac:dyDescent="0.3">
      <c r="A522" s="78">
        <v>45685</v>
      </c>
      <c r="B522" s="77" t="s">
        <v>1258</v>
      </c>
      <c r="C522" s="77" t="s">
        <v>46</v>
      </c>
      <c r="D522" s="78">
        <v>45685</v>
      </c>
      <c r="E522" s="1">
        <v>0</v>
      </c>
      <c r="F522" s="1">
        <v>127000</v>
      </c>
      <c r="G522" s="1">
        <v>189821.28</v>
      </c>
      <c r="H522" t="s">
        <v>2521</v>
      </c>
    </row>
    <row r="523" spans="1:8" x14ac:dyDescent="0.3">
      <c r="A523" s="78">
        <v>45685</v>
      </c>
      <c r="B523" s="77" t="s">
        <v>30</v>
      </c>
      <c r="C523" s="77" t="s">
        <v>1259</v>
      </c>
      <c r="D523" s="78">
        <v>45685</v>
      </c>
      <c r="E523" s="1">
        <v>1074.56</v>
      </c>
      <c r="F523" s="1">
        <v>0</v>
      </c>
      <c r="G523" s="1">
        <v>188746.72</v>
      </c>
      <c r="H523" t="s">
        <v>217</v>
      </c>
    </row>
    <row r="524" spans="1:8" x14ac:dyDescent="0.3">
      <c r="A524" s="78">
        <v>45686</v>
      </c>
      <c r="B524" s="77" t="s">
        <v>1260</v>
      </c>
      <c r="C524" s="77" t="s">
        <v>1261</v>
      </c>
      <c r="D524" s="78">
        <v>45686</v>
      </c>
      <c r="E524" s="1">
        <v>5.9</v>
      </c>
      <c r="F524" s="1">
        <v>0</v>
      </c>
      <c r="G524" s="1">
        <v>188740.82</v>
      </c>
      <c r="H524" t="s">
        <v>221</v>
      </c>
    </row>
    <row r="525" spans="1:8" x14ac:dyDescent="0.3">
      <c r="A525" s="78">
        <v>45686</v>
      </c>
      <c r="B525" s="77" t="s">
        <v>30</v>
      </c>
      <c r="C525" s="77" t="s">
        <v>1262</v>
      </c>
      <c r="D525" s="78">
        <v>45686</v>
      </c>
      <c r="E525" s="1">
        <v>77.48</v>
      </c>
      <c r="F525" s="1">
        <v>0</v>
      </c>
      <c r="G525" s="1">
        <v>188663.34</v>
      </c>
      <c r="H525" t="s">
        <v>217</v>
      </c>
    </row>
    <row r="526" spans="1:8" x14ac:dyDescent="0.3">
      <c r="A526" s="78">
        <v>45687</v>
      </c>
      <c r="B526" s="77" t="s">
        <v>1263</v>
      </c>
      <c r="C526" s="77" t="s">
        <v>1264</v>
      </c>
      <c r="D526" s="78">
        <v>45687</v>
      </c>
      <c r="E526" s="1">
        <v>0</v>
      </c>
      <c r="F526" s="1">
        <v>5823.56</v>
      </c>
      <c r="G526" s="1">
        <v>194486.9</v>
      </c>
      <c r="H526" t="s">
        <v>2523</v>
      </c>
    </row>
    <row r="527" spans="1:8" x14ac:dyDescent="0.3">
      <c r="A527" s="78">
        <v>45687</v>
      </c>
      <c r="B527" s="77" t="s">
        <v>1265</v>
      </c>
      <c r="C527" s="77" t="s">
        <v>1266</v>
      </c>
      <c r="D527" s="78">
        <v>45687</v>
      </c>
      <c r="E527" s="1">
        <v>5000</v>
      </c>
      <c r="F527" s="1">
        <v>0</v>
      </c>
      <c r="G527" s="1">
        <v>189486.9</v>
      </c>
      <c r="H527" t="s">
        <v>219</v>
      </c>
    </row>
    <row r="528" spans="1:8" x14ac:dyDescent="0.3">
      <c r="A528" s="78">
        <v>45687</v>
      </c>
      <c r="B528" s="77" t="s">
        <v>30</v>
      </c>
      <c r="C528" s="77" t="s">
        <v>1267</v>
      </c>
      <c r="D528" s="78">
        <v>45687</v>
      </c>
      <c r="E528" s="1">
        <v>77.48</v>
      </c>
      <c r="F528" s="1">
        <v>0</v>
      </c>
      <c r="G528" s="1">
        <v>189409.42</v>
      </c>
      <c r="H528" t="s">
        <v>217</v>
      </c>
    </row>
    <row r="529" spans="1:8" x14ac:dyDescent="0.3">
      <c r="A529" s="78">
        <v>45688</v>
      </c>
      <c r="B529" s="77" t="s">
        <v>1268</v>
      </c>
      <c r="C529" s="77" t="s">
        <v>1269</v>
      </c>
      <c r="D529" s="78">
        <v>45688</v>
      </c>
      <c r="E529" s="1">
        <v>0</v>
      </c>
      <c r="F529" s="1">
        <v>3231.94</v>
      </c>
      <c r="G529" s="1">
        <v>192641.36</v>
      </c>
      <c r="H529" t="s">
        <v>2523</v>
      </c>
    </row>
    <row r="530" spans="1:8" x14ac:dyDescent="0.3">
      <c r="A530" s="78">
        <v>45688</v>
      </c>
      <c r="B530" s="77" t="s">
        <v>30</v>
      </c>
      <c r="C530" s="77" t="s">
        <v>1270</v>
      </c>
      <c r="D530" s="78">
        <v>45688</v>
      </c>
      <c r="E530" s="1">
        <v>79.56</v>
      </c>
      <c r="F530" s="1">
        <v>0</v>
      </c>
      <c r="G530" s="1">
        <v>192561.8</v>
      </c>
      <c r="H530" t="s">
        <v>217</v>
      </c>
    </row>
    <row r="531" spans="1:8" x14ac:dyDescent="0.3">
      <c r="A531" s="78">
        <v>45690</v>
      </c>
      <c r="B531" s="77" t="s">
        <v>30</v>
      </c>
      <c r="C531" s="77" t="s">
        <v>1271</v>
      </c>
      <c r="D531" s="78">
        <v>45690</v>
      </c>
      <c r="E531" s="1">
        <v>374.05</v>
      </c>
      <c r="F531" s="1">
        <v>0</v>
      </c>
      <c r="G531" s="1">
        <v>192187.75</v>
      </c>
      <c r="H531" t="s">
        <v>217</v>
      </c>
    </row>
    <row r="532" spans="1:8" x14ac:dyDescent="0.3">
      <c r="A532" s="78">
        <v>45691</v>
      </c>
      <c r="B532" s="77" t="s">
        <v>1272</v>
      </c>
      <c r="C532" s="77" t="s">
        <v>1273</v>
      </c>
      <c r="D532" s="78">
        <v>45691</v>
      </c>
      <c r="E532" s="1">
        <v>0</v>
      </c>
      <c r="F532" s="1">
        <v>988</v>
      </c>
      <c r="G532" s="1">
        <v>193175.75</v>
      </c>
      <c r="H532" t="s">
        <v>218</v>
      </c>
    </row>
    <row r="533" spans="1:8" x14ac:dyDescent="0.3">
      <c r="A533" s="78">
        <v>45691</v>
      </c>
      <c r="B533" s="77" t="s">
        <v>30</v>
      </c>
      <c r="C533" s="77" t="s">
        <v>1274</v>
      </c>
      <c r="D533" s="78">
        <v>45691</v>
      </c>
      <c r="E533" s="1">
        <v>3930.75</v>
      </c>
      <c r="F533" s="1">
        <v>0</v>
      </c>
      <c r="G533" s="1">
        <v>189245</v>
      </c>
      <c r="H533" t="s">
        <v>217</v>
      </c>
    </row>
    <row r="534" spans="1:8" x14ac:dyDescent="0.3">
      <c r="A534" s="78">
        <v>45692</v>
      </c>
      <c r="B534" s="77" t="s">
        <v>30</v>
      </c>
      <c r="C534" s="77" t="s">
        <v>1275</v>
      </c>
      <c r="D534" s="78">
        <v>45692</v>
      </c>
      <c r="E534" s="1">
        <v>79.260000000000005</v>
      </c>
      <c r="F534" s="1">
        <v>0</v>
      </c>
      <c r="G534" s="1">
        <v>189165.74</v>
      </c>
      <c r="H534" t="s">
        <v>217</v>
      </c>
    </row>
    <row r="535" spans="1:8" x14ac:dyDescent="0.3">
      <c r="A535" s="78">
        <v>45692</v>
      </c>
      <c r="B535" s="77" t="s">
        <v>30</v>
      </c>
      <c r="C535" s="77" t="s">
        <v>1276</v>
      </c>
      <c r="D535" s="78">
        <v>45692</v>
      </c>
      <c r="E535" s="1">
        <v>30663.59</v>
      </c>
      <c r="F535" s="1">
        <v>0</v>
      </c>
      <c r="G535" s="1">
        <v>158502.15</v>
      </c>
      <c r="H535" t="s">
        <v>217</v>
      </c>
    </row>
    <row r="536" spans="1:8" x14ac:dyDescent="0.3">
      <c r="A536" s="78">
        <v>45693</v>
      </c>
      <c r="B536" s="77" t="s">
        <v>1277</v>
      </c>
      <c r="C536" s="77" t="s">
        <v>1278</v>
      </c>
      <c r="D536" s="78">
        <v>45693</v>
      </c>
      <c r="E536" s="1">
        <v>0</v>
      </c>
      <c r="F536" s="1">
        <v>13085.02</v>
      </c>
      <c r="G536" s="1">
        <v>171587.17</v>
      </c>
      <c r="H536" t="s">
        <v>2523</v>
      </c>
    </row>
    <row r="537" spans="1:8" x14ac:dyDescent="0.3">
      <c r="A537" s="78">
        <v>45693</v>
      </c>
      <c r="B537" s="77" t="s">
        <v>30</v>
      </c>
      <c r="C537" s="77" t="s">
        <v>1279</v>
      </c>
      <c r="D537" s="78">
        <v>45693</v>
      </c>
      <c r="E537" s="1">
        <v>68.34</v>
      </c>
      <c r="F537" s="1">
        <v>0</v>
      </c>
      <c r="G537" s="1">
        <v>171518.83</v>
      </c>
      <c r="H537" t="s">
        <v>217</v>
      </c>
    </row>
    <row r="538" spans="1:8" x14ac:dyDescent="0.3">
      <c r="A538" s="78">
        <v>45693</v>
      </c>
      <c r="B538" s="77" t="s">
        <v>30</v>
      </c>
      <c r="C538" s="77" t="s">
        <v>1280</v>
      </c>
      <c r="D538" s="78">
        <v>45693</v>
      </c>
      <c r="E538" s="1">
        <v>9748.49</v>
      </c>
      <c r="F538" s="1">
        <v>0</v>
      </c>
      <c r="G538" s="1">
        <v>161770.34</v>
      </c>
      <c r="H538" t="s">
        <v>217</v>
      </c>
    </row>
    <row r="539" spans="1:8" x14ac:dyDescent="0.3">
      <c r="A539" s="78">
        <v>45693</v>
      </c>
      <c r="B539" s="77" t="s">
        <v>30</v>
      </c>
      <c r="C539" s="77" t="s">
        <v>1281</v>
      </c>
      <c r="D539" s="78">
        <v>45693</v>
      </c>
      <c r="E539" s="1">
        <v>38250.67</v>
      </c>
      <c r="F539" s="1">
        <v>0</v>
      </c>
      <c r="G539" s="1">
        <v>123519.67</v>
      </c>
      <c r="H539" t="s">
        <v>217</v>
      </c>
    </row>
    <row r="540" spans="1:8" x14ac:dyDescent="0.3">
      <c r="A540" s="78">
        <v>45694</v>
      </c>
      <c r="B540" s="77" t="s">
        <v>30</v>
      </c>
      <c r="C540" s="77" t="s">
        <v>1282</v>
      </c>
      <c r="D540" s="78">
        <v>45694</v>
      </c>
      <c r="E540" s="1">
        <v>82.17</v>
      </c>
      <c r="F540" s="1">
        <v>0</v>
      </c>
      <c r="G540" s="1">
        <v>123437.5</v>
      </c>
      <c r="H540" t="s">
        <v>217</v>
      </c>
    </row>
    <row r="541" spans="1:8" x14ac:dyDescent="0.3">
      <c r="A541" s="78">
        <v>45694</v>
      </c>
      <c r="B541" s="77" t="s">
        <v>30</v>
      </c>
      <c r="C541" s="77" t="s">
        <v>1283</v>
      </c>
      <c r="D541" s="78">
        <v>45694</v>
      </c>
      <c r="E541" s="1">
        <v>1066.0999999999999</v>
      </c>
      <c r="F541" s="1">
        <v>0</v>
      </c>
      <c r="G541" s="1">
        <v>122371.4</v>
      </c>
      <c r="H541" t="s">
        <v>217</v>
      </c>
    </row>
    <row r="542" spans="1:8" x14ac:dyDescent="0.3">
      <c r="A542" s="78">
        <v>45695</v>
      </c>
      <c r="B542" s="77" t="s">
        <v>1284</v>
      </c>
      <c r="C542" s="77" t="s">
        <v>1285</v>
      </c>
      <c r="D542" s="78">
        <v>45695</v>
      </c>
      <c r="E542" s="1">
        <v>0</v>
      </c>
      <c r="F542" s="1">
        <v>18098.79</v>
      </c>
      <c r="G542" s="1">
        <v>140470.19</v>
      </c>
      <c r="H542" t="s">
        <v>2523</v>
      </c>
    </row>
    <row r="543" spans="1:8" x14ac:dyDescent="0.3">
      <c r="A543" s="78">
        <v>45695</v>
      </c>
      <c r="B543" s="77" t="s">
        <v>1286</v>
      </c>
      <c r="C543" s="77" t="s">
        <v>1287</v>
      </c>
      <c r="D543" s="78">
        <v>45695</v>
      </c>
      <c r="E543" s="1">
        <v>0</v>
      </c>
      <c r="F543" s="1">
        <v>1880</v>
      </c>
      <c r="G543" s="1">
        <v>142350.19</v>
      </c>
      <c r="H543" t="s">
        <v>2524</v>
      </c>
    </row>
    <row r="544" spans="1:8" x14ac:dyDescent="0.3">
      <c r="A544" s="78">
        <v>45695</v>
      </c>
      <c r="B544" s="77" t="s">
        <v>30</v>
      </c>
      <c r="C544" s="77" t="s">
        <v>1288</v>
      </c>
      <c r="D544" s="78">
        <v>45695</v>
      </c>
      <c r="E544" s="1">
        <v>92.17</v>
      </c>
      <c r="F544" s="1">
        <v>0</v>
      </c>
      <c r="G544" s="1">
        <v>142258.01999999999</v>
      </c>
      <c r="H544" t="s">
        <v>217</v>
      </c>
    </row>
    <row r="545" spans="1:8" x14ac:dyDescent="0.3">
      <c r="A545" s="78">
        <v>45695</v>
      </c>
      <c r="B545" s="77" t="s">
        <v>1289</v>
      </c>
      <c r="C545" s="77" t="s">
        <v>1290</v>
      </c>
      <c r="D545" s="78">
        <v>45695</v>
      </c>
      <c r="E545" s="1">
        <v>236</v>
      </c>
      <c r="F545" s="1">
        <v>0</v>
      </c>
      <c r="G545" s="1">
        <v>142022.01999999999</v>
      </c>
      <c r="H545" t="s">
        <v>221</v>
      </c>
    </row>
    <row r="546" spans="1:8" x14ac:dyDescent="0.3">
      <c r="A546" s="78">
        <v>45695</v>
      </c>
      <c r="B546" s="77" t="s">
        <v>30</v>
      </c>
      <c r="C546" s="77" t="s">
        <v>1291</v>
      </c>
      <c r="D546" s="78">
        <v>45695</v>
      </c>
      <c r="E546" s="1">
        <v>14193.44</v>
      </c>
      <c r="F546" s="1">
        <v>0</v>
      </c>
      <c r="G546" s="1">
        <v>127828.58</v>
      </c>
      <c r="H546" t="s">
        <v>217</v>
      </c>
    </row>
    <row r="547" spans="1:8" x14ac:dyDescent="0.3">
      <c r="A547" s="78">
        <v>45698</v>
      </c>
      <c r="B547" s="77" t="s">
        <v>30</v>
      </c>
      <c r="C547" s="77" t="s">
        <v>1292</v>
      </c>
      <c r="D547" s="78">
        <v>45698</v>
      </c>
      <c r="E547" s="1">
        <v>261.33</v>
      </c>
      <c r="F547" s="1">
        <v>0</v>
      </c>
      <c r="G547" s="1">
        <v>127567.25</v>
      </c>
      <c r="H547" t="s">
        <v>217</v>
      </c>
    </row>
    <row r="548" spans="1:8" x14ac:dyDescent="0.3">
      <c r="A548" s="78">
        <v>45699</v>
      </c>
      <c r="B548" s="77" t="s">
        <v>30</v>
      </c>
      <c r="C548" s="77" t="s">
        <v>1293</v>
      </c>
      <c r="D548" s="78">
        <v>45699</v>
      </c>
      <c r="E548" s="1">
        <v>8571.92</v>
      </c>
      <c r="F548" s="1">
        <v>0</v>
      </c>
      <c r="G548" s="1">
        <v>118995.33</v>
      </c>
      <c r="H548" t="s">
        <v>217</v>
      </c>
    </row>
    <row r="549" spans="1:8" x14ac:dyDescent="0.3">
      <c r="A549" s="78">
        <v>45699</v>
      </c>
      <c r="B549" s="77" t="s">
        <v>30</v>
      </c>
      <c r="C549" s="77" t="s">
        <v>1294</v>
      </c>
      <c r="D549" s="78">
        <v>45699</v>
      </c>
      <c r="E549" s="1">
        <v>98.31</v>
      </c>
      <c r="F549" s="1">
        <v>0</v>
      </c>
      <c r="G549" s="1">
        <v>118897.02</v>
      </c>
      <c r="H549" t="s">
        <v>217</v>
      </c>
    </row>
    <row r="550" spans="1:8" x14ac:dyDescent="0.3">
      <c r="A550" s="78">
        <v>45699</v>
      </c>
      <c r="B550" s="77" t="s">
        <v>30</v>
      </c>
      <c r="C550" s="77" t="s">
        <v>1295</v>
      </c>
      <c r="D550" s="78">
        <v>45699</v>
      </c>
      <c r="E550" s="1">
        <v>8036.9</v>
      </c>
      <c r="F550" s="1">
        <v>0</v>
      </c>
      <c r="G550" s="1">
        <v>110860.12</v>
      </c>
      <c r="H550" t="s">
        <v>217</v>
      </c>
    </row>
    <row r="551" spans="1:8" x14ac:dyDescent="0.3">
      <c r="A551" s="78">
        <v>45699</v>
      </c>
      <c r="B551" s="77" t="s">
        <v>1296</v>
      </c>
      <c r="C551" s="77" t="s">
        <v>1297</v>
      </c>
      <c r="D551" s="78">
        <v>45699</v>
      </c>
      <c r="E551" s="1">
        <v>10000</v>
      </c>
      <c r="F551" s="1">
        <v>0</v>
      </c>
      <c r="G551" s="1">
        <v>100860.12</v>
      </c>
      <c r="H551" t="s">
        <v>225</v>
      </c>
    </row>
    <row r="552" spans="1:8" x14ac:dyDescent="0.3">
      <c r="A552" s="78">
        <v>45700</v>
      </c>
      <c r="B552" s="77" t="s">
        <v>30</v>
      </c>
      <c r="C552" s="77" t="s">
        <v>1298</v>
      </c>
      <c r="D552" s="78">
        <v>45700</v>
      </c>
      <c r="E552" s="1">
        <v>102.52</v>
      </c>
      <c r="F552" s="1">
        <v>0</v>
      </c>
      <c r="G552" s="1">
        <v>100757.6</v>
      </c>
      <c r="H552" t="s">
        <v>217</v>
      </c>
    </row>
    <row r="553" spans="1:8" x14ac:dyDescent="0.3">
      <c r="A553" s="78">
        <v>45700</v>
      </c>
      <c r="B553" s="77" t="s">
        <v>30</v>
      </c>
      <c r="C553" s="77" t="s">
        <v>1299</v>
      </c>
      <c r="D553" s="78">
        <v>45700</v>
      </c>
      <c r="E553" s="1">
        <v>6345.92</v>
      </c>
      <c r="F553" s="1">
        <v>0</v>
      </c>
      <c r="G553" s="1">
        <v>94411.68</v>
      </c>
      <c r="H553" t="s">
        <v>217</v>
      </c>
    </row>
    <row r="554" spans="1:8" x14ac:dyDescent="0.3">
      <c r="A554" s="78">
        <v>45700</v>
      </c>
      <c r="B554" s="77" t="s">
        <v>30</v>
      </c>
      <c r="C554" s="77" t="s">
        <v>1300</v>
      </c>
      <c r="D554" s="78">
        <v>45700</v>
      </c>
      <c r="E554" s="1">
        <v>14734.21</v>
      </c>
      <c r="F554" s="1">
        <v>0</v>
      </c>
      <c r="G554" s="1">
        <v>79677.47</v>
      </c>
      <c r="H554" t="s">
        <v>217</v>
      </c>
    </row>
    <row r="555" spans="1:8" x14ac:dyDescent="0.3">
      <c r="A555" s="78">
        <v>45701</v>
      </c>
      <c r="B555" s="77" t="s">
        <v>30</v>
      </c>
      <c r="C555" s="77" t="s">
        <v>1301</v>
      </c>
      <c r="D555" s="78">
        <v>45701</v>
      </c>
      <c r="E555" s="1">
        <v>95.01</v>
      </c>
      <c r="F555" s="1">
        <v>0</v>
      </c>
      <c r="G555" s="1">
        <v>79582.460000000006</v>
      </c>
      <c r="H555" t="s">
        <v>217</v>
      </c>
    </row>
    <row r="556" spans="1:8" x14ac:dyDescent="0.3">
      <c r="A556" s="78">
        <v>45701</v>
      </c>
      <c r="B556" s="77" t="s">
        <v>30</v>
      </c>
      <c r="C556" s="77" t="s">
        <v>1302</v>
      </c>
      <c r="D556" s="78">
        <v>45701</v>
      </c>
      <c r="E556" s="1">
        <v>2202.7399999999998</v>
      </c>
      <c r="F556" s="1">
        <v>0</v>
      </c>
      <c r="G556" s="1">
        <v>77379.72</v>
      </c>
      <c r="H556" t="s">
        <v>217</v>
      </c>
    </row>
    <row r="557" spans="1:8" x14ac:dyDescent="0.3">
      <c r="A557" s="78">
        <v>45702</v>
      </c>
      <c r="B557" s="77" t="s">
        <v>1303</v>
      </c>
      <c r="C557" s="77" t="s">
        <v>1304</v>
      </c>
      <c r="D557" s="78">
        <v>45702</v>
      </c>
      <c r="E557" s="1">
        <v>20000</v>
      </c>
      <c r="F557" s="1">
        <v>0</v>
      </c>
      <c r="G557" s="1">
        <v>57379.72</v>
      </c>
      <c r="H557" t="s">
        <v>225</v>
      </c>
    </row>
    <row r="558" spans="1:8" x14ac:dyDescent="0.3">
      <c r="A558" s="78">
        <v>45702</v>
      </c>
      <c r="B558" s="77" t="s">
        <v>30</v>
      </c>
      <c r="C558" s="77" t="s">
        <v>1305</v>
      </c>
      <c r="D558" s="78">
        <v>45702</v>
      </c>
      <c r="E558" s="1">
        <v>108.11</v>
      </c>
      <c r="F558" s="1">
        <v>0</v>
      </c>
      <c r="G558" s="1">
        <v>57271.61</v>
      </c>
      <c r="H558" t="s">
        <v>217</v>
      </c>
    </row>
    <row r="559" spans="1:8" x14ac:dyDescent="0.3">
      <c r="A559" s="78">
        <v>45702</v>
      </c>
      <c r="B559" s="77" t="s">
        <v>1306</v>
      </c>
      <c r="C559" s="77" t="s">
        <v>46</v>
      </c>
      <c r="D559" s="78">
        <v>45702</v>
      </c>
      <c r="E559" s="1">
        <v>188.8</v>
      </c>
      <c r="F559" s="1">
        <v>0</v>
      </c>
      <c r="G559" s="1">
        <v>57082.81</v>
      </c>
      <c r="H559" t="s">
        <v>220</v>
      </c>
    </row>
    <row r="560" spans="1:8" x14ac:dyDescent="0.3">
      <c r="A560" s="78">
        <v>45702</v>
      </c>
      <c r="B560" s="77" t="s">
        <v>30</v>
      </c>
      <c r="C560" s="77" t="s">
        <v>1307</v>
      </c>
      <c r="D560" s="78">
        <v>45702</v>
      </c>
      <c r="E560" s="1">
        <v>5174.0600000000004</v>
      </c>
      <c r="F560" s="1">
        <v>0</v>
      </c>
      <c r="G560" s="1">
        <v>51908.75</v>
      </c>
      <c r="H560" t="s">
        <v>217</v>
      </c>
    </row>
    <row r="561" spans="1:8" x14ac:dyDescent="0.3">
      <c r="A561" s="78">
        <v>45703</v>
      </c>
      <c r="B561" s="77" t="s">
        <v>1308</v>
      </c>
      <c r="C561" s="77" t="s">
        <v>1309</v>
      </c>
      <c r="D561" s="78">
        <v>45703</v>
      </c>
      <c r="E561" s="1">
        <v>0</v>
      </c>
      <c r="F561" s="1">
        <v>144</v>
      </c>
      <c r="G561" s="1">
        <v>52052.75</v>
      </c>
      <c r="H561" t="s">
        <v>218</v>
      </c>
    </row>
    <row r="562" spans="1:8" x14ac:dyDescent="0.3">
      <c r="A562" s="78">
        <v>45703</v>
      </c>
      <c r="B562" s="77" t="s">
        <v>1310</v>
      </c>
      <c r="C562" s="77" t="s">
        <v>1311</v>
      </c>
      <c r="D562" s="78">
        <v>45703</v>
      </c>
      <c r="E562" s="1">
        <v>20000</v>
      </c>
      <c r="F562" s="1">
        <v>0</v>
      </c>
      <c r="G562" s="1">
        <v>32052.75</v>
      </c>
      <c r="H562" t="s">
        <v>225</v>
      </c>
    </row>
    <row r="563" spans="1:8" x14ac:dyDescent="0.3">
      <c r="A563" s="78">
        <v>45705</v>
      </c>
      <c r="B563" s="77" t="s">
        <v>30</v>
      </c>
      <c r="C563" s="77" t="s">
        <v>1312</v>
      </c>
      <c r="D563" s="78">
        <v>45705</v>
      </c>
      <c r="E563" s="1">
        <v>318.81</v>
      </c>
      <c r="F563" s="1">
        <v>0</v>
      </c>
      <c r="G563" s="1">
        <v>31733.94</v>
      </c>
      <c r="H563" t="s">
        <v>217</v>
      </c>
    </row>
    <row r="564" spans="1:8" x14ac:dyDescent="0.3">
      <c r="A564" s="78">
        <v>45705</v>
      </c>
      <c r="B564" s="77" t="s">
        <v>30</v>
      </c>
      <c r="C564" s="77" t="s">
        <v>1313</v>
      </c>
      <c r="D564" s="78">
        <v>45705</v>
      </c>
      <c r="E564" s="1">
        <v>1721.54</v>
      </c>
      <c r="F564" s="1">
        <v>0</v>
      </c>
      <c r="G564" s="1">
        <v>30012.400000000001</v>
      </c>
      <c r="H564" t="s">
        <v>217</v>
      </c>
    </row>
    <row r="565" spans="1:8" x14ac:dyDescent="0.3">
      <c r="A565" s="78">
        <v>45706</v>
      </c>
      <c r="B565" s="77" t="s">
        <v>30</v>
      </c>
      <c r="C565" s="77" t="s">
        <v>1314</v>
      </c>
      <c r="D565" s="78">
        <v>45706</v>
      </c>
      <c r="E565" s="1">
        <v>105.65</v>
      </c>
      <c r="F565" s="1">
        <v>0</v>
      </c>
      <c r="G565" s="1">
        <v>29906.75</v>
      </c>
      <c r="H565" t="s">
        <v>217</v>
      </c>
    </row>
    <row r="566" spans="1:8" x14ac:dyDescent="0.3">
      <c r="A566" s="78">
        <v>45706</v>
      </c>
      <c r="B566" s="77" t="s">
        <v>1315</v>
      </c>
      <c r="C566" s="77" t="s">
        <v>1316</v>
      </c>
      <c r="D566" s="78">
        <v>45706</v>
      </c>
      <c r="E566" s="1">
        <v>0</v>
      </c>
      <c r="F566" s="1">
        <v>187.5</v>
      </c>
      <c r="G566" s="1">
        <v>30094.25</v>
      </c>
      <c r="H566" t="s">
        <v>218</v>
      </c>
    </row>
    <row r="567" spans="1:8" x14ac:dyDescent="0.3">
      <c r="A567" s="78">
        <v>45706</v>
      </c>
      <c r="B567" s="77" t="s">
        <v>30</v>
      </c>
      <c r="C567" s="77" t="s">
        <v>1317</v>
      </c>
      <c r="D567" s="78">
        <v>45706</v>
      </c>
      <c r="E567" s="1">
        <v>333.44</v>
      </c>
      <c r="F567" s="1">
        <v>0</v>
      </c>
      <c r="G567" s="1">
        <v>29760.81</v>
      </c>
      <c r="H567" t="s">
        <v>217</v>
      </c>
    </row>
    <row r="568" spans="1:8" x14ac:dyDescent="0.3">
      <c r="A568" s="78">
        <v>45707</v>
      </c>
      <c r="B568" s="77" t="s">
        <v>30</v>
      </c>
      <c r="C568" s="77" t="s">
        <v>1318</v>
      </c>
      <c r="D568" s="78">
        <v>45707</v>
      </c>
      <c r="E568" s="1">
        <v>105.53</v>
      </c>
      <c r="F568" s="1">
        <v>0</v>
      </c>
      <c r="G568" s="1">
        <v>29655.279999999999</v>
      </c>
      <c r="H568" t="s">
        <v>217</v>
      </c>
    </row>
    <row r="569" spans="1:8" x14ac:dyDescent="0.3">
      <c r="A569" s="78">
        <v>45708</v>
      </c>
      <c r="B569" s="77" t="s">
        <v>1319</v>
      </c>
      <c r="C569" s="77" t="s">
        <v>1320</v>
      </c>
      <c r="D569" s="78">
        <v>45708</v>
      </c>
      <c r="E569" s="1">
        <v>0</v>
      </c>
      <c r="F569" s="1">
        <v>3065.4</v>
      </c>
      <c r="G569" s="1">
        <v>32720.68</v>
      </c>
      <c r="H569" t="s">
        <v>2523</v>
      </c>
    </row>
    <row r="570" spans="1:8" x14ac:dyDescent="0.3">
      <c r="A570" s="78">
        <v>45708</v>
      </c>
      <c r="B570" s="77" t="s">
        <v>1321</v>
      </c>
      <c r="C570" s="77" t="s">
        <v>1322</v>
      </c>
      <c r="D570" s="78">
        <v>45708</v>
      </c>
      <c r="E570" s="1">
        <v>0</v>
      </c>
      <c r="F570" s="1">
        <v>10326.120000000001</v>
      </c>
      <c r="G570" s="1">
        <v>43046.8</v>
      </c>
      <c r="H570" t="s">
        <v>2523</v>
      </c>
    </row>
    <row r="571" spans="1:8" x14ac:dyDescent="0.3">
      <c r="A571" s="78">
        <v>45708</v>
      </c>
      <c r="B571" s="77" t="s">
        <v>30</v>
      </c>
      <c r="C571" s="77" t="s">
        <v>1323</v>
      </c>
      <c r="D571" s="78">
        <v>45708</v>
      </c>
      <c r="E571" s="1">
        <v>105.53</v>
      </c>
      <c r="F571" s="1">
        <v>0</v>
      </c>
      <c r="G571" s="1">
        <v>42941.27</v>
      </c>
      <c r="H571" t="s">
        <v>217</v>
      </c>
    </row>
    <row r="572" spans="1:8" x14ac:dyDescent="0.3">
      <c r="A572" s="78">
        <v>45709</v>
      </c>
      <c r="B572" s="77" t="s">
        <v>1324</v>
      </c>
      <c r="C572" s="77" t="s">
        <v>1325</v>
      </c>
      <c r="D572" s="78">
        <v>45709</v>
      </c>
      <c r="E572" s="1">
        <v>0</v>
      </c>
      <c r="F572" s="1">
        <v>2236.5100000000002</v>
      </c>
      <c r="G572" s="1">
        <v>45177.78</v>
      </c>
      <c r="H572" t="s">
        <v>2523</v>
      </c>
    </row>
    <row r="573" spans="1:8" x14ac:dyDescent="0.3">
      <c r="A573" s="78">
        <v>45709</v>
      </c>
      <c r="B573" s="77" t="s">
        <v>30</v>
      </c>
      <c r="C573" s="77" t="s">
        <v>1326</v>
      </c>
      <c r="D573" s="78">
        <v>45709</v>
      </c>
      <c r="E573" s="1">
        <v>106.63</v>
      </c>
      <c r="F573" s="1">
        <v>0</v>
      </c>
      <c r="G573" s="1">
        <v>45071.15</v>
      </c>
      <c r="H573" t="s">
        <v>217</v>
      </c>
    </row>
    <row r="574" spans="1:8" x14ac:dyDescent="0.3">
      <c r="A574" s="78">
        <v>45709</v>
      </c>
      <c r="B574" s="77" t="s">
        <v>30</v>
      </c>
      <c r="C574" s="77" t="s">
        <v>1327</v>
      </c>
      <c r="D574" s="78">
        <v>45709</v>
      </c>
      <c r="E574" s="1">
        <v>4936.38</v>
      </c>
      <c r="F574" s="1">
        <v>0</v>
      </c>
      <c r="G574" s="1">
        <v>40134.769999999997</v>
      </c>
      <c r="H574" t="s">
        <v>217</v>
      </c>
    </row>
    <row r="575" spans="1:8" x14ac:dyDescent="0.3">
      <c r="A575" s="78">
        <v>45712</v>
      </c>
      <c r="B575" s="77" t="s">
        <v>30</v>
      </c>
      <c r="C575" s="77" t="s">
        <v>1328</v>
      </c>
      <c r="D575" s="78">
        <v>45712</v>
      </c>
      <c r="E575" s="1">
        <v>316.98</v>
      </c>
      <c r="F575" s="1">
        <v>0</v>
      </c>
      <c r="G575" s="1">
        <v>39817.79</v>
      </c>
      <c r="H575" t="s">
        <v>217</v>
      </c>
    </row>
    <row r="576" spans="1:8" x14ac:dyDescent="0.3">
      <c r="A576" s="78">
        <v>45712</v>
      </c>
      <c r="B576" s="77" t="s">
        <v>1329</v>
      </c>
      <c r="C576" s="77" t="s">
        <v>1330</v>
      </c>
      <c r="D576" s="78">
        <v>45712</v>
      </c>
      <c r="E576" s="1">
        <v>0</v>
      </c>
      <c r="F576" s="1">
        <v>800</v>
      </c>
      <c r="G576" s="1">
        <v>40617.79</v>
      </c>
      <c r="H576" t="s">
        <v>2527</v>
      </c>
    </row>
    <row r="577" spans="1:8" x14ac:dyDescent="0.3">
      <c r="A577" s="78">
        <v>45712</v>
      </c>
      <c r="B577" s="77" t="s">
        <v>30</v>
      </c>
      <c r="C577" s="77" t="s">
        <v>1331</v>
      </c>
      <c r="D577" s="78">
        <v>45712</v>
      </c>
      <c r="E577" s="1">
        <v>6052.68</v>
      </c>
      <c r="F577" s="1">
        <v>0</v>
      </c>
      <c r="G577" s="1">
        <v>34565.11</v>
      </c>
      <c r="H577" t="s">
        <v>217</v>
      </c>
    </row>
    <row r="578" spans="1:8" x14ac:dyDescent="0.3">
      <c r="A578" s="78">
        <v>45713</v>
      </c>
      <c r="B578" s="77" t="s">
        <v>30</v>
      </c>
      <c r="C578" s="77" t="s">
        <v>1332</v>
      </c>
      <c r="D578" s="78">
        <v>45713</v>
      </c>
      <c r="E578" s="1">
        <v>103.51</v>
      </c>
      <c r="F578" s="1">
        <v>0</v>
      </c>
      <c r="G578" s="1">
        <v>34461.599999999999</v>
      </c>
      <c r="H578" t="s">
        <v>217</v>
      </c>
    </row>
    <row r="579" spans="1:8" x14ac:dyDescent="0.3">
      <c r="A579" s="78">
        <v>45713</v>
      </c>
      <c r="B579" s="77" t="s">
        <v>1333</v>
      </c>
      <c r="C579" s="77" t="s">
        <v>1334</v>
      </c>
      <c r="D579" s="78">
        <v>45713</v>
      </c>
      <c r="E579" s="1">
        <v>0</v>
      </c>
      <c r="F579" s="1">
        <v>700</v>
      </c>
      <c r="G579" s="1">
        <v>35161.599999999999</v>
      </c>
      <c r="H579" t="s">
        <v>218</v>
      </c>
    </row>
    <row r="580" spans="1:8" x14ac:dyDescent="0.3">
      <c r="A580" s="78">
        <v>45714</v>
      </c>
      <c r="B580" s="77" t="s">
        <v>30</v>
      </c>
      <c r="C580" s="77" t="s">
        <v>1335</v>
      </c>
      <c r="D580" s="78">
        <v>45714</v>
      </c>
      <c r="E580" s="1">
        <v>2289.2199999999998</v>
      </c>
      <c r="F580" s="1">
        <v>0</v>
      </c>
      <c r="G580" s="1">
        <v>32872.379999999997</v>
      </c>
      <c r="H580" t="s">
        <v>217</v>
      </c>
    </row>
    <row r="581" spans="1:8" x14ac:dyDescent="0.3">
      <c r="A581" s="78">
        <v>45715</v>
      </c>
      <c r="B581" s="77" t="s">
        <v>30</v>
      </c>
      <c r="C581" s="77" t="s">
        <v>1336</v>
      </c>
      <c r="D581" s="78">
        <v>45715</v>
      </c>
      <c r="E581" s="1">
        <v>213.52</v>
      </c>
      <c r="F581" s="1">
        <v>0</v>
      </c>
      <c r="G581" s="1">
        <v>32658.86</v>
      </c>
      <c r="H581" t="s">
        <v>217</v>
      </c>
    </row>
    <row r="582" spans="1:8" x14ac:dyDescent="0.3">
      <c r="A582" s="78">
        <v>45715</v>
      </c>
      <c r="B582" s="77" t="s">
        <v>30</v>
      </c>
      <c r="C582" s="77" t="s">
        <v>1337</v>
      </c>
      <c r="D582" s="78">
        <v>45715</v>
      </c>
      <c r="E582" s="1">
        <v>17681.82</v>
      </c>
      <c r="F582" s="1">
        <v>0</v>
      </c>
      <c r="G582" s="1">
        <v>14977.04</v>
      </c>
      <c r="H582" t="s">
        <v>217</v>
      </c>
    </row>
    <row r="583" spans="1:8" x14ac:dyDescent="0.3">
      <c r="A583" s="78">
        <v>45716</v>
      </c>
      <c r="B583" s="77" t="s">
        <v>1338</v>
      </c>
      <c r="C583" s="77" t="s">
        <v>1339</v>
      </c>
      <c r="D583" s="78">
        <v>45716</v>
      </c>
      <c r="E583" s="1">
        <v>5000</v>
      </c>
      <c r="F583" s="1">
        <v>0</v>
      </c>
      <c r="G583" s="1">
        <v>9977.0400000000009</v>
      </c>
      <c r="H583" t="s">
        <v>219</v>
      </c>
    </row>
    <row r="584" spans="1:8" x14ac:dyDescent="0.3">
      <c r="A584" s="78">
        <v>45716</v>
      </c>
      <c r="B584" s="77" t="s">
        <v>1340</v>
      </c>
      <c r="C584" s="77" t="s">
        <v>1341</v>
      </c>
      <c r="D584" s="78">
        <v>45716</v>
      </c>
      <c r="E584" s="1">
        <v>5000</v>
      </c>
      <c r="F584" s="1">
        <v>0</v>
      </c>
      <c r="G584" s="1">
        <v>4977.04</v>
      </c>
      <c r="H584" t="s">
        <v>219</v>
      </c>
    </row>
    <row r="585" spans="1:8" x14ac:dyDescent="0.3">
      <c r="A585" s="78">
        <v>45716</v>
      </c>
      <c r="B585" s="77" t="s">
        <v>30</v>
      </c>
      <c r="C585" s="77" t="s">
        <v>1342</v>
      </c>
      <c r="D585" s="78">
        <v>45716</v>
      </c>
      <c r="E585" s="1">
        <v>100.46</v>
      </c>
      <c r="F585" s="1">
        <v>0</v>
      </c>
      <c r="G585" s="1">
        <v>4876.58</v>
      </c>
      <c r="H585" t="s">
        <v>217</v>
      </c>
    </row>
    <row r="586" spans="1:8" x14ac:dyDescent="0.3">
      <c r="A586" s="78">
        <v>45716</v>
      </c>
      <c r="B586" s="77" t="s">
        <v>1343</v>
      </c>
      <c r="C586" s="77" t="s">
        <v>1344</v>
      </c>
      <c r="D586" s="78">
        <v>45716</v>
      </c>
      <c r="E586" s="1">
        <v>0</v>
      </c>
      <c r="F586" s="1">
        <v>171</v>
      </c>
      <c r="G586" s="1">
        <v>5047.58</v>
      </c>
      <c r="H586" t="s">
        <v>218</v>
      </c>
    </row>
    <row r="587" spans="1:8" x14ac:dyDescent="0.3">
      <c r="A587" s="78">
        <v>45717</v>
      </c>
      <c r="B587" s="77" t="s">
        <v>30</v>
      </c>
      <c r="C587" s="77" t="s">
        <v>1345</v>
      </c>
      <c r="D587" s="78">
        <v>45717</v>
      </c>
      <c r="E587" s="1">
        <v>5047.58</v>
      </c>
      <c r="F587" s="1">
        <v>0</v>
      </c>
      <c r="G587" s="1">
        <v>0</v>
      </c>
      <c r="H587" t="s">
        <v>217</v>
      </c>
    </row>
    <row r="588" spans="1:8" x14ac:dyDescent="0.3">
      <c r="A588" s="78">
        <v>45718</v>
      </c>
      <c r="B588" s="77" t="s">
        <v>1346</v>
      </c>
      <c r="C588" s="77" t="s">
        <v>1347</v>
      </c>
      <c r="D588" s="78">
        <v>45718</v>
      </c>
      <c r="E588" s="1">
        <v>0</v>
      </c>
      <c r="F588" s="1">
        <v>25000</v>
      </c>
      <c r="G588" s="1">
        <v>25000</v>
      </c>
      <c r="H588" t="s">
        <v>2520</v>
      </c>
    </row>
    <row r="589" spans="1:8" x14ac:dyDescent="0.3">
      <c r="A589" s="78">
        <v>45719</v>
      </c>
      <c r="B589" s="77" t="s">
        <v>30</v>
      </c>
      <c r="C589" s="77" t="s">
        <v>1348</v>
      </c>
      <c r="D589" s="78">
        <v>45719</v>
      </c>
      <c r="E589" s="1">
        <v>4497.54</v>
      </c>
      <c r="F589" s="1">
        <v>0</v>
      </c>
      <c r="G589" s="1">
        <v>20502.46</v>
      </c>
      <c r="H589" t="s">
        <v>217</v>
      </c>
    </row>
    <row r="590" spans="1:8" x14ac:dyDescent="0.3">
      <c r="A590" s="78">
        <v>45719</v>
      </c>
      <c r="B590" s="77" t="s">
        <v>30</v>
      </c>
      <c r="C590" s="77" t="s">
        <v>1349</v>
      </c>
      <c r="D590" s="78">
        <v>45719</v>
      </c>
      <c r="E590" s="1">
        <v>328.47</v>
      </c>
      <c r="F590" s="1">
        <v>0</v>
      </c>
      <c r="G590" s="1">
        <v>20173.990000000002</v>
      </c>
      <c r="H590" t="s">
        <v>217</v>
      </c>
    </row>
    <row r="591" spans="1:8" x14ac:dyDescent="0.3">
      <c r="A591" s="78">
        <v>45719</v>
      </c>
      <c r="B591" s="77" t="s">
        <v>30</v>
      </c>
      <c r="C591" s="77" t="s">
        <v>1350</v>
      </c>
      <c r="D591" s="78">
        <v>45719</v>
      </c>
      <c r="E591" s="1">
        <v>140.41</v>
      </c>
      <c r="F591" s="1">
        <v>0</v>
      </c>
      <c r="G591" s="1">
        <v>20033.580000000002</v>
      </c>
      <c r="H591" t="s">
        <v>217</v>
      </c>
    </row>
    <row r="592" spans="1:8" x14ac:dyDescent="0.3">
      <c r="A592" s="78">
        <v>45720</v>
      </c>
      <c r="B592" s="77" t="s">
        <v>30</v>
      </c>
      <c r="C592" s="77" t="s">
        <v>1351</v>
      </c>
      <c r="D592" s="78">
        <v>45720</v>
      </c>
      <c r="E592" s="1">
        <v>107.84</v>
      </c>
      <c r="F592" s="1">
        <v>0</v>
      </c>
      <c r="G592" s="1">
        <v>19925.740000000002</v>
      </c>
      <c r="H592" t="s">
        <v>217</v>
      </c>
    </row>
    <row r="593" spans="1:8" x14ac:dyDescent="0.3">
      <c r="A593" s="78">
        <v>45721</v>
      </c>
      <c r="B593" s="77" t="s">
        <v>1352</v>
      </c>
      <c r="C593" s="77" t="s">
        <v>1353</v>
      </c>
      <c r="D593" s="78">
        <v>45721</v>
      </c>
      <c r="E593" s="1">
        <v>0</v>
      </c>
      <c r="F593" s="1">
        <v>1205.07</v>
      </c>
      <c r="G593" s="1">
        <v>21130.81</v>
      </c>
      <c r="H593" t="s">
        <v>2523</v>
      </c>
    </row>
    <row r="594" spans="1:8" x14ac:dyDescent="0.3">
      <c r="A594" s="78">
        <v>45721</v>
      </c>
      <c r="B594" s="77" t="s">
        <v>30</v>
      </c>
      <c r="C594" s="77" t="s">
        <v>1354</v>
      </c>
      <c r="D594" s="78">
        <v>45721</v>
      </c>
      <c r="E594" s="1">
        <v>107.84</v>
      </c>
      <c r="F594" s="1">
        <v>0</v>
      </c>
      <c r="G594" s="1">
        <v>21022.97</v>
      </c>
      <c r="H594" t="s">
        <v>217</v>
      </c>
    </row>
    <row r="595" spans="1:8" x14ac:dyDescent="0.3">
      <c r="A595" s="78">
        <v>45721</v>
      </c>
      <c r="B595" s="77" t="s">
        <v>1355</v>
      </c>
      <c r="C595" s="77" t="s">
        <v>1356</v>
      </c>
      <c r="D595" s="78">
        <v>45721</v>
      </c>
      <c r="E595" s="1">
        <v>0</v>
      </c>
      <c r="F595" s="1">
        <v>150000</v>
      </c>
      <c r="G595" s="1">
        <v>171022.97</v>
      </c>
      <c r="H595" t="s">
        <v>2520</v>
      </c>
    </row>
    <row r="596" spans="1:8" x14ac:dyDescent="0.3">
      <c r="A596" s="78">
        <v>45722</v>
      </c>
      <c r="B596" s="77" t="s">
        <v>1357</v>
      </c>
      <c r="C596" s="77" t="s">
        <v>1358</v>
      </c>
      <c r="D596" s="78">
        <v>45722</v>
      </c>
      <c r="E596" s="1">
        <v>0</v>
      </c>
      <c r="F596" s="1">
        <v>8902.19</v>
      </c>
      <c r="G596" s="1">
        <v>179925.16</v>
      </c>
      <c r="H596" t="s">
        <v>2523</v>
      </c>
    </row>
    <row r="597" spans="1:8" x14ac:dyDescent="0.3">
      <c r="A597" s="78">
        <v>45722</v>
      </c>
      <c r="B597" s="77" t="s">
        <v>30</v>
      </c>
      <c r="C597" s="77" t="s">
        <v>1359</v>
      </c>
      <c r="D597" s="78">
        <v>45722</v>
      </c>
      <c r="E597" s="1">
        <v>108.26</v>
      </c>
      <c r="F597" s="1">
        <v>0</v>
      </c>
      <c r="G597" s="1">
        <v>179816.9</v>
      </c>
      <c r="H597" t="s">
        <v>217</v>
      </c>
    </row>
    <row r="598" spans="1:8" x14ac:dyDescent="0.3">
      <c r="A598" s="78">
        <v>45723</v>
      </c>
      <c r="B598" s="77" t="s">
        <v>1360</v>
      </c>
      <c r="C598" s="77" t="s">
        <v>46</v>
      </c>
      <c r="D598" s="78">
        <v>45723</v>
      </c>
      <c r="E598" s="1">
        <v>102250</v>
      </c>
      <c r="F598" s="1">
        <v>0</v>
      </c>
      <c r="G598" s="1">
        <v>77566.899999999994</v>
      </c>
      <c r="H598" t="s">
        <v>2527</v>
      </c>
    </row>
    <row r="599" spans="1:8" x14ac:dyDescent="0.3">
      <c r="A599" s="78">
        <v>45723</v>
      </c>
      <c r="B599" s="77" t="s">
        <v>1361</v>
      </c>
      <c r="C599" s="77" t="s">
        <v>1362</v>
      </c>
      <c r="D599" s="78">
        <v>45723</v>
      </c>
      <c r="E599" s="1">
        <v>0</v>
      </c>
      <c r="F599" s="1">
        <v>3627.5</v>
      </c>
      <c r="G599" s="1">
        <v>81194.399999999994</v>
      </c>
      <c r="H599" t="s">
        <v>2523</v>
      </c>
    </row>
    <row r="600" spans="1:8" x14ac:dyDescent="0.3">
      <c r="A600" s="78">
        <v>45723</v>
      </c>
      <c r="B600" s="77" t="s">
        <v>30</v>
      </c>
      <c r="C600" s="77" t="s">
        <v>1363</v>
      </c>
      <c r="D600" s="78">
        <v>45723</v>
      </c>
      <c r="E600" s="1">
        <v>111.44</v>
      </c>
      <c r="F600" s="1">
        <v>0</v>
      </c>
      <c r="G600" s="1">
        <v>81082.960000000006</v>
      </c>
      <c r="H600" t="s">
        <v>217</v>
      </c>
    </row>
    <row r="601" spans="1:8" x14ac:dyDescent="0.3">
      <c r="A601" s="78">
        <v>45723</v>
      </c>
      <c r="B601" s="77" t="s">
        <v>1162</v>
      </c>
      <c r="C601" s="77" t="s">
        <v>1364</v>
      </c>
      <c r="D601" s="78">
        <v>45723</v>
      </c>
      <c r="E601" s="1">
        <v>0</v>
      </c>
      <c r="F601" s="1">
        <v>1000</v>
      </c>
      <c r="G601" s="1">
        <v>82082.960000000006</v>
      </c>
      <c r="H601" t="s">
        <v>218</v>
      </c>
    </row>
    <row r="602" spans="1:8" x14ac:dyDescent="0.3">
      <c r="A602" s="78">
        <v>45723</v>
      </c>
      <c r="B602" s="77" t="s">
        <v>1365</v>
      </c>
      <c r="C602" s="77" t="s">
        <v>1366</v>
      </c>
      <c r="D602" s="78">
        <v>45723</v>
      </c>
      <c r="E602" s="1">
        <v>0</v>
      </c>
      <c r="F602" s="1">
        <v>1880</v>
      </c>
      <c r="G602" s="1">
        <v>83962.96</v>
      </c>
      <c r="H602" t="s">
        <v>2524</v>
      </c>
    </row>
    <row r="603" spans="1:8" x14ac:dyDescent="0.3">
      <c r="A603" s="78">
        <v>45723</v>
      </c>
      <c r="B603" s="77" t="s">
        <v>30</v>
      </c>
      <c r="C603" s="77" t="s">
        <v>1367</v>
      </c>
      <c r="D603" s="78">
        <v>45723</v>
      </c>
      <c r="E603" s="1">
        <v>321.02</v>
      </c>
      <c r="F603" s="1">
        <v>0</v>
      </c>
      <c r="G603" s="1">
        <v>83641.94</v>
      </c>
      <c r="H603" t="s">
        <v>217</v>
      </c>
    </row>
    <row r="604" spans="1:8" x14ac:dyDescent="0.3">
      <c r="A604" s="78">
        <v>45724</v>
      </c>
      <c r="B604" s="77" t="s">
        <v>1368</v>
      </c>
      <c r="C604" s="77" t="s">
        <v>1369</v>
      </c>
      <c r="D604" s="78">
        <v>45724</v>
      </c>
      <c r="E604" s="1">
        <v>45000</v>
      </c>
      <c r="F604" s="1">
        <v>0</v>
      </c>
      <c r="G604" s="1">
        <v>38641.94</v>
      </c>
      <c r="H604" t="s">
        <v>2518</v>
      </c>
    </row>
    <row r="605" spans="1:8" x14ac:dyDescent="0.3">
      <c r="A605" s="78">
        <v>45726</v>
      </c>
      <c r="B605" s="77" t="s">
        <v>30</v>
      </c>
      <c r="C605" s="77" t="s">
        <v>1370</v>
      </c>
      <c r="D605" s="78">
        <v>45726</v>
      </c>
      <c r="E605" s="1">
        <v>337.83</v>
      </c>
      <c r="F605" s="1">
        <v>0</v>
      </c>
      <c r="G605" s="1">
        <v>38304.11</v>
      </c>
      <c r="H605" t="s">
        <v>217</v>
      </c>
    </row>
    <row r="606" spans="1:8" x14ac:dyDescent="0.3">
      <c r="A606" s="78">
        <v>45726</v>
      </c>
      <c r="B606" s="77" t="s">
        <v>30</v>
      </c>
      <c r="C606" s="77" t="s">
        <v>1371</v>
      </c>
      <c r="D606" s="78">
        <v>45726</v>
      </c>
      <c r="E606" s="1">
        <v>6468.95</v>
      </c>
      <c r="F606" s="1">
        <v>0</v>
      </c>
      <c r="G606" s="1">
        <v>31835.16</v>
      </c>
      <c r="H606" t="s">
        <v>217</v>
      </c>
    </row>
    <row r="607" spans="1:8" x14ac:dyDescent="0.3">
      <c r="A607" s="78">
        <v>45727</v>
      </c>
      <c r="B607" s="77" t="s">
        <v>30</v>
      </c>
      <c r="C607" s="77" t="s">
        <v>1372</v>
      </c>
      <c r="D607" s="78">
        <v>45727</v>
      </c>
      <c r="E607" s="1">
        <v>110.31</v>
      </c>
      <c r="F607" s="1">
        <v>0</v>
      </c>
      <c r="G607" s="1">
        <v>31724.85</v>
      </c>
      <c r="H607" t="s">
        <v>217</v>
      </c>
    </row>
    <row r="608" spans="1:8" x14ac:dyDescent="0.3">
      <c r="A608" s="78">
        <v>45727</v>
      </c>
      <c r="B608" s="77" t="s">
        <v>30</v>
      </c>
      <c r="C608" s="77" t="s">
        <v>1373</v>
      </c>
      <c r="D608" s="78">
        <v>45727</v>
      </c>
      <c r="E608" s="1">
        <v>581.54</v>
      </c>
      <c r="F608" s="1">
        <v>0</v>
      </c>
      <c r="G608" s="1">
        <v>31143.31</v>
      </c>
      <c r="H608" t="s">
        <v>217</v>
      </c>
    </row>
    <row r="609" spans="1:8" x14ac:dyDescent="0.3">
      <c r="A609" s="78">
        <v>45728</v>
      </c>
      <c r="B609" s="77" t="s">
        <v>30</v>
      </c>
      <c r="C609" s="77" t="s">
        <v>1374</v>
      </c>
      <c r="D609" s="78">
        <v>45728</v>
      </c>
      <c r="E609" s="1">
        <v>110.1</v>
      </c>
      <c r="F609" s="1">
        <v>0</v>
      </c>
      <c r="G609" s="1">
        <v>31033.21</v>
      </c>
      <c r="H609" t="s">
        <v>217</v>
      </c>
    </row>
    <row r="610" spans="1:8" x14ac:dyDescent="0.3">
      <c r="A610" s="78">
        <v>45728</v>
      </c>
      <c r="B610" s="77" t="s">
        <v>30</v>
      </c>
      <c r="C610" s="77" t="s">
        <v>1375</v>
      </c>
      <c r="D610" s="78">
        <v>45728</v>
      </c>
      <c r="E610" s="1">
        <v>3403.19</v>
      </c>
      <c r="F610" s="1">
        <v>0</v>
      </c>
      <c r="G610" s="1">
        <v>27630.02</v>
      </c>
      <c r="H610" t="s">
        <v>217</v>
      </c>
    </row>
    <row r="611" spans="1:8" x14ac:dyDescent="0.3">
      <c r="A611" s="78">
        <v>45729</v>
      </c>
      <c r="B611" s="77" t="s">
        <v>30</v>
      </c>
      <c r="C611" s="77" t="s">
        <v>1376</v>
      </c>
      <c r="D611" s="78">
        <v>45729</v>
      </c>
      <c r="E611" s="1">
        <v>108.89</v>
      </c>
      <c r="F611" s="1">
        <v>0</v>
      </c>
      <c r="G611" s="1">
        <v>27521.13</v>
      </c>
      <c r="H611" t="s">
        <v>217</v>
      </c>
    </row>
    <row r="612" spans="1:8" x14ac:dyDescent="0.3">
      <c r="A612" s="78">
        <v>45729</v>
      </c>
      <c r="B612" s="77" t="s">
        <v>30</v>
      </c>
      <c r="C612" s="77" t="s">
        <v>1377</v>
      </c>
      <c r="D612" s="78">
        <v>45729</v>
      </c>
      <c r="E612" s="1">
        <v>1255.3</v>
      </c>
      <c r="F612" s="1">
        <v>0</v>
      </c>
      <c r="G612" s="1">
        <v>26265.83</v>
      </c>
      <c r="H612" t="s">
        <v>217</v>
      </c>
    </row>
    <row r="613" spans="1:8" x14ac:dyDescent="0.3">
      <c r="A613" s="78">
        <v>45731</v>
      </c>
      <c r="B613" s="77" t="s">
        <v>1378</v>
      </c>
      <c r="C613" s="77" t="s">
        <v>46</v>
      </c>
      <c r="D613" s="78">
        <v>45731</v>
      </c>
      <c r="E613" s="1">
        <v>649</v>
      </c>
      <c r="F613" s="1">
        <v>0</v>
      </c>
      <c r="G613" s="1">
        <v>25616.83</v>
      </c>
      <c r="H613" t="s">
        <v>220</v>
      </c>
    </row>
    <row r="614" spans="1:8" x14ac:dyDescent="0.3">
      <c r="A614" s="78">
        <v>45733</v>
      </c>
      <c r="B614" s="77" t="s">
        <v>30</v>
      </c>
      <c r="C614" s="77" t="s">
        <v>1379</v>
      </c>
      <c r="D614" s="78">
        <v>45733</v>
      </c>
      <c r="E614" s="1">
        <v>433.76</v>
      </c>
      <c r="F614" s="1">
        <v>0</v>
      </c>
      <c r="G614" s="1">
        <v>25183.07</v>
      </c>
      <c r="H614" t="s">
        <v>217</v>
      </c>
    </row>
    <row r="615" spans="1:8" x14ac:dyDescent="0.3">
      <c r="A615" s="78">
        <v>45733</v>
      </c>
      <c r="B615" s="77" t="s">
        <v>30</v>
      </c>
      <c r="C615" s="77" t="s">
        <v>1380</v>
      </c>
      <c r="D615" s="78">
        <v>45733</v>
      </c>
      <c r="E615" s="1">
        <v>4457.45</v>
      </c>
      <c r="F615" s="1">
        <v>0</v>
      </c>
      <c r="G615" s="1">
        <v>20725.62</v>
      </c>
      <c r="H615" t="s">
        <v>217</v>
      </c>
    </row>
    <row r="616" spans="1:8" x14ac:dyDescent="0.3">
      <c r="A616" s="78">
        <v>45734</v>
      </c>
      <c r="B616" s="77" t="s">
        <v>1381</v>
      </c>
      <c r="C616" s="77" t="s">
        <v>1382</v>
      </c>
      <c r="D616" s="78">
        <v>45734</v>
      </c>
      <c r="E616" s="1">
        <v>0</v>
      </c>
      <c r="F616" s="1">
        <v>69302.36</v>
      </c>
      <c r="G616" s="1">
        <v>90027.98</v>
      </c>
      <c r="H616" t="s">
        <v>2523</v>
      </c>
    </row>
    <row r="617" spans="1:8" x14ac:dyDescent="0.3">
      <c r="A617" s="78">
        <v>45734</v>
      </c>
      <c r="B617" s="77" t="s">
        <v>30</v>
      </c>
      <c r="C617" s="77" t="s">
        <v>1383</v>
      </c>
      <c r="D617" s="78">
        <v>45734</v>
      </c>
      <c r="E617" s="1">
        <v>106.86</v>
      </c>
      <c r="F617" s="1">
        <v>0</v>
      </c>
      <c r="G617" s="1">
        <v>89921.12</v>
      </c>
      <c r="H617" t="s">
        <v>217</v>
      </c>
    </row>
    <row r="618" spans="1:8" x14ac:dyDescent="0.3">
      <c r="A618" s="78">
        <v>45734</v>
      </c>
      <c r="B618" s="77" t="s">
        <v>30</v>
      </c>
      <c r="C618" s="77" t="s">
        <v>1384</v>
      </c>
      <c r="D618" s="78">
        <v>45734</v>
      </c>
      <c r="E618" s="1">
        <v>786.89</v>
      </c>
      <c r="F618" s="1">
        <v>0</v>
      </c>
      <c r="G618" s="1">
        <v>89134.23</v>
      </c>
      <c r="H618" t="s">
        <v>217</v>
      </c>
    </row>
    <row r="619" spans="1:8" x14ac:dyDescent="0.3">
      <c r="A619" s="78">
        <v>45735</v>
      </c>
      <c r="B619" s="77" t="s">
        <v>30</v>
      </c>
      <c r="C619" s="77" t="s">
        <v>1385</v>
      </c>
      <c r="D619" s="78">
        <v>45735</v>
      </c>
      <c r="E619" s="1">
        <v>111.66</v>
      </c>
      <c r="F619" s="1">
        <v>0</v>
      </c>
      <c r="G619" s="1">
        <v>89022.57</v>
      </c>
      <c r="H619" t="s">
        <v>217</v>
      </c>
    </row>
    <row r="620" spans="1:8" x14ac:dyDescent="0.3">
      <c r="A620" s="78">
        <v>45735</v>
      </c>
      <c r="B620" s="77" t="s">
        <v>30</v>
      </c>
      <c r="C620" s="77" t="s">
        <v>1386</v>
      </c>
      <c r="D620" s="78">
        <v>45735</v>
      </c>
      <c r="E620" s="1">
        <v>12413.43</v>
      </c>
      <c r="F620" s="1">
        <v>0</v>
      </c>
      <c r="G620" s="1">
        <v>76609.14</v>
      </c>
      <c r="H620" t="s">
        <v>217</v>
      </c>
    </row>
    <row r="621" spans="1:8" x14ac:dyDescent="0.3">
      <c r="A621" s="78">
        <v>45736</v>
      </c>
      <c r="B621" s="77" t="s">
        <v>959</v>
      </c>
      <c r="C621" s="77" t="s">
        <v>1387</v>
      </c>
      <c r="D621" s="78">
        <v>45736</v>
      </c>
      <c r="E621" s="1">
        <v>40000</v>
      </c>
      <c r="F621" s="1">
        <v>0</v>
      </c>
      <c r="G621" s="1">
        <v>36609.14</v>
      </c>
      <c r="H621" t="s">
        <v>225</v>
      </c>
    </row>
    <row r="622" spans="1:8" x14ac:dyDescent="0.3">
      <c r="A622" s="78">
        <v>45736</v>
      </c>
      <c r="B622" s="77" t="s">
        <v>30</v>
      </c>
      <c r="C622" s="77" t="s">
        <v>1388</v>
      </c>
      <c r="D622" s="78">
        <v>45736</v>
      </c>
      <c r="E622" s="1">
        <v>113.22</v>
      </c>
      <c r="F622" s="1">
        <v>0</v>
      </c>
      <c r="G622" s="1">
        <v>36495.919999999998</v>
      </c>
      <c r="H622" t="s">
        <v>217</v>
      </c>
    </row>
    <row r="623" spans="1:8" x14ac:dyDescent="0.3">
      <c r="A623" s="78">
        <v>45737</v>
      </c>
      <c r="B623" s="77" t="s">
        <v>1389</v>
      </c>
      <c r="C623" s="77" t="s">
        <v>1390</v>
      </c>
      <c r="D623" s="78">
        <v>45737</v>
      </c>
      <c r="E623" s="1">
        <v>0</v>
      </c>
      <c r="F623" s="1">
        <v>1261.94</v>
      </c>
      <c r="G623" s="1">
        <v>37757.86</v>
      </c>
      <c r="H623" t="s">
        <v>2523</v>
      </c>
    </row>
    <row r="624" spans="1:8" x14ac:dyDescent="0.3">
      <c r="A624" s="78">
        <v>45737</v>
      </c>
      <c r="B624" s="77" t="s">
        <v>1391</v>
      </c>
      <c r="C624" s="77" t="s">
        <v>1392</v>
      </c>
      <c r="D624" s="78">
        <v>45737</v>
      </c>
      <c r="E624" s="1">
        <v>20000</v>
      </c>
      <c r="F624" s="1">
        <v>0</v>
      </c>
      <c r="G624" s="1">
        <v>17757.86</v>
      </c>
      <c r="H624" t="s">
        <v>2518</v>
      </c>
    </row>
    <row r="625" spans="1:8" x14ac:dyDescent="0.3">
      <c r="A625" s="78">
        <v>45737</v>
      </c>
      <c r="B625" s="77" t="s">
        <v>30</v>
      </c>
      <c r="C625" s="77" t="s">
        <v>1393</v>
      </c>
      <c r="D625" s="78">
        <v>45737</v>
      </c>
      <c r="E625" s="1">
        <v>17757.86</v>
      </c>
      <c r="F625" s="1">
        <v>0</v>
      </c>
      <c r="G625" s="1">
        <v>0</v>
      </c>
      <c r="H625" t="s">
        <v>217</v>
      </c>
    </row>
    <row r="626" spans="1:8" x14ac:dyDescent="0.3">
      <c r="A626" s="78">
        <v>45737</v>
      </c>
      <c r="B626" s="77" t="s">
        <v>34</v>
      </c>
      <c r="C626" s="77" t="s">
        <v>1394</v>
      </c>
      <c r="D626" s="78">
        <v>45737</v>
      </c>
      <c r="E626" s="1">
        <v>0</v>
      </c>
      <c r="F626" s="1">
        <v>16316.42</v>
      </c>
      <c r="G626" s="1">
        <v>16316.42</v>
      </c>
      <c r="H626" t="s">
        <v>217</v>
      </c>
    </row>
    <row r="627" spans="1:8" x14ac:dyDescent="0.3">
      <c r="A627" s="78">
        <v>45740</v>
      </c>
      <c r="B627" s="77" t="s">
        <v>30</v>
      </c>
      <c r="C627" s="77" t="s">
        <v>1395</v>
      </c>
      <c r="D627" s="78">
        <v>45740</v>
      </c>
      <c r="E627" s="1">
        <v>395.52</v>
      </c>
      <c r="F627" s="1">
        <v>0</v>
      </c>
      <c r="G627" s="1">
        <v>15920.9</v>
      </c>
      <c r="H627" t="s">
        <v>217</v>
      </c>
    </row>
    <row r="628" spans="1:8" x14ac:dyDescent="0.3">
      <c r="A628" s="78">
        <v>45740</v>
      </c>
      <c r="B628" s="77" t="s">
        <v>30</v>
      </c>
      <c r="C628" s="77" t="s">
        <v>1396</v>
      </c>
      <c r="D628" s="78">
        <v>45740</v>
      </c>
      <c r="E628" s="1">
        <v>3331.18</v>
      </c>
      <c r="F628" s="1">
        <v>0</v>
      </c>
      <c r="G628" s="1">
        <v>12589.72</v>
      </c>
      <c r="H628" t="s">
        <v>217</v>
      </c>
    </row>
    <row r="629" spans="1:8" x14ac:dyDescent="0.3">
      <c r="A629" s="78">
        <v>45741</v>
      </c>
      <c r="B629" s="77" t="s">
        <v>30</v>
      </c>
      <c r="C629" s="77" t="s">
        <v>1397</v>
      </c>
      <c r="D629" s="78">
        <v>45741</v>
      </c>
      <c r="E629" s="1">
        <v>142.22</v>
      </c>
      <c r="F629" s="1">
        <v>0</v>
      </c>
      <c r="G629" s="1">
        <v>12447.5</v>
      </c>
      <c r="H629" t="s">
        <v>217</v>
      </c>
    </row>
    <row r="630" spans="1:8" x14ac:dyDescent="0.3">
      <c r="A630" s="78">
        <v>45741</v>
      </c>
      <c r="B630" s="77" t="s">
        <v>30</v>
      </c>
      <c r="C630" s="77" t="s">
        <v>1398</v>
      </c>
      <c r="D630" s="78">
        <v>45741</v>
      </c>
      <c r="E630" s="1">
        <v>4006.14</v>
      </c>
      <c r="F630" s="1">
        <v>0</v>
      </c>
      <c r="G630" s="1">
        <v>8441.36</v>
      </c>
      <c r="H630" t="s">
        <v>217</v>
      </c>
    </row>
    <row r="631" spans="1:8" x14ac:dyDescent="0.3">
      <c r="A631" s="78">
        <v>45742</v>
      </c>
      <c r="B631" s="77" t="s">
        <v>1399</v>
      </c>
      <c r="C631" s="77" t="s">
        <v>1400</v>
      </c>
      <c r="D631" s="78">
        <v>45742</v>
      </c>
      <c r="E631" s="1">
        <v>0</v>
      </c>
      <c r="F631" s="1">
        <v>25199.360000000001</v>
      </c>
      <c r="G631" s="1">
        <v>33640.720000000001</v>
      </c>
      <c r="H631" t="s">
        <v>2523</v>
      </c>
    </row>
    <row r="632" spans="1:8" x14ac:dyDescent="0.3">
      <c r="A632" s="78">
        <v>45742</v>
      </c>
      <c r="B632" s="77" t="s">
        <v>30</v>
      </c>
      <c r="C632" s="77" t="s">
        <v>1401</v>
      </c>
      <c r="D632" s="78">
        <v>45742</v>
      </c>
      <c r="E632" s="1">
        <v>149.74</v>
      </c>
      <c r="F632" s="1">
        <v>0</v>
      </c>
      <c r="G632" s="1">
        <v>33490.980000000003</v>
      </c>
      <c r="H632" t="s">
        <v>217</v>
      </c>
    </row>
    <row r="633" spans="1:8" x14ac:dyDescent="0.3">
      <c r="A633" s="78">
        <v>45742</v>
      </c>
      <c r="B633" s="77" t="s">
        <v>30</v>
      </c>
      <c r="C633" s="77" t="s">
        <v>1402</v>
      </c>
      <c r="D633" s="78">
        <v>45742</v>
      </c>
      <c r="E633" s="1">
        <v>3003.66</v>
      </c>
      <c r="F633" s="1">
        <v>0</v>
      </c>
      <c r="G633" s="1">
        <v>30487.32</v>
      </c>
      <c r="H633" t="s">
        <v>217</v>
      </c>
    </row>
    <row r="634" spans="1:8" x14ac:dyDescent="0.3">
      <c r="A634" s="78">
        <v>45743</v>
      </c>
      <c r="B634" s="77" t="s">
        <v>30</v>
      </c>
      <c r="C634" s="77" t="s">
        <v>1403</v>
      </c>
      <c r="D634" s="78">
        <v>45743</v>
      </c>
      <c r="E634" s="1">
        <v>148.66999999999999</v>
      </c>
      <c r="F634" s="1">
        <v>0</v>
      </c>
      <c r="G634" s="1">
        <v>30338.65</v>
      </c>
      <c r="H634" t="s">
        <v>217</v>
      </c>
    </row>
    <row r="635" spans="1:8" x14ac:dyDescent="0.3">
      <c r="A635" s="78">
        <v>45744</v>
      </c>
      <c r="B635" s="77" t="s">
        <v>1404</v>
      </c>
      <c r="C635" s="77" t="s">
        <v>1405</v>
      </c>
      <c r="D635" s="78">
        <v>45744</v>
      </c>
      <c r="E635" s="1">
        <v>5000</v>
      </c>
      <c r="F635" s="1">
        <v>0</v>
      </c>
      <c r="G635" s="1">
        <v>25338.65</v>
      </c>
      <c r="H635" t="s">
        <v>219</v>
      </c>
    </row>
    <row r="636" spans="1:8" x14ac:dyDescent="0.3">
      <c r="A636" s="78">
        <v>45744</v>
      </c>
      <c r="B636" s="77" t="s">
        <v>1406</v>
      </c>
      <c r="C636" s="77" t="s">
        <v>1407</v>
      </c>
      <c r="D636" s="78">
        <v>45744</v>
      </c>
      <c r="E636" s="1">
        <v>0</v>
      </c>
      <c r="F636" s="1">
        <v>3885.5</v>
      </c>
      <c r="G636" s="1">
        <v>29224.15</v>
      </c>
      <c r="H636" t="s">
        <v>2523</v>
      </c>
    </row>
    <row r="637" spans="1:8" x14ac:dyDescent="0.3">
      <c r="A637" s="78">
        <v>45744</v>
      </c>
      <c r="B637" s="77" t="s">
        <v>30</v>
      </c>
      <c r="C637" s="77" t="s">
        <v>1408</v>
      </c>
      <c r="D637" s="78">
        <v>45744</v>
      </c>
      <c r="E637" s="1">
        <v>148.66999999999999</v>
      </c>
      <c r="F637" s="1">
        <v>0</v>
      </c>
      <c r="G637" s="1">
        <v>29075.48</v>
      </c>
      <c r="H637" t="s">
        <v>217</v>
      </c>
    </row>
    <row r="638" spans="1:8" x14ac:dyDescent="0.3">
      <c r="A638" s="78">
        <v>45745</v>
      </c>
      <c r="B638" s="77" t="s">
        <v>1409</v>
      </c>
      <c r="C638" s="77" t="s">
        <v>1410</v>
      </c>
      <c r="D638" s="78">
        <v>45745</v>
      </c>
      <c r="E638" s="1">
        <v>295</v>
      </c>
      <c r="F638" s="1">
        <v>0</v>
      </c>
      <c r="G638" s="1">
        <v>28780.48</v>
      </c>
      <c r="H638" t="s">
        <v>221</v>
      </c>
    </row>
  </sheetData>
  <autoFilter ref="A20:H638" xr:uid="{CABC004F-70FC-4BE2-BFB9-01E4453DE7F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53B4-1C07-4C69-8236-53C2B8187786}">
  <sheetPr>
    <tabColor rgb="FF002060"/>
  </sheetPr>
  <dimension ref="A1:H22"/>
  <sheetViews>
    <sheetView workbookViewId="0">
      <selection activeCell="A15" sqref="A15"/>
    </sheetView>
  </sheetViews>
  <sheetFormatPr defaultRowHeight="14.4" x14ac:dyDescent="0.3"/>
  <cols>
    <col min="2" max="2" width="10.33203125" bestFit="1" customWidth="1"/>
    <col min="4" max="4" width="21.6640625" bestFit="1" customWidth="1"/>
    <col min="7" max="7" width="9.88671875" bestFit="1" customWidth="1"/>
  </cols>
  <sheetData>
    <row r="1" spans="1:1" x14ac:dyDescent="0.3">
      <c r="A1" t="s">
        <v>229</v>
      </c>
    </row>
    <row r="2" spans="1:1" x14ac:dyDescent="0.3">
      <c r="A2" t="s">
        <v>230</v>
      </c>
    </row>
    <row r="3" spans="1:1" x14ac:dyDescent="0.3">
      <c r="A3" t="s">
        <v>231</v>
      </c>
    </row>
    <row r="4" spans="1:1" x14ac:dyDescent="0.3">
      <c r="A4" t="s">
        <v>232</v>
      </c>
    </row>
    <row r="5" spans="1:1" x14ac:dyDescent="0.3">
      <c r="A5" t="s">
        <v>233</v>
      </c>
    </row>
    <row r="6" spans="1:1" x14ac:dyDescent="0.3">
      <c r="A6" t="s">
        <v>234</v>
      </c>
    </row>
    <row r="7" spans="1:1" x14ac:dyDescent="0.3">
      <c r="A7" t="s">
        <v>235</v>
      </c>
    </row>
    <row r="8" spans="1:1" x14ac:dyDescent="0.3">
      <c r="A8" t="s">
        <v>236</v>
      </c>
    </row>
    <row r="9" spans="1:1" x14ac:dyDescent="0.3">
      <c r="A9" t="s">
        <v>237</v>
      </c>
    </row>
    <row r="10" spans="1:1" x14ac:dyDescent="0.3">
      <c r="A10" t="s">
        <v>238</v>
      </c>
    </row>
    <row r="11" spans="1:1" x14ac:dyDescent="0.3">
      <c r="A11" t="s">
        <v>239</v>
      </c>
    </row>
    <row r="12" spans="1:1" x14ac:dyDescent="0.3">
      <c r="A12" t="s">
        <v>240</v>
      </c>
    </row>
    <row r="13" spans="1:1" x14ac:dyDescent="0.3">
      <c r="A13" t="s">
        <v>241</v>
      </c>
    </row>
    <row r="14" spans="1:1" x14ac:dyDescent="0.3">
      <c r="A14" t="s">
        <v>242</v>
      </c>
    </row>
    <row r="15" spans="1:1" x14ac:dyDescent="0.3">
      <c r="A15" t="s">
        <v>243</v>
      </c>
    </row>
    <row r="16" spans="1:1" x14ac:dyDescent="0.3">
      <c r="A16" t="s">
        <v>244</v>
      </c>
    </row>
    <row r="17" spans="1:8" x14ac:dyDescent="0.3">
      <c r="A17" t="s">
        <v>245</v>
      </c>
      <c r="B17" t="s">
        <v>246</v>
      </c>
      <c r="C17" t="s">
        <v>247</v>
      </c>
      <c r="D17" t="s">
        <v>248</v>
      </c>
      <c r="E17" t="s">
        <v>249</v>
      </c>
      <c r="F17" t="s">
        <v>250</v>
      </c>
      <c r="G17" t="s">
        <v>251</v>
      </c>
      <c r="H17" t="s">
        <v>24</v>
      </c>
    </row>
    <row r="18" spans="1:8" x14ac:dyDescent="0.3">
      <c r="A18">
        <v>1</v>
      </c>
      <c r="B18" s="2">
        <v>45403</v>
      </c>
      <c r="C18" t="s">
        <v>252</v>
      </c>
      <c r="D18" t="s">
        <v>253</v>
      </c>
      <c r="E18" s="1">
        <v>1.18</v>
      </c>
      <c r="F18" s="1">
        <v>0</v>
      </c>
      <c r="G18" s="1">
        <v>16846.03</v>
      </c>
      <c r="H18" t="s">
        <v>221</v>
      </c>
    </row>
    <row r="19" spans="1:8" x14ac:dyDescent="0.3">
      <c r="A19">
        <v>2</v>
      </c>
      <c r="B19" s="2">
        <v>45474</v>
      </c>
      <c r="C19" t="s">
        <v>252</v>
      </c>
      <c r="D19" t="s">
        <v>805</v>
      </c>
      <c r="E19" s="1">
        <v>0</v>
      </c>
      <c r="F19" s="1">
        <v>126</v>
      </c>
      <c r="G19" s="1">
        <v>16972.03</v>
      </c>
      <c r="H19" t="s">
        <v>227</v>
      </c>
    </row>
    <row r="20" spans="1:8" x14ac:dyDescent="0.3">
      <c r="A20">
        <v>3</v>
      </c>
      <c r="B20" s="2">
        <v>45566</v>
      </c>
      <c r="C20" t="s">
        <v>252</v>
      </c>
      <c r="D20" t="s">
        <v>806</v>
      </c>
      <c r="E20" s="1">
        <v>0</v>
      </c>
      <c r="F20" s="1">
        <v>128</v>
      </c>
      <c r="G20" s="1">
        <v>17100.03</v>
      </c>
      <c r="H20" t="s">
        <v>227</v>
      </c>
    </row>
    <row r="21" spans="1:8" x14ac:dyDescent="0.3">
      <c r="A21">
        <v>4</v>
      </c>
      <c r="B21" s="2">
        <v>45658</v>
      </c>
      <c r="C21" t="s">
        <v>252</v>
      </c>
      <c r="D21" t="s">
        <v>807</v>
      </c>
      <c r="E21" s="1">
        <v>0</v>
      </c>
      <c r="F21" s="1">
        <v>129</v>
      </c>
      <c r="G21" s="1">
        <v>17229.03</v>
      </c>
      <c r="H21" t="s">
        <v>227</v>
      </c>
    </row>
    <row r="22" spans="1:8" x14ac:dyDescent="0.3">
      <c r="A22">
        <v>5</v>
      </c>
      <c r="B22" s="2">
        <v>45747</v>
      </c>
      <c r="C22" t="s">
        <v>252</v>
      </c>
      <c r="D22" t="s">
        <v>808</v>
      </c>
      <c r="E22" s="1">
        <v>0</v>
      </c>
      <c r="F22" s="1">
        <v>127</v>
      </c>
      <c r="G22" s="1">
        <v>17356.03</v>
      </c>
      <c r="H22" t="s">
        <v>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02B8-10BD-465C-B573-05E3A9B5DC8E}">
  <dimension ref="A1:H141"/>
  <sheetViews>
    <sheetView workbookViewId="0">
      <selection activeCell="B7" sqref="B7"/>
    </sheetView>
  </sheetViews>
  <sheetFormatPr defaultRowHeight="14.4" x14ac:dyDescent="0.3"/>
  <cols>
    <col min="1" max="2" width="9.88671875" bestFit="1" customWidth="1"/>
    <col min="3" max="3" width="61.6640625" bestFit="1" customWidth="1"/>
    <col min="4" max="4" width="26.109375" bestFit="1" customWidth="1"/>
    <col min="5" max="6" width="10" bestFit="1" customWidth="1"/>
    <col min="7" max="7" width="9.88671875" bestFit="1" customWidth="1"/>
  </cols>
  <sheetData>
    <row r="1" spans="1:2" x14ac:dyDescent="0.3">
      <c r="A1" t="s">
        <v>513</v>
      </c>
      <c r="B1" t="s">
        <v>514</v>
      </c>
    </row>
    <row r="2" spans="1:2" x14ac:dyDescent="0.3">
      <c r="A2" t="s">
        <v>515</v>
      </c>
      <c r="B2" t="s">
        <v>516</v>
      </c>
    </row>
    <row r="3" spans="1:2" x14ac:dyDescent="0.3">
      <c r="A3" t="s">
        <v>517</v>
      </c>
      <c r="B3" t="s">
        <v>518</v>
      </c>
    </row>
    <row r="4" spans="1:2" x14ac:dyDescent="0.3">
      <c r="A4" t="s">
        <v>517</v>
      </c>
      <c r="B4" t="s">
        <v>233</v>
      </c>
    </row>
    <row r="5" spans="1:2" x14ac:dyDescent="0.3">
      <c r="A5" t="s">
        <v>517</v>
      </c>
      <c r="B5" t="s">
        <v>519</v>
      </c>
    </row>
    <row r="6" spans="1:2" x14ac:dyDescent="0.3">
      <c r="A6" t="s">
        <v>520</v>
      </c>
      <c r="B6" s="6">
        <v>45478</v>
      </c>
    </row>
    <row r="7" spans="1:2" x14ac:dyDescent="0.3">
      <c r="A7" t="s">
        <v>521</v>
      </c>
      <c r="B7" t="s">
        <v>522</v>
      </c>
    </row>
    <row r="8" spans="1:2" x14ac:dyDescent="0.3">
      <c r="A8" t="s">
        <v>523</v>
      </c>
      <c r="B8" t="s">
        <v>524</v>
      </c>
    </row>
    <row r="9" spans="1:2" x14ac:dyDescent="0.3">
      <c r="A9" t="s">
        <v>525</v>
      </c>
      <c r="B9" t="s">
        <v>526</v>
      </c>
    </row>
    <row r="10" spans="1:2" x14ac:dyDescent="0.3">
      <c r="A10" t="s">
        <v>527</v>
      </c>
      <c r="B10">
        <v>0</v>
      </c>
    </row>
    <row r="11" spans="1:2" x14ac:dyDescent="0.3">
      <c r="A11" t="s">
        <v>528</v>
      </c>
      <c r="B11">
        <v>2.7</v>
      </c>
    </row>
    <row r="12" spans="1:2" x14ac:dyDescent="0.3">
      <c r="A12" t="s">
        <v>529</v>
      </c>
      <c r="B12">
        <v>0</v>
      </c>
    </row>
    <row r="13" spans="1:2" x14ac:dyDescent="0.3">
      <c r="A13" t="s">
        <v>530</v>
      </c>
      <c r="B13" t="s">
        <v>531</v>
      </c>
    </row>
    <row r="14" spans="1:2" x14ac:dyDescent="0.3">
      <c r="A14" t="s">
        <v>532</v>
      </c>
      <c r="B14" t="s">
        <v>533</v>
      </c>
    </row>
    <row r="15" spans="1:2" x14ac:dyDescent="0.3">
      <c r="A15" t="s">
        <v>534</v>
      </c>
      <c r="B15" t="s">
        <v>535</v>
      </c>
    </row>
    <row r="16" spans="1:2" x14ac:dyDescent="0.3">
      <c r="A16" t="s">
        <v>536</v>
      </c>
      <c r="B16" t="s">
        <v>537</v>
      </c>
    </row>
    <row r="17" spans="1:8" x14ac:dyDescent="0.3">
      <c r="A17" t="s">
        <v>538</v>
      </c>
      <c r="B17" s="3">
        <v>52605.78</v>
      </c>
    </row>
    <row r="18" spans="1:8" x14ac:dyDescent="0.3">
      <c r="A18" t="s">
        <v>539</v>
      </c>
      <c r="B18" s="6">
        <v>45383</v>
      </c>
    </row>
    <row r="19" spans="1:8" x14ac:dyDescent="0.3">
      <c r="A19" t="s">
        <v>540</v>
      </c>
      <c r="B19" s="6">
        <v>45473</v>
      </c>
      <c r="E19">
        <f>SUBTOTAL(9,E21:E1048576)</f>
        <v>219755.55000000002</v>
      </c>
      <c r="F19">
        <f>SUBTOTAL(9,F21:F1048576)</f>
        <v>178135.8</v>
      </c>
    </row>
    <row r="20" spans="1:8" x14ac:dyDescent="0.3">
      <c r="A20" t="s">
        <v>541</v>
      </c>
      <c r="B20" t="s">
        <v>279</v>
      </c>
      <c r="C20" t="s">
        <v>280</v>
      </c>
      <c r="D20" t="s">
        <v>542</v>
      </c>
      <c r="E20" t="s">
        <v>2522</v>
      </c>
      <c r="F20" t="s">
        <v>543</v>
      </c>
      <c r="G20" t="s">
        <v>284</v>
      </c>
      <c r="H20" t="s">
        <v>24</v>
      </c>
    </row>
    <row r="21" spans="1:8" x14ac:dyDescent="0.3">
      <c r="A21" s="6">
        <v>45383</v>
      </c>
      <c r="B21" s="6">
        <v>45383</v>
      </c>
      <c r="C21" t="s">
        <v>544</v>
      </c>
      <c r="D21" t="s">
        <v>545</v>
      </c>
      <c r="E21" s="1">
        <v>15000</v>
      </c>
      <c r="F21" s="1">
        <v>0</v>
      </c>
      <c r="G21" s="1">
        <v>37605.78</v>
      </c>
      <c r="H21" t="s">
        <v>512</v>
      </c>
    </row>
    <row r="22" spans="1:8" x14ac:dyDescent="0.3">
      <c r="A22" s="40">
        <v>45384</v>
      </c>
      <c r="B22" s="40">
        <v>45384</v>
      </c>
      <c r="C22" s="41" t="s">
        <v>546</v>
      </c>
      <c r="D22" s="41" t="s">
        <v>547</v>
      </c>
      <c r="E22" s="42">
        <v>0</v>
      </c>
      <c r="F22" s="42">
        <v>32394.22</v>
      </c>
      <c r="G22" s="42">
        <v>70000</v>
      </c>
      <c r="H22" s="41" t="s">
        <v>747</v>
      </c>
    </row>
    <row r="23" spans="1:8" x14ac:dyDescent="0.3">
      <c r="A23" s="6">
        <v>45384</v>
      </c>
      <c r="B23" s="6">
        <v>45384</v>
      </c>
      <c r="C23" t="s">
        <v>548</v>
      </c>
      <c r="D23" t="s">
        <v>547</v>
      </c>
      <c r="E23" s="1">
        <v>0</v>
      </c>
      <c r="F23" s="1">
        <v>590</v>
      </c>
      <c r="G23" s="1">
        <v>70590</v>
      </c>
      <c r="H23" t="s">
        <v>589</v>
      </c>
    </row>
    <row r="24" spans="1:8" x14ac:dyDescent="0.3">
      <c r="A24" s="6">
        <v>45384</v>
      </c>
      <c r="B24" s="6">
        <v>45384</v>
      </c>
      <c r="C24" t="s">
        <v>549</v>
      </c>
      <c r="D24" t="s">
        <v>547</v>
      </c>
      <c r="E24" s="1">
        <v>0</v>
      </c>
      <c r="F24" s="1">
        <v>590</v>
      </c>
      <c r="G24" s="1">
        <v>71180</v>
      </c>
      <c r="H24" t="s">
        <v>589</v>
      </c>
    </row>
    <row r="25" spans="1:8" x14ac:dyDescent="0.3">
      <c r="A25" s="6">
        <v>45384</v>
      </c>
      <c r="B25" s="6">
        <v>45384</v>
      </c>
      <c r="C25" t="s">
        <v>550</v>
      </c>
      <c r="D25" t="s">
        <v>547</v>
      </c>
      <c r="E25" s="1">
        <v>0</v>
      </c>
      <c r="F25" s="1">
        <v>590</v>
      </c>
      <c r="G25" s="1">
        <v>71770</v>
      </c>
      <c r="H25" t="s">
        <v>589</v>
      </c>
    </row>
    <row r="26" spans="1:8" x14ac:dyDescent="0.3">
      <c r="A26" s="6">
        <v>45384</v>
      </c>
      <c r="B26" s="6">
        <v>45384</v>
      </c>
      <c r="C26" t="s">
        <v>551</v>
      </c>
      <c r="D26" t="s">
        <v>547</v>
      </c>
      <c r="E26" s="1">
        <v>0</v>
      </c>
      <c r="F26" s="1">
        <v>590</v>
      </c>
      <c r="G26" s="1">
        <v>72360</v>
      </c>
      <c r="H26" t="s">
        <v>589</v>
      </c>
    </row>
    <row r="27" spans="1:8" x14ac:dyDescent="0.3">
      <c r="A27" s="6">
        <v>45384</v>
      </c>
      <c r="B27" s="6">
        <v>45384</v>
      </c>
      <c r="C27" t="s">
        <v>552</v>
      </c>
      <c r="D27" t="s">
        <v>547</v>
      </c>
      <c r="E27" s="1">
        <v>0</v>
      </c>
      <c r="F27" s="1">
        <v>590</v>
      </c>
      <c r="G27" s="1">
        <v>72950</v>
      </c>
      <c r="H27" t="s">
        <v>589</v>
      </c>
    </row>
    <row r="28" spans="1:8" x14ac:dyDescent="0.3">
      <c r="A28" s="6">
        <v>45388</v>
      </c>
      <c r="B28" s="6">
        <v>45388</v>
      </c>
      <c r="C28" t="s">
        <v>553</v>
      </c>
      <c r="D28" t="s">
        <v>554</v>
      </c>
      <c r="E28" s="1">
        <v>0</v>
      </c>
      <c r="F28" s="1">
        <v>11.5</v>
      </c>
      <c r="G28" s="1">
        <v>72961.5</v>
      </c>
      <c r="H28" t="s">
        <v>508</v>
      </c>
    </row>
    <row r="29" spans="1:8" x14ac:dyDescent="0.3">
      <c r="A29" s="6">
        <v>45389</v>
      </c>
      <c r="B29" s="6">
        <v>45389</v>
      </c>
      <c r="C29" t="s">
        <v>555</v>
      </c>
      <c r="D29" t="s">
        <v>556</v>
      </c>
      <c r="E29" s="1">
        <v>58</v>
      </c>
      <c r="F29" s="1">
        <v>0</v>
      </c>
      <c r="G29" s="1">
        <v>72903.5</v>
      </c>
      <c r="H29" t="s">
        <v>589</v>
      </c>
    </row>
    <row r="30" spans="1:8" x14ac:dyDescent="0.3">
      <c r="A30" s="6">
        <v>45392</v>
      </c>
      <c r="B30" s="6">
        <v>45392</v>
      </c>
      <c r="C30" t="s">
        <v>557</v>
      </c>
      <c r="D30" t="s">
        <v>558</v>
      </c>
      <c r="E30" s="1">
        <v>0</v>
      </c>
      <c r="F30" s="1">
        <v>100</v>
      </c>
      <c r="G30" s="1">
        <v>73003.5</v>
      </c>
      <c r="H30" t="s">
        <v>589</v>
      </c>
    </row>
    <row r="31" spans="1:8" x14ac:dyDescent="0.3">
      <c r="A31" s="6">
        <v>45397</v>
      </c>
      <c r="B31" s="6">
        <v>45397</v>
      </c>
      <c r="C31" t="s">
        <v>559</v>
      </c>
      <c r="D31" t="s">
        <v>545</v>
      </c>
      <c r="E31" s="1">
        <v>21000</v>
      </c>
      <c r="F31" s="1">
        <v>0</v>
      </c>
      <c r="G31" s="1">
        <v>52003.5</v>
      </c>
      <c r="H31" t="s">
        <v>225</v>
      </c>
    </row>
    <row r="32" spans="1:8" x14ac:dyDescent="0.3">
      <c r="A32" s="53">
        <v>45405</v>
      </c>
      <c r="B32" s="53">
        <v>45405</v>
      </c>
      <c r="C32" s="54" t="s">
        <v>560</v>
      </c>
      <c r="D32" s="54" t="s">
        <v>547</v>
      </c>
      <c r="E32" s="55">
        <v>0</v>
      </c>
      <c r="F32" s="55">
        <v>1950.19</v>
      </c>
      <c r="G32" s="55">
        <v>53953.69</v>
      </c>
      <c r="H32" s="54" t="s">
        <v>746</v>
      </c>
    </row>
    <row r="33" spans="1:8" x14ac:dyDescent="0.3">
      <c r="A33" s="6">
        <v>45410</v>
      </c>
      <c r="B33" s="6">
        <v>45410</v>
      </c>
      <c r="C33" t="s">
        <v>561</v>
      </c>
      <c r="D33" t="s">
        <v>556</v>
      </c>
      <c r="E33" s="1">
        <v>10000</v>
      </c>
      <c r="F33" s="1">
        <v>0</v>
      </c>
      <c r="G33" s="1">
        <v>43953.69</v>
      </c>
      <c r="H33" t="s">
        <v>508</v>
      </c>
    </row>
    <row r="34" spans="1:8" x14ac:dyDescent="0.3">
      <c r="A34" s="40">
        <v>45412</v>
      </c>
      <c r="B34" s="40">
        <v>45412</v>
      </c>
      <c r="C34" s="41" t="s">
        <v>562</v>
      </c>
      <c r="D34" s="41" t="s">
        <v>547</v>
      </c>
      <c r="E34" s="42">
        <v>0</v>
      </c>
      <c r="F34" s="42">
        <v>35000</v>
      </c>
      <c r="G34" s="42">
        <v>78953.69</v>
      </c>
      <c r="H34" s="41" t="s">
        <v>747</v>
      </c>
    </row>
    <row r="35" spans="1:8" x14ac:dyDescent="0.3">
      <c r="A35" s="6">
        <v>45421</v>
      </c>
      <c r="B35" s="6">
        <v>45421</v>
      </c>
      <c r="C35" t="s">
        <v>563</v>
      </c>
      <c r="D35" t="s">
        <v>564</v>
      </c>
      <c r="E35" s="1">
        <v>85</v>
      </c>
      <c r="F35" s="1">
        <v>0</v>
      </c>
      <c r="G35" s="1">
        <v>78868.69</v>
      </c>
      <c r="H35" t="s">
        <v>589</v>
      </c>
    </row>
    <row r="36" spans="1:8" x14ac:dyDescent="0.3">
      <c r="A36" s="6">
        <v>45421</v>
      </c>
      <c r="B36" s="6">
        <v>45421</v>
      </c>
      <c r="C36" t="s">
        <v>565</v>
      </c>
      <c r="D36" t="s">
        <v>564</v>
      </c>
      <c r="E36" s="1">
        <v>135</v>
      </c>
      <c r="F36" s="1">
        <v>0</v>
      </c>
      <c r="G36" s="1">
        <v>78733.69</v>
      </c>
      <c r="H36" t="s">
        <v>589</v>
      </c>
    </row>
    <row r="37" spans="1:8" x14ac:dyDescent="0.3">
      <c r="A37" s="6">
        <v>45421</v>
      </c>
      <c r="B37" s="6">
        <v>45421</v>
      </c>
      <c r="C37" t="s">
        <v>566</v>
      </c>
      <c r="D37" t="s">
        <v>564</v>
      </c>
      <c r="E37" s="1">
        <v>99</v>
      </c>
      <c r="F37" s="1">
        <v>0</v>
      </c>
      <c r="G37" s="1">
        <v>78634.69</v>
      </c>
      <c r="H37" t="s">
        <v>589</v>
      </c>
    </row>
    <row r="38" spans="1:8" x14ac:dyDescent="0.3">
      <c r="A38" s="6">
        <v>45421</v>
      </c>
      <c r="B38" s="6">
        <v>45421</v>
      </c>
      <c r="C38" t="s">
        <v>567</v>
      </c>
      <c r="D38" t="s">
        <v>564</v>
      </c>
      <c r="E38" s="1">
        <v>270</v>
      </c>
      <c r="F38" s="1">
        <v>0</v>
      </c>
      <c r="G38" s="1">
        <v>78364.69</v>
      </c>
      <c r="H38" t="s">
        <v>589</v>
      </c>
    </row>
    <row r="39" spans="1:8" x14ac:dyDescent="0.3">
      <c r="A39" s="6">
        <v>45421</v>
      </c>
      <c r="B39" s="6">
        <v>45421</v>
      </c>
      <c r="C39" t="s">
        <v>568</v>
      </c>
      <c r="D39" t="s">
        <v>569</v>
      </c>
      <c r="E39" s="1">
        <v>0</v>
      </c>
      <c r="F39" s="1">
        <v>185</v>
      </c>
      <c r="G39" s="1">
        <v>78549.69</v>
      </c>
      <c r="H39" t="s">
        <v>589</v>
      </c>
    </row>
    <row r="40" spans="1:8" x14ac:dyDescent="0.3">
      <c r="A40" s="6">
        <v>45429</v>
      </c>
      <c r="B40" s="6">
        <v>45429</v>
      </c>
      <c r="C40" t="s">
        <v>570</v>
      </c>
      <c r="D40" t="s">
        <v>252</v>
      </c>
      <c r="E40" s="1">
        <v>0</v>
      </c>
      <c r="F40" s="1">
        <v>16</v>
      </c>
      <c r="G40" s="1">
        <v>78565.69</v>
      </c>
      <c r="H40" t="s">
        <v>588</v>
      </c>
    </row>
    <row r="41" spans="1:8" x14ac:dyDescent="0.3">
      <c r="A41" s="6">
        <v>45429</v>
      </c>
      <c r="B41" s="6">
        <v>45429</v>
      </c>
      <c r="C41" t="s">
        <v>571</v>
      </c>
      <c r="D41" t="s">
        <v>572</v>
      </c>
      <c r="E41" s="1">
        <v>0</v>
      </c>
      <c r="F41" s="1">
        <v>90</v>
      </c>
      <c r="G41" s="1">
        <v>78655.69</v>
      </c>
      <c r="H41" t="s">
        <v>589</v>
      </c>
    </row>
    <row r="42" spans="1:8" x14ac:dyDescent="0.3">
      <c r="A42" s="6">
        <v>45440</v>
      </c>
      <c r="B42" s="6">
        <v>45440</v>
      </c>
      <c r="C42" t="s">
        <v>573</v>
      </c>
      <c r="D42" t="s">
        <v>574</v>
      </c>
      <c r="E42" s="1">
        <v>5380</v>
      </c>
      <c r="F42" s="1">
        <v>0</v>
      </c>
      <c r="G42" s="1">
        <v>73275.69</v>
      </c>
      <c r="H42" t="s">
        <v>589</v>
      </c>
    </row>
    <row r="43" spans="1:8" x14ac:dyDescent="0.3">
      <c r="A43" s="6">
        <v>45446</v>
      </c>
      <c r="B43" s="6">
        <v>45446</v>
      </c>
      <c r="C43" t="s">
        <v>575</v>
      </c>
      <c r="D43" t="s">
        <v>545</v>
      </c>
      <c r="E43" s="1">
        <v>40</v>
      </c>
      <c r="F43" s="1">
        <v>0</v>
      </c>
      <c r="G43" s="1">
        <v>73235.69</v>
      </c>
      <c r="H43" t="s">
        <v>589</v>
      </c>
    </row>
    <row r="44" spans="1:8" x14ac:dyDescent="0.3">
      <c r="A44" s="6">
        <v>45446</v>
      </c>
      <c r="B44" s="6">
        <v>45446</v>
      </c>
      <c r="C44" t="s">
        <v>576</v>
      </c>
      <c r="D44" t="s">
        <v>577</v>
      </c>
      <c r="E44" s="1">
        <v>0</v>
      </c>
      <c r="F44" s="1">
        <v>40</v>
      </c>
      <c r="G44" s="1">
        <v>73275.69</v>
      </c>
      <c r="H44" t="s">
        <v>589</v>
      </c>
    </row>
    <row r="45" spans="1:8" x14ac:dyDescent="0.3">
      <c r="A45" s="6">
        <v>45452</v>
      </c>
      <c r="B45" s="6">
        <v>45452</v>
      </c>
      <c r="C45" t="s">
        <v>578</v>
      </c>
      <c r="D45" t="s">
        <v>556</v>
      </c>
      <c r="E45" s="1">
        <v>200</v>
      </c>
      <c r="F45" s="1">
        <v>0</v>
      </c>
      <c r="G45" s="1">
        <v>73075.69</v>
      </c>
      <c r="H45" t="s">
        <v>589</v>
      </c>
    </row>
    <row r="46" spans="1:8" x14ac:dyDescent="0.3">
      <c r="A46" s="6">
        <v>45453</v>
      </c>
      <c r="B46" s="6">
        <v>45453</v>
      </c>
      <c r="C46" t="s">
        <v>579</v>
      </c>
      <c r="D46" t="s">
        <v>580</v>
      </c>
      <c r="E46" s="1">
        <v>0</v>
      </c>
      <c r="F46" s="1">
        <v>122.22</v>
      </c>
      <c r="G46" s="1">
        <v>73197.91</v>
      </c>
      <c r="H46" t="s">
        <v>228</v>
      </c>
    </row>
    <row r="47" spans="1:8" x14ac:dyDescent="0.3">
      <c r="A47" s="40">
        <v>45455</v>
      </c>
      <c r="B47" s="40">
        <v>45455</v>
      </c>
      <c r="C47" s="41" t="s">
        <v>581</v>
      </c>
      <c r="D47" s="41" t="s">
        <v>582</v>
      </c>
      <c r="E47" s="42">
        <v>1</v>
      </c>
      <c r="F47" s="42">
        <v>0</v>
      </c>
      <c r="G47" s="42">
        <v>73196.91</v>
      </c>
      <c r="H47" s="41" t="s">
        <v>747</v>
      </c>
    </row>
    <row r="48" spans="1:8" x14ac:dyDescent="0.3">
      <c r="A48" s="40">
        <v>45455</v>
      </c>
      <c r="B48" s="40">
        <v>45455</v>
      </c>
      <c r="C48" s="41" t="s">
        <v>583</v>
      </c>
      <c r="D48" s="41" t="s">
        <v>582</v>
      </c>
      <c r="E48" s="42">
        <v>30000</v>
      </c>
      <c r="F48" s="42">
        <v>0</v>
      </c>
      <c r="G48" s="42">
        <v>43196.91</v>
      </c>
      <c r="H48" s="41" t="s">
        <v>747</v>
      </c>
    </row>
    <row r="49" spans="1:8" x14ac:dyDescent="0.3">
      <c r="A49" s="6">
        <v>45461</v>
      </c>
      <c r="B49" s="6">
        <v>45461</v>
      </c>
      <c r="C49" t="s">
        <v>584</v>
      </c>
      <c r="D49" t="s">
        <v>547</v>
      </c>
      <c r="E49" s="1">
        <v>0</v>
      </c>
      <c r="F49" s="1">
        <v>500</v>
      </c>
      <c r="G49" s="1">
        <v>43696.91</v>
      </c>
      <c r="H49" t="s">
        <v>589</v>
      </c>
    </row>
    <row r="50" spans="1:8" x14ac:dyDescent="0.3">
      <c r="A50" s="6">
        <v>45468</v>
      </c>
      <c r="B50" s="6">
        <v>45468</v>
      </c>
      <c r="C50" t="s">
        <v>585</v>
      </c>
      <c r="D50" t="s">
        <v>574</v>
      </c>
      <c r="E50" s="1">
        <v>258</v>
      </c>
      <c r="F50" s="1">
        <v>0</v>
      </c>
      <c r="G50" s="1">
        <v>43438.91</v>
      </c>
      <c r="H50" t="s">
        <v>589</v>
      </c>
    </row>
    <row r="51" spans="1:8" x14ac:dyDescent="0.3">
      <c r="A51" s="6">
        <v>45468</v>
      </c>
      <c r="B51" s="6">
        <v>45468</v>
      </c>
      <c r="C51" t="s">
        <v>586</v>
      </c>
      <c r="D51" t="s">
        <v>252</v>
      </c>
      <c r="E51" s="1">
        <v>0</v>
      </c>
      <c r="F51" s="1">
        <v>441</v>
      </c>
      <c r="G51" s="1">
        <v>43879.91</v>
      </c>
      <c r="H51" t="s">
        <v>227</v>
      </c>
    </row>
    <row r="52" spans="1:8" x14ac:dyDescent="0.3">
      <c r="A52" s="6">
        <v>45471</v>
      </c>
      <c r="B52" s="6">
        <v>45471</v>
      </c>
      <c r="C52" t="s">
        <v>587</v>
      </c>
      <c r="D52" t="s">
        <v>252</v>
      </c>
      <c r="E52" s="1">
        <v>0</v>
      </c>
      <c r="F52" s="1">
        <v>45</v>
      </c>
      <c r="G52" s="1">
        <v>43924.91</v>
      </c>
      <c r="H52" t="s">
        <v>588</v>
      </c>
    </row>
    <row r="53" spans="1:8" x14ac:dyDescent="0.3">
      <c r="A53" s="6">
        <v>45476</v>
      </c>
      <c r="B53" s="6">
        <v>45476</v>
      </c>
      <c r="C53" t="s">
        <v>1411</v>
      </c>
      <c r="D53" t="s">
        <v>1412</v>
      </c>
      <c r="E53" s="1">
        <v>0</v>
      </c>
      <c r="F53" s="1">
        <v>11373.59</v>
      </c>
      <c r="G53" s="1">
        <v>55298.5</v>
      </c>
      <c r="H53" t="s">
        <v>508</v>
      </c>
    </row>
    <row r="54" spans="1:8" x14ac:dyDescent="0.3">
      <c r="A54" s="6">
        <v>45479</v>
      </c>
      <c r="B54" s="6">
        <v>45479</v>
      </c>
      <c r="C54" t="s">
        <v>1413</v>
      </c>
      <c r="D54" t="s">
        <v>1414</v>
      </c>
      <c r="E54" s="1">
        <v>5600</v>
      </c>
      <c r="F54" s="1">
        <v>0</v>
      </c>
      <c r="G54" s="1">
        <v>49698.5</v>
      </c>
      <c r="H54" t="s">
        <v>2528</v>
      </c>
    </row>
    <row r="55" spans="1:8" x14ac:dyDescent="0.3">
      <c r="A55" s="6">
        <v>45486</v>
      </c>
      <c r="B55" s="6">
        <v>45486</v>
      </c>
      <c r="C55" t="s">
        <v>1415</v>
      </c>
      <c r="D55" t="s">
        <v>1416</v>
      </c>
      <c r="E55" s="1">
        <v>4745</v>
      </c>
      <c r="F55" s="1">
        <v>0</v>
      </c>
      <c r="G55" s="1">
        <v>44953.5</v>
      </c>
      <c r="H55" t="s">
        <v>511</v>
      </c>
    </row>
    <row r="56" spans="1:8" x14ac:dyDescent="0.3">
      <c r="A56" s="6">
        <v>45486</v>
      </c>
      <c r="B56" s="6">
        <v>45486</v>
      </c>
      <c r="C56" t="s">
        <v>1417</v>
      </c>
      <c r="D56" t="s">
        <v>1416</v>
      </c>
      <c r="E56" s="1">
        <v>35</v>
      </c>
      <c r="F56" s="1">
        <v>0</v>
      </c>
      <c r="G56" s="1">
        <v>44918.5</v>
      </c>
      <c r="H56" t="s">
        <v>511</v>
      </c>
    </row>
    <row r="57" spans="1:8" x14ac:dyDescent="0.3">
      <c r="A57" s="6">
        <v>45487</v>
      </c>
      <c r="B57" s="6">
        <v>45487</v>
      </c>
      <c r="C57" t="s">
        <v>1418</v>
      </c>
      <c r="D57" t="s">
        <v>1419</v>
      </c>
      <c r="E57" s="1">
        <v>0</v>
      </c>
      <c r="F57" s="1">
        <v>10</v>
      </c>
      <c r="G57" s="1">
        <v>44928.5</v>
      </c>
      <c r="H57" t="s">
        <v>511</v>
      </c>
    </row>
    <row r="58" spans="1:8" x14ac:dyDescent="0.3">
      <c r="A58" s="6">
        <v>45487</v>
      </c>
      <c r="B58" s="6">
        <v>45487</v>
      </c>
      <c r="C58" t="s">
        <v>1420</v>
      </c>
      <c r="D58" t="s">
        <v>1419</v>
      </c>
      <c r="E58" s="1">
        <v>0</v>
      </c>
      <c r="F58" s="1">
        <v>10</v>
      </c>
      <c r="G58" s="1">
        <v>44938.5</v>
      </c>
      <c r="H58" t="s">
        <v>511</v>
      </c>
    </row>
    <row r="59" spans="1:8" x14ac:dyDescent="0.3">
      <c r="A59" s="6">
        <v>45488</v>
      </c>
      <c r="B59" s="6">
        <v>45488</v>
      </c>
      <c r="C59" t="s">
        <v>1421</v>
      </c>
      <c r="D59" t="s">
        <v>1422</v>
      </c>
      <c r="E59" s="1">
        <v>0</v>
      </c>
      <c r="F59" s="1">
        <v>500</v>
      </c>
      <c r="G59" s="1">
        <v>45438.5</v>
      </c>
      <c r="H59" t="s">
        <v>511</v>
      </c>
    </row>
    <row r="60" spans="1:8" x14ac:dyDescent="0.3">
      <c r="A60" s="6">
        <v>45492</v>
      </c>
      <c r="B60" s="6">
        <v>45492</v>
      </c>
      <c r="C60" t="s">
        <v>1423</v>
      </c>
      <c r="D60" t="s">
        <v>252</v>
      </c>
      <c r="E60" s="1">
        <v>0</v>
      </c>
      <c r="F60" s="1">
        <v>346.5</v>
      </c>
      <c r="G60" s="1">
        <v>45785</v>
      </c>
      <c r="H60" t="s">
        <v>588</v>
      </c>
    </row>
    <row r="61" spans="1:8" x14ac:dyDescent="0.3">
      <c r="A61" s="6">
        <v>45503</v>
      </c>
      <c r="B61" s="6">
        <v>45503</v>
      </c>
      <c r="C61" t="s">
        <v>1424</v>
      </c>
      <c r="D61" t="s">
        <v>252</v>
      </c>
      <c r="E61" s="1">
        <v>0</v>
      </c>
      <c r="F61" s="1">
        <v>150</v>
      </c>
      <c r="G61" s="1">
        <v>45935</v>
      </c>
      <c r="H61" t="s">
        <v>588</v>
      </c>
    </row>
    <row r="62" spans="1:8" x14ac:dyDescent="0.3">
      <c r="A62" s="6">
        <v>45509</v>
      </c>
      <c r="B62" s="6">
        <v>45509</v>
      </c>
      <c r="C62" t="s">
        <v>1425</v>
      </c>
      <c r="D62" t="s">
        <v>545</v>
      </c>
      <c r="E62" s="1">
        <v>428</v>
      </c>
      <c r="F62" s="1">
        <v>0</v>
      </c>
      <c r="G62" s="1">
        <v>45507</v>
      </c>
      <c r="H62" t="s">
        <v>511</v>
      </c>
    </row>
    <row r="63" spans="1:8" x14ac:dyDescent="0.3">
      <c r="A63" s="6">
        <v>45510</v>
      </c>
      <c r="B63" s="6">
        <v>45510</v>
      </c>
      <c r="C63" t="s">
        <v>1426</v>
      </c>
      <c r="D63" t="s">
        <v>252</v>
      </c>
      <c r="E63" s="1">
        <v>0</v>
      </c>
      <c r="F63" s="1">
        <v>22.5</v>
      </c>
      <c r="G63" s="1">
        <v>45529.5</v>
      </c>
      <c r="H63" t="s">
        <v>588</v>
      </c>
    </row>
    <row r="64" spans="1:8" x14ac:dyDescent="0.3">
      <c r="A64" s="6">
        <v>45525</v>
      </c>
      <c r="B64" s="6">
        <v>45525</v>
      </c>
      <c r="C64" t="s">
        <v>1427</v>
      </c>
      <c r="D64" t="s">
        <v>252</v>
      </c>
      <c r="E64" s="1">
        <v>0</v>
      </c>
      <c r="F64" s="1">
        <v>110</v>
      </c>
      <c r="G64" s="1">
        <v>45639.5</v>
      </c>
      <c r="H64" t="s">
        <v>588</v>
      </c>
    </row>
    <row r="65" spans="1:8" x14ac:dyDescent="0.3">
      <c r="A65" s="6">
        <v>45527</v>
      </c>
      <c r="B65" s="6">
        <v>45527</v>
      </c>
      <c r="C65" t="s">
        <v>1428</v>
      </c>
      <c r="D65" t="s">
        <v>252</v>
      </c>
      <c r="E65" s="1">
        <v>0</v>
      </c>
      <c r="F65" s="1">
        <v>231</v>
      </c>
      <c r="G65" s="1">
        <v>45870.5</v>
      </c>
      <c r="H65" t="s">
        <v>588</v>
      </c>
    </row>
    <row r="66" spans="1:8" x14ac:dyDescent="0.3">
      <c r="A66" s="6">
        <v>45529</v>
      </c>
      <c r="B66" s="6">
        <v>45529</v>
      </c>
      <c r="C66" t="s">
        <v>1429</v>
      </c>
      <c r="D66" t="s">
        <v>545</v>
      </c>
      <c r="E66" s="1">
        <v>793</v>
      </c>
      <c r="F66" s="1">
        <v>0</v>
      </c>
      <c r="G66" s="1">
        <v>45077.5</v>
      </c>
      <c r="H66" t="s">
        <v>511</v>
      </c>
    </row>
    <row r="67" spans="1:8" x14ac:dyDescent="0.3">
      <c r="A67" s="6">
        <v>45531</v>
      </c>
      <c r="B67" s="6">
        <v>45531</v>
      </c>
      <c r="C67" t="s">
        <v>1430</v>
      </c>
      <c r="D67" t="s">
        <v>558</v>
      </c>
      <c r="E67" s="1">
        <v>0</v>
      </c>
      <c r="F67" s="1">
        <v>220</v>
      </c>
      <c r="G67" s="1">
        <v>45297.5</v>
      </c>
      <c r="H67" t="s">
        <v>511</v>
      </c>
    </row>
    <row r="68" spans="1:8" x14ac:dyDescent="0.3">
      <c r="A68" s="6">
        <v>45533</v>
      </c>
      <c r="B68" s="6">
        <v>45533</v>
      </c>
      <c r="C68" t="s">
        <v>1431</v>
      </c>
      <c r="D68" t="s">
        <v>252</v>
      </c>
      <c r="E68" s="1">
        <v>0</v>
      </c>
      <c r="F68" s="1">
        <v>30</v>
      </c>
      <c r="G68" s="1">
        <v>45327.5</v>
      </c>
      <c r="H68" t="s">
        <v>588</v>
      </c>
    </row>
    <row r="69" spans="1:8" x14ac:dyDescent="0.3">
      <c r="A69" s="6">
        <v>45537</v>
      </c>
      <c r="B69" s="6">
        <v>45537</v>
      </c>
      <c r="C69" t="s">
        <v>1432</v>
      </c>
      <c r="D69" t="s">
        <v>252</v>
      </c>
      <c r="E69" s="1">
        <v>0</v>
      </c>
      <c r="F69" s="1">
        <v>15</v>
      </c>
      <c r="G69" s="1">
        <v>45342.5</v>
      </c>
      <c r="H69" t="s">
        <v>588</v>
      </c>
    </row>
    <row r="70" spans="1:8" x14ac:dyDescent="0.3">
      <c r="A70" s="6">
        <v>45540</v>
      </c>
      <c r="B70" s="6">
        <v>45540</v>
      </c>
      <c r="C70" t="s">
        <v>1433</v>
      </c>
      <c r="D70" t="s">
        <v>572</v>
      </c>
      <c r="E70" s="1">
        <v>0</v>
      </c>
      <c r="F70" s="1">
        <v>311</v>
      </c>
      <c r="G70" s="1">
        <v>45653.5</v>
      </c>
      <c r="H70" t="s">
        <v>511</v>
      </c>
    </row>
    <row r="71" spans="1:8" x14ac:dyDescent="0.3">
      <c r="A71" s="6">
        <v>45543</v>
      </c>
      <c r="B71" s="6">
        <v>45543</v>
      </c>
      <c r="C71" t="s">
        <v>1434</v>
      </c>
      <c r="D71" t="s">
        <v>1422</v>
      </c>
      <c r="E71" s="1">
        <v>0</v>
      </c>
      <c r="F71" s="1">
        <v>450</v>
      </c>
      <c r="G71" s="1">
        <v>46103.5</v>
      </c>
      <c r="H71" t="s">
        <v>511</v>
      </c>
    </row>
    <row r="72" spans="1:8" x14ac:dyDescent="0.3">
      <c r="A72" s="6">
        <v>45553</v>
      </c>
      <c r="B72" s="6">
        <v>45553</v>
      </c>
      <c r="C72" t="s">
        <v>1435</v>
      </c>
      <c r="D72" t="s">
        <v>564</v>
      </c>
      <c r="E72" s="1">
        <v>292</v>
      </c>
      <c r="F72" s="1">
        <v>0</v>
      </c>
      <c r="G72" s="1">
        <v>45811.5</v>
      </c>
      <c r="H72" t="s">
        <v>511</v>
      </c>
    </row>
    <row r="73" spans="1:8" x14ac:dyDescent="0.3">
      <c r="A73" s="6">
        <v>45555</v>
      </c>
      <c r="B73" s="6">
        <v>45555</v>
      </c>
      <c r="C73" t="s">
        <v>1436</v>
      </c>
      <c r="D73" t="s">
        <v>1416</v>
      </c>
      <c r="E73" s="1">
        <v>20</v>
      </c>
      <c r="F73" s="1">
        <v>0</v>
      </c>
      <c r="G73" s="1">
        <v>45791.5</v>
      </c>
      <c r="H73" t="s">
        <v>511</v>
      </c>
    </row>
    <row r="74" spans="1:8" x14ac:dyDescent="0.3">
      <c r="A74" s="6">
        <v>45557</v>
      </c>
      <c r="B74" s="6">
        <v>45557</v>
      </c>
      <c r="C74" t="s">
        <v>1437</v>
      </c>
      <c r="D74" t="s">
        <v>545</v>
      </c>
      <c r="E74" s="1">
        <v>1000</v>
      </c>
      <c r="F74" s="1">
        <v>0</v>
      </c>
      <c r="G74" s="1">
        <v>44791.5</v>
      </c>
      <c r="H74" t="s">
        <v>511</v>
      </c>
    </row>
    <row r="75" spans="1:8" x14ac:dyDescent="0.3">
      <c r="A75" s="6">
        <v>45560</v>
      </c>
      <c r="B75" s="6">
        <v>45560</v>
      </c>
      <c r="C75" t="s">
        <v>586</v>
      </c>
      <c r="D75" t="s">
        <v>252</v>
      </c>
      <c r="E75" s="1">
        <v>0</v>
      </c>
      <c r="F75" s="1">
        <v>313</v>
      </c>
      <c r="G75" s="1">
        <v>45104.5</v>
      </c>
      <c r="H75" t="s">
        <v>227</v>
      </c>
    </row>
    <row r="76" spans="1:8" x14ac:dyDescent="0.3">
      <c r="A76" s="6">
        <v>45562</v>
      </c>
      <c r="B76" s="6">
        <v>45562</v>
      </c>
      <c r="C76" t="s">
        <v>1438</v>
      </c>
      <c r="D76" t="s">
        <v>1416</v>
      </c>
      <c r="E76" s="1">
        <v>312</v>
      </c>
      <c r="F76" s="1">
        <v>0</v>
      </c>
      <c r="G76" s="1">
        <v>44792.5</v>
      </c>
      <c r="H76" t="s">
        <v>511</v>
      </c>
    </row>
    <row r="77" spans="1:8" x14ac:dyDescent="0.3">
      <c r="A77" s="6">
        <v>45562</v>
      </c>
      <c r="B77" s="6">
        <v>45562</v>
      </c>
      <c r="C77" t="s">
        <v>1439</v>
      </c>
      <c r="D77" t="s">
        <v>1440</v>
      </c>
      <c r="E77" s="1">
        <v>0</v>
      </c>
      <c r="F77" s="1">
        <v>312</v>
      </c>
      <c r="G77" s="1">
        <v>45104.5</v>
      </c>
      <c r="H77" t="s">
        <v>511</v>
      </c>
    </row>
    <row r="78" spans="1:8" x14ac:dyDescent="0.3">
      <c r="A78" s="6">
        <v>45565</v>
      </c>
      <c r="B78" s="6">
        <v>45565</v>
      </c>
      <c r="C78" t="s">
        <v>1441</v>
      </c>
      <c r="D78" t="s">
        <v>547</v>
      </c>
      <c r="E78" s="1">
        <v>0</v>
      </c>
      <c r="F78" s="1">
        <v>80</v>
      </c>
      <c r="G78" s="1">
        <v>45184.5</v>
      </c>
      <c r="H78" t="s">
        <v>511</v>
      </c>
    </row>
    <row r="79" spans="1:8" x14ac:dyDescent="0.3">
      <c r="A79" s="6">
        <v>45566</v>
      </c>
      <c r="B79" s="6">
        <v>45566</v>
      </c>
      <c r="C79" t="s">
        <v>1442</v>
      </c>
      <c r="D79" t="s">
        <v>558</v>
      </c>
      <c r="E79" s="1">
        <v>0</v>
      </c>
      <c r="F79" s="1">
        <v>35</v>
      </c>
      <c r="G79" s="1">
        <v>45219.5</v>
      </c>
      <c r="H79" t="s">
        <v>511</v>
      </c>
    </row>
    <row r="80" spans="1:8" x14ac:dyDescent="0.3">
      <c r="A80" s="6">
        <v>45568</v>
      </c>
      <c r="B80" s="6">
        <v>45568</v>
      </c>
      <c r="C80" t="s">
        <v>1443</v>
      </c>
      <c r="D80" t="s">
        <v>1444</v>
      </c>
      <c r="E80" s="1">
        <v>5000</v>
      </c>
      <c r="F80" s="1">
        <v>0</v>
      </c>
      <c r="G80" s="1">
        <v>40219.5</v>
      </c>
      <c r="H80" t="s">
        <v>511</v>
      </c>
    </row>
    <row r="81" spans="1:8" x14ac:dyDescent="0.3">
      <c r="A81" s="6">
        <v>45568</v>
      </c>
      <c r="B81" s="6">
        <v>45568</v>
      </c>
      <c r="C81" t="s">
        <v>1445</v>
      </c>
      <c r="D81" t="s">
        <v>1444</v>
      </c>
      <c r="E81" s="1">
        <v>5000</v>
      </c>
      <c r="F81" s="1">
        <v>0</v>
      </c>
      <c r="G81" s="1">
        <v>35219.5</v>
      </c>
      <c r="H81" t="s">
        <v>511</v>
      </c>
    </row>
    <row r="82" spans="1:8" x14ac:dyDescent="0.3">
      <c r="A82" s="6">
        <v>45568</v>
      </c>
      <c r="B82" s="6">
        <v>45568</v>
      </c>
      <c r="C82" t="s">
        <v>1446</v>
      </c>
      <c r="D82" t="s">
        <v>1444</v>
      </c>
      <c r="E82" s="1">
        <v>3000</v>
      </c>
      <c r="F82" s="1">
        <v>0</v>
      </c>
      <c r="G82" s="1">
        <v>32219.5</v>
      </c>
      <c r="H82" t="s">
        <v>511</v>
      </c>
    </row>
    <row r="83" spans="1:8" x14ac:dyDescent="0.3">
      <c r="A83" s="6">
        <v>45568</v>
      </c>
      <c r="B83" s="6">
        <v>45568</v>
      </c>
      <c r="C83" t="s">
        <v>1447</v>
      </c>
      <c r="D83" t="s">
        <v>1444</v>
      </c>
      <c r="E83" s="1">
        <v>9000</v>
      </c>
      <c r="F83" s="1">
        <v>0</v>
      </c>
      <c r="G83" s="1">
        <v>23219.5</v>
      </c>
      <c r="H83" t="s">
        <v>511</v>
      </c>
    </row>
    <row r="84" spans="1:8" x14ac:dyDescent="0.3">
      <c r="A84" s="6">
        <v>45568</v>
      </c>
      <c r="B84" s="6">
        <v>45568</v>
      </c>
      <c r="C84" t="s">
        <v>1448</v>
      </c>
      <c r="D84" t="s">
        <v>1440</v>
      </c>
      <c r="E84" s="1">
        <v>0</v>
      </c>
      <c r="F84" s="1">
        <v>22000</v>
      </c>
      <c r="G84" s="1">
        <v>45219.5</v>
      </c>
      <c r="H84" t="s">
        <v>511</v>
      </c>
    </row>
    <row r="85" spans="1:8" x14ac:dyDescent="0.3">
      <c r="A85" s="6">
        <v>45570</v>
      </c>
      <c r="B85" s="6">
        <v>45570</v>
      </c>
      <c r="C85" t="s">
        <v>1449</v>
      </c>
      <c r="D85" t="s">
        <v>1450</v>
      </c>
      <c r="E85" s="1">
        <v>0</v>
      </c>
      <c r="F85" s="1">
        <v>3078.82</v>
      </c>
      <c r="G85" s="1">
        <v>48298.32</v>
      </c>
      <c r="H85" t="s">
        <v>508</v>
      </c>
    </row>
    <row r="86" spans="1:8" x14ac:dyDescent="0.3">
      <c r="A86" s="6">
        <v>45572</v>
      </c>
      <c r="B86" s="6">
        <v>45572</v>
      </c>
      <c r="C86" t="s">
        <v>1451</v>
      </c>
      <c r="D86" t="s">
        <v>574</v>
      </c>
      <c r="E86" s="1">
        <v>5000</v>
      </c>
      <c r="F86" s="1">
        <v>0</v>
      </c>
      <c r="G86" s="1">
        <v>43298.32</v>
      </c>
      <c r="H86" t="s">
        <v>511</v>
      </c>
    </row>
    <row r="87" spans="1:8" x14ac:dyDescent="0.3">
      <c r="A87" s="6">
        <v>45584</v>
      </c>
      <c r="B87" s="6">
        <v>45584</v>
      </c>
      <c r="C87" t="s">
        <v>1452</v>
      </c>
      <c r="D87" t="s">
        <v>1419</v>
      </c>
      <c r="E87" s="1">
        <v>0</v>
      </c>
      <c r="F87" s="1">
        <v>30</v>
      </c>
      <c r="G87" s="1">
        <v>43328.32</v>
      </c>
      <c r="H87" t="s">
        <v>511</v>
      </c>
    </row>
    <row r="88" spans="1:8" x14ac:dyDescent="0.3">
      <c r="A88" s="6">
        <v>45587</v>
      </c>
      <c r="B88" s="6">
        <v>45587</v>
      </c>
      <c r="C88" t="s">
        <v>1453</v>
      </c>
      <c r="D88" t="s">
        <v>252</v>
      </c>
      <c r="E88" s="1">
        <v>0</v>
      </c>
      <c r="F88" s="1">
        <v>50</v>
      </c>
      <c r="G88" s="1">
        <v>43378.32</v>
      </c>
      <c r="H88" t="s">
        <v>588</v>
      </c>
    </row>
    <row r="89" spans="1:8" x14ac:dyDescent="0.3">
      <c r="A89" s="6">
        <v>45617</v>
      </c>
      <c r="B89" s="6">
        <v>45617</v>
      </c>
      <c r="C89" t="s">
        <v>1454</v>
      </c>
      <c r="D89" t="s">
        <v>572</v>
      </c>
      <c r="E89" s="1">
        <v>0</v>
      </c>
      <c r="F89" s="1">
        <v>120</v>
      </c>
      <c r="G89" s="1">
        <v>43498.32</v>
      </c>
      <c r="H89" t="s">
        <v>511</v>
      </c>
    </row>
    <row r="90" spans="1:8" x14ac:dyDescent="0.3">
      <c r="A90" s="6">
        <v>45635</v>
      </c>
      <c r="B90" s="6">
        <v>45635</v>
      </c>
      <c r="C90" t="s">
        <v>1455</v>
      </c>
      <c r="D90" t="s">
        <v>547</v>
      </c>
      <c r="E90" s="1">
        <v>0</v>
      </c>
      <c r="F90" s="1">
        <v>20</v>
      </c>
      <c r="G90" s="1">
        <v>43518.32</v>
      </c>
      <c r="H90" t="s">
        <v>511</v>
      </c>
    </row>
    <row r="91" spans="1:8" x14ac:dyDescent="0.3">
      <c r="A91" s="6">
        <v>45636</v>
      </c>
      <c r="B91" s="6">
        <v>45636</v>
      </c>
      <c r="C91" t="s">
        <v>1456</v>
      </c>
      <c r="D91" t="s">
        <v>1457</v>
      </c>
      <c r="E91" s="1">
        <v>0</v>
      </c>
      <c r="F91" s="1">
        <v>2084.2600000000002</v>
      </c>
      <c r="G91" s="1">
        <v>45602.58</v>
      </c>
      <c r="H91" t="s">
        <v>2530</v>
      </c>
    </row>
    <row r="92" spans="1:8" x14ac:dyDescent="0.3">
      <c r="A92" s="6">
        <v>45651</v>
      </c>
      <c r="B92" s="6">
        <v>45651</v>
      </c>
      <c r="C92" t="s">
        <v>586</v>
      </c>
      <c r="D92" t="s">
        <v>252</v>
      </c>
      <c r="E92" s="1">
        <v>0</v>
      </c>
      <c r="F92" s="1">
        <v>296</v>
      </c>
      <c r="G92" s="1">
        <v>45898.58</v>
      </c>
      <c r="H92" t="s">
        <v>227</v>
      </c>
    </row>
    <row r="93" spans="1:8" x14ac:dyDescent="0.3">
      <c r="A93" s="6">
        <v>45682</v>
      </c>
      <c r="B93" s="6">
        <v>45682</v>
      </c>
      <c r="C93" t="s">
        <v>1458</v>
      </c>
      <c r="D93" t="s">
        <v>556</v>
      </c>
      <c r="E93" s="1">
        <v>5000</v>
      </c>
      <c r="F93" s="1">
        <v>0</v>
      </c>
      <c r="G93" s="1">
        <v>40898.58</v>
      </c>
      <c r="H93" t="s">
        <v>511</v>
      </c>
    </row>
    <row r="94" spans="1:8" x14ac:dyDescent="0.3">
      <c r="A94" s="6">
        <v>45703</v>
      </c>
      <c r="B94" s="6">
        <v>45703</v>
      </c>
      <c r="C94" t="s">
        <v>1459</v>
      </c>
      <c r="D94" t="s">
        <v>556</v>
      </c>
      <c r="E94" s="1">
        <v>45</v>
      </c>
      <c r="F94" s="1">
        <v>0</v>
      </c>
      <c r="G94" s="1">
        <v>40853.58</v>
      </c>
      <c r="H94" t="s">
        <v>511</v>
      </c>
    </row>
    <row r="95" spans="1:8" x14ac:dyDescent="0.3">
      <c r="A95" s="6">
        <v>45704</v>
      </c>
      <c r="B95" s="6">
        <v>45704</v>
      </c>
      <c r="C95" t="s">
        <v>1460</v>
      </c>
      <c r="D95" t="s">
        <v>556</v>
      </c>
      <c r="E95" s="1">
        <v>38</v>
      </c>
      <c r="F95" s="1">
        <v>0</v>
      </c>
      <c r="G95" s="1">
        <v>40815.58</v>
      </c>
      <c r="H95" t="s">
        <v>511</v>
      </c>
    </row>
    <row r="96" spans="1:8" x14ac:dyDescent="0.3">
      <c r="A96" s="6">
        <v>45711</v>
      </c>
      <c r="B96" s="6">
        <v>45711</v>
      </c>
      <c r="C96" t="s">
        <v>1461</v>
      </c>
      <c r="D96" t="s">
        <v>545</v>
      </c>
      <c r="E96" s="1">
        <v>15250</v>
      </c>
      <c r="F96" s="1">
        <v>0</v>
      </c>
      <c r="G96" s="1">
        <v>25565.58</v>
      </c>
      <c r="H96" t="s">
        <v>511</v>
      </c>
    </row>
    <row r="97" spans="1:8" x14ac:dyDescent="0.3">
      <c r="A97" s="6">
        <v>45713</v>
      </c>
      <c r="B97" s="6">
        <v>45713</v>
      </c>
      <c r="C97" t="s">
        <v>1462</v>
      </c>
      <c r="D97" t="s">
        <v>582</v>
      </c>
      <c r="E97" s="1">
        <v>606.54</v>
      </c>
      <c r="F97" s="1">
        <v>0</v>
      </c>
      <c r="G97" s="1">
        <v>24959.040000000001</v>
      </c>
      <c r="H97" t="s">
        <v>511</v>
      </c>
    </row>
    <row r="98" spans="1:8" x14ac:dyDescent="0.3">
      <c r="A98" s="6">
        <v>45714</v>
      </c>
      <c r="B98" s="6">
        <v>45714</v>
      </c>
      <c r="C98" t="s">
        <v>1463</v>
      </c>
      <c r="D98" t="s">
        <v>564</v>
      </c>
      <c r="E98" s="1">
        <v>78</v>
      </c>
      <c r="F98" s="1">
        <v>0</v>
      </c>
      <c r="G98" s="1">
        <v>24881.040000000001</v>
      </c>
      <c r="H98" t="s">
        <v>511</v>
      </c>
    </row>
    <row r="99" spans="1:8" x14ac:dyDescent="0.3">
      <c r="A99" s="6">
        <v>45714</v>
      </c>
      <c r="B99" s="6">
        <v>45714</v>
      </c>
      <c r="C99" t="s">
        <v>1464</v>
      </c>
      <c r="D99" t="s">
        <v>564</v>
      </c>
      <c r="E99" s="1">
        <v>10</v>
      </c>
      <c r="F99" s="1">
        <v>0</v>
      </c>
      <c r="G99" s="1">
        <v>24871.040000000001</v>
      </c>
      <c r="H99" t="s">
        <v>511</v>
      </c>
    </row>
    <row r="100" spans="1:8" x14ac:dyDescent="0.3">
      <c r="A100" s="6">
        <v>45714</v>
      </c>
      <c r="B100" s="6">
        <v>45714</v>
      </c>
      <c r="C100" t="s">
        <v>1465</v>
      </c>
      <c r="D100" t="s">
        <v>564</v>
      </c>
      <c r="E100" s="1">
        <v>5</v>
      </c>
      <c r="F100" s="1">
        <v>0</v>
      </c>
      <c r="G100" s="1">
        <v>24866.04</v>
      </c>
      <c r="H100" t="s">
        <v>511</v>
      </c>
    </row>
    <row r="101" spans="1:8" x14ac:dyDescent="0.3">
      <c r="A101" s="6">
        <v>45714</v>
      </c>
      <c r="B101" s="6">
        <v>45714</v>
      </c>
      <c r="C101" t="s">
        <v>1466</v>
      </c>
      <c r="D101" t="s">
        <v>564</v>
      </c>
      <c r="E101" s="1">
        <v>440</v>
      </c>
      <c r="F101" s="1">
        <v>0</v>
      </c>
      <c r="G101" s="1">
        <v>24426.04</v>
      </c>
      <c r="H101" t="s">
        <v>511</v>
      </c>
    </row>
    <row r="102" spans="1:8" x14ac:dyDescent="0.3">
      <c r="A102" s="6">
        <v>45714</v>
      </c>
      <c r="B102" s="6">
        <v>45714</v>
      </c>
      <c r="C102" t="s">
        <v>1467</v>
      </c>
      <c r="D102" t="s">
        <v>564</v>
      </c>
      <c r="E102" s="1">
        <v>7000</v>
      </c>
      <c r="F102" s="1">
        <v>0</v>
      </c>
      <c r="G102" s="1">
        <v>17426.04</v>
      </c>
      <c r="H102" t="s">
        <v>511</v>
      </c>
    </row>
    <row r="103" spans="1:8" x14ac:dyDescent="0.3">
      <c r="A103" s="6">
        <v>45715</v>
      </c>
      <c r="B103" s="6">
        <v>45715</v>
      </c>
      <c r="C103" t="s">
        <v>1468</v>
      </c>
      <c r="D103" t="s">
        <v>572</v>
      </c>
      <c r="E103" s="1">
        <v>0</v>
      </c>
      <c r="F103" s="1">
        <v>20000</v>
      </c>
      <c r="G103" s="1">
        <v>37426.04</v>
      </c>
      <c r="H103" t="s">
        <v>511</v>
      </c>
    </row>
    <row r="104" spans="1:8" x14ac:dyDescent="0.3">
      <c r="A104" s="6">
        <v>45716</v>
      </c>
      <c r="B104" s="6">
        <v>45716</v>
      </c>
      <c r="C104" t="s">
        <v>1469</v>
      </c>
      <c r="D104" t="s">
        <v>1416</v>
      </c>
      <c r="E104" s="1">
        <v>140.30000000000001</v>
      </c>
      <c r="F104" s="1">
        <v>0</v>
      </c>
      <c r="G104" s="1">
        <v>37285.74</v>
      </c>
      <c r="H104" t="s">
        <v>511</v>
      </c>
    </row>
    <row r="105" spans="1:8" x14ac:dyDescent="0.3">
      <c r="A105" s="6">
        <v>45716</v>
      </c>
      <c r="B105" s="6">
        <v>45716</v>
      </c>
      <c r="C105" t="s">
        <v>1470</v>
      </c>
      <c r="D105" t="s">
        <v>1416</v>
      </c>
      <c r="E105" s="1">
        <v>100</v>
      </c>
      <c r="F105" s="1">
        <v>0</v>
      </c>
      <c r="G105" s="1">
        <v>37185.74</v>
      </c>
      <c r="H105" t="s">
        <v>511</v>
      </c>
    </row>
    <row r="106" spans="1:8" x14ac:dyDescent="0.3">
      <c r="A106" s="6">
        <v>45717</v>
      </c>
      <c r="B106" s="6">
        <v>45717</v>
      </c>
      <c r="C106" t="s">
        <v>1471</v>
      </c>
      <c r="D106" t="s">
        <v>556</v>
      </c>
      <c r="E106" s="1">
        <v>50</v>
      </c>
      <c r="F106" s="1">
        <v>0</v>
      </c>
      <c r="G106" s="1">
        <v>37135.74</v>
      </c>
      <c r="H106" t="s">
        <v>511</v>
      </c>
    </row>
    <row r="107" spans="1:8" x14ac:dyDescent="0.3">
      <c r="A107" s="6">
        <v>45717</v>
      </c>
      <c r="B107" s="6">
        <v>45717</v>
      </c>
      <c r="C107" t="s">
        <v>1472</v>
      </c>
      <c r="D107" t="s">
        <v>556</v>
      </c>
      <c r="E107" s="1">
        <v>23000</v>
      </c>
      <c r="F107" s="1">
        <v>0</v>
      </c>
      <c r="G107" s="1">
        <v>14135.74</v>
      </c>
      <c r="H107" t="s">
        <v>511</v>
      </c>
    </row>
    <row r="108" spans="1:8" x14ac:dyDescent="0.3">
      <c r="A108" s="6">
        <v>45717</v>
      </c>
      <c r="B108" s="6">
        <v>45717</v>
      </c>
      <c r="C108" t="s">
        <v>1473</v>
      </c>
      <c r="D108" t="s">
        <v>556</v>
      </c>
      <c r="E108" s="1">
        <v>1000</v>
      </c>
      <c r="F108" s="1">
        <v>0</v>
      </c>
      <c r="G108" s="1">
        <v>13135.74</v>
      </c>
      <c r="H108" t="s">
        <v>511</v>
      </c>
    </row>
    <row r="109" spans="1:8" x14ac:dyDescent="0.3">
      <c r="A109" s="6">
        <v>45718</v>
      </c>
      <c r="B109" s="6">
        <v>45718</v>
      </c>
      <c r="C109" t="s">
        <v>1474</v>
      </c>
      <c r="D109" t="s">
        <v>545</v>
      </c>
      <c r="E109" s="1">
        <v>1000</v>
      </c>
      <c r="F109" s="1">
        <v>0</v>
      </c>
      <c r="G109" s="1">
        <v>12135.74</v>
      </c>
      <c r="H109" t="s">
        <v>511</v>
      </c>
    </row>
    <row r="110" spans="1:8" x14ac:dyDescent="0.3">
      <c r="A110" s="6">
        <v>45718</v>
      </c>
      <c r="B110" s="6">
        <v>45718</v>
      </c>
      <c r="C110" t="s">
        <v>1475</v>
      </c>
      <c r="D110" t="s">
        <v>545</v>
      </c>
      <c r="E110" s="1">
        <v>50</v>
      </c>
      <c r="F110" s="1">
        <v>0</v>
      </c>
      <c r="G110" s="1">
        <v>12085.74</v>
      </c>
      <c r="H110" t="s">
        <v>511</v>
      </c>
    </row>
    <row r="111" spans="1:8" x14ac:dyDescent="0.3">
      <c r="A111" s="6">
        <v>45718</v>
      </c>
      <c r="B111" s="6">
        <v>45718</v>
      </c>
      <c r="C111" t="s">
        <v>1476</v>
      </c>
      <c r="D111" t="s">
        <v>545</v>
      </c>
      <c r="E111" s="1">
        <v>100</v>
      </c>
      <c r="F111" s="1">
        <v>0</v>
      </c>
      <c r="G111" s="1">
        <v>11985.74</v>
      </c>
      <c r="H111" t="s">
        <v>511</v>
      </c>
    </row>
    <row r="112" spans="1:8" x14ac:dyDescent="0.3">
      <c r="A112" s="6">
        <v>45718</v>
      </c>
      <c r="B112" s="6">
        <v>45718</v>
      </c>
      <c r="C112" t="s">
        <v>1477</v>
      </c>
      <c r="D112" t="s">
        <v>545</v>
      </c>
      <c r="E112" s="1">
        <v>105</v>
      </c>
      <c r="F112" s="1">
        <v>0</v>
      </c>
      <c r="G112" s="1">
        <v>11880.74</v>
      </c>
      <c r="H112" t="s">
        <v>511</v>
      </c>
    </row>
    <row r="113" spans="1:8" x14ac:dyDescent="0.3">
      <c r="A113" s="6">
        <v>45718</v>
      </c>
      <c r="B113" s="6">
        <v>45718</v>
      </c>
      <c r="C113" t="s">
        <v>1478</v>
      </c>
      <c r="D113" t="s">
        <v>545</v>
      </c>
      <c r="E113" s="1">
        <v>59</v>
      </c>
      <c r="F113" s="1">
        <v>0</v>
      </c>
      <c r="G113" s="1">
        <v>11821.74</v>
      </c>
      <c r="H113" t="s">
        <v>511</v>
      </c>
    </row>
    <row r="114" spans="1:8" x14ac:dyDescent="0.3">
      <c r="A114" s="6">
        <v>45719</v>
      </c>
      <c r="B114" s="6">
        <v>45719</v>
      </c>
      <c r="C114" t="s">
        <v>1479</v>
      </c>
      <c r="D114" t="s">
        <v>1480</v>
      </c>
      <c r="E114" s="1">
        <v>0</v>
      </c>
      <c r="F114" s="1">
        <v>1</v>
      </c>
      <c r="G114" s="1">
        <v>11822.74</v>
      </c>
      <c r="H114" t="s">
        <v>228</v>
      </c>
    </row>
    <row r="115" spans="1:8" x14ac:dyDescent="0.3">
      <c r="A115" s="6">
        <v>45719</v>
      </c>
      <c r="B115" s="6">
        <v>45719</v>
      </c>
      <c r="C115" t="s">
        <v>1481</v>
      </c>
      <c r="D115" t="s">
        <v>574</v>
      </c>
      <c r="E115" s="1">
        <v>1000</v>
      </c>
      <c r="F115" s="1">
        <v>0</v>
      </c>
      <c r="G115" s="1">
        <v>10822.74</v>
      </c>
      <c r="H115" t="s">
        <v>511</v>
      </c>
    </row>
    <row r="116" spans="1:8" x14ac:dyDescent="0.3">
      <c r="A116" s="6">
        <v>45719</v>
      </c>
      <c r="B116" s="6">
        <v>45719</v>
      </c>
      <c r="C116" t="s">
        <v>1482</v>
      </c>
      <c r="D116" t="s">
        <v>547</v>
      </c>
      <c r="E116" s="1">
        <v>0</v>
      </c>
      <c r="F116" s="1">
        <v>41850</v>
      </c>
      <c r="G116" s="1">
        <v>52672.74</v>
      </c>
      <c r="H116" t="s">
        <v>511</v>
      </c>
    </row>
    <row r="117" spans="1:8" x14ac:dyDescent="0.3">
      <c r="A117" s="6">
        <v>45719</v>
      </c>
      <c r="B117" s="6">
        <v>45719</v>
      </c>
      <c r="C117" t="s">
        <v>1483</v>
      </c>
      <c r="D117" t="s">
        <v>1484</v>
      </c>
      <c r="E117" s="1">
        <v>26023</v>
      </c>
      <c r="F117" s="1">
        <v>0</v>
      </c>
      <c r="G117" s="1">
        <v>26649.74</v>
      </c>
      <c r="H117" t="s">
        <v>2529</v>
      </c>
    </row>
    <row r="118" spans="1:8" x14ac:dyDescent="0.3">
      <c r="A118" s="6">
        <v>45720</v>
      </c>
      <c r="B118" s="6">
        <v>45720</v>
      </c>
      <c r="C118" t="s">
        <v>1485</v>
      </c>
      <c r="D118" t="s">
        <v>582</v>
      </c>
      <c r="E118" s="1">
        <v>1000</v>
      </c>
      <c r="F118" s="1">
        <v>0</v>
      </c>
      <c r="G118" s="1">
        <v>25649.74</v>
      </c>
      <c r="H118" t="s">
        <v>511</v>
      </c>
    </row>
    <row r="119" spans="1:8" x14ac:dyDescent="0.3">
      <c r="A119" s="6">
        <v>45720</v>
      </c>
      <c r="B119" s="6">
        <v>45720</v>
      </c>
      <c r="C119" t="s">
        <v>1486</v>
      </c>
      <c r="D119" t="s">
        <v>582</v>
      </c>
      <c r="E119" s="1">
        <v>3000</v>
      </c>
      <c r="F119" s="1">
        <v>0</v>
      </c>
      <c r="G119" s="1">
        <v>22649.74</v>
      </c>
      <c r="H119" t="s">
        <v>511</v>
      </c>
    </row>
    <row r="120" spans="1:8" x14ac:dyDescent="0.3">
      <c r="A120" s="6">
        <v>45720</v>
      </c>
      <c r="B120" s="6">
        <v>45720</v>
      </c>
      <c r="C120" t="s">
        <v>1487</v>
      </c>
      <c r="D120" t="s">
        <v>582</v>
      </c>
      <c r="E120" s="1">
        <v>139</v>
      </c>
      <c r="F120" s="1">
        <v>0</v>
      </c>
      <c r="G120" s="1">
        <v>22510.74</v>
      </c>
      <c r="H120" t="s">
        <v>511</v>
      </c>
    </row>
    <row r="121" spans="1:8" x14ac:dyDescent="0.3">
      <c r="A121" s="6">
        <v>45721</v>
      </c>
      <c r="B121" s="6">
        <v>45721</v>
      </c>
      <c r="C121" t="s">
        <v>1488</v>
      </c>
      <c r="D121" t="s">
        <v>564</v>
      </c>
      <c r="E121" s="1">
        <v>1500</v>
      </c>
      <c r="F121" s="1">
        <v>0</v>
      </c>
      <c r="G121" s="1">
        <v>21010.74</v>
      </c>
      <c r="H121" t="s">
        <v>511</v>
      </c>
    </row>
    <row r="122" spans="1:8" x14ac:dyDescent="0.3">
      <c r="A122" s="6">
        <v>45721</v>
      </c>
      <c r="B122" s="6">
        <v>45721</v>
      </c>
      <c r="C122" t="s">
        <v>1489</v>
      </c>
      <c r="D122" t="s">
        <v>564</v>
      </c>
      <c r="E122" s="1">
        <v>50</v>
      </c>
      <c r="F122" s="1">
        <v>0</v>
      </c>
      <c r="G122" s="1">
        <v>20960.740000000002</v>
      </c>
      <c r="H122" t="s">
        <v>511</v>
      </c>
    </row>
    <row r="123" spans="1:8" x14ac:dyDescent="0.3">
      <c r="A123" s="6">
        <v>45722</v>
      </c>
      <c r="B123" s="6">
        <v>45722</v>
      </c>
      <c r="C123" t="s">
        <v>1490</v>
      </c>
      <c r="D123" t="s">
        <v>1444</v>
      </c>
      <c r="E123" s="1">
        <v>1500</v>
      </c>
      <c r="F123" s="1">
        <v>0</v>
      </c>
      <c r="G123" s="1">
        <v>19460.740000000002</v>
      </c>
      <c r="H123" t="s">
        <v>511</v>
      </c>
    </row>
    <row r="124" spans="1:8" x14ac:dyDescent="0.3">
      <c r="A124" s="6">
        <v>45723</v>
      </c>
      <c r="B124" s="6">
        <v>45723</v>
      </c>
      <c r="C124" t="s">
        <v>1491</v>
      </c>
      <c r="D124" t="s">
        <v>1416</v>
      </c>
      <c r="E124" s="1">
        <v>1506.51</v>
      </c>
      <c r="F124" s="1">
        <v>0</v>
      </c>
      <c r="G124" s="1">
        <v>17954.23</v>
      </c>
      <c r="H124" t="s">
        <v>511</v>
      </c>
    </row>
    <row r="125" spans="1:8" x14ac:dyDescent="0.3">
      <c r="A125" s="6">
        <v>45725</v>
      </c>
      <c r="B125" s="6">
        <v>45725</v>
      </c>
      <c r="C125" t="s">
        <v>1492</v>
      </c>
      <c r="D125" t="s">
        <v>1422</v>
      </c>
      <c r="E125" s="1">
        <v>0</v>
      </c>
      <c r="F125" s="1">
        <v>1</v>
      </c>
      <c r="G125" s="1">
        <v>17955.23</v>
      </c>
      <c r="H125" t="s">
        <v>511</v>
      </c>
    </row>
    <row r="126" spans="1:8" x14ac:dyDescent="0.3">
      <c r="A126" s="6">
        <v>45725</v>
      </c>
      <c r="B126" s="6">
        <v>45725</v>
      </c>
      <c r="C126" t="s">
        <v>1493</v>
      </c>
      <c r="D126" t="s">
        <v>1422</v>
      </c>
      <c r="E126" s="1">
        <v>0</v>
      </c>
      <c r="F126" s="1">
        <v>10</v>
      </c>
      <c r="G126" s="1">
        <v>17965.23</v>
      </c>
      <c r="H126" t="s">
        <v>511</v>
      </c>
    </row>
    <row r="127" spans="1:8" x14ac:dyDescent="0.3">
      <c r="A127" s="6">
        <v>45728</v>
      </c>
      <c r="B127" s="6">
        <v>45728</v>
      </c>
      <c r="C127" t="s">
        <v>1494</v>
      </c>
      <c r="D127" t="s">
        <v>564</v>
      </c>
      <c r="E127" s="1">
        <v>100</v>
      </c>
      <c r="F127" s="1">
        <v>0</v>
      </c>
      <c r="G127" s="1">
        <v>17865.23</v>
      </c>
      <c r="H127" t="s">
        <v>511</v>
      </c>
    </row>
    <row r="128" spans="1:8" x14ac:dyDescent="0.3">
      <c r="A128" s="6">
        <v>45728</v>
      </c>
      <c r="B128" s="6">
        <v>45728</v>
      </c>
      <c r="C128" t="s">
        <v>1495</v>
      </c>
      <c r="D128" t="s">
        <v>564</v>
      </c>
      <c r="E128" s="1">
        <v>25</v>
      </c>
      <c r="F128" s="1">
        <v>0</v>
      </c>
      <c r="G128" s="1">
        <v>17840.23</v>
      </c>
      <c r="H128" t="s">
        <v>511</v>
      </c>
    </row>
    <row r="129" spans="1:8" x14ac:dyDescent="0.3">
      <c r="A129" s="6">
        <v>45729</v>
      </c>
      <c r="B129" s="6">
        <v>45729</v>
      </c>
      <c r="C129" t="s">
        <v>1496</v>
      </c>
      <c r="D129" t="s">
        <v>1444</v>
      </c>
      <c r="E129" s="1">
        <v>1650</v>
      </c>
      <c r="F129" s="1">
        <v>0</v>
      </c>
      <c r="G129" s="1">
        <v>16190.23</v>
      </c>
      <c r="H129" t="s">
        <v>511</v>
      </c>
    </row>
    <row r="130" spans="1:8" x14ac:dyDescent="0.3">
      <c r="A130" s="6">
        <v>45729</v>
      </c>
      <c r="B130" s="6">
        <v>45729</v>
      </c>
      <c r="C130" t="s">
        <v>1497</v>
      </c>
      <c r="D130" t="s">
        <v>1444</v>
      </c>
      <c r="E130" s="1">
        <v>244</v>
      </c>
      <c r="F130" s="1">
        <v>0</v>
      </c>
      <c r="G130" s="1">
        <v>15946.23</v>
      </c>
      <c r="H130" t="s">
        <v>511</v>
      </c>
    </row>
    <row r="131" spans="1:8" x14ac:dyDescent="0.3">
      <c r="A131" s="6">
        <v>45730</v>
      </c>
      <c r="B131" s="6">
        <v>45730</v>
      </c>
      <c r="C131" t="s">
        <v>1498</v>
      </c>
      <c r="D131" t="s">
        <v>1416</v>
      </c>
      <c r="E131" s="1">
        <v>200</v>
      </c>
      <c r="F131" s="1">
        <v>0</v>
      </c>
      <c r="G131" s="1">
        <v>15746.23</v>
      </c>
      <c r="H131" t="s">
        <v>511</v>
      </c>
    </row>
    <row r="132" spans="1:8" x14ac:dyDescent="0.3">
      <c r="A132" s="6">
        <v>45731</v>
      </c>
      <c r="B132" s="6">
        <v>45731</v>
      </c>
      <c r="C132" t="s">
        <v>1499</v>
      </c>
      <c r="D132" t="s">
        <v>556</v>
      </c>
      <c r="E132" s="1">
        <v>2000</v>
      </c>
      <c r="F132" s="1">
        <v>0</v>
      </c>
      <c r="G132" s="1">
        <v>13746.23</v>
      </c>
      <c r="H132" t="s">
        <v>511</v>
      </c>
    </row>
    <row r="133" spans="1:8" x14ac:dyDescent="0.3">
      <c r="A133" s="6">
        <v>45731</v>
      </c>
      <c r="B133" s="6">
        <v>45731</v>
      </c>
      <c r="C133" t="s">
        <v>1500</v>
      </c>
      <c r="D133" t="s">
        <v>556</v>
      </c>
      <c r="E133" s="1">
        <v>44</v>
      </c>
      <c r="F133" s="1">
        <v>0</v>
      </c>
      <c r="G133" s="1">
        <v>13702.23</v>
      </c>
      <c r="H133" t="s">
        <v>511</v>
      </c>
    </row>
    <row r="134" spans="1:8" x14ac:dyDescent="0.3">
      <c r="A134" s="6">
        <v>45733</v>
      </c>
      <c r="B134" s="6">
        <v>45733</v>
      </c>
      <c r="C134" t="s">
        <v>1501</v>
      </c>
      <c r="D134" t="s">
        <v>574</v>
      </c>
      <c r="E134" s="1">
        <v>308.7</v>
      </c>
      <c r="F134" s="1">
        <v>0</v>
      </c>
      <c r="G134" s="1">
        <v>13393.53</v>
      </c>
      <c r="H134" t="s">
        <v>511</v>
      </c>
    </row>
    <row r="135" spans="1:8" x14ac:dyDescent="0.3">
      <c r="A135" s="6">
        <v>45733</v>
      </c>
      <c r="B135" s="6">
        <v>45733</v>
      </c>
      <c r="C135" t="s">
        <v>1502</v>
      </c>
      <c r="D135" t="s">
        <v>574</v>
      </c>
      <c r="E135" s="1">
        <v>950</v>
      </c>
      <c r="F135" s="1">
        <v>0</v>
      </c>
      <c r="G135" s="1">
        <v>12443.53</v>
      </c>
      <c r="H135" t="s">
        <v>511</v>
      </c>
    </row>
    <row r="136" spans="1:8" x14ac:dyDescent="0.3">
      <c r="A136" s="6">
        <v>45734</v>
      </c>
      <c r="B136" s="6">
        <v>45734</v>
      </c>
      <c r="C136" t="s">
        <v>1503</v>
      </c>
      <c r="D136" t="s">
        <v>582</v>
      </c>
      <c r="E136" s="1">
        <v>1000</v>
      </c>
      <c r="F136" s="1">
        <v>0</v>
      </c>
      <c r="G136" s="1">
        <v>11443.53</v>
      </c>
      <c r="H136" t="s">
        <v>511</v>
      </c>
    </row>
    <row r="137" spans="1:8" x14ac:dyDescent="0.3">
      <c r="A137" s="6">
        <v>45737</v>
      </c>
      <c r="B137" s="6">
        <v>45737</v>
      </c>
      <c r="C137" t="s">
        <v>1504</v>
      </c>
      <c r="D137" t="s">
        <v>1416</v>
      </c>
      <c r="E137" s="1">
        <v>224</v>
      </c>
      <c r="F137" s="1">
        <v>0</v>
      </c>
      <c r="G137" s="1">
        <v>11219.53</v>
      </c>
      <c r="H137" t="s">
        <v>511</v>
      </c>
    </row>
    <row r="138" spans="1:8" x14ac:dyDescent="0.3">
      <c r="A138" s="6">
        <v>45738</v>
      </c>
      <c r="B138" s="6">
        <v>45738</v>
      </c>
      <c r="C138" t="s">
        <v>1505</v>
      </c>
      <c r="D138" t="s">
        <v>556</v>
      </c>
      <c r="E138" s="1">
        <v>156</v>
      </c>
      <c r="F138" s="1">
        <v>0</v>
      </c>
      <c r="G138" s="1">
        <v>11063.53</v>
      </c>
      <c r="H138" t="s">
        <v>511</v>
      </c>
    </row>
    <row r="139" spans="1:8" x14ac:dyDescent="0.3">
      <c r="A139" s="6">
        <v>45738</v>
      </c>
      <c r="B139" s="6">
        <v>45738</v>
      </c>
      <c r="C139" t="s">
        <v>1506</v>
      </c>
      <c r="D139" t="s">
        <v>556</v>
      </c>
      <c r="E139" s="1">
        <v>272.5</v>
      </c>
      <c r="F139" s="1">
        <v>0</v>
      </c>
      <c r="G139" s="1">
        <v>10791.03</v>
      </c>
      <c r="H139" t="s">
        <v>511</v>
      </c>
    </row>
    <row r="140" spans="1:8" x14ac:dyDescent="0.3">
      <c r="A140" s="6">
        <v>45739</v>
      </c>
      <c r="B140" s="6">
        <v>45739</v>
      </c>
      <c r="C140" t="s">
        <v>1507</v>
      </c>
      <c r="D140" t="s">
        <v>545</v>
      </c>
      <c r="E140" s="1">
        <v>35</v>
      </c>
      <c r="F140" s="1">
        <v>0</v>
      </c>
      <c r="G140" s="1">
        <v>10756.03</v>
      </c>
      <c r="H140" t="s">
        <v>511</v>
      </c>
    </row>
    <row r="141" spans="1:8" x14ac:dyDescent="0.3">
      <c r="A141" s="6">
        <v>45741</v>
      </c>
      <c r="B141" s="6">
        <v>45741</v>
      </c>
      <c r="C141" t="s">
        <v>586</v>
      </c>
      <c r="D141" t="s">
        <v>252</v>
      </c>
      <c r="E141" s="1">
        <v>0</v>
      </c>
      <c r="F141" s="1">
        <v>230</v>
      </c>
      <c r="G141" s="1">
        <v>10986.03</v>
      </c>
      <c r="H141" t="s">
        <v>227</v>
      </c>
    </row>
  </sheetData>
  <autoFilter ref="A20:H141" xr:uid="{551E02B8-10BD-465C-B573-05E3A9B5DC8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26CE-E69F-4248-A74F-DF8865BC7D2A}">
  <dimension ref="A1:K81"/>
  <sheetViews>
    <sheetView workbookViewId="0">
      <selection activeCell="E3" sqref="E3"/>
    </sheetView>
  </sheetViews>
  <sheetFormatPr defaultRowHeight="14.4" x14ac:dyDescent="0.3"/>
  <cols>
    <col min="1" max="1" width="22.109375" style="7" bestFit="1" customWidth="1"/>
    <col min="2" max="2" width="30.109375" style="7" bestFit="1" customWidth="1"/>
    <col min="3" max="3" width="27" style="7" bestFit="1" customWidth="1"/>
    <col min="4" max="4" width="17.44140625" style="7" bestFit="1" customWidth="1"/>
    <col min="5" max="5" width="18.44140625" style="7" bestFit="1" customWidth="1"/>
    <col min="6" max="6" width="14.44140625" style="7" bestFit="1" customWidth="1"/>
    <col min="7" max="7" width="12.77734375" style="7" bestFit="1" customWidth="1"/>
    <col min="8" max="8" width="14.6640625" style="7" bestFit="1" customWidth="1"/>
    <col min="9" max="9" width="10.21875" style="7" bestFit="1" customWidth="1"/>
    <col min="10" max="10" width="6" style="7" bestFit="1" customWidth="1"/>
    <col min="11" max="16384" width="8.88671875" style="7"/>
  </cols>
  <sheetData>
    <row r="1" spans="1:5" x14ac:dyDescent="0.3">
      <c r="A1" s="7" t="s">
        <v>590</v>
      </c>
      <c r="B1" s="7" t="s">
        <v>591</v>
      </c>
      <c r="D1" s="7" t="s">
        <v>592</v>
      </c>
      <c r="E1" s="7" t="s">
        <v>593</v>
      </c>
    </row>
    <row r="2" spans="1:5" x14ac:dyDescent="0.3">
      <c r="A2" s="7" t="s">
        <v>594</v>
      </c>
      <c r="B2" s="7" t="s">
        <v>595</v>
      </c>
      <c r="D2" s="7" t="s">
        <v>596</v>
      </c>
      <c r="E2" s="7">
        <v>7777</v>
      </c>
    </row>
    <row r="3" spans="1:5" x14ac:dyDescent="0.3">
      <c r="B3" s="7" t="s">
        <v>597</v>
      </c>
      <c r="D3" s="7" t="s">
        <v>598</v>
      </c>
      <c r="E3" s="8">
        <v>77770101840847</v>
      </c>
    </row>
    <row r="4" spans="1:5" x14ac:dyDescent="0.3">
      <c r="B4" s="7" t="s">
        <v>599</v>
      </c>
      <c r="D4" s="7" t="s">
        <v>600</v>
      </c>
      <c r="E4" s="7">
        <v>135342130</v>
      </c>
    </row>
    <row r="5" spans="1:5" x14ac:dyDescent="0.3">
      <c r="A5" s="7" t="s">
        <v>601</v>
      </c>
      <c r="B5" s="7" t="s">
        <v>602</v>
      </c>
      <c r="D5" s="7" t="s">
        <v>603</v>
      </c>
      <c r="E5" s="7" t="s">
        <v>602</v>
      </c>
    </row>
    <row r="6" spans="1:5" x14ac:dyDescent="0.3">
      <c r="A6" s="7" t="s">
        <v>604</v>
      </c>
      <c r="B6" s="8">
        <v>919594435259</v>
      </c>
      <c r="C6" s="8"/>
      <c r="D6" s="7" t="s">
        <v>605</v>
      </c>
      <c r="E6" s="7" t="s">
        <v>606</v>
      </c>
    </row>
    <row r="7" spans="1:5" x14ac:dyDescent="0.3">
      <c r="A7" s="7" t="s">
        <v>607</v>
      </c>
      <c r="B7" s="7" t="s">
        <v>608</v>
      </c>
      <c r="D7" s="7" t="s">
        <v>609</v>
      </c>
      <c r="E7" s="7" t="s">
        <v>610</v>
      </c>
    </row>
    <row r="8" spans="1:5" x14ac:dyDescent="0.3">
      <c r="A8" s="7" t="s">
        <v>611</v>
      </c>
      <c r="B8" s="7" t="s">
        <v>612</v>
      </c>
      <c r="D8" s="7" t="s">
        <v>613</v>
      </c>
      <c r="E8" s="7" t="s">
        <v>614</v>
      </c>
    </row>
    <row r="9" spans="1:5" x14ac:dyDescent="0.3">
      <c r="A9" s="7" t="s">
        <v>615</v>
      </c>
      <c r="B9" s="7" t="s">
        <v>616</v>
      </c>
    </row>
    <row r="10" spans="1:5" x14ac:dyDescent="0.3">
      <c r="A10" s="7" t="s">
        <v>617</v>
      </c>
      <c r="B10" s="7" t="s">
        <v>618</v>
      </c>
    </row>
    <row r="11" spans="1:5" x14ac:dyDescent="0.3">
      <c r="A11" s="7" t="s">
        <v>619</v>
      </c>
      <c r="B11" s="7">
        <v>682049069</v>
      </c>
      <c r="D11" s="7" t="s">
        <v>620</v>
      </c>
      <c r="E11" s="7" t="s">
        <v>621</v>
      </c>
    </row>
    <row r="12" spans="1:5" x14ac:dyDescent="0.3">
      <c r="A12" s="7" t="s">
        <v>622</v>
      </c>
      <c r="B12" s="7" t="s">
        <v>623</v>
      </c>
      <c r="D12" s="7" t="s">
        <v>624</v>
      </c>
      <c r="E12" s="7" t="s">
        <v>625</v>
      </c>
    </row>
    <row r="13" spans="1:5" x14ac:dyDescent="0.3">
      <c r="A13" s="7" t="s">
        <v>626</v>
      </c>
      <c r="B13" s="7">
        <v>771.09</v>
      </c>
      <c r="D13" s="7" t="s">
        <v>627</v>
      </c>
      <c r="E13" s="7" t="s">
        <v>628</v>
      </c>
    </row>
    <row r="14" spans="1:5" x14ac:dyDescent="0.3">
      <c r="A14" s="7" t="s">
        <v>629</v>
      </c>
      <c r="B14" s="7">
        <v>0</v>
      </c>
    </row>
    <row r="17" spans="1:11" x14ac:dyDescent="0.3">
      <c r="A17" s="95" t="s">
        <v>630</v>
      </c>
      <c r="B17" s="95"/>
      <c r="C17" s="95"/>
      <c r="D17" s="95"/>
      <c r="E17" s="95"/>
      <c r="F17" s="95"/>
      <c r="G17" s="95"/>
      <c r="H17" s="95"/>
      <c r="I17" s="95"/>
      <c r="J17" s="95"/>
    </row>
    <row r="18" spans="1:11" x14ac:dyDescent="0.3">
      <c r="A18" s="39"/>
      <c r="B18" s="39"/>
      <c r="C18" s="39"/>
      <c r="D18" s="39"/>
      <c r="E18" s="39"/>
      <c r="F18" s="39"/>
      <c r="G18" s="39">
        <f>SUBTOTAL(9,G20:G67)</f>
        <v>14370.09</v>
      </c>
      <c r="H18" s="39">
        <f>SUBTOTAL(9,H20:H67)</f>
        <v>13599</v>
      </c>
      <c r="I18" s="39"/>
      <c r="J18" s="39"/>
    </row>
    <row r="19" spans="1:11" s="17" customFormat="1" x14ac:dyDescent="0.3">
      <c r="A19" s="9" t="s">
        <v>23</v>
      </c>
      <c r="B19" s="10" t="s">
        <v>631</v>
      </c>
      <c r="C19" s="11" t="s">
        <v>632</v>
      </c>
      <c r="D19" s="10" t="s">
        <v>633</v>
      </c>
      <c r="E19" s="12" t="s">
        <v>634</v>
      </c>
      <c r="F19" s="10" t="s">
        <v>635</v>
      </c>
      <c r="G19" s="13" t="s">
        <v>636</v>
      </c>
      <c r="H19" s="14" t="s">
        <v>637</v>
      </c>
      <c r="I19" s="15" t="s">
        <v>284</v>
      </c>
      <c r="J19" s="16" t="s">
        <v>638</v>
      </c>
      <c r="K19" s="16" t="s">
        <v>24</v>
      </c>
    </row>
    <row r="20" spans="1:11" s="17" customFormat="1" x14ac:dyDescent="0.3">
      <c r="A20" s="18">
        <v>45384</v>
      </c>
      <c r="B20" s="19">
        <v>45384</v>
      </c>
      <c r="C20" s="20" t="s">
        <v>639</v>
      </c>
      <c r="D20" s="21" t="s">
        <v>640</v>
      </c>
      <c r="E20" s="21" t="s">
        <v>641</v>
      </c>
      <c r="F20" s="20"/>
      <c r="G20" s="34">
        <v>13</v>
      </c>
      <c r="H20" s="35">
        <v>0</v>
      </c>
      <c r="I20" s="34">
        <v>758.09</v>
      </c>
      <c r="J20" s="22" t="s">
        <v>250</v>
      </c>
      <c r="K20" s="22" t="s">
        <v>511</v>
      </c>
    </row>
    <row r="21" spans="1:11" s="17" customFormat="1" x14ac:dyDescent="0.3">
      <c r="A21" s="23">
        <v>45384</v>
      </c>
      <c r="B21" s="24">
        <v>45384</v>
      </c>
      <c r="C21" s="25" t="s">
        <v>642</v>
      </c>
      <c r="D21" s="26" t="s">
        <v>640</v>
      </c>
      <c r="E21" s="26" t="s">
        <v>643</v>
      </c>
      <c r="F21" s="25"/>
      <c r="G21" s="36">
        <v>99</v>
      </c>
      <c r="H21" s="35">
        <v>0</v>
      </c>
      <c r="I21" s="36">
        <v>659.09</v>
      </c>
      <c r="J21" s="27" t="s">
        <v>250</v>
      </c>
      <c r="K21" s="22" t="s">
        <v>511</v>
      </c>
    </row>
    <row r="22" spans="1:11" s="17" customFormat="1" x14ac:dyDescent="0.3">
      <c r="A22" s="23">
        <v>45384</v>
      </c>
      <c r="B22" s="24">
        <v>45384</v>
      </c>
      <c r="C22" s="25" t="s">
        <v>644</v>
      </c>
      <c r="D22" s="26" t="s">
        <v>640</v>
      </c>
      <c r="E22" s="26" t="s">
        <v>645</v>
      </c>
      <c r="F22" s="25"/>
      <c r="G22" s="36">
        <v>175</v>
      </c>
      <c r="H22" s="35">
        <v>0</v>
      </c>
      <c r="I22" s="36">
        <v>484.09</v>
      </c>
      <c r="J22" s="27" t="s">
        <v>250</v>
      </c>
      <c r="K22" s="22" t="s">
        <v>743</v>
      </c>
    </row>
    <row r="23" spans="1:11" s="17" customFormat="1" x14ac:dyDescent="0.3">
      <c r="A23" s="60">
        <v>45384</v>
      </c>
      <c r="B23" s="61">
        <v>45384</v>
      </c>
      <c r="C23" s="62" t="s">
        <v>646</v>
      </c>
      <c r="D23" s="63" t="s">
        <v>640</v>
      </c>
      <c r="E23" s="63" t="s">
        <v>647</v>
      </c>
      <c r="F23" s="62"/>
      <c r="G23" s="64">
        <v>0</v>
      </c>
      <c r="H23" s="65">
        <v>5000</v>
      </c>
      <c r="I23" s="65">
        <v>5484.09</v>
      </c>
      <c r="J23" s="66" t="s">
        <v>250</v>
      </c>
      <c r="K23" s="67" t="s">
        <v>744</v>
      </c>
    </row>
    <row r="24" spans="1:11" s="17" customFormat="1" x14ac:dyDescent="0.3">
      <c r="A24" s="23">
        <v>45384</v>
      </c>
      <c r="B24" s="24">
        <v>45384</v>
      </c>
      <c r="C24" s="25" t="s">
        <v>648</v>
      </c>
      <c r="D24" s="26" t="s">
        <v>640</v>
      </c>
      <c r="E24" s="26" t="s">
        <v>649</v>
      </c>
      <c r="F24" s="25"/>
      <c r="G24" s="36">
        <v>126</v>
      </c>
      <c r="H24" s="35">
        <v>0</v>
      </c>
      <c r="I24" s="36">
        <v>5358.09</v>
      </c>
      <c r="J24" s="27" t="s">
        <v>250</v>
      </c>
      <c r="K24" s="22" t="s">
        <v>511</v>
      </c>
    </row>
    <row r="25" spans="1:11" s="17" customFormat="1" x14ac:dyDescent="0.3">
      <c r="A25" s="23">
        <v>45384</v>
      </c>
      <c r="B25" s="24">
        <v>45384</v>
      </c>
      <c r="C25" s="25" t="s">
        <v>650</v>
      </c>
      <c r="D25" s="26" t="s">
        <v>640</v>
      </c>
      <c r="E25" s="26" t="s">
        <v>651</v>
      </c>
      <c r="F25" s="25"/>
      <c r="G25" s="36">
        <v>3366.53</v>
      </c>
      <c r="H25" s="35">
        <v>0</v>
      </c>
      <c r="I25" s="36">
        <v>1991.56</v>
      </c>
      <c r="J25" s="27" t="s">
        <v>250</v>
      </c>
      <c r="K25" s="22" t="s">
        <v>743</v>
      </c>
    </row>
    <row r="26" spans="1:11" s="17" customFormat="1" x14ac:dyDescent="0.3">
      <c r="A26" s="23">
        <v>45384</v>
      </c>
      <c r="B26" s="24">
        <v>45384</v>
      </c>
      <c r="C26" s="25" t="s">
        <v>652</v>
      </c>
      <c r="D26" s="26" t="s">
        <v>640</v>
      </c>
      <c r="E26" s="26" t="s">
        <v>653</v>
      </c>
      <c r="F26" s="25"/>
      <c r="G26" s="36">
        <v>62</v>
      </c>
      <c r="H26" s="35">
        <v>0</v>
      </c>
      <c r="I26" s="36">
        <v>1929.56</v>
      </c>
      <c r="J26" s="27" t="s">
        <v>250</v>
      </c>
      <c r="K26" s="22" t="s">
        <v>511</v>
      </c>
    </row>
    <row r="27" spans="1:11" s="17" customFormat="1" x14ac:dyDescent="0.3">
      <c r="A27" s="23">
        <v>45385</v>
      </c>
      <c r="B27" s="24">
        <v>45385</v>
      </c>
      <c r="C27" s="25" t="s">
        <v>654</v>
      </c>
      <c r="D27" s="26" t="s">
        <v>640</v>
      </c>
      <c r="E27" s="26" t="s">
        <v>655</v>
      </c>
      <c r="F27" s="25"/>
      <c r="G27" s="36">
        <v>20</v>
      </c>
      <c r="H27" s="35">
        <v>0</v>
      </c>
      <c r="I27" s="36">
        <v>1909.56</v>
      </c>
      <c r="J27" s="27" t="s">
        <v>250</v>
      </c>
      <c r="K27" s="22" t="s">
        <v>511</v>
      </c>
    </row>
    <row r="28" spans="1:11" s="17" customFormat="1" x14ac:dyDescent="0.3">
      <c r="A28" s="23">
        <v>45385</v>
      </c>
      <c r="B28" s="24">
        <v>45385</v>
      </c>
      <c r="C28" s="25" t="s">
        <v>656</v>
      </c>
      <c r="D28" s="26" t="s">
        <v>640</v>
      </c>
      <c r="E28" s="26" t="s">
        <v>657</v>
      </c>
      <c r="F28" s="25"/>
      <c r="G28" s="37">
        <v>0</v>
      </c>
      <c r="H28" s="36">
        <v>399</v>
      </c>
      <c r="I28" s="36">
        <v>2308.56</v>
      </c>
      <c r="J28" s="27" t="s">
        <v>250</v>
      </c>
      <c r="K28" s="22" t="s">
        <v>511</v>
      </c>
    </row>
    <row r="29" spans="1:11" s="17" customFormat="1" x14ac:dyDescent="0.3">
      <c r="A29" s="23">
        <v>45385</v>
      </c>
      <c r="B29" s="24">
        <v>45385</v>
      </c>
      <c r="C29" s="25" t="s">
        <v>658</v>
      </c>
      <c r="D29" s="26" t="s">
        <v>640</v>
      </c>
      <c r="E29" s="26" t="s">
        <v>659</v>
      </c>
      <c r="F29" s="25"/>
      <c r="G29" s="36">
        <v>25</v>
      </c>
      <c r="H29" s="35">
        <v>0</v>
      </c>
      <c r="I29" s="36">
        <v>2283.56</v>
      </c>
      <c r="J29" s="27" t="s">
        <v>250</v>
      </c>
      <c r="K29" s="22" t="s">
        <v>511</v>
      </c>
    </row>
    <row r="30" spans="1:11" s="17" customFormat="1" x14ac:dyDescent="0.3">
      <c r="A30" s="23">
        <v>45386</v>
      </c>
      <c r="B30" s="24">
        <v>45386</v>
      </c>
      <c r="C30" s="25" t="s">
        <v>660</v>
      </c>
      <c r="D30" s="26" t="s">
        <v>640</v>
      </c>
      <c r="E30" s="26" t="s">
        <v>661</v>
      </c>
      <c r="F30" s="25"/>
      <c r="G30" s="36">
        <v>50</v>
      </c>
      <c r="H30" s="35">
        <v>0</v>
      </c>
      <c r="I30" s="36">
        <v>2233.56</v>
      </c>
      <c r="J30" s="27" t="s">
        <v>250</v>
      </c>
      <c r="K30" s="22" t="s">
        <v>743</v>
      </c>
    </row>
    <row r="31" spans="1:11" s="17" customFormat="1" x14ac:dyDescent="0.3">
      <c r="A31" s="60">
        <v>45386</v>
      </c>
      <c r="B31" s="61">
        <v>45386</v>
      </c>
      <c r="C31" s="62" t="s">
        <v>662</v>
      </c>
      <c r="D31" s="63" t="s">
        <v>640</v>
      </c>
      <c r="E31" s="63" t="s">
        <v>663</v>
      </c>
      <c r="F31" s="62"/>
      <c r="G31" s="64">
        <v>0</v>
      </c>
      <c r="H31" s="65">
        <v>2000</v>
      </c>
      <c r="I31" s="65">
        <v>4233.5600000000004</v>
      </c>
      <c r="J31" s="66" t="s">
        <v>250</v>
      </c>
      <c r="K31" s="67" t="s">
        <v>744</v>
      </c>
    </row>
    <row r="32" spans="1:11" s="17" customFormat="1" x14ac:dyDescent="0.3">
      <c r="A32" s="23">
        <v>45386</v>
      </c>
      <c r="B32" s="24">
        <v>45386</v>
      </c>
      <c r="C32" s="25" t="s">
        <v>664</v>
      </c>
      <c r="D32" s="26" t="s">
        <v>640</v>
      </c>
      <c r="E32" s="26" t="s">
        <v>665</v>
      </c>
      <c r="F32" s="25"/>
      <c r="G32" s="36">
        <v>331</v>
      </c>
      <c r="H32" s="35">
        <v>0</v>
      </c>
      <c r="I32" s="36">
        <v>3902.56</v>
      </c>
      <c r="J32" s="27" t="s">
        <v>250</v>
      </c>
      <c r="K32" s="22" t="s">
        <v>511</v>
      </c>
    </row>
    <row r="33" spans="1:11" s="17" customFormat="1" x14ac:dyDescent="0.3">
      <c r="A33" s="23">
        <v>45386</v>
      </c>
      <c r="B33" s="24">
        <v>45386</v>
      </c>
      <c r="C33" s="25" t="s">
        <v>666</v>
      </c>
      <c r="D33" s="26" t="s">
        <v>640</v>
      </c>
      <c r="E33" s="26" t="s">
        <v>667</v>
      </c>
      <c r="F33" s="25"/>
      <c r="G33" s="36">
        <v>2290.4</v>
      </c>
      <c r="H33" s="35">
        <v>0</v>
      </c>
      <c r="I33" s="36">
        <v>1612.16</v>
      </c>
      <c r="J33" s="27" t="s">
        <v>250</v>
      </c>
      <c r="K33" s="22" t="s">
        <v>743</v>
      </c>
    </row>
    <row r="34" spans="1:11" s="17" customFormat="1" x14ac:dyDescent="0.3">
      <c r="A34" s="23">
        <v>45386</v>
      </c>
      <c r="B34" s="24">
        <v>45386</v>
      </c>
      <c r="C34" s="25" t="s">
        <v>668</v>
      </c>
      <c r="D34" s="26" t="s">
        <v>640</v>
      </c>
      <c r="E34" s="26" t="s">
        <v>669</v>
      </c>
      <c r="F34" s="25"/>
      <c r="G34" s="36">
        <v>172</v>
      </c>
      <c r="H34" s="35">
        <v>0</v>
      </c>
      <c r="I34" s="36">
        <v>1440.16</v>
      </c>
      <c r="J34" s="27" t="s">
        <v>250</v>
      </c>
      <c r="K34" s="22" t="s">
        <v>511</v>
      </c>
    </row>
    <row r="35" spans="1:11" s="17" customFormat="1" x14ac:dyDescent="0.3">
      <c r="A35" s="23">
        <v>45387</v>
      </c>
      <c r="B35" s="24">
        <v>45387</v>
      </c>
      <c r="C35" s="25" t="s">
        <v>670</v>
      </c>
      <c r="D35" s="26" t="s">
        <v>640</v>
      </c>
      <c r="E35" s="26" t="s">
        <v>671</v>
      </c>
      <c r="F35" s="25"/>
      <c r="G35" s="36">
        <v>40</v>
      </c>
      <c r="H35" s="35">
        <v>0</v>
      </c>
      <c r="I35" s="36">
        <v>1400.16</v>
      </c>
      <c r="J35" s="27" t="s">
        <v>250</v>
      </c>
      <c r="K35" s="22" t="s">
        <v>511</v>
      </c>
    </row>
    <row r="36" spans="1:11" s="17" customFormat="1" x14ac:dyDescent="0.3">
      <c r="A36" s="23">
        <v>45387</v>
      </c>
      <c r="B36" s="24">
        <v>45387</v>
      </c>
      <c r="C36" s="25" t="s">
        <v>672</v>
      </c>
      <c r="D36" s="26" t="s">
        <v>640</v>
      </c>
      <c r="E36" s="26" t="s">
        <v>673</v>
      </c>
      <c r="F36" s="25"/>
      <c r="G36" s="36">
        <v>149.87</v>
      </c>
      <c r="H36" s="35">
        <v>0</v>
      </c>
      <c r="I36" s="36">
        <v>1250.29</v>
      </c>
      <c r="J36" s="27" t="s">
        <v>250</v>
      </c>
      <c r="K36" s="22" t="s">
        <v>743</v>
      </c>
    </row>
    <row r="37" spans="1:11" s="17" customFormat="1" x14ac:dyDescent="0.3">
      <c r="A37" s="23">
        <v>45387</v>
      </c>
      <c r="B37" s="24">
        <v>45387</v>
      </c>
      <c r="C37" s="25" t="s">
        <v>674</v>
      </c>
      <c r="D37" s="26" t="s">
        <v>640</v>
      </c>
      <c r="E37" s="26" t="s">
        <v>675</v>
      </c>
      <c r="F37" s="25"/>
      <c r="G37" s="36">
        <v>21</v>
      </c>
      <c r="H37" s="35">
        <v>0</v>
      </c>
      <c r="I37" s="36">
        <v>1229.29</v>
      </c>
      <c r="J37" s="27" t="s">
        <v>250</v>
      </c>
      <c r="K37" s="22" t="s">
        <v>511</v>
      </c>
    </row>
    <row r="38" spans="1:11" s="17" customFormat="1" x14ac:dyDescent="0.3">
      <c r="A38" s="23">
        <v>45387</v>
      </c>
      <c r="B38" s="24">
        <v>45387</v>
      </c>
      <c r="C38" s="25" t="s">
        <v>676</v>
      </c>
      <c r="D38" s="26" t="s">
        <v>640</v>
      </c>
      <c r="E38" s="26" t="s">
        <v>677</v>
      </c>
      <c r="F38" s="25"/>
      <c r="G38" s="36">
        <v>74</v>
      </c>
      <c r="H38" s="35">
        <v>0</v>
      </c>
      <c r="I38" s="36">
        <v>1155.29</v>
      </c>
      <c r="J38" s="27" t="s">
        <v>250</v>
      </c>
      <c r="K38" s="22" t="s">
        <v>511</v>
      </c>
    </row>
    <row r="39" spans="1:11" s="17" customFormat="1" x14ac:dyDescent="0.3">
      <c r="A39" s="23">
        <v>45387</v>
      </c>
      <c r="B39" s="24">
        <v>45387</v>
      </c>
      <c r="C39" s="25" t="s">
        <v>678</v>
      </c>
      <c r="D39" s="26" t="s">
        <v>640</v>
      </c>
      <c r="E39" s="26" t="s">
        <v>679</v>
      </c>
      <c r="F39" s="25"/>
      <c r="G39" s="36">
        <v>50</v>
      </c>
      <c r="H39" s="35">
        <v>0</v>
      </c>
      <c r="I39" s="36">
        <v>1105.29</v>
      </c>
      <c r="J39" s="27" t="s">
        <v>250</v>
      </c>
      <c r="K39" s="22" t="s">
        <v>511</v>
      </c>
    </row>
    <row r="40" spans="1:11" s="17" customFormat="1" x14ac:dyDescent="0.3">
      <c r="A40" s="23">
        <v>45388</v>
      </c>
      <c r="B40" s="24">
        <v>45388</v>
      </c>
      <c r="C40" s="25" t="s">
        <v>680</v>
      </c>
      <c r="D40" s="26" t="s">
        <v>640</v>
      </c>
      <c r="E40" s="26" t="s">
        <v>681</v>
      </c>
      <c r="F40" s="25"/>
      <c r="G40" s="36">
        <v>106</v>
      </c>
      <c r="H40" s="35">
        <v>0</v>
      </c>
      <c r="I40" s="36">
        <v>999.29</v>
      </c>
      <c r="J40" s="27" t="s">
        <v>250</v>
      </c>
      <c r="K40" s="22" t="s">
        <v>511</v>
      </c>
    </row>
    <row r="41" spans="1:11" s="17" customFormat="1" x14ac:dyDescent="0.3">
      <c r="A41" s="23">
        <v>45388</v>
      </c>
      <c r="B41" s="24">
        <v>45388</v>
      </c>
      <c r="C41" s="25" t="s">
        <v>682</v>
      </c>
      <c r="D41" s="26" t="s">
        <v>640</v>
      </c>
      <c r="E41" s="26" t="s">
        <v>683</v>
      </c>
      <c r="F41" s="25"/>
      <c r="G41" s="36">
        <v>784.2</v>
      </c>
      <c r="H41" s="35">
        <v>0</v>
      </c>
      <c r="I41" s="36">
        <v>215.09</v>
      </c>
      <c r="J41" s="27" t="s">
        <v>250</v>
      </c>
      <c r="K41" s="22" t="s">
        <v>743</v>
      </c>
    </row>
    <row r="42" spans="1:11" s="17" customFormat="1" x14ac:dyDescent="0.3">
      <c r="A42" s="23">
        <v>45388</v>
      </c>
      <c r="B42" s="24">
        <v>45388</v>
      </c>
      <c r="C42" s="25" t="s">
        <v>684</v>
      </c>
      <c r="D42" s="26" t="s">
        <v>640</v>
      </c>
      <c r="E42" s="26" t="s">
        <v>685</v>
      </c>
      <c r="F42" s="25"/>
      <c r="G42" s="36">
        <v>114</v>
      </c>
      <c r="H42" s="35">
        <v>0</v>
      </c>
      <c r="I42" s="36">
        <v>101.09</v>
      </c>
      <c r="J42" s="27" t="s">
        <v>250</v>
      </c>
      <c r="K42" s="22" t="s">
        <v>511</v>
      </c>
    </row>
    <row r="43" spans="1:11" s="17" customFormat="1" x14ac:dyDescent="0.3">
      <c r="A43" s="23">
        <v>45389</v>
      </c>
      <c r="B43" s="24">
        <v>45389</v>
      </c>
      <c r="C43" s="25" t="s">
        <v>686</v>
      </c>
      <c r="D43" s="26" t="s">
        <v>640</v>
      </c>
      <c r="E43" s="26" t="s">
        <v>687</v>
      </c>
      <c r="F43" s="25"/>
      <c r="G43" s="36">
        <v>50</v>
      </c>
      <c r="H43" s="35">
        <v>0</v>
      </c>
      <c r="I43" s="36">
        <v>51.09</v>
      </c>
      <c r="J43" s="27" t="s">
        <v>250</v>
      </c>
      <c r="K43" s="22" t="s">
        <v>743</v>
      </c>
    </row>
    <row r="44" spans="1:11" s="17" customFormat="1" x14ac:dyDescent="0.3">
      <c r="A44" s="28">
        <v>45389</v>
      </c>
      <c r="B44" s="29">
        <v>45389</v>
      </c>
      <c r="C44" s="30" t="s">
        <v>688</v>
      </c>
      <c r="D44" s="31" t="s">
        <v>640</v>
      </c>
      <c r="E44" s="31" t="s">
        <v>689</v>
      </c>
      <c r="F44" s="30"/>
      <c r="G44" s="38">
        <v>20</v>
      </c>
      <c r="H44" s="35">
        <v>0</v>
      </c>
      <c r="I44" s="38">
        <v>31.09</v>
      </c>
      <c r="J44" s="32" t="s">
        <v>250</v>
      </c>
      <c r="K44" s="22" t="s">
        <v>511</v>
      </c>
    </row>
    <row r="45" spans="1:11" s="17" customFormat="1" x14ac:dyDescent="0.3">
      <c r="A45" s="60">
        <v>45389</v>
      </c>
      <c r="B45" s="61">
        <v>45389</v>
      </c>
      <c r="C45" s="62" t="s">
        <v>690</v>
      </c>
      <c r="D45" s="63" t="s">
        <v>640</v>
      </c>
      <c r="E45" s="63" t="s">
        <v>691</v>
      </c>
      <c r="F45" s="62"/>
      <c r="G45" s="64">
        <v>0</v>
      </c>
      <c r="H45" s="65">
        <v>1000</v>
      </c>
      <c r="I45" s="65">
        <v>1031.0899999999999</v>
      </c>
      <c r="J45" s="66" t="s">
        <v>250</v>
      </c>
      <c r="K45" s="67" t="s">
        <v>744</v>
      </c>
    </row>
    <row r="46" spans="1:11" s="17" customFormat="1" x14ac:dyDescent="0.3">
      <c r="A46" s="23">
        <v>45389</v>
      </c>
      <c r="B46" s="24">
        <v>45389</v>
      </c>
      <c r="C46" s="25" t="s">
        <v>692</v>
      </c>
      <c r="D46" s="26" t="s">
        <v>640</v>
      </c>
      <c r="E46" s="26" t="s">
        <v>693</v>
      </c>
      <c r="F46" s="25"/>
      <c r="G46" s="36">
        <v>80</v>
      </c>
      <c r="H46" s="35">
        <v>0</v>
      </c>
      <c r="I46" s="36">
        <v>951.09</v>
      </c>
      <c r="J46" s="27" t="s">
        <v>250</v>
      </c>
      <c r="K46" s="22" t="s">
        <v>511</v>
      </c>
    </row>
    <row r="47" spans="1:11" s="17" customFormat="1" x14ac:dyDescent="0.3">
      <c r="A47" s="23">
        <v>45389</v>
      </c>
      <c r="B47" s="24">
        <v>45389</v>
      </c>
      <c r="C47" s="25" t="s">
        <v>694</v>
      </c>
      <c r="D47" s="26" t="s">
        <v>640</v>
      </c>
      <c r="E47" s="26" t="s">
        <v>695</v>
      </c>
      <c r="F47" s="25"/>
      <c r="G47" s="36">
        <v>30</v>
      </c>
      <c r="H47" s="35">
        <v>0</v>
      </c>
      <c r="I47" s="36">
        <v>921.09</v>
      </c>
      <c r="J47" s="27" t="s">
        <v>250</v>
      </c>
      <c r="K47" s="22" t="s">
        <v>511</v>
      </c>
    </row>
    <row r="48" spans="1:11" s="17" customFormat="1" x14ac:dyDescent="0.3">
      <c r="A48" s="23">
        <v>45389</v>
      </c>
      <c r="B48" s="24">
        <v>45389</v>
      </c>
      <c r="C48" s="25" t="s">
        <v>696</v>
      </c>
      <c r="D48" s="26" t="s">
        <v>640</v>
      </c>
      <c r="E48" s="26" t="s">
        <v>697</v>
      </c>
      <c r="F48" s="25"/>
      <c r="G48" s="36">
        <v>440.9</v>
      </c>
      <c r="H48" s="35">
        <v>0</v>
      </c>
      <c r="I48" s="36">
        <v>480.19</v>
      </c>
      <c r="J48" s="27" t="s">
        <v>250</v>
      </c>
      <c r="K48" s="22" t="s">
        <v>743</v>
      </c>
    </row>
    <row r="49" spans="1:11" s="17" customFormat="1" x14ac:dyDescent="0.3">
      <c r="A49" s="23">
        <v>45389</v>
      </c>
      <c r="B49" s="24">
        <v>45389</v>
      </c>
      <c r="C49" s="25" t="s">
        <v>698</v>
      </c>
      <c r="D49" s="26" t="s">
        <v>640</v>
      </c>
      <c r="E49" s="26" t="s">
        <v>699</v>
      </c>
      <c r="F49" s="25"/>
      <c r="G49" s="36">
        <v>315</v>
      </c>
      <c r="H49" s="35">
        <v>0</v>
      </c>
      <c r="I49" s="36">
        <v>165.19</v>
      </c>
      <c r="J49" s="27" t="s">
        <v>250</v>
      </c>
      <c r="K49" s="22" t="s">
        <v>511</v>
      </c>
    </row>
    <row r="50" spans="1:11" s="17" customFormat="1" x14ac:dyDescent="0.3">
      <c r="A50" s="23">
        <v>45390</v>
      </c>
      <c r="B50" s="24">
        <v>45390</v>
      </c>
      <c r="C50" s="25" t="s">
        <v>700</v>
      </c>
      <c r="D50" s="26" t="s">
        <v>640</v>
      </c>
      <c r="E50" s="26" t="s">
        <v>701</v>
      </c>
      <c r="F50" s="25"/>
      <c r="G50" s="36">
        <v>50</v>
      </c>
      <c r="H50" s="35">
        <v>0</v>
      </c>
      <c r="I50" s="36">
        <v>115.19</v>
      </c>
      <c r="J50" s="27" t="s">
        <v>250</v>
      </c>
      <c r="K50" s="22" t="s">
        <v>511</v>
      </c>
    </row>
    <row r="51" spans="1:11" s="17" customFormat="1" x14ac:dyDescent="0.3">
      <c r="A51" s="23">
        <v>45390</v>
      </c>
      <c r="B51" s="24">
        <v>45390</v>
      </c>
      <c r="C51" s="25" t="s">
        <v>702</v>
      </c>
      <c r="D51" s="26" t="s">
        <v>640</v>
      </c>
      <c r="E51" s="26" t="s">
        <v>703</v>
      </c>
      <c r="F51" s="25"/>
      <c r="G51" s="36">
        <v>100</v>
      </c>
      <c r="H51" s="35">
        <v>0</v>
      </c>
      <c r="I51" s="36">
        <v>15.19</v>
      </c>
      <c r="J51" s="27" t="s">
        <v>250</v>
      </c>
      <c r="K51" s="22" t="s">
        <v>511</v>
      </c>
    </row>
    <row r="52" spans="1:11" s="17" customFormat="1" x14ac:dyDescent="0.3">
      <c r="A52" s="60">
        <v>45391</v>
      </c>
      <c r="B52" s="61">
        <v>45391</v>
      </c>
      <c r="C52" s="62" t="s">
        <v>704</v>
      </c>
      <c r="D52" s="63" t="s">
        <v>640</v>
      </c>
      <c r="E52" s="63" t="s">
        <v>705</v>
      </c>
      <c r="F52" s="62"/>
      <c r="G52" s="64">
        <v>0</v>
      </c>
      <c r="H52" s="65">
        <v>2000</v>
      </c>
      <c r="I52" s="65">
        <v>2015.19</v>
      </c>
      <c r="J52" s="66" t="s">
        <v>250</v>
      </c>
      <c r="K52" s="67" t="s">
        <v>744</v>
      </c>
    </row>
    <row r="53" spans="1:11" s="17" customFormat="1" x14ac:dyDescent="0.3">
      <c r="A53" s="23">
        <v>45391</v>
      </c>
      <c r="B53" s="24">
        <v>45391</v>
      </c>
      <c r="C53" s="25" t="s">
        <v>706</v>
      </c>
      <c r="D53" s="26" t="s">
        <v>640</v>
      </c>
      <c r="E53" s="26" t="s">
        <v>707</v>
      </c>
      <c r="F53" s="25"/>
      <c r="G53" s="36">
        <v>30</v>
      </c>
      <c r="H53" s="35">
        <v>0</v>
      </c>
      <c r="I53" s="36">
        <v>1985.19</v>
      </c>
      <c r="J53" s="27" t="s">
        <v>250</v>
      </c>
      <c r="K53" s="22" t="s">
        <v>511</v>
      </c>
    </row>
    <row r="54" spans="1:11" s="17" customFormat="1" x14ac:dyDescent="0.3">
      <c r="A54" s="60">
        <v>45395</v>
      </c>
      <c r="B54" s="61">
        <v>45395</v>
      </c>
      <c r="C54" s="62" t="s">
        <v>708</v>
      </c>
      <c r="D54" s="63" t="s">
        <v>640</v>
      </c>
      <c r="E54" s="63" t="s">
        <v>709</v>
      </c>
      <c r="F54" s="62"/>
      <c r="G54" s="64">
        <v>0</v>
      </c>
      <c r="H54" s="65">
        <v>15</v>
      </c>
      <c r="I54" s="65">
        <v>2000.19</v>
      </c>
      <c r="J54" s="66" t="s">
        <v>250</v>
      </c>
      <c r="K54" s="67" t="s">
        <v>747</v>
      </c>
    </row>
    <row r="55" spans="1:11" s="17" customFormat="1" x14ac:dyDescent="0.3">
      <c r="A55" s="23">
        <v>45397</v>
      </c>
      <c r="B55" s="24">
        <v>45397</v>
      </c>
      <c r="C55" s="25" t="s">
        <v>710</v>
      </c>
      <c r="D55" s="26" t="s">
        <v>711</v>
      </c>
      <c r="E55" s="26" t="s">
        <v>712</v>
      </c>
      <c r="F55" s="25" t="s">
        <v>713</v>
      </c>
      <c r="G55" s="36">
        <v>2000</v>
      </c>
      <c r="H55" s="35">
        <v>0</v>
      </c>
      <c r="I55" s="36">
        <v>0.19</v>
      </c>
      <c r="J55" s="27" t="s">
        <v>250</v>
      </c>
      <c r="K55" s="27" t="s">
        <v>741</v>
      </c>
    </row>
    <row r="56" spans="1:11" s="17" customFormat="1" x14ac:dyDescent="0.3">
      <c r="A56" s="60">
        <v>45398</v>
      </c>
      <c r="B56" s="61">
        <v>45398</v>
      </c>
      <c r="C56" s="62" t="s">
        <v>714</v>
      </c>
      <c r="D56" s="63" t="s">
        <v>640</v>
      </c>
      <c r="E56" s="63" t="s">
        <v>715</v>
      </c>
      <c r="F56" s="62"/>
      <c r="G56" s="64">
        <v>0</v>
      </c>
      <c r="H56" s="65">
        <v>2000</v>
      </c>
      <c r="I56" s="65">
        <v>2000.19</v>
      </c>
      <c r="J56" s="66" t="s">
        <v>250</v>
      </c>
      <c r="K56" s="67" t="s">
        <v>744</v>
      </c>
    </row>
    <row r="57" spans="1:11" s="17" customFormat="1" x14ac:dyDescent="0.3">
      <c r="A57" s="23">
        <v>45400</v>
      </c>
      <c r="B57" s="24">
        <v>45400</v>
      </c>
      <c r="C57" s="25" t="s">
        <v>716</v>
      </c>
      <c r="D57" s="26" t="s">
        <v>640</v>
      </c>
      <c r="E57" s="26" t="s">
        <v>717</v>
      </c>
      <c r="F57" s="25"/>
      <c r="G57" s="36">
        <v>50</v>
      </c>
      <c r="H57" s="35">
        <v>0</v>
      </c>
      <c r="I57" s="36">
        <v>1950.19</v>
      </c>
      <c r="J57" s="27" t="s">
        <v>250</v>
      </c>
      <c r="K57" s="22" t="s">
        <v>511</v>
      </c>
    </row>
    <row r="58" spans="1:11" s="17" customFormat="1" x14ac:dyDescent="0.3">
      <c r="A58" s="45">
        <v>45405</v>
      </c>
      <c r="B58" s="46">
        <v>45405</v>
      </c>
      <c r="C58" s="47" t="s">
        <v>718</v>
      </c>
      <c r="D58" s="48" t="s">
        <v>640</v>
      </c>
      <c r="E58" s="48" t="s">
        <v>719</v>
      </c>
      <c r="F58" s="47"/>
      <c r="G58" s="49">
        <v>1950.19</v>
      </c>
      <c r="H58" s="50">
        <v>0</v>
      </c>
      <c r="I58" s="49">
        <v>0</v>
      </c>
      <c r="J58" s="51" t="s">
        <v>250</v>
      </c>
      <c r="K58" s="52" t="s">
        <v>745</v>
      </c>
    </row>
    <row r="59" spans="1:11" s="17" customFormat="1" x14ac:dyDescent="0.3">
      <c r="A59" s="23">
        <v>45429</v>
      </c>
      <c r="B59" s="24">
        <v>45429</v>
      </c>
      <c r="C59" s="25" t="s">
        <v>720</v>
      </c>
      <c r="D59" s="26" t="s">
        <v>640</v>
      </c>
      <c r="E59" s="26" t="s">
        <v>721</v>
      </c>
      <c r="F59" s="25"/>
      <c r="G59" s="37">
        <v>0</v>
      </c>
      <c r="H59" s="36">
        <v>180</v>
      </c>
      <c r="I59" s="36">
        <v>180</v>
      </c>
      <c r="J59" s="27" t="s">
        <v>250</v>
      </c>
      <c r="K59" s="22" t="s">
        <v>511</v>
      </c>
    </row>
    <row r="60" spans="1:11" s="17" customFormat="1" x14ac:dyDescent="0.3">
      <c r="A60" s="60">
        <v>45429</v>
      </c>
      <c r="B60" s="61">
        <v>45429</v>
      </c>
      <c r="C60" s="62" t="s">
        <v>722</v>
      </c>
      <c r="D60" s="63" t="s">
        <v>640</v>
      </c>
      <c r="E60" s="63" t="s">
        <v>723</v>
      </c>
      <c r="F60" s="62"/>
      <c r="G60" s="65">
        <v>180</v>
      </c>
      <c r="H60" s="68">
        <v>0</v>
      </c>
      <c r="I60" s="65">
        <v>0</v>
      </c>
      <c r="J60" s="66" t="s">
        <v>250</v>
      </c>
      <c r="K60" s="67" t="s">
        <v>744</v>
      </c>
    </row>
    <row r="61" spans="1:11" s="17" customFormat="1" x14ac:dyDescent="0.3">
      <c r="A61" s="23">
        <v>45429</v>
      </c>
      <c r="B61" s="24">
        <v>45429</v>
      </c>
      <c r="C61" s="25" t="s">
        <v>724</v>
      </c>
      <c r="D61" s="26" t="s">
        <v>640</v>
      </c>
      <c r="E61" s="26" t="s">
        <v>725</v>
      </c>
      <c r="F61" s="25"/>
      <c r="G61" s="37">
        <v>0</v>
      </c>
      <c r="H61" s="36">
        <v>1</v>
      </c>
      <c r="I61" s="36">
        <v>1</v>
      </c>
      <c r="J61" s="27" t="s">
        <v>250</v>
      </c>
      <c r="K61" s="27" t="s">
        <v>510</v>
      </c>
    </row>
    <row r="62" spans="1:11" s="17" customFormat="1" x14ac:dyDescent="0.3">
      <c r="A62" s="60">
        <v>45429</v>
      </c>
      <c r="B62" s="61">
        <v>45429</v>
      </c>
      <c r="C62" s="62" t="s">
        <v>726</v>
      </c>
      <c r="D62" s="63" t="s">
        <v>640</v>
      </c>
      <c r="E62" s="63" t="s">
        <v>727</v>
      </c>
      <c r="F62" s="62"/>
      <c r="G62" s="65">
        <v>1</v>
      </c>
      <c r="H62" s="68">
        <v>0</v>
      </c>
      <c r="I62" s="65">
        <v>0</v>
      </c>
      <c r="J62" s="66" t="s">
        <v>250</v>
      </c>
      <c r="K62" s="67" t="s">
        <v>744</v>
      </c>
    </row>
    <row r="63" spans="1:11" s="17" customFormat="1" x14ac:dyDescent="0.3">
      <c r="A63" s="23">
        <v>45429</v>
      </c>
      <c r="B63" s="24">
        <v>45429</v>
      </c>
      <c r="C63" s="25" t="s">
        <v>728</v>
      </c>
      <c r="D63" s="26" t="s">
        <v>711</v>
      </c>
      <c r="E63" s="26" t="s">
        <v>729</v>
      </c>
      <c r="F63" s="25" t="s">
        <v>730</v>
      </c>
      <c r="G63" s="37">
        <v>0</v>
      </c>
      <c r="H63" s="36">
        <v>1000</v>
      </c>
      <c r="I63" s="36">
        <v>1000</v>
      </c>
      <c r="J63" s="27" t="s">
        <v>250</v>
      </c>
      <c r="K63" s="27" t="s">
        <v>742</v>
      </c>
    </row>
    <row r="64" spans="1:11" s="17" customFormat="1" x14ac:dyDescent="0.3">
      <c r="A64" s="60">
        <v>45429</v>
      </c>
      <c r="B64" s="61">
        <v>45429</v>
      </c>
      <c r="C64" s="62" t="s">
        <v>731</v>
      </c>
      <c r="D64" s="63" t="s">
        <v>640</v>
      </c>
      <c r="E64" s="63" t="s">
        <v>732</v>
      </c>
      <c r="F64" s="62"/>
      <c r="G64" s="65">
        <v>1000</v>
      </c>
      <c r="H64" s="68">
        <v>0</v>
      </c>
      <c r="I64" s="65">
        <v>0</v>
      </c>
      <c r="J64" s="66" t="s">
        <v>250</v>
      </c>
      <c r="K64" s="67" t="s">
        <v>744</v>
      </c>
    </row>
    <row r="65" spans="1:11" s="17" customFormat="1" x14ac:dyDescent="0.3">
      <c r="A65" s="23">
        <v>45433</v>
      </c>
      <c r="B65" s="24">
        <v>45433</v>
      </c>
      <c r="C65" s="25" t="s">
        <v>733</v>
      </c>
      <c r="D65" s="25" t="s">
        <v>734</v>
      </c>
      <c r="E65" s="26" t="s">
        <v>735</v>
      </c>
      <c r="F65" s="25"/>
      <c r="G65" s="37">
        <v>0</v>
      </c>
      <c r="H65" s="36">
        <v>4</v>
      </c>
      <c r="I65" s="36">
        <v>4</v>
      </c>
      <c r="J65" s="27" t="s">
        <v>250</v>
      </c>
      <c r="K65" s="27" t="s">
        <v>227</v>
      </c>
    </row>
    <row r="66" spans="1:11" s="17" customFormat="1" x14ac:dyDescent="0.3">
      <c r="A66" s="60">
        <v>45433</v>
      </c>
      <c r="B66" s="61">
        <v>45433</v>
      </c>
      <c r="C66" s="62" t="s">
        <v>736</v>
      </c>
      <c r="D66" s="63" t="s">
        <v>640</v>
      </c>
      <c r="E66" s="63" t="s">
        <v>737</v>
      </c>
      <c r="F66" s="62"/>
      <c r="G66" s="65">
        <v>4</v>
      </c>
      <c r="H66" s="68">
        <v>0</v>
      </c>
      <c r="I66" s="65">
        <v>0</v>
      </c>
      <c r="J66" s="66" t="s">
        <v>250</v>
      </c>
      <c r="K66" s="66" t="s">
        <v>744</v>
      </c>
    </row>
    <row r="67" spans="1:11" x14ac:dyDescent="0.3">
      <c r="H67" s="7" t="s">
        <v>29</v>
      </c>
      <c r="I67" s="7">
        <v>0</v>
      </c>
    </row>
    <row r="70" spans="1:11" x14ac:dyDescent="0.3">
      <c r="A70" s="96" t="s">
        <v>738</v>
      </c>
      <c r="B70" s="96"/>
      <c r="C70" s="96"/>
      <c r="D70" s="96"/>
      <c r="E70" s="96"/>
    </row>
    <row r="71" spans="1:11" x14ac:dyDescent="0.3">
      <c r="A71" s="96" t="s">
        <v>739</v>
      </c>
      <c r="B71" s="96"/>
      <c r="C71" s="96"/>
      <c r="D71" s="96"/>
      <c r="E71" s="96"/>
    </row>
    <row r="72" spans="1:11" x14ac:dyDescent="0.3">
      <c r="A72" s="97" t="s">
        <v>740</v>
      </c>
      <c r="B72" s="97"/>
      <c r="C72" s="97"/>
      <c r="D72" s="97"/>
      <c r="E72" s="97"/>
    </row>
    <row r="81" spans="6:7" x14ac:dyDescent="0.3">
      <c r="F81" s="33"/>
      <c r="G81" s="33"/>
    </row>
  </sheetData>
  <autoFilter ref="A19:K67" xr:uid="{C30326CE-E69F-4248-A74F-DF8865BC7D2A}"/>
  <mergeCells count="4">
    <mergeCell ref="A17:J17"/>
    <mergeCell ref="A70:E70"/>
    <mergeCell ref="A71:E71"/>
    <mergeCell ref="A72:E7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D215-6A6F-4D53-B2CE-681BDBB3FF20}">
  <dimension ref="A1:M645"/>
  <sheetViews>
    <sheetView workbookViewId="0">
      <selection activeCell="F4" sqref="F4"/>
    </sheetView>
  </sheetViews>
  <sheetFormatPr defaultRowHeight="14.4" x14ac:dyDescent="0.3"/>
  <cols>
    <col min="2" max="3" width="10.33203125" bestFit="1" customWidth="1"/>
    <col min="4" max="4" width="41.44140625" bestFit="1" customWidth="1"/>
    <col min="5" max="5" width="22.44140625" bestFit="1" customWidth="1"/>
    <col min="6" max="6" width="9.88671875" bestFit="1" customWidth="1"/>
    <col min="8" max="8" width="11.33203125" bestFit="1" customWidth="1"/>
    <col min="10" max="11" width="10" bestFit="1" customWidth="1"/>
    <col min="12" max="12" width="11.33203125" bestFit="1" customWidth="1"/>
  </cols>
  <sheetData>
    <row r="1" spans="1:13" x14ac:dyDescent="0.3">
      <c r="C1" t="s">
        <v>254</v>
      </c>
    </row>
    <row r="2" spans="1:13" x14ac:dyDescent="0.3">
      <c r="A2" t="s">
        <v>255</v>
      </c>
    </row>
    <row r="3" spans="1:13" x14ac:dyDescent="0.3">
      <c r="A3" t="s">
        <v>256</v>
      </c>
      <c r="E3" t="s">
        <v>257</v>
      </c>
      <c r="F3">
        <v>836844778</v>
      </c>
    </row>
    <row r="4" spans="1:13" x14ac:dyDescent="0.3">
      <c r="A4" t="s">
        <v>258</v>
      </c>
      <c r="E4" t="s">
        <v>259</v>
      </c>
      <c r="F4">
        <v>3649610333</v>
      </c>
    </row>
    <row r="5" spans="1:13" x14ac:dyDescent="0.3">
      <c r="A5" t="s">
        <v>260</v>
      </c>
      <c r="E5" t="s">
        <v>261</v>
      </c>
      <c r="F5" t="s">
        <v>262</v>
      </c>
    </row>
    <row r="6" spans="1:13" x14ac:dyDescent="0.3">
      <c r="A6" t="s">
        <v>263</v>
      </c>
      <c r="E6" t="s">
        <v>264</v>
      </c>
      <c r="F6" t="s">
        <v>265</v>
      </c>
    </row>
    <row r="7" spans="1:13" x14ac:dyDescent="0.3">
      <c r="A7" t="s">
        <v>266</v>
      </c>
      <c r="E7" t="s">
        <v>267</v>
      </c>
      <c r="F7" t="s">
        <v>268</v>
      </c>
    </row>
    <row r="8" spans="1:13" x14ac:dyDescent="0.3">
      <c r="A8" t="s">
        <v>269</v>
      </c>
      <c r="E8" t="s">
        <v>270</v>
      </c>
      <c r="F8" t="s">
        <v>271</v>
      </c>
    </row>
    <row r="9" spans="1:13" x14ac:dyDescent="0.3">
      <c r="A9">
        <v>560103</v>
      </c>
      <c r="E9" t="s">
        <v>272</v>
      </c>
    </row>
    <row r="10" spans="1:13" x14ac:dyDescent="0.3">
      <c r="E10" t="s">
        <v>273</v>
      </c>
    </row>
    <row r="11" spans="1:13" x14ac:dyDescent="0.3">
      <c r="E11" t="s">
        <v>274</v>
      </c>
      <c r="F11" t="s">
        <v>275</v>
      </c>
    </row>
    <row r="12" spans="1:13" x14ac:dyDescent="0.3">
      <c r="E12" t="s">
        <v>276</v>
      </c>
      <c r="F12">
        <v>560485104</v>
      </c>
    </row>
    <row r="13" spans="1:13" x14ac:dyDescent="0.3">
      <c r="J13">
        <f>SUBTOTAL(9,J15:J1048576)</f>
        <v>1030939.4800000001</v>
      </c>
      <c r="K13">
        <f>SUBTOTAL(9,K15:K1048576)</f>
        <v>972950.66</v>
      </c>
    </row>
    <row r="14" spans="1:13" x14ac:dyDescent="0.3">
      <c r="A14" t="s">
        <v>277</v>
      </c>
      <c r="B14" t="s">
        <v>278</v>
      </c>
      <c r="C14" t="s">
        <v>279</v>
      </c>
      <c r="D14" t="s">
        <v>280</v>
      </c>
      <c r="E14" t="s">
        <v>281</v>
      </c>
      <c r="F14" t="s">
        <v>282</v>
      </c>
      <c r="G14" t="s">
        <v>283</v>
      </c>
      <c r="H14" t="s">
        <v>284</v>
      </c>
      <c r="I14" t="s">
        <v>283</v>
      </c>
      <c r="J14" t="s">
        <v>249</v>
      </c>
      <c r="K14" t="s">
        <v>250</v>
      </c>
      <c r="L14" s="1">
        <v>59722.01</v>
      </c>
      <c r="M14" t="s">
        <v>24</v>
      </c>
    </row>
    <row r="15" spans="1:13" x14ac:dyDescent="0.3">
      <c r="A15" s="41">
        <v>1</v>
      </c>
      <c r="B15" s="43">
        <v>45384</v>
      </c>
      <c r="C15" s="43">
        <v>45384</v>
      </c>
      <c r="D15" s="41" t="s">
        <v>285</v>
      </c>
      <c r="E15" s="41" t="s">
        <v>286</v>
      </c>
      <c r="F15" s="42">
        <v>32394.22</v>
      </c>
      <c r="G15" s="42" t="s">
        <v>249</v>
      </c>
      <c r="H15" s="42">
        <v>27327.79</v>
      </c>
      <c r="I15" s="41" t="s">
        <v>250</v>
      </c>
      <c r="J15" s="42">
        <v>32394.22</v>
      </c>
      <c r="K15" s="42">
        <v>0</v>
      </c>
      <c r="L15" s="42">
        <f>L14-J15+K15</f>
        <v>27327.79</v>
      </c>
      <c r="M15" s="44" t="s">
        <v>745</v>
      </c>
    </row>
    <row r="16" spans="1:13" x14ac:dyDescent="0.3">
      <c r="A16" s="56">
        <v>2</v>
      </c>
      <c r="B16" s="57">
        <v>45384</v>
      </c>
      <c r="C16" s="57">
        <v>45384</v>
      </c>
      <c r="D16" s="56" t="s">
        <v>287</v>
      </c>
      <c r="E16" s="56" t="s">
        <v>288</v>
      </c>
      <c r="F16" s="58">
        <v>5000</v>
      </c>
      <c r="G16" s="58" t="s">
        <v>249</v>
      </c>
      <c r="H16" s="58">
        <v>22327.79</v>
      </c>
      <c r="I16" s="56" t="s">
        <v>250</v>
      </c>
      <c r="J16" s="58">
        <v>5000</v>
      </c>
      <c r="K16" s="58">
        <v>0</v>
      </c>
      <c r="L16" s="58">
        <f t="shared" ref="L16:L79" si="0">L15-J16+K16</f>
        <v>22327.79</v>
      </c>
      <c r="M16" s="59" t="s">
        <v>746</v>
      </c>
    </row>
    <row r="17" spans="1:13" x14ac:dyDescent="0.3">
      <c r="A17" s="56">
        <v>3</v>
      </c>
      <c r="B17" s="57">
        <v>45386</v>
      </c>
      <c r="C17" s="57">
        <v>45386</v>
      </c>
      <c r="D17" s="56" t="s">
        <v>289</v>
      </c>
      <c r="E17" s="56" t="s">
        <v>290</v>
      </c>
      <c r="F17" s="58">
        <v>2000</v>
      </c>
      <c r="G17" s="58" t="s">
        <v>249</v>
      </c>
      <c r="H17" s="58">
        <v>20327.79</v>
      </c>
      <c r="I17" s="56" t="s">
        <v>250</v>
      </c>
      <c r="J17" s="58">
        <v>2000</v>
      </c>
      <c r="K17" s="58">
        <v>0</v>
      </c>
      <c r="L17" s="58">
        <f t="shared" si="0"/>
        <v>20327.79</v>
      </c>
      <c r="M17" s="59" t="s">
        <v>746</v>
      </c>
    </row>
    <row r="18" spans="1:13" x14ac:dyDescent="0.3">
      <c r="A18" s="56">
        <v>4</v>
      </c>
      <c r="B18" s="57">
        <v>45389</v>
      </c>
      <c r="C18" s="57">
        <v>45389</v>
      </c>
      <c r="D18" s="56" t="s">
        <v>291</v>
      </c>
      <c r="E18" s="56" t="s">
        <v>292</v>
      </c>
      <c r="F18" s="58">
        <v>1000</v>
      </c>
      <c r="G18" s="58" t="s">
        <v>249</v>
      </c>
      <c r="H18" s="58">
        <v>19327.79</v>
      </c>
      <c r="I18" s="56" t="s">
        <v>250</v>
      </c>
      <c r="J18" s="58">
        <v>1000</v>
      </c>
      <c r="K18" s="58">
        <v>0</v>
      </c>
      <c r="L18" s="58">
        <f t="shared" si="0"/>
        <v>19327.79</v>
      </c>
      <c r="M18" s="59" t="s">
        <v>746</v>
      </c>
    </row>
    <row r="19" spans="1:13" x14ac:dyDescent="0.3">
      <c r="A19">
        <v>5</v>
      </c>
      <c r="B19" s="2">
        <v>45390</v>
      </c>
      <c r="C19" s="2">
        <v>45390</v>
      </c>
      <c r="D19" t="s">
        <v>293</v>
      </c>
      <c r="E19" t="s">
        <v>294</v>
      </c>
      <c r="F19" s="1">
        <v>1</v>
      </c>
      <c r="G19" s="1" t="s">
        <v>249</v>
      </c>
      <c r="H19" s="1">
        <v>19326.79</v>
      </c>
      <c r="I19" t="s">
        <v>250</v>
      </c>
      <c r="J19" s="1">
        <v>1</v>
      </c>
      <c r="K19" s="1">
        <v>0</v>
      </c>
      <c r="L19" s="1">
        <f t="shared" si="0"/>
        <v>19326.79</v>
      </c>
      <c r="M19" s="5" t="s">
        <v>511</v>
      </c>
    </row>
    <row r="20" spans="1:13" x14ac:dyDescent="0.3">
      <c r="A20" s="56">
        <v>6</v>
      </c>
      <c r="B20" s="57">
        <v>45391</v>
      </c>
      <c r="C20" s="57">
        <v>45391</v>
      </c>
      <c r="D20" s="56" t="s">
        <v>295</v>
      </c>
      <c r="E20" s="56" t="s">
        <v>296</v>
      </c>
      <c r="F20" s="58">
        <v>2000</v>
      </c>
      <c r="G20" s="58" t="s">
        <v>249</v>
      </c>
      <c r="H20" s="58">
        <v>17326.79</v>
      </c>
      <c r="I20" s="56" t="s">
        <v>250</v>
      </c>
      <c r="J20" s="58">
        <v>2000</v>
      </c>
      <c r="K20" s="58">
        <v>0</v>
      </c>
      <c r="L20" s="58">
        <f t="shared" si="0"/>
        <v>17326.79</v>
      </c>
      <c r="M20" s="59" t="s">
        <v>746</v>
      </c>
    </row>
    <row r="21" spans="1:13" x14ac:dyDescent="0.3">
      <c r="A21">
        <v>7</v>
      </c>
      <c r="B21" s="2">
        <v>45392</v>
      </c>
      <c r="C21" s="2">
        <v>45392</v>
      </c>
      <c r="D21" t="s">
        <v>297</v>
      </c>
      <c r="E21" t="s">
        <v>298</v>
      </c>
      <c r="F21" s="1">
        <v>1</v>
      </c>
      <c r="G21" s="1" t="s">
        <v>250</v>
      </c>
      <c r="H21" s="1">
        <v>17327.79</v>
      </c>
      <c r="I21" t="s">
        <v>250</v>
      </c>
      <c r="J21" s="1">
        <v>0</v>
      </c>
      <c r="K21" s="1">
        <v>1</v>
      </c>
      <c r="L21" s="1">
        <f t="shared" si="0"/>
        <v>17327.79</v>
      </c>
      <c r="M21" s="5" t="s">
        <v>511</v>
      </c>
    </row>
    <row r="22" spans="1:13" x14ac:dyDescent="0.3">
      <c r="A22">
        <v>8</v>
      </c>
      <c r="B22" s="2">
        <v>45394</v>
      </c>
      <c r="C22" s="2">
        <v>45394</v>
      </c>
      <c r="D22" t="s">
        <v>299</v>
      </c>
      <c r="E22" t="s">
        <v>300</v>
      </c>
      <c r="F22" s="1">
        <v>10000</v>
      </c>
      <c r="G22" s="1" t="s">
        <v>249</v>
      </c>
      <c r="H22" s="1">
        <v>7327.79</v>
      </c>
      <c r="I22" t="s">
        <v>250</v>
      </c>
      <c r="J22" s="1">
        <v>10000</v>
      </c>
      <c r="K22" s="1">
        <v>0</v>
      </c>
      <c r="L22" s="1">
        <f t="shared" si="0"/>
        <v>7327.7900000000009</v>
      </c>
      <c r="M22" s="5" t="s">
        <v>508</v>
      </c>
    </row>
    <row r="23" spans="1:13" x14ac:dyDescent="0.3">
      <c r="A23">
        <v>9</v>
      </c>
      <c r="B23" s="2">
        <v>45394</v>
      </c>
      <c r="C23" s="2">
        <v>45394</v>
      </c>
      <c r="D23" t="s">
        <v>301</v>
      </c>
      <c r="E23" t="s">
        <v>300</v>
      </c>
      <c r="F23" s="1">
        <v>10000</v>
      </c>
      <c r="G23" s="1" t="s">
        <v>250</v>
      </c>
      <c r="H23" s="1">
        <v>17327.79</v>
      </c>
      <c r="I23" t="s">
        <v>250</v>
      </c>
      <c r="J23" s="1">
        <v>0</v>
      </c>
      <c r="K23" s="1">
        <v>10000</v>
      </c>
      <c r="L23" s="1">
        <f t="shared" si="0"/>
        <v>17327.79</v>
      </c>
      <c r="M23" s="5" t="s">
        <v>508</v>
      </c>
    </row>
    <row r="24" spans="1:13" x14ac:dyDescent="0.3">
      <c r="A24">
        <v>10</v>
      </c>
      <c r="B24" s="2">
        <v>45394</v>
      </c>
      <c r="C24" s="2">
        <v>45394</v>
      </c>
      <c r="D24" t="s">
        <v>302</v>
      </c>
      <c r="E24" t="s">
        <v>303</v>
      </c>
      <c r="F24" s="1">
        <v>1</v>
      </c>
      <c r="G24" s="1" t="s">
        <v>250</v>
      </c>
      <c r="H24" s="1">
        <v>17328.79</v>
      </c>
      <c r="I24" t="s">
        <v>250</v>
      </c>
      <c r="J24" s="1">
        <v>0</v>
      </c>
      <c r="K24" s="1">
        <v>1</v>
      </c>
      <c r="L24" s="1">
        <f t="shared" si="0"/>
        <v>17328.79</v>
      </c>
      <c r="M24" s="5" t="s">
        <v>508</v>
      </c>
    </row>
    <row r="25" spans="1:13" x14ac:dyDescent="0.3">
      <c r="A25">
        <v>11</v>
      </c>
      <c r="B25" s="2">
        <v>45394</v>
      </c>
      <c r="C25" s="2">
        <v>45394</v>
      </c>
      <c r="D25" t="s">
        <v>304</v>
      </c>
      <c r="E25" t="s">
        <v>305</v>
      </c>
      <c r="F25" s="1">
        <v>1000</v>
      </c>
      <c r="G25" s="1" t="s">
        <v>249</v>
      </c>
      <c r="H25" s="1">
        <v>16328.79</v>
      </c>
      <c r="I25" t="s">
        <v>250</v>
      </c>
      <c r="J25" s="1">
        <v>1000</v>
      </c>
      <c r="K25" s="1">
        <v>0</v>
      </c>
      <c r="L25" s="1">
        <f t="shared" si="0"/>
        <v>16328.79</v>
      </c>
      <c r="M25" s="5" t="s">
        <v>508</v>
      </c>
    </row>
    <row r="26" spans="1:13" x14ac:dyDescent="0.3">
      <c r="A26">
        <v>12</v>
      </c>
      <c r="B26" s="2">
        <v>45394</v>
      </c>
      <c r="C26" s="2">
        <v>45394</v>
      </c>
      <c r="D26" t="s">
        <v>306</v>
      </c>
      <c r="E26" t="s">
        <v>307</v>
      </c>
      <c r="F26" s="1">
        <v>106</v>
      </c>
      <c r="G26" s="1" t="s">
        <v>249</v>
      </c>
      <c r="H26" s="1">
        <v>16222.79</v>
      </c>
      <c r="I26" t="s">
        <v>250</v>
      </c>
      <c r="J26" s="1">
        <v>106</v>
      </c>
      <c r="K26" s="1">
        <v>0</v>
      </c>
      <c r="L26" s="1">
        <f t="shared" si="0"/>
        <v>16222.79</v>
      </c>
      <c r="M26" s="5" t="s">
        <v>511</v>
      </c>
    </row>
    <row r="27" spans="1:13" x14ac:dyDescent="0.3">
      <c r="A27" s="56">
        <v>13</v>
      </c>
      <c r="B27" s="57">
        <v>45395</v>
      </c>
      <c r="C27" s="57">
        <v>45395</v>
      </c>
      <c r="D27" s="56" t="s">
        <v>308</v>
      </c>
      <c r="E27" s="56" t="s">
        <v>309</v>
      </c>
      <c r="F27" s="58">
        <v>15</v>
      </c>
      <c r="G27" s="58" t="s">
        <v>249</v>
      </c>
      <c r="H27" s="58">
        <v>16207.79</v>
      </c>
      <c r="I27" s="56" t="s">
        <v>250</v>
      </c>
      <c r="J27" s="58">
        <v>15</v>
      </c>
      <c r="K27" s="58">
        <v>0</v>
      </c>
      <c r="L27" s="58">
        <f t="shared" si="0"/>
        <v>16207.79</v>
      </c>
      <c r="M27" s="59" t="s">
        <v>746</v>
      </c>
    </row>
    <row r="28" spans="1:13" x14ac:dyDescent="0.3">
      <c r="A28">
        <v>14</v>
      </c>
      <c r="B28" s="2">
        <v>45395</v>
      </c>
      <c r="C28" s="2">
        <v>45395</v>
      </c>
      <c r="D28" t="s">
        <v>310</v>
      </c>
      <c r="E28" t="s">
        <v>311</v>
      </c>
      <c r="F28" s="1">
        <v>10</v>
      </c>
      <c r="G28" s="1" t="s">
        <v>250</v>
      </c>
      <c r="H28" s="1">
        <v>16217.79</v>
      </c>
      <c r="I28" t="s">
        <v>250</v>
      </c>
      <c r="J28" s="1">
        <v>0</v>
      </c>
      <c r="K28" s="1">
        <v>10</v>
      </c>
      <c r="L28" s="1">
        <f t="shared" si="0"/>
        <v>16217.79</v>
      </c>
      <c r="M28" s="5" t="s">
        <v>511</v>
      </c>
    </row>
    <row r="29" spans="1:13" x14ac:dyDescent="0.3">
      <c r="A29">
        <v>15</v>
      </c>
      <c r="B29" s="2">
        <v>45396</v>
      </c>
      <c r="C29" s="2">
        <v>45396</v>
      </c>
      <c r="D29" t="s">
        <v>312</v>
      </c>
      <c r="E29" t="s">
        <v>313</v>
      </c>
      <c r="F29" s="1">
        <v>100</v>
      </c>
      <c r="G29" s="1" t="s">
        <v>249</v>
      </c>
      <c r="H29" s="1">
        <v>16117.79</v>
      </c>
      <c r="I29" t="s">
        <v>250</v>
      </c>
      <c r="J29" s="1">
        <v>100</v>
      </c>
      <c r="K29" s="1">
        <v>0</v>
      </c>
      <c r="L29" s="1">
        <f t="shared" si="0"/>
        <v>16117.79</v>
      </c>
      <c r="M29" s="5" t="s">
        <v>511</v>
      </c>
    </row>
    <row r="30" spans="1:13" x14ac:dyDescent="0.3">
      <c r="A30">
        <v>16</v>
      </c>
      <c r="B30" s="2">
        <v>45396</v>
      </c>
      <c r="C30" s="2">
        <v>45396</v>
      </c>
      <c r="D30" t="s">
        <v>314</v>
      </c>
      <c r="E30" t="s">
        <v>315</v>
      </c>
      <c r="F30" s="1">
        <v>480</v>
      </c>
      <c r="G30" s="1" t="s">
        <v>249</v>
      </c>
      <c r="H30" s="1">
        <v>15637.79</v>
      </c>
      <c r="I30" t="s">
        <v>250</v>
      </c>
      <c r="J30" s="1">
        <v>480</v>
      </c>
      <c r="K30" s="1">
        <v>0</v>
      </c>
      <c r="L30" s="1">
        <f t="shared" si="0"/>
        <v>15637.79</v>
      </c>
      <c r="M30" s="5" t="s">
        <v>511</v>
      </c>
    </row>
    <row r="31" spans="1:13" x14ac:dyDescent="0.3">
      <c r="A31">
        <v>17</v>
      </c>
      <c r="B31" s="2">
        <v>45397</v>
      </c>
      <c r="C31" s="2">
        <v>45397</v>
      </c>
      <c r="D31" t="s">
        <v>316</v>
      </c>
      <c r="E31" t="s">
        <v>317</v>
      </c>
      <c r="F31" s="1">
        <v>400</v>
      </c>
      <c r="G31" s="1" t="s">
        <v>250</v>
      </c>
      <c r="H31" s="1">
        <v>16037.79</v>
      </c>
      <c r="I31" t="s">
        <v>250</v>
      </c>
      <c r="J31" s="1">
        <v>0</v>
      </c>
      <c r="K31" s="1">
        <v>400</v>
      </c>
      <c r="L31" s="1">
        <f t="shared" si="0"/>
        <v>16037.79</v>
      </c>
      <c r="M31" s="5" t="s">
        <v>505</v>
      </c>
    </row>
    <row r="32" spans="1:13" x14ac:dyDescent="0.3">
      <c r="A32">
        <v>18</v>
      </c>
      <c r="B32" s="2">
        <v>45397</v>
      </c>
      <c r="C32" s="2">
        <v>45397</v>
      </c>
      <c r="D32" t="s">
        <v>318</v>
      </c>
      <c r="E32" t="s">
        <v>319</v>
      </c>
      <c r="F32" s="1">
        <v>5000</v>
      </c>
      <c r="G32" s="1" t="s">
        <v>249</v>
      </c>
      <c r="H32" s="1">
        <v>11037.79</v>
      </c>
      <c r="I32" t="s">
        <v>250</v>
      </c>
      <c r="J32" s="1">
        <v>5000</v>
      </c>
      <c r="K32" s="1">
        <v>0</v>
      </c>
      <c r="L32" s="1">
        <f t="shared" si="0"/>
        <v>11037.79</v>
      </c>
      <c r="M32" s="5" t="s">
        <v>506</v>
      </c>
    </row>
    <row r="33" spans="1:13" x14ac:dyDescent="0.3">
      <c r="A33">
        <v>19</v>
      </c>
      <c r="B33" s="2">
        <v>45398</v>
      </c>
      <c r="C33" s="2">
        <v>45398</v>
      </c>
      <c r="D33" t="s">
        <v>320</v>
      </c>
      <c r="E33" t="s">
        <v>321</v>
      </c>
      <c r="F33" s="1">
        <v>1</v>
      </c>
      <c r="G33" s="1" t="s">
        <v>249</v>
      </c>
      <c r="H33" s="1">
        <v>11036.79</v>
      </c>
      <c r="I33" t="s">
        <v>250</v>
      </c>
      <c r="J33" s="1">
        <v>1</v>
      </c>
      <c r="K33" s="1">
        <v>0</v>
      </c>
      <c r="L33" s="1">
        <f t="shared" si="0"/>
        <v>11036.79</v>
      </c>
      <c r="M33" s="5" t="s">
        <v>511</v>
      </c>
    </row>
    <row r="34" spans="1:13" x14ac:dyDescent="0.3">
      <c r="A34">
        <v>20</v>
      </c>
      <c r="B34" s="2">
        <v>45398</v>
      </c>
      <c r="C34" s="2">
        <v>45398</v>
      </c>
      <c r="D34" t="s">
        <v>322</v>
      </c>
      <c r="E34" t="s">
        <v>323</v>
      </c>
      <c r="F34" s="1">
        <v>1</v>
      </c>
      <c r="G34" s="1" t="s">
        <v>249</v>
      </c>
      <c r="H34" s="1">
        <v>11035.79</v>
      </c>
      <c r="I34" t="s">
        <v>250</v>
      </c>
      <c r="J34" s="1">
        <v>1</v>
      </c>
      <c r="K34" s="1">
        <v>0</v>
      </c>
      <c r="L34" s="1">
        <f t="shared" si="0"/>
        <v>11035.79</v>
      </c>
      <c r="M34" s="5" t="s">
        <v>511</v>
      </c>
    </row>
    <row r="35" spans="1:13" x14ac:dyDescent="0.3">
      <c r="A35">
        <v>21</v>
      </c>
      <c r="B35" s="2">
        <v>45398</v>
      </c>
      <c r="C35" s="2">
        <v>45398</v>
      </c>
      <c r="D35" t="s">
        <v>324</v>
      </c>
      <c r="E35" t="s">
        <v>325</v>
      </c>
      <c r="F35" s="1">
        <v>1</v>
      </c>
      <c r="G35" s="1" t="s">
        <v>249</v>
      </c>
      <c r="H35" s="1">
        <v>11034.79</v>
      </c>
      <c r="I35" t="s">
        <v>250</v>
      </c>
      <c r="J35" s="1">
        <v>1</v>
      </c>
      <c r="K35" s="1">
        <v>0</v>
      </c>
      <c r="L35" s="1">
        <f t="shared" si="0"/>
        <v>11034.79</v>
      </c>
      <c r="M35" s="5" t="s">
        <v>511</v>
      </c>
    </row>
    <row r="36" spans="1:13" x14ac:dyDescent="0.3">
      <c r="A36">
        <v>22</v>
      </c>
      <c r="B36" s="2">
        <v>45398</v>
      </c>
      <c r="C36" s="2">
        <v>45398</v>
      </c>
      <c r="D36" t="s">
        <v>326</v>
      </c>
      <c r="E36" t="s">
        <v>327</v>
      </c>
      <c r="F36" s="1">
        <v>1132</v>
      </c>
      <c r="G36" s="1" t="s">
        <v>249</v>
      </c>
      <c r="H36" s="1">
        <v>9902.7900000000009</v>
      </c>
      <c r="I36" t="s">
        <v>250</v>
      </c>
      <c r="J36" s="1">
        <v>1132</v>
      </c>
      <c r="K36" s="1">
        <v>0</v>
      </c>
      <c r="L36" s="1">
        <f t="shared" si="0"/>
        <v>9902.7900000000009</v>
      </c>
      <c r="M36" s="5" t="s">
        <v>511</v>
      </c>
    </row>
    <row r="37" spans="1:13" x14ac:dyDescent="0.3">
      <c r="A37" s="56">
        <v>23</v>
      </c>
      <c r="B37" s="57">
        <v>45398</v>
      </c>
      <c r="C37" s="57">
        <v>45398</v>
      </c>
      <c r="D37" s="56" t="s">
        <v>328</v>
      </c>
      <c r="E37" s="56" t="s">
        <v>329</v>
      </c>
      <c r="F37" s="58">
        <v>2000</v>
      </c>
      <c r="G37" s="58" t="s">
        <v>249</v>
      </c>
      <c r="H37" s="58">
        <v>7902.79</v>
      </c>
      <c r="I37" s="56" t="s">
        <v>250</v>
      </c>
      <c r="J37" s="58">
        <v>2000</v>
      </c>
      <c r="K37" s="58">
        <v>0</v>
      </c>
      <c r="L37" s="58">
        <f t="shared" si="0"/>
        <v>7902.7900000000009</v>
      </c>
      <c r="M37" s="59" t="s">
        <v>746</v>
      </c>
    </row>
    <row r="38" spans="1:13" x14ac:dyDescent="0.3">
      <c r="A38">
        <v>24</v>
      </c>
      <c r="B38" s="2">
        <v>45398</v>
      </c>
      <c r="C38" s="2">
        <v>45398</v>
      </c>
      <c r="D38" t="s">
        <v>330</v>
      </c>
      <c r="E38" t="s">
        <v>331</v>
      </c>
      <c r="F38" s="1">
        <v>50</v>
      </c>
      <c r="G38" s="1" t="s">
        <v>249</v>
      </c>
      <c r="H38" s="1">
        <v>7852.79</v>
      </c>
      <c r="I38" t="s">
        <v>250</v>
      </c>
      <c r="J38" s="1">
        <v>50</v>
      </c>
      <c r="K38" s="1">
        <v>0</v>
      </c>
      <c r="L38" s="1">
        <f t="shared" si="0"/>
        <v>7852.7900000000009</v>
      </c>
      <c r="M38" s="5" t="s">
        <v>228</v>
      </c>
    </row>
    <row r="39" spans="1:13" x14ac:dyDescent="0.3">
      <c r="A39">
        <v>25</v>
      </c>
      <c r="B39" s="2">
        <v>45398</v>
      </c>
      <c r="C39" s="2">
        <v>45398</v>
      </c>
      <c r="D39" t="s">
        <v>332</v>
      </c>
      <c r="E39" t="s">
        <v>333</v>
      </c>
      <c r="F39" s="1">
        <v>80</v>
      </c>
      <c r="G39" s="1" t="s">
        <v>249</v>
      </c>
      <c r="H39" s="1">
        <v>7772.79</v>
      </c>
      <c r="I39" t="s">
        <v>250</v>
      </c>
      <c r="J39" s="1">
        <v>80</v>
      </c>
      <c r="K39" s="1">
        <v>0</v>
      </c>
      <c r="L39" s="1">
        <f t="shared" si="0"/>
        <v>7772.7900000000009</v>
      </c>
      <c r="M39" s="5" t="s">
        <v>511</v>
      </c>
    </row>
    <row r="40" spans="1:13" x14ac:dyDescent="0.3">
      <c r="A40">
        <v>26</v>
      </c>
      <c r="B40" s="2">
        <v>45398</v>
      </c>
      <c r="C40" s="2">
        <v>45398</v>
      </c>
      <c r="D40" t="s">
        <v>334</v>
      </c>
      <c r="E40" t="s">
        <v>335</v>
      </c>
      <c r="F40" s="1">
        <v>804</v>
      </c>
      <c r="G40" s="1" t="s">
        <v>250</v>
      </c>
      <c r="H40" s="1">
        <v>8576.7900000000009</v>
      </c>
      <c r="I40" t="s">
        <v>250</v>
      </c>
      <c r="J40" s="1">
        <v>0</v>
      </c>
      <c r="K40" s="1">
        <v>804</v>
      </c>
      <c r="L40" s="1">
        <f t="shared" si="0"/>
        <v>8576.7900000000009</v>
      </c>
      <c r="M40" s="5" t="s">
        <v>509</v>
      </c>
    </row>
    <row r="41" spans="1:13" x14ac:dyDescent="0.3">
      <c r="A41">
        <v>27</v>
      </c>
      <c r="B41" s="2">
        <v>45399</v>
      </c>
      <c r="C41" s="2">
        <v>45399</v>
      </c>
      <c r="D41" t="s">
        <v>336</v>
      </c>
      <c r="E41" t="s">
        <v>337</v>
      </c>
      <c r="F41" s="1">
        <v>961</v>
      </c>
      <c r="G41" s="1" t="s">
        <v>249</v>
      </c>
      <c r="H41" s="1">
        <v>7615.79</v>
      </c>
      <c r="I41" t="s">
        <v>250</v>
      </c>
      <c r="J41" s="1">
        <v>961</v>
      </c>
      <c r="K41" s="1">
        <v>0</v>
      </c>
      <c r="L41" s="1">
        <f t="shared" si="0"/>
        <v>7615.7900000000009</v>
      </c>
      <c r="M41" s="5" t="s">
        <v>511</v>
      </c>
    </row>
    <row r="42" spans="1:13" x14ac:dyDescent="0.3">
      <c r="A42">
        <v>28</v>
      </c>
      <c r="B42" s="2">
        <v>45399</v>
      </c>
      <c r="C42" s="2">
        <v>45399</v>
      </c>
      <c r="D42" t="s">
        <v>338</v>
      </c>
      <c r="E42" t="s">
        <v>339</v>
      </c>
      <c r="F42" s="1">
        <v>261</v>
      </c>
      <c r="G42" s="1" t="s">
        <v>249</v>
      </c>
      <c r="H42" s="1">
        <v>7354.79</v>
      </c>
      <c r="I42" t="s">
        <v>250</v>
      </c>
      <c r="J42" s="1">
        <v>261</v>
      </c>
      <c r="K42" s="1">
        <v>0</v>
      </c>
      <c r="L42" s="1">
        <f t="shared" si="0"/>
        <v>7354.7900000000009</v>
      </c>
      <c r="M42" s="5" t="s">
        <v>511</v>
      </c>
    </row>
    <row r="43" spans="1:13" x14ac:dyDescent="0.3">
      <c r="A43">
        <v>29</v>
      </c>
      <c r="B43" s="2">
        <v>45399</v>
      </c>
      <c r="C43" s="2">
        <v>45399</v>
      </c>
      <c r="D43" t="s">
        <v>340</v>
      </c>
      <c r="E43" t="s">
        <v>341</v>
      </c>
      <c r="F43" s="1">
        <v>20</v>
      </c>
      <c r="G43" s="1" t="s">
        <v>249</v>
      </c>
      <c r="H43" s="1">
        <v>7334.79</v>
      </c>
      <c r="I43" t="s">
        <v>250</v>
      </c>
      <c r="J43" s="1">
        <v>20</v>
      </c>
      <c r="K43" s="1">
        <v>0</v>
      </c>
      <c r="L43" s="1">
        <f t="shared" si="0"/>
        <v>7334.7900000000009</v>
      </c>
      <c r="M43" s="5" t="s">
        <v>511</v>
      </c>
    </row>
    <row r="44" spans="1:13" x14ac:dyDescent="0.3">
      <c r="A44">
        <v>30</v>
      </c>
      <c r="B44" s="2">
        <v>45399</v>
      </c>
      <c r="C44" s="2">
        <v>45399</v>
      </c>
      <c r="D44" t="s">
        <v>342</v>
      </c>
      <c r="E44" t="s">
        <v>343</v>
      </c>
      <c r="F44" s="1">
        <v>70</v>
      </c>
      <c r="G44" s="1" t="s">
        <v>249</v>
      </c>
      <c r="H44" s="1">
        <v>7264.79</v>
      </c>
      <c r="I44" t="s">
        <v>250</v>
      </c>
      <c r="J44" s="1">
        <v>70</v>
      </c>
      <c r="K44" s="1">
        <v>0</v>
      </c>
      <c r="L44" s="1">
        <f t="shared" si="0"/>
        <v>7264.7900000000009</v>
      </c>
      <c r="M44" s="5" t="s">
        <v>511</v>
      </c>
    </row>
    <row r="45" spans="1:13" x14ac:dyDescent="0.3">
      <c r="A45">
        <v>31</v>
      </c>
      <c r="B45" s="2">
        <v>45403</v>
      </c>
      <c r="C45" s="2">
        <v>45403</v>
      </c>
      <c r="D45" t="s">
        <v>344</v>
      </c>
      <c r="E45" t="s">
        <v>345</v>
      </c>
      <c r="F45" s="1">
        <v>914</v>
      </c>
      <c r="G45" s="1" t="s">
        <v>249</v>
      </c>
      <c r="H45" s="1">
        <v>6350.79</v>
      </c>
      <c r="I45" t="s">
        <v>250</v>
      </c>
      <c r="J45" s="1">
        <v>914</v>
      </c>
      <c r="K45" s="1">
        <v>0</v>
      </c>
      <c r="L45" s="1">
        <f t="shared" si="0"/>
        <v>6350.7900000000009</v>
      </c>
      <c r="M45" s="5" t="s">
        <v>511</v>
      </c>
    </row>
    <row r="46" spans="1:13" x14ac:dyDescent="0.3">
      <c r="A46">
        <v>32</v>
      </c>
      <c r="B46" s="2">
        <v>45403</v>
      </c>
      <c r="C46" s="2">
        <v>45403</v>
      </c>
      <c r="D46" t="s">
        <v>346</v>
      </c>
      <c r="E46" t="s">
        <v>347</v>
      </c>
      <c r="F46" s="1">
        <v>736.9</v>
      </c>
      <c r="G46" s="1" t="s">
        <v>249</v>
      </c>
      <c r="H46" s="1">
        <v>5613.89</v>
      </c>
      <c r="I46" t="s">
        <v>250</v>
      </c>
      <c r="J46" s="1">
        <v>736.9</v>
      </c>
      <c r="K46" s="1">
        <v>0</v>
      </c>
      <c r="L46" s="1">
        <f t="shared" si="0"/>
        <v>5613.8900000000012</v>
      </c>
      <c r="M46" s="5" t="s">
        <v>509</v>
      </c>
    </row>
    <row r="47" spans="1:13" x14ac:dyDescent="0.3">
      <c r="A47">
        <v>33</v>
      </c>
      <c r="B47" s="2">
        <v>45403</v>
      </c>
      <c r="C47" s="2">
        <v>45403</v>
      </c>
      <c r="D47" t="s">
        <v>348</v>
      </c>
      <c r="E47" t="s">
        <v>349</v>
      </c>
      <c r="F47" s="1">
        <v>91</v>
      </c>
      <c r="G47" s="1" t="s">
        <v>249</v>
      </c>
      <c r="H47" s="1">
        <v>5522.89</v>
      </c>
      <c r="I47" t="s">
        <v>250</v>
      </c>
      <c r="J47" s="1">
        <v>91</v>
      </c>
      <c r="K47" s="1">
        <v>0</v>
      </c>
      <c r="L47" s="1">
        <f t="shared" si="0"/>
        <v>5522.8900000000012</v>
      </c>
      <c r="M47" s="5" t="s">
        <v>511</v>
      </c>
    </row>
    <row r="48" spans="1:13" x14ac:dyDescent="0.3">
      <c r="A48">
        <v>34</v>
      </c>
      <c r="B48" s="2">
        <v>45404</v>
      </c>
      <c r="C48" s="2">
        <v>45404</v>
      </c>
      <c r="D48" t="s">
        <v>350</v>
      </c>
      <c r="E48" t="s">
        <v>351</v>
      </c>
      <c r="F48" s="1">
        <v>100</v>
      </c>
      <c r="G48" s="1" t="s">
        <v>249</v>
      </c>
      <c r="H48" s="1">
        <v>5422.89</v>
      </c>
      <c r="I48" t="s">
        <v>250</v>
      </c>
      <c r="J48" s="1">
        <v>100</v>
      </c>
      <c r="K48" s="1">
        <v>0</v>
      </c>
      <c r="L48" s="1">
        <f t="shared" si="0"/>
        <v>5422.8900000000012</v>
      </c>
      <c r="M48" s="5" t="s">
        <v>511</v>
      </c>
    </row>
    <row r="49" spans="1:13" x14ac:dyDescent="0.3">
      <c r="A49">
        <v>35</v>
      </c>
      <c r="B49" s="2">
        <v>45407</v>
      </c>
      <c r="C49" s="2">
        <v>45407</v>
      </c>
      <c r="D49" t="s">
        <v>352</v>
      </c>
      <c r="E49" t="s">
        <v>353</v>
      </c>
      <c r="F49" s="1">
        <v>50</v>
      </c>
      <c r="G49" s="1" t="s">
        <v>249</v>
      </c>
      <c r="H49" s="1">
        <v>5372.89</v>
      </c>
      <c r="I49" t="s">
        <v>250</v>
      </c>
      <c r="J49" s="1">
        <v>50</v>
      </c>
      <c r="K49" s="1">
        <v>0</v>
      </c>
      <c r="L49" s="1">
        <f t="shared" si="0"/>
        <v>5372.8900000000012</v>
      </c>
      <c r="M49" s="5" t="s">
        <v>509</v>
      </c>
    </row>
    <row r="50" spans="1:13" x14ac:dyDescent="0.3">
      <c r="A50">
        <v>36</v>
      </c>
      <c r="B50" s="2">
        <v>45407</v>
      </c>
      <c r="C50" s="2">
        <v>45407</v>
      </c>
      <c r="D50" t="s">
        <v>354</v>
      </c>
      <c r="E50" t="s">
        <v>355</v>
      </c>
      <c r="F50" s="1">
        <v>199</v>
      </c>
      <c r="G50" s="1" t="s">
        <v>249</v>
      </c>
      <c r="H50" s="1">
        <v>5173.8900000000003</v>
      </c>
      <c r="I50" t="s">
        <v>250</v>
      </c>
      <c r="J50" s="1">
        <v>199</v>
      </c>
      <c r="K50" s="1">
        <v>0</v>
      </c>
      <c r="L50" s="1">
        <f t="shared" si="0"/>
        <v>5173.8900000000012</v>
      </c>
      <c r="M50" s="5" t="s">
        <v>511</v>
      </c>
    </row>
    <row r="51" spans="1:13" x14ac:dyDescent="0.3">
      <c r="A51">
        <v>37</v>
      </c>
      <c r="B51" s="2">
        <v>45409</v>
      </c>
      <c r="C51" s="2">
        <v>45409</v>
      </c>
      <c r="D51" t="s">
        <v>356</v>
      </c>
      <c r="E51" t="s">
        <v>357</v>
      </c>
      <c r="F51" s="1">
        <v>75</v>
      </c>
      <c r="G51" s="1" t="s">
        <v>249</v>
      </c>
      <c r="H51" s="1">
        <v>5098.8900000000003</v>
      </c>
      <c r="I51" t="s">
        <v>250</v>
      </c>
      <c r="J51" s="1">
        <v>75</v>
      </c>
      <c r="K51" s="1">
        <v>0</v>
      </c>
      <c r="L51" s="1">
        <f t="shared" si="0"/>
        <v>5098.8900000000012</v>
      </c>
      <c r="M51" s="5" t="s">
        <v>511</v>
      </c>
    </row>
    <row r="52" spans="1:13" x14ac:dyDescent="0.3">
      <c r="A52">
        <v>38</v>
      </c>
      <c r="B52" s="2">
        <v>45411</v>
      </c>
      <c r="C52" s="2">
        <v>45411</v>
      </c>
      <c r="D52" t="s">
        <v>358</v>
      </c>
      <c r="E52" t="s">
        <v>359</v>
      </c>
      <c r="F52" s="1">
        <v>67921</v>
      </c>
      <c r="G52" s="1" t="s">
        <v>250</v>
      </c>
      <c r="H52" s="1">
        <v>73019.89</v>
      </c>
      <c r="I52" t="s">
        <v>250</v>
      </c>
      <c r="J52" s="1">
        <v>0</v>
      </c>
      <c r="K52" s="1">
        <v>67921</v>
      </c>
      <c r="L52" s="1">
        <f t="shared" si="0"/>
        <v>73019.89</v>
      </c>
      <c r="M52" s="5" t="s">
        <v>507</v>
      </c>
    </row>
    <row r="53" spans="1:13" x14ac:dyDescent="0.3">
      <c r="A53" s="41">
        <v>39</v>
      </c>
      <c r="B53" s="43">
        <v>45412</v>
      </c>
      <c r="C53" s="43">
        <v>45412</v>
      </c>
      <c r="D53" s="41" t="s">
        <v>360</v>
      </c>
      <c r="E53" s="41" t="s">
        <v>361</v>
      </c>
      <c r="F53" s="42">
        <v>35000</v>
      </c>
      <c r="G53" s="42" t="s">
        <v>249</v>
      </c>
      <c r="H53" s="42">
        <v>38019.89</v>
      </c>
      <c r="I53" s="41" t="s">
        <v>250</v>
      </c>
      <c r="J53" s="42">
        <v>35000</v>
      </c>
      <c r="K53" s="42">
        <v>0</v>
      </c>
      <c r="L53" s="42">
        <f t="shared" si="0"/>
        <v>38019.89</v>
      </c>
      <c r="M53" s="44" t="s">
        <v>745</v>
      </c>
    </row>
    <row r="54" spans="1:13" x14ac:dyDescent="0.3">
      <c r="A54">
        <v>40</v>
      </c>
      <c r="B54" s="2">
        <v>45412</v>
      </c>
      <c r="C54" s="2">
        <v>45412</v>
      </c>
      <c r="D54" t="s">
        <v>362</v>
      </c>
      <c r="E54" t="s">
        <v>363</v>
      </c>
      <c r="F54" s="1">
        <v>10</v>
      </c>
      <c r="G54" s="1" t="s">
        <v>250</v>
      </c>
      <c r="H54" s="1">
        <v>38029.89</v>
      </c>
      <c r="I54" t="s">
        <v>250</v>
      </c>
      <c r="J54" s="1">
        <v>0</v>
      </c>
      <c r="K54" s="1">
        <v>10</v>
      </c>
      <c r="L54" s="1">
        <f t="shared" si="0"/>
        <v>38029.89</v>
      </c>
      <c r="M54" s="5" t="s">
        <v>511</v>
      </c>
    </row>
    <row r="55" spans="1:13" x14ac:dyDescent="0.3">
      <c r="A55">
        <v>41</v>
      </c>
      <c r="B55" s="2">
        <v>45412</v>
      </c>
      <c r="C55" s="2">
        <v>45412</v>
      </c>
      <c r="D55" t="s">
        <v>364</v>
      </c>
      <c r="E55" t="s">
        <v>365</v>
      </c>
      <c r="F55" s="1">
        <v>30</v>
      </c>
      <c r="G55" s="1" t="s">
        <v>249</v>
      </c>
      <c r="H55" s="1">
        <v>37999.89</v>
      </c>
      <c r="I55" t="s">
        <v>250</v>
      </c>
      <c r="J55" s="1">
        <v>30</v>
      </c>
      <c r="K55" s="1">
        <v>0</v>
      </c>
      <c r="L55" s="1">
        <f t="shared" si="0"/>
        <v>37999.89</v>
      </c>
      <c r="M55" s="5" t="s">
        <v>511</v>
      </c>
    </row>
    <row r="56" spans="1:13" x14ac:dyDescent="0.3">
      <c r="A56">
        <v>42</v>
      </c>
      <c r="B56" s="2">
        <v>45412</v>
      </c>
      <c r="C56" s="2">
        <v>45412</v>
      </c>
      <c r="D56" t="s">
        <v>366</v>
      </c>
      <c r="E56" t="s">
        <v>367</v>
      </c>
      <c r="F56" s="1">
        <v>40</v>
      </c>
      <c r="G56" s="1" t="s">
        <v>249</v>
      </c>
      <c r="H56" s="1">
        <v>37959.89</v>
      </c>
      <c r="I56" t="s">
        <v>250</v>
      </c>
      <c r="J56" s="1">
        <v>40</v>
      </c>
      <c r="K56" s="1">
        <v>0</v>
      </c>
      <c r="L56" s="1">
        <f t="shared" si="0"/>
        <v>37959.89</v>
      </c>
      <c r="M56" s="5" t="s">
        <v>511</v>
      </c>
    </row>
    <row r="57" spans="1:13" x14ac:dyDescent="0.3">
      <c r="A57">
        <v>43</v>
      </c>
      <c r="B57" s="2">
        <v>45417</v>
      </c>
      <c r="C57" s="2">
        <v>45417</v>
      </c>
      <c r="D57" t="s">
        <v>368</v>
      </c>
      <c r="E57" t="s">
        <v>369</v>
      </c>
      <c r="F57" s="1">
        <v>15000</v>
      </c>
      <c r="G57" s="1" t="s">
        <v>249</v>
      </c>
      <c r="H57" s="1">
        <v>22959.89</v>
      </c>
      <c r="I57" t="s">
        <v>250</v>
      </c>
      <c r="J57" s="1">
        <v>15000</v>
      </c>
      <c r="K57" s="1">
        <v>0</v>
      </c>
      <c r="L57" s="1">
        <f t="shared" si="0"/>
        <v>22959.89</v>
      </c>
      <c r="M57" s="5" t="s">
        <v>512</v>
      </c>
    </row>
    <row r="58" spans="1:13" x14ac:dyDescent="0.3">
      <c r="A58">
        <v>44</v>
      </c>
      <c r="B58" s="2">
        <v>45417</v>
      </c>
      <c r="C58" s="2">
        <v>45417</v>
      </c>
      <c r="D58" t="s">
        <v>370</v>
      </c>
      <c r="E58" t="s">
        <v>371</v>
      </c>
      <c r="F58" s="1">
        <v>14728</v>
      </c>
      <c r="G58" s="1" t="s">
        <v>249</v>
      </c>
      <c r="H58" s="1">
        <v>8231.89</v>
      </c>
      <c r="I58" t="s">
        <v>250</v>
      </c>
      <c r="J58" s="1">
        <v>14728</v>
      </c>
      <c r="K58" s="1">
        <v>0</v>
      </c>
      <c r="L58" s="1">
        <f t="shared" si="0"/>
        <v>8231.89</v>
      </c>
      <c r="M58" s="5" t="s">
        <v>509</v>
      </c>
    </row>
    <row r="59" spans="1:13" x14ac:dyDescent="0.3">
      <c r="A59">
        <v>45</v>
      </c>
      <c r="B59" s="2">
        <v>45418</v>
      </c>
      <c r="C59" s="2">
        <v>45418</v>
      </c>
      <c r="D59" t="s">
        <v>372</v>
      </c>
      <c r="E59" t="s">
        <v>373</v>
      </c>
      <c r="F59" s="1">
        <v>190</v>
      </c>
      <c r="G59" s="1" t="s">
        <v>249</v>
      </c>
      <c r="H59" s="1">
        <v>8041.89</v>
      </c>
      <c r="I59" t="s">
        <v>250</v>
      </c>
      <c r="J59" s="1">
        <v>190</v>
      </c>
      <c r="K59" s="1">
        <v>0</v>
      </c>
      <c r="L59" s="1">
        <f t="shared" si="0"/>
        <v>8041.8899999999994</v>
      </c>
      <c r="M59" s="5" t="s">
        <v>511</v>
      </c>
    </row>
    <row r="60" spans="1:13" x14ac:dyDescent="0.3">
      <c r="A60">
        <v>46</v>
      </c>
      <c r="B60" s="2">
        <v>45419</v>
      </c>
      <c r="C60" s="2">
        <v>45419</v>
      </c>
      <c r="D60" t="s">
        <v>374</v>
      </c>
      <c r="E60" t="s">
        <v>375</v>
      </c>
      <c r="F60" s="1">
        <v>80</v>
      </c>
      <c r="G60" s="1" t="s">
        <v>249</v>
      </c>
      <c r="H60" s="1">
        <v>7961.89</v>
      </c>
      <c r="I60" t="s">
        <v>250</v>
      </c>
      <c r="J60" s="1">
        <v>80</v>
      </c>
      <c r="K60" s="1">
        <v>0</v>
      </c>
      <c r="L60" s="1">
        <f t="shared" si="0"/>
        <v>7961.8899999999994</v>
      </c>
      <c r="M60" s="5" t="s">
        <v>511</v>
      </c>
    </row>
    <row r="61" spans="1:13" x14ac:dyDescent="0.3">
      <c r="A61">
        <v>47</v>
      </c>
      <c r="B61" s="2">
        <v>45420</v>
      </c>
      <c r="C61" s="2">
        <v>45420</v>
      </c>
      <c r="D61" t="s">
        <v>376</v>
      </c>
      <c r="E61" t="s">
        <v>377</v>
      </c>
      <c r="F61" s="1">
        <v>102.25</v>
      </c>
      <c r="G61" s="1" t="s">
        <v>249</v>
      </c>
      <c r="H61" s="1">
        <v>7859.64</v>
      </c>
      <c r="I61" t="s">
        <v>250</v>
      </c>
      <c r="J61" s="1">
        <v>102.25</v>
      </c>
      <c r="K61" s="1">
        <v>0</v>
      </c>
      <c r="L61" s="1">
        <f t="shared" si="0"/>
        <v>7859.6399999999994</v>
      </c>
      <c r="M61" s="5" t="s">
        <v>511</v>
      </c>
    </row>
    <row r="62" spans="1:13" x14ac:dyDescent="0.3">
      <c r="A62">
        <v>48</v>
      </c>
      <c r="B62" s="2">
        <v>45421</v>
      </c>
      <c r="C62" s="2">
        <v>45421</v>
      </c>
      <c r="D62" t="s">
        <v>378</v>
      </c>
      <c r="E62" t="s">
        <v>379</v>
      </c>
      <c r="F62" s="1">
        <v>1552</v>
      </c>
      <c r="G62" s="1" t="s">
        <v>249</v>
      </c>
      <c r="H62" s="1">
        <v>6307.64</v>
      </c>
      <c r="I62" t="s">
        <v>250</v>
      </c>
      <c r="J62" s="1">
        <v>1552</v>
      </c>
      <c r="K62" s="1">
        <v>0</v>
      </c>
      <c r="L62" s="1">
        <f t="shared" si="0"/>
        <v>6307.6399999999994</v>
      </c>
      <c r="M62" s="5" t="s">
        <v>511</v>
      </c>
    </row>
    <row r="63" spans="1:13" x14ac:dyDescent="0.3">
      <c r="A63">
        <v>49</v>
      </c>
      <c r="B63" s="2">
        <v>45421</v>
      </c>
      <c r="C63" s="2">
        <v>45421</v>
      </c>
      <c r="D63" t="s">
        <v>380</v>
      </c>
      <c r="E63" t="s">
        <v>381</v>
      </c>
      <c r="F63" s="1">
        <v>586</v>
      </c>
      <c r="G63" s="1" t="s">
        <v>249</v>
      </c>
      <c r="H63" s="1">
        <v>5721.64</v>
      </c>
      <c r="I63" t="s">
        <v>250</v>
      </c>
      <c r="J63" s="1">
        <v>586</v>
      </c>
      <c r="K63" s="1">
        <v>0</v>
      </c>
      <c r="L63" s="1">
        <f t="shared" si="0"/>
        <v>5721.6399999999994</v>
      </c>
      <c r="M63" s="5" t="s">
        <v>511</v>
      </c>
    </row>
    <row r="64" spans="1:13" x14ac:dyDescent="0.3">
      <c r="A64">
        <v>50</v>
      </c>
      <c r="B64" s="2">
        <v>45421</v>
      </c>
      <c r="C64" s="2">
        <v>45421</v>
      </c>
      <c r="D64" t="s">
        <v>382</v>
      </c>
      <c r="E64" t="s">
        <v>383</v>
      </c>
      <c r="F64" s="1">
        <v>80</v>
      </c>
      <c r="G64" s="1" t="s">
        <v>250</v>
      </c>
      <c r="H64" s="1">
        <v>5801.64</v>
      </c>
      <c r="I64" t="s">
        <v>250</v>
      </c>
      <c r="J64" s="1">
        <v>0</v>
      </c>
      <c r="K64" s="1">
        <v>80</v>
      </c>
      <c r="L64" s="1">
        <f t="shared" si="0"/>
        <v>5801.6399999999994</v>
      </c>
      <c r="M64" s="5" t="s">
        <v>511</v>
      </c>
    </row>
    <row r="65" spans="1:13" x14ac:dyDescent="0.3">
      <c r="A65">
        <v>51</v>
      </c>
      <c r="B65" s="2">
        <v>45421</v>
      </c>
      <c r="C65" s="2">
        <v>45421</v>
      </c>
      <c r="D65" t="s">
        <v>384</v>
      </c>
      <c r="E65" t="s">
        <v>385</v>
      </c>
      <c r="F65" s="1">
        <v>499</v>
      </c>
      <c r="G65" s="1" t="s">
        <v>249</v>
      </c>
      <c r="H65" s="1">
        <v>5302.64</v>
      </c>
      <c r="I65" t="s">
        <v>250</v>
      </c>
      <c r="J65" s="1">
        <v>499</v>
      </c>
      <c r="K65" s="1">
        <v>0</v>
      </c>
      <c r="L65" s="1">
        <f t="shared" si="0"/>
        <v>5302.6399999999994</v>
      </c>
      <c r="M65" s="5" t="s">
        <v>511</v>
      </c>
    </row>
    <row r="66" spans="1:13" x14ac:dyDescent="0.3">
      <c r="A66">
        <v>52</v>
      </c>
      <c r="B66" s="2">
        <v>45421</v>
      </c>
      <c r="C66" s="2">
        <v>45421</v>
      </c>
      <c r="D66" t="s">
        <v>386</v>
      </c>
      <c r="E66" t="s">
        <v>387</v>
      </c>
      <c r="F66" s="1">
        <v>140</v>
      </c>
      <c r="G66" s="1" t="s">
        <v>249</v>
      </c>
      <c r="H66" s="1">
        <v>5162.6400000000003</v>
      </c>
      <c r="I66" t="s">
        <v>250</v>
      </c>
      <c r="J66" s="1">
        <v>140</v>
      </c>
      <c r="K66" s="1">
        <v>0</v>
      </c>
      <c r="L66" s="1">
        <f t="shared" si="0"/>
        <v>5162.6399999999994</v>
      </c>
      <c r="M66" s="5" t="s">
        <v>511</v>
      </c>
    </row>
    <row r="67" spans="1:13" x14ac:dyDescent="0.3">
      <c r="A67">
        <v>53</v>
      </c>
      <c r="B67" s="2">
        <v>45422</v>
      </c>
      <c r="C67" s="2">
        <v>45422</v>
      </c>
      <c r="D67" t="s">
        <v>388</v>
      </c>
      <c r="E67" t="s">
        <v>389</v>
      </c>
      <c r="F67" s="1">
        <v>586</v>
      </c>
      <c r="G67" s="1" t="s">
        <v>250</v>
      </c>
      <c r="H67" s="1">
        <v>5748.64</v>
      </c>
      <c r="I67" t="s">
        <v>250</v>
      </c>
      <c r="J67" s="1">
        <v>0</v>
      </c>
      <c r="K67" s="1">
        <v>586</v>
      </c>
      <c r="L67" s="1">
        <f t="shared" si="0"/>
        <v>5748.6399999999994</v>
      </c>
      <c r="M67" s="5" t="s">
        <v>511</v>
      </c>
    </row>
    <row r="68" spans="1:13" x14ac:dyDescent="0.3">
      <c r="A68">
        <v>54</v>
      </c>
      <c r="B68" s="2">
        <v>45422</v>
      </c>
      <c r="C68" s="2">
        <v>45422</v>
      </c>
      <c r="D68" t="s">
        <v>390</v>
      </c>
      <c r="E68" t="s">
        <v>391</v>
      </c>
      <c r="F68" s="1">
        <v>50</v>
      </c>
      <c r="G68" s="1" t="s">
        <v>249</v>
      </c>
      <c r="H68" s="1">
        <v>5698.64</v>
      </c>
      <c r="I68" t="s">
        <v>250</v>
      </c>
      <c r="J68" s="1">
        <v>50</v>
      </c>
      <c r="K68" s="1">
        <v>0</v>
      </c>
      <c r="L68" s="1">
        <f t="shared" si="0"/>
        <v>5698.6399999999994</v>
      </c>
      <c r="M68" s="5" t="s">
        <v>509</v>
      </c>
    </row>
    <row r="69" spans="1:13" x14ac:dyDescent="0.3">
      <c r="A69">
        <v>55</v>
      </c>
      <c r="B69" s="2">
        <v>45424</v>
      </c>
      <c r="C69" s="2">
        <v>45424</v>
      </c>
      <c r="D69" t="s">
        <v>392</v>
      </c>
      <c r="E69" t="s">
        <v>393</v>
      </c>
      <c r="F69" s="1">
        <v>71</v>
      </c>
      <c r="G69" s="1" t="s">
        <v>249</v>
      </c>
      <c r="H69" s="1">
        <v>5627.64</v>
      </c>
      <c r="I69" t="s">
        <v>250</v>
      </c>
      <c r="J69" s="1">
        <v>71</v>
      </c>
      <c r="K69" s="1">
        <v>0</v>
      </c>
      <c r="L69" s="1">
        <f t="shared" si="0"/>
        <v>5627.6399999999994</v>
      </c>
      <c r="M69" s="5" t="s">
        <v>511</v>
      </c>
    </row>
    <row r="70" spans="1:13" x14ac:dyDescent="0.3">
      <c r="A70">
        <v>56</v>
      </c>
      <c r="B70" s="2">
        <v>45424</v>
      </c>
      <c r="C70" s="2">
        <v>45424</v>
      </c>
      <c r="D70" t="s">
        <v>394</v>
      </c>
      <c r="E70" t="s">
        <v>395</v>
      </c>
      <c r="F70" s="1">
        <v>20</v>
      </c>
      <c r="G70" s="1" t="s">
        <v>249</v>
      </c>
      <c r="H70" s="1">
        <v>5607.64</v>
      </c>
      <c r="I70" t="s">
        <v>250</v>
      </c>
      <c r="J70" s="1">
        <v>20</v>
      </c>
      <c r="K70" s="1">
        <v>0</v>
      </c>
      <c r="L70" s="1">
        <f t="shared" si="0"/>
        <v>5607.6399999999994</v>
      </c>
      <c r="M70" s="5" t="s">
        <v>511</v>
      </c>
    </row>
    <row r="71" spans="1:13" x14ac:dyDescent="0.3">
      <c r="A71">
        <v>57</v>
      </c>
      <c r="B71" s="2">
        <v>45425</v>
      </c>
      <c r="C71" s="2">
        <v>45425</v>
      </c>
      <c r="D71" t="s">
        <v>396</v>
      </c>
      <c r="E71" t="s">
        <v>397</v>
      </c>
      <c r="F71" s="1">
        <v>25</v>
      </c>
      <c r="G71" s="1" t="s">
        <v>249</v>
      </c>
      <c r="H71" s="1">
        <v>5582.64</v>
      </c>
      <c r="I71" t="s">
        <v>250</v>
      </c>
      <c r="J71" s="1">
        <v>25</v>
      </c>
      <c r="K71" s="1">
        <v>0</v>
      </c>
      <c r="L71" s="1">
        <f t="shared" si="0"/>
        <v>5582.6399999999994</v>
      </c>
      <c r="M71" s="5" t="s">
        <v>511</v>
      </c>
    </row>
    <row r="72" spans="1:13" x14ac:dyDescent="0.3">
      <c r="A72">
        <v>58</v>
      </c>
      <c r="B72" s="2">
        <v>45426</v>
      </c>
      <c r="C72" s="2">
        <v>45426</v>
      </c>
      <c r="D72" t="s">
        <v>398</v>
      </c>
      <c r="E72" t="s">
        <v>399</v>
      </c>
      <c r="F72" s="1">
        <v>30</v>
      </c>
      <c r="G72" s="1" t="s">
        <v>249</v>
      </c>
      <c r="H72" s="1">
        <v>5552.64</v>
      </c>
      <c r="I72" t="s">
        <v>250</v>
      </c>
      <c r="J72" s="1">
        <v>30</v>
      </c>
      <c r="K72" s="1">
        <v>0</v>
      </c>
      <c r="L72" s="1">
        <f t="shared" si="0"/>
        <v>5552.6399999999994</v>
      </c>
      <c r="M72" s="5" t="s">
        <v>511</v>
      </c>
    </row>
    <row r="73" spans="1:13" x14ac:dyDescent="0.3">
      <c r="A73">
        <v>59</v>
      </c>
      <c r="B73" s="2">
        <v>45427</v>
      </c>
      <c r="C73" s="2">
        <v>45427</v>
      </c>
      <c r="D73" t="s">
        <v>400</v>
      </c>
      <c r="E73" t="s">
        <v>401</v>
      </c>
      <c r="F73" s="1">
        <v>160</v>
      </c>
      <c r="G73" s="1" t="s">
        <v>249</v>
      </c>
      <c r="H73" s="1">
        <v>5392.64</v>
      </c>
      <c r="I73" t="s">
        <v>250</v>
      </c>
      <c r="J73" s="1">
        <v>160</v>
      </c>
      <c r="K73" s="1">
        <v>0</v>
      </c>
      <c r="L73" s="1">
        <f t="shared" si="0"/>
        <v>5392.6399999999994</v>
      </c>
      <c r="M73" s="5" t="s">
        <v>511</v>
      </c>
    </row>
    <row r="74" spans="1:13" x14ac:dyDescent="0.3">
      <c r="A74">
        <v>60</v>
      </c>
      <c r="B74" s="2">
        <v>45428</v>
      </c>
      <c r="C74" s="2">
        <v>45428</v>
      </c>
      <c r="D74" t="s">
        <v>402</v>
      </c>
      <c r="E74" t="s">
        <v>403</v>
      </c>
      <c r="F74" s="1">
        <v>499</v>
      </c>
      <c r="G74" s="1" t="s">
        <v>250</v>
      </c>
      <c r="H74" s="1">
        <v>5891.64</v>
      </c>
      <c r="I74" t="s">
        <v>250</v>
      </c>
      <c r="J74" s="1">
        <v>0</v>
      </c>
      <c r="K74" s="1">
        <v>499</v>
      </c>
      <c r="L74" s="1">
        <f t="shared" si="0"/>
        <v>5891.6399999999994</v>
      </c>
      <c r="M74" s="5" t="s">
        <v>511</v>
      </c>
    </row>
    <row r="75" spans="1:13" x14ac:dyDescent="0.3">
      <c r="A75">
        <v>61</v>
      </c>
      <c r="B75" s="2">
        <v>45428</v>
      </c>
      <c r="C75" s="2">
        <v>45428</v>
      </c>
      <c r="D75" t="s">
        <v>404</v>
      </c>
      <c r="E75" t="s">
        <v>405</v>
      </c>
      <c r="F75" s="1">
        <v>70</v>
      </c>
      <c r="G75" s="1" t="s">
        <v>250</v>
      </c>
      <c r="H75" s="1">
        <v>5961.64</v>
      </c>
      <c r="I75" t="s">
        <v>250</v>
      </c>
      <c r="J75" s="1">
        <v>0</v>
      </c>
      <c r="K75" s="1">
        <v>70</v>
      </c>
      <c r="L75" s="1">
        <f t="shared" si="0"/>
        <v>5961.6399999999994</v>
      </c>
      <c r="M75" s="5" t="s">
        <v>511</v>
      </c>
    </row>
    <row r="76" spans="1:13" x14ac:dyDescent="0.3">
      <c r="A76" s="56">
        <v>62</v>
      </c>
      <c r="B76" s="57">
        <v>45429</v>
      </c>
      <c r="C76" s="57">
        <v>45429</v>
      </c>
      <c r="D76" s="56" t="s">
        <v>406</v>
      </c>
      <c r="E76" s="56" t="s">
        <v>407</v>
      </c>
      <c r="F76" s="58">
        <v>180</v>
      </c>
      <c r="G76" s="58" t="s">
        <v>250</v>
      </c>
      <c r="H76" s="58">
        <v>6141.64</v>
      </c>
      <c r="I76" s="56" t="s">
        <v>250</v>
      </c>
      <c r="J76" s="58">
        <v>0</v>
      </c>
      <c r="K76" s="58">
        <v>180</v>
      </c>
      <c r="L76" s="58">
        <f t="shared" si="0"/>
        <v>6141.6399999999994</v>
      </c>
      <c r="M76" s="59" t="s">
        <v>746</v>
      </c>
    </row>
    <row r="77" spans="1:13" x14ac:dyDescent="0.3">
      <c r="A77" s="56">
        <v>63</v>
      </c>
      <c r="B77" s="57">
        <v>45429</v>
      </c>
      <c r="C77" s="57">
        <v>45429</v>
      </c>
      <c r="D77" s="56" t="s">
        <v>408</v>
      </c>
      <c r="E77" s="56" t="s">
        <v>409</v>
      </c>
      <c r="F77" s="58">
        <v>1</v>
      </c>
      <c r="G77" s="58" t="s">
        <v>250</v>
      </c>
      <c r="H77" s="58">
        <v>6142.64</v>
      </c>
      <c r="I77" s="56" t="s">
        <v>250</v>
      </c>
      <c r="J77" s="58">
        <v>0</v>
      </c>
      <c r="K77" s="58">
        <v>1</v>
      </c>
      <c r="L77" s="58">
        <f t="shared" si="0"/>
        <v>6142.6399999999994</v>
      </c>
      <c r="M77" s="59" t="s">
        <v>746</v>
      </c>
    </row>
    <row r="78" spans="1:13" x14ac:dyDescent="0.3">
      <c r="A78" s="56">
        <v>64</v>
      </c>
      <c r="B78" s="57">
        <v>45429</v>
      </c>
      <c r="C78" s="57">
        <v>45429</v>
      </c>
      <c r="D78" s="56" t="s">
        <v>410</v>
      </c>
      <c r="E78" s="56" t="s">
        <v>411</v>
      </c>
      <c r="F78" s="58">
        <v>1000</v>
      </c>
      <c r="G78" s="58" t="s">
        <v>250</v>
      </c>
      <c r="H78" s="58">
        <v>7142.64</v>
      </c>
      <c r="I78" s="56" t="s">
        <v>250</v>
      </c>
      <c r="J78" s="58">
        <v>0</v>
      </c>
      <c r="K78" s="58">
        <v>1000</v>
      </c>
      <c r="L78" s="58">
        <f t="shared" si="0"/>
        <v>7142.6399999999994</v>
      </c>
      <c r="M78" s="59" t="s">
        <v>746</v>
      </c>
    </row>
    <row r="79" spans="1:13" x14ac:dyDescent="0.3">
      <c r="A79">
        <v>65</v>
      </c>
      <c r="B79" s="2">
        <v>45432</v>
      </c>
      <c r="C79" s="2">
        <v>45432</v>
      </c>
      <c r="D79" t="s">
        <v>412</v>
      </c>
      <c r="E79" t="s">
        <v>413</v>
      </c>
      <c r="F79" s="1">
        <v>35</v>
      </c>
      <c r="G79" s="1" t="s">
        <v>249</v>
      </c>
      <c r="H79" s="1">
        <v>7107.64</v>
      </c>
      <c r="I79" t="s">
        <v>250</v>
      </c>
      <c r="J79" s="1">
        <v>35</v>
      </c>
      <c r="K79" s="1">
        <v>0</v>
      </c>
      <c r="L79" s="1">
        <f t="shared" si="0"/>
        <v>7107.6399999999994</v>
      </c>
      <c r="M79" s="5" t="s">
        <v>511</v>
      </c>
    </row>
    <row r="80" spans="1:13" x14ac:dyDescent="0.3">
      <c r="A80">
        <v>66</v>
      </c>
      <c r="B80" s="2">
        <v>45433</v>
      </c>
      <c r="C80" s="2">
        <v>45433</v>
      </c>
      <c r="D80" t="s">
        <v>414</v>
      </c>
      <c r="E80" t="s">
        <v>415</v>
      </c>
      <c r="F80" s="1">
        <v>240</v>
      </c>
      <c r="G80" s="1" t="s">
        <v>249</v>
      </c>
      <c r="H80" s="1">
        <v>6867.64</v>
      </c>
      <c r="I80" t="s">
        <v>250</v>
      </c>
      <c r="J80" s="1">
        <v>240</v>
      </c>
      <c r="K80" s="1">
        <v>0</v>
      </c>
      <c r="L80" s="1">
        <f t="shared" ref="L80:L128" si="1">L79-J80+K80</f>
        <v>6867.6399999999994</v>
      </c>
      <c r="M80" s="5" t="s">
        <v>511</v>
      </c>
    </row>
    <row r="81" spans="1:13" x14ac:dyDescent="0.3">
      <c r="A81">
        <v>67</v>
      </c>
      <c r="B81" s="2">
        <v>45433</v>
      </c>
      <c r="C81" s="2">
        <v>45433</v>
      </c>
      <c r="D81" t="s">
        <v>416</v>
      </c>
      <c r="E81" t="s">
        <v>417</v>
      </c>
      <c r="F81" s="1">
        <v>1</v>
      </c>
      <c r="G81" s="1" t="s">
        <v>250</v>
      </c>
      <c r="H81" s="1">
        <v>6868.64</v>
      </c>
      <c r="I81" t="s">
        <v>250</v>
      </c>
      <c r="J81" s="1">
        <v>0</v>
      </c>
      <c r="K81" s="1">
        <v>1</v>
      </c>
      <c r="L81" s="1">
        <f t="shared" si="1"/>
        <v>6868.6399999999994</v>
      </c>
      <c r="M81" s="5" t="s">
        <v>509</v>
      </c>
    </row>
    <row r="82" spans="1:13" x14ac:dyDescent="0.3">
      <c r="A82">
        <v>68</v>
      </c>
      <c r="B82" s="2">
        <v>45434</v>
      </c>
      <c r="C82" s="2">
        <v>45434</v>
      </c>
      <c r="D82" t="s">
        <v>418</v>
      </c>
      <c r="E82" t="s">
        <v>419</v>
      </c>
      <c r="F82" s="1">
        <v>253</v>
      </c>
      <c r="G82" s="1" t="s">
        <v>249</v>
      </c>
      <c r="H82" s="1">
        <v>6615.64</v>
      </c>
      <c r="I82" t="s">
        <v>250</v>
      </c>
      <c r="J82" s="1">
        <v>253</v>
      </c>
      <c r="K82" s="1">
        <v>0</v>
      </c>
      <c r="L82" s="1">
        <f t="shared" si="1"/>
        <v>6615.6399999999994</v>
      </c>
      <c r="M82" s="5" t="s">
        <v>511</v>
      </c>
    </row>
    <row r="83" spans="1:13" x14ac:dyDescent="0.3">
      <c r="A83">
        <v>69</v>
      </c>
      <c r="B83" s="2">
        <v>45436</v>
      </c>
      <c r="C83" s="2">
        <v>45436</v>
      </c>
      <c r="D83" t="s">
        <v>420</v>
      </c>
      <c r="E83" t="s">
        <v>421</v>
      </c>
      <c r="F83" s="1">
        <v>50</v>
      </c>
      <c r="G83" s="1" t="s">
        <v>249</v>
      </c>
      <c r="H83" s="1">
        <v>6565.64</v>
      </c>
      <c r="I83" t="s">
        <v>250</v>
      </c>
      <c r="J83" s="1">
        <v>50</v>
      </c>
      <c r="K83" s="1">
        <v>0</v>
      </c>
      <c r="L83" s="1">
        <f t="shared" si="1"/>
        <v>6565.6399999999994</v>
      </c>
      <c r="M83" s="5" t="s">
        <v>509</v>
      </c>
    </row>
    <row r="84" spans="1:13" x14ac:dyDescent="0.3">
      <c r="A84">
        <v>70</v>
      </c>
      <c r="B84" s="2">
        <v>45436</v>
      </c>
      <c r="C84" s="2">
        <v>45436</v>
      </c>
      <c r="D84" t="s">
        <v>422</v>
      </c>
      <c r="E84" t="s">
        <v>423</v>
      </c>
      <c r="F84" s="1">
        <v>86</v>
      </c>
      <c r="G84" s="1" t="s">
        <v>249</v>
      </c>
      <c r="H84" s="1">
        <v>6479.64</v>
      </c>
      <c r="I84" t="s">
        <v>250</v>
      </c>
      <c r="J84" s="1">
        <v>86</v>
      </c>
      <c r="K84" s="1">
        <v>0</v>
      </c>
      <c r="L84" s="1">
        <f t="shared" si="1"/>
        <v>6479.6399999999994</v>
      </c>
      <c r="M84" s="5" t="s">
        <v>511</v>
      </c>
    </row>
    <row r="85" spans="1:13" x14ac:dyDescent="0.3">
      <c r="A85">
        <v>71</v>
      </c>
      <c r="B85" s="2">
        <v>45437</v>
      </c>
      <c r="C85" s="2">
        <v>45437</v>
      </c>
      <c r="D85" t="s">
        <v>424</v>
      </c>
      <c r="E85" t="s">
        <v>425</v>
      </c>
      <c r="F85" s="1">
        <v>5</v>
      </c>
      <c r="G85" s="1" t="s">
        <v>249</v>
      </c>
      <c r="H85" s="1">
        <v>6474.64</v>
      </c>
      <c r="I85" t="s">
        <v>250</v>
      </c>
      <c r="J85" s="1">
        <v>5</v>
      </c>
      <c r="K85" s="1">
        <v>0</v>
      </c>
      <c r="L85" s="1">
        <f t="shared" si="1"/>
        <v>6474.6399999999994</v>
      </c>
      <c r="M85" s="5" t="s">
        <v>511</v>
      </c>
    </row>
    <row r="86" spans="1:13" x14ac:dyDescent="0.3">
      <c r="A86">
        <v>72</v>
      </c>
      <c r="B86" s="2">
        <v>45439</v>
      </c>
      <c r="C86" s="2">
        <v>45439</v>
      </c>
      <c r="D86" t="s">
        <v>426</v>
      </c>
      <c r="E86" t="s">
        <v>427</v>
      </c>
      <c r="F86" s="1">
        <v>135</v>
      </c>
      <c r="G86" s="1" t="s">
        <v>249</v>
      </c>
      <c r="H86" s="1">
        <v>6339.64</v>
      </c>
      <c r="I86" t="s">
        <v>250</v>
      </c>
      <c r="J86" s="1">
        <v>135</v>
      </c>
      <c r="K86" s="1">
        <v>0</v>
      </c>
      <c r="L86" s="1">
        <f t="shared" si="1"/>
        <v>6339.6399999999994</v>
      </c>
      <c r="M86" s="5" t="s">
        <v>511</v>
      </c>
    </row>
    <row r="87" spans="1:13" x14ac:dyDescent="0.3">
      <c r="A87">
        <v>73</v>
      </c>
      <c r="B87" s="2">
        <v>45441</v>
      </c>
      <c r="C87" s="2">
        <v>45441</v>
      </c>
      <c r="D87" t="s">
        <v>318</v>
      </c>
      <c r="E87" t="s">
        <v>428</v>
      </c>
      <c r="F87" s="1">
        <v>5000</v>
      </c>
      <c r="G87" s="1" t="s">
        <v>249</v>
      </c>
      <c r="H87" s="1">
        <v>1339.64</v>
      </c>
      <c r="I87" t="s">
        <v>250</v>
      </c>
      <c r="J87" s="1">
        <v>5000</v>
      </c>
      <c r="K87" s="1">
        <v>0</v>
      </c>
      <c r="L87" s="1">
        <f t="shared" si="1"/>
        <v>1339.6399999999994</v>
      </c>
      <c r="M87" s="5" t="s">
        <v>509</v>
      </c>
    </row>
    <row r="88" spans="1:13" x14ac:dyDescent="0.3">
      <c r="A88">
        <v>74</v>
      </c>
      <c r="B88" s="2">
        <v>45442</v>
      </c>
      <c r="C88" s="2">
        <v>45442</v>
      </c>
      <c r="D88" t="s">
        <v>429</v>
      </c>
      <c r="E88" t="s">
        <v>430</v>
      </c>
      <c r="F88" s="1">
        <v>450</v>
      </c>
      <c r="G88" s="1" t="s">
        <v>249</v>
      </c>
      <c r="H88" s="1">
        <v>889.64</v>
      </c>
      <c r="I88" t="s">
        <v>250</v>
      </c>
      <c r="J88" s="1">
        <v>450</v>
      </c>
      <c r="K88" s="1">
        <v>0</v>
      </c>
      <c r="L88" s="1">
        <f t="shared" si="1"/>
        <v>889.63999999999942</v>
      </c>
      <c r="M88" s="5" t="s">
        <v>511</v>
      </c>
    </row>
    <row r="89" spans="1:13" x14ac:dyDescent="0.3">
      <c r="A89">
        <v>75</v>
      </c>
      <c r="B89" s="2">
        <v>45442</v>
      </c>
      <c r="C89" s="2">
        <v>45442</v>
      </c>
      <c r="D89" t="s">
        <v>358</v>
      </c>
      <c r="E89" t="s">
        <v>431</v>
      </c>
      <c r="F89" s="1">
        <v>67921</v>
      </c>
      <c r="G89" s="1" t="s">
        <v>250</v>
      </c>
      <c r="H89" s="1">
        <v>68810.64</v>
      </c>
      <c r="I89" t="s">
        <v>250</v>
      </c>
      <c r="J89" s="1">
        <v>0</v>
      </c>
      <c r="K89" s="1">
        <v>67921</v>
      </c>
      <c r="L89" s="1">
        <f t="shared" si="1"/>
        <v>68810.64</v>
      </c>
      <c r="M89" s="5" t="s">
        <v>507</v>
      </c>
    </row>
    <row r="90" spans="1:13" x14ac:dyDescent="0.3">
      <c r="A90">
        <v>76</v>
      </c>
      <c r="B90" s="2">
        <v>45442</v>
      </c>
      <c r="C90" s="2">
        <v>45442</v>
      </c>
      <c r="D90" t="s">
        <v>432</v>
      </c>
      <c r="E90" t="s">
        <v>433</v>
      </c>
      <c r="F90" s="1">
        <v>70</v>
      </c>
      <c r="G90" s="1" t="s">
        <v>249</v>
      </c>
      <c r="H90" s="1">
        <v>68740.639999999999</v>
      </c>
      <c r="I90" t="s">
        <v>250</v>
      </c>
      <c r="J90" s="1">
        <v>70</v>
      </c>
      <c r="K90" s="1">
        <v>0</v>
      </c>
      <c r="L90" s="1">
        <f t="shared" si="1"/>
        <v>68740.639999999999</v>
      </c>
      <c r="M90" s="5" t="s">
        <v>511</v>
      </c>
    </row>
    <row r="91" spans="1:13" x14ac:dyDescent="0.3">
      <c r="A91">
        <v>77</v>
      </c>
      <c r="B91" s="2">
        <v>45442</v>
      </c>
      <c r="C91" s="2">
        <v>45442</v>
      </c>
      <c r="D91" t="s">
        <v>434</v>
      </c>
      <c r="E91" t="s">
        <v>435</v>
      </c>
      <c r="F91" s="1">
        <v>15000</v>
      </c>
      <c r="G91" s="1" t="s">
        <v>249</v>
      </c>
      <c r="H91" s="1">
        <v>53740.639999999999</v>
      </c>
      <c r="I91" t="s">
        <v>250</v>
      </c>
      <c r="J91" s="1">
        <v>15000</v>
      </c>
      <c r="K91" s="1">
        <v>0</v>
      </c>
      <c r="L91" s="1">
        <f t="shared" si="1"/>
        <v>53740.639999999999</v>
      </c>
      <c r="M91" s="5" t="s">
        <v>512</v>
      </c>
    </row>
    <row r="92" spans="1:13" x14ac:dyDescent="0.3">
      <c r="A92">
        <v>78</v>
      </c>
      <c r="B92" s="2">
        <v>45442</v>
      </c>
      <c r="C92" s="2">
        <v>45442</v>
      </c>
      <c r="D92" t="s">
        <v>436</v>
      </c>
      <c r="E92" t="s">
        <v>437</v>
      </c>
      <c r="F92" s="1">
        <v>30</v>
      </c>
      <c r="G92" s="1" t="s">
        <v>249</v>
      </c>
      <c r="H92" s="1">
        <v>53710.64</v>
      </c>
      <c r="I92" t="s">
        <v>250</v>
      </c>
      <c r="J92" s="1">
        <v>30</v>
      </c>
      <c r="K92" s="1">
        <v>0</v>
      </c>
      <c r="L92" s="1">
        <f t="shared" si="1"/>
        <v>53710.64</v>
      </c>
      <c r="M92" s="5" t="s">
        <v>511</v>
      </c>
    </row>
    <row r="93" spans="1:13" x14ac:dyDescent="0.3">
      <c r="A93">
        <v>79</v>
      </c>
      <c r="B93" s="2">
        <v>45442</v>
      </c>
      <c r="C93" s="2">
        <v>45442</v>
      </c>
      <c r="D93" t="s">
        <v>438</v>
      </c>
      <c r="E93" s="4">
        <v>415122000000</v>
      </c>
      <c r="F93" s="1">
        <v>3000</v>
      </c>
      <c r="G93" s="1" t="s">
        <v>249</v>
      </c>
      <c r="H93" s="1">
        <v>50710.64</v>
      </c>
      <c r="I93" t="s">
        <v>250</v>
      </c>
      <c r="J93" s="1">
        <v>3000</v>
      </c>
      <c r="K93" s="1">
        <v>0</v>
      </c>
      <c r="L93" s="1">
        <f t="shared" si="1"/>
        <v>50710.64</v>
      </c>
      <c r="M93" s="5" t="s">
        <v>509</v>
      </c>
    </row>
    <row r="94" spans="1:13" x14ac:dyDescent="0.3">
      <c r="A94">
        <v>80</v>
      </c>
      <c r="B94" s="2">
        <v>45442</v>
      </c>
      <c r="C94" s="2">
        <v>45442</v>
      </c>
      <c r="D94" t="s">
        <v>439</v>
      </c>
      <c r="E94" t="s">
        <v>440</v>
      </c>
      <c r="F94" s="1">
        <v>280</v>
      </c>
      <c r="G94" s="1" t="s">
        <v>249</v>
      </c>
      <c r="H94" s="1">
        <v>50430.64</v>
      </c>
      <c r="I94" t="s">
        <v>250</v>
      </c>
      <c r="J94" s="1">
        <v>280</v>
      </c>
      <c r="K94" s="1">
        <v>0</v>
      </c>
      <c r="L94" s="1">
        <f t="shared" si="1"/>
        <v>50430.64</v>
      </c>
      <c r="M94" s="5" t="s">
        <v>511</v>
      </c>
    </row>
    <row r="95" spans="1:13" x14ac:dyDescent="0.3">
      <c r="A95">
        <v>81</v>
      </c>
      <c r="B95" s="2">
        <v>45443</v>
      </c>
      <c r="C95" s="2">
        <v>45443</v>
      </c>
      <c r="D95" t="s">
        <v>441</v>
      </c>
      <c r="E95" t="s">
        <v>442</v>
      </c>
      <c r="F95" s="1">
        <v>15</v>
      </c>
      <c r="G95" s="1" t="s">
        <v>249</v>
      </c>
      <c r="H95" s="1">
        <v>50415.64</v>
      </c>
      <c r="I95" t="s">
        <v>250</v>
      </c>
      <c r="J95" s="1">
        <v>15</v>
      </c>
      <c r="K95" s="1">
        <v>0</v>
      </c>
      <c r="L95" s="1">
        <f t="shared" si="1"/>
        <v>50415.64</v>
      </c>
      <c r="M95" s="5" t="s">
        <v>511</v>
      </c>
    </row>
    <row r="96" spans="1:13" x14ac:dyDescent="0.3">
      <c r="A96">
        <v>82</v>
      </c>
      <c r="B96" s="2">
        <v>45444</v>
      </c>
      <c r="C96" s="2">
        <v>45444</v>
      </c>
      <c r="D96" t="s">
        <v>443</v>
      </c>
      <c r="E96" t="s">
        <v>444</v>
      </c>
      <c r="F96" s="1">
        <v>60</v>
      </c>
      <c r="G96" s="1" t="s">
        <v>249</v>
      </c>
      <c r="H96" s="1">
        <v>50355.64</v>
      </c>
      <c r="I96" t="s">
        <v>250</v>
      </c>
      <c r="J96" s="1">
        <v>60</v>
      </c>
      <c r="K96" s="1">
        <v>0</v>
      </c>
      <c r="L96" s="1">
        <f t="shared" si="1"/>
        <v>50355.64</v>
      </c>
      <c r="M96" s="5" t="s">
        <v>511</v>
      </c>
    </row>
    <row r="97" spans="1:13" x14ac:dyDescent="0.3">
      <c r="A97">
        <v>83</v>
      </c>
      <c r="B97" s="2">
        <v>45445</v>
      </c>
      <c r="C97" s="2">
        <v>45445</v>
      </c>
      <c r="D97" t="s">
        <v>445</v>
      </c>
      <c r="E97" t="s">
        <v>446</v>
      </c>
      <c r="F97" s="1">
        <v>500</v>
      </c>
      <c r="G97" s="1" t="s">
        <v>249</v>
      </c>
      <c r="H97" s="1">
        <v>49855.64</v>
      </c>
      <c r="I97" t="s">
        <v>250</v>
      </c>
      <c r="J97" s="1">
        <v>500</v>
      </c>
      <c r="K97" s="1">
        <v>0</v>
      </c>
      <c r="L97" s="1">
        <f t="shared" si="1"/>
        <v>49855.64</v>
      </c>
      <c r="M97" s="5" t="s">
        <v>511</v>
      </c>
    </row>
    <row r="98" spans="1:13" x14ac:dyDescent="0.3">
      <c r="A98">
        <v>84</v>
      </c>
      <c r="B98" s="2">
        <v>45445</v>
      </c>
      <c r="C98" s="2">
        <v>45445</v>
      </c>
      <c r="D98" t="s">
        <v>447</v>
      </c>
      <c r="E98" t="s">
        <v>448</v>
      </c>
      <c r="F98" s="1">
        <v>1300</v>
      </c>
      <c r="G98" s="1" t="s">
        <v>249</v>
      </c>
      <c r="H98" s="1">
        <v>48555.64</v>
      </c>
      <c r="I98" t="s">
        <v>250</v>
      </c>
      <c r="J98" s="1">
        <v>1300</v>
      </c>
      <c r="K98" s="1">
        <v>0</v>
      </c>
      <c r="L98" s="1">
        <f t="shared" si="1"/>
        <v>48555.64</v>
      </c>
      <c r="M98" s="5" t="s">
        <v>511</v>
      </c>
    </row>
    <row r="99" spans="1:13" x14ac:dyDescent="0.3">
      <c r="A99">
        <v>85</v>
      </c>
      <c r="B99" s="2">
        <v>45446</v>
      </c>
      <c r="C99" s="2">
        <v>45446</v>
      </c>
      <c r="D99" t="s">
        <v>449</v>
      </c>
      <c r="E99" t="s">
        <v>450</v>
      </c>
      <c r="F99" s="1">
        <v>40</v>
      </c>
      <c r="G99" s="1" t="s">
        <v>249</v>
      </c>
      <c r="H99" s="1">
        <v>48515.64</v>
      </c>
      <c r="I99" t="s">
        <v>250</v>
      </c>
      <c r="J99" s="1">
        <v>40</v>
      </c>
      <c r="K99" s="1">
        <v>0</v>
      </c>
      <c r="L99" s="1">
        <f t="shared" si="1"/>
        <v>48515.64</v>
      </c>
      <c r="M99" s="5" t="s">
        <v>511</v>
      </c>
    </row>
    <row r="100" spans="1:13" x14ac:dyDescent="0.3">
      <c r="A100">
        <v>86</v>
      </c>
      <c r="B100" s="2">
        <v>45446</v>
      </c>
      <c r="C100" s="2">
        <v>45446</v>
      </c>
      <c r="D100" t="s">
        <v>451</v>
      </c>
      <c r="E100" t="s">
        <v>450</v>
      </c>
      <c r="F100" s="1">
        <v>40</v>
      </c>
      <c r="G100" s="1" t="s">
        <v>250</v>
      </c>
      <c r="H100" s="1">
        <v>48555.64</v>
      </c>
      <c r="I100" t="s">
        <v>250</v>
      </c>
      <c r="J100" s="1">
        <v>0</v>
      </c>
      <c r="K100" s="1">
        <v>40</v>
      </c>
      <c r="L100" s="1">
        <f t="shared" si="1"/>
        <v>48555.64</v>
      </c>
      <c r="M100" s="5" t="s">
        <v>511</v>
      </c>
    </row>
    <row r="101" spans="1:13" x14ac:dyDescent="0.3">
      <c r="A101">
        <v>87</v>
      </c>
      <c r="B101" s="2">
        <v>45447</v>
      </c>
      <c r="C101" s="2">
        <v>45447</v>
      </c>
      <c r="D101" t="s">
        <v>452</v>
      </c>
      <c r="E101" t="s">
        <v>453</v>
      </c>
      <c r="F101" s="1">
        <v>6931.19</v>
      </c>
      <c r="G101" s="1" t="s">
        <v>249</v>
      </c>
      <c r="H101" s="1">
        <v>41624.449999999997</v>
      </c>
      <c r="I101" t="s">
        <v>250</v>
      </c>
      <c r="J101" s="1">
        <v>6931.19</v>
      </c>
      <c r="K101" s="1">
        <v>0</v>
      </c>
      <c r="L101" s="1">
        <f t="shared" si="1"/>
        <v>41624.449999999997</v>
      </c>
      <c r="M101" s="5" t="s">
        <v>511</v>
      </c>
    </row>
    <row r="102" spans="1:13" x14ac:dyDescent="0.3">
      <c r="A102" s="56">
        <v>88</v>
      </c>
      <c r="B102" s="57">
        <v>45447</v>
      </c>
      <c r="C102" s="57">
        <v>45447</v>
      </c>
      <c r="D102" s="56" t="s">
        <v>454</v>
      </c>
      <c r="E102" s="56" t="s">
        <v>455</v>
      </c>
      <c r="F102" s="58">
        <v>4</v>
      </c>
      <c r="G102" s="58" t="s">
        <v>250</v>
      </c>
      <c r="H102" s="58">
        <v>41628.449999999997</v>
      </c>
      <c r="I102" s="56" t="s">
        <v>250</v>
      </c>
      <c r="J102" s="58">
        <v>0</v>
      </c>
      <c r="K102" s="58">
        <v>4</v>
      </c>
      <c r="L102" s="58">
        <f t="shared" si="1"/>
        <v>41628.449999999997</v>
      </c>
      <c r="M102" s="59" t="s">
        <v>746</v>
      </c>
    </row>
    <row r="103" spans="1:13" x14ac:dyDescent="0.3">
      <c r="A103">
        <v>89</v>
      </c>
      <c r="B103" s="2">
        <v>45452</v>
      </c>
      <c r="C103" s="2">
        <v>45452</v>
      </c>
      <c r="D103" t="s">
        <v>456</v>
      </c>
      <c r="E103" t="s">
        <v>457</v>
      </c>
      <c r="F103" s="1">
        <v>142.25</v>
      </c>
      <c r="G103" s="1" t="s">
        <v>249</v>
      </c>
      <c r="H103" s="1">
        <v>41486.199999999997</v>
      </c>
      <c r="I103" t="s">
        <v>250</v>
      </c>
      <c r="J103" s="1">
        <v>142.25</v>
      </c>
      <c r="K103" s="1">
        <v>0</v>
      </c>
      <c r="L103" s="1">
        <f t="shared" si="1"/>
        <v>41486.199999999997</v>
      </c>
      <c r="M103" s="5" t="s">
        <v>511</v>
      </c>
    </row>
    <row r="104" spans="1:13" x14ac:dyDescent="0.3">
      <c r="A104">
        <v>90</v>
      </c>
      <c r="B104" s="2">
        <v>45453</v>
      </c>
      <c r="C104" s="2">
        <v>45453</v>
      </c>
      <c r="D104" t="s">
        <v>458</v>
      </c>
      <c r="E104" t="s">
        <v>459</v>
      </c>
      <c r="F104" s="1">
        <v>5000</v>
      </c>
      <c r="G104" s="1" t="s">
        <v>249</v>
      </c>
      <c r="H104" s="1">
        <v>36486.199999999997</v>
      </c>
      <c r="I104" t="s">
        <v>250</v>
      </c>
      <c r="J104" s="1">
        <v>5000</v>
      </c>
      <c r="K104" s="1">
        <v>0</v>
      </c>
      <c r="L104" s="1">
        <f t="shared" si="1"/>
        <v>36486.199999999997</v>
      </c>
      <c r="M104" s="5" t="s">
        <v>506</v>
      </c>
    </row>
    <row r="105" spans="1:13" x14ac:dyDescent="0.3">
      <c r="A105" s="41">
        <v>91</v>
      </c>
      <c r="B105" s="43">
        <v>45455</v>
      </c>
      <c r="C105" s="43">
        <v>45455</v>
      </c>
      <c r="D105" s="41" t="s">
        <v>460</v>
      </c>
      <c r="E105" s="41" t="s">
        <v>461</v>
      </c>
      <c r="F105" s="42">
        <v>1</v>
      </c>
      <c r="G105" s="42" t="s">
        <v>250</v>
      </c>
      <c r="H105" s="42">
        <v>36487.199999999997</v>
      </c>
      <c r="I105" s="41" t="s">
        <v>250</v>
      </c>
      <c r="J105" s="42">
        <v>0</v>
      </c>
      <c r="K105" s="42">
        <v>1</v>
      </c>
      <c r="L105" s="42">
        <f t="shared" si="1"/>
        <v>36487.199999999997</v>
      </c>
      <c r="M105" s="44" t="s">
        <v>745</v>
      </c>
    </row>
    <row r="106" spans="1:13" x14ac:dyDescent="0.3">
      <c r="A106" s="41">
        <v>92</v>
      </c>
      <c r="B106" s="43">
        <v>45455</v>
      </c>
      <c r="C106" s="43">
        <v>45455</v>
      </c>
      <c r="D106" s="41" t="s">
        <v>462</v>
      </c>
      <c r="E106" s="41" t="s">
        <v>463</v>
      </c>
      <c r="F106" s="42">
        <v>30000</v>
      </c>
      <c r="G106" s="42" t="s">
        <v>250</v>
      </c>
      <c r="H106" s="42">
        <v>66487.199999999997</v>
      </c>
      <c r="I106" s="41" t="s">
        <v>250</v>
      </c>
      <c r="J106" s="42">
        <v>0</v>
      </c>
      <c r="K106" s="42">
        <v>30000</v>
      </c>
      <c r="L106" s="42">
        <f t="shared" si="1"/>
        <v>66487.199999999997</v>
      </c>
      <c r="M106" s="44" t="s">
        <v>745</v>
      </c>
    </row>
    <row r="107" spans="1:13" x14ac:dyDescent="0.3">
      <c r="A107">
        <v>93</v>
      </c>
      <c r="B107" s="2">
        <v>45455</v>
      </c>
      <c r="C107" s="2">
        <v>45455</v>
      </c>
      <c r="D107" t="s">
        <v>318</v>
      </c>
      <c r="E107" t="s">
        <v>464</v>
      </c>
      <c r="F107" s="1">
        <v>50000</v>
      </c>
      <c r="G107" s="1" t="s">
        <v>249</v>
      </c>
      <c r="H107" s="1">
        <v>16487.2</v>
      </c>
      <c r="I107" t="s">
        <v>250</v>
      </c>
      <c r="J107" s="1">
        <v>50000</v>
      </c>
      <c r="K107" s="1">
        <v>0</v>
      </c>
      <c r="L107" s="1">
        <f t="shared" si="1"/>
        <v>16487.199999999997</v>
      </c>
      <c r="M107" s="5" t="s">
        <v>509</v>
      </c>
    </row>
    <row r="108" spans="1:13" x14ac:dyDescent="0.3">
      <c r="A108">
        <v>94</v>
      </c>
      <c r="B108" s="2">
        <v>45458</v>
      </c>
      <c r="C108" s="2">
        <v>45458</v>
      </c>
      <c r="D108" t="s">
        <v>465</v>
      </c>
      <c r="E108" t="s">
        <v>466</v>
      </c>
      <c r="F108" s="1">
        <v>58</v>
      </c>
      <c r="G108" s="1" t="s">
        <v>249</v>
      </c>
      <c r="H108" s="1">
        <v>16429.2</v>
      </c>
      <c r="I108" t="s">
        <v>250</v>
      </c>
      <c r="J108" s="1">
        <v>58</v>
      </c>
      <c r="K108" s="1">
        <v>0</v>
      </c>
      <c r="L108" s="1">
        <f t="shared" si="1"/>
        <v>16429.199999999997</v>
      </c>
      <c r="M108" s="5" t="s">
        <v>511</v>
      </c>
    </row>
    <row r="109" spans="1:13" x14ac:dyDescent="0.3">
      <c r="A109">
        <v>95</v>
      </c>
      <c r="B109" s="2">
        <v>45460</v>
      </c>
      <c r="C109" s="2">
        <v>45460</v>
      </c>
      <c r="D109" t="s">
        <v>467</v>
      </c>
      <c r="E109" t="s">
        <v>468</v>
      </c>
      <c r="F109" s="1">
        <v>40</v>
      </c>
      <c r="G109" s="1" t="s">
        <v>249</v>
      </c>
      <c r="H109" s="1">
        <v>16389.2</v>
      </c>
      <c r="I109" t="s">
        <v>250</v>
      </c>
      <c r="J109" s="1">
        <v>40</v>
      </c>
      <c r="K109" s="1">
        <v>0</v>
      </c>
      <c r="L109" s="1">
        <f t="shared" si="1"/>
        <v>16389.199999999997</v>
      </c>
      <c r="M109" s="5" t="s">
        <v>511</v>
      </c>
    </row>
    <row r="110" spans="1:13" x14ac:dyDescent="0.3">
      <c r="A110">
        <v>96</v>
      </c>
      <c r="B110" s="2">
        <v>45460</v>
      </c>
      <c r="C110" s="2">
        <v>45460</v>
      </c>
      <c r="D110" t="s">
        <v>469</v>
      </c>
      <c r="E110" t="s">
        <v>470</v>
      </c>
      <c r="F110" s="1">
        <v>121</v>
      </c>
      <c r="G110" s="1" t="s">
        <v>249</v>
      </c>
      <c r="H110" s="1">
        <v>16268.2</v>
      </c>
      <c r="I110" t="s">
        <v>250</v>
      </c>
      <c r="J110" s="1">
        <v>121</v>
      </c>
      <c r="K110" s="1">
        <v>0</v>
      </c>
      <c r="L110" s="1">
        <f t="shared" si="1"/>
        <v>16268.199999999997</v>
      </c>
      <c r="M110" s="5" t="s">
        <v>511</v>
      </c>
    </row>
    <row r="111" spans="1:13" x14ac:dyDescent="0.3">
      <c r="A111">
        <v>97</v>
      </c>
      <c r="B111" s="2">
        <v>45461</v>
      </c>
      <c r="C111" s="2">
        <v>45461</v>
      </c>
      <c r="D111" t="s">
        <v>471</v>
      </c>
      <c r="E111" t="s">
        <v>472</v>
      </c>
      <c r="F111" s="1">
        <v>76</v>
      </c>
      <c r="G111" s="1" t="s">
        <v>249</v>
      </c>
      <c r="H111" s="1">
        <v>16192.2</v>
      </c>
      <c r="I111" t="s">
        <v>250</v>
      </c>
      <c r="J111" s="1">
        <v>76</v>
      </c>
      <c r="K111" s="1">
        <v>0</v>
      </c>
      <c r="L111" s="1">
        <f t="shared" si="1"/>
        <v>16192.199999999997</v>
      </c>
      <c r="M111" s="5" t="s">
        <v>511</v>
      </c>
    </row>
    <row r="112" spans="1:13" x14ac:dyDescent="0.3">
      <c r="A112">
        <v>98</v>
      </c>
      <c r="B112" s="2">
        <v>45461</v>
      </c>
      <c r="C112" s="2">
        <v>45461</v>
      </c>
      <c r="D112" t="s">
        <v>473</v>
      </c>
      <c r="E112" t="s">
        <v>474</v>
      </c>
      <c r="F112" s="1">
        <v>97</v>
      </c>
      <c r="G112" s="1" t="s">
        <v>249</v>
      </c>
      <c r="H112" s="1">
        <v>16095.2</v>
      </c>
      <c r="I112" t="s">
        <v>250</v>
      </c>
      <c r="J112" s="1">
        <v>97</v>
      </c>
      <c r="K112" s="1">
        <v>0</v>
      </c>
      <c r="L112" s="1">
        <f t="shared" si="1"/>
        <v>16095.199999999997</v>
      </c>
      <c r="M112" s="5" t="s">
        <v>511</v>
      </c>
    </row>
    <row r="113" spans="1:13" x14ac:dyDescent="0.3">
      <c r="A113">
        <v>99</v>
      </c>
      <c r="B113" s="2">
        <v>45465</v>
      </c>
      <c r="C113" s="2">
        <v>45465</v>
      </c>
      <c r="D113" t="s">
        <v>475</v>
      </c>
      <c r="E113" t="s">
        <v>476</v>
      </c>
      <c r="F113" s="1">
        <v>148</v>
      </c>
      <c r="G113" s="1" t="s">
        <v>249</v>
      </c>
      <c r="H113" s="1">
        <v>15947.2</v>
      </c>
      <c r="I113" t="s">
        <v>250</v>
      </c>
      <c r="J113" s="1">
        <v>148</v>
      </c>
      <c r="K113" s="1">
        <v>0</v>
      </c>
      <c r="L113" s="1">
        <f t="shared" si="1"/>
        <v>15947.199999999997</v>
      </c>
      <c r="M113" s="5" t="s">
        <v>511</v>
      </c>
    </row>
    <row r="114" spans="1:13" x14ac:dyDescent="0.3">
      <c r="A114">
        <v>100</v>
      </c>
      <c r="B114" s="2">
        <v>45465</v>
      </c>
      <c r="C114" s="2">
        <v>45465</v>
      </c>
      <c r="D114" t="s">
        <v>477</v>
      </c>
      <c r="E114" t="s">
        <v>478</v>
      </c>
      <c r="F114" s="1">
        <v>20</v>
      </c>
      <c r="G114" s="1" t="s">
        <v>249</v>
      </c>
      <c r="H114" s="1">
        <v>15927.2</v>
      </c>
      <c r="I114" t="s">
        <v>250</v>
      </c>
      <c r="J114" s="1">
        <v>20</v>
      </c>
      <c r="K114" s="1">
        <v>0</v>
      </c>
      <c r="L114" s="1">
        <f t="shared" si="1"/>
        <v>15927.199999999997</v>
      </c>
      <c r="M114" s="5" t="s">
        <v>511</v>
      </c>
    </row>
    <row r="115" spans="1:13" x14ac:dyDescent="0.3">
      <c r="A115">
        <v>101</v>
      </c>
      <c r="B115" s="2">
        <v>45466</v>
      </c>
      <c r="C115" s="2">
        <v>45466</v>
      </c>
      <c r="D115" t="s">
        <v>479</v>
      </c>
      <c r="E115" t="s">
        <v>480</v>
      </c>
      <c r="F115" s="1">
        <v>102</v>
      </c>
      <c r="G115" s="1" t="s">
        <v>249</v>
      </c>
      <c r="H115" s="1">
        <v>15825.2</v>
      </c>
      <c r="I115" t="s">
        <v>250</v>
      </c>
      <c r="J115" s="1">
        <v>102</v>
      </c>
      <c r="K115" s="1">
        <v>0</v>
      </c>
      <c r="L115" s="1">
        <f t="shared" si="1"/>
        <v>15825.199999999997</v>
      </c>
      <c r="M115" s="5" t="s">
        <v>511</v>
      </c>
    </row>
    <row r="116" spans="1:13" x14ac:dyDescent="0.3">
      <c r="A116">
        <v>102</v>
      </c>
      <c r="B116" s="2">
        <v>45468</v>
      </c>
      <c r="C116" s="2">
        <v>45468</v>
      </c>
      <c r="D116" t="s">
        <v>481</v>
      </c>
      <c r="E116" t="s">
        <v>482</v>
      </c>
      <c r="F116" s="1">
        <v>20</v>
      </c>
      <c r="G116" s="1" t="s">
        <v>249</v>
      </c>
      <c r="H116" s="1">
        <v>15805.2</v>
      </c>
      <c r="I116" t="s">
        <v>250</v>
      </c>
      <c r="J116" s="1">
        <v>20</v>
      </c>
      <c r="K116" s="1">
        <v>0</v>
      </c>
      <c r="L116" s="1">
        <f t="shared" si="1"/>
        <v>15805.199999999997</v>
      </c>
      <c r="M116" s="5" t="s">
        <v>511</v>
      </c>
    </row>
    <row r="117" spans="1:13" x14ac:dyDescent="0.3">
      <c r="A117">
        <v>103</v>
      </c>
      <c r="B117" s="2">
        <v>45468</v>
      </c>
      <c r="C117" s="2">
        <v>45468</v>
      </c>
      <c r="D117" t="s">
        <v>483</v>
      </c>
      <c r="E117" t="s">
        <v>484</v>
      </c>
      <c r="F117" s="1">
        <v>30</v>
      </c>
      <c r="G117" s="1" t="s">
        <v>249</v>
      </c>
      <c r="H117" s="1">
        <v>15775.2</v>
      </c>
      <c r="I117" t="s">
        <v>250</v>
      </c>
      <c r="J117" s="1">
        <v>30</v>
      </c>
      <c r="K117" s="1">
        <v>0</v>
      </c>
      <c r="L117" s="1">
        <f t="shared" si="1"/>
        <v>15775.199999999997</v>
      </c>
      <c r="M117" s="5" t="s">
        <v>511</v>
      </c>
    </row>
    <row r="118" spans="1:13" x14ac:dyDescent="0.3">
      <c r="A118">
        <v>104</v>
      </c>
      <c r="B118" s="2">
        <v>45469</v>
      </c>
      <c r="C118" s="2">
        <v>45469</v>
      </c>
      <c r="D118" t="s">
        <v>485</v>
      </c>
      <c r="E118" t="s">
        <v>486</v>
      </c>
      <c r="F118" s="1">
        <v>25</v>
      </c>
      <c r="G118" s="1" t="s">
        <v>249</v>
      </c>
      <c r="H118" s="1">
        <v>15750.2</v>
      </c>
      <c r="I118" t="s">
        <v>250</v>
      </c>
      <c r="J118" s="1">
        <v>25</v>
      </c>
      <c r="K118" s="1">
        <v>0</v>
      </c>
      <c r="L118" s="1">
        <f t="shared" si="1"/>
        <v>15750.199999999997</v>
      </c>
      <c r="M118" s="5" t="s">
        <v>511</v>
      </c>
    </row>
    <row r="119" spans="1:13" x14ac:dyDescent="0.3">
      <c r="A119">
        <v>105</v>
      </c>
      <c r="B119" s="2">
        <v>45470</v>
      </c>
      <c r="C119" s="2">
        <v>45470</v>
      </c>
      <c r="D119" t="s">
        <v>358</v>
      </c>
      <c r="E119" t="s">
        <v>487</v>
      </c>
      <c r="F119" s="1">
        <v>67921</v>
      </c>
      <c r="G119" s="1" t="s">
        <v>250</v>
      </c>
      <c r="H119" s="1">
        <v>83671.199999999997</v>
      </c>
      <c r="I119" t="s">
        <v>250</v>
      </c>
      <c r="J119" s="1">
        <v>0</v>
      </c>
      <c r="K119" s="1">
        <v>67921</v>
      </c>
      <c r="L119" s="1">
        <f t="shared" si="1"/>
        <v>83671.199999999997</v>
      </c>
      <c r="M119" s="5" t="s">
        <v>507</v>
      </c>
    </row>
    <row r="120" spans="1:13" x14ac:dyDescent="0.3">
      <c r="A120">
        <v>106</v>
      </c>
      <c r="B120" s="2">
        <v>45470</v>
      </c>
      <c r="C120" s="2">
        <v>45470</v>
      </c>
      <c r="D120" t="s">
        <v>488</v>
      </c>
      <c r="E120" t="s">
        <v>489</v>
      </c>
      <c r="F120" s="1">
        <v>40</v>
      </c>
      <c r="G120" s="1" t="s">
        <v>249</v>
      </c>
      <c r="H120" s="1">
        <v>83631.199999999997</v>
      </c>
      <c r="I120" t="s">
        <v>250</v>
      </c>
      <c r="J120" s="1">
        <v>40</v>
      </c>
      <c r="K120" s="1">
        <v>0</v>
      </c>
      <c r="L120" s="1">
        <f t="shared" si="1"/>
        <v>83631.199999999997</v>
      </c>
      <c r="M120" s="5" t="s">
        <v>511</v>
      </c>
    </row>
    <row r="121" spans="1:13" x14ac:dyDescent="0.3">
      <c r="A121">
        <v>107</v>
      </c>
      <c r="B121" s="2">
        <v>45471</v>
      </c>
      <c r="C121" s="2">
        <v>45471</v>
      </c>
      <c r="D121" t="s">
        <v>490</v>
      </c>
      <c r="E121" t="s">
        <v>491</v>
      </c>
      <c r="F121" s="1">
        <v>475</v>
      </c>
      <c r="G121" s="1" t="s">
        <v>249</v>
      </c>
      <c r="H121" s="1">
        <v>83156.2</v>
      </c>
      <c r="I121" t="s">
        <v>250</v>
      </c>
      <c r="J121" s="1">
        <v>475</v>
      </c>
      <c r="K121" s="1">
        <v>0</v>
      </c>
      <c r="L121" s="1">
        <f t="shared" si="1"/>
        <v>83156.2</v>
      </c>
      <c r="M121" s="5" t="s">
        <v>511</v>
      </c>
    </row>
    <row r="122" spans="1:13" x14ac:dyDescent="0.3">
      <c r="A122">
        <v>108</v>
      </c>
      <c r="B122" s="2">
        <v>45472</v>
      </c>
      <c r="C122" s="2">
        <v>45472</v>
      </c>
      <c r="D122" t="s">
        <v>492</v>
      </c>
      <c r="E122" t="s">
        <v>493</v>
      </c>
      <c r="F122" s="1">
        <v>74</v>
      </c>
      <c r="G122" s="1" t="s">
        <v>249</v>
      </c>
      <c r="H122" s="1">
        <v>83082.2</v>
      </c>
      <c r="I122" t="s">
        <v>250</v>
      </c>
      <c r="J122" s="1">
        <v>74</v>
      </c>
      <c r="K122" s="1">
        <v>0</v>
      </c>
      <c r="L122" s="1">
        <f t="shared" si="1"/>
        <v>83082.2</v>
      </c>
      <c r="M122" s="5" t="s">
        <v>511</v>
      </c>
    </row>
    <row r="123" spans="1:13" x14ac:dyDescent="0.3">
      <c r="A123">
        <v>109</v>
      </c>
      <c r="B123" s="2">
        <v>45472</v>
      </c>
      <c r="C123" s="2">
        <v>45472</v>
      </c>
      <c r="D123" t="s">
        <v>494</v>
      </c>
      <c r="E123" t="s">
        <v>495</v>
      </c>
      <c r="F123" s="1">
        <v>950</v>
      </c>
      <c r="G123" s="1" t="s">
        <v>249</v>
      </c>
      <c r="H123" s="1">
        <v>82132.2</v>
      </c>
      <c r="I123" t="s">
        <v>250</v>
      </c>
      <c r="J123" s="1">
        <v>950</v>
      </c>
      <c r="K123" s="1">
        <v>0</v>
      </c>
      <c r="L123" s="1">
        <f t="shared" si="1"/>
        <v>82132.2</v>
      </c>
      <c r="M123" s="5" t="s">
        <v>511</v>
      </c>
    </row>
    <row r="124" spans="1:13" x14ac:dyDescent="0.3">
      <c r="A124">
        <v>110</v>
      </c>
      <c r="B124" s="2">
        <v>45472</v>
      </c>
      <c r="C124" s="2">
        <v>45472</v>
      </c>
      <c r="D124" t="s">
        <v>496</v>
      </c>
      <c r="E124" t="s">
        <v>497</v>
      </c>
      <c r="F124" s="1">
        <v>500</v>
      </c>
      <c r="G124" s="1" t="s">
        <v>250</v>
      </c>
      <c r="H124" s="1">
        <v>82632.2</v>
      </c>
      <c r="I124" t="s">
        <v>250</v>
      </c>
      <c r="J124" s="1">
        <v>0</v>
      </c>
      <c r="K124" s="1">
        <v>500</v>
      </c>
      <c r="L124" s="1">
        <f t="shared" si="1"/>
        <v>82632.2</v>
      </c>
      <c r="M124" s="5" t="s">
        <v>511</v>
      </c>
    </row>
    <row r="125" spans="1:13" x14ac:dyDescent="0.3">
      <c r="A125">
        <v>111</v>
      </c>
      <c r="B125" s="2">
        <v>45472</v>
      </c>
      <c r="C125" s="2">
        <v>45472</v>
      </c>
      <c r="D125" t="s">
        <v>498</v>
      </c>
      <c r="E125" t="s">
        <v>499</v>
      </c>
      <c r="F125" s="1">
        <v>27</v>
      </c>
      <c r="G125" s="1" t="s">
        <v>250</v>
      </c>
      <c r="H125" s="1">
        <v>82659.199999999997</v>
      </c>
      <c r="I125" t="s">
        <v>250</v>
      </c>
      <c r="J125" s="1">
        <v>0</v>
      </c>
      <c r="K125" s="1">
        <v>27</v>
      </c>
      <c r="L125" s="1">
        <f t="shared" si="1"/>
        <v>82659.199999999997</v>
      </c>
      <c r="M125" s="5" t="s">
        <v>511</v>
      </c>
    </row>
    <row r="126" spans="1:13" x14ac:dyDescent="0.3">
      <c r="A126">
        <v>112</v>
      </c>
      <c r="B126" s="2">
        <v>45473</v>
      </c>
      <c r="C126" s="2">
        <v>45473</v>
      </c>
      <c r="D126" t="s">
        <v>500</v>
      </c>
      <c r="E126" t="s">
        <v>501</v>
      </c>
      <c r="F126" s="1">
        <v>160</v>
      </c>
      <c r="G126" s="1" t="s">
        <v>249</v>
      </c>
      <c r="H126" s="1">
        <v>82499.199999999997</v>
      </c>
      <c r="I126" t="s">
        <v>250</v>
      </c>
      <c r="J126" s="1">
        <v>160</v>
      </c>
      <c r="K126" s="1">
        <v>0</v>
      </c>
      <c r="L126" s="1">
        <f t="shared" si="1"/>
        <v>82499.199999999997</v>
      </c>
      <c r="M126" s="5" t="s">
        <v>511</v>
      </c>
    </row>
    <row r="127" spans="1:13" x14ac:dyDescent="0.3">
      <c r="A127">
        <v>113</v>
      </c>
      <c r="B127" s="2">
        <v>45473</v>
      </c>
      <c r="C127" s="2">
        <v>45473</v>
      </c>
      <c r="D127" t="s">
        <v>502</v>
      </c>
      <c r="E127" t="s">
        <v>503</v>
      </c>
      <c r="F127" s="1">
        <v>25</v>
      </c>
      <c r="G127" s="1" t="s">
        <v>249</v>
      </c>
      <c r="H127" s="1">
        <v>82474.2</v>
      </c>
      <c r="I127" t="s">
        <v>250</v>
      </c>
      <c r="J127" s="1">
        <v>25</v>
      </c>
      <c r="K127" s="1">
        <v>0</v>
      </c>
      <c r="L127" s="1">
        <f t="shared" si="1"/>
        <v>82474.2</v>
      </c>
      <c r="M127" s="5" t="s">
        <v>511</v>
      </c>
    </row>
    <row r="128" spans="1:13" x14ac:dyDescent="0.3">
      <c r="A128">
        <v>114</v>
      </c>
      <c r="B128" s="2">
        <v>45474</v>
      </c>
      <c r="C128" s="2">
        <v>45473</v>
      </c>
      <c r="D128" t="s">
        <v>504</v>
      </c>
      <c r="F128" s="1">
        <v>188</v>
      </c>
      <c r="G128" s="1" t="s">
        <v>250</v>
      </c>
      <c r="H128" s="1">
        <v>82662.2</v>
      </c>
      <c r="I128" t="s">
        <v>250</v>
      </c>
      <c r="J128" s="1">
        <v>0</v>
      </c>
      <c r="K128" s="1">
        <v>188</v>
      </c>
      <c r="L128" s="1">
        <f t="shared" si="1"/>
        <v>82662.2</v>
      </c>
      <c r="M128" s="5" t="s">
        <v>227</v>
      </c>
    </row>
    <row r="129" spans="1:13" x14ac:dyDescent="0.3">
      <c r="A129">
        <v>115</v>
      </c>
      <c r="B129" s="2">
        <v>45475</v>
      </c>
      <c r="C129" s="2">
        <v>45475</v>
      </c>
      <c r="D129" t="s">
        <v>1508</v>
      </c>
      <c r="E129" t="s">
        <v>1509</v>
      </c>
      <c r="F129" s="1">
        <v>30</v>
      </c>
      <c r="G129" t="s">
        <v>249</v>
      </c>
      <c r="H129" s="1">
        <v>82632.2</v>
      </c>
      <c r="I129" t="s">
        <v>250</v>
      </c>
      <c r="J129" s="1">
        <v>30</v>
      </c>
      <c r="K129" s="1">
        <v>0</v>
      </c>
      <c r="L129" s="1">
        <f>H129</f>
        <v>82632.2</v>
      </c>
      <c r="M129" t="s">
        <v>511</v>
      </c>
    </row>
    <row r="130" spans="1:13" x14ac:dyDescent="0.3">
      <c r="A130">
        <v>116</v>
      </c>
      <c r="B130" s="2">
        <v>45477</v>
      </c>
      <c r="C130" s="2">
        <v>45477</v>
      </c>
      <c r="D130" t="s">
        <v>1510</v>
      </c>
      <c r="E130" t="s">
        <v>1511</v>
      </c>
      <c r="F130" s="1">
        <v>83</v>
      </c>
      <c r="G130" t="s">
        <v>249</v>
      </c>
      <c r="H130" s="1">
        <v>82549.2</v>
      </c>
      <c r="I130" t="s">
        <v>250</v>
      </c>
      <c r="J130" s="1">
        <v>83</v>
      </c>
      <c r="K130" s="1">
        <v>0</v>
      </c>
      <c r="L130" s="1">
        <f t="shared" ref="L130:L193" si="2">H130</f>
        <v>82549.2</v>
      </c>
      <c r="M130" t="s">
        <v>511</v>
      </c>
    </row>
    <row r="131" spans="1:13" x14ac:dyDescent="0.3">
      <c r="A131">
        <v>117</v>
      </c>
      <c r="B131" s="2">
        <v>45477</v>
      </c>
      <c r="C131" s="2">
        <v>45477</v>
      </c>
      <c r="D131" t="s">
        <v>1512</v>
      </c>
      <c r="E131" t="s">
        <v>1513</v>
      </c>
      <c r="F131" s="1">
        <v>40</v>
      </c>
      <c r="G131" t="s">
        <v>249</v>
      </c>
      <c r="H131" s="1">
        <v>82509.2</v>
      </c>
      <c r="I131" t="s">
        <v>250</v>
      </c>
      <c r="J131" s="1">
        <v>40</v>
      </c>
      <c r="K131" s="1">
        <v>0</v>
      </c>
      <c r="L131" s="1">
        <f t="shared" si="2"/>
        <v>82509.2</v>
      </c>
      <c r="M131" t="s">
        <v>511</v>
      </c>
    </row>
    <row r="132" spans="1:13" x14ac:dyDescent="0.3">
      <c r="A132">
        <v>118</v>
      </c>
      <c r="B132" s="2">
        <v>45478</v>
      </c>
      <c r="C132" s="2">
        <v>45478</v>
      </c>
      <c r="D132" t="s">
        <v>1514</v>
      </c>
      <c r="E132" t="s">
        <v>1515</v>
      </c>
      <c r="F132" s="1">
        <v>4436.7</v>
      </c>
      <c r="G132" t="s">
        <v>249</v>
      </c>
      <c r="H132" s="1">
        <v>78072.5</v>
      </c>
      <c r="I132" t="s">
        <v>250</v>
      </c>
      <c r="J132" s="1">
        <v>4436.7</v>
      </c>
      <c r="K132" s="1">
        <v>0</v>
      </c>
      <c r="L132" s="1">
        <f t="shared" si="2"/>
        <v>78072.5</v>
      </c>
      <c r="M132" t="s">
        <v>511</v>
      </c>
    </row>
    <row r="133" spans="1:13" x14ac:dyDescent="0.3">
      <c r="A133">
        <v>119</v>
      </c>
      <c r="B133" s="2">
        <v>45479</v>
      </c>
      <c r="C133" s="2">
        <v>45479</v>
      </c>
      <c r="D133" t="s">
        <v>1516</v>
      </c>
      <c r="E133" t="s">
        <v>1517</v>
      </c>
      <c r="F133" s="1">
        <v>2000</v>
      </c>
      <c r="G133" t="s">
        <v>249</v>
      </c>
      <c r="H133" s="1">
        <v>76072.5</v>
      </c>
      <c r="I133" t="s">
        <v>250</v>
      </c>
      <c r="J133" s="1">
        <v>2000</v>
      </c>
      <c r="K133" s="1">
        <v>0</v>
      </c>
      <c r="L133" s="1">
        <f t="shared" si="2"/>
        <v>76072.5</v>
      </c>
      <c r="M133" t="s">
        <v>511</v>
      </c>
    </row>
    <row r="134" spans="1:13" x14ac:dyDescent="0.3">
      <c r="A134">
        <v>120</v>
      </c>
      <c r="B134" s="2">
        <v>45480</v>
      </c>
      <c r="C134" s="2">
        <v>45480</v>
      </c>
      <c r="D134" t="s">
        <v>1518</v>
      </c>
      <c r="E134">
        <v>418917009481</v>
      </c>
      <c r="F134" s="1">
        <v>10000</v>
      </c>
      <c r="G134" t="s">
        <v>249</v>
      </c>
      <c r="H134" s="1">
        <v>66072.5</v>
      </c>
      <c r="I134" t="s">
        <v>250</v>
      </c>
      <c r="J134" s="1">
        <v>10000</v>
      </c>
      <c r="K134" s="1">
        <v>0</v>
      </c>
      <c r="L134" s="1">
        <f t="shared" si="2"/>
        <v>66072.5</v>
      </c>
      <c r="M134" t="s">
        <v>228</v>
      </c>
    </row>
    <row r="135" spans="1:13" x14ac:dyDescent="0.3">
      <c r="A135">
        <v>121</v>
      </c>
      <c r="B135" s="2">
        <v>45480</v>
      </c>
      <c r="C135" s="2">
        <v>45480</v>
      </c>
      <c r="D135" t="s">
        <v>1519</v>
      </c>
      <c r="E135">
        <v>418917009482</v>
      </c>
      <c r="F135" s="1">
        <v>5000</v>
      </c>
      <c r="G135" t="s">
        <v>249</v>
      </c>
      <c r="H135" s="1">
        <v>61072.5</v>
      </c>
      <c r="I135" t="s">
        <v>250</v>
      </c>
      <c r="J135" s="1">
        <v>5000</v>
      </c>
      <c r="K135" s="1">
        <v>0</v>
      </c>
      <c r="L135" s="1">
        <f t="shared" si="2"/>
        <v>61072.5</v>
      </c>
      <c r="M135" t="s">
        <v>228</v>
      </c>
    </row>
    <row r="136" spans="1:13" x14ac:dyDescent="0.3">
      <c r="A136">
        <v>122</v>
      </c>
      <c r="B136" s="2">
        <v>45483</v>
      </c>
      <c r="C136" s="2">
        <v>45483</v>
      </c>
      <c r="D136" t="s">
        <v>458</v>
      </c>
      <c r="E136" t="s">
        <v>1520</v>
      </c>
      <c r="F136" s="1">
        <v>5000</v>
      </c>
      <c r="G136" t="s">
        <v>249</v>
      </c>
      <c r="H136" s="1">
        <v>56072.5</v>
      </c>
      <c r="I136" t="s">
        <v>250</v>
      </c>
      <c r="J136" s="1">
        <v>5000</v>
      </c>
      <c r="K136" s="1">
        <v>0</v>
      </c>
      <c r="L136" s="1">
        <f t="shared" si="2"/>
        <v>56072.5</v>
      </c>
      <c r="M136" t="s">
        <v>219</v>
      </c>
    </row>
    <row r="137" spans="1:13" x14ac:dyDescent="0.3">
      <c r="A137">
        <v>123</v>
      </c>
      <c r="B137" s="2">
        <v>45483</v>
      </c>
      <c r="C137" s="2">
        <v>45483</v>
      </c>
      <c r="D137" t="s">
        <v>1521</v>
      </c>
      <c r="E137" t="s">
        <v>1522</v>
      </c>
      <c r="F137" s="1">
        <v>10000</v>
      </c>
      <c r="G137" t="s">
        <v>249</v>
      </c>
      <c r="H137" s="1">
        <v>46072.5</v>
      </c>
      <c r="I137" t="s">
        <v>250</v>
      </c>
      <c r="J137" s="1">
        <v>10000</v>
      </c>
      <c r="K137" s="1">
        <v>0</v>
      </c>
      <c r="L137" s="1">
        <f t="shared" si="2"/>
        <v>46072.5</v>
      </c>
      <c r="M137" t="s">
        <v>2533</v>
      </c>
    </row>
    <row r="138" spans="1:13" x14ac:dyDescent="0.3">
      <c r="A138">
        <v>124</v>
      </c>
      <c r="B138" s="2">
        <v>45484</v>
      </c>
      <c r="C138" s="2">
        <v>45484</v>
      </c>
      <c r="D138" t="s">
        <v>1523</v>
      </c>
      <c r="E138" t="s">
        <v>1524</v>
      </c>
      <c r="F138" s="1">
        <v>50</v>
      </c>
      <c r="G138" t="s">
        <v>249</v>
      </c>
      <c r="H138" s="1">
        <v>46022.5</v>
      </c>
      <c r="I138" t="s">
        <v>250</v>
      </c>
      <c r="J138" s="1">
        <v>50</v>
      </c>
      <c r="K138" s="1">
        <v>0</v>
      </c>
      <c r="L138" s="1">
        <f t="shared" si="2"/>
        <v>46022.5</v>
      </c>
      <c r="M138" t="s">
        <v>511</v>
      </c>
    </row>
    <row r="139" spans="1:13" x14ac:dyDescent="0.3">
      <c r="A139">
        <v>125</v>
      </c>
      <c r="B139" s="2">
        <v>45484</v>
      </c>
      <c r="C139" s="2">
        <v>45484</v>
      </c>
      <c r="D139" t="s">
        <v>1525</v>
      </c>
      <c r="E139" t="s">
        <v>1526</v>
      </c>
      <c r="F139" s="1">
        <v>250</v>
      </c>
      <c r="G139" t="s">
        <v>249</v>
      </c>
      <c r="H139" s="1">
        <v>45772.5</v>
      </c>
      <c r="I139" t="s">
        <v>250</v>
      </c>
      <c r="J139" s="1">
        <v>250</v>
      </c>
      <c r="K139" s="1">
        <v>0</v>
      </c>
      <c r="L139" s="1">
        <f t="shared" si="2"/>
        <v>45772.5</v>
      </c>
      <c r="M139" t="s">
        <v>511</v>
      </c>
    </row>
    <row r="140" spans="1:13" x14ac:dyDescent="0.3">
      <c r="A140">
        <v>126</v>
      </c>
      <c r="B140" s="2">
        <v>45485</v>
      </c>
      <c r="C140" s="2">
        <v>45485</v>
      </c>
      <c r="D140" t="s">
        <v>1527</v>
      </c>
      <c r="E140" t="s">
        <v>1528</v>
      </c>
      <c r="F140" s="1">
        <v>25000</v>
      </c>
      <c r="G140" t="s">
        <v>249</v>
      </c>
      <c r="H140" s="1">
        <v>20772.5</v>
      </c>
      <c r="I140" t="s">
        <v>250</v>
      </c>
      <c r="J140" s="1">
        <v>25000</v>
      </c>
      <c r="K140" s="1">
        <v>0</v>
      </c>
      <c r="L140" s="1">
        <f t="shared" si="2"/>
        <v>20772.5</v>
      </c>
      <c r="M140" t="s">
        <v>511</v>
      </c>
    </row>
    <row r="141" spans="1:13" x14ac:dyDescent="0.3">
      <c r="A141">
        <v>127</v>
      </c>
      <c r="B141" s="2">
        <v>45485</v>
      </c>
      <c r="C141" s="2">
        <v>45485</v>
      </c>
      <c r="D141" t="s">
        <v>1529</v>
      </c>
      <c r="E141" t="s">
        <v>1530</v>
      </c>
      <c r="F141" s="1">
        <v>60</v>
      </c>
      <c r="G141" t="s">
        <v>249</v>
      </c>
      <c r="H141" s="1">
        <v>20712.5</v>
      </c>
      <c r="I141" t="s">
        <v>250</v>
      </c>
      <c r="J141" s="1">
        <v>60</v>
      </c>
      <c r="K141" s="1">
        <v>0</v>
      </c>
      <c r="L141" s="1">
        <f t="shared" si="2"/>
        <v>20712.5</v>
      </c>
      <c r="M141" t="s">
        <v>511</v>
      </c>
    </row>
    <row r="142" spans="1:13" x14ac:dyDescent="0.3">
      <c r="A142">
        <v>128</v>
      </c>
      <c r="B142" s="2">
        <v>45486</v>
      </c>
      <c r="C142" s="2">
        <v>45486</v>
      </c>
      <c r="D142" t="s">
        <v>1531</v>
      </c>
      <c r="E142" t="s">
        <v>1532</v>
      </c>
      <c r="F142" s="1">
        <v>25</v>
      </c>
      <c r="G142" t="s">
        <v>249</v>
      </c>
      <c r="H142" s="1">
        <v>20687.5</v>
      </c>
      <c r="I142" t="s">
        <v>250</v>
      </c>
      <c r="J142" s="1">
        <v>25</v>
      </c>
      <c r="K142" s="1">
        <v>0</v>
      </c>
      <c r="L142" s="1">
        <f t="shared" si="2"/>
        <v>20687.5</v>
      </c>
      <c r="M142" t="s">
        <v>511</v>
      </c>
    </row>
    <row r="143" spans="1:13" x14ac:dyDescent="0.3">
      <c r="A143">
        <v>129</v>
      </c>
      <c r="B143" s="2">
        <v>45486</v>
      </c>
      <c r="C143" s="2">
        <v>45486</v>
      </c>
      <c r="D143" t="s">
        <v>1533</v>
      </c>
      <c r="E143" t="s">
        <v>1534</v>
      </c>
      <c r="F143" s="1">
        <v>40</v>
      </c>
      <c r="G143" t="s">
        <v>249</v>
      </c>
      <c r="H143" s="1">
        <v>20647.5</v>
      </c>
      <c r="I143" t="s">
        <v>250</v>
      </c>
      <c r="J143" s="1">
        <v>40</v>
      </c>
      <c r="K143" s="1">
        <v>0</v>
      </c>
      <c r="L143" s="1">
        <f t="shared" si="2"/>
        <v>20647.5</v>
      </c>
      <c r="M143" t="s">
        <v>511</v>
      </c>
    </row>
    <row r="144" spans="1:13" x14ac:dyDescent="0.3">
      <c r="A144">
        <v>130</v>
      </c>
      <c r="B144" s="2">
        <v>45487</v>
      </c>
      <c r="C144" s="2">
        <v>45487</v>
      </c>
      <c r="D144" t="s">
        <v>1535</v>
      </c>
      <c r="E144" t="s">
        <v>1536</v>
      </c>
      <c r="F144" s="1">
        <v>10</v>
      </c>
      <c r="G144" t="s">
        <v>249</v>
      </c>
      <c r="H144" s="1">
        <v>20637.5</v>
      </c>
      <c r="I144" t="s">
        <v>250</v>
      </c>
      <c r="J144" s="1">
        <v>10</v>
      </c>
      <c r="K144" s="1">
        <v>0</v>
      </c>
      <c r="L144" s="1">
        <f t="shared" si="2"/>
        <v>20637.5</v>
      </c>
      <c r="M144" t="s">
        <v>511</v>
      </c>
    </row>
    <row r="145" spans="1:13" x14ac:dyDescent="0.3">
      <c r="A145">
        <v>131</v>
      </c>
      <c r="B145" s="2">
        <v>45487</v>
      </c>
      <c r="C145" s="2">
        <v>45487</v>
      </c>
      <c r="D145" t="s">
        <v>1537</v>
      </c>
      <c r="E145" t="s">
        <v>1538</v>
      </c>
      <c r="F145" s="1">
        <v>10</v>
      </c>
      <c r="G145" t="s">
        <v>249</v>
      </c>
      <c r="H145" s="1">
        <v>20627.5</v>
      </c>
      <c r="I145" t="s">
        <v>250</v>
      </c>
      <c r="J145" s="1">
        <v>10</v>
      </c>
      <c r="K145" s="1">
        <v>0</v>
      </c>
      <c r="L145" s="1">
        <f t="shared" si="2"/>
        <v>20627.5</v>
      </c>
      <c r="M145" t="s">
        <v>511</v>
      </c>
    </row>
    <row r="146" spans="1:13" x14ac:dyDescent="0.3">
      <c r="A146">
        <v>132</v>
      </c>
      <c r="B146" s="2">
        <v>45487</v>
      </c>
      <c r="C146" s="2">
        <v>45487</v>
      </c>
      <c r="D146" t="s">
        <v>1539</v>
      </c>
      <c r="E146" t="s">
        <v>1540</v>
      </c>
      <c r="F146" s="1">
        <v>10</v>
      </c>
      <c r="G146" t="s">
        <v>249</v>
      </c>
      <c r="H146" s="1">
        <v>20617.5</v>
      </c>
      <c r="I146" t="s">
        <v>250</v>
      </c>
      <c r="J146" s="1">
        <v>10</v>
      </c>
      <c r="K146" s="1">
        <v>0</v>
      </c>
      <c r="L146" s="1">
        <f t="shared" si="2"/>
        <v>20617.5</v>
      </c>
      <c r="M146" t="s">
        <v>511</v>
      </c>
    </row>
    <row r="147" spans="1:13" x14ac:dyDescent="0.3">
      <c r="A147">
        <v>133</v>
      </c>
      <c r="B147" s="2">
        <v>45487</v>
      </c>
      <c r="C147" s="2">
        <v>45487</v>
      </c>
      <c r="D147" t="s">
        <v>1541</v>
      </c>
      <c r="E147" t="s">
        <v>1542</v>
      </c>
      <c r="F147" s="1">
        <v>10</v>
      </c>
      <c r="G147" t="s">
        <v>249</v>
      </c>
      <c r="H147" s="1">
        <v>20607.5</v>
      </c>
      <c r="I147" t="s">
        <v>250</v>
      </c>
      <c r="J147" s="1">
        <v>10</v>
      </c>
      <c r="K147" s="1">
        <v>0</v>
      </c>
      <c r="L147" s="1">
        <f t="shared" si="2"/>
        <v>20607.5</v>
      </c>
      <c r="M147" t="s">
        <v>511</v>
      </c>
    </row>
    <row r="148" spans="1:13" x14ac:dyDescent="0.3">
      <c r="A148">
        <v>134</v>
      </c>
      <c r="B148" s="2">
        <v>45487</v>
      </c>
      <c r="C148" s="2">
        <v>45487</v>
      </c>
      <c r="D148" t="s">
        <v>1543</v>
      </c>
      <c r="E148" t="s">
        <v>1544</v>
      </c>
      <c r="F148" s="1">
        <v>40</v>
      </c>
      <c r="G148" t="s">
        <v>249</v>
      </c>
      <c r="H148" s="1">
        <v>20567.5</v>
      </c>
      <c r="I148" t="s">
        <v>250</v>
      </c>
      <c r="J148" s="1">
        <v>40</v>
      </c>
      <c r="K148" s="1">
        <v>0</v>
      </c>
      <c r="L148" s="1">
        <f t="shared" si="2"/>
        <v>20567.5</v>
      </c>
      <c r="M148" t="s">
        <v>511</v>
      </c>
    </row>
    <row r="149" spans="1:13" x14ac:dyDescent="0.3">
      <c r="A149">
        <v>135</v>
      </c>
      <c r="B149" s="2">
        <v>45487</v>
      </c>
      <c r="C149" s="2">
        <v>45487</v>
      </c>
      <c r="D149" t="s">
        <v>1545</v>
      </c>
      <c r="E149" t="s">
        <v>1546</v>
      </c>
      <c r="F149" s="1">
        <v>20</v>
      </c>
      <c r="G149" t="s">
        <v>250</v>
      </c>
      <c r="H149" s="1">
        <v>20587.5</v>
      </c>
      <c r="I149" t="s">
        <v>250</v>
      </c>
      <c r="J149" s="1">
        <v>0</v>
      </c>
      <c r="K149" s="1">
        <v>20</v>
      </c>
      <c r="L149" s="1">
        <f t="shared" si="2"/>
        <v>20587.5</v>
      </c>
      <c r="M149" t="s">
        <v>511</v>
      </c>
    </row>
    <row r="150" spans="1:13" x14ac:dyDescent="0.3">
      <c r="A150">
        <v>136</v>
      </c>
      <c r="B150" s="2">
        <v>45488</v>
      </c>
      <c r="C150" s="2">
        <v>45488</v>
      </c>
      <c r="D150" t="s">
        <v>1547</v>
      </c>
      <c r="E150" t="s">
        <v>1548</v>
      </c>
      <c r="F150" s="1">
        <v>100</v>
      </c>
      <c r="G150" t="s">
        <v>249</v>
      </c>
      <c r="H150" s="1">
        <v>20487.5</v>
      </c>
      <c r="I150" t="s">
        <v>250</v>
      </c>
      <c r="J150" s="1">
        <v>100</v>
      </c>
      <c r="K150" s="1">
        <v>0</v>
      </c>
      <c r="L150" s="1">
        <f t="shared" si="2"/>
        <v>20487.5</v>
      </c>
      <c r="M150" t="s">
        <v>511</v>
      </c>
    </row>
    <row r="151" spans="1:13" x14ac:dyDescent="0.3">
      <c r="A151">
        <v>137</v>
      </c>
      <c r="B151" s="2">
        <v>45489</v>
      </c>
      <c r="C151" s="2">
        <v>45489</v>
      </c>
      <c r="D151" t="s">
        <v>1549</v>
      </c>
      <c r="E151" t="s">
        <v>1550</v>
      </c>
      <c r="F151" s="1">
        <v>40</v>
      </c>
      <c r="G151" t="s">
        <v>249</v>
      </c>
      <c r="H151" s="1">
        <v>20447.5</v>
      </c>
      <c r="I151" t="s">
        <v>250</v>
      </c>
      <c r="J151" s="1">
        <v>40</v>
      </c>
      <c r="K151" s="1">
        <v>0</v>
      </c>
      <c r="L151" s="1">
        <f t="shared" si="2"/>
        <v>20447.5</v>
      </c>
      <c r="M151" t="s">
        <v>511</v>
      </c>
    </row>
    <row r="152" spans="1:13" x14ac:dyDescent="0.3">
      <c r="A152">
        <v>138</v>
      </c>
      <c r="B152" s="2">
        <v>45490</v>
      </c>
      <c r="C152" s="2">
        <v>45490</v>
      </c>
      <c r="D152" t="s">
        <v>1551</v>
      </c>
      <c r="E152" t="s">
        <v>1552</v>
      </c>
      <c r="F152" s="1">
        <v>363.19</v>
      </c>
      <c r="G152" t="s">
        <v>249</v>
      </c>
      <c r="H152" s="1">
        <v>20084.310000000001</v>
      </c>
      <c r="I152" t="s">
        <v>250</v>
      </c>
      <c r="J152" s="1">
        <v>363.19</v>
      </c>
      <c r="K152" s="1">
        <v>0</v>
      </c>
      <c r="L152" s="1">
        <f t="shared" si="2"/>
        <v>20084.310000000001</v>
      </c>
      <c r="M152" t="s">
        <v>511</v>
      </c>
    </row>
    <row r="153" spans="1:13" x14ac:dyDescent="0.3">
      <c r="A153">
        <v>139</v>
      </c>
      <c r="B153" s="2">
        <v>45491</v>
      </c>
      <c r="C153" s="2">
        <v>45491</v>
      </c>
      <c r="D153" t="s">
        <v>1553</v>
      </c>
      <c r="E153" t="s">
        <v>1554</v>
      </c>
      <c r="F153" s="1">
        <v>80</v>
      </c>
      <c r="G153" t="s">
        <v>249</v>
      </c>
      <c r="H153" s="1">
        <v>20004.310000000001</v>
      </c>
      <c r="I153" t="s">
        <v>250</v>
      </c>
      <c r="J153" s="1">
        <v>80</v>
      </c>
      <c r="K153" s="1">
        <v>0</v>
      </c>
      <c r="L153" s="1">
        <f t="shared" si="2"/>
        <v>20004.310000000001</v>
      </c>
      <c r="M153" t="s">
        <v>511</v>
      </c>
    </row>
    <row r="154" spans="1:13" x14ac:dyDescent="0.3">
      <c r="A154">
        <v>140</v>
      </c>
      <c r="B154" s="2">
        <v>45491</v>
      </c>
      <c r="C154" s="2">
        <v>45491</v>
      </c>
      <c r="D154" t="s">
        <v>1555</v>
      </c>
      <c r="E154" t="s">
        <v>1556</v>
      </c>
      <c r="F154" s="1">
        <v>60</v>
      </c>
      <c r="G154" t="s">
        <v>249</v>
      </c>
      <c r="H154" s="1">
        <v>19944.310000000001</v>
      </c>
      <c r="I154" t="s">
        <v>250</v>
      </c>
      <c r="J154" s="1">
        <v>60</v>
      </c>
      <c r="K154" s="1">
        <v>0</v>
      </c>
      <c r="L154" s="1">
        <f t="shared" si="2"/>
        <v>19944.310000000001</v>
      </c>
      <c r="M154" t="s">
        <v>511</v>
      </c>
    </row>
    <row r="155" spans="1:13" x14ac:dyDescent="0.3">
      <c r="A155">
        <v>141</v>
      </c>
      <c r="B155" s="2">
        <v>45492</v>
      </c>
      <c r="C155" s="2">
        <v>45492</v>
      </c>
      <c r="D155" t="s">
        <v>1557</v>
      </c>
      <c r="E155" t="s">
        <v>1558</v>
      </c>
      <c r="F155" s="1">
        <v>157</v>
      </c>
      <c r="G155" t="s">
        <v>249</v>
      </c>
      <c r="H155" s="1">
        <v>19787.310000000001</v>
      </c>
      <c r="I155" t="s">
        <v>250</v>
      </c>
      <c r="J155" s="1">
        <v>157</v>
      </c>
      <c r="K155" s="1">
        <v>0</v>
      </c>
      <c r="L155" s="1">
        <f t="shared" si="2"/>
        <v>19787.310000000001</v>
      </c>
      <c r="M155" t="s">
        <v>511</v>
      </c>
    </row>
    <row r="156" spans="1:13" x14ac:dyDescent="0.3">
      <c r="A156">
        <v>142</v>
      </c>
      <c r="B156" s="2">
        <v>45493</v>
      </c>
      <c r="C156" s="2">
        <v>45493</v>
      </c>
      <c r="D156" t="s">
        <v>1559</v>
      </c>
      <c r="E156" t="s">
        <v>1560</v>
      </c>
      <c r="F156" s="1">
        <v>35</v>
      </c>
      <c r="G156" t="s">
        <v>249</v>
      </c>
      <c r="H156" s="1">
        <v>19752.310000000001</v>
      </c>
      <c r="I156" t="s">
        <v>250</v>
      </c>
      <c r="J156" s="1">
        <v>35</v>
      </c>
      <c r="K156" s="1">
        <v>0</v>
      </c>
      <c r="L156" s="1">
        <f t="shared" si="2"/>
        <v>19752.310000000001</v>
      </c>
      <c r="M156" t="s">
        <v>511</v>
      </c>
    </row>
    <row r="157" spans="1:13" x14ac:dyDescent="0.3">
      <c r="A157">
        <v>143</v>
      </c>
      <c r="B157" s="2">
        <v>45493</v>
      </c>
      <c r="C157" s="2">
        <v>45493</v>
      </c>
      <c r="D157" t="s">
        <v>1561</v>
      </c>
      <c r="E157" t="s">
        <v>1562</v>
      </c>
      <c r="F157" s="1">
        <v>20</v>
      </c>
      <c r="G157" t="s">
        <v>249</v>
      </c>
      <c r="H157" s="1">
        <v>19732.310000000001</v>
      </c>
      <c r="I157" t="s">
        <v>250</v>
      </c>
      <c r="J157" s="1">
        <v>20</v>
      </c>
      <c r="K157" s="1">
        <v>0</v>
      </c>
      <c r="L157" s="1">
        <f t="shared" si="2"/>
        <v>19732.310000000001</v>
      </c>
      <c r="M157" t="s">
        <v>511</v>
      </c>
    </row>
    <row r="158" spans="1:13" x14ac:dyDescent="0.3">
      <c r="A158">
        <v>144</v>
      </c>
      <c r="B158" s="2">
        <v>45493</v>
      </c>
      <c r="C158" s="2">
        <v>45493</v>
      </c>
      <c r="D158" t="s">
        <v>1563</v>
      </c>
      <c r="E158" t="s">
        <v>1564</v>
      </c>
      <c r="F158" s="1">
        <v>500</v>
      </c>
      <c r="G158" t="s">
        <v>249</v>
      </c>
      <c r="H158" s="1">
        <v>19232.310000000001</v>
      </c>
      <c r="I158" t="s">
        <v>250</v>
      </c>
      <c r="J158" s="1">
        <v>500</v>
      </c>
      <c r="K158" s="1">
        <v>0</v>
      </c>
      <c r="L158" s="1">
        <f t="shared" si="2"/>
        <v>19232.310000000001</v>
      </c>
      <c r="M158" t="s">
        <v>511</v>
      </c>
    </row>
    <row r="159" spans="1:13" x14ac:dyDescent="0.3">
      <c r="A159">
        <v>145</v>
      </c>
      <c r="B159" s="2">
        <v>45494</v>
      </c>
      <c r="C159" s="2">
        <v>45494</v>
      </c>
      <c r="D159" t="s">
        <v>1565</v>
      </c>
      <c r="E159" t="s">
        <v>1566</v>
      </c>
      <c r="F159" s="1">
        <v>50</v>
      </c>
      <c r="G159" t="s">
        <v>249</v>
      </c>
      <c r="H159" s="1">
        <v>19182.310000000001</v>
      </c>
      <c r="I159" t="s">
        <v>250</v>
      </c>
      <c r="J159" s="1">
        <v>50</v>
      </c>
      <c r="K159" s="1">
        <v>0</v>
      </c>
      <c r="L159" s="1">
        <f t="shared" si="2"/>
        <v>19182.310000000001</v>
      </c>
      <c r="M159" t="s">
        <v>511</v>
      </c>
    </row>
    <row r="160" spans="1:13" x14ac:dyDescent="0.3">
      <c r="A160">
        <v>146</v>
      </c>
      <c r="B160" s="2">
        <v>45494</v>
      </c>
      <c r="C160" s="2">
        <v>45494</v>
      </c>
      <c r="D160" t="s">
        <v>1567</v>
      </c>
      <c r="E160" t="s">
        <v>1568</v>
      </c>
      <c r="F160" s="1">
        <v>30</v>
      </c>
      <c r="G160" t="s">
        <v>249</v>
      </c>
      <c r="H160" s="1">
        <v>19152.310000000001</v>
      </c>
      <c r="I160" t="s">
        <v>250</v>
      </c>
      <c r="J160" s="1">
        <v>30</v>
      </c>
      <c r="K160" s="1">
        <v>0</v>
      </c>
      <c r="L160" s="1">
        <f t="shared" si="2"/>
        <v>19152.310000000001</v>
      </c>
      <c r="M160" t="s">
        <v>511</v>
      </c>
    </row>
    <row r="161" spans="1:13" x14ac:dyDescent="0.3">
      <c r="A161">
        <v>147</v>
      </c>
      <c r="B161" s="2">
        <v>45494</v>
      </c>
      <c r="C161" s="2">
        <v>45494</v>
      </c>
      <c r="D161" t="s">
        <v>1569</v>
      </c>
      <c r="E161" t="s">
        <v>1570</v>
      </c>
      <c r="F161" s="1">
        <v>20</v>
      </c>
      <c r="G161" t="s">
        <v>249</v>
      </c>
      <c r="H161" s="1">
        <v>19132.310000000001</v>
      </c>
      <c r="I161" t="s">
        <v>250</v>
      </c>
      <c r="J161" s="1">
        <v>20</v>
      </c>
      <c r="K161" s="1">
        <v>0</v>
      </c>
      <c r="L161" s="1">
        <f t="shared" si="2"/>
        <v>19132.310000000001</v>
      </c>
      <c r="M161" t="s">
        <v>511</v>
      </c>
    </row>
    <row r="162" spans="1:13" x14ac:dyDescent="0.3">
      <c r="A162">
        <v>148</v>
      </c>
      <c r="B162" s="2">
        <v>45495</v>
      </c>
      <c r="C162" s="2">
        <v>45495</v>
      </c>
      <c r="D162" t="s">
        <v>1571</v>
      </c>
      <c r="E162" t="s">
        <v>1572</v>
      </c>
      <c r="F162" s="1">
        <v>100</v>
      </c>
      <c r="G162" t="s">
        <v>249</v>
      </c>
      <c r="H162" s="1">
        <v>19032.310000000001</v>
      </c>
      <c r="I162" t="s">
        <v>250</v>
      </c>
      <c r="J162" s="1">
        <v>100</v>
      </c>
      <c r="K162" s="1">
        <v>0</v>
      </c>
      <c r="L162" s="1">
        <f t="shared" si="2"/>
        <v>19032.310000000001</v>
      </c>
      <c r="M162" t="s">
        <v>511</v>
      </c>
    </row>
    <row r="163" spans="1:13" x14ac:dyDescent="0.3">
      <c r="A163">
        <v>149</v>
      </c>
      <c r="B163" s="2">
        <v>45496</v>
      </c>
      <c r="C163" s="2">
        <v>45496</v>
      </c>
      <c r="D163" t="s">
        <v>1573</v>
      </c>
      <c r="E163" t="s">
        <v>1574</v>
      </c>
      <c r="F163" s="1">
        <v>85</v>
      </c>
      <c r="G163" t="s">
        <v>249</v>
      </c>
      <c r="H163" s="1">
        <v>18947.310000000001</v>
      </c>
      <c r="I163" t="s">
        <v>250</v>
      </c>
      <c r="J163" s="1">
        <v>85</v>
      </c>
      <c r="K163" s="1">
        <v>0</v>
      </c>
      <c r="L163" s="1">
        <f t="shared" si="2"/>
        <v>18947.310000000001</v>
      </c>
      <c r="M163" t="s">
        <v>511</v>
      </c>
    </row>
    <row r="164" spans="1:13" x14ac:dyDescent="0.3">
      <c r="A164">
        <v>150</v>
      </c>
      <c r="B164" s="2">
        <v>45496</v>
      </c>
      <c r="C164" s="2">
        <v>45496</v>
      </c>
      <c r="D164" t="s">
        <v>1575</v>
      </c>
      <c r="E164" t="s">
        <v>1576</v>
      </c>
      <c r="F164" s="1">
        <v>3000</v>
      </c>
      <c r="G164" t="s">
        <v>250</v>
      </c>
      <c r="H164" s="1">
        <v>21947.31</v>
      </c>
      <c r="I164" t="s">
        <v>250</v>
      </c>
      <c r="J164" s="1">
        <v>0</v>
      </c>
      <c r="K164" s="1">
        <v>3000</v>
      </c>
      <c r="L164" s="1">
        <f t="shared" si="2"/>
        <v>21947.31</v>
      </c>
      <c r="M164" t="s">
        <v>511</v>
      </c>
    </row>
    <row r="165" spans="1:13" x14ac:dyDescent="0.3">
      <c r="A165">
        <v>151</v>
      </c>
      <c r="B165" s="2">
        <v>45496</v>
      </c>
      <c r="C165" s="2">
        <v>45496</v>
      </c>
      <c r="D165" t="s">
        <v>318</v>
      </c>
      <c r="E165" t="s">
        <v>1577</v>
      </c>
      <c r="F165" s="1">
        <v>5000</v>
      </c>
      <c r="G165" t="s">
        <v>249</v>
      </c>
      <c r="H165" s="1">
        <v>16947.310000000001</v>
      </c>
      <c r="I165" t="s">
        <v>250</v>
      </c>
      <c r="J165" s="1">
        <v>5000</v>
      </c>
      <c r="K165" s="1">
        <v>0</v>
      </c>
      <c r="L165" s="1">
        <f t="shared" si="2"/>
        <v>16947.310000000001</v>
      </c>
      <c r="M165" t="s">
        <v>219</v>
      </c>
    </row>
    <row r="166" spans="1:13" x14ac:dyDescent="0.3">
      <c r="A166">
        <v>152</v>
      </c>
      <c r="B166" s="2">
        <v>45496</v>
      </c>
      <c r="C166" s="2">
        <v>45496</v>
      </c>
      <c r="D166" t="s">
        <v>1578</v>
      </c>
      <c r="E166">
        <v>420513806447</v>
      </c>
      <c r="F166" s="1">
        <v>2</v>
      </c>
      <c r="G166" t="s">
        <v>249</v>
      </c>
      <c r="H166" s="1">
        <v>16945.310000000001</v>
      </c>
      <c r="I166" t="s">
        <v>250</v>
      </c>
      <c r="J166" s="1">
        <v>2</v>
      </c>
      <c r="K166" s="1">
        <v>0</v>
      </c>
      <c r="L166" s="1">
        <f t="shared" si="2"/>
        <v>16945.310000000001</v>
      </c>
      <c r="M166" t="s">
        <v>589</v>
      </c>
    </row>
    <row r="167" spans="1:13" x14ac:dyDescent="0.3">
      <c r="A167">
        <v>153</v>
      </c>
      <c r="B167" s="2">
        <v>45496</v>
      </c>
      <c r="C167" s="2">
        <v>45496</v>
      </c>
      <c r="D167" t="s">
        <v>1579</v>
      </c>
      <c r="E167" t="s">
        <v>1580</v>
      </c>
      <c r="F167" s="1">
        <v>100</v>
      </c>
      <c r="G167" t="s">
        <v>249</v>
      </c>
      <c r="H167" s="1">
        <v>16845.310000000001</v>
      </c>
      <c r="I167" t="s">
        <v>250</v>
      </c>
      <c r="J167" s="1">
        <v>100</v>
      </c>
      <c r="K167" s="1">
        <v>0</v>
      </c>
      <c r="L167" s="1">
        <f t="shared" si="2"/>
        <v>16845.310000000001</v>
      </c>
      <c r="M167" t="s">
        <v>511</v>
      </c>
    </row>
    <row r="168" spans="1:13" x14ac:dyDescent="0.3">
      <c r="A168">
        <v>154</v>
      </c>
      <c r="B168" s="2">
        <v>45499</v>
      </c>
      <c r="C168" s="2">
        <v>45499</v>
      </c>
      <c r="D168" t="s">
        <v>1581</v>
      </c>
      <c r="E168" t="s">
        <v>1582</v>
      </c>
      <c r="F168" s="1">
        <v>100</v>
      </c>
      <c r="G168" t="s">
        <v>249</v>
      </c>
      <c r="H168" s="1">
        <v>16745.310000000001</v>
      </c>
      <c r="I168" t="s">
        <v>250</v>
      </c>
      <c r="J168" s="1">
        <v>100</v>
      </c>
      <c r="K168" s="1">
        <v>0</v>
      </c>
      <c r="L168" s="1">
        <f t="shared" si="2"/>
        <v>16745.310000000001</v>
      </c>
      <c r="M168" t="s">
        <v>511</v>
      </c>
    </row>
    <row r="169" spans="1:13" x14ac:dyDescent="0.3">
      <c r="A169">
        <v>155</v>
      </c>
      <c r="B169" s="2">
        <v>45500</v>
      </c>
      <c r="C169" s="2">
        <v>45500</v>
      </c>
      <c r="D169" t="s">
        <v>1583</v>
      </c>
      <c r="E169" t="s">
        <v>1584</v>
      </c>
      <c r="F169" s="1">
        <v>58</v>
      </c>
      <c r="G169" t="s">
        <v>249</v>
      </c>
      <c r="H169" s="1">
        <v>16687.310000000001</v>
      </c>
      <c r="I169" t="s">
        <v>250</v>
      </c>
      <c r="J169" s="1">
        <v>58</v>
      </c>
      <c r="K169" s="1">
        <v>0</v>
      </c>
      <c r="L169" s="1">
        <f t="shared" si="2"/>
        <v>16687.310000000001</v>
      </c>
      <c r="M169" t="s">
        <v>511</v>
      </c>
    </row>
    <row r="170" spans="1:13" x14ac:dyDescent="0.3">
      <c r="A170">
        <v>156</v>
      </c>
      <c r="B170" s="2">
        <v>45500</v>
      </c>
      <c r="C170" s="2">
        <v>45500</v>
      </c>
      <c r="D170" t="s">
        <v>1585</v>
      </c>
      <c r="E170" t="s">
        <v>1586</v>
      </c>
      <c r="F170" s="1">
        <v>250</v>
      </c>
      <c r="G170" t="s">
        <v>249</v>
      </c>
      <c r="H170" s="1">
        <v>16437.310000000001</v>
      </c>
      <c r="I170" t="s">
        <v>250</v>
      </c>
      <c r="J170" s="1">
        <v>250</v>
      </c>
      <c r="K170" s="1">
        <v>0</v>
      </c>
      <c r="L170" s="1">
        <f t="shared" si="2"/>
        <v>16437.310000000001</v>
      </c>
      <c r="M170" t="s">
        <v>511</v>
      </c>
    </row>
    <row r="171" spans="1:13" x14ac:dyDescent="0.3">
      <c r="A171">
        <v>157</v>
      </c>
      <c r="B171" s="2">
        <v>45501</v>
      </c>
      <c r="C171" s="2">
        <v>45501</v>
      </c>
      <c r="D171" t="s">
        <v>1587</v>
      </c>
      <c r="E171" t="s">
        <v>1588</v>
      </c>
      <c r="F171" s="1">
        <v>2068.6</v>
      </c>
      <c r="G171" t="s">
        <v>249</v>
      </c>
      <c r="H171" s="1">
        <v>14368.71</v>
      </c>
      <c r="I171" t="s">
        <v>250</v>
      </c>
      <c r="J171" s="1">
        <v>2068.6</v>
      </c>
      <c r="K171" s="1">
        <v>0</v>
      </c>
      <c r="L171" s="1">
        <f t="shared" si="2"/>
        <v>14368.71</v>
      </c>
      <c r="M171" t="s">
        <v>511</v>
      </c>
    </row>
    <row r="172" spans="1:13" x14ac:dyDescent="0.3">
      <c r="A172">
        <v>158</v>
      </c>
      <c r="B172" s="2">
        <v>45501</v>
      </c>
      <c r="C172" s="2">
        <v>45501</v>
      </c>
      <c r="D172" t="s">
        <v>1589</v>
      </c>
      <c r="E172" t="s">
        <v>1590</v>
      </c>
      <c r="F172" s="1">
        <v>10</v>
      </c>
      <c r="G172" t="s">
        <v>250</v>
      </c>
      <c r="H172" s="1">
        <v>14378.71</v>
      </c>
      <c r="I172" t="s">
        <v>250</v>
      </c>
      <c r="J172" s="1">
        <v>0</v>
      </c>
      <c r="K172" s="1">
        <v>10</v>
      </c>
      <c r="L172" s="1">
        <f t="shared" si="2"/>
        <v>14378.71</v>
      </c>
      <c r="M172" t="s">
        <v>511</v>
      </c>
    </row>
    <row r="173" spans="1:13" x14ac:dyDescent="0.3">
      <c r="A173">
        <v>159</v>
      </c>
      <c r="B173" s="2">
        <v>45501</v>
      </c>
      <c r="C173" s="2">
        <v>45501</v>
      </c>
      <c r="D173" t="s">
        <v>1591</v>
      </c>
      <c r="E173" t="s">
        <v>1592</v>
      </c>
      <c r="F173" s="1">
        <v>10</v>
      </c>
      <c r="G173" t="s">
        <v>249</v>
      </c>
      <c r="H173" s="1">
        <v>14368.71</v>
      </c>
      <c r="I173" t="s">
        <v>250</v>
      </c>
      <c r="J173" s="1">
        <v>10</v>
      </c>
      <c r="K173" s="1">
        <v>0</v>
      </c>
      <c r="L173" s="1">
        <f t="shared" si="2"/>
        <v>14368.71</v>
      </c>
      <c r="M173" t="s">
        <v>511</v>
      </c>
    </row>
    <row r="174" spans="1:13" x14ac:dyDescent="0.3">
      <c r="A174">
        <v>160</v>
      </c>
      <c r="B174" s="2">
        <v>45501</v>
      </c>
      <c r="C174" s="2">
        <v>45501</v>
      </c>
      <c r="D174" t="s">
        <v>1593</v>
      </c>
      <c r="E174" t="s">
        <v>1594</v>
      </c>
      <c r="F174" s="1">
        <v>1</v>
      </c>
      <c r="G174" t="s">
        <v>250</v>
      </c>
      <c r="H174" s="1">
        <v>14369.71</v>
      </c>
      <c r="I174" t="s">
        <v>250</v>
      </c>
      <c r="J174" s="1">
        <v>0</v>
      </c>
      <c r="K174" s="1">
        <v>1</v>
      </c>
      <c r="L174" s="1">
        <f t="shared" si="2"/>
        <v>14369.71</v>
      </c>
      <c r="M174" t="s">
        <v>511</v>
      </c>
    </row>
    <row r="175" spans="1:13" x14ac:dyDescent="0.3">
      <c r="A175">
        <v>161</v>
      </c>
      <c r="B175" s="2">
        <v>45501</v>
      </c>
      <c r="C175" s="2">
        <v>45501</v>
      </c>
      <c r="D175" t="s">
        <v>1595</v>
      </c>
      <c r="E175" t="s">
        <v>1596</v>
      </c>
      <c r="F175" s="1">
        <v>1</v>
      </c>
      <c r="G175" t="s">
        <v>249</v>
      </c>
      <c r="H175" s="1">
        <v>14368.71</v>
      </c>
      <c r="I175" t="s">
        <v>250</v>
      </c>
      <c r="J175" s="1">
        <v>1</v>
      </c>
      <c r="K175" s="1">
        <v>0</v>
      </c>
      <c r="L175" s="1">
        <f t="shared" si="2"/>
        <v>14368.71</v>
      </c>
      <c r="M175" t="s">
        <v>511</v>
      </c>
    </row>
    <row r="176" spans="1:13" x14ac:dyDescent="0.3">
      <c r="A176">
        <v>162</v>
      </c>
      <c r="B176" s="2">
        <v>45502</v>
      </c>
      <c r="C176" s="2">
        <v>45502</v>
      </c>
      <c r="D176" t="s">
        <v>1597</v>
      </c>
      <c r="E176" t="s">
        <v>1598</v>
      </c>
      <c r="F176" s="1">
        <v>35</v>
      </c>
      <c r="G176" t="s">
        <v>249</v>
      </c>
      <c r="H176" s="1">
        <v>14333.71</v>
      </c>
      <c r="I176" t="s">
        <v>250</v>
      </c>
      <c r="J176" s="1">
        <v>35</v>
      </c>
      <c r="K176" s="1">
        <v>0</v>
      </c>
      <c r="L176" s="1">
        <f t="shared" si="2"/>
        <v>14333.71</v>
      </c>
      <c r="M176" t="s">
        <v>511</v>
      </c>
    </row>
    <row r="177" spans="1:13" x14ac:dyDescent="0.3">
      <c r="A177">
        <v>163</v>
      </c>
      <c r="B177" s="2">
        <v>45504</v>
      </c>
      <c r="C177" s="2">
        <v>45504</v>
      </c>
      <c r="D177" t="s">
        <v>358</v>
      </c>
      <c r="E177" t="s">
        <v>1599</v>
      </c>
      <c r="F177" s="1">
        <v>67921</v>
      </c>
      <c r="G177" t="s">
        <v>250</v>
      </c>
      <c r="H177" s="1">
        <v>82254.710000000006</v>
      </c>
      <c r="I177" t="s">
        <v>250</v>
      </c>
      <c r="J177" s="1">
        <v>0</v>
      </c>
      <c r="K177" s="1">
        <v>67921</v>
      </c>
      <c r="L177" s="1">
        <f t="shared" si="2"/>
        <v>82254.710000000006</v>
      </c>
      <c r="M177" t="s">
        <v>507</v>
      </c>
    </row>
    <row r="178" spans="1:13" x14ac:dyDescent="0.3">
      <c r="A178">
        <v>164</v>
      </c>
      <c r="B178" s="2">
        <v>45504</v>
      </c>
      <c r="C178" s="2">
        <v>45504</v>
      </c>
      <c r="D178" t="s">
        <v>1600</v>
      </c>
      <c r="E178" t="s">
        <v>1601</v>
      </c>
      <c r="F178" s="1">
        <v>30</v>
      </c>
      <c r="G178" t="s">
        <v>249</v>
      </c>
      <c r="H178" s="1">
        <v>82224.710000000006</v>
      </c>
      <c r="I178" t="s">
        <v>250</v>
      </c>
      <c r="J178" s="1">
        <v>30</v>
      </c>
      <c r="K178" s="1">
        <v>0</v>
      </c>
      <c r="L178" s="1">
        <f t="shared" si="2"/>
        <v>82224.710000000006</v>
      </c>
      <c r="M178" t="s">
        <v>511</v>
      </c>
    </row>
    <row r="179" spans="1:13" x14ac:dyDescent="0.3">
      <c r="A179">
        <v>165</v>
      </c>
      <c r="B179" s="2">
        <v>45505</v>
      </c>
      <c r="C179" s="2">
        <v>45505</v>
      </c>
      <c r="D179" t="s">
        <v>1602</v>
      </c>
      <c r="E179" t="s">
        <v>1603</v>
      </c>
      <c r="F179" s="1">
        <v>85</v>
      </c>
      <c r="G179" t="s">
        <v>249</v>
      </c>
      <c r="H179" s="1">
        <v>82139.710000000006</v>
      </c>
      <c r="I179" t="s">
        <v>250</v>
      </c>
      <c r="J179" s="1">
        <v>85</v>
      </c>
      <c r="K179" s="1">
        <v>0</v>
      </c>
      <c r="L179" s="1">
        <f t="shared" si="2"/>
        <v>82139.710000000006</v>
      </c>
      <c r="M179" t="s">
        <v>511</v>
      </c>
    </row>
    <row r="180" spans="1:13" x14ac:dyDescent="0.3">
      <c r="A180">
        <v>166</v>
      </c>
      <c r="B180" s="2">
        <v>45506</v>
      </c>
      <c r="C180" s="2">
        <v>45506</v>
      </c>
      <c r="D180" t="s">
        <v>1604</v>
      </c>
      <c r="E180" t="s">
        <v>1605</v>
      </c>
      <c r="F180" s="1">
        <v>60</v>
      </c>
      <c r="G180" t="s">
        <v>249</v>
      </c>
      <c r="H180" s="1">
        <v>82079.710000000006</v>
      </c>
      <c r="I180" t="s">
        <v>250</v>
      </c>
      <c r="J180" s="1">
        <v>60</v>
      </c>
      <c r="K180" s="1">
        <v>0</v>
      </c>
      <c r="L180" s="1">
        <f t="shared" si="2"/>
        <v>82079.710000000006</v>
      </c>
      <c r="M180" t="s">
        <v>511</v>
      </c>
    </row>
    <row r="181" spans="1:13" x14ac:dyDescent="0.3">
      <c r="A181">
        <v>167</v>
      </c>
      <c r="B181" s="2">
        <v>45507</v>
      </c>
      <c r="C181" s="2">
        <v>45507</v>
      </c>
      <c r="D181" t="s">
        <v>1606</v>
      </c>
      <c r="E181" t="s">
        <v>1607</v>
      </c>
      <c r="F181" s="1">
        <v>132</v>
      </c>
      <c r="G181" t="s">
        <v>249</v>
      </c>
      <c r="H181" s="1">
        <v>81947.710000000006</v>
      </c>
      <c r="I181" t="s">
        <v>250</v>
      </c>
      <c r="J181" s="1">
        <v>132</v>
      </c>
      <c r="K181" s="1">
        <v>0</v>
      </c>
      <c r="L181" s="1">
        <f t="shared" si="2"/>
        <v>81947.710000000006</v>
      </c>
      <c r="M181" t="s">
        <v>511</v>
      </c>
    </row>
    <row r="182" spans="1:13" x14ac:dyDescent="0.3">
      <c r="A182">
        <v>168</v>
      </c>
      <c r="B182" s="2">
        <v>45507</v>
      </c>
      <c r="C182" s="2">
        <v>45507</v>
      </c>
      <c r="D182" t="s">
        <v>1608</v>
      </c>
      <c r="E182" t="s">
        <v>1609</v>
      </c>
      <c r="F182" s="1">
        <v>7764.15</v>
      </c>
      <c r="G182" t="s">
        <v>249</v>
      </c>
      <c r="H182" s="1">
        <v>74183.56</v>
      </c>
      <c r="I182" t="s">
        <v>250</v>
      </c>
      <c r="J182" s="1">
        <v>7764.15</v>
      </c>
      <c r="K182" s="1">
        <v>0</v>
      </c>
      <c r="L182" s="1">
        <f t="shared" si="2"/>
        <v>74183.56</v>
      </c>
      <c r="M182" t="s">
        <v>511</v>
      </c>
    </row>
    <row r="183" spans="1:13" x14ac:dyDescent="0.3">
      <c r="A183">
        <v>169</v>
      </c>
      <c r="B183" s="2">
        <v>45507</v>
      </c>
      <c r="C183" s="2">
        <v>45507</v>
      </c>
      <c r="D183" t="s">
        <v>1610</v>
      </c>
      <c r="E183" t="s">
        <v>1611</v>
      </c>
      <c r="F183" s="1">
        <v>35</v>
      </c>
      <c r="G183" t="s">
        <v>249</v>
      </c>
      <c r="H183" s="1">
        <v>74148.56</v>
      </c>
      <c r="I183" t="s">
        <v>250</v>
      </c>
      <c r="J183" s="1">
        <v>35</v>
      </c>
      <c r="K183" s="1">
        <v>0</v>
      </c>
      <c r="L183" s="1">
        <f t="shared" si="2"/>
        <v>74148.56</v>
      </c>
      <c r="M183" t="s">
        <v>511</v>
      </c>
    </row>
    <row r="184" spans="1:13" x14ac:dyDescent="0.3">
      <c r="A184">
        <v>170</v>
      </c>
      <c r="B184" s="2">
        <v>45508</v>
      </c>
      <c r="C184" s="2">
        <v>45508</v>
      </c>
      <c r="D184" t="s">
        <v>1612</v>
      </c>
      <c r="E184" t="s">
        <v>1613</v>
      </c>
      <c r="F184" s="1">
        <v>15000</v>
      </c>
      <c r="G184" t="s">
        <v>249</v>
      </c>
      <c r="H184" s="1">
        <v>59148.56</v>
      </c>
      <c r="I184" t="s">
        <v>250</v>
      </c>
      <c r="J184" s="1">
        <v>15000</v>
      </c>
      <c r="K184" s="1">
        <v>0</v>
      </c>
      <c r="L184" s="1">
        <f t="shared" si="2"/>
        <v>59148.56</v>
      </c>
      <c r="M184" t="s">
        <v>511</v>
      </c>
    </row>
    <row r="185" spans="1:13" x14ac:dyDescent="0.3">
      <c r="A185">
        <v>171</v>
      </c>
      <c r="B185" s="2">
        <v>45509</v>
      </c>
      <c r="C185" s="2">
        <v>45509</v>
      </c>
      <c r="D185" t="s">
        <v>1614</v>
      </c>
      <c r="E185" t="s">
        <v>1615</v>
      </c>
      <c r="F185" s="1">
        <v>10000</v>
      </c>
      <c r="G185" t="s">
        <v>249</v>
      </c>
      <c r="H185" s="1">
        <v>49148.56</v>
      </c>
      <c r="I185" t="s">
        <v>250</v>
      </c>
      <c r="J185" s="1">
        <v>10000</v>
      </c>
      <c r="K185" s="1">
        <v>0</v>
      </c>
      <c r="L185" s="1">
        <f t="shared" si="2"/>
        <v>49148.56</v>
      </c>
      <c r="M185" t="s">
        <v>2533</v>
      </c>
    </row>
    <row r="186" spans="1:13" x14ac:dyDescent="0.3">
      <c r="A186">
        <v>172</v>
      </c>
      <c r="B186" s="2">
        <v>45509</v>
      </c>
      <c r="C186" s="2">
        <v>45509</v>
      </c>
      <c r="D186" t="s">
        <v>1616</v>
      </c>
      <c r="E186" t="s">
        <v>1617</v>
      </c>
      <c r="F186" s="1">
        <v>85</v>
      </c>
      <c r="G186" t="s">
        <v>249</v>
      </c>
      <c r="H186" s="1">
        <v>49063.56</v>
      </c>
      <c r="I186" t="s">
        <v>250</v>
      </c>
      <c r="J186" s="1">
        <v>85</v>
      </c>
      <c r="K186" s="1">
        <v>0</v>
      </c>
      <c r="L186" s="1">
        <f t="shared" si="2"/>
        <v>49063.56</v>
      </c>
      <c r="M186" t="s">
        <v>511</v>
      </c>
    </row>
    <row r="187" spans="1:13" x14ac:dyDescent="0.3">
      <c r="A187">
        <v>173</v>
      </c>
      <c r="B187" s="2">
        <v>45510</v>
      </c>
      <c r="C187" s="2">
        <v>45510</v>
      </c>
      <c r="D187" t="s">
        <v>1618</v>
      </c>
      <c r="E187" t="s">
        <v>1619</v>
      </c>
      <c r="F187" s="1">
        <v>100</v>
      </c>
      <c r="G187" t="s">
        <v>249</v>
      </c>
      <c r="H187" s="1">
        <v>48963.56</v>
      </c>
      <c r="I187" t="s">
        <v>250</v>
      </c>
      <c r="J187" s="1">
        <v>100</v>
      </c>
      <c r="K187" s="1">
        <v>0</v>
      </c>
      <c r="L187" s="1">
        <f t="shared" si="2"/>
        <v>48963.56</v>
      </c>
      <c r="M187" t="s">
        <v>511</v>
      </c>
    </row>
    <row r="188" spans="1:13" x14ac:dyDescent="0.3">
      <c r="A188">
        <v>174</v>
      </c>
      <c r="B188" s="2">
        <v>45511</v>
      </c>
      <c r="C188" s="2">
        <v>45511</v>
      </c>
      <c r="D188" t="s">
        <v>1620</v>
      </c>
      <c r="E188" t="s">
        <v>1621</v>
      </c>
      <c r="F188" s="1">
        <v>2500</v>
      </c>
      <c r="G188" t="s">
        <v>249</v>
      </c>
      <c r="H188" s="1">
        <v>46463.56</v>
      </c>
      <c r="I188" t="s">
        <v>250</v>
      </c>
      <c r="J188" s="1">
        <v>2500</v>
      </c>
      <c r="K188" s="1">
        <v>0</v>
      </c>
      <c r="L188" s="1">
        <f t="shared" si="2"/>
        <v>46463.56</v>
      </c>
      <c r="M188" t="s">
        <v>511</v>
      </c>
    </row>
    <row r="189" spans="1:13" x14ac:dyDescent="0.3">
      <c r="A189">
        <v>175</v>
      </c>
      <c r="B189" s="2">
        <v>45511</v>
      </c>
      <c r="C189" s="2">
        <v>45511</v>
      </c>
      <c r="D189" t="s">
        <v>1622</v>
      </c>
      <c r="E189" t="s">
        <v>1623</v>
      </c>
      <c r="F189" s="1">
        <v>145</v>
      </c>
      <c r="G189" t="s">
        <v>249</v>
      </c>
      <c r="H189" s="1">
        <v>46318.559999999998</v>
      </c>
      <c r="I189" t="s">
        <v>250</v>
      </c>
      <c r="J189" s="1">
        <v>145</v>
      </c>
      <c r="K189" s="1">
        <v>0</v>
      </c>
      <c r="L189" s="1">
        <f t="shared" si="2"/>
        <v>46318.559999999998</v>
      </c>
      <c r="M189" t="s">
        <v>511</v>
      </c>
    </row>
    <row r="190" spans="1:13" x14ac:dyDescent="0.3">
      <c r="A190">
        <v>176</v>
      </c>
      <c r="B190" s="2">
        <v>45511</v>
      </c>
      <c r="C190" s="2">
        <v>45511</v>
      </c>
      <c r="D190" t="s">
        <v>1624</v>
      </c>
      <c r="E190" t="s">
        <v>1625</v>
      </c>
      <c r="F190" s="1">
        <v>1000</v>
      </c>
      <c r="G190" t="s">
        <v>249</v>
      </c>
      <c r="H190" s="1">
        <v>45318.559999999998</v>
      </c>
      <c r="I190" t="s">
        <v>250</v>
      </c>
      <c r="J190" s="1">
        <v>1000</v>
      </c>
      <c r="K190" s="1">
        <v>0</v>
      </c>
      <c r="L190" s="1">
        <f t="shared" si="2"/>
        <v>45318.559999999998</v>
      </c>
      <c r="M190" t="s">
        <v>511</v>
      </c>
    </row>
    <row r="191" spans="1:13" x14ac:dyDescent="0.3">
      <c r="A191">
        <v>177</v>
      </c>
      <c r="B191" s="2">
        <v>45512</v>
      </c>
      <c r="C191" s="2">
        <v>45512</v>
      </c>
      <c r="D191" t="s">
        <v>1626</v>
      </c>
      <c r="E191" t="s">
        <v>1627</v>
      </c>
      <c r="F191" s="1">
        <v>90</v>
      </c>
      <c r="G191" t="s">
        <v>249</v>
      </c>
      <c r="H191" s="1">
        <v>45228.56</v>
      </c>
      <c r="I191" t="s">
        <v>250</v>
      </c>
      <c r="J191" s="1">
        <v>90</v>
      </c>
      <c r="K191" s="1">
        <v>0</v>
      </c>
      <c r="L191" s="1">
        <f t="shared" si="2"/>
        <v>45228.56</v>
      </c>
      <c r="M191" t="s">
        <v>511</v>
      </c>
    </row>
    <row r="192" spans="1:13" x14ac:dyDescent="0.3">
      <c r="A192">
        <v>178</v>
      </c>
      <c r="B192" s="2">
        <v>45512</v>
      </c>
      <c r="C192" s="2">
        <v>45512</v>
      </c>
      <c r="D192" t="s">
        <v>1628</v>
      </c>
      <c r="E192" t="s">
        <v>1629</v>
      </c>
      <c r="F192" s="1">
        <v>75</v>
      </c>
      <c r="G192" t="s">
        <v>249</v>
      </c>
      <c r="H192" s="1">
        <v>45153.56</v>
      </c>
      <c r="I192" t="s">
        <v>250</v>
      </c>
      <c r="J192" s="1">
        <v>75</v>
      </c>
      <c r="K192" s="1">
        <v>0</v>
      </c>
      <c r="L192" s="1">
        <f t="shared" si="2"/>
        <v>45153.56</v>
      </c>
      <c r="M192" t="s">
        <v>511</v>
      </c>
    </row>
    <row r="193" spans="1:13" x14ac:dyDescent="0.3">
      <c r="A193">
        <v>179</v>
      </c>
      <c r="B193" s="2">
        <v>45512</v>
      </c>
      <c r="C193" s="2">
        <v>45512</v>
      </c>
      <c r="D193" t="s">
        <v>1630</v>
      </c>
      <c r="E193" t="s">
        <v>1631</v>
      </c>
      <c r="F193" s="1">
        <v>40</v>
      </c>
      <c r="G193" t="s">
        <v>249</v>
      </c>
      <c r="H193" s="1">
        <v>45113.56</v>
      </c>
      <c r="I193" t="s">
        <v>250</v>
      </c>
      <c r="J193" s="1">
        <v>40</v>
      </c>
      <c r="K193" s="1">
        <v>0</v>
      </c>
      <c r="L193" s="1">
        <f t="shared" si="2"/>
        <v>45113.56</v>
      </c>
      <c r="M193" t="s">
        <v>511</v>
      </c>
    </row>
    <row r="194" spans="1:13" x14ac:dyDescent="0.3">
      <c r="A194">
        <v>180</v>
      </c>
      <c r="B194" s="2">
        <v>45513</v>
      </c>
      <c r="C194" s="2">
        <v>45513</v>
      </c>
      <c r="D194" t="s">
        <v>1632</v>
      </c>
      <c r="E194" t="s">
        <v>1633</v>
      </c>
      <c r="F194" s="1">
        <v>297.92</v>
      </c>
      <c r="G194" t="s">
        <v>249</v>
      </c>
      <c r="H194" s="1">
        <v>44815.64</v>
      </c>
      <c r="I194" t="s">
        <v>250</v>
      </c>
      <c r="J194" s="1">
        <v>297.92</v>
      </c>
      <c r="K194" s="1">
        <v>0</v>
      </c>
      <c r="L194" s="1">
        <f t="shared" ref="L194:L257" si="3">H194</f>
        <v>44815.64</v>
      </c>
      <c r="M194" t="s">
        <v>511</v>
      </c>
    </row>
    <row r="195" spans="1:13" x14ac:dyDescent="0.3">
      <c r="A195">
        <v>181</v>
      </c>
      <c r="B195" s="2">
        <v>45515</v>
      </c>
      <c r="C195" s="2">
        <v>45515</v>
      </c>
      <c r="D195" t="s">
        <v>1634</v>
      </c>
      <c r="E195" t="s">
        <v>1635</v>
      </c>
      <c r="F195" s="1">
        <v>604</v>
      </c>
      <c r="G195" t="s">
        <v>249</v>
      </c>
      <c r="H195" s="1">
        <v>44211.64</v>
      </c>
      <c r="I195" t="s">
        <v>250</v>
      </c>
      <c r="J195" s="1">
        <v>604</v>
      </c>
      <c r="K195" s="1">
        <v>0</v>
      </c>
      <c r="L195" s="1">
        <f t="shared" si="3"/>
        <v>44211.64</v>
      </c>
      <c r="M195" t="s">
        <v>511</v>
      </c>
    </row>
    <row r="196" spans="1:13" x14ac:dyDescent="0.3">
      <c r="A196">
        <v>182</v>
      </c>
      <c r="B196" s="2">
        <v>45516</v>
      </c>
      <c r="C196" s="2">
        <v>45516</v>
      </c>
      <c r="D196" t="s">
        <v>1636</v>
      </c>
      <c r="E196" t="s">
        <v>1637</v>
      </c>
      <c r="F196" s="1">
        <v>147</v>
      </c>
      <c r="G196" t="s">
        <v>249</v>
      </c>
      <c r="H196" s="1">
        <v>44064.639999999999</v>
      </c>
      <c r="I196" t="s">
        <v>250</v>
      </c>
      <c r="J196" s="1">
        <v>147</v>
      </c>
      <c r="K196" s="1">
        <v>0</v>
      </c>
      <c r="L196" s="1">
        <f t="shared" si="3"/>
        <v>44064.639999999999</v>
      </c>
      <c r="M196" t="s">
        <v>511</v>
      </c>
    </row>
    <row r="197" spans="1:13" x14ac:dyDescent="0.3">
      <c r="A197">
        <v>183</v>
      </c>
      <c r="B197" s="2">
        <v>45516</v>
      </c>
      <c r="C197" s="2">
        <v>45516</v>
      </c>
      <c r="D197" t="s">
        <v>458</v>
      </c>
      <c r="E197" t="s">
        <v>1638</v>
      </c>
      <c r="F197" s="1">
        <v>5000</v>
      </c>
      <c r="G197" t="s">
        <v>249</v>
      </c>
      <c r="H197" s="1">
        <v>39064.639999999999</v>
      </c>
      <c r="I197" t="s">
        <v>250</v>
      </c>
      <c r="J197" s="1">
        <v>5000</v>
      </c>
      <c r="K197" s="1">
        <v>0</v>
      </c>
      <c r="L197" s="1">
        <f t="shared" si="3"/>
        <v>39064.639999999999</v>
      </c>
      <c r="M197" t="s">
        <v>219</v>
      </c>
    </row>
    <row r="198" spans="1:13" x14ac:dyDescent="0.3">
      <c r="A198">
        <v>184</v>
      </c>
      <c r="B198" s="2">
        <v>45516</v>
      </c>
      <c r="C198" s="2">
        <v>45516</v>
      </c>
      <c r="D198" t="s">
        <v>1639</v>
      </c>
      <c r="E198" t="s">
        <v>1640</v>
      </c>
      <c r="F198" s="1">
        <v>80</v>
      </c>
      <c r="G198" t="s">
        <v>249</v>
      </c>
      <c r="H198" s="1">
        <v>38984.639999999999</v>
      </c>
      <c r="I198" t="s">
        <v>250</v>
      </c>
      <c r="J198" s="1">
        <v>80</v>
      </c>
      <c r="K198" s="1">
        <v>0</v>
      </c>
      <c r="L198" s="1">
        <f t="shared" si="3"/>
        <v>38984.639999999999</v>
      </c>
      <c r="M198" t="s">
        <v>511</v>
      </c>
    </row>
    <row r="199" spans="1:13" x14ac:dyDescent="0.3">
      <c r="A199">
        <v>185</v>
      </c>
      <c r="B199" s="2">
        <v>45517</v>
      </c>
      <c r="C199" s="2">
        <v>45517</v>
      </c>
      <c r="D199" t="s">
        <v>1641</v>
      </c>
      <c r="E199" t="s">
        <v>1642</v>
      </c>
      <c r="F199" s="1">
        <v>85</v>
      </c>
      <c r="G199" t="s">
        <v>249</v>
      </c>
      <c r="H199" s="1">
        <v>38899.64</v>
      </c>
      <c r="I199" t="s">
        <v>250</v>
      </c>
      <c r="J199" s="1">
        <v>85</v>
      </c>
      <c r="K199" s="1">
        <v>0</v>
      </c>
      <c r="L199" s="1">
        <f t="shared" si="3"/>
        <v>38899.64</v>
      </c>
      <c r="M199" t="s">
        <v>511</v>
      </c>
    </row>
    <row r="200" spans="1:13" x14ac:dyDescent="0.3">
      <c r="A200">
        <v>186</v>
      </c>
      <c r="B200" s="2">
        <v>45517</v>
      </c>
      <c r="C200" s="2">
        <v>45517</v>
      </c>
      <c r="D200" t="s">
        <v>1643</v>
      </c>
      <c r="E200" t="s">
        <v>1644</v>
      </c>
      <c r="F200" s="1">
        <v>30</v>
      </c>
      <c r="G200" t="s">
        <v>249</v>
      </c>
      <c r="H200" s="1">
        <v>38869.64</v>
      </c>
      <c r="I200" t="s">
        <v>250</v>
      </c>
      <c r="J200" s="1">
        <v>30</v>
      </c>
      <c r="K200" s="1">
        <v>0</v>
      </c>
      <c r="L200" s="1">
        <f t="shared" si="3"/>
        <v>38869.64</v>
      </c>
      <c r="M200" t="s">
        <v>511</v>
      </c>
    </row>
    <row r="201" spans="1:13" x14ac:dyDescent="0.3">
      <c r="A201">
        <v>187</v>
      </c>
      <c r="B201" s="2">
        <v>45518</v>
      </c>
      <c r="C201" s="2">
        <v>45518</v>
      </c>
      <c r="D201" t="s">
        <v>1645</v>
      </c>
      <c r="E201" t="s">
        <v>1646</v>
      </c>
      <c r="F201" s="1">
        <v>85</v>
      </c>
      <c r="G201" t="s">
        <v>249</v>
      </c>
      <c r="H201" s="1">
        <v>38784.639999999999</v>
      </c>
      <c r="I201" t="s">
        <v>250</v>
      </c>
      <c r="J201" s="1">
        <v>85</v>
      </c>
      <c r="K201" s="1">
        <v>0</v>
      </c>
      <c r="L201" s="1">
        <f t="shared" si="3"/>
        <v>38784.639999999999</v>
      </c>
      <c r="M201" t="s">
        <v>511</v>
      </c>
    </row>
    <row r="202" spans="1:13" x14ac:dyDescent="0.3">
      <c r="A202">
        <v>188</v>
      </c>
      <c r="B202" s="2">
        <v>45518</v>
      </c>
      <c r="C202" s="2">
        <v>45518</v>
      </c>
      <c r="D202" t="s">
        <v>1647</v>
      </c>
      <c r="E202" t="s">
        <v>1648</v>
      </c>
      <c r="F202" s="1">
        <v>50</v>
      </c>
      <c r="G202" t="s">
        <v>249</v>
      </c>
      <c r="H202" s="1">
        <v>38734.639999999999</v>
      </c>
      <c r="I202" t="s">
        <v>250</v>
      </c>
      <c r="J202" s="1">
        <v>50</v>
      </c>
      <c r="K202" s="1">
        <v>0</v>
      </c>
      <c r="L202" s="1">
        <f t="shared" si="3"/>
        <v>38734.639999999999</v>
      </c>
      <c r="M202" t="s">
        <v>511</v>
      </c>
    </row>
    <row r="203" spans="1:13" x14ac:dyDescent="0.3">
      <c r="A203">
        <v>189</v>
      </c>
      <c r="B203" s="2">
        <v>45518</v>
      </c>
      <c r="C203" s="2">
        <v>45518</v>
      </c>
      <c r="D203" t="s">
        <v>1649</v>
      </c>
      <c r="E203" t="s">
        <v>1650</v>
      </c>
      <c r="F203" s="1">
        <v>323</v>
      </c>
      <c r="G203" t="s">
        <v>249</v>
      </c>
      <c r="H203" s="1">
        <v>38411.64</v>
      </c>
      <c r="I203" t="s">
        <v>250</v>
      </c>
      <c r="J203" s="1">
        <v>323</v>
      </c>
      <c r="K203" s="1">
        <v>0</v>
      </c>
      <c r="L203" s="1">
        <f t="shared" si="3"/>
        <v>38411.64</v>
      </c>
      <c r="M203" t="s">
        <v>511</v>
      </c>
    </row>
    <row r="204" spans="1:13" x14ac:dyDescent="0.3">
      <c r="A204">
        <v>190</v>
      </c>
      <c r="B204" s="2">
        <v>45521</v>
      </c>
      <c r="C204" s="2">
        <v>45521</v>
      </c>
      <c r="D204" t="s">
        <v>1651</v>
      </c>
      <c r="E204" t="s">
        <v>1652</v>
      </c>
      <c r="F204" s="1">
        <v>250</v>
      </c>
      <c r="G204" t="s">
        <v>249</v>
      </c>
      <c r="H204" s="1">
        <v>38161.64</v>
      </c>
      <c r="I204" t="s">
        <v>250</v>
      </c>
      <c r="J204" s="1">
        <v>250</v>
      </c>
      <c r="K204" s="1">
        <v>0</v>
      </c>
      <c r="L204" s="1">
        <f t="shared" si="3"/>
        <v>38161.64</v>
      </c>
      <c r="M204" t="s">
        <v>511</v>
      </c>
    </row>
    <row r="205" spans="1:13" x14ac:dyDescent="0.3">
      <c r="A205">
        <v>191</v>
      </c>
      <c r="B205" s="2">
        <v>45522</v>
      </c>
      <c r="C205" s="2">
        <v>45522</v>
      </c>
      <c r="D205" t="s">
        <v>1653</v>
      </c>
      <c r="E205" t="s">
        <v>1654</v>
      </c>
      <c r="F205" s="1">
        <v>20</v>
      </c>
      <c r="G205" t="s">
        <v>249</v>
      </c>
      <c r="H205" s="1">
        <v>38141.64</v>
      </c>
      <c r="I205" t="s">
        <v>250</v>
      </c>
      <c r="J205" s="1">
        <v>20</v>
      </c>
      <c r="K205" s="1">
        <v>0</v>
      </c>
      <c r="L205" s="1">
        <f t="shared" si="3"/>
        <v>38141.64</v>
      </c>
      <c r="M205" t="s">
        <v>511</v>
      </c>
    </row>
    <row r="206" spans="1:13" x14ac:dyDescent="0.3">
      <c r="A206">
        <v>192</v>
      </c>
      <c r="B206" s="2">
        <v>45523</v>
      </c>
      <c r="C206" s="2">
        <v>45523</v>
      </c>
      <c r="D206" t="s">
        <v>1655</v>
      </c>
      <c r="E206" t="s">
        <v>1656</v>
      </c>
      <c r="F206" s="1">
        <v>90</v>
      </c>
      <c r="G206" t="s">
        <v>249</v>
      </c>
      <c r="H206" s="1">
        <v>38051.64</v>
      </c>
      <c r="I206" t="s">
        <v>250</v>
      </c>
      <c r="J206" s="1">
        <v>90</v>
      </c>
      <c r="K206" s="1">
        <v>0</v>
      </c>
      <c r="L206" s="1">
        <f t="shared" si="3"/>
        <v>38051.64</v>
      </c>
      <c r="M206" t="s">
        <v>511</v>
      </c>
    </row>
    <row r="207" spans="1:13" x14ac:dyDescent="0.3">
      <c r="A207">
        <v>193</v>
      </c>
      <c r="B207" s="2">
        <v>45524</v>
      </c>
      <c r="C207" s="2">
        <v>45524</v>
      </c>
      <c r="D207" t="s">
        <v>1657</v>
      </c>
      <c r="E207" t="s">
        <v>1658</v>
      </c>
      <c r="F207" s="1">
        <v>50</v>
      </c>
      <c r="G207" t="s">
        <v>249</v>
      </c>
      <c r="H207" s="1">
        <v>38001.64</v>
      </c>
      <c r="I207" t="s">
        <v>250</v>
      </c>
      <c r="J207" s="1">
        <v>50</v>
      </c>
      <c r="K207" s="1">
        <v>0</v>
      </c>
      <c r="L207" s="1">
        <f t="shared" si="3"/>
        <v>38001.64</v>
      </c>
      <c r="M207" t="s">
        <v>511</v>
      </c>
    </row>
    <row r="208" spans="1:13" x14ac:dyDescent="0.3">
      <c r="A208">
        <v>194</v>
      </c>
      <c r="B208" s="2">
        <v>45524</v>
      </c>
      <c r="C208" s="2">
        <v>45524</v>
      </c>
      <c r="D208" t="s">
        <v>1659</v>
      </c>
      <c r="E208" t="s">
        <v>1660</v>
      </c>
      <c r="F208" s="1">
        <v>70</v>
      </c>
      <c r="G208" t="s">
        <v>249</v>
      </c>
      <c r="H208" s="1">
        <v>37931.64</v>
      </c>
      <c r="I208" t="s">
        <v>250</v>
      </c>
      <c r="J208" s="1">
        <v>70</v>
      </c>
      <c r="K208" s="1">
        <v>0</v>
      </c>
      <c r="L208" s="1">
        <f t="shared" si="3"/>
        <v>37931.64</v>
      </c>
      <c r="M208" t="s">
        <v>511</v>
      </c>
    </row>
    <row r="209" spans="1:13" x14ac:dyDescent="0.3">
      <c r="A209">
        <v>195</v>
      </c>
      <c r="B209" s="2">
        <v>45525</v>
      </c>
      <c r="C209" s="2">
        <v>45525</v>
      </c>
      <c r="D209" t="s">
        <v>1661</v>
      </c>
      <c r="E209" t="s">
        <v>1662</v>
      </c>
      <c r="F209" s="1">
        <v>20</v>
      </c>
      <c r="G209" t="s">
        <v>249</v>
      </c>
      <c r="H209" s="1">
        <v>37911.64</v>
      </c>
      <c r="I209" t="s">
        <v>250</v>
      </c>
      <c r="J209" s="1">
        <v>20</v>
      </c>
      <c r="K209" s="1">
        <v>0</v>
      </c>
      <c r="L209" s="1">
        <f t="shared" si="3"/>
        <v>37911.64</v>
      </c>
      <c r="M209" t="s">
        <v>511</v>
      </c>
    </row>
    <row r="210" spans="1:13" x14ac:dyDescent="0.3">
      <c r="A210">
        <v>196</v>
      </c>
      <c r="B210" s="2">
        <v>45526</v>
      </c>
      <c r="C210" s="2">
        <v>45526</v>
      </c>
      <c r="D210" t="s">
        <v>1663</v>
      </c>
      <c r="E210" t="s">
        <v>1664</v>
      </c>
      <c r="F210" s="1">
        <v>85</v>
      </c>
      <c r="G210" t="s">
        <v>249</v>
      </c>
      <c r="H210" s="1">
        <v>37826.639999999999</v>
      </c>
      <c r="I210" t="s">
        <v>250</v>
      </c>
      <c r="J210" s="1">
        <v>85</v>
      </c>
      <c r="K210" s="1">
        <v>0</v>
      </c>
      <c r="L210" s="1">
        <f t="shared" si="3"/>
        <v>37826.639999999999</v>
      </c>
      <c r="M210" t="s">
        <v>511</v>
      </c>
    </row>
    <row r="211" spans="1:13" x14ac:dyDescent="0.3">
      <c r="A211">
        <v>197</v>
      </c>
      <c r="B211" s="2">
        <v>45526</v>
      </c>
      <c r="C211" s="2">
        <v>45526</v>
      </c>
      <c r="D211" t="s">
        <v>1665</v>
      </c>
      <c r="E211" t="s">
        <v>1666</v>
      </c>
      <c r="F211" s="1">
        <v>849.05</v>
      </c>
      <c r="G211" t="s">
        <v>249</v>
      </c>
      <c r="H211" s="1">
        <v>36977.589999999997</v>
      </c>
      <c r="I211" t="s">
        <v>250</v>
      </c>
      <c r="J211" s="1">
        <v>849.05</v>
      </c>
      <c r="K211" s="1">
        <v>0</v>
      </c>
      <c r="L211" s="1">
        <f t="shared" si="3"/>
        <v>36977.589999999997</v>
      </c>
      <c r="M211" t="s">
        <v>511</v>
      </c>
    </row>
    <row r="212" spans="1:13" x14ac:dyDescent="0.3">
      <c r="A212">
        <v>198</v>
      </c>
      <c r="B212" s="2">
        <v>45527</v>
      </c>
      <c r="C212" s="2">
        <v>45527</v>
      </c>
      <c r="D212" t="s">
        <v>1667</v>
      </c>
      <c r="E212" t="s">
        <v>1668</v>
      </c>
      <c r="F212" s="1">
        <v>15</v>
      </c>
      <c r="G212" t="s">
        <v>249</v>
      </c>
      <c r="H212" s="1">
        <v>36962.589999999997</v>
      </c>
      <c r="I212" t="s">
        <v>250</v>
      </c>
      <c r="J212" s="1">
        <v>15</v>
      </c>
      <c r="K212" s="1">
        <v>0</v>
      </c>
      <c r="L212" s="1">
        <f t="shared" si="3"/>
        <v>36962.589999999997</v>
      </c>
      <c r="M212" t="s">
        <v>511</v>
      </c>
    </row>
    <row r="213" spans="1:13" x14ac:dyDescent="0.3">
      <c r="A213">
        <v>199</v>
      </c>
      <c r="B213" s="2">
        <v>45529</v>
      </c>
      <c r="C213" s="2">
        <v>45529</v>
      </c>
      <c r="D213" t="s">
        <v>1669</v>
      </c>
      <c r="E213" t="s">
        <v>1670</v>
      </c>
      <c r="F213" s="1">
        <v>20</v>
      </c>
      <c r="G213" t="s">
        <v>249</v>
      </c>
      <c r="H213" s="1">
        <v>36942.589999999997</v>
      </c>
      <c r="I213" t="s">
        <v>250</v>
      </c>
      <c r="J213" s="1">
        <v>20</v>
      </c>
      <c r="K213" s="1">
        <v>0</v>
      </c>
      <c r="L213" s="1">
        <f t="shared" si="3"/>
        <v>36942.589999999997</v>
      </c>
      <c r="M213" t="s">
        <v>511</v>
      </c>
    </row>
    <row r="214" spans="1:13" x14ac:dyDescent="0.3">
      <c r="A214">
        <v>200</v>
      </c>
      <c r="B214" s="2">
        <v>45529</v>
      </c>
      <c r="C214" s="2">
        <v>45529</v>
      </c>
      <c r="D214" t="s">
        <v>1671</v>
      </c>
      <c r="E214" t="s">
        <v>1672</v>
      </c>
      <c r="F214" s="1">
        <v>2200</v>
      </c>
      <c r="G214" t="s">
        <v>249</v>
      </c>
      <c r="H214" s="1">
        <v>34742.589999999997</v>
      </c>
      <c r="I214" t="s">
        <v>250</v>
      </c>
      <c r="J214" s="1">
        <v>2200</v>
      </c>
      <c r="K214" s="1">
        <v>0</v>
      </c>
      <c r="L214" s="1">
        <f t="shared" si="3"/>
        <v>34742.589999999997</v>
      </c>
      <c r="M214" t="s">
        <v>511</v>
      </c>
    </row>
    <row r="215" spans="1:13" x14ac:dyDescent="0.3">
      <c r="A215">
        <v>201</v>
      </c>
      <c r="B215" s="2">
        <v>45529</v>
      </c>
      <c r="C215" s="2">
        <v>45529</v>
      </c>
      <c r="D215" t="s">
        <v>1673</v>
      </c>
      <c r="E215" t="s">
        <v>1674</v>
      </c>
      <c r="F215" s="1">
        <v>400</v>
      </c>
      <c r="G215" t="s">
        <v>249</v>
      </c>
      <c r="H215" s="1">
        <v>34342.589999999997</v>
      </c>
      <c r="I215" t="s">
        <v>250</v>
      </c>
      <c r="J215" s="1">
        <v>400</v>
      </c>
      <c r="K215" s="1">
        <v>0</v>
      </c>
      <c r="L215" s="1">
        <f t="shared" si="3"/>
        <v>34342.589999999997</v>
      </c>
      <c r="M215" t="s">
        <v>511</v>
      </c>
    </row>
    <row r="216" spans="1:13" x14ac:dyDescent="0.3">
      <c r="A216">
        <v>202</v>
      </c>
      <c r="B216" s="2">
        <v>45531</v>
      </c>
      <c r="C216" s="2">
        <v>45531</v>
      </c>
      <c r="D216" t="s">
        <v>1675</v>
      </c>
      <c r="E216" t="s">
        <v>1676</v>
      </c>
      <c r="F216" s="1">
        <v>424</v>
      </c>
      <c r="G216" t="s">
        <v>249</v>
      </c>
      <c r="H216" s="1">
        <v>33918.589999999997</v>
      </c>
      <c r="I216" t="s">
        <v>250</v>
      </c>
      <c r="J216" s="1">
        <v>424</v>
      </c>
      <c r="K216" s="1">
        <v>0</v>
      </c>
      <c r="L216" s="1">
        <f t="shared" si="3"/>
        <v>33918.589999999997</v>
      </c>
      <c r="M216" t="s">
        <v>511</v>
      </c>
    </row>
    <row r="217" spans="1:13" x14ac:dyDescent="0.3">
      <c r="A217">
        <v>203</v>
      </c>
      <c r="B217" s="2">
        <v>45533</v>
      </c>
      <c r="C217" s="2">
        <v>45533</v>
      </c>
      <c r="D217" t="s">
        <v>1677</v>
      </c>
      <c r="E217" t="s">
        <v>1678</v>
      </c>
      <c r="F217" s="1">
        <v>85</v>
      </c>
      <c r="G217" t="s">
        <v>249</v>
      </c>
      <c r="H217" s="1">
        <v>33833.589999999997</v>
      </c>
      <c r="I217" t="s">
        <v>250</v>
      </c>
      <c r="J217" s="1">
        <v>85</v>
      </c>
      <c r="K217" s="1">
        <v>0</v>
      </c>
      <c r="L217" s="1">
        <f t="shared" si="3"/>
        <v>33833.589999999997</v>
      </c>
      <c r="M217" t="s">
        <v>511</v>
      </c>
    </row>
    <row r="218" spans="1:13" x14ac:dyDescent="0.3">
      <c r="A218">
        <v>204</v>
      </c>
      <c r="B218" s="2">
        <v>45533</v>
      </c>
      <c r="C218" s="2">
        <v>45533</v>
      </c>
      <c r="D218" t="s">
        <v>1679</v>
      </c>
      <c r="E218" t="s">
        <v>1680</v>
      </c>
      <c r="F218" s="1">
        <v>130</v>
      </c>
      <c r="G218" t="s">
        <v>250</v>
      </c>
      <c r="H218" s="1">
        <v>33963.589999999997</v>
      </c>
      <c r="I218" t="s">
        <v>250</v>
      </c>
      <c r="J218" s="1">
        <v>0</v>
      </c>
      <c r="K218" s="1">
        <v>130</v>
      </c>
      <c r="L218" s="1">
        <f t="shared" si="3"/>
        <v>33963.589999999997</v>
      </c>
      <c r="M218" t="s">
        <v>511</v>
      </c>
    </row>
    <row r="219" spans="1:13" x14ac:dyDescent="0.3">
      <c r="A219">
        <v>205</v>
      </c>
      <c r="B219" s="2">
        <v>45534</v>
      </c>
      <c r="C219" s="2">
        <v>45534</v>
      </c>
      <c r="D219" t="s">
        <v>1681</v>
      </c>
      <c r="E219" t="s">
        <v>1682</v>
      </c>
      <c r="F219" s="1">
        <v>429</v>
      </c>
      <c r="G219" t="s">
        <v>249</v>
      </c>
      <c r="H219" s="1">
        <v>33534.589999999997</v>
      </c>
      <c r="I219" t="s">
        <v>250</v>
      </c>
      <c r="J219" s="1">
        <v>429</v>
      </c>
      <c r="K219" s="1">
        <v>0</v>
      </c>
      <c r="L219" s="1">
        <f t="shared" si="3"/>
        <v>33534.589999999997</v>
      </c>
      <c r="M219" t="s">
        <v>511</v>
      </c>
    </row>
    <row r="220" spans="1:13" x14ac:dyDescent="0.3">
      <c r="A220">
        <v>206</v>
      </c>
      <c r="B220" s="2">
        <v>45534</v>
      </c>
      <c r="C220" s="2">
        <v>45534</v>
      </c>
      <c r="D220" t="s">
        <v>358</v>
      </c>
      <c r="E220" t="s">
        <v>1683</v>
      </c>
      <c r="F220" s="1">
        <v>68895</v>
      </c>
      <c r="G220" t="s">
        <v>250</v>
      </c>
      <c r="H220" s="1">
        <v>102429.59</v>
      </c>
      <c r="I220" t="s">
        <v>250</v>
      </c>
      <c r="J220" s="1">
        <v>0</v>
      </c>
      <c r="K220" s="1">
        <v>68895</v>
      </c>
      <c r="L220" s="1">
        <f t="shared" si="3"/>
        <v>102429.59</v>
      </c>
      <c r="M220" t="s">
        <v>507</v>
      </c>
    </row>
    <row r="221" spans="1:13" x14ac:dyDescent="0.3">
      <c r="A221">
        <v>207</v>
      </c>
      <c r="B221" s="2">
        <v>45535</v>
      </c>
      <c r="C221" s="2">
        <v>45535</v>
      </c>
      <c r="D221" t="s">
        <v>1684</v>
      </c>
      <c r="E221" t="s">
        <v>1685</v>
      </c>
      <c r="F221" s="1">
        <v>151</v>
      </c>
      <c r="G221" t="s">
        <v>249</v>
      </c>
      <c r="H221" s="1">
        <v>102278.59</v>
      </c>
      <c r="I221" t="s">
        <v>250</v>
      </c>
      <c r="J221" s="1">
        <v>151</v>
      </c>
      <c r="K221" s="1">
        <v>0</v>
      </c>
      <c r="L221" s="1">
        <f t="shared" si="3"/>
        <v>102278.59</v>
      </c>
      <c r="M221" t="s">
        <v>511</v>
      </c>
    </row>
    <row r="222" spans="1:13" x14ac:dyDescent="0.3">
      <c r="A222">
        <v>208</v>
      </c>
      <c r="B222" s="2">
        <v>45537</v>
      </c>
      <c r="C222" s="2">
        <v>45537</v>
      </c>
      <c r="D222" t="s">
        <v>1686</v>
      </c>
      <c r="E222" t="s">
        <v>1687</v>
      </c>
      <c r="F222" s="1">
        <v>240</v>
      </c>
      <c r="G222" t="s">
        <v>249</v>
      </c>
      <c r="H222" s="1">
        <v>102038.59</v>
      </c>
      <c r="I222" t="s">
        <v>250</v>
      </c>
      <c r="J222" s="1">
        <v>240</v>
      </c>
      <c r="K222" s="1">
        <v>0</v>
      </c>
      <c r="L222" s="1">
        <f t="shared" si="3"/>
        <v>102038.59</v>
      </c>
      <c r="M222" t="s">
        <v>511</v>
      </c>
    </row>
    <row r="223" spans="1:13" x14ac:dyDescent="0.3">
      <c r="A223">
        <v>209</v>
      </c>
      <c r="B223" s="2">
        <v>45537</v>
      </c>
      <c r="C223" s="2">
        <v>45537</v>
      </c>
      <c r="D223" t="s">
        <v>1688</v>
      </c>
      <c r="E223" t="s">
        <v>1689</v>
      </c>
      <c r="F223" s="1">
        <v>85</v>
      </c>
      <c r="G223" t="s">
        <v>249</v>
      </c>
      <c r="H223" s="1">
        <v>101953.59</v>
      </c>
      <c r="I223" t="s">
        <v>250</v>
      </c>
      <c r="J223" s="1">
        <v>85</v>
      </c>
      <c r="K223" s="1">
        <v>0</v>
      </c>
      <c r="L223" s="1">
        <f t="shared" si="3"/>
        <v>101953.59</v>
      </c>
      <c r="M223" t="s">
        <v>511</v>
      </c>
    </row>
    <row r="224" spans="1:13" x14ac:dyDescent="0.3">
      <c r="A224">
        <v>210</v>
      </c>
      <c r="B224" s="2">
        <v>45537</v>
      </c>
      <c r="C224" s="2">
        <v>45537</v>
      </c>
      <c r="D224" t="s">
        <v>1690</v>
      </c>
      <c r="E224" t="s">
        <v>1691</v>
      </c>
      <c r="F224" s="1">
        <v>339</v>
      </c>
      <c r="G224" t="s">
        <v>249</v>
      </c>
      <c r="H224" s="1">
        <v>101614.59</v>
      </c>
      <c r="I224" t="s">
        <v>250</v>
      </c>
      <c r="J224" s="1">
        <v>339</v>
      </c>
      <c r="K224" s="1">
        <v>0</v>
      </c>
      <c r="L224" s="1">
        <f t="shared" si="3"/>
        <v>101614.59</v>
      </c>
      <c r="M224" t="s">
        <v>511</v>
      </c>
    </row>
    <row r="225" spans="1:13" x14ac:dyDescent="0.3">
      <c r="A225">
        <v>211</v>
      </c>
      <c r="B225" s="2">
        <v>45538</v>
      </c>
      <c r="C225" s="2">
        <v>45538</v>
      </c>
      <c r="D225" t="s">
        <v>1692</v>
      </c>
      <c r="E225" t="s">
        <v>1693</v>
      </c>
      <c r="F225" s="1">
        <v>17356.490000000002</v>
      </c>
      <c r="G225" t="s">
        <v>249</v>
      </c>
      <c r="H225" s="1">
        <v>84258.1</v>
      </c>
      <c r="I225" t="s">
        <v>250</v>
      </c>
      <c r="J225" s="1">
        <v>17356.490000000002</v>
      </c>
      <c r="K225" s="1">
        <v>0</v>
      </c>
      <c r="L225" s="1">
        <f t="shared" si="3"/>
        <v>84258.1</v>
      </c>
      <c r="M225" t="s">
        <v>511</v>
      </c>
    </row>
    <row r="226" spans="1:13" x14ac:dyDescent="0.3">
      <c r="A226">
        <v>212</v>
      </c>
      <c r="B226" s="2">
        <v>45538</v>
      </c>
      <c r="C226" s="2">
        <v>45537</v>
      </c>
      <c r="D226" t="s">
        <v>1694</v>
      </c>
      <c r="E226">
        <v>424700768541</v>
      </c>
      <c r="F226" s="1">
        <v>3000</v>
      </c>
      <c r="G226" t="s">
        <v>249</v>
      </c>
      <c r="H226" s="1">
        <v>81258.100000000006</v>
      </c>
      <c r="I226" t="s">
        <v>250</v>
      </c>
      <c r="J226" s="1">
        <v>3000</v>
      </c>
      <c r="K226" s="1">
        <v>0</v>
      </c>
      <c r="L226" s="1">
        <f t="shared" si="3"/>
        <v>81258.100000000006</v>
      </c>
      <c r="M226" t="s">
        <v>589</v>
      </c>
    </row>
    <row r="227" spans="1:13" x14ac:dyDescent="0.3">
      <c r="A227">
        <v>213</v>
      </c>
      <c r="B227" s="2">
        <v>45538</v>
      </c>
      <c r="C227" s="2">
        <v>45538</v>
      </c>
      <c r="D227" t="s">
        <v>1695</v>
      </c>
      <c r="E227" t="s">
        <v>1696</v>
      </c>
      <c r="F227" s="1">
        <v>90</v>
      </c>
      <c r="G227" t="s">
        <v>249</v>
      </c>
      <c r="H227" s="1">
        <v>81168.100000000006</v>
      </c>
      <c r="I227" t="s">
        <v>250</v>
      </c>
      <c r="J227" s="1">
        <v>90</v>
      </c>
      <c r="K227" s="1">
        <v>0</v>
      </c>
      <c r="L227" s="1">
        <f t="shared" si="3"/>
        <v>81168.100000000006</v>
      </c>
      <c r="M227" t="s">
        <v>511</v>
      </c>
    </row>
    <row r="228" spans="1:13" x14ac:dyDescent="0.3">
      <c r="A228">
        <v>214</v>
      </c>
      <c r="B228" s="2">
        <v>45538</v>
      </c>
      <c r="C228" s="2">
        <v>45538</v>
      </c>
      <c r="D228" t="s">
        <v>1697</v>
      </c>
      <c r="E228" t="s">
        <v>1698</v>
      </c>
      <c r="F228" s="1">
        <v>2250</v>
      </c>
      <c r="G228" t="s">
        <v>249</v>
      </c>
      <c r="H228" s="1">
        <v>78918.100000000006</v>
      </c>
      <c r="I228" t="s">
        <v>250</v>
      </c>
      <c r="J228" s="1">
        <v>2250</v>
      </c>
      <c r="K228" s="1">
        <v>0</v>
      </c>
      <c r="L228" s="1">
        <f t="shared" si="3"/>
        <v>78918.100000000006</v>
      </c>
      <c r="M228" t="s">
        <v>511</v>
      </c>
    </row>
    <row r="229" spans="1:13" x14ac:dyDescent="0.3">
      <c r="A229">
        <v>215</v>
      </c>
      <c r="B229" s="2">
        <v>45539</v>
      </c>
      <c r="C229" s="2">
        <v>45539</v>
      </c>
      <c r="D229" t="s">
        <v>1699</v>
      </c>
      <c r="E229" t="s">
        <v>1700</v>
      </c>
      <c r="F229" s="1">
        <v>15</v>
      </c>
      <c r="G229" t="s">
        <v>249</v>
      </c>
      <c r="H229" s="1">
        <v>78903.100000000006</v>
      </c>
      <c r="I229" t="s">
        <v>250</v>
      </c>
      <c r="J229" s="1">
        <v>15</v>
      </c>
      <c r="K229" s="1">
        <v>0</v>
      </c>
      <c r="L229" s="1">
        <f t="shared" si="3"/>
        <v>78903.100000000006</v>
      </c>
      <c r="M229" t="s">
        <v>511</v>
      </c>
    </row>
    <row r="230" spans="1:13" x14ac:dyDescent="0.3">
      <c r="A230">
        <v>216</v>
      </c>
      <c r="B230" s="2">
        <v>45539</v>
      </c>
      <c r="C230" s="2">
        <v>45539</v>
      </c>
      <c r="D230" t="s">
        <v>1701</v>
      </c>
      <c r="E230" t="s">
        <v>1702</v>
      </c>
      <c r="F230" s="1">
        <v>170</v>
      </c>
      <c r="G230" t="s">
        <v>249</v>
      </c>
      <c r="H230" s="1">
        <v>78733.100000000006</v>
      </c>
      <c r="I230" t="s">
        <v>250</v>
      </c>
      <c r="J230" s="1">
        <v>170</v>
      </c>
      <c r="K230" s="1">
        <v>0</v>
      </c>
      <c r="L230" s="1">
        <f t="shared" si="3"/>
        <v>78733.100000000006</v>
      </c>
      <c r="M230" t="s">
        <v>511</v>
      </c>
    </row>
    <row r="231" spans="1:13" x14ac:dyDescent="0.3">
      <c r="A231">
        <v>217</v>
      </c>
      <c r="B231" s="2">
        <v>45540</v>
      </c>
      <c r="C231" s="2">
        <v>45540</v>
      </c>
      <c r="D231" t="s">
        <v>1703</v>
      </c>
      <c r="E231" t="s">
        <v>1704</v>
      </c>
      <c r="F231" s="1">
        <v>15000</v>
      </c>
      <c r="G231" t="s">
        <v>249</v>
      </c>
      <c r="H231" s="1">
        <v>63733.1</v>
      </c>
      <c r="I231" t="s">
        <v>250</v>
      </c>
      <c r="J231" s="1">
        <v>15000</v>
      </c>
      <c r="K231" s="1">
        <v>0</v>
      </c>
      <c r="L231" s="1">
        <f t="shared" si="3"/>
        <v>63733.1</v>
      </c>
      <c r="M231" t="s">
        <v>511</v>
      </c>
    </row>
    <row r="232" spans="1:13" x14ac:dyDescent="0.3">
      <c r="A232">
        <v>218</v>
      </c>
      <c r="B232" s="2">
        <v>45540</v>
      </c>
      <c r="C232" s="2">
        <v>45540</v>
      </c>
      <c r="D232" t="s">
        <v>1705</v>
      </c>
      <c r="E232" t="s">
        <v>1706</v>
      </c>
      <c r="F232" s="1">
        <v>85</v>
      </c>
      <c r="G232" t="s">
        <v>249</v>
      </c>
      <c r="H232" s="1">
        <v>63648.1</v>
      </c>
      <c r="I232" t="s">
        <v>250</v>
      </c>
      <c r="J232" s="1">
        <v>85</v>
      </c>
      <c r="K232" s="1">
        <v>0</v>
      </c>
      <c r="L232" s="1">
        <f t="shared" si="3"/>
        <v>63648.1</v>
      </c>
      <c r="M232" t="s">
        <v>511</v>
      </c>
    </row>
    <row r="233" spans="1:13" x14ac:dyDescent="0.3">
      <c r="A233">
        <v>219</v>
      </c>
      <c r="B233" s="2">
        <v>45541</v>
      </c>
      <c r="C233" s="2">
        <v>45541</v>
      </c>
      <c r="D233" t="s">
        <v>1707</v>
      </c>
      <c r="E233" t="s">
        <v>1708</v>
      </c>
      <c r="F233" s="1">
        <v>6000</v>
      </c>
      <c r="G233" t="s">
        <v>249</v>
      </c>
      <c r="H233" s="1">
        <v>57648.1</v>
      </c>
      <c r="I233" t="s">
        <v>250</v>
      </c>
      <c r="J233" s="1">
        <v>6000</v>
      </c>
      <c r="K233" s="1">
        <v>0</v>
      </c>
      <c r="L233" s="1">
        <f t="shared" si="3"/>
        <v>57648.1</v>
      </c>
      <c r="M233" t="s">
        <v>511</v>
      </c>
    </row>
    <row r="234" spans="1:13" x14ac:dyDescent="0.3">
      <c r="A234">
        <v>220</v>
      </c>
      <c r="B234" s="2">
        <v>45542</v>
      </c>
      <c r="C234" s="2">
        <v>45542</v>
      </c>
      <c r="D234" t="s">
        <v>1709</v>
      </c>
      <c r="E234" t="s">
        <v>1710</v>
      </c>
      <c r="F234" s="1">
        <v>90</v>
      </c>
      <c r="G234" t="s">
        <v>249</v>
      </c>
      <c r="H234" s="1">
        <v>57558.1</v>
      </c>
      <c r="I234" t="s">
        <v>250</v>
      </c>
      <c r="J234" s="1">
        <v>90</v>
      </c>
      <c r="K234" s="1">
        <v>0</v>
      </c>
      <c r="L234" s="1">
        <f t="shared" si="3"/>
        <v>57558.1</v>
      </c>
      <c r="M234" t="s">
        <v>511</v>
      </c>
    </row>
    <row r="235" spans="1:13" x14ac:dyDescent="0.3">
      <c r="A235">
        <v>221</v>
      </c>
      <c r="B235" s="2">
        <v>45542</v>
      </c>
      <c r="C235" s="2">
        <v>45542</v>
      </c>
      <c r="D235" t="s">
        <v>1711</v>
      </c>
      <c r="E235" t="s">
        <v>1712</v>
      </c>
      <c r="F235" s="1">
        <v>90</v>
      </c>
      <c r="G235" t="s">
        <v>249</v>
      </c>
      <c r="H235" s="1">
        <v>57468.1</v>
      </c>
      <c r="I235" t="s">
        <v>250</v>
      </c>
      <c r="J235" s="1">
        <v>90</v>
      </c>
      <c r="K235" s="1">
        <v>0</v>
      </c>
      <c r="L235" s="1">
        <f t="shared" si="3"/>
        <v>57468.1</v>
      </c>
      <c r="M235" t="s">
        <v>511</v>
      </c>
    </row>
    <row r="236" spans="1:13" x14ac:dyDescent="0.3">
      <c r="A236">
        <v>222</v>
      </c>
      <c r="B236" s="2">
        <v>45543</v>
      </c>
      <c r="C236" s="2">
        <v>45543</v>
      </c>
      <c r="D236" t="s">
        <v>1713</v>
      </c>
      <c r="E236" t="s">
        <v>1714</v>
      </c>
      <c r="F236" s="1">
        <v>21</v>
      </c>
      <c r="G236" t="s">
        <v>249</v>
      </c>
      <c r="H236" s="1">
        <v>57447.1</v>
      </c>
      <c r="I236" t="s">
        <v>250</v>
      </c>
      <c r="J236" s="1">
        <v>21</v>
      </c>
      <c r="K236" s="1">
        <v>0</v>
      </c>
      <c r="L236" s="1">
        <f t="shared" si="3"/>
        <v>57447.1</v>
      </c>
      <c r="M236" t="s">
        <v>511</v>
      </c>
    </row>
    <row r="237" spans="1:13" x14ac:dyDescent="0.3">
      <c r="A237">
        <v>223</v>
      </c>
      <c r="B237" s="2">
        <v>45543</v>
      </c>
      <c r="C237" s="2">
        <v>45543</v>
      </c>
      <c r="D237" t="s">
        <v>1715</v>
      </c>
      <c r="E237" t="s">
        <v>1716</v>
      </c>
      <c r="F237" s="1">
        <v>450</v>
      </c>
      <c r="G237" t="s">
        <v>249</v>
      </c>
      <c r="H237" s="1">
        <v>56997.1</v>
      </c>
      <c r="I237" t="s">
        <v>250</v>
      </c>
      <c r="J237" s="1">
        <v>450</v>
      </c>
      <c r="K237" s="1">
        <v>0</v>
      </c>
      <c r="L237" s="1">
        <f t="shared" si="3"/>
        <v>56997.1</v>
      </c>
      <c r="M237" t="s">
        <v>511</v>
      </c>
    </row>
    <row r="238" spans="1:13" x14ac:dyDescent="0.3">
      <c r="A238">
        <v>224</v>
      </c>
      <c r="B238" s="2">
        <v>45544</v>
      </c>
      <c r="C238" s="2">
        <v>45544</v>
      </c>
      <c r="D238" t="s">
        <v>1717</v>
      </c>
      <c r="E238" t="s">
        <v>1718</v>
      </c>
      <c r="F238" s="1">
        <v>85</v>
      </c>
      <c r="G238" t="s">
        <v>249</v>
      </c>
      <c r="H238" s="1">
        <v>56912.1</v>
      </c>
      <c r="I238" t="s">
        <v>250</v>
      </c>
      <c r="J238" s="1">
        <v>85</v>
      </c>
      <c r="K238" s="1">
        <v>0</v>
      </c>
      <c r="L238" s="1">
        <f t="shared" si="3"/>
        <v>56912.1</v>
      </c>
      <c r="M238" t="s">
        <v>511</v>
      </c>
    </row>
    <row r="239" spans="1:13" x14ac:dyDescent="0.3">
      <c r="A239">
        <v>225</v>
      </c>
      <c r="B239" s="2">
        <v>45544</v>
      </c>
      <c r="C239" s="2">
        <v>45544</v>
      </c>
      <c r="D239" t="s">
        <v>1719</v>
      </c>
      <c r="E239" t="s">
        <v>1720</v>
      </c>
      <c r="F239" s="1">
        <v>35</v>
      </c>
      <c r="G239" t="s">
        <v>249</v>
      </c>
      <c r="H239" s="1">
        <v>56877.1</v>
      </c>
      <c r="I239" t="s">
        <v>250</v>
      </c>
      <c r="J239" s="1">
        <v>35</v>
      </c>
      <c r="K239" s="1">
        <v>0</v>
      </c>
      <c r="L239" s="1">
        <f t="shared" si="3"/>
        <v>56877.1</v>
      </c>
      <c r="M239" t="s">
        <v>511</v>
      </c>
    </row>
    <row r="240" spans="1:13" x14ac:dyDescent="0.3">
      <c r="A240">
        <v>226</v>
      </c>
      <c r="B240" s="2">
        <v>45545</v>
      </c>
      <c r="C240" s="2">
        <v>45545</v>
      </c>
      <c r="D240" t="s">
        <v>458</v>
      </c>
      <c r="E240" t="s">
        <v>1721</v>
      </c>
      <c r="F240" s="1">
        <v>5000</v>
      </c>
      <c r="G240" t="s">
        <v>249</v>
      </c>
      <c r="H240" s="1">
        <v>51877.1</v>
      </c>
      <c r="I240" t="s">
        <v>250</v>
      </c>
      <c r="J240" s="1">
        <v>5000</v>
      </c>
      <c r="K240" s="1">
        <v>0</v>
      </c>
      <c r="L240" s="1">
        <f t="shared" si="3"/>
        <v>51877.1</v>
      </c>
      <c r="M240" t="s">
        <v>219</v>
      </c>
    </row>
    <row r="241" spans="1:13" x14ac:dyDescent="0.3">
      <c r="A241">
        <v>227</v>
      </c>
      <c r="B241" s="2">
        <v>45545</v>
      </c>
      <c r="C241" s="2">
        <v>45545</v>
      </c>
      <c r="D241" t="s">
        <v>1722</v>
      </c>
      <c r="E241" t="s">
        <v>1723</v>
      </c>
      <c r="F241" s="1">
        <v>85</v>
      </c>
      <c r="G241" t="s">
        <v>249</v>
      </c>
      <c r="H241" s="1">
        <v>51792.1</v>
      </c>
      <c r="I241" t="s">
        <v>250</v>
      </c>
      <c r="J241" s="1">
        <v>85</v>
      </c>
      <c r="K241" s="1">
        <v>0</v>
      </c>
      <c r="L241" s="1">
        <f t="shared" si="3"/>
        <v>51792.1</v>
      </c>
      <c r="M241" t="s">
        <v>511</v>
      </c>
    </row>
    <row r="242" spans="1:13" x14ac:dyDescent="0.3">
      <c r="A242">
        <v>228</v>
      </c>
      <c r="B242" s="2">
        <v>45546</v>
      </c>
      <c r="C242" s="2">
        <v>45546</v>
      </c>
      <c r="D242" t="s">
        <v>1724</v>
      </c>
      <c r="E242" t="s">
        <v>1725</v>
      </c>
      <c r="F242" s="1">
        <v>4000</v>
      </c>
      <c r="G242" t="s">
        <v>249</v>
      </c>
      <c r="H242" s="1">
        <v>47792.1</v>
      </c>
      <c r="I242" t="s">
        <v>250</v>
      </c>
      <c r="J242" s="1">
        <v>4000</v>
      </c>
      <c r="K242" s="1">
        <v>0</v>
      </c>
      <c r="L242" s="1">
        <f t="shared" si="3"/>
        <v>47792.1</v>
      </c>
      <c r="M242" t="s">
        <v>2531</v>
      </c>
    </row>
    <row r="243" spans="1:13" x14ac:dyDescent="0.3">
      <c r="A243">
        <v>229</v>
      </c>
      <c r="B243" s="2">
        <v>45546</v>
      </c>
      <c r="C243" s="2">
        <v>45546</v>
      </c>
      <c r="D243" t="s">
        <v>1726</v>
      </c>
      <c r="E243" t="s">
        <v>1727</v>
      </c>
      <c r="F243" s="1">
        <v>40</v>
      </c>
      <c r="G243" t="s">
        <v>249</v>
      </c>
      <c r="H243" s="1">
        <v>47752.1</v>
      </c>
      <c r="I243" t="s">
        <v>250</v>
      </c>
      <c r="J243" s="1">
        <v>40</v>
      </c>
      <c r="K243" s="1">
        <v>0</v>
      </c>
      <c r="L243" s="1">
        <f t="shared" si="3"/>
        <v>47752.1</v>
      </c>
      <c r="M243" t="s">
        <v>511</v>
      </c>
    </row>
    <row r="244" spans="1:13" x14ac:dyDescent="0.3">
      <c r="A244">
        <v>230</v>
      </c>
      <c r="B244" s="2">
        <v>45547</v>
      </c>
      <c r="C244" s="2">
        <v>45547</v>
      </c>
      <c r="D244" t="s">
        <v>1728</v>
      </c>
      <c r="E244" t="s">
        <v>1729</v>
      </c>
      <c r="F244" s="1">
        <v>85</v>
      </c>
      <c r="G244" t="s">
        <v>249</v>
      </c>
      <c r="H244" s="1">
        <v>47667.1</v>
      </c>
      <c r="I244" t="s">
        <v>250</v>
      </c>
      <c r="J244" s="1">
        <v>85</v>
      </c>
      <c r="K244" s="1">
        <v>0</v>
      </c>
      <c r="L244" s="1">
        <f t="shared" si="3"/>
        <v>47667.1</v>
      </c>
      <c r="M244" t="s">
        <v>511</v>
      </c>
    </row>
    <row r="245" spans="1:13" x14ac:dyDescent="0.3">
      <c r="A245">
        <v>231</v>
      </c>
      <c r="B245" s="2">
        <v>45549</v>
      </c>
      <c r="C245" s="2">
        <v>45549</v>
      </c>
      <c r="D245" t="s">
        <v>1730</v>
      </c>
      <c r="E245" t="s">
        <v>1731</v>
      </c>
      <c r="F245" s="1">
        <v>383</v>
      </c>
      <c r="G245" t="s">
        <v>249</v>
      </c>
      <c r="H245" s="1">
        <v>47284.1</v>
      </c>
      <c r="I245" t="s">
        <v>250</v>
      </c>
      <c r="J245" s="1">
        <v>383</v>
      </c>
      <c r="K245" s="1">
        <v>0</v>
      </c>
      <c r="L245" s="1">
        <f t="shared" si="3"/>
        <v>47284.1</v>
      </c>
      <c r="M245" t="s">
        <v>511</v>
      </c>
    </row>
    <row r="246" spans="1:13" x14ac:dyDescent="0.3">
      <c r="A246">
        <v>232</v>
      </c>
      <c r="B246" s="2">
        <v>45551</v>
      </c>
      <c r="C246" s="2">
        <v>45551</v>
      </c>
      <c r="D246" t="s">
        <v>1732</v>
      </c>
      <c r="E246" t="s">
        <v>1733</v>
      </c>
      <c r="F246" s="1">
        <v>85</v>
      </c>
      <c r="G246" t="s">
        <v>249</v>
      </c>
      <c r="H246" s="1">
        <v>47199.1</v>
      </c>
      <c r="I246" t="s">
        <v>250</v>
      </c>
      <c r="J246" s="1">
        <v>85</v>
      </c>
      <c r="K246" s="1">
        <v>0</v>
      </c>
      <c r="L246" s="1">
        <f t="shared" si="3"/>
        <v>47199.1</v>
      </c>
      <c r="M246" t="s">
        <v>511</v>
      </c>
    </row>
    <row r="247" spans="1:13" x14ac:dyDescent="0.3">
      <c r="A247">
        <v>233</v>
      </c>
      <c r="B247" s="2">
        <v>45551</v>
      </c>
      <c r="C247" s="2">
        <v>45551</v>
      </c>
      <c r="D247" t="s">
        <v>1734</v>
      </c>
      <c r="E247" t="s">
        <v>1735</v>
      </c>
      <c r="F247" s="1">
        <v>70</v>
      </c>
      <c r="G247" t="s">
        <v>249</v>
      </c>
      <c r="H247" s="1">
        <v>47129.1</v>
      </c>
      <c r="I247" t="s">
        <v>250</v>
      </c>
      <c r="J247" s="1">
        <v>70</v>
      </c>
      <c r="K247" s="1">
        <v>0</v>
      </c>
      <c r="L247" s="1">
        <f t="shared" si="3"/>
        <v>47129.1</v>
      </c>
      <c r="M247" t="s">
        <v>511</v>
      </c>
    </row>
    <row r="248" spans="1:13" x14ac:dyDescent="0.3">
      <c r="A248">
        <v>234</v>
      </c>
      <c r="B248" s="2">
        <v>45552</v>
      </c>
      <c r="C248" s="2">
        <v>45552</v>
      </c>
      <c r="D248" t="s">
        <v>1736</v>
      </c>
      <c r="E248" t="s">
        <v>1737</v>
      </c>
      <c r="F248" s="1">
        <v>50</v>
      </c>
      <c r="G248" t="s">
        <v>249</v>
      </c>
      <c r="H248" s="1">
        <v>47079.1</v>
      </c>
      <c r="I248" t="s">
        <v>250</v>
      </c>
      <c r="J248" s="1">
        <v>50</v>
      </c>
      <c r="K248" s="1">
        <v>0</v>
      </c>
      <c r="L248" s="1">
        <f t="shared" si="3"/>
        <v>47079.1</v>
      </c>
      <c r="M248" t="s">
        <v>511</v>
      </c>
    </row>
    <row r="249" spans="1:13" x14ac:dyDescent="0.3">
      <c r="A249">
        <v>235</v>
      </c>
      <c r="B249" s="2">
        <v>45552</v>
      </c>
      <c r="C249" s="2">
        <v>45552</v>
      </c>
      <c r="D249" t="s">
        <v>1738</v>
      </c>
      <c r="E249" t="s">
        <v>1739</v>
      </c>
      <c r="F249" s="1">
        <v>80</v>
      </c>
      <c r="G249" t="s">
        <v>249</v>
      </c>
      <c r="H249" s="1">
        <v>46999.1</v>
      </c>
      <c r="I249" t="s">
        <v>250</v>
      </c>
      <c r="J249" s="1">
        <v>80</v>
      </c>
      <c r="K249" s="1">
        <v>0</v>
      </c>
      <c r="L249" s="1">
        <f t="shared" si="3"/>
        <v>46999.1</v>
      </c>
      <c r="M249" t="s">
        <v>511</v>
      </c>
    </row>
    <row r="250" spans="1:13" x14ac:dyDescent="0.3">
      <c r="A250">
        <v>236</v>
      </c>
      <c r="B250" s="2">
        <v>45552</v>
      </c>
      <c r="C250" s="2">
        <v>45552</v>
      </c>
      <c r="D250" t="s">
        <v>1740</v>
      </c>
      <c r="E250" t="s">
        <v>1741</v>
      </c>
      <c r="F250" s="1">
        <v>25</v>
      </c>
      <c r="G250" t="s">
        <v>249</v>
      </c>
      <c r="H250" s="1">
        <v>46974.1</v>
      </c>
      <c r="I250" t="s">
        <v>250</v>
      </c>
      <c r="J250" s="1">
        <v>25</v>
      </c>
      <c r="K250" s="1">
        <v>0</v>
      </c>
      <c r="L250" s="1">
        <f t="shared" si="3"/>
        <v>46974.1</v>
      </c>
      <c r="M250" t="s">
        <v>511</v>
      </c>
    </row>
    <row r="251" spans="1:13" x14ac:dyDescent="0.3">
      <c r="A251">
        <v>237</v>
      </c>
      <c r="B251" s="2">
        <v>45553</v>
      </c>
      <c r="C251" s="2">
        <v>45553</v>
      </c>
      <c r="D251" t="s">
        <v>1742</v>
      </c>
      <c r="E251" t="s">
        <v>1743</v>
      </c>
      <c r="F251" s="1">
        <v>1000</v>
      </c>
      <c r="G251" t="s">
        <v>249</v>
      </c>
      <c r="H251" s="1">
        <v>45974.1</v>
      </c>
      <c r="I251" t="s">
        <v>250</v>
      </c>
      <c r="J251" s="1">
        <v>1000</v>
      </c>
      <c r="K251" s="1">
        <v>0</v>
      </c>
      <c r="L251" s="1">
        <f t="shared" si="3"/>
        <v>45974.1</v>
      </c>
      <c r="M251" t="s">
        <v>511</v>
      </c>
    </row>
    <row r="252" spans="1:13" x14ac:dyDescent="0.3">
      <c r="A252">
        <v>238</v>
      </c>
      <c r="B252" s="2">
        <v>45555</v>
      </c>
      <c r="C252" s="2">
        <v>45555</v>
      </c>
      <c r="D252" t="s">
        <v>1744</v>
      </c>
      <c r="E252" t="s">
        <v>1745</v>
      </c>
      <c r="F252" s="1">
        <v>20</v>
      </c>
      <c r="G252" t="s">
        <v>250</v>
      </c>
      <c r="H252" s="1">
        <v>45994.1</v>
      </c>
      <c r="I252" t="s">
        <v>250</v>
      </c>
      <c r="J252" s="1">
        <v>0</v>
      </c>
      <c r="K252" s="1">
        <v>20</v>
      </c>
      <c r="L252" s="1">
        <f t="shared" si="3"/>
        <v>45994.1</v>
      </c>
      <c r="M252" t="s">
        <v>511</v>
      </c>
    </row>
    <row r="253" spans="1:13" x14ac:dyDescent="0.3">
      <c r="A253">
        <v>239</v>
      </c>
      <c r="B253" s="2">
        <v>45555</v>
      </c>
      <c r="C253" s="2">
        <v>45555</v>
      </c>
      <c r="D253" t="s">
        <v>1746</v>
      </c>
      <c r="E253" t="s">
        <v>1747</v>
      </c>
      <c r="F253" s="1">
        <v>10</v>
      </c>
      <c r="G253" t="s">
        <v>249</v>
      </c>
      <c r="H253" s="1">
        <v>45984.1</v>
      </c>
      <c r="I253" t="s">
        <v>250</v>
      </c>
      <c r="J253" s="1">
        <v>10</v>
      </c>
      <c r="K253" s="1">
        <v>0</v>
      </c>
      <c r="L253" s="1">
        <f t="shared" si="3"/>
        <v>45984.1</v>
      </c>
      <c r="M253" t="s">
        <v>511</v>
      </c>
    </row>
    <row r="254" spans="1:13" x14ac:dyDescent="0.3">
      <c r="A254">
        <v>240</v>
      </c>
      <c r="B254" s="2">
        <v>45555</v>
      </c>
      <c r="C254" s="2">
        <v>45555</v>
      </c>
      <c r="D254" t="s">
        <v>1748</v>
      </c>
      <c r="E254" t="s">
        <v>1749</v>
      </c>
      <c r="F254" s="1">
        <v>1010</v>
      </c>
      <c r="G254" t="s">
        <v>250</v>
      </c>
      <c r="H254" s="1">
        <v>46994.1</v>
      </c>
      <c r="I254" t="s">
        <v>250</v>
      </c>
      <c r="J254" s="1">
        <v>0</v>
      </c>
      <c r="K254" s="1">
        <v>1010</v>
      </c>
      <c r="L254" s="1">
        <f t="shared" si="3"/>
        <v>46994.1</v>
      </c>
      <c r="M254" t="s">
        <v>511</v>
      </c>
    </row>
    <row r="255" spans="1:13" x14ac:dyDescent="0.3">
      <c r="A255">
        <v>241</v>
      </c>
      <c r="B255" s="2">
        <v>45555</v>
      </c>
      <c r="C255" s="2">
        <v>45555</v>
      </c>
      <c r="D255" t="s">
        <v>1750</v>
      </c>
      <c r="E255" t="s">
        <v>1751</v>
      </c>
      <c r="F255" s="1">
        <v>399</v>
      </c>
      <c r="G255" t="s">
        <v>249</v>
      </c>
      <c r="H255" s="1">
        <v>46595.1</v>
      </c>
      <c r="I255" t="s">
        <v>250</v>
      </c>
      <c r="J255" s="1">
        <v>399</v>
      </c>
      <c r="K255" s="1">
        <v>0</v>
      </c>
      <c r="L255" s="1">
        <f t="shared" si="3"/>
        <v>46595.1</v>
      </c>
      <c r="M255" t="s">
        <v>511</v>
      </c>
    </row>
    <row r="256" spans="1:13" x14ac:dyDescent="0.3">
      <c r="A256">
        <v>242</v>
      </c>
      <c r="B256" s="2">
        <v>45555</v>
      </c>
      <c r="C256" s="2">
        <v>45555</v>
      </c>
      <c r="D256" t="s">
        <v>1752</v>
      </c>
      <c r="E256" t="s">
        <v>1753</v>
      </c>
      <c r="F256" s="1">
        <v>20</v>
      </c>
      <c r="G256" t="s">
        <v>249</v>
      </c>
      <c r="H256" s="1">
        <v>46575.1</v>
      </c>
      <c r="I256" t="s">
        <v>250</v>
      </c>
      <c r="J256" s="1">
        <v>20</v>
      </c>
      <c r="K256" s="1">
        <v>0</v>
      </c>
      <c r="L256" s="1">
        <f t="shared" si="3"/>
        <v>46575.1</v>
      </c>
      <c r="M256" t="s">
        <v>511</v>
      </c>
    </row>
    <row r="257" spans="1:13" x14ac:dyDescent="0.3">
      <c r="A257">
        <v>243</v>
      </c>
      <c r="B257" s="2">
        <v>45555</v>
      </c>
      <c r="C257" s="2">
        <v>45555</v>
      </c>
      <c r="D257" t="s">
        <v>1754</v>
      </c>
      <c r="E257" t="s">
        <v>1755</v>
      </c>
      <c r="F257" s="1">
        <v>20</v>
      </c>
      <c r="G257" t="s">
        <v>250</v>
      </c>
      <c r="H257" s="1">
        <v>46595.1</v>
      </c>
      <c r="I257" t="s">
        <v>250</v>
      </c>
      <c r="J257" s="1">
        <v>0</v>
      </c>
      <c r="K257" s="1">
        <v>20</v>
      </c>
      <c r="L257" s="1">
        <f t="shared" si="3"/>
        <v>46595.1</v>
      </c>
      <c r="M257" t="s">
        <v>511</v>
      </c>
    </row>
    <row r="258" spans="1:13" x14ac:dyDescent="0.3">
      <c r="A258">
        <v>244</v>
      </c>
      <c r="B258" s="2">
        <v>45557</v>
      </c>
      <c r="C258" s="2">
        <v>45557</v>
      </c>
      <c r="D258" t="s">
        <v>1756</v>
      </c>
      <c r="E258" t="s">
        <v>1757</v>
      </c>
      <c r="F258" s="1">
        <v>1000</v>
      </c>
      <c r="G258" t="s">
        <v>249</v>
      </c>
      <c r="H258" s="1">
        <v>45595.1</v>
      </c>
      <c r="I258" t="s">
        <v>250</v>
      </c>
      <c r="J258" s="1">
        <v>1000</v>
      </c>
      <c r="K258" s="1">
        <v>0</v>
      </c>
      <c r="L258" s="1">
        <f t="shared" ref="L258:L321" si="4">H258</f>
        <v>45595.1</v>
      </c>
      <c r="M258" t="s">
        <v>511</v>
      </c>
    </row>
    <row r="259" spans="1:13" x14ac:dyDescent="0.3">
      <c r="A259">
        <v>245</v>
      </c>
      <c r="B259" s="2">
        <v>45558</v>
      </c>
      <c r="C259" s="2">
        <v>45558</v>
      </c>
      <c r="D259" t="s">
        <v>1758</v>
      </c>
      <c r="E259" t="s">
        <v>1759</v>
      </c>
      <c r="F259" s="1">
        <v>65</v>
      </c>
      <c r="G259" t="s">
        <v>249</v>
      </c>
      <c r="H259" s="1">
        <v>45530.1</v>
      </c>
      <c r="I259" t="s">
        <v>250</v>
      </c>
      <c r="J259" s="1">
        <v>65</v>
      </c>
      <c r="K259" s="1">
        <v>0</v>
      </c>
      <c r="L259" s="1">
        <f t="shared" si="4"/>
        <v>45530.1</v>
      </c>
      <c r="M259" t="s">
        <v>511</v>
      </c>
    </row>
    <row r="260" spans="1:13" x14ac:dyDescent="0.3">
      <c r="A260">
        <v>246</v>
      </c>
      <c r="B260" s="2">
        <v>45559</v>
      </c>
      <c r="C260" s="2">
        <v>45559</v>
      </c>
      <c r="D260" t="s">
        <v>1760</v>
      </c>
      <c r="E260" t="s">
        <v>1761</v>
      </c>
      <c r="F260" s="1">
        <v>65</v>
      </c>
      <c r="G260" t="s">
        <v>249</v>
      </c>
      <c r="H260" s="1">
        <v>45465.1</v>
      </c>
      <c r="I260" t="s">
        <v>250</v>
      </c>
      <c r="J260" s="1">
        <v>65</v>
      </c>
      <c r="K260" s="1">
        <v>0</v>
      </c>
      <c r="L260" s="1">
        <f t="shared" si="4"/>
        <v>45465.1</v>
      </c>
      <c r="M260" t="s">
        <v>511</v>
      </c>
    </row>
    <row r="261" spans="1:13" x14ac:dyDescent="0.3">
      <c r="A261">
        <v>247</v>
      </c>
      <c r="B261" s="2">
        <v>45559</v>
      </c>
      <c r="C261" s="2">
        <v>45559</v>
      </c>
      <c r="D261" t="s">
        <v>1762</v>
      </c>
      <c r="E261" t="s">
        <v>1763</v>
      </c>
      <c r="F261" s="1">
        <v>60</v>
      </c>
      <c r="G261" t="s">
        <v>249</v>
      </c>
      <c r="H261" s="1">
        <v>45405.1</v>
      </c>
      <c r="I261" t="s">
        <v>250</v>
      </c>
      <c r="J261" s="1">
        <v>60</v>
      </c>
      <c r="K261" s="1">
        <v>0</v>
      </c>
      <c r="L261" s="1">
        <f t="shared" si="4"/>
        <v>45405.1</v>
      </c>
      <c r="M261" t="s">
        <v>511</v>
      </c>
    </row>
    <row r="262" spans="1:13" x14ac:dyDescent="0.3">
      <c r="A262">
        <v>248</v>
      </c>
      <c r="B262" s="2">
        <v>45559</v>
      </c>
      <c r="C262" s="2">
        <v>45559</v>
      </c>
      <c r="D262" t="s">
        <v>1764</v>
      </c>
      <c r="E262" t="s">
        <v>1765</v>
      </c>
      <c r="F262" s="1">
        <v>1000</v>
      </c>
      <c r="G262" t="s">
        <v>250</v>
      </c>
      <c r="H262" s="1">
        <v>46405.1</v>
      </c>
      <c r="I262" t="s">
        <v>250</v>
      </c>
      <c r="J262" s="1">
        <v>0</v>
      </c>
      <c r="K262" s="1">
        <v>1000</v>
      </c>
      <c r="L262" s="1">
        <f t="shared" si="4"/>
        <v>46405.1</v>
      </c>
      <c r="M262" t="s">
        <v>511</v>
      </c>
    </row>
    <row r="263" spans="1:13" x14ac:dyDescent="0.3">
      <c r="A263">
        <v>249</v>
      </c>
      <c r="B263" s="2">
        <v>45560</v>
      </c>
      <c r="C263" s="2">
        <v>45560</v>
      </c>
      <c r="D263" t="s">
        <v>1766</v>
      </c>
      <c r="E263" t="s">
        <v>1767</v>
      </c>
      <c r="F263" s="1">
        <v>1980</v>
      </c>
      <c r="G263" t="s">
        <v>250</v>
      </c>
      <c r="H263" s="1">
        <v>48385.1</v>
      </c>
      <c r="I263" t="s">
        <v>250</v>
      </c>
      <c r="J263" s="1">
        <v>0</v>
      </c>
      <c r="K263" s="1">
        <v>1980</v>
      </c>
      <c r="L263" s="1">
        <f t="shared" si="4"/>
        <v>48385.1</v>
      </c>
      <c r="M263" t="s">
        <v>511</v>
      </c>
    </row>
    <row r="264" spans="1:13" x14ac:dyDescent="0.3">
      <c r="A264">
        <v>250</v>
      </c>
      <c r="B264" s="2">
        <v>45560</v>
      </c>
      <c r="C264" s="2">
        <v>45560</v>
      </c>
      <c r="D264" t="s">
        <v>1768</v>
      </c>
      <c r="E264" t="s">
        <v>1769</v>
      </c>
      <c r="F264" s="1">
        <v>85</v>
      </c>
      <c r="G264" t="s">
        <v>249</v>
      </c>
      <c r="H264" s="1">
        <v>48300.1</v>
      </c>
      <c r="I264" t="s">
        <v>250</v>
      </c>
      <c r="J264" s="1">
        <v>85</v>
      </c>
      <c r="K264" s="1">
        <v>0</v>
      </c>
      <c r="L264" s="1">
        <f t="shared" si="4"/>
        <v>48300.1</v>
      </c>
      <c r="M264" t="s">
        <v>511</v>
      </c>
    </row>
    <row r="265" spans="1:13" x14ac:dyDescent="0.3">
      <c r="A265">
        <v>251</v>
      </c>
      <c r="B265" s="2">
        <v>45560</v>
      </c>
      <c r="C265" s="2">
        <v>45560</v>
      </c>
      <c r="D265" t="s">
        <v>1770</v>
      </c>
      <c r="E265" t="s">
        <v>1771</v>
      </c>
      <c r="F265" s="1">
        <v>45</v>
      </c>
      <c r="G265" t="s">
        <v>249</v>
      </c>
      <c r="H265" s="1">
        <v>48255.1</v>
      </c>
      <c r="I265" t="s">
        <v>250</v>
      </c>
      <c r="J265" s="1">
        <v>45</v>
      </c>
      <c r="K265" s="1">
        <v>0</v>
      </c>
      <c r="L265" s="1">
        <f t="shared" si="4"/>
        <v>48255.1</v>
      </c>
      <c r="M265" t="s">
        <v>511</v>
      </c>
    </row>
    <row r="266" spans="1:13" x14ac:dyDescent="0.3">
      <c r="A266">
        <v>252</v>
      </c>
      <c r="B266" s="2">
        <v>45560</v>
      </c>
      <c r="C266" s="2">
        <v>45560</v>
      </c>
      <c r="D266" t="s">
        <v>1772</v>
      </c>
      <c r="E266" t="s">
        <v>1773</v>
      </c>
      <c r="F266" s="1">
        <v>45</v>
      </c>
      <c r="G266" t="s">
        <v>250</v>
      </c>
      <c r="H266" s="1">
        <v>48300.1</v>
      </c>
      <c r="I266" t="s">
        <v>250</v>
      </c>
      <c r="J266" s="1">
        <v>0</v>
      </c>
      <c r="K266" s="1">
        <v>45</v>
      </c>
      <c r="L266" s="1">
        <f t="shared" si="4"/>
        <v>48300.1</v>
      </c>
      <c r="M266" t="s">
        <v>511</v>
      </c>
    </row>
    <row r="267" spans="1:13" x14ac:dyDescent="0.3">
      <c r="A267">
        <v>253</v>
      </c>
      <c r="B267" s="2">
        <v>45560</v>
      </c>
      <c r="C267" s="2">
        <v>45560</v>
      </c>
      <c r="D267" t="s">
        <v>1774</v>
      </c>
      <c r="E267" t="s">
        <v>1775</v>
      </c>
      <c r="F267" s="1">
        <v>15000</v>
      </c>
      <c r="G267" t="s">
        <v>249</v>
      </c>
      <c r="H267" s="1">
        <v>33300.1</v>
      </c>
      <c r="I267" t="s">
        <v>250</v>
      </c>
      <c r="J267" s="1">
        <v>15000</v>
      </c>
      <c r="K267" s="1">
        <v>0</v>
      </c>
      <c r="L267" s="1">
        <f t="shared" si="4"/>
        <v>33300.1</v>
      </c>
      <c r="M267" t="s">
        <v>511</v>
      </c>
    </row>
    <row r="268" spans="1:13" x14ac:dyDescent="0.3">
      <c r="A268">
        <v>254</v>
      </c>
      <c r="B268" s="2">
        <v>45560</v>
      </c>
      <c r="C268" s="2">
        <v>45560</v>
      </c>
      <c r="D268" t="s">
        <v>1776</v>
      </c>
      <c r="E268" t="s">
        <v>1777</v>
      </c>
      <c r="F268" s="1">
        <v>1000</v>
      </c>
      <c r="G268" t="s">
        <v>249</v>
      </c>
      <c r="H268" s="1">
        <v>32300.1</v>
      </c>
      <c r="I268" t="s">
        <v>250</v>
      </c>
      <c r="J268" s="1">
        <v>1000</v>
      </c>
      <c r="K268" s="1">
        <v>0</v>
      </c>
      <c r="L268" s="1">
        <f t="shared" si="4"/>
        <v>32300.1</v>
      </c>
      <c r="M268" t="s">
        <v>511</v>
      </c>
    </row>
    <row r="269" spans="1:13" x14ac:dyDescent="0.3">
      <c r="A269">
        <v>255</v>
      </c>
      <c r="B269" s="2">
        <v>45561</v>
      </c>
      <c r="C269" s="2">
        <v>45561</v>
      </c>
      <c r="D269" t="s">
        <v>1778</v>
      </c>
      <c r="E269" t="s">
        <v>1779</v>
      </c>
      <c r="F269" s="1">
        <v>65</v>
      </c>
      <c r="G269" t="s">
        <v>249</v>
      </c>
      <c r="H269" s="1">
        <v>32235.1</v>
      </c>
      <c r="I269" t="s">
        <v>250</v>
      </c>
      <c r="J269" s="1">
        <v>65</v>
      </c>
      <c r="K269" s="1">
        <v>0</v>
      </c>
      <c r="L269" s="1">
        <f t="shared" si="4"/>
        <v>32235.1</v>
      </c>
      <c r="M269" t="s">
        <v>511</v>
      </c>
    </row>
    <row r="270" spans="1:13" x14ac:dyDescent="0.3">
      <c r="A270">
        <v>256</v>
      </c>
      <c r="B270" s="2">
        <v>45561</v>
      </c>
      <c r="C270" s="2">
        <v>45561</v>
      </c>
      <c r="D270" t="s">
        <v>1780</v>
      </c>
      <c r="E270" t="s">
        <v>1781</v>
      </c>
      <c r="F270" s="1">
        <v>45</v>
      </c>
      <c r="G270" t="s">
        <v>249</v>
      </c>
      <c r="H270" s="1">
        <v>32190.1</v>
      </c>
      <c r="I270" t="s">
        <v>250</v>
      </c>
      <c r="J270" s="1">
        <v>45</v>
      </c>
      <c r="K270" s="1">
        <v>0</v>
      </c>
      <c r="L270" s="1">
        <f t="shared" si="4"/>
        <v>32190.1</v>
      </c>
      <c r="M270" t="s">
        <v>511</v>
      </c>
    </row>
    <row r="271" spans="1:13" x14ac:dyDescent="0.3">
      <c r="A271">
        <v>257</v>
      </c>
      <c r="B271" s="2">
        <v>45561</v>
      </c>
      <c r="C271" s="2">
        <v>45561</v>
      </c>
      <c r="D271" t="s">
        <v>1782</v>
      </c>
      <c r="E271" t="s">
        <v>1783</v>
      </c>
      <c r="F271" s="1">
        <v>15150</v>
      </c>
      <c r="G271" t="s">
        <v>250</v>
      </c>
      <c r="H271" s="1">
        <v>47340.1</v>
      </c>
      <c r="I271" t="s">
        <v>250</v>
      </c>
      <c r="J271" s="1">
        <v>0</v>
      </c>
      <c r="K271" s="1">
        <v>15150</v>
      </c>
      <c r="L271" s="1">
        <f t="shared" si="4"/>
        <v>47340.1</v>
      </c>
      <c r="M271" t="s">
        <v>2534</v>
      </c>
    </row>
    <row r="272" spans="1:13" x14ac:dyDescent="0.3">
      <c r="A272">
        <v>258</v>
      </c>
      <c r="B272" s="2">
        <v>45562</v>
      </c>
      <c r="C272" s="2">
        <v>45562</v>
      </c>
      <c r="D272" t="s">
        <v>1784</v>
      </c>
      <c r="E272" t="s">
        <v>1785</v>
      </c>
      <c r="F272" s="1">
        <v>999</v>
      </c>
      <c r="G272" t="s">
        <v>249</v>
      </c>
      <c r="H272" s="1">
        <v>46341.1</v>
      </c>
      <c r="I272" t="s">
        <v>250</v>
      </c>
      <c r="J272" s="1">
        <v>999</v>
      </c>
      <c r="K272" s="1">
        <v>0</v>
      </c>
      <c r="L272" s="1">
        <f t="shared" si="4"/>
        <v>46341.1</v>
      </c>
      <c r="M272" t="s">
        <v>511</v>
      </c>
    </row>
    <row r="273" spans="1:13" x14ac:dyDescent="0.3">
      <c r="A273">
        <v>259</v>
      </c>
      <c r="B273" s="2">
        <v>45562</v>
      </c>
      <c r="C273" s="2">
        <v>45562</v>
      </c>
      <c r="D273" t="s">
        <v>358</v>
      </c>
      <c r="E273" t="s">
        <v>1786</v>
      </c>
      <c r="F273" s="1">
        <v>68895</v>
      </c>
      <c r="G273" t="s">
        <v>250</v>
      </c>
      <c r="H273" s="1">
        <v>115236.1</v>
      </c>
      <c r="I273" t="s">
        <v>250</v>
      </c>
      <c r="J273" s="1">
        <v>0</v>
      </c>
      <c r="K273" s="1">
        <v>68895</v>
      </c>
      <c r="L273" s="1">
        <f t="shared" si="4"/>
        <v>115236.1</v>
      </c>
      <c r="M273" t="s">
        <v>507</v>
      </c>
    </row>
    <row r="274" spans="1:13" x14ac:dyDescent="0.3">
      <c r="A274">
        <v>260</v>
      </c>
      <c r="B274" s="2">
        <v>45563</v>
      </c>
      <c r="C274" s="2">
        <v>45563</v>
      </c>
      <c r="D274" t="s">
        <v>1787</v>
      </c>
      <c r="E274" t="s">
        <v>1788</v>
      </c>
      <c r="F274" s="1">
        <v>1000</v>
      </c>
      <c r="G274" t="s">
        <v>250</v>
      </c>
      <c r="H274" s="1">
        <v>116236.1</v>
      </c>
      <c r="I274" t="s">
        <v>250</v>
      </c>
      <c r="J274" s="1">
        <v>0</v>
      </c>
      <c r="K274" s="1">
        <v>1000</v>
      </c>
      <c r="L274" s="1">
        <f t="shared" si="4"/>
        <v>116236.1</v>
      </c>
      <c r="M274" t="s">
        <v>511</v>
      </c>
    </row>
    <row r="275" spans="1:13" x14ac:dyDescent="0.3">
      <c r="A275">
        <v>261</v>
      </c>
      <c r="B275" s="2">
        <v>45563</v>
      </c>
      <c r="C275" s="2">
        <v>45563</v>
      </c>
      <c r="D275" t="s">
        <v>1789</v>
      </c>
      <c r="E275" t="s">
        <v>1790</v>
      </c>
      <c r="F275" s="1">
        <v>110</v>
      </c>
      <c r="G275" t="s">
        <v>249</v>
      </c>
      <c r="H275" s="1">
        <v>116126.1</v>
      </c>
      <c r="I275" t="s">
        <v>250</v>
      </c>
      <c r="J275" s="1">
        <v>110</v>
      </c>
      <c r="K275" s="1">
        <v>0</v>
      </c>
      <c r="L275" s="1">
        <f t="shared" si="4"/>
        <v>116126.1</v>
      </c>
      <c r="M275" t="s">
        <v>511</v>
      </c>
    </row>
    <row r="276" spans="1:13" x14ac:dyDescent="0.3">
      <c r="A276">
        <v>262</v>
      </c>
      <c r="B276" s="2">
        <v>45565</v>
      </c>
      <c r="C276" s="2">
        <v>45565</v>
      </c>
      <c r="D276" t="s">
        <v>1791</v>
      </c>
      <c r="E276" t="s">
        <v>1792</v>
      </c>
      <c r="F276" s="1">
        <v>15000</v>
      </c>
      <c r="G276" t="s">
        <v>249</v>
      </c>
      <c r="H276" s="1">
        <v>101126.1</v>
      </c>
      <c r="I276" t="s">
        <v>250</v>
      </c>
      <c r="J276" s="1">
        <v>15000</v>
      </c>
      <c r="K276" s="1">
        <v>0</v>
      </c>
      <c r="L276" s="1">
        <f t="shared" si="4"/>
        <v>101126.1</v>
      </c>
      <c r="M276" t="s">
        <v>511</v>
      </c>
    </row>
    <row r="277" spans="1:13" x14ac:dyDescent="0.3">
      <c r="A277">
        <v>263</v>
      </c>
      <c r="B277" s="2">
        <v>45565</v>
      </c>
      <c r="C277" s="2">
        <v>45565</v>
      </c>
      <c r="D277" t="s">
        <v>1793</v>
      </c>
      <c r="E277" t="s">
        <v>1794</v>
      </c>
      <c r="F277" s="1">
        <v>100</v>
      </c>
      <c r="G277" t="s">
        <v>249</v>
      </c>
      <c r="H277" s="1">
        <v>101026.1</v>
      </c>
      <c r="I277" t="s">
        <v>250</v>
      </c>
      <c r="J277" s="1">
        <v>100</v>
      </c>
      <c r="K277" s="1">
        <v>0</v>
      </c>
      <c r="L277" s="1">
        <f t="shared" si="4"/>
        <v>101026.1</v>
      </c>
      <c r="M277" t="s">
        <v>511</v>
      </c>
    </row>
    <row r="278" spans="1:13" x14ac:dyDescent="0.3">
      <c r="A278">
        <v>264</v>
      </c>
      <c r="B278" s="2">
        <v>45565</v>
      </c>
      <c r="C278" s="2">
        <v>45565</v>
      </c>
      <c r="D278" t="s">
        <v>1795</v>
      </c>
      <c r="E278" t="s">
        <v>1796</v>
      </c>
      <c r="F278" s="1">
        <v>270</v>
      </c>
      <c r="G278" t="s">
        <v>249</v>
      </c>
      <c r="H278" s="1">
        <v>100756.1</v>
      </c>
      <c r="I278" t="s">
        <v>250</v>
      </c>
      <c r="J278" s="1">
        <v>270</v>
      </c>
      <c r="K278" s="1">
        <v>0</v>
      </c>
      <c r="L278" s="1">
        <f t="shared" si="4"/>
        <v>100756.1</v>
      </c>
      <c r="M278" t="s">
        <v>511</v>
      </c>
    </row>
    <row r="279" spans="1:13" x14ac:dyDescent="0.3">
      <c r="A279">
        <v>265</v>
      </c>
      <c r="B279" s="2">
        <v>45566</v>
      </c>
      <c r="C279" s="2">
        <v>45565</v>
      </c>
      <c r="D279" t="s">
        <v>1797</v>
      </c>
      <c r="F279" s="1">
        <v>436</v>
      </c>
      <c r="G279" t="s">
        <v>250</v>
      </c>
      <c r="H279" s="1">
        <v>101192.1</v>
      </c>
      <c r="I279" t="s">
        <v>250</v>
      </c>
      <c r="J279" s="1">
        <v>0</v>
      </c>
      <c r="K279" s="1">
        <v>436</v>
      </c>
      <c r="L279" s="1">
        <f t="shared" si="4"/>
        <v>101192.1</v>
      </c>
      <c r="M279" t="s">
        <v>227</v>
      </c>
    </row>
    <row r="280" spans="1:13" x14ac:dyDescent="0.3">
      <c r="A280">
        <v>266</v>
      </c>
      <c r="B280" s="2">
        <v>45566</v>
      </c>
      <c r="C280" s="2">
        <v>45566</v>
      </c>
      <c r="D280" t="s">
        <v>1798</v>
      </c>
      <c r="E280" t="s">
        <v>1799</v>
      </c>
      <c r="F280" s="1">
        <v>90</v>
      </c>
      <c r="G280" t="s">
        <v>249</v>
      </c>
      <c r="H280" s="1">
        <v>101102.1</v>
      </c>
      <c r="I280" t="s">
        <v>250</v>
      </c>
      <c r="J280" s="1">
        <v>90</v>
      </c>
      <c r="K280" s="1">
        <v>0</v>
      </c>
      <c r="L280" s="1">
        <f t="shared" si="4"/>
        <v>101102.1</v>
      </c>
      <c r="M280" t="s">
        <v>511</v>
      </c>
    </row>
    <row r="281" spans="1:13" x14ac:dyDescent="0.3">
      <c r="A281">
        <v>267</v>
      </c>
      <c r="B281" s="2">
        <v>45566</v>
      </c>
      <c r="C281" s="2">
        <v>45566</v>
      </c>
      <c r="D281" t="s">
        <v>1800</v>
      </c>
      <c r="E281" t="s">
        <v>1801</v>
      </c>
      <c r="F281" s="1">
        <v>165</v>
      </c>
      <c r="G281" t="s">
        <v>249</v>
      </c>
      <c r="H281" s="1">
        <v>100937.1</v>
      </c>
      <c r="I281" t="s">
        <v>250</v>
      </c>
      <c r="J281" s="1">
        <v>165</v>
      </c>
      <c r="K281" s="1">
        <v>0</v>
      </c>
      <c r="L281" s="1">
        <f t="shared" si="4"/>
        <v>100937.1</v>
      </c>
      <c r="M281" t="s">
        <v>511</v>
      </c>
    </row>
    <row r="282" spans="1:13" x14ac:dyDescent="0.3">
      <c r="A282">
        <v>268</v>
      </c>
      <c r="B282" s="2">
        <v>45566</v>
      </c>
      <c r="C282" s="2">
        <v>45566</v>
      </c>
      <c r="D282" t="s">
        <v>1802</v>
      </c>
      <c r="E282" t="s">
        <v>1803</v>
      </c>
      <c r="F282" s="1">
        <v>35</v>
      </c>
      <c r="G282" t="s">
        <v>249</v>
      </c>
      <c r="H282" s="1">
        <v>100902.1</v>
      </c>
      <c r="I282" t="s">
        <v>250</v>
      </c>
      <c r="J282" s="1">
        <v>35</v>
      </c>
      <c r="K282" s="1">
        <v>0</v>
      </c>
      <c r="L282" s="1">
        <f t="shared" si="4"/>
        <v>100902.1</v>
      </c>
      <c r="M282" t="s">
        <v>511</v>
      </c>
    </row>
    <row r="283" spans="1:13" x14ac:dyDescent="0.3">
      <c r="A283">
        <v>269</v>
      </c>
      <c r="B283" s="2">
        <v>45567</v>
      </c>
      <c r="C283" s="2">
        <v>45567</v>
      </c>
      <c r="D283" t="s">
        <v>1804</v>
      </c>
      <c r="E283" t="s">
        <v>1805</v>
      </c>
      <c r="F283" s="1">
        <v>20308.87</v>
      </c>
      <c r="G283" t="s">
        <v>249</v>
      </c>
      <c r="H283" s="1">
        <v>80593.23</v>
      </c>
      <c r="I283" t="s">
        <v>250</v>
      </c>
      <c r="J283" s="1">
        <v>20308.87</v>
      </c>
      <c r="K283" s="1">
        <v>0</v>
      </c>
      <c r="L283" s="1">
        <f t="shared" si="4"/>
        <v>80593.23</v>
      </c>
      <c r="M283" t="s">
        <v>511</v>
      </c>
    </row>
    <row r="284" spans="1:13" x14ac:dyDescent="0.3">
      <c r="A284">
        <v>270</v>
      </c>
      <c r="B284" s="2">
        <v>45567</v>
      </c>
      <c r="C284" s="2">
        <v>45567</v>
      </c>
      <c r="D284" t="s">
        <v>1806</v>
      </c>
      <c r="E284" t="s">
        <v>1807</v>
      </c>
      <c r="F284" s="1">
        <v>187.25</v>
      </c>
      <c r="G284" t="s">
        <v>249</v>
      </c>
      <c r="H284" s="1">
        <v>80405.98</v>
      </c>
      <c r="I284" t="s">
        <v>250</v>
      </c>
      <c r="J284" s="1">
        <v>187.25</v>
      </c>
      <c r="K284" s="1">
        <v>0</v>
      </c>
      <c r="L284" s="1">
        <f t="shared" si="4"/>
        <v>80405.98</v>
      </c>
      <c r="M284" t="s">
        <v>511</v>
      </c>
    </row>
    <row r="285" spans="1:13" x14ac:dyDescent="0.3">
      <c r="A285">
        <v>271</v>
      </c>
      <c r="B285" s="2">
        <v>45568</v>
      </c>
      <c r="C285" s="2">
        <v>45568</v>
      </c>
      <c r="D285" t="s">
        <v>1808</v>
      </c>
      <c r="E285" t="s">
        <v>1809</v>
      </c>
      <c r="F285" s="1">
        <v>65</v>
      </c>
      <c r="G285" t="s">
        <v>249</v>
      </c>
      <c r="H285" s="1">
        <v>80340.98</v>
      </c>
      <c r="I285" t="s">
        <v>250</v>
      </c>
      <c r="J285" s="1">
        <v>65</v>
      </c>
      <c r="K285" s="1">
        <v>0</v>
      </c>
      <c r="L285" s="1">
        <f t="shared" si="4"/>
        <v>80340.98</v>
      </c>
      <c r="M285" t="s">
        <v>511</v>
      </c>
    </row>
    <row r="286" spans="1:13" x14ac:dyDescent="0.3">
      <c r="A286">
        <v>272</v>
      </c>
      <c r="B286" s="2">
        <v>45569</v>
      </c>
      <c r="C286" s="2">
        <v>45569</v>
      </c>
      <c r="D286" t="s">
        <v>1810</v>
      </c>
      <c r="E286" t="s">
        <v>1811</v>
      </c>
      <c r="F286" s="1">
        <v>22000</v>
      </c>
      <c r="G286" t="s">
        <v>249</v>
      </c>
      <c r="H286" s="1">
        <v>58340.98</v>
      </c>
      <c r="I286" t="s">
        <v>250</v>
      </c>
      <c r="J286" s="1">
        <v>22000</v>
      </c>
      <c r="K286" s="1">
        <v>0</v>
      </c>
      <c r="L286" s="1">
        <f t="shared" si="4"/>
        <v>58340.98</v>
      </c>
      <c r="M286" t="s">
        <v>511</v>
      </c>
    </row>
    <row r="287" spans="1:13" x14ac:dyDescent="0.3">
      <c r="A287">
        <v>273</v>
      </c>
      <c r="B287" s="2">
        <v>45572</v>
      </c>
      <c r="C287" s="2">
        <v>45572</v>
      </c>
      <c r="D287" t="s">
        <v>1812</v>
      </c>
      <c r="E287" t="s">
        <v>1813</v>
      </c>
      <c r="F287" s="1">
        <v>220</v>
      </c>
      <c r="G287" t="s">
        <v>249</v>
      </c>
      <c r="H287" s="1">
        <v>58120.98</v>
      </c>
      <c r="I287" t="s">
        <v>250</v>
      </c>
      <c r="J287" s="1">
        <v>220</v>
      </c>
      <c r="K287" s="1">
        <v>0</v>
      </c>
      <c r="L287" s="1">
        <f t="shared" si="4"/>
        <v>58120.98</v>
      </c>
      <c r="M287" t="s">
        <v>511</v>
      </c>
    </row>
    <row r="288" spans="1:13" x14ac:dyDescent="0.3">
      <c r="A288">
        <v>274</v>
      </c>
      <c r="B288" s="2">
        <v>45572</v>
      </c>
      <c r="C288" s="2">
        <v>45572</v>
      </c>
      <c r="D288" t="s">
        <v>1814</v>
      </c>
      <c r="E288" t="s">
        <v>1815</v>
      </c>
      <c r="F288" s="1">
        <v>1</v>
      </c>
      <c r="G288" t="s">
        <v>250</v>
      </c>
      <c r="H288" s="1">
        <v>58121.98</v>
      </c>
      <c r="I288" t="s">
        <v>250</v>
      </c>
      <c r="J288" s="1">
        <v>0</v>
      </c>
      <c r="K288" s="1">
        <v>1</v>
      </c>
      <c r="L288" s="1">
        <f t="shared" si="4"/>
        <v>58121.98</v>
      </c>
      <c r="M288" t="s">
        <v>508</v>
      </c>
    </row>
    <row r="289" spans="1:13" x14ac:dyDescent="0.3">
      <c r="A289">
        <v>275</v>
      </c>
      <c r="B289" s="2">
        <v>45573</v>
      </c>
      <c r="C289" s="2">
        <v>45573</v>
      </c>
      <c r="D289" t="s">
        <v>1816</v>
      </c>
      <c r="E289" t="s">
        <v>1817</v>
      </c>
      <c r="F289" s="1">
        <v>100</v>
      </c>
      <c r="G289" t="s">
        <v>249</v>
      </c>
      <c r="H289" s="1">
        <v>58021.98</v>
      </c>
      <c r="I289" t="s">
        <v>250</v>
      </c>
      <c r="J289" s="1">
        <v>100</v>
      </c>
      <c r="K289" s="1">
        <v>0</v>
      </c>
      <c r="L289" s="1">
        <f t="shared" si="4"/>
        <v>58021.98</v>
      </c>
      <c r="M289" t="s">
        <v>511</v>
      </c>
    </row>
    <row r="290" spans="1:13" x14ac:dyDescent="0.3">
      <c r="A290">
        <v>276</v>
      </c>
      <c r="B290" s="2">
        <v>45573</v>
      </c>
      <c r="C290" s="2">
        <v>45573</v>
      </c>
      <c r="D290" t="s">
        <v>1818</v>
      </c>
      <c r="E290" t="s">
        <v>1819</v>
      </c>
      <c r="F290" s="1">
        <v>220</v>
      </c>
      <c r="G290" t="s">
        <v>249</v>
      </c>
      <c r="H290" s="1">
        <v>57801.98</v>
      </c>
      <c r="I290" t="s">
        <v>250</v>
      </c>
      <c r="J290" s="1">
        <v>220</v>
      </c>
      <c r="K290" s="1">
        <v>0</v>
      </c>
      <c r="L290" s="1">
        <f t="shared" si="4"/>
        <v>57801.98</v>
      </c>
      <c r="M290" t="s">
        <v>511</v>
      </c>
    </row>
    <row r="291" spans="1:13" x14ac:dyDescent="0.3">
      <c r="A291">
        <v>277</v>
      </c>
      <c r="B291" s="2">
        <v>45573</v>
      </c>
      <c r="C291" s="2">
        <v>45573</v>
      </c>
      <c r="D291" t="s">
        <v>1820</v>
      </c>
      <c r="E291" t="s">
        <v>1821</v>
      </c>
      <c r="F291" s="1">
        <v>35</v>
      </c>
      <c r="G291" t="s">
        <v>249</v>
      </c>
      <c r="H291" s="1">
        <v>57766.98</v>
      </c>
      <c r="I291" t="s">
        <v>250</v>
      </c>
      <c r="J291" s="1">
        <v>35</v>
      </c>
      <c r="K291" s="1">
        <v>0</v>
      </c>
      <c r="L291" s="1">
        <f t="shared" si="4"/>
        <v>57766.98</v>
      </c>
      <c r="M291" t="s">
        <v>511</v>
      </c>
    </row>
    <row r="292" spans="1:13" x14ac:dyDescent="0.3">
      <c r="A292">
        <v>278</v>
      </c>
      <c r="B292" s="2">
        <v>45574</v>
      </c>
      <c r="C292" s="2">
        <v>45574</v>
      </c>
      <c r="D292" t="s">
        <v>1822</v>
      </c>
      <c r="E292">
        <v>428308321927</v>
      </c>
      <c r="F292" s="1">
        <v>758.62</v>
      </c>
      <c r="G292" t="s">
        <v>249</v>
      </c>
      <c r="H292" s="1">
        <v>57008.36</v>
      </c>
      <c r="I292" t="s">
        <v>250</v>
      </c>
      <c r="J292" s="1">
        <v>758.62</v>
      </c>
      <c r="K292" s="1">
        <v>0</v>
      </c>
      <c r="L292" s="1">
        <f t="shared" si="4"/>
        <v>57008.36</v>
      </c>
      <c r="M292" t="s">
        <v>589</v>
      </c>
    </row>
    <row r="293" spans="1:13" x14ac:dyDescent="0.3">
      <c r="A293">
        <v>279</v>
      </c>
      <c r="B293" s="2">
        <v>45575</v>
      </c>
      <c r="C293" s="2">
        <v>45575</v>
      </c>
      <c r="D293" t="s">
        <v>1823</v>
      </c>
      <c r="E293" t="s">
        <v>1824</v>
      </c>
      <c r="F293" s="1">
        <v>338</v>
      </c>
      <c r="G293" t="s">
        <v>249</v>
      </c>
      <c r="H293" s="1">
        <v>56670.36</v>
      </c>
      <c r="I293" t="s">
        <v>250</v>
      </c>
      <c r="J293" s="1">
        <v>338</v>
      </c>
      <c r="K293" s="1">
        <v>0</v>
      </c>
      <c r="L293" s="1">
        <f t="shared" si="4"/>
        <v>56670.36</v>
      </c>
      <c r="M293" t="s">
        <v>511</v>
      </c>
    </row>
    <row r="294" spans="1:13" x14ac:dyDescent="0.3">
      <c r="A294">
        <v>280</v>
      </c>
      <c r="B294" s="2">
        <v>45576</v>
      </c>
      <c r="C294" s="2">
        <v>45576</v>
      </c>
      <c r="D294" t="s">
        <v>1825</v>
      </c>
      <c r="E294" t="s">
        <v>1826</v>
      </c>
      <c r="F294" s="1">
        <v>35</v>
      </c>
      <c r="G294" t="s">
        <v>249</v>
      </c>
      <c r="H294" s="1">
        <v>56635.360000000001</v>
      </c>
      <c r="I294" t="s">
        <v>250</v>
      </c>
      <c r="J294" s="1">
        <v>35</v>
      </c>
      <c r="K294" s="1">
        <v>0</v>
      </c>
      <c r="L294" s="1">
        <f t="shared" si="4"/>
        <v>56635.360000000001</v>
      </c>
      <c r="M294" t="s">
        <v>511</v>
      </c>
    </row>
    <row r="295" spans="1:13" x14ac:dyDescent="0.3">
      <c r="A295">
        <v>281</v>
      </c>
      <c r="B295" s="2">
        <v>45576</v>
      </c>
      <c r="C295" s="2">
        <v>45576</v>
      </c>
      <c r="D295" t="s">
        <v>1827</v>
      </c>
      <c r="E295" t="s">
        <v>1828</v>
      </c>
      <c r="F295" s="1">
        <v>25</v>
      </c>
      <c r="G295" t="s">
        <v>249</v>
      </c>
      <c r="H295" s="1">
        <v>56610.36</v>
      </c>
      <c r="I295" t="s">
        <v>250</v>
      </c>
      <c r="J295" s="1">
        <v>25</v>
      </c>
      <c r="K295" s="1">
        <v>0</v>
      </c>
      <c r="L295" s="1">
        <f t="shared" si="4"/>
        <v>56610.36</v>
      </c>
      <c r="M295" t="s">
        <v>511</v>
      </c>
    </row>
    <row r="296" spans="1:13" x14ac:dyDescent="0.3">
      <c r="A296">
        <v>282</v>
      </c>
      <c r="B296" s="2">
        <v>45576</v>
      </c>
      <c r="C296" s="2">
        <v>45576</v>
      </c>
      <c r="D296" t="s">
        <v>1829</v>
      </c>
      <c r="E296" t="s">
        <v>1830</v>
      </c>
      <c r="F296" s="1">
        <v>15</v>
      </c>
      <c r="G296" t="s">
        <v>249</v>
      </c>
      <c r="H296" s="1">
        <v>56595.360000000001</v>
      </c>
      <c r="I296" t="s">
        <v>250</v>
      </c>
      <c r="J296" s="1">
        <v>15</v>
      </c>
      <c r="K296" s="1">
        <v>0</v>
      </c>
      <c r="L296" s="1">
        <f t="shared" si="4"/>
        <v>56595.360000000001</v>
      </c>
      <c r="M296" t="s">
        <v>511</v>
      </c>
    </row>
    <row r="297" spans="1:13" x14ac:dyDescent="0.3">
      <c r="A297">
        <v>283</v>
      </c>
      <c r="B297" s="2">
        <v>45577</v>
      </c>
      <c r="C297" s="2">
        <v>45577</v>
      </c>
      <c r="D297" t="s">
        <v>1831</v>
      </c>
      <c r="E297" t="s">
        <v>1832</v>
      </c>
      <c r="F297" s="1">
        <v>167</v>
      </c>
      <c r="G297" t="s">
        <v>249</v>
      </c>
      <c r="H297" s="1">
        <v>56428.36</v>
      </c>
      <c r="I297" t="s">
        <v>250</v>
      </c>
      <c r="J297" s="1">
        <v>167</v>
      </c>
      <c r="K297" s="1">
        <v>0</v>
      </c>
      <c r="L297" s="1">
        <f t="shared" si="4"/>
        <v>56428.36</v>
      </c>
      <c r="M297" t="s">
        <v>511</v>
      </c>
    </row>
    <row r="298" spans="1:13" x14ac:dyDescent="0.3">
      <c r="A298">
        <v>284</v>
      </c>
      <c r="B298" s="2">
        <v>45577</v>
      </c>
      <c r="C298" s="2">
        <v>45577</v>
      </c>
      <c r="D298" t="s">
        <v>1833</v>
      </c>
      <c r="E298" t="s">
        <v>1834</v>
      </c>
      <c r="F298" s="1">
        <v>21</v>
      </c>
      <c r="G298" t="s">
        <v>249</v>
      </c>
      <c r="H298" s="1">
        <v>56407.360000000001</v>
      </c>
      <c r="I298" t="s">
        <v>250</v>
      </c>
      <c r="J298" s="1">
        <v>21</v>
      </c>
      <c r="K298" s="1">
        <v>0</v>
      </c>
      <c r="L298" s="1">
        <f t="shared" si="4"/>
        <v>56407.360000000001</v>
      </c>
      <c r="M298" t="s">
        <v>511</v>
      </c>
    </row>
    <row r="299" spans="1:13" x14ac:dyDescent="0.3">
      <c r="A299">
        <v>285</v>
      </c>
      <c r="B299" s="2">
        <v>45577</v>
      </c>
      <c r="C299" s="2">
        <v>45577</v>
      </c>
      <c r="D299" t="s">
        <v>1835</v>
      </c>
      <c r="E299" t="s">
        <v>1836</v>
      </c>
      <c r="F299" s="1">
        <v>21</v>
      </c>
      <c r="G299" t="s">
        <v>249</v>
      </c>
      <c r="H299" s="1">
        <v>56386.36</v>
      </c>
      <c r="I299" t="s">
        <v>250</v>
      </c>
      <c r="J299" s="1">
        <v>21</v>
      </c>
      <c r="K299" s="1">
        <v>0</v>
      </c>
      <c r="L299" s="1">
        <f t="shared" si="4"/>
        <v>56386.36</v>
      </c>
      <c r="M299" t="s">
        <v>511</v>
      </c>
    </row>
    <row r="300" spans="1:13" x14ac:dyDescent="0.3">
      <c r="A300">
        <v>286</v>
      </c>
      <c r="B300" s="2">
        <v>45578</v>
      </c>
      <c r="C300" s="2">
        <v>45578</v>
      </c>
      <c r="D300" t="s">
        <v>1837</v>
      </c>
      <c r="E300" t="s">
        <v>1838</v>
      </c>
      <c r="F300" s="1">
        <v>85</v>
      </c>
      <c r="G300" t="s">
        <v>249</v>
      </c>
      <c r="H300" s="1">
        <v>56301.36</v>
      </c>
      <c r="I300" t="s">
        <v>250</v>
      </c>
      <c r="J300" s="1">
        <v>85</v>
      </c>
      <c r="K300" s="1">
        <v>0</v>
      </c>
      <c r="L300" s="1">
        <f t="shared" si="4"/>
        <v>56301.36</v>
      </c>
      <c r="M300" t="s">
        <v>511</v>
      </c>
    </row>
    <row r="301" spans="1:13" x14ac:dyDescent="0.3">
      <c r="A301">
        <v>287</v>
      </c>
      <c r="B301" s="2">
        <v>45579</v>
      </c>
      <c r="C301" s="2">
        <v>45579</v>
      </c>
      <c r="D301" t="s">
        <v>1839</v>
      </c>
      <c r="E301" t="s">
        <v>1840</v>
      </c>
      <c r="F301" s="1">
        <v>65</v>
      </c>
      <c r="G301" t="s">
        <v>249</v>
      </c>
      <c r="H301" s="1">
        <v>56236.36</v>
      </c>
      <c r="I301" t="s">
        <v>250</v>
      </c>
      <c r="J301" s="1">
        <v>65</v>
      </c>
      <c r="K301" s="1">
        <v>0</v>
      </c>
      <c r="L301" s="1">
        <f t="shared" si="4"/>
        <v>56236.36</v>
      </c>
      <c r="M301" t="s">
        <v>511</v>
      </c>
    </row>
    <row r="302" spans="1:13" x14ac:dyDescent="0.3">
      <c r="A302">
        <v>288</v>
      </c>
      <c r="B302" s="2">
        <v>45579</v>
      </c>
      <c r="C302" s="2">
        <v>45579</v>
      </c>
      <c r="D302" t="s">
        <v>1841</v>
      </c>
      <c r="E302" t="s">
        <v>1842</v>
      </c>
      <c r="F302" s="1">
        <v>65</v>
      </c>
      <c r="G302" t="s">
        <v>249</v>
      </c>
      <c r="H302" s="1">
        <v>56171.360000000001</v>
      </c>
      <c r="I302" t="s">
        <v>250</v>
      </c>
      <c r="J302" s="1">
        <v>65</v>
      </c>
      <c r="K302" s="1">
        <v>0</v>
      </c>
      <c r="L302" s="1">
        <f t="shared" si="4"/>
        <v>56171.360000000001</v>
      </c>
      <c r="M302" t="s">
        <v>511</v>
      </c>
    </row>
    <row r="303" spans="1:13" x14ac:dyDescent="0.3">
      <c r="A303">
        <v>289</v>
      </c>
      <c r="B303" s="2">
        <v>45579</v>
      </c>
      <c r="C303" s="2">
        <v>45579</v>
      </c>
      <c r="D303" t="s">
        <v>1843</v>
      </c>
      <c r="E303" t="s">
        <v>1844</v>
      </c>
      <c r="F303" s="1">
        <v>60</v>
      </c>
      <c r="G303" t="s">
        <v>249</v>
      </c>
      <c r="H303" s="1">
        <v>56111.360000000001</v>
      </c>
      <c r="I303" t="s">
        <v>250</v>
      </c>
      <c r="J303" s="1">
        <v>60</v>
      </c>
      <c r="K303" s="1">
        <v>0</v>
      </c>
      <c r="L303" s="1">
        <f t="shared" si="4"/>
        <v>56111.360000000001</v>
      </c>
      <c r="M303" t="s">
        <v>511</v>
      </c>
    </row>
    <row r="304" spans="1:13" x14ac:dyDescent="0.3">
      <c r="A304">
        <v>290</v>
      </c>
      <c r="B304" s="2">
        <v>45580</v>
      </c>
      <c r="C304" s="2">
        <v>45580</v>
      </c>
      <c r="D304" t="s">
        <v>1845</v>
      </c>
      <c r="E304" t="s">
        <v>1846</v>
      </c>
      <c r="F304" s="1">
        <v>50</v>
      </c>
      <c r="G304" t="s">
        <v>249</v>
      </c>
      <c r="H304" s="1">
        <v>56061.36</v>
      </c>
      <c r="I304" t="s">
        <v>250</v>
      </c>
      <c r="J304" s="1">
        <v>50</v>
      </c>
      <c r="K304" s="1">
        <v>0</v>
      </c>
      <c r="L304" s="1">
        <f t="shared" si="4"/>
        <v>56061.36</v>
      </c>
      <c r="M304" t="s">
        <v>511</v>
      </c>
    </row>
    <row r="305" spans="1:13" x14ac:dyDescent="0.3">
      <c r="A305">
        <v>291</v>
      </c>
      <c r="B305" s="2">
        <v>45580</v>
      </c>
      <c r="C305" s="2">
        <v>45580</v>
      </c>
      <c r="D305" t="s">
        <v>1847</v>
      </c>
      <c r="E305" t="s">
        <v>1848</v>
      </c>
      <c r="F305" s="1">
        <v>60</v>
      </c>
      <c r="G305" t="s">
        <v>249</v>
      </c>
      <c r="H305" s="1">
        <v>56001.36</v>
      </c>
      <c r="I305" t="s">
        <v>250</v>
      </c>
      <c r="J305" s="1">
        <v>60</v>
      </c>
      <c r="K305" s="1">
        <v>0</v>
      </c>
      <c r="L305" s="1">
        <f t="shared" si="4"/>
        <v>56001.36</v>
      </c>
      <c r="M305" t="s">
        <v>511</v>
      </c>
    </row>
    <row r="306" spans="1:13" x14ac:dyDescent="0.3">
      <c r="A306">
        <v>292</v>
      </c>
      <c r="B306" s="2">
        <v>45581</v>
      </c>
      <c r="C306" s="2">
        <v>45581</v>
      </c>
      <c r="D306" t="s">
        <v>1849</v>
      </c>
      <c r="E306" t="s">
        <v>1850</v>
      </c>
      <c r="F306" s="1">
        <v>20</v>
      </c>
      <c r="G306" t="s">
        <v>249</v>
      </c>
      <c r="H306" s="1">
        <v>55981.36</v>
      </c>
      <c r="I306" t="s">
        <v>250</v>
      </c>
      <c r="J306" s="1">
        <v>20</v>
      </c>
      <c r="K306" s="1">
        <v>0</v>
      </c>
      <c r="L306" s="1">
        <f t="shared" si="4"/>
        <v>55981.36</v>
      </c>
      <c r="M306" t="s">
        <v>511</v>
      </c>
    </row>
    <row r="307" spans="1:13" x14ac:dyDescent="0.3">
      <c r="A307">
        <v>293</v>
      </c>
      <c r="B307" s="2">
        <v>45581</v>
      </c>
      <c r="C307" s="2">
        <v>45581</v>
      </c>
      <c r="D307" t="s">
        <v>1851</v>
      </c>
      <c r="E307" t="s">
        <v>1852</v>
      </c>
      <c r="F307" s="1">
        <v>120</v>
      </c>
      <c r="G307" t="s">
        <v>249</v>
      </c>
      <c r="H307" s="1">
        <v>55861.36</v>
      </c>
      <c r="I307" t="s">
        <v>250</v>
      </c>
      <c r="J307" s="1">
        <v>120</v>
      </c>
      <c r="K307" s="1">
        <v>0</v>
      </c>
      <c r="L307" s="1">
        <f t="shared" si="4"/>
        <v>55861.36</v>
      </c>
      <c r="M307" t="s">
        <v>511</v>
      </c>
    </row>
    <row r="308" spans="1:13" x14ac:dyDescent="0.3">
      <c r="A308">
        <v>294</v>
      </c>
      <c r="B308" s="2">
        <v>45582</v>
      </c>
      <c r="C308" s="2">
        <v>45582</v>
      </c>
      <c r="D308" t="s">
        <v>1853</v>
      </c>
      <c r="E308" t="s">
        <v>1854</v>
      </c>
      <c r="F308" s="1">
        <v>200</v>
      </c>
      <c r="G308" t="s">
        <v>249</v>
      </c>
      <c r="H308" s="1">
        <v>55661.36</v>
      </c>
      <c r="I308" t="s">
        <v>250</v>
      </c>
      <c r="J308" s="1">
        <v>200</v>
      </c>
      <c r="K308" s="1">
        <v>0</v>
      </c>
      <c r="L308" s="1">
        <f t="shared" si="4"/>
        <v>55661.36</v>
      </c>
      <c r="M308" t="s">
        <v>511</v>
      </c>
    </row>
    <row r="309" spans="1:13" x14ac:dyDescent="0.3">
      <c r="A309">
        <v>295</v>
      </c>
      <c r="B309" s="2">
        <v>45582</v>
      </c>
      <c r="C309" s="2">
        <v>45582</v>
      </c>
      <c r="D309" t="s">
        <v>1855</v>
      </c>
      <c r="E309" t="s">
        <v>1856</v>
      </c>
      <c r="F309" s="1">
        <v>35</v>
      </c>
      <c r="G309" t="s">
        <v>249</v>
      </c>
      <c r="H309" s="1">
        <v>55626.36</v>
      </c>
      <c r="I309" t="s">
        <v>250</v>
      </c>
      <c r="J309" s="1">
        <v>35</v>
      </c>
      <c r="K309" s="1">
        <v>0</v>
      </c>
      <c r="L309" s="1">
        <f t="shared" si="4"/>
        <v>55626.36</v>
      </c>
      <c r="M309" t="s">
        <v>511</v>
      </c>
    </row>
    <row r="310" spans="1:13" x14ac:dyDescent="0.3">
      <c r="A310">
        <v>296</v>
      </c>
      <c r="B310" s="2">
        <v>45582</v>
      </c>
      <c r="C310" s="2">
        <v>45582</v>
      </c>
      <c r="D310" t="s">
        <v>1857</v>
      </c>
      <c r="E310" t="s">
        <v>1858</v>
      </c>
      <c r="F310" s="1">
        <v>3868.1</v>
      </c>
      <c r="G310" t="s">
        <v>249</v>
      </c>
      <c r="H310" s="1">
        <v>51758.26</v>
      </c>
      <c r="I310" t="s">
        <v>250</v>
      </c>
      <c r="J310" s="1">
        <v>3868.1</v>
      </c>
      <c r="K310" s="1">
        <v>0</v>
      </c>
      <c r="L310" s="1">
        <f t="shared" si="4"/>
        <v>51758.26</v>
      </c>
      <c r="M310" t="s">
        <v>589</v>
      </c>
    </row>
    <row r="311" spans="1:13" x14ac:dyDescent="0.3">
      <c r="A311">
        <v>297</v>
      </c>
      <c r="B311" s="2">
        <v>45583</v>
      </c>
      <c r="C311" s="2">
        <v>45583</v>
      </c>
      <c r="D311" t="s">
        <v>1859</v>
      </c>
      <c r="E311" t="s">
        <v>1860</v>
      </c>
      <c r="F311" s="1">
        <v>40</v>
      </c>
      <c r="G311" t="s">
        <v>249</v>
      </c>
      <c r="H311" s="1">
        <v>51718.26</v>
      </c>
      <c r="I311" t="s">
        <v>250</v>
      </c>
      <c r="J311" s="1">
        <v>40</v>
      </c>
      <c r="K311" s="1">
        <v>0</v>
      </c>
      <c r="L311" s="1">
        <f t="shared" si="4"/>
        <v>51718.26</v>
      </c>
      <c r="M311" t="s">
        <v>511</v>
      </c>
    </row>
    <row r="312" spans="1:13" x14ac:dyDescent="0.3">
      <c r="A312">
        <v>298</v>
      </c>
      <c r="B312" s="2">
        <v>45583</v>
      </c>
      <c r="C312" s="2">
        <v>45583</v>
      </c>
      <c r="D312" t="s">
        <v>1861</v>
      </c>
      <c r="E312" t="s">
        <v>1862</v>
      </c>
      <c r="F312" s="1">
        <v>30</v>
      </c>
      <c r="G312" t="s">
        <v>249</v>
      </c>
      <c r="H312" s="1">
        <v>51688.26</v>
      </c>
      <c r="I312" t="s">
        <v>250</v>
      </c>
      <c r="J312" s="1">
        <v>30</v>
      </c>
      <c r="K312" s="1">
        <v>0</v>
      </c>
      <c r="L312" s="1">
        <f t="shared" si="4"/>
        <v>51688.26</v>
      </c>
      <c r="M312" t="s">
        <v>511</v>
      </c>
    </row>
    <row r="313" spans="1:13" x14ac:dyDescent="0.3">
      <c r="A313">
        <v>299</v>
      </c>
      <c r="B313" s="2">
        <v>45583</v>
      </c>
      <c r="C313" s="2">
        <v>45583</v>
      </c>
      <c r="D313" t="s">
        <v>1863</v>
      </c>
      <c r="E313" t="s">
        <v>1864</v>
      </c>
      <c r="F313" s="1">
        <v>20</v>
      </c>
      <c r="G313" t="s">
        <v>249</v>
      </c>
      <c r="H313" s="1">
        <v>51668.26</v>
      </c>
      <c r="I313" t="s">
        <v>250</v>
      </c>
      <c r="J313" s="1">
        <v>20</v>
      </c>
      <c r="K313" s="1">
        <v>0</v>
      </c>
      <c r="L313" s="1">
        <f t="shared" si="4"/>
        <v>51668.26</v>
      </c>
      <c r="M313" t="s">
        <v>511</v>
      </c>
    </row>
    <row r="314" spans="1:13" x14ac:dyDescent="0.3">
      <c r="A314">
        <v>300</v>
      </c>
      <c r="B314" s="2">
        <v>45584</v>
      </c>
      <c r="C314" s="2">
        <v>45584</v>
      </c>
      <c r="D314" t="s">
        <v>1865</v>
      </c>
      <c r="E314" t="s">
        <v>1866</v>
      </c>
      <c r="F314" s="1">
        <v>30</v>
      </c>
      <c r="G314" t="s">
        <v>249</v>
      </c>
      <c r="H314" s="1">
        <v>51638.26</v>
      </c>
      <c r="I314" t="s">
        <v>250</v>
      </c>
      <c r="J314" s="1">
        <v>30</v>
      </c>
      <c r="K314" s="1">
        <v>0</v>
      </c>
      <c r="L314" s="1">
        <f t="shared" si="4"/>
        <v>51638.26</v>
      </c>
      <c r="M314" t="s">
        <v>511</v>
      </c>
    </row>
    <row r="315" spans="1:13" x14ac:dyDescent="0.3">
      <c r="A315">
        <v>301</v>
      </c>
      <c r="B315" s="2">
        <v>45584</v>
      </c>
      <c r="C315" s="2">
        <v>45584</v>
      </c>
      <c r="D315" t="s">
        <v>1867</v>
      </c>
      <c r="E315" t="s">
        <v>1868</v>
      </c>
      <c r="F315" s="1">
        <v>30</v>
      </c>
      <c r="G315" t="s">
        <v>249</v>
      </c>
      <c r="H315" s="1">
        <v>51608.26</v>
      </c>
      <c r="I315" t="s">
        <v>250</v>
      </c>
      <c r="J315" s="1">
        <v>30</v>
      </c>
      <c r="K315" s="1">
        <v>0</v>
      </c>
      <c r="L315" s="1">
        <f t="shared" si="4"/>
        <v>51608.26</v>
      </c>
      <c r="M315" t="s">
        <v>511</v>
      </c>
    </row>
    <row r="316" spans="1:13" x14ac:dyDescent="0.3">
      <c r="A316">
        <v>302</v>
      </c>
      <c r="B316" s="2">
        <v>45585</v>
      </c>
      <c r="C316" s="2">
        <v>45585</v>
      </c>
      <c r="D316" t="s">
        <v>1869</v>
      </c>
      <c r="E316" t="s">
        <v>1870</v>
      </c>
      <c r="F316" s="1">
        <v>35</v>
      </c>
      <c r="G316" t="s">
        <v>249</v>
      </c>
      <c r="H316" s="1">
        <v>51573.26</v>
      </c>
      <c r="I316" t="s">
        <v>250</v>
      </c>
      <c r="J316" s="1">
        <v>35</v>
      </c>
      <c r="K316" s="1">
        <v>0</v>
      </c>
      <c r="L316" s="1">
        <f t="shared" si="4"/>
        <v>51573.26</v>
      </c>
      <c r="M316" t="s">
        <v>511</v>
      </c>
    </row>
    <row r="317" spans="1:13" x14ac:dyDescent="0.3">
      <c r="A317">
        <v>303</v>
      </c>
      <c r="B317" s="2">
        <v>45585</v>
      </c>
      <c r="C317" s="2">
        <v>45585</v>
      </c>
      <c r="D317" t="s">
        <v>1871</v>
      </c>
      <c r="E317" t="s">
        <v>1872</v>
      </c>
      <c r="F317" s="1">
        <v>50</v>
      </c>
      <c r="G317" t="s">
        <v>249</v>
      </c>
      <c r="H317" s="1">
        <v>51523.26</v>
      </c>
      <c r="I317" t="s">
        <v>250</v>
      </c>
      <c r="J317" s="1">
        <v>50</v>
      </c>
      <c r="K317" s="1">
        <v>0</v>
      </c>
      <c r="L317" s="1">
        <f t="shared" si="4"/>
        <v>51523.26</v>
      </c>
      <c r="M317" t="s">
        <v>511</v>
      </c>
    </row>
    <row r="318" spans="1:13" x14ac:dyDescent="0.3">
      <c r="A318">
        <v>304</v>
      </c>
      <c r="B318" s="2">
        <v>45585</v>
      </c>
      <c r="C318" s="2">
        <v>45585</v>
      </c>
      <c r="D318" t="s">
        <v>1873</v>
      </c>
      <c r="E318" t="s">
        <v>1874</v>
      </c>
      <c r="F318" s="1">
        <v>20</v>
      </c>
      <c r="G318" t="s">
        <v>249</v>
      </c>
      <c r="H318" s="1">
        <v>51503.26</v>
      </c>
      <c r="I318" t="s">
        <v>250</v>
      </c>
      <c r="J318" s="1">
        <v>20</v>
      </c>
      <c r="K318" s="1">
        <v>0</v>
      </c>
      <c r="L318" s="1">
        <f t="shared" si="4"/>
        <v>51503.26</v>
      </c>
      <c r="M318" t="s">
        <v>511</v>
      </c>
    </row>
    <row r="319" spans="1:13" x14ac:dyDescent="0.3">
      <c r="A319">
        <v>305</v>
      </c>
      <c r="B319" s="2">
        <v>45585</v>
      </c>
      <c r="C319" s="2">
        <v>45585</v>
      </c>
      <c r="D319" t="s">
        <v>1875</v>
      </c>
      <c r="E319" t="s">
        <v>1876</v>
      </c>
      <c r="F319" s="1">
        <v>20</v>
      </c>
      <c r="G319" t="s">
        <v>249</v>
      </c>
      <c r="H319" s="1">
        <v>51483.26</v>
      </c>
      <c r="I319" t="s">
        <v>250</v>
      </c>
      <c r="J319" s="1">
        <v>20</v>
      </c>
      <c r="K319" s="1">
        <v>0</v>
      </c>
      <c r="L319" s="1">
        <f t="shared" si="4"/>
        <v>51483.26</v>
      </c>
      <c r="M319" t="s">
        <v>511</v>
      </c>
    </row>
    <row r="320" spans="1:13" x14ac:dyDescent="0.3">
      <c r="A320">
        <v>306</v>
      </c>
      <c r="B320" s="2">
        <v>45586</v>
      </c>
      <c r="C320" s="2">
        <v>45586</v>
      </c>
      <c r="D320" t="s">
        <v>1877</v>
      </c>
      <c r="E320" t="s">
        <v>1878</v>
      </c>
      <c r="F320" s="1">
        <v>60</v>
      </c>
      <c r="G320" t="s">
        <v>249</v>
      </c>
      <c r="H320" s="1">
        <v>51423.26</v>
      </c>
      <c r="I320" t="s">
        <v>250</v>
      </c>
      <c r="J320" s="1">
        <v>60</v>
      </c>
      <c r="K320" s="1">
        <v>0</v>
      </c>
      <c r="L320" s="1">
        <f t="shared" si="4"/>
        <v>51423.26</v>
      </c>
      <c r="M320" t="s">
        <v>511</v>
      </c>
    </row>
    <row r="321" spans="1:13" x14ac:dyDescent="0.3">
      <c r="A321">
        <v>307</v>
      </c>
      <c r="B321" s="2">
        <v>45586</v>
      </c>
      <c r="C321" s="2">
        <v>45586</v>
      </c>
      <c r="D321" t="s">
        <v>1879</v>
      </c>
      <c r="E321" t="s">
        <v>1880</v>
      </c>
      <c r="F321" s="1">
        <v>20</v>
      </c>
      <c r="G321" t="s">
        <v>249</v>
      </c>
      <c r="H321" s="1">
        <v>51403.26</v>
      </c>
      <c r="I321" t="s">
        <v>250</v>
      </c>
      <c r="J321" s="1">
        <v>20</v>
      </c>
      <c r="K321" s="1">
        <v>0</v>
      </c>
      <c r="L321" s="1">
        <f t="shared" si="4"/>
        <v>51403.26</v>
      </c>
      <c r="M321" t="s">
        <v>511</v>
      </c>
    </row>
    <row r="322" spans="1:13" x14ac:dyDescent="0.3">
      <c r="A322">
        <v>308</v>
      </c>
      <c r="B322" s="2">
        <v>45587</v>
      </c>
      <c r="C322" s="2">
        <v>45587</v>
      </c>
      <c r="D322" t="s">
        <v>1881</v>
      </c>
      <c r="E322" t="s">
        <v>1882</v>
      </c>
      <c r="F322" s="1">
        <v>50</v>
      </c>
      <c r="G322" t="s">
        <v>249</v>
      </c>
      <c r="H322" s="1">
        <v>51353.26</v>
      </c>
      <c r="I322" t="s">
        <v>250</v>
      </c>
      <c r="J322" s="1">
        <v>50</v>
      </c>
      <c r="K322" s="1">
        <v>0</v>
      </c>
      <c r="L322" s="1">
        <f t="shared" ref="L322:L385" si="5">H322</f>
        <v>51353.26</v>
      </c>
      <c r="M322" t="s">
        <v>511</v>
      </c>
    </row>
    <row r="323" spans="1:13" x14ac:dyDescent="0.3">
      <c r="A323">
        <v>309</v>
      </c>
      <c r="B323" s="2">
        <v>45587</v>
      </c>
      <c r="C323" s="2">
        <v>45587</v>
      </c>
      <c r="D323" t="s">
        <v>1883</v>
      </c>
      <c r="E323" t="s">
        <v>1884</v>
      </c>
      <c r="F323" s="1">
        <v>75</v>
      </c>
      <c r="G323" t="s">
        <v>249</v>
      </c>
      <c r="H323" s="1">
        <v>51278.26</v>
      </c>
      <c r="I323" t="s">
        <v>250</v>
      </c>
      <c r="J323" s="1">
        <v>75</v>
      </c>
      <c r="K323" s="1">
        <v>0</v>
      </c>
      <c r="L323" s="1">
        <f t="shared" si="5"/>
        <v>51278.26</v>
      </c>
      <c r="M323" t="s">
        <v>511</v>
      </c>
    </row>
    <row r="324" spans="1:13" x14ac:dyDescent="0.3">
      <c r="A324">
        <v>310</v>
      </c>
      <c r="B324" s="2">
        <v>45587</v>
      </c>
      <c r="C324" s="2">
        <v>45587</v>
      </c>
      <c r="D324" t="s">
        <v>1885</v>
      </c>
      <c r="E324" t="s">
        <v>1886</v>
      </c>
      <c r="F324" s="1">
        <v>20</v>
      </c>
      <c r="G324" t="s">
        <v>249</v>
      </c>
      <c r="H324" s="1">
        <v>51258.26</v>
      </c>
      <c r="I324" t="s">
        <v>250</v>
      </c>
      <c r="J324" s="1">
        <v>20</v>
      </c>
      <c r="K324" s="1">
        <v>0</v>
      </c>
      <c r="L324" s="1">
        <f t="shared" si="5"/>
        <v>51258.26</v>
      </c>
      <c r="M324" t="s">
        <v>511</v>
      </c>
    </row>
    <row r="325" spans="1:13" x14ac:dyDescent="0.3">
      <c r="A325">
        <v>311</v>
      </c>
      <c r="B325" s="2">
        <v>45588</v>
      </c>
      <c r="C325" s="2">
        <v>45588</v>
      </c>
      <c r="D325" t="s">
        <v>1887</v>
      </c>
      <c r="E325" t="s">
        <v>1888</v>
      </c>
      <c r="F325" s="1">
        <v>75</v>
      </c>
      <c r="G325" t="s">
        <v>249</v>
      </c>
      <c r="H325" s="1">
        <v>51183.26</v>
      </c>
      <c r="I325" t="s">
        <v>250</v>
      </c>
      <c r="J325" s="1">
        <v>75</v>
      </c>
      <c r="K325" s="1">
        <v>0</v>
      </c>
      <c r="L325" s="1">
        <f t="shared" si="5"/>
        <v>51183.26</v>
      </c>
      <c r="M325" t="s">
        <v>511</v>
      </c>
    </row>
    <row r="326" spans="1:13" x14ac:dyDescent="0.3">
      <c r="A326">
        <v>312</v>
      </c>
      <c r="B326" s="2">
        <v>45588</v>
      </c>
      <c r="C326" s="2">
        <v>45588</v>
      </c>
      <c r="D326" t="s">
        <v>1889</v>
      </c>
      <c r="E326" t="s">
        <v>1890</v>
      </c>
      <c r="F326" s="1">
        <v>70</v>
      </c>
      <c r="G326" t="s">
        <v>249</v>
      </c>
      <c r="H326" s="1">
        <v>51113.26</v>
      </c>
      <c r="I326" t="s">
        <v>250</v>
      </c>
      <c r="J326" s="1">
        <v>70</v>
      </c>
      <c r="K326" s="1">
        <v>0</v>
      </c>
      <c r="L326" s="1">
        <f t="shared" si="5"/>
        <v>51113.26</v>
      </c>
      <c r="M326" t="s">
        <v>511</v>
      </c>
    </row>
    <row r="327" spans="1:13" x14ac:dyDescent="0.3">
      <c r="A327">
        <v>313</v>
      </c>
      <c r="B327" s="2">
        <v>45588</v>
      </c>
      <c r="C327" s="2">
        <v>45588</v>
      </c>
      <c r="D327" t="s">
        <v>1891</v>
      </c>
      <c r="E327" t="s">
        <v>1892</v>
      </c>
      <c r="F327" s="1">
        <v>70</v>
      </c>
      <c r="G327" t="s">
        <v>250</v>
      </c>
      <c r="H327" s="1">
        <v>51183.26</v>
      </c>
      <c r="I327" t="s">
        <v>250</v>
      </c>
      <c r="J327" s="1">
        <v>0</v>
      </c>
      <c r="K327" s="1">
        <v>70</v>
      </c>
      <c r="L327" s="1">
        <f t="shared" si="5"/>
        <v>51183.26</v>
      </c>
      <c r="M327" t="s">
        <v>511</v>
      </c>
    </row>
    <row r="328" spans="1:13" x14ac:dyDescent="0.3">
      <c r="A328">
        <v>314</v>
      </c>
      <c r="B328" s="2">
        <v>45589</v>
      </c>
      <c r="C328" s="2">
        <v>45589</v>
      </c>
      <c r="D328" t="s">
        <v>1893</v>
      </c>
      <c r="E328" t="s">
        <v>1894</v>
      </c>
      <c r="F328" s="1">
        <v>75</v>
      </c>
      <c r="G328" t="s">
        <v>249</v>
      </c>
      <c r="H328" s="1">
        <v>51108.26</v>
      </c>
      <c r="I328" t="s">
        <v>250</v>
      </c>
      <c r="J328" s="1">
        <v>75</v>
      </c>
      <c r="K328" s="1">
        <v>0</v>
      </c>
      <c r="L328" s="1">
        <f t="shared" si="5"/>
        <v>51108.26</v>
      </c>
      <c r="M328" t="s">
        <v>511</v>
      </c>
    </row>
    <row r="329" spans="1:13" x14ac:dyDescent="0.3">
      <c r="A329">
        <v>315</v>
      </c>
      <c r="B329" s="2">
        <v>45589</v>
      </c>
      <c r="C329" s="2">
        <v>45589</v>
      </c>
      <c r="D329" t="s">
        <v>1895</v>
      </c>
      <c r="E329" t="s">
        <v>1896</v>
      </c>
      <c r="F329" s="1">
        <v>212.09</v>
      </c>
      <c r="G329" t="s">
        <v>249</v>
      </c>
      <c r="H329" s="1">
        <v>50896.17</v>
      </c>
      <c r="I329" t="s">
        <v>250</v>
      </c>
      <c r="J329" s="1">
        <v>212.09</v>
      </c>
      <c r="K329" s="1">
        <v>0</v>
      </c>
      <c r="L329" s="1">
        <f t="shared" si="5"/>
        <v>50896.17</v>
      </c>
      <c r="M329" t="s">
        <v>511</v>
      </c>
    </row>
    <row r="330" spans="1:13" x14ac:dyDescent="0.3">
      <c r="A330">
        <v>316</v>
      </c>
      <c r="B330" s="2">
        <v>45589</v>
      </c>
      <c r="C330" s="2">
        <v>45589</v>
      </c>
      <c r="D330" t="s">
        <v>1897</v>
      </c>
      <c r="E330" t="s">
        <v>1898</v>
      </c>
      <c r="F330" s="1">
        <v>20</v>
      </c>
      <c r="G330" t="s">
        <v>249</v>
      </c>
      <c r="H330" s="1">
        <v>50876.17</v>
      </c>
      <c r="I330" t="s">
        <v>250</v>
      </c>
      <c r="J330" s="1">
        <v>20</v>
      </c>
      <c r="K330" s="1">
        <v>0</v>
      </c>
      <c r="L330" s="1">
        <f t="shared" si="5"/>
        <v>50876.17</v>
      </c>
      <c r="M330" t="s">
        <v>511</v>
      </c>
    </row>
    <row r="331" spans="1:13" x14ac:dyDescent="0.3">
      <c r="A331">
        <v>317</v>
      </c>
      <c r="B331" s="2">
        <v>45590</v>
      </c>
      <c r="C331" s="2">
        <v>45590</v>
      </c>
      <c r="D331" t="s">
        <v>1899</v>
      </c>
      <c r="E331" t="s">
        <v>1900</v>
      </c>
      <c r="F331" s="1">
        <v>75</v>
      </c>
      <c r="G331" t="s">
        <v>249</v>
      </c>
      <c r="H331" s="1">
        <v>50801.17</v>
      </c>
      <c r="I331" t="s">
        <v>250</v>
      </c>
      <c r="J331" s="1">
        <v>75</v>
      </c>
      <c r="K331" s="1">
        <v>0</v>
      </c>
      <c r="L331" s="1">
        <f t="shared" si="5"/>
        <v>50801.17</v>
      </c>
      <c r="M331" t="s">
        <v>511</v>
      </c>
    </row>
    <row r="332" spans="1:13" x14ac:dyDescent="0.3">
      <c r="A332">
        <v>318</v>
      </c>
      <c r="B332" s="2">
        <v>45590</v>
      </c>
      <c r="C332" s="2">
        <v>45590</v>
      </c>
      <c r="D332" t="s">
        <v>1901</v>
      </c>
      <c r="E332" t="s">
        <v>1902</v>
      </c>
      <c r="F332" s="1">
        <v>60</v>
      </c>
      <c r="G332" t="s">
        <v>249</v>
      </c>
      <c r="H332" s="1">
        <v>50741.17</v>
      </c>
      <c r="I332" t="s">
        <v>250</v>
      </c>
      <c r="J332" s="1">
        <v>60</v>
      </c>
      <c r="K332" s="1">
        <v>0</v>
      </c>
      <c r="L332" s="1">
        <f t="shared" si="5"/>
        <v>50741.17</v>
      </c>
      <c r="M332" t="s">
        <v>511</v>
      </c>
    </row>
    <row r="333" spans="1:13" x14ac:dyDescent="0.3">
      <c r="A333">
        <v>319</v>
      </c>
      <c r="B333" s="2">
        <v>45590</v>
      </c>
      <c r="C333" s="2">
        <v>45590</v>
      </c>
      <c r="D333" t="s">
        <v>1903</v>
      </c>
      <c r="E333" t="s">
        <v>1904</v>
      </c>
      <c r="F333" s="1">
        <v>20</v>
      </c>
      <c r="G333" t="s">
        <v>249</v>
      </c>
      <c r="H333" s="1">
        <v>50721.17</v>
      </c>
      <c r="I333" t="s">
        <v>250</v>
      </c>
      <c r="J333" s="1">
        <v>20</v>
      </c>
      <c r="K333" s="1">
        <v>0</v>
      </c>
      <c r="L333" s="1">
        <f t="shared" si="5"/>
        <v>50721.17</v>
      </c>
      <c r="M333" t="s">
        <v>511</v>
      </c>
    </row>
    <row r="334" spans="1:13" x14ac:dyDescent="0.3">
      <c r="A334">
        <v>320</v>
      </c>
      <c r="B334" s="2">
        <v>45591</v>
      </c>
      <c r="C334" s="2">
        <v>45591</v>
      </c>
      <c r="D334" t="s">
        <v>1905</v>
      </c>
      <c r="E334" t="s">
        <v>1906</v>
      </c>
      <c r="F334" s="1">
        <v>10000</v>
      </c>
      <c r="G334" t="s">
        <v>249</v>
      </c>
      <c r="H334" s="1">
        <v>40721.17</v>
      </c>
      <c r="I334" t="s">
        <v>250</v>
      </c>
      <c r="J334" s="1">
        <v>10000</v>
      </c>
      <c r="K334" s="1">
        <v>0</v>
      </c>
      <c r="L334" s="1">
        <f t="shared" si="5"/>
        <v>40721.17</v>
      </c>
      <c r="M334" t="s">
        <v>511</v>
      </c>
    </row>
    <row r="335" spans="1:13" x14ac:dyDescent="0.3">
      <c r="A335">
        <v>321</v>
      </c>
      <c r="B335" s="2">
        <v>45593</v>
      </c>
      <c r="C335" s="2">
        <v>45593</v>
      </c>
      <c r="D335" t="s">
        <v>1907</v>
      </c>
      <c r="E335" t="s">
        <v>1908</v>
      </c>
      <c r="F335" s="1">
        <v>60</v>
      </c>
      <c r="G335" t="s">
        <v>249</v>
      </c>
      <c r="H335" s="1">
        <v>40661.17</v>
      </c>
      <c r="I335" t="s">
        <v>250</v>
      </c>
      <c r="J335" s="1">
        <v>60</v>
      </c>
      <c r="K335" s="1">
        <v>0</v>
      </c>
      <c r="L335" s="1">
        <f t="shared" si="5"/>
        <v>40661.17</v>
      </c>
      <c r="M335" t="s">
        <v>511</v>
      </c>
    </row>
    <row r="336" spans="1:13" x14ac:dyDescent="0.3">
      <c r="A336">
        <v>322</v>
      </c>
      <c r="B336" s="2">
        <v>45593</v>
      </c>
      <c r="C336" s="2">
        <v>45593</v>
      </c>
      <c r="D336" t="s">
        <v>1909</v>
      </c>
      <c r="E336" t="s">
        <v>1910</v>
      </c>
      <c r="F336" s="1">
        <v>4000</v>
      </c>
      <c r="G336" t="s">
        <v>249</v>
      </c>
      <c r="H336" s="1">
        <v>36661.17</v>
      </c>
      <c r="I336" t="s">
        <v>250</v>
      </c>
      <c r="J336" s="1">
        <v>4000</v>
      </c>
      <c r="K336" s="1">
        <v>0</v>
      </c>
      <c r="L336" s="1">
        <f t="shared" si="5"/>
        <v>36661.17</v>
      </c>
      <c r="M336" t="s">
        <v>511</v>
      </c>
    </row>
    <row r="337" spans="1:13" x14ac:dyDescent="0.3">
      <c r="A337">
        <v>323</v>
      </c>
      <c r="B337" s="2">
        <v>45594</v>
      </c>
      <c r="C337" s="2">
        <v>45594</v>
      </c>
      <c r="D337" t="s">
        <v>358</v>
      </c>
      <c r="E337" t="s">
        <v>1911</v>
      </c>
      <c r="F337" s="1">
        <v>68895</v>
      </c>
      <c r="G337" t="s">
        <v>250</v>
      </c>
      <c r="H337" s="1">
        <v>105556.17</v>
      </c>
      <c r="I337" t="s">
        <v>250</v>
      </c>
      <c r="J337" s="1">
        <v>0</v>
      </c>
      <c r="K337" s="1">
        <v>68895</v>
      </c>
      <c r="L337" s="1">
        <f t="shared" si="5"/>
        <v>105556.17</v>
      </c>
      <c r="M337" t="s">
        <v>507</v>
      </c>
    </row>
    <row r="338" spans="1:13" x14ac:dyDescent="0.3">
      <c r="A338">
        <v>324</v>
      </c>
      <c r="B338" s="2">
        <v>45594</v>
      </c>
      <c r="C338" s="2">
        <v>45594</v>
      </c>
      <c r="D338" t="s">
        <v>1912</v>
      </c>
      <c r="E338" t="s">
        <v>1913</v>
      </c>
      <c r="F338" s="1">
        <v>100</v>
      </c>
      <c r="G338" t="s">
        <v>250</v>
      </c>
      <c r="H338" s="1">
        <v>105656.17</v>
      </c>
      <c r="I338" t="s">
        <v>250</v>
      </c>
      <c r="J338" s="1">
        <v>0</v>
      </c>
      <c r="K338" s="1">
        <v>100</v>
      </c>
      <c r="L338" s="1">
        <f t="shared" si="5"/>
        <v>105656.17</v>
      </c>
      <c r="M338" t="s">
        <v>511</v>
      </c>
    </row>
    <row r="339" spans="1:13" x14ac:dyDescent="0.3">
      <c r="A339">
        <v>325</v>
      </c>
      <c r="B339" s="2">
        <v>45594</v>
      </c>
      <c r="C339" s="2">
        <v>45594</v>
      </c>
      <c r="D339" t="s">
        <v>1914</v>
      </c>
      <c r="E339" t="s">
        <v>1915</v>
      </c>
      <c r="F339" s="1">
        <v>100</v>
      </c>
      <c r="G339" t="s">
        <v>249</v>
      </c>
      <c r="H339" s="1">
        <v>105556.17</v>
      </c>
      <c r="I339" t="s">
        <v>250</v>
      </c>
      <c r="J339" s="1">
        <v>100</v>
      </c>
      <c r="K339" s="1">
        <v>0</v>
      </c>
      <c r="L339" s="1">
        <f t="shared" si="5"/>
        <v>105556.17</v>
      </c>
      <c r="M339" t="s">
        <v>511</v>
      </c>
    </row>
    <row r="340" spans="1:13" x14ac:dyDescent="0.3">
      <c r="A340">
        <v>326</v>
      </c>
      <c r="B340" s="2">
        <v>45594</v>
      </c>
      <c r="C340" s="2">
        <v>45594</v>
      </c>
      <c r="D340" t="s">
        <v>1916</v>
      </c>
      <c r="E340" t="s">
        <v>1917</v>
      </c>
      <c r="F340" s="1">
        <v>10</v>
      </c>
      <c r="G340" t="s">
        <v>249</v>
      </c>
      <c r="H340" s="1">
        <v>105546.17</v>
      </c>
      <c r="I340" t="s">
        <v>250</v>
      </c>
      <c r="J340" s="1">
        <v>10</v>
      </c>
      <c r="K340" s="1">
        <v>0</v>
      </c>
      <c r="L340" s="1">
        <f t="shared" si="5"/>
        <v>105546.17</v>
      </c>
      <c r="M340" t="s">
        <v>511</v>
      </c>
    </row>
    <row r="341" spans="1:13" x14ac:dyDescent="0.3">
      <c r="A341">
        <v>327</v>
      </c>
      <c r="B341" s="2">
        <v>45594</v>
      </c>
      <c r="C341" s="2">
        <v>45594</v>
      </c>
      <c r="D341" t="s">
        <v>1918</v>
      </c>
      <c r="E341" t="s">
        <v>1919</v>
      </c>
      <c r="F341" s="1">
        <v>5</v>
      </c>
      <c r="G341" t="s">
        <v>250</v>
      </c>
      <c r="H341" s="1">
        <v>105551.17</v>
      </c>
      <c r="I341" t="s">
        <v>250</v>
      </c>
      <c r="J341" s="1">
        <v>0</v>
      </c>
      <c r="K341" s="1">
        <v>5</v>
      </c>
      <c r="L341" s="1">
        <f t="shared" si="5"/>
        <v>105551.17</v>
      </c>
      <c r="M341" t="s">
        <v>511</v>
      </c>
    </row>
    <row r="342" spans="1:13" x14ac:dyDescent="0.3">
      <c r="A342">
        <v>328</v>
      </c>
      <c r="B342" s="2">
        <v>45594</v>
      </c>
      <c r="C342" s="2">
        <v>45594</v>
      </c>
      <c r="D342" t="s">
        <v>1920</v>
      </c>
      <c r="E342" t="s">
        <v>1921</v>
      </c>
      <c r="F342" s="1">
        <v>10</v>
      </c>
      <c r="G342" t="s">
        <v>250</v>
      </c>
      <c r="H342" s="1">
        <v>105561.17</v>
      </c>
      <c r="I342" t="s">
        <v>250</v>
      </c>
      <c r="J342" s="1">
        <v>0</v>
      </c>
      <c r="K342" s="1">
        <v>10</v>
      </c>
      <c r="L342" s="1">
        <f t="shared" si="5"/>
        <v>105561.17</v>
      </c>
      <c r="M342" t="s">
        <v>511</v>
      </c>
    </row>
    <row r="343" spans="1:13" x14ac:dyDescent="0.3">
      <c r="A343">
        <v>329</v>
      </c>
      <c r="B343" s="2">
        <v>45595</v>
      </c>
      <c r="C343" s="2">
        <v>45595</v>
      </c>
      <c r="D343" t="s">
        <v>1922</v>
      </c>
      <c r="E343" t="s">
        <v>1923</v>
      </c>
      <c r="F343" s="1">
        <v>5000</v>
      </c>
      <c r="G343" t="s">
        <v>249</v>
      </c>
      <c r="H343" s="1">
        <v>100561.17</v>
      </c>
      <c r="I343" t="s">
        <v>250</v>
      </c>
      <c r="J343" s="1">
        <v>5000</v>
      </c>
      <c r="K343" s="1">
        <v>0</v>
      </c>
      <c r="L343" s="1">
        <f t="shared" si="5"/>
        <v>100561.17</v>
      </c>
      <c r="M343" t="s">
        <v>511</v>
      </c>
    </row>
    <row r="344" spans="1:13" x14ac:dyDescent="0.3">
      <c r="A344">
        <v>330</v>
      </c>
      <c r="B344" s="2">
        <v>45596</v>
      </c>
      <c r="C344" s="2">
        <v>45596</v>
      </c>
      <c r="D344" t="s">
        <v>1924</v>
      </c>
      <c r="E344" t="s">
        <v>1925</v>
      </c>
      <c r="F344" s="1">
        <v>2000</v>
      </c>
      <c r="G344" t="s">
        <v>249</v>
      </c>
      <c r="H344" s="1">
        <v>98561.17</v>
      </c>
      <c r="I344" t="s">
        <v>250</v>
      </c>
      <c r="J344" s="1">
        <v>2000</v>
      </c>
      <c r="K344" s="1">
        <v>0</v>
      </c>
      <c r="L344" s="1">
        <f t="shared" si="5"/>
        <v>98561.17</v>
      </c>
      <c r="M344" t="s">
        <v>511</v>
      </c>
    </row>
    <row r="345" spans="1:13" x14ac:dyDescent="0.3">
      <c r="A345">
        <v>331</v>
      </c>
      <c r="B345" s="2">
        <v>45596</v>
      </c>
      <c r="C345" s="2">
        <v>45596</v>
      </c>
      <c r="D345" t="s">
        <v>1926</v>
      </c>
      <c r="E345" t="s">
        <v>1927</v>
      </c>
      <c r="F345" s="1">
        <v>77.11</v>
      </c>
      <c r="G345" t="s">
        <v>250</v>
      </c>
      <c r="H345" s="1">
        <v>98638.28</v>
      </c>
      <c r="I345" t="s">
        <v>250</v>
      </c>
      <c r="J345" s="1">
        <v>0</v>
      </c>
      <c r="K345" s="1">
        <v>77.11</v>
      </c>
      <c r="L345" s="1">
        <f t="shared" si="5"/>
        <v>98638.28</v>
      </c>
      <c r="M345" t="s">
        <v>511</v>
      </c>
    </row>
    <row r="346" spans="1:13" x14ac:dyDescent="0.3">
      <c r="A346">
        <v>332</v>
      </c>
      <c r="B346" s="2">
        <v>45596</v>
      </c>
      <c r="C346" s="2">
        <v>45596</v>
      </c>
      <c r="D346" t="s">
        <v>1928</v>
      </c>
      <c r="E346" t="s">
        <v>1929</v>
      </c>
      <c r="F346" s="1">
        <v>7000</v>
      </c>
      <c r="G346" t="s">
        <v>249</v>
      </c>
      <c r="H346" s="1">
        <v>91638.28</v>
      </c>
      <c r="I346" t="s">
        <v>250</v>
      </c>
      <c r="J346" s="1">
        <v>7000</v>
      </c>
      <c r="K346" s="1">
        <v>0</v>
      </c>
      <c r="L346" s="1">
        <f t="shared" si="5"/>
        <v>91638.28</v>
      </c>
      <c r="M346" t="s">
        <v>511</v>
      </c>
    </row>
    <row r="347" spans="1:13" x14ac:dyDescent="0.3">
      <c r="A347">
        <v>333</v>
      </c>
      <c r="B347" s="2">
        <v>45596</v>
      </c>
      <c r="C347" s="2">
        <v>45596</v>
      </c>
      <c r="D347" t="s">
        <v>1930</v>
      </c>
      <c r="E347" t="s">
        <v>1931</v>
      </c>
      <c r="F347" s="1">
        <v>16000</v>
      </c>
      <c r="G347" t="s">
        <v>249</v>
      </c>
      <c r="H347" s="1">
        <v>75638.28</v>
      </c>
      <c r="I347" t="s">
        <v>250</v>
      </c>
      <c r="J347" s="1">
        <v>16000</v>
      </c>
      <c r="K347" s="1">
        <v>0</v>
      </c>
      <c r="L347" s="1">
        <f t="shared" si="5"/>
        <v>75638.28</v>
      </c>
      <c r="M347" t="s">
        <v>511</v>
      </c>
    </row>
    <row r="348" spans="1:13" x14ac:dyDescent="0.3">
      <c r="A348">
        <v>334</v>
      </c>
      <c r="B348" s="2">
        <v>45597</v>
      </c>
      <c r="C348" s="2">
        <v>45597</v>
      </c>
      <c r="D348" t="s">
        <v>1932</v>
      </c>
      <c r="E348">
        <v>430605596729</v>
      </c>
      <c r="F348" s="1">
        <v>2</v>
      </c>
      <c r="G348" t="s">
        <v>249</v>
      </c>
      <c r="H348" s="1">
        <v>75636.28</v>
      </c>
      <c r="I348" t="s">
        <v>250</v>
      </c>
      <c r="J348" s="1">
        <v>2</v>
      </c>
      <c r="K348" s="1">
        <v>0</v>
      </c>
      <c r="L348" s="1">
        <f t="shared" si="5"/>
        <v>75636.28</v>
      </c>
      <c r="M348" t="s">
        <v>589</v>
      </c>
    </row>
    <row r="349" spans="1:13" x14ac:dyDescent="0.3">
      <c r="A349">
        <v>335</v>
      </c>
      <c r="B349" s="2">
        <v>45597</v>
      </c>
      <c r="C349" s="2">
        <v>45597</v>
      </c>
      <c r="D349" t="s">
        <v>1933</v>
      </c>
      <c r="E349" t="s">
        <v>1934</v>
      </c>
      <c r="F349" s="1">
        <v>1000</v>
      </c>
      <c r="G349" t="s">
        <v>249</v>
      </c>
      <c r="H349" s="1">
        <v>74636.28</v>
      </c>
      <c r="I349" t="s">
        <v>250</v>
      </c>
      <c r="J349" s="1">
        <v>1000</v>
      </c>
      <c r="K349" s="1">
        <v>0</v>
      </c>
      <c r="L349" s="1">
        <f t="shared" si="5"/>
        <v>74636.28</v>
      </c>
      <c r="M349" t="s">
        <v>511</v>
      </c>
    </row>
    <row r="350" spans="1:13" x14ac:dyDescent="0.3">
      <c r="A350">
        <v>336</v>
      </c>
      <c r="B350" s="2">
        <v>45597</v>
      </c>
      <c r="C350" s="2">
        <v>45597</v>
      </c>
      <c r="D350" t="s">
        <v>1935</v>
      </c>
      <c r="E350" t="s">
        <v>1936</v>
      </c>
      <c r="F350" s="1">
        <v>3000</v>
      </c>
      <c r="G350" t="s">
        <v>249</v>
      </c>
      <c r="H350" s="1">
        <v>71636.28</v>
      </c>
      <c r="I350" t="s">
        <v>250</v>
      </c>
      <c r="J350" s="1">
        <v>3000</v>
      </c>
      <c r="K350" s="1">
        <v>0</v>
      </c>
      <c r="L350" s="1">
        <f t="shared" si="5"/>
        <v>71636.28</v>
      </c>
      <c r="M350" t="s">
        <v>511</v>
      </c>
    </row>
    <row r="351" spans="1:13" x14ac:dyDescent="0.3">
      <c r="A351">
        <v>337</v>
      </c>
      <c r="B351" s="2">
        <v>45598</v>
      </c>
      <c r="C351" s="2">
        <v>45598</v>
      </c>
      <c r="D351" t="s">
        <v>1937</v>
      </c>
      <c r="E351" t="s">
        <v>1938</v>
      </c>
      <c r="F351" s="1">
        <v>1100</v>
      </c>
      <c r="G351" t="s">
        <v>249</v>
      </c>
      <c r="H351" s="1">
        <v>70536.28</v>
      </c>
      <c r="I351" t="s">
        <v>250</v>
      </c>
      <c r="J351" s="1">
        <v>1100</v>
      </c>
      <c r="K351" s="1">
        <v>0</v>
      </c>
      <c r="L351" s="1">
        <f t="shared" si="5"/>
        <v>70536.28</v>
      </c>
      <c r="M351" t="s">
        <v>511</v>
      </c>
    </row>
    <row r="352" spans="1:13" x14ac:dyDescent="0.3">
      <c r="A352">
        <v>338</v>
      </c>
      <c r="B352" s="2">
        <v>45598</v>
      </c>
      <c r="C352" s="2">
        <v>45598</v>
      </c>
      <c r="D352" t="s">
        <v>1939</v>
      </c>
      <c r="E352" t="s">
        <v>1940</v>
      </c>
      <c r="F352" s="1">
        <v>2000</v>
      </c>
      <c r="G352" t="s">
        <v>249</v>
      </c>
      <c r="H352" s="1">
        <v>68536.28</v>
      </c>
      <c r="I352" t="s">
        <v>250</v>
      </c>
      <c r="J352" s="1">
        <v>2000</v>
      </c>
      <c r="K352" s="1">
        <v>0</v>
      </c>
      <c r="L352" s="1">
        <f t="shared" si="5"/>
        <v>68536.28</v>
      </c>
      <c r="M352" t="s">
        <v>511</v>
      </c>
    </row>
    <row r="353" spans="1:13" x14ac:dyDescent="0.3">
      <c r="A353">
        <v>339</v>
      </c>
      <c r="B353" s="2">
        <v>45599</v>
      </c>
      <c r="C353" s="2">
        <v>45599</v>
      </c>
      <c r="D353" t="s">
        <v>1941</v>
      </c>
      <c r="E353" t="s">
        <v>1942</v>
      </c>
      <c r="F353" s="1">
        <v>1500</v>
      </c>
      <c r="G353" t="s">
        <v>249</v>
      </c>
      <c r="H353" s="1">
        <v>67036.28</v>
      </c>
      <c r="I353" t="s">
        <v>250</v>
      </c>
      <c r="J353" s="1">
        <v>1500</v>
      </c>
      <c r="K353" s="1">
        <v>0</v>
      </c>
      <c r="L353" s="1">
        <f t="shared" si="5"/>
        <v>67036.28</v>
      </c>
      <c r="M353" t="s">
        <v>511</v>
      </c>
    </row>
    <row r="354" spans="1:13" x14ac:dyDescent="0.3">
      <c r="A354">
        <v>340</v>
      </c>
      <c r="B354" s="2">
        <v>45600</v>
      </c>
      <c r="C354" s="2">
        <v>45600</v>
      </c>
      <c r="D354" t="s">
        <v>1943</v>
      </c>
      <c r="E354" t="s">
        <v>1944</v>
      </c>
      <c r="F354" s="1">
        <v>1000</v>
      </c>
      <c r="G354" t="s">
        <v>249</v>
      </c>
      <c r="H354" s="1">
        <v>66036.28</v>
      </c>
      <c r="I354" t="s">
        <v>250</v>
      </c>
      <c r="J354" s="1">
        <v>1000</v>
      </c>
      <c r="K354" s="1">
        <v>0</v>
      </c>
      <c r="L354" s="1">
        <f t="shared" si="5"/>
        <v>66036.28</v>
      </c>
      <c r="M354" t="s">
        <v>511</v>
      </c>
    </row>
    <row r="355" spans="1:13" x14ac:dyDescent="0.3">
      <c r="A355">
        <v>341</v>
      </c>
      <c r="B355" s="2">
        <v>45601</v>
      </c>
      <c r="C355" s="2">
        <v>45601</v>
      </c>
      <c r="D355" t="s">
        <v>1945</v>
      </c>
      <c r="E355" t="s">
        <v>1946</v>
      </c>
      <c r="F355" s="1">
        <v>1500</v>
      </c>
      <c r="G355" t="s">
        <v>249</v>
      </c>
      <c r="H355" s="1">
        <v>64536.28</v>
      </c>
      <c r="I355" t="s">
        <v>250</v>
      </c>
      <c r="J355" s="1">
        <v>1500</v>
      </c>
      <c r="K355" s="1">
        <v>0</v>
      </c>
      <c r="L355" s="1">
        <f t="shared" si="5"/>
        <v>64536.28</v>
      </c>
      <c r="M355" t="s">
        <v>511</v>
      </c>
    </row>
    <row r="356" spans="1:13" x14ac:dyDescent="0.3">
      <c r="A356">
        <v>342</v>
      </c>
      <c r="B356" s="2">
        <v>45602</v>
      </c>
      <c r="C356" s="2">
        <v>45602</v>
      </c>
      <c r="D356" t="s">
        <v>1947</v>
      </c>
      <c r="E356" t="s">
        <v>1948</v>
      </c>
      <c r="F356" s="1">
        <v>1048.3</v>
      </c>
      <c r="G356" t="s">
        <v>249</v>
      </c>
      <c r="H356" s="1">
        <v>63487.98</v>
      </c>
      <c r="I356" t="s">
        <v>250</v>
      </c>
      <c r="J356" s="1">
        <v>1048.3</v>
      </c>
      <c r="K356" s="1">
        <v>0</v>
      </c>
      <c r="L356" s="1">
        <f t="shared" si="5"/>
        <v>63487.98</v>
      </c>
      <c r="M356" t="s">
        <v>511</v>
      </c>
    </row>
    <row r="357" spans="1:13" x14ac:dyDescent="0.3">
      <c r="A357">
        <v>343</v>
      </c>
      <c r="B357" s="2">
        <v>45604</v>
      </c>
      <c r="C357" s="2">
        <v>45604</v>
      </c>
      <c r="D357" t="s">
        <v>1949</v>
      </c>
      <c r="E357" t="s">
        <v>1950</v>
      </c>
      <c r="F357" s="1">
        <v>15000</v>
      </c>
      <c r="G357" t="s">
        <v>249</v>
      </c>
      <c r="H357" s="1">
        <v>48487.98</v>
      </c>
      <c r="I357" t="s">
        <v>250</v>
      </c>
      <c r="J357" s="1">
        <v>15000</v>
      </c>
      <c r="K357" s="1">
        <v>0</v>
      </c>
      <c r="L357" s="1">
        <f t="shared" si="5"/>
        <v>48487.98</v>
      </c>
      <c r="M357" t="s">
        <v>511</v>
      </c>
    </row>
    <row r="358" spans="1:13" x14ac:dyDescent="0.3">
      <c r="A358">
        <v>344</v>
      </c>
      <c r="B358" s="2">
        <v>45604</v>
      </c>
      <c r="C358" s="2">
        <v>45604</v>
      </c>
      <c r="D358" t="s">
        <v>1951</v>
      </c>
      <c r="E358" t="s">
        <v>1950</v>
      </c>
      <c r="F358" s="1">
        <v>15000</v>
      </c>
      <c r="G358" t="s">
        <v>250</v>
      </c>
      <c r="H358" s="1">
        <v>63487.98</v>
      </c>
      <c r="I358" t="s">
        <v>250</v>
      </c>
      <c r="J358" s="1">
        <v>0</v>
      </c>
      <c r="K358" s="1">
        <v>15000</v>
      </c>
      <c r="L358" s="1">
        <f t="shared" si="5"/>
        <v>63487.98</v>
      </c>
      <c r="M358" t="s">
        <v>511</v>
      </c>
    </row>
    <row r="359" spans="1:13" x14ac:dyDescent="0.3">
      <c r="A359">
        <v>345</v>
      </c>
      <c r="B359" s="2">
        <v>45604</v>
      </c>
      <c r="C359" s="2">
        <v>45604</v>
      </c>
      <c r="D359" t="s">
        <v>1952</v>
      </c>
      <c r="E359" t="s">
        <v>1953</v>
      </c>
      <c r="F359" s="1">
        <v>15000</v>
      </c>
      <c r="G359" t="s">
        <v>249</v>
      </c>
      <c r="H359" s="1">
        <v>48487.98</v>
      </c>
      <c r="I359" t="s">
        <v>250</v>
      </c>
      <c r="J359" s="1">
        <v>15000</v>
      </c>
      <c r="K359" s="1">
        <v>0</v>
      </c>
      <c r="L359" s="1">
        <f t="shared" si="5"/>
        <v>48487.98</v>
      </c>
      <c r="M359" t="s">
        <v>511</v>
      </c>
    </row>
    <row r="360" spans="1:13" x14ac:dyDescent="0.3">
      <c r="A360">
        <v>346</v>
      </c>
      <c r="B360" s="2">
        <v>45604</v>
      </c>
      <c r="C360" s="2">
        <v>45604</v>
      </c>
      <c r="D360" t="s">
        <v>1954</v>
      </c>
      <c r="E360" t="s">
        <v>1953</v>
      </c>
      <c r="F360" s="1">
        <v>15000</v>
      </c>
      <c r="G360" t="s">
        <v>250</v>
      </c>
      <c r="H360" s="1">
        <v>63487.98</v>
      </c>
      <c r="I360" t="s">
        <v>250</v>
      </c>
      <c r="J360" s="1">
        <v>0</v>
      </c>
      <c r="K360" s="1">
        <v>15000</v>
      </c>
      <c r="L360" s="1">
        <f t="shared" si="5"/>
        <v>63487.98</v>
      </c>
      <c r="M360" t="s">
        <v>511</v>
      </c>
    </row>
    <row r="361" spans="1:13" x14ac:dyDescent="0.3">
      <c r="A361">
        <v>347</v>
      </c>
      <c r="B361" s="2">
        <v>45604</v>
      </c>
      <c r="C361" s="2">
        <v>45604</v>
      </c>
      <c r="D361" t="s">
        <v>1955</v>
      </c>
      <c r="E361" t="s">
        <v>1956</v>
      </c>
      <c r="F361" s="1">
        <v>15000</v>
      </c>
      <c r="G361" t="s">
        <v>249</v>
      </c>
      <c r="H361" s="1">
        <v>48487.98</v>
      </c>
      <c r="I361" t="s">
        <v>250</v>
      </c>
      <c r="J361" s="1">
        <v>15000</v>
      </c>
      <c r="K361" s="1">
        <v>0</v>
      </c>
      <c r="L361" s="1">
        <f t="shared" si="5"/>
        <v>48487.98</v>
      </c>
      <c r="M361" t="s">
        <v>511</v>
      </c>
    </row>
    <row r="362" spans="1:13" x14ac:dyDescent="0.3">
      <c r="A362">
        <v>348</v>
      </c>
      <c r="B362" s="2">
        <v>45604</v>
      </c>
      <c r="C362" s="2">
        <v>45604</v>
      </c>
      <c r="D362" t="s">
        <v>1957</v>
      </c>
      <c r="E362" t="s">
        <v>1958</v>
      </c>
      <c r="F362" s="1">
        <v>170</v>
      </c>
      <c r="G362" t="s">
        <v>249</v>
      </c>
      <c r="H362" s="1">
        <v>48317.98</v>
      </c>
      <c r="I362" t="s">
        <v>250</v>
      </c>
      <c r="J362" s="1">
        <v>170</v>
      </c>
      <c r="K362" s="1">
        <v>0</v>
      </c>
      <c r="L362" s="1">
        <f t="shared" si="5"/>
        <v>48317.98</v>
      </c>
      <c r="M362" t="s">
        <v>511</v>
      </c>
    </row>
    <row r="363" spans="1:13" x14ac:dyDescent="0.3">
      <c r="A363">
        <v>349</v>
      </c>
      <c r="B363" s="2">
        <v>45608</v>
      </c>
      <c r="C363" s="2">
        <v>45608</v>
      </c>
      <c r="D363" t="s">
        <v>1959</v>
      </c>
      <c r="E363" t="s">
        <v>1960</v>
      </c>
      <c r="F363" s="1">
        <v>271.8</v>
      </c>
      <c r="G363" t="s">
        <v>249</v>
      </c>
      <c r="H363" s="1">
        <v>48046.18</v>
      </c>
      <c r="I363" t="s">
        <v>250</v>
      </c>
      <c r="J363" s="1">
        <v>271.8</v>
      </c>
      <c r="K363" s="1">
        <v>0</v>
      </c>
      <c r="L363" s="1">
        <f t="shared" si="5"/>
        <v>48046.18</v>
      </c>
      <c r="M363" t="s">
        <v>511</v>
      </c>
    </row>
    <row r="364" spans="1:13" x14ac:dyDescent="0.3">
      <c r="A364">
        <v>350</v>
      </c>
      <c r="B364" s="2">
        <v>45609</v>
      </c>
      <c r="C364" s="2">
        <v>45609</v>
      </c>
      <c r="D364" t="s">
        <v>1961</v>
      </c>
      <c r="E364" t="s">
        <v>1962</v>
      </c>
      <c r="F364" s="1">
        <v>35</v>
      </c>
      <c r="G364" t="s">
        <v>249</v>
      </c>
      <c r="H364" s="1">
        <v>48011.18</v>
      </c>
      <c r="I364" t="s">
        <v>250</v>
      </c>
      <c r="J364" s="1">
        <v>35</v>
      </c>
      <c r="K364" s="1">
        <v>0</v>
      </c>
      <c r="L364" s="1">
        <f t="shared" si="5"/>
        <v>48011.18</v>
      </c>
      <c r="M364" t="s">
        <v>511</v>
      </c>
    </row>
    <row r="365" spans="1:13" x14ac:dyDescent="0.3">
      <c r="A365">
        <v>351</v>
      </c>
      <c r="B365" s="2">
        <v>45609</v>
      </c>
      <c r="C365" s="2">
        <v>45609</v>
      </c>
      <c r="D365" t="s">
        <v>1963</v>
      </c>
      <c r="E365" t="s">
        <v>1964</v>
      </c>
      <c r="F365" s="1">
        <v>1500</v>
      </c>
      <c r="G365" t="s">
        <v>249</v>
      </c>
      <c r="H365" s="1">
        <v>46511.18</v>
      </c>
      <c r="I365" t="s">
        <v>250</v>
      </c>
      <c r="J365" s="1">
        <v>1500</v>
      </c>
      <c r="K365" s="1">
        <v>0</v>
      </c>
      <c r="L365" s="1">
        <f t="shared" si="5"/>
        <v>46511.18</v>
      </c>
      <c r="M365" t="s">
        <v>511</v>
      </c>
    </row>
    <row r="366" spans="1:13" x14ac:dyDescent="0.3">
      <c r="A366">
        <v>352</v>
      </c>
      <c r="B366" s="2">
        <v>45610</v>
      </c>
      <c r="C366" s="2">
        <v>45610</v>
      </c>
      <c r="D366" t="s">
        <v>1965</v>
      </c>
      <c r="E366" t="s">
        <v>1966</v>
      </c>
      <c r="F366" s="1">
        <v>2000</v>
      </c>
      <c r="G366" t="s">
        <v>249</v>
      </c>
      <c r="H366" s="1">
        <v>44511.18</v>
      </c>
      <c r="I366" t="s">
        <v>250</v>
      </c>
      <c r="J366" s="1">
        <v>2000</v>
      </c>
      <c r="K366" s="1">
        <v>0</v>
      </c>
      <c r="L366" s="1">
        <f t="shared" si="5"/>
        <v>44511.18</v>
      </c>
      <c r="M366" t="s">
        <v>511</v>
      </c>
    </row>
    <row r="367" spans="1:13" x14ac:dyDescent="0.3">
      <c r="A367">
        <v>353</v>
      </c>
      <c r="B367" s="2">
        <v>45612</v>
      </c>
      <c r="C367" s="2">
        <v>45612</v>
      </c>
      <c r="D367" t="s">
        <v>1967</v>
      </c>
      <c r="E367" t="s">
        <v>1968</v>
      </c>
      <c r="F367" s="1">
        <v>120</v>
      </c>
      <c r="G367" t="s">
        <v>249</v>
      </c>
      <c r="H367" s="1">
        <v>44391.18</v>
      </c>
      <c r="I367" t="s">
        <v>250</v>
      </c>
      <c r="J367" s="1">
        <v>120</v>
      </c>
      <c r="K367" s="1">
        <v>0</v>
      </c>
      <c r="L367" s="1">
        <f t="shared" si="5"/>
        <v>44391.18</v>
      </c>
      <c r="M367" t="s">
        <v>511</v>
      </c>
    </row>
    <row r="368" spans="1:13" x14ac:dyDescent="0.3">
      <c r="A368">
        <v>354</v>
      </c>
      <c r="B368" s="2">
        <v>45612</v>
      </c>
      <c r="C368" s="2">
        <v>45612</v>
      </c>
      <c r="D368" t="s">
        <v>1969</v>
      </c>
      <c r="E368" t="s">
        <v>1970</v>
      </c>
      <c r="F368" s="1">
        <v>125</v>
      </c>
      <c r="G368" t="s">
        <v>249</v>
      </c>
      <c r="H368" s="1">
        <v>44266.18</v>
      </c>
      <c r="I368" t="s">
        <v>250</v>
      </c>
      <c r="J368" s="1">
        <v>125</v>
      </c>
      <c r="K368" s="1">
        <v>0</v>
      </c>
      <c r="L368" s="1">
        <f t="shared" si="5"/>
        <v>44266.18</v>
      </c>
      <c r="M368" t="s">
        <v>511</v>
      </c>
    </row>
    <row r="369" spans="1:13" x14ac:dyDescent="0.3">
      <c r="A369">
        <v>355</v>
      </c>
      <c r="B369" s="2">
        <v>45612</v>
      </c>
      <c r="C369" s="2">
        <v>45612</v>
      </c>
      <c r="D369" t="s">
        <v>1971</v>
      </c>
      <c r="E369" t="s">
        <v>1972</v>
      </c>
      <c r="F369" s="1">
        <v>437.25</v>
      </c>
      <c r="G369" t="s">
        <v>249</v>
      </c>
      <c r="H369" s="1">
        <v>43828.93</v>
      </c>
      <c r="I369" t="s">
        <v>250</v>
      </c>
      <c r="J369" s="1">
        <v>437.25</v>
      </c>
      <c r="K369" s="1">
        <v>0</v>
      </c>
      <c r="L369" s="1">
        <f t="shared" si="5"/>
        <v>43828.93</v>
      </c>
      <c r="M369" t="s">
        <v>511</v>
      </c>
    </row>
    <row r="370" spans="1:13" x14ac:dyDescent="0.3">
      <c r="A370">
        <v>356</v>
      </c>
      <c r="B370" s="2">
        <v>45612</v>
      </c>
      <c r="C370" s="2">
        <v>45612</v>
      </c>
      <c r="D370" t="s">
        <v>1973</v>
      </c>
      <c r="E370" t="s">
        <v>1974</v>
      </c>
      <c r="F370" s="1">
        <v>200</v>
      </c>
      <c r="G370" t="s">
        <v>250</v>
      </c>
      <c r="H370" s="1">
        <v>44028.93</v>
      </c>
      <c r="I370" t="s">
        <v>250</v>
      </c>
      <c r="J370" s="1">
        <v>0</v>
      </c>
      <c r="K370" s="1">
        <v>200</v>
      </c>
      <c r="L370" s="1">
        <f t="shared" si="5"/>
        <v>44028.93</v>
      </c>
      <c r="M370" t="s">
        <v>511</v>
      </c>
    </row>
    <row r="371" spans="1:13" x14ac:dyDescent="0.3">
      <c r="A371">
        <v>357</v>
      </c>
      <c r="B371" s="2">
        <v>45613</v>
      </c>
      <c r="C371" s="2">
        <v>45613</v>
      </c>
      <c r="D371" t="s">
        <v>1975</v>
      </c>
      <c r="E371" t="s">
        <v>1976</v>
      </c>
      <c r="F371" s="1">
        <v>250</v>
      </c>
      <c r="G371" t="s">
        <v>249</v>
      </c>
      <c r="H371" s="1">
        <v>43778.93</v>
      </c>
      <c r="I371" t="s">
        <v>250</v>
      </c>
      <c r="J371" s="1">
        <v>250</v>
      </c>
      <c r="K371" s="1">
        <v>0</v>
      </c>
      <c r="L371" s="1">
        <f t="shared" si="5"/>
        <v>43778.93</v>
      </c>
      <c r="M371" t="s">
        <v>511</v>
      </c>
    </row>
    <row r="372" spans="1:13" x14ac:dyDescent="0.3">
      <c r="A372">
        <v>358</v>
      </c>
      <c r="B372" s="2">
        <v>45613</v>
      </c>
      <c r="C372" s="2">
        <v>45613</v>
      </c>
      <c r="D372" t="s">
        <v>1977</v>
      </c>
      <c r="E372" t="s">
        <v>1978</v>
      </c>
      <c r="F372" s="1">
        <v>50</v>
      </c>
      <c r="G372" t="s">
        <v>249</v>
      </c>
      <c r="H372" s="1">
        <v>43728.93</v>
      </c>
      <c r="I372" t="s">
        <v>250</v>
      </c>
      <c r="J372" s="1">
        <v>50</v>
      </c>
      <c r="K372" s="1">
        <v>0</v>
      </c>
      <c r="L372" s="1">
        <f t="shared" si="5"/>
        <v>43728.93</v>
      </c>
      <c r="M372" t="s">
        <v>511</v>
      </c>
    </row>
    <row r="373" spans="1:13" x14ac:dyDescent="0.3">
      <c r="A373">
        <v>359</v>
      </c>
      <c r="B373" s="2">
        <v>45613</v>
      </c>
      <c r="C373" s="2">
        <v>45613</v>
      </c>
      <c r="D373" t="s">
        <v>1979</v>
      </c>
      <c r="E373" t="s">
        <v>1980</v>
      </c>
      <c r="F373" s="1">
        <v>110</v>
      </c>
      <c r="G373" t="s">
        <v>249</v>
      </c>
      <c r="H373" s="1">
        <v>43618.93</v>
      </c>
      <c r="I373" t="s">
        <v>250</v>
      </c>
      <c r="J373" s="1">
        <v>110</v>
      </c>
      <c r="K373" s="1">
        <v>0</v>
      </c>
      <c r="L373" s="1">
        <f t="shared" si="5"/>
        <v>43618.93</v>
      </c>
      <c r="M373" t="s">
        <v>511</v>
      </c>
    </row>
    <row r="374" spans="1:13" x14ac:dyDescent="0.3">
      <c r="A374">
        <v>360</v>
      </c>
      <c r="B374" s="2">
        <v>45614</v>
      </c>
      <c r="C374" s="2">
        <v>45614</v>
      </c>
      <c r="D374" t="s">
        <v>1981</v>
      </c>
      <c r="E374" t="s">
        <v>1982</v>
      </c>
      <c r="F374" s="1">
        <v>87</v>
      </c>
      <c r="G374" t="s">
        <v>249</v>
      </c>
      <c r="H374" s="1">
        <v>43531.93</v>
      </c>
      <c r="I374" t="s">
        <v>250</v>
      </c>
      <c r="J374" s="1">
        <v>87</v>
      </c>
      <c r="K374" s="1">
        <v>0</v>
      </c>
      <c r="L374" s="1">
        <f t="shared" si="5"/>
        <v>43531.93</v>
      </c>
      <c r="M374" t="s">
        <v>511</v>
      </c>
    </row>
    <row r="375" spans="1:13" x14ac:dyDescent="0.3">
      <c r="A375">
        <v>361</v>
      </c>
      <c r="B375" s="2">
        <v>45614</v>
      </c>
      <c r="C375" s="2">
        <v>45614</v>
      </c>
      <c r="D375" t="s">
        <v>1983</v>
      </c>
      <c r="E375" t="s">
        <v>1984</v>
      </c>
      <c r="F375" s="1">
        <v>2.5</v>
      </c>
      <c r="G375" t="s">
        <v>250</v>
      </c>
      <c r="H375" s="1">
        <v>43534.43</v>
      </c>
      <c r="I375" t="s">
        <v>250</v>
      </c>
      <c r="J375" s="1">
        <v>0</v>
      </c>
      <c r="K375" s="1">
        <v>2.5</v>
      </c>
      <c r="L375" s="1">
        <f t="shared" si="5"/>
        <v>43534.43</v>
      </c>
      <c r="M375" t="s">
        <v>218</v>
      </c>
    </row>
    <row r="376" spans="1:13" x14ac:dyDescent="0.3">
      <c r="A376">
        <v>362</v>
      </c>
      <c r="B376" s="2">
        <v>45615</v>
      </c>
      <c r="C376" s="2">
        <v>45615</v>
      </c>
      <c r="D376" t="s">
        <v>1985</v>
      </c>
      <c r="E376" t="s">
        <v>1986</v>
      </c>
      <c r="F376" s="1">
        <v>475</v>
      </c>
      <c r="G376" t="s">
        <v>250</v>
      </c>
      <c r="H376" s="1">
        <v>44009.43</v>
      </c>
      <c r="I376" t="s">
        <v>250</v>
      </c>
      <c r="J376" s="1">
        <v>0</v>
      </c>
      <c r="K376" s="1">
        <v>475</v>
      </c>
      <c r="L376" s="1">
        <f t="shared" si="5"/>
        <v>44009.43</v>
      </c>
      <c r="M376" t="s">
        <v>218</v>
      </c>
    </row>
    <row r="377" spans="1:13" x14ac:dyDescent="0.3">
      <c r="A377">
        <v>363</v>
      </c>
      <c r="B377" s="2">
        <v>45615</v>
      </c>
      <c r="C377" s="2">
        <v>45615</v>
      </c>
      <c r="D377" t="s">
        <v>1987</v>
      </c>
      <c r="E377" t="s">
        <v>1988</v>
      </c>
      <c r="F377" s="1">
        <v>2000</v>
      </c>
      <c r="G377" t="s">
        <v>249</v>
      </c>
      <c r="H377" s="1">
        <v>42009.43</v>
      </c>
      <c r="I377" t="s">
        <v>250</v>
      </c>
      <c r="J377" s="1">
        <v>2000</v>
      </c>
      <c r="K377" s="1">
        <v>0</v>
      </c>
      <c r="L377" s="1">
        <f t="shared" si="5"/>
        <v>42009.43</v>
      </c>
      <c r="M377" t="s">
        <v>511</v>
      </c>
    </row>
    <row r="378" spans="1:13" x14ac:dyDescent="0.3">
      <c r="A378">
        <v>364</v>
      </c>
      <c r="B378" s="2">
        <v>45616</v>
      </c>
      <c r="C378" s="2">
        <v>45616</v>
      </c>
      <c r="D378" t="s">
        <v>1989</v>
      </c>
      <c r="E378" t="s">
        <v>1990</v>
      </c>
      <c r="F378" s="1">
        <v>1000</v>
      </c>
      <c r="G378" t="s">
        <v>249</v>
      </c>
      <c r="H378" s="1">
        <v>41009.43</v>
      </c>
      <c r="I378" t="s">
        <v>250</v>
      </c>
      <c r="J378" s="1">
        <v>1000</v>
      </c>
      <c r="K378" s="1">
        <v>0</v>
      </c>
      <c r="L378" s="1">
        <f t="shared" si="5"/>
        <v>41009.43</v>
      </c>
      <c r="M378" t="s">
        <v>511</v>
      </c>
    </row>
    <row r="379" spans="1:13" x14ac:dyDescent="0.3">
      <c r="A379">
        <v>365</v>
      </c>
      <c r="B379" s="2">
        <v>45617</v>
      </c>
      <c r="C379" s="2">
        <v>45617</v>
      </c>
      <c r="D379" t="s">
        <v>1991</v>
      </c>
      <c r="E379" t="s">
        <v>1992</v>
      </c>
      <c r="F379" s="1">
        <v>1000</v>
      </c>
      <c r="G379" t="s">
        <v>249</v>
      </c>
      <c r="H379" s="1">
        <v>40009.43</v>
      </c>
      <c r="I379" t="s">
        <v>250</v>
      </c>
      <c r="J379" s="1">
        <v>1000</v>
      </c>
      <c r="K379" s="1">
        <v>0</v>
      </c>
      <c r="L379" s="1">
        <f t="shared" si="5"/>
        <v>40009.43</v>
      </c>
      <c r="M379" t="s">
        <v>511</v>
      </c>
    </row>
    <row r="380" spans="1:13" x14ac:dyDescent="0.3">
      <c r="A380">
        <v>366</v>
      </c>
      <c r="B380" s="2">
        <v>45618</v>
      </c>
      <c r="C380" s="2">
        <v>45618</v>
      </c>
      <c r="D380" t="s">
        <v>1993</v>
      </c>
      <c r="E380" t="s">
        <v>1994</v>
      </c>
      <c r="F380" s="1">
        <v>1000</v>
      </c>
      <c r="G380" t="s">
        <v>249</v>
      </c>
      <c r="H380" s="1">
        <v>39009.43</v>
      </c>
      <c r="I380" t="s">
        <v>250</v>
      </c>
      <c r="J380" s="1">
        <v>1000</v>
      </c>
      <c r="K380" s="1">
        <v>0</v>
      </c>
      <c r="L380" s="1">
        <f t="shared" si="5"/>
        <v>39009.43</v>
      </c>
      <c r="M380" t="s">
        <v>511</v>
      </c>
    </row>
    <row r="381" spans="1:13" x14ac:dyDescent="0.3">
      <c r="A381">
        <v>367</v>
      </c>
      <c r="B381" s="2">
        <v>45619</v>
      </c>
      <c r="C381" s="2">
        <v>45619</v>
      </c>
      <c r="D381" t="s">
        <v>1995</v>
      </c>
      <c r="E381" t="s">
        <v>1996</v>
      </c>
      <c r="F381" s="1">
        <v>1000</v>
      </c>
      <c r="G381" t="s">
        <v>249</v>
      </c>
      <c r="H381" s="1">
        <v>38009.43</v>
      </c>
      <c r="I381" t="s">
        <v>250</v>
      </c>
      <c r="J381" s="1">
        <v>1000</v>
      </c>
      <c r="K381" s="1">
        <v>0</v>
      </c>
      <c r="L381" s="1">
        <f t="shared" si="5"/>
        <v>38009.43</v>
      </c>
      <c r="M381" t="s">
        <v>511</v>
      </c>
    </row>
    <row r="382" spans="1:13" x14ac:dyDescent="0.3">
      <c r="A382">
        <v>368</v>
      </c>
      <c r="B382" s="2">
        <v>45620</v>
      </c>
      <c r="C382" s="2">
        <v>45620</v>
      </c>
      <c r="D382" t="s">
        <v>1997</v>
      </c>
      <c r="E382" t="s">
        <v>1998</v>
      </c>
      <c r="F382" s="1">
        <v>323</v>
      </c>
      <c r="G382" t="s">
        <v>249</v>
      </c>
      <c r="H382" s="1">
        <v>37686.43</v>
      </c>
      <c r="I382" t="s">
        <v>250</v>
      </c>
      <c r="J382" s="1">
        <v>323</v>
      </c>
      <c r="K382" s="1">
        <v>0</v>
      </c>
      <c r="L382" s="1">
        <f t="shared" si="5"/>
        <v>37686.43</v>
      </c>
      <c r="M382" t="s">
        <v>511</v>
      </c>
    </row>
    <row r="383" spans="1:13" x14ac:dyDescent="0.3">
      <c r="A383">
        <v>369</v>
      </c>
      <c r="B383" s="2">
        <v>45620</v>
      </c>
      <c r="C383" s="2">
        <v>45620</v>
      </c>
      <c r="D383" t="s">
        <v>1999</v>
      </c>
      <c r="E383" t="s">
        <v>2000</v>
      </c>
      <c r="F383" s="1">
        <v>1000</v>
      </c>
      <c r="G383" t="s">
        <v>249</v>
      </c>
      <c r="H383" s="1">
        <v>36686.43</v>
      </c>
      <c r="I383" t="s">
        <v>250</v>
      </c>
      <c r="J383" s="1">
        <v>1000</v>
      </c>
      <c r="K383" s="1">
        <v>0</v>
      </c>
      <c r="L383" s="1">
        <f t="shared" si="5"/>
        <v>36686.43</v>
      </c>
      <c r="M383" t="s">
        <v>511</v>
      </c>
    </row>
    <row r="384" spans="1:13" x14ac:dyDescent="0.3">
      <c r="A384">
        <v>370</v>
      </c>
      <c r="B384" s="2">
        <v>45621</v>
      </c>
      <c r="C384" s="2">
        <v>45621</v>
      </c>
      <c r="D384" t="s">
        <v>2001</v>
      </c>
      <c r="E384" t="s">
        <v>2002</v>
      </c>
      <c r="F384" s="1">
        <v>500</v>
      </c>
      <c r="G384" t="s">
        <v>249</v>
      </c>
      <c r="H384" s="1">
        <v>36186.43</v>
      </c>
      <c r="I384" t="s">
        <v>250</v>
      </c>
      <c r="J384" s="1">
        <v>500</v>
      </c>
      <c r="K384" s="1">
        <v>0</v>
      </c>
      <c r="L384" s="1">
        <f t="shared" si="5"/>
        <v>36186.43</v>
      </c>
      <c r="M384" t="s">
        <v>511</v>
      </c>
    </row>
    <row r="385" spans="1:13" x14ac:dyDescent="0.3">
      <c r="A385">
        <v>371</v>
      </c>
      <c r="B385" s="2">
        <v>45622</v>
      </c>
      <c r="C385" s="2">
        <v>45622</v>
      </c>
      <c r="D385" t="s">
        <v>2003</v>
      </c>
      <c r="E385" t="s">
        <v>2004</v>
      </c>
      <c r="F385" s="1">
        <v>1101</v>
      </c>
      <c r="G385" t="s">
        <v>249</v>
      </c>
      <c r="H385" s="1">
        <v>35085.43</v>
      </c>
      <c r="I385" t="s">
        <v>250</v>
      </c>
      <c r="J385" s="1">
        <v>1101</v>
      </c>
      <c r="K385" s="1">
        <v>0</v>
      </c>
      <c r="L385" s="1">
        <f t="shared" si="5"/>
        <v>35085.43</v>
      </c>
      <c r="M385" t="s">
        <v>511</v>
      </c>
    </row>
    <row r="386" spans="1:13" x14ac:dyDescent="0.3">
      <c r="A386">
        <v>372</v>
      </c>
      <c r="B386" s="2">
        <v>45622</v>
      </c>
      <c r="C386" s="2">
        <v>45622</v>
      </c>
      <c r="D386" t="s">
        <v>2005</v>
      </c>
      <c r="E386" t="s">
        <v>2006</v>
      </c>
      <c r="F386" s="1">
        <v>529.04999999999995</v>
      </c>
      <c r="G386" t="s">
        <v>249</v>
      </c>
      <c r="H386" s="1">
        <v>34556.379999999997</v>
      </c>
      <c r="I386" t="s">
        <v>250</v>
      </c>
      <c r="J386" s="1">
        <v>529.04999999999995</v>
      </c>
      <c r="K386" s="1">
        <v>0</v>
      </c>
      <c r="L386" s="1">
        <f t="shared" ref="L386:L449" si="6">H386</f>
        <v>34556.379999999997</v>
      </c>
      <c r="M386" t="s">
        <v>511</v>
      </c>
    </row>
    <row r="387" spans="1:13" x14ac:dyDescent="0.3">
      <c r="A387">
        <v>373</v>
      </c>
      <c r="B387" s="2">
        <v>45622</v>
      </c>
      <c r="C387" s="2">
        <v>45622</v>
      </c>
      <c r="D387" t="s">
        <v>2007</v>
      </c>
      <c r="E387" t="s">
        <v>2008</v>
      </c>
      <c r="F387" s="1">
        <v>50</v>
      </c>
      <c r="G387" t="s">
        <v>249</v>
      </c>
      <c r="H387" s="1">
        <v>34506.379999999997</v>
      </c>
      <c r="I387" t="s">
        <v>250</v>
      </c>
      <c r="J387" s="1">
        <v>50</v>
      </c>
      <c r="K387" s="1">
        <v>0</v>
      </c>
      <c r="L387" s="1">
        <f t="shared" si="6"/>
        <v>34506.379999999997</v>
      </c>
      <c r="M387" t="s">
        <v>511</v>
      </c>
    </row>
    <row r="388" spans="1:13" x14ac:dyDescent="0.3">
      <c r="A388">
        <v>374</v>
      </c>
      <c r="B388" s="2">
        <v>45622</v>
      </c>
      <c r="C388" s="2">
        <v>45622</v>
      </c>
      <c r="D388" t="s">
        <v>2009</v>
      </c>
      <c r="E388" t="s">
        <v>2010</v>
      </c>
      <c r="F388" s="1">
        <v>55.36</v>
      </c>
      <c r="G388" t="s">
        <v>250</v>
      </c>
      <c r="H388" s="1">
        <v>34561.74</v>
      </c>
      <c r="I388" t="s">
        <v>250</v>
      </c>
      <c r="J388" s="1">
        <v>0</v>
      </c>
      <c r="K388" s="1">
        <v>55.36</v>
      </c>
      <c r="L388" s="1">
        <f t="shared" si="6"/>
        <v>34561.74</v>
      </c>
      <c r="M388" t="s">
        <v>511</v>
      </c>
    </row>
    <row r="389" spans="1:13" x14ac:dyDescent="0.3">
      <c r="A389">
        <v>375</v>
      </c>
      <c r="B389" s="2">
        <v>45622</v>
      </c>
      <c r="C389" s="2">
        <v>45622</v>
      </c>
      <c r="D389" t="s">
        <v>2011</v>
      </c>
      <c r="E389" t="s">
        <v>2012</v>
      </c>
      <c r="F389" s="1">
        <v>40</v>
      </c>
      <c r="G389" t="s">
        <v>249</v>
      </c>
      <c r="H389" s="1">
        <v>34521.74</v>
      </c>
      <c r="I389" t="s">
        <v>250</v>
      </c>
      <c r="J389" s="1">
        <v>40</v>
      </c>
      <c r="K389" s="1">
        <v>0</v>
      </c>
      <c r="L389" s="1">
        <f t="shared" si="6"/>
        <v>34521.74</v>
      </c>
      <c r="M389" t="s">
        <v>511</v>
      </c>
    </row>
    <row r="390" spans="1:13" x14ac:dyDescent="0.3">
      <c r="A390">
        <v>376</v>
      </c>
      <c r="B390" s="2">
        <v>45623</v>
      </c>
      <c r="C390" s="2">
        <v>45623</v>
      </c>
      <c r="D390" t="s">
        <v>2013</v>
      </c>
      <c r="E390" t="s">
        <v>2014</v>
      </c>
      <c r="F390" s="1">
        <v>1000</v>
      </c>
      <c r="G390" t="s">
        <v>249</v>
      </c>
      <c r="H390" s="1">
        <v>33521.74</v>
      </c>
      <c r="I390" t="s">
        <v>250</v>
      </c>
      <c r="J390" s="1">
        <v>1000</v>
      </c>
      <c r="K390" s="1">
        <v>0</v>
      </c>
      <c r="L390" s="1">
        <f t="shared" si="6"/>
        <v>33521.74</v>
      </c>
      <c r="M390" t="s">
        <v>511</v>
      </c>
    </row>
    <row r="391" spans="1:13" x14ac:dyDescent="0.3">
      <c r="A391">
        <v>377</v>
      </c>
      <c r="B391" s="2">
        <v>45624</v>
      </c>
      <c r="C391" s="2">
        <v>45624</v>
      </c>
      <c r="D391" t="s">
        <v>2015</v>
      </c>
      <c r="E391" t="s">
        <v>2016</v>
      </c>
      <c r="F391" s="1">
        <v>1652.41</v>
      </c>
      <c r="G391" t="s">
        <v>249</v>
      </c>
      <c r="H391" s="1">
        <v>31869.33</v>
      </c>
      <c r="I391" t="s">
        <v>250</v>
      </c>
      <c r="J391" s="1">
        <v>1652.41</v>
      </c>
      <c r="K391" s="1">
        <v>0</v>
      </c>
      <c r="L391" s="1">
        <f t="shared" si="6"/>
        <v>31869.33</v>
      </c>
      <c r="M391" t="s">
        <v>511</v>
      </c>
    </row>
    <row r="392" spans="1:13" x14ac:dyDescent="0.3">
      <c r="A392">
        <v>378</v>
      </c>
      <c r="B392" s="2">
        <v>45624</v>
      </c>
      <c r="C392" s="2">
        <v>45624</v>
      </c>
      <c r="D392" t="s">
        <v>2017</v>
      </c>
      <c r="E392" t="s">
        <v>2018</v>
      </c>
      <c r="F392" s="1">
        <v>7000</v>
      </c>
      <c r="G392" t="s">
        <v>249</v>
      </c>
      <c r="H392" s="1">
        <v>24869.33</v>
      </c>
      <c r="I392" t="s">
        <v>250</v>
      </c>
      <c r="J392" s="1">
        <v>7000</v>
      </c>
      <c r="K392" s="1">
        <v>0</v>
      </c>
      <c r="L392" s="1">
        <f t="shared" si="6"/>
        <v>24869.33</v>
      </c>
      <c r="M392" t="s">
        <v>2532</v>
      </c>
    </row>
    <row r="393" spans="1:13" x14ac:dyDescent="0.3">
      <c r="A393">
        <v>379</v>
      </c>
      <c r="B393" s="2">
        <v>45624</v>
      </c>
      <c r="C393" s="2">
        <v>45624</v>
      </c>
      <c r="D393" t="s">
        <v>2019</v>
      </c>
      <c r="E393" t="s">
        <v>2020</v>
      </c>
      <c r="F393" s="1">
        <v>50</v>
      </c>
      <c r="G393" t="s">
        <v>249</v>
      </c>
      <c r="H393" s="1">
        <v>24819.33</v>
      </c>
      <c r="I393" t="s">
        <v>250</v>
      </c>
      <c r="J393" s="1">
        <v>50</v>
      </c>
      <c r="K393" s="1">
        <v>0</v>
      </c>
      <c r="L393" s="1">
        <f t="shared" si="6"/>
        <v>24819.33</v>
      </c>
      <c r="M393" t="s">
        <v>511</v>
      </c>
    </row>
    <row r="394" spans="1:13" x14ac:dyDescent="0.3">
      <c r="A394">
        <v>380</v>
      </c>
      <c r="B394" s="2">
        <v>45624</v>
      </c>
      <c r="C394" s="2">
        <v>45624</v>
      </c>
      <c r="D394" t="s">
        <v>358</v>
      </c>
      <c r="E394" t="s">
        <v>2021</v>
      </c>
      <c r="F394" s="1">
        <v>68895</v>
      </c>
      <c r="G394" t="s">
        <v>250</v>
      </c>
      <c r="H394" s="1">
        <v>93714.33</v>
      </c>
      <c r="I394" t="s">
        <v>250</v>
      </c>
      <c r="J394" s="1">
        <v>0</v>
      </c>
      <c r="K394" s="1">
        <v>68895</v>
      </c>
      <c r="L394" s="1">
        <f t="shared" si="6"/>
        <v>93714.33</v>
      </c>
      <c r="M394" t="s">
        <v>507</v>
      </c>
    </row>
    <row r="395" spans="1:13" x14ac:dyDescent="0.3">
      <c r="A395">
        <v>381</v>
      </c>
      <c r="B395" s="2">
        <v>45624</v>
      </c>
      <c r="C395" s="2">
        <v>45624</v>
      </c>
      <c r="D395" t="s">
        <v>2022</v>
      </c>
      <c r="E395" t="s">
        <v>2023</v>
      </c>
      <c r="F395" s="1">
        <v>20</v>
      </c>
      <c r="G395" t="s">
        <v>249</v>
      </c>
      <c r="H395" s="1">
        <v>93694.33</v>
      </c>
      <c r="I395" t="s">
        <v>250</v>
      </c>
      <c r="J395" s="1">
        <v>20</v>
      </c>
      <c r="K395" s="1">
        <v>0</v>
      </c>
      <c r="L395" s="1">
        <f t="shared" si="6"/>
        <v>93694.33</v>
      </c>
      <c r="M395" t="s">
        <v>511</v>
      </c>
    </row>
    <row r="396" spans="1:13" x14ac:dyDescent="0.3">
      <c r="A396">
        <v>382</v>
      </c>
      <c r="B396" s="2">
        <v>45625</v>
      </c>
      <c r="C396" s="2">
        <v>45625</v>
      </c>
      <c r="D396" t="s">
        <v>2024</v>
      </c>
      <c r="E396" t="s">
        <v>2025</v>
      </c>
      <c r="F396" s="1">
        <v>50</v>
      </c>
      <c r="G396" t="s">
        <v>249</v>
      </c>
      <c r="H396" s="1">
        <v>93644.33</v>
      </c>
      <c r="I396" t="s">
        <v>250</v>
      </c>
      <c r="J396" s="1">
        <v>50</v>
      </c>
      <c r="K396" s="1">
        <v>0</v>
      </c>
      <c r="L396" s="1">
        <f t="shared" si="6"/>
        <v>93644.33</v>
      </c>
      <c r="M396" t="s">
        <v>511</v>
      </c>
    </row>
    <row r="397" spans="1:13" x14ac:dyDescent="0.3">
      <c r="A397">
        <v>383</v>
      </c>
      <c r="B397" s="2">
        <v>45626</v>
      </c>
      <c r="C397" s="2">
        <v>45626</v>
      </c>
      <c r="D397" t="s">
        <v>2026</v>
      </c>
      <c r="E397" t="s">
        <v>2027</v>
      </c>
      <c r="F397" s="1">
        <v>60</v>
      </c>
      <c r="G397" t="s">
        <v>249</v>
      </c>
      <c r="H397" s="1">
        <v>93584.33</v>
      </c>
      <c r="I397" t="s">
        <v>250</v>
      </c>
      <c r="J397" s="1">
        <v>60</v>
      </c>
      <c r="K397" s="1">
        <v>0</v>
      </c>
      <c r="L397" s="1">
        <f t="shared" si="6"/>
        <v>93584.33</v>
      </c>
      <c r="M397" t="s">
        <v>511</v>
      </c>
    </row>
    <row r="398" spans="1:13" x14ac:dyDescent="0.3">
      <c r="A398">
        <v>384</v>
      </c>
      <c r="B398" s="2">
        <v>45628</v>
      </c>
      <c r="C398" s="2">
        <v>45628</v>
      </c>
      <c r="D398" t="s">
        <v>2028</v>
      </c>
      <c r="E398" t="s">
        <v>2029</v>
      </c>
      <c r="F398" s="1">
        <v>395</v>
      </c>
      <c r="G398" t="s">
        <v>249</v>
      </c>
      <c r="H398" s="1">
        <v>93189.33</v>
      </c>
      <c r="I398" t="s">
        <v>250</v>
      </c>
      <c r="J398" s="1">
        <v>395</v>
      </c>
      <c r="K398" s="1">
        <v>0</v>
      </c>
      <c r="L398" s="1">
        <f t="shared" si="6"/>
        <v>93189.33</v>
      </c>
      <c r="M398" t="s">
        <v>511</v>
      </c>
    </row>
    <row r="399" spans="1:13" x14ac:dyDescent="0.3">
      <c r="A399">
        <v>385</v>
      </c>
      <c r="B399" s="2">
        <v>45628</v>
      </c>
      <c r="C399" s="2">
        <v>45628</v>
      </c>
      <c r="D399" t="s">
        <v>2030</v>
      </c>
      <c r="E399" t="s">
        <v>2031</v>
      </c>
      <c r="F399" s="1">
        <v>120</v>
      </c>
      <c r="G399" t="s">
        <v>249</v>
      </c>
      <c r="H399" s="1">
        <v>93069.33</v>
      </c>
      <c r="I399" t="s">
        <v>250</v>
      </c>
      <c r="J399" s="1">
        <v>120</v>
      </c>
      <c r="K399" s="1">
        <v>0</v>
      </c>
      <c r="L399" s="1">
        <f t="shared" si="6"/>
        <v>93069.33</v>
      </c>
      <c r="M399" t="s">
        <v>511</v>
      </c>
    </row>
    <row r="400" spans="1:13" x14ac:dyDescent="0.3">
      <c r="A400">
        <v>386</v>
      </c>
      <c r="B400" s="2">
        <v>45629</v>
      </c>
      <c r="C400" s="2">
        <v>45629</v>
      </c>
      <c r="D400" t="s">
        <v>2032</v>
      </c>
      <c r="E400" t="s">
        <v>2033</v>
      </c>
      <c r="F400" s="1">
        <v>50</v>
      </c>
      <c r="G400" t="s">
        <v>249</v>
      </c>
      <c r="H400" s="1">
        <v>93019.33</v>
      </c>
      <c r="I400" t="s">
        <v>250</v>
      </c>
      <c r="J400" s="1">
        <v>50</v>
      </c>
      <c r="K400" s="1">
        <v>0</v>
      </c>
      <c r="L400" s="1">
        <f t="shared" si="6"/>
        <v>93019.33</v>
      </c>
      <c r="M400" t="s">
        <v>511</v>
      </c>
    </row>
    <row r="401" spans="1:13" x14ac:dyDescent="0.3">
      <c r="A401">
        <v>387</v>
      </c>
      <c r="B401" s="2">
        <v>45629</v>
      </c>
      <c r="C401" s="2">
        <v>45629</v>
      </c>
      <c r="D401" t="s">
        <v>2034</v>
      </c>
      <c r="E401" t="s">
        <v>2035</v>
      </c>
      <c r="F401" s="1">
        <v>60</v>
      </c>
      <c r="G401" t="s">
        <v>249</v>
      </c>
      <c r="H401" s="1">
        <v>92959.33</v>
      </c>
      <c r="I401" t="s">
        <v>250</v>
      </c>
      <c r="J401" s="1">
        <v>60</v>
      </c>
      <c r="K401" s="1">
        <v>0</v>
      </c>
      <c r="L401" s="1">
        <f t="shared" si="6"/>
        <v>92959.33</v>
      </c>
      <c r="M401" t="s">
        <v>511</v>
      </c>
    </row>
    <row r="402" spans="1:13" x14ac:dyDescent="0.3">
      <c r="A402">
        <v>388</v>
      </c>
      <c r="B402" s="2">
        <v>45629</v>
      </c>
      <c r="C402" s="2">
        <v>45629</v>
      </c>
      <c r="D402" t="s">
        <v>2036</v>
      </c>
      <c r="E402" t="s">
        <v>2037</v>
      </c>
      <c r="F402" s="1">
        <v>25</v>
      </c>
      <c r="G402" t="s">
        <v>250</v>
      </c>
      <c r="H402" s="1">
        <v>92984.33</v>
      </c>
      <c r="I402" t="s">
        <v>250</v>
      </c>
      <c r="J402" s="1">
        <v>0</v>
      </c>
      <c r="K402" s="1">
        <v>25</v>
      </c>
      <c r="L402" s="1">
        <f t="shared" si="6"/>
        <v>92984.33</v>
      </c>
      <c r="M402" t="s">
        <v>218</v>
      </c>
    </row>
    <row r="403" spans="1:13" x14ac:dyDescent="0.3">
      <c r="A403">
        <v>389</v>
      </c>
      <c r="B403" s="2">
        <v>45629</v>
      </c>
      <c r="C403" s="2">
        <v>45629</v>
      </c>
      <c r="D403" t="s">
        <v>2038</v>
      </c>
      <c r="E403" t="s">
        <v>2039</v>
      </c>
      <c r="F403" s="1">
        <v>15000</v>
      </c>
      <c r="G403" t="s">
        <v>249</v>
      </c>
      <c r="H403" s="1">
        <v>77984.33</v>
      </c>
      <c r="I403" t="s">
        <v>250</v>
      </c>
      <c r="J403" s="1">
        <v>15000</v>
      </c>
      <c r="K403" s="1">
        <v>0</v>
      </c>
      <c r="L403" s="1">
        <f t="shared" si="6"/>
        <v>77984.33</v>
      </c>
      <c r="M403" t="s">
        <v>511</v>
      </c>
    </row>
    <row r="404" spans="1:13" x14ac:dyDescent="0.3">
      <c r="A404">
        <v>390</v>
      </c>
      <c r="B404" s="2">
        <v>45631</v>
      </c>
      <c r="C404" s="2">
        <v>45631</v>
      </c>
      <c r="D404" t="s">
        <v>2040</v>
      </c>
      <c r="E404" t="s">
        <v>2041</v>
      </c>
      <c r="F404" s="1">
        <v>45</v>
      </c>
      <c r="G404" t="s">
        <v>249</v>
      </c>
      <c r="H404" s="1">
        <v>77939.33</v>
      </c>
      <c r="I404" t="s">
        <v>250</v>
      </c>
      <c r="J404" s="1">
        <v>45</v>
      </c>
      <c r="K404" s="1">
        <v>0</v>
      </c>
      <c r="L404" s="1">
        <f t="shared" si="6"/>
        <v>77939.33</v>
      </c>
      <c r="M404" t="s">
        <v>511</v>
      </c>
    </row>
    <row r="405" spans="1:13" x14ac:dyDescent="0.3">
      <c r="A405">
        <v>391</v>
      </c>
      <c r="B405" s="2">
        <v>45633</v>
      </c>
      <c r="C405" s="2">
        <v>45633</v>
      </c>
      <c r="D405" t="s">
        <v>2042</v>
      </c>
      <c r="E405" t="s">
        <v>2043</v>
      </c>
      <c r="F405" s="1">
        <v>50</v>
      </c>
      <c r="G405" t="s">
        <v>249</v>
      </c>
      <c r="H405" s="1">
        <v>77889.33</v>
      </c>
      <c r="I405" t="s">
        <v>250</v>
      </c>
      <c r="J405" s="1">
        <v>50</v>
      </c>
      <c r="K405" s="1">
        <v>0</v>
      </c>
      <c r="L405" s="1">
        <f t="shared" si="6"/>
        <v>77889.33</v>
      </c>
      <c r="M405" t="s">
        <v>511</v>
      </c>
    </row>
    <row r="406" spans="1:13" x14ac:dyDescent="0.3">
      <c r="A406">
        <v>392</v>
      </c>
      <c r="B406" s="2">
        <v>45633</v>
      </c>
      <c r="C406" s="2">
        <v>45633</v>
      </c>
      <c r="D406" t="s">
        <v>2044</v>
      </c>
      <c r="E406" t="s">
        <v>2045</v>
      </c>
      <c r="F406" s="1">
        <v>129</v>
      </c>
      <c r="G406" t="s">
        <v>249</v>
      </c>
      <c r="H406" s="1">
        <v>77760.33</v>
      </c>
      <c r="I406" t="s">
        <v>250</v>
      </c>
      <c r="J406" s="1">
        <v>129</v>
      </c>
      <c r="K406" s="1">
        <v>0</v>
      </c>
      <c r="L406" s="1">
        <f t="shared" si="6"/>
        <v>77760.33</v>
      </c>
      <c r="M406" t="s">
        <v>511</v>
      </c>
    </row>
    <row r="407" spans="1:13" x14ac:dyDescent="0.3">
      <c r="A407">
        <v>393</v>
      </c>
      <c r="B407" s="2">
        <v>45633</v>
      </c>
      <c r="C407" s="2">
        <v>45633</v>
      </c>
      <c r="D407" t="s">
        <v>2046</v>
      </c>
      <c r="E407" t="s">
        <v>2047</v>
      </c>
      <c r="F407" s="1">
        <v>127</v>
      </c>
      <c r="G407" t="s">
        <v>249</v>
      </c>
      <c r="H407" s="1">
        <v>77633.33</v>
      </c>
      <c r="I407" t="s">
        <v>250</v>
      </c>
      <c r="J407" s="1">
        <v>127</v>
      </c>
      <c r="K407" s="1">
        <v>0</v>
      </c>
      <c r="L407" s="1">
        <f t="shared" si="6"/>
        <v>77633.33</v>
      </c>
      <c r="M407" t="s">
        <v>511</v>
      </c>
    </row>
    <row r="408" spans="1:13" x14ac:dyDescent="0.3">
      <c r="A408">
        <v>394</v>
      </c>
      <c r="B408" s="2">
        <v>45633</v>
      </c>
      <c r="C408" s="2">
        <v>45633</v>
      </c>
      <c r="D408" t="s">
        <v>2048</v>
      </c>
      <c r="E408" t="s">
        <v>2049</v>
      </c>
      <c r="F408" s="1">
        <v>105</v>
      </c>
      <c r="G408" t="s">
        <v>249</v>
      </c>
      <c r="H408" s="1">
        <v>77528.33</v>
      </c>
      <c r="I408" t="s">
        <v>250</v>
      </c>
      <c r="J408" s="1">
        <v>105</v>
      </c>
      <c r="K408" s="1">
        <v>0</v>
      </c>
      <c r="L408" s="1">
        <f t="shared" si="6"/>
        <v>77528.33</v>
      </c>
      <c r="M408" t="s">
        <v>511</v>
      </c>
    </row>
    <row r="409" spans="1:13" x14ac:dyDescent="0.3">
      <c r="A409">
        <v>395</v>
      </c>
      <c r="B409" s="2">
        <v>45634</v>
      </c>
      <c r="C409" s="2">
        <v>45634</v>
      </c>
      <c r="D409" t="s">
        <v>2050</v>
      </c>
      <c r="E409" t="s">
        <v>2051</v>
      </c>
      <c r="F409" s="1">
        <v>111</v>
      </c>
      <c r="G409" t="s">
        <v>249</v>
      </c>
      <c r="H409" s="1">
        <v>77417.33</v>
      </c>
      <c r="I409" t="s">
        <v>250</v>
      </c>
      <c r="J409" s="1">
        <v>111</v>
      </c>
      <c r="K409" s="1">
        <v>0</v>
      </c>
      <c r="L409" s="1">
        <f t="shared" si="6"/>
        <v>77417.33</v>
      </c>
      <c r="M409" t="s">
        <v>511</v>
      </c>
    </row>
    <row r="410" spans="1:13" x14ac:dyDescent="0.3">
      <c r="A410">
        <v>396</v>
      </c>
      <c r="B410" s="2">
        <v>45634</v>
      </c>
      <c r="C410" s="2">
        <v>45634</v>
      </c>
      <c r="D410" t="s">
        <v>2052</v>
      </c>
      <c r="E410" t="s">
        <v>2053</v>
      </c>
      <c r="F410" s="1">
        <v>820</v>
      </c>
      <c r="G410" t="s">
        <v>249</v>
      </c>
      <c r="H410" s="1">
        <v>76597.33</v>
      </c>
      <c r="I410" t="s">
        <v>250</v>
      </c>
      <c r="J410" s="1">
        <v>820</v>
      </c>
      <c r="K410" s="1">
        <v>0</v>
      </c>
      <c r="L410" s="1">
        <f t="shared" si="6"/>
        <v>76597.33</v>
      </c>
      <c r="M410" t="s">
        <v>511</v>
      </c>
    </row>
    <row r="411" spans="1:13" x14ac:dyDescent="0.3">
      <c r="A411">
        <v>397</v>
      </c>
      <c r="B411" s="2">
        <v>45634</v>
      </c>
      <c r="C411" s="2">
        <v>45634</v>
      </c>
      <c r="D411" t="s">
        <v>2054</v>
      </c>
      <c r="E411" t="s">
        <v>2055</v>
      </c>
      <c r="F411" s="1">
        <v>20000</v>
      </c>
      <c r="G411" t="s">
        <v>249</v>
      </c>
      <c r="H411" s="1">
        <v>56597.33</v>
      </c>
      <c r="I411" t="s">
        <v>250</v>
      </c>
      <c r="J411" s="1">
        <v>20000</v>
      </c>
      <c r="K411" s="1">
        <v>0</v>
      </c>
      <c r="L411" s="1">
        <f t="shared" si="6"/>
        <v>56597.33</v>
      </c>
      <c r="M411" t="s">
        <v>511</v>
      </c>
    </row>
    <row r="412" spans="1:13" x14ac:dyDescent="0.3">
      <c r="A412">
        <v>398</v>
      </c>
      <c r="B412" s="2">
        <v>45635</v>
      </c>
      <c r="C412" s="2">
        <v>45635</v>
      </c>
      <c r="D412" t="s">
        <v>2056</v>
      </c>
      <c r="E412" t="s">
        <v>2057</v>
      </c>
      <c r="F412" s="1">
        <v>122.22</v>
      </c>
      <c r="G412" t="s">
        <v>250</v>
      </c>
      <c r="H412" s="1">
        <v>56719.55</v>
      </c>
      <c r="I412" t="s">
        <v>250</v>
      </c>
      <c r="J412" s="1">
        <v>0</v>
      </c>
      <c r="K412" s="1">
        <v>122.22</v>
      </c>
      <c r="L412" s="1">
        <f t="shared" si="6"/>
        <v>56719.55</v>
      </c>
      <c r="M412" t="s">
        <v>2535</v>
      </c>
    </row>
    <row r="413" spans="1:13" x14ac:dyDescent="0.3">
      <c r="A413">
        <v>399</v>
      </c>
      <c r="B413" s="2">
        <v>45635</v>
      </c>
      <c r="C413" s="2">
        <v>45635</v>
      </c>
      <c r="D413" t="s">
        <v>2058</v>
      </c>
      <c r="E413" t="s">
        <v>2059</v>
      </c>
      <c r="F413" s="1">
        <v>18</v>
      </c>
      <c r="G413" t="s">
        <v>250</v>
      </c>
      <c r="H413" s="1">
        <v>56737.55</v>
      </c>
      <c r="I413" t="s">
        <v>250</v>
      </c>
      <c r="J413" s="1">
        <v>0</v>
      </c>
      <c r="K413" s="1">
        <v>18</v>
      </c>
      <c r="L413" s="1">
        <f t="shared" si="6"/>
        <v>56737.55</v>
      </c>
      <c r="M413" t="s">
        <v>511</v>
      </c>
    </row>
    <row r="414" spans="1:13" x14ac:dyDescent="0.3">
      <c r="A414">
        <v>400</v>
      </c>
      <c r="B414" s="2">
        <v>45636</v>
      </c>
      <c r="C414" s="2">
        <v>45636</v>
      </c>
      <c r="D414" t="s">
        <v>2060</v>
      </c>
      <c r="E414" t="s">
        <v>2061</v>
      </c>
      <c r="F414" s="1">
        <v>50</v>
      </c>
      <c r="G414" t="s">
        <v>249</v>
      </c>
      <c r="H414" s="1">
        <v>56687.55</v>
      </c>
      <c r="I414" t="s">
        <v>250</v>
      </c>
      <c r="J414" s="1">
        <v>50</v>
      </c>
      <c r="K414" s="1">
        <v>0</v>
      </c>
      <c r="L414" s="1">
        <f t="shared" si="6"/>
        <v>56687.55</v>
      </c>
      <c r="M414" t="s">
        <v>511</v>
      </c>
    </row>
    <row r="415" spans="1:13" x14ac:dyDescent="0.3">
      <c r="A415">
        <v>401</v>
      </c>
      <c r="B415" s="2">
        <v>45640</v>
      </c>
      <c r="C415" s="2">
        <v>45640</v>
      </c>
      <c r="D415" t="s">
        <v>2062</v>
      </c>
      <c r="E415" t="s">
        <v>2063</v>
      </c>
      <c r="F415" s="1">
        <v>60</v>
      </c>
      <c r="G415" t="s">
        <v>249</v>
      </c>
      <c r="H415" s="1">
        <v>56627.55</v>
      </c>
      <c r="I415" t="s">
        <v>250</v>
      </c>
      <c r="J415" s="1">
        <v>60</v>
      </c>
      <c r="K415" s="1">
        <v>0</v>
      </c>
      <c r="L415" s="1">
        <f t="shared" si="6"/>
        <v>56627.55</v>
      </c>
      <c r="M415" t="s">
        <v>511</v>
      </c>
    </row>
    <row r="416" spans="1:13" x14ac:dyDescent="0.3">
      <c r="A416">
        <v>402</v>
      </c>
      <c r="B416" s="2">
        <v>45640</v>
      </c>
      <c r="C416" s="2">
        <v>45640</v>
      </c>
      <c r="D416" t="s">
        <v>2064</v>
      </c>
      <c r="E416" t="s">
        <v>2065</v>
      </c>
      <c r="F416" s="1">
        <v>25</v>
      </c>
      <c r="G416" t="s">
        <v>249</v>
      </c>
      <c r="H416" s="1">
        <v>56602.55</v>
      </c>
      <c r="I416" t="s">
        <v>250</v>
      </c>
      <c r="J416" s="1">
        <v>25</v>
      </c>
      <c r="K416" s="1">
        <v>0</v>
      </c>
      <c r="L416" s="1">
        <f t="shared" si="6"/>
        <v>56602.55</v>
      </c>
      <c r="M416" t="s">
        <v>511</v>
      </c>
    </row>
    <row r="417" spans="1:13" x14ac:dyDescent="0.3">
      <c r="A417">
        <v>403</v>
      </c>
      <c r="B417" s="2">
        <v>45640</v>
      </c>
      <c r="C417" s="2">
        <v>45640</v>
      </c>
      <c r="D417" t="s">
        <v>2066</v>
      </c>
      <c r="E417" t="s">
        <v>2067</v>
      </c>
      <c r="F417" s="1">
        <v>97</v>
      </c>
      <c r="G417" t="s">
        <v>249</v>
      </c>
      <c r="H417" s="1">
        <v>56505.55</v>
      </c>
      <c r="I417" t="s">
        <v>250</v>
      </c>
      <c r="J417" s="1">
        <v>97</v>
      </c>
      <c r="K417" s="1">
        <v>0</v>
      </c>
      <c r="L417" s="1">
        <f t="shared" si="6"/>
        <v>56505.55</v>
      </c>
      <c r="M417" t="s">
        <v>511</v>
      </c>
    </row>
    <row r="418" spans="1:13" x14ac:dyDescent="0.3">
      <c r="A418">
        <v>404</v>
      </c>
      <c r="B418" s="2">
        <v>45640</v>
      </c>
      <c r="C418" s="2">
        <v>45640</v>
      </c>
      <c r="D418" t="s">
        <v>2068</v>
      </c>
      <c r="E418" t="s">
        <v>2069</v>
      </c>
      <c r="F418" s="1">
        <v>1500</v>
      </c>
      <c r="G418" t="s">
        <v>249</v>
      </c>
      <c r="H418" s="1">
        <v>55005.55</v>
      </c>
      <c r="I418" t="s">
        <v>250</v>
      </c>
      <c r="J418" s="1">
        <v>1500</v>
      </c>
      <c r="K418" s="1">
        <v>0</v>
      </c>
      <c r="L418" s="1">
        <f t="shared" si="6"/>
        <v>55005.55</v>
      </c>
      <c r="M418" t="s">
        <v>511</v>
      </c>
    </row>
    <row r="419" spans="1:13" x14ac:dyDescent="0.3">
      <c r="A419">
        <v>405</v>
      </c>
      <c r="B419" s="2">
        <v>45641</v>
      </c>
      <c r="C419" s="2">
        <v>45641</v>
      </c>
      <c r="D419" t="s">
        <v>2070</v>
      </c>
      <c r="E419" t="s">
        <v>2071</v>
      </c>
      <c r="F419" s="1">
        <v>1500</v>
      </c>
      <c r="G419" t="s">
        <v>249</v>
      </c>
      <c r="H419" s="1">
        <v>53505.55</v>
      </c>
      <c r="I419" t="s">
        <v>250</v>
      </c>
      <c r="J419" s="1">
        <v>1500</v>
      </c>
      <c r="K419" s="1">
        <v>0</v>
      </c>
      <c r="L419" s="1">
        <f t="shared" si="6"/>
        <v>53505.55</v>
      </c>
      <c r="M419" t="s">
        <v>511</v>
      </c>
    </row>
    <row r="420" spans="1:13" x14ac:dyDescent="0.3">
      <c r="A420">
        <v>406</v>
      </c>
      <c r="B420" s="2">
        <v>45641</v>
      </c>
      <c r="C420" s="2">
        <v>45641</v>
      </c>
      <c r="D420" t="s">
        <v>2072</v>
      </c>
      <c r="E420" t="s">
        <v>2073</v>
      </c>
      <c r="F420" s="1">
        <v>102</v>
      </c>
      <c r="G420" t="s">
        <v>249</v>
      </c>
      <c r="H420" s="1">
        <v>53403.55</v>
      </c>
      <c r="I420" t="s">
        <v>250</v>
      </c>
      <c r="J420" s="1">
        <v>102</v>
      </c>
      <c r="K420" s="1">
        <v>0</v>
      </c>
      <c r="L420" s="1">
        <f t="shared" si="6"/>
        <v>53403.55</v>
      </c>
      <c r="M420" t="s">
        <v>511</v>
      </c>
    </row>
    <row r="421" spans="1:13" x14ac:dyDescent="0.3">
      <c r="A421">
        <v>407</v>
      </c>
      <c r="B421" s="2">
        <v>45641</v>
      </c>
      <c r="C421" s="2">
        <v>45641</v>
      </c>
      <c r="D421" t="s">
        <v>2074</v>
      </c>
      <c r="E421" t="s">
        <v>2075</v>
      </c>
      <c r="F421" s="1">
        <v>198</v>
      </c>
      <c r="G421" t="s">
        <v>249</v>
      </c>
      <c r="H421" s="1">
        <v>53205.55</v>
      </c>
      <c r="I421" t="s">
        <v>250</v>
      </c>
      <c r="J421" s="1">
        <v>198</v>
      </c>
      <c r="K421" s="1">
        <v>0</v>
      </c>
      <c r="L421" s="1">
        <f t="shared" si="6"/>
        <v>53205.55</v>
      </c>
      <c r="M421" t="s">
        <v>511</v>
      </c>
    </row>
    <row r="422" spans="1:13" x14ac:dyDescent="0.3">
      <c r="A422">
        <v>408</v>
      </c>
      <c r="B422" s="2">
        <v>45641</v>
      </c>
      <c r="C422" s="2">
        <v>45641</v>
      </c>
      <c r="D422" t="s">
        <v>2076</v>
      </c>
      <c r="E422" t="s">
        <v>2077</v>
      </c>
      <c r="F422" s="1">
        <v>430</v>
      </c>
      <c r="G422" t="s">
        <v>250</v>
      </c>
      <c r="H422" s="1">
        <v>53635.55</v>
      </c>
      <c r="I422" t="s">
        <v>250</v>
      </c>
      <c r="J422" s="1">
        <v>0</v>
      </c>
      <c r="K422" s="1">
        <v>430</v>
      </c>
      <c r="L422" s="1">
        <f t="shared" si="6"/>
        <v>53635.55</v>
      </c>
      <c r="M422" t="s">
        <v>511</v>
      </c>
    </row>
    <row r="423" spans="1:13" x14ac:dyDescent="0.3">
      <c r="A423">
        <v>409</v>
      </c>
      <c r="B423" s="2">
        <v>45642</v>
      </c>
      <c r="C423" s="2">
        <v>45642</v>
      </c>
      <c r="D423" t="s">
        <v>2078</v>
      </c>
      <c r="E423" t="s">
        <v>2079</v>
      </c>
      <c r="F423" s="1">
        <v>1500</v>
      </c>
      <c r="G423" t="s">
        <v>249</v>
      </c>
      <c r="H423" s="1">
        <v>52135.55</v>
      </c>
      <c r="I423" t="s">
        <v>250</v>
      </c>
      <c r="J423" s="1">
        <v>1500</v>
      </c>
      <c r="K423" s="1">
        <v>0</v>
      </c>
      <c r="L423" s="1">
        <f t="shared" si="6"/>
        <v>52135.55</v>
      </c>
      <c r="M423" t="s">
        <v>511</v>
      </c>
    </row>
    <row r="424" spans="1:13" x14ac:dyDescent="0.3">
      <c r="A424">
        <v>410</v>
      </c>
      <c r="B424" s="2">
        <v>45642</v>
      </c>
      <c r="C424" s="2">
        <v>45642</v>
      </c>
      <c r="D424" t="s">
        <v>2080</v>
      </c>
      <c r="E424" t="s">
        <v>2081</v>
      </c>
      <c r="F424" s="1">
        <v>99</v>
      </c>
      <c r="G424" t="s">
        <v>249</v>
      </c>
      <c r="H424" s="1">
        <v>52036.55</v>
      </c>
      <c r="I424" t="s">
        <v>250</v>
      </c>
      <c r="J424" s="1">
        <v>99</v>
      </c>
      <c r="K424" s="1">
        <v>0</v>
      </c>
      <c r="L424" s="1">
        <f t="shared" si="6"/>
        <v>52036.55</v>
      </c>
      <c r="M424" t="s">
        <v>511</v>
      </c>
    </row>
    <row r="425" spans="1:13" x14ac:dyDescent="0.3">
      <c r="A425">
        <v>411</v>
      </c>
      <c r="B425" s="2">
        <v>45643</v>
      </c>
      <c r="C425" s="2">
        <v>45643</v>
      </c>
      <c r="D425" t="s">
        <v>2082</v>
      </c>
      <c r="E425" t="s">
        <v>2083</v>
      </c>
      <c r="F425" s="1">
        <v>50</v>
      </c>
      <c r="G425" t="s">
        <v>249</v>
      </c>
      <c r="H425" s="1">
        <v>51986.55</v>
      </c>
      <c r="I425" t="s">
        <v>250</v>
      </c>
      <c r="J425" s="1">
        <v>50</v>
      </c>
      <c r="K425" s="1">
        <v>0</v>
      </c>
      <c r="L425" s="1">
        <f t="shared" si="6"/>
        <v>51986.55</v>
      </c>
      <c r="M425" t="s">
        <v>511</v>
      </c>
    </row>
    <row r="426" spans="1:13" x14ac:dyDescent="0.3">
      <c r="A426">
        <v>412</v>
      </c>
      <c r="B426" s="2">
        <v>45643</v>
      </c>
      <c r="C426" s="2">
        <v>45643</v>
      </c>
      <c r="D426" t="s">
        <v>2084</v>
      </c>
      <c r="E426" t="s">
        <v>2085</v>
      </c>
      <c r="F426" s="1">
        <v>70</v>
      </c>
      <c r="G426" t="s">
        <v>249</v>
      </c>
      <c r="H426" s="1">
        <v>51916.55</v>
      </c>
      <c r="I426" t="s">
        <v>250</v>
      </c>
      <c r="J426" s="1">
        <v>70</v>
      </c>
      <c r="K426" s="1">
        <v>0</v>
      </c>
      <c r="L426" s="1">
        <f t="shared" si="6"/>
        <v>51916.55</v>
      </c>
      <c r="M426" t="s">
        <v>511</v>
      </c>
    </row>
    <row r="427" spans="1:13" x14ac:dyDescent="0.3">
      <c r="A427">
        <v>413</v>
      </c>
      <c r="B427" s="2">
        <v>45643</v>
      </c>
      <c r="C427" s="2">
        <v>45643</v>
      </c>
      <c r="D427" t="s">
        <v>2086</v>
      </c>
      <c r="E427" t="s">
        <v>2087</v>
      </c>
      <c r="F427" s="1">
        <v>5000</v>
      </c>
      <c r="G427" t="s">
        <v>249</v>
      </c>
      <c r="H427" s="1">
        <v>46916.55</v>
      </c>
      <c r="I427" t="s">
        <v>250</v>
      </c>
      <c r="J427" s="1">
        <v>5000</v>
      </c>
      <c r="K427" s="1">
        <v>0</v>
      </c>
      <c r="L427" s="1">
        <f t="shared" si="6"/>
        <v>46916.55</v>
      </c>
      <c r="M427" t="s">
        <v>511</v>
      </c>
    </row>
    <row r="428" spans="1:13" x14ac:dyDescent="0.3">
      <c r="A428">
        <v>414</v>
      </c>
      <c r="B428" s="2">
        <v>45644</v>
      </c>
      <c r="C428" s="2">
        <v>45644</v>
      </c>
      <c r="D428" t="s">
        <v>2088</v>
      </c>
      <c r="E428" t="s">
        <v>2089</v>
      </c>
      <c r="F428" s="1">
        <v>72</v>
      </c>
      <c r="G428" t="s">
        <v>249</v>
      </c>
      <c r="H428" s="1">
        <v>46844.55</v>
      </c>
      <c r="I428" t="s">
        <v>250</v>
      </c>
      <c r="J428" s="1">
        <v>72</v>
      </c>
      <c r="K428" s="1">
        <v>0</v>
      </c>
      <c r="L428" s="1">
        <f t="shared" si="6"/>
        <v>46844.55</v>
      </c>
      <c r="M428" t="s">
        <v>511</v>
      </c>
    </row>
    <row r="429" spans="1:13" x14ac:dyDescent="0.3">
      <c r="A429">
        <v>415</v>
      </c>
      <c r="B429" s="2">
        <v>45644</v>
      </c>
      <c r="C429" s="2">
        <v>45644</v>
      </c>
      <c r="D429" t="s">
        <v>2090</v>
      </c>
      <c r="E429" t="s">
        <v>2091</v>
      </c>
      <c r="F429" s="1">
        <v>1500</v>
      </c>
      <c r="G429" t="s">
        <v>249</v>
      </c>
      <c r="H429" s="1">
        <v>45344.55</v>
      </c>
      <c r="I429" t="s">
        <v>250</v>
      </c>
      <c r="J429" s="1">
        <v>1500</v>
      </c>
      <c r="K429" s="1">
        <v>0</v>
      </c>
      <c r="L429" s="1">
        <f t="shared" si="6"/>
        <v>45344.55</v>
      </c>
      <c r="M429" t="s">
        <v>511</v>
      </c>
    </row>
    <row r="430" spans="1:13" x14ac:dyDescent="0.3">
      <c r="A430">
        <v>416</v>
      </c>
      <c r="B430" s="2">
        <v>45644</v>
      </c>
      <c r="C430" s="2">
        <v>45644</v>
      </c>
      <c r="D430" t="s">
        <v>2092</v>
      </c>
      <c r="E430" t="s">
        <v>2093</v>
      </c>
      <c r="F430" s="1">
        <v>75</v>
      </c>
      <c r="G430" t="s">
        <v>249</v>
      </c>
      <c r="H430" s="1">
        <v>45269.55</v>
      </c>
      <c r="I430" t="s">
        <v>250</v>
      </c>
      <c r="J430" s="1">
        <v>75</v>
      </c>
      <c r="K430" s="1">
        <v>0</v>
      </c>
      <c r="L430" s="1">
        <f t="shared" si="6"/>
        <v>45269.55</v>
      </c>
      <c r="M430" t="s">
        <v>511</v>
      </c>
    </row>
    <row r="431" spans="1:13" x14ac:dyDescent="0.3">
      <c r="A431">
        <v>417</v>
      </c>
      <c r="B431" s="2">
        <v>45644</v>
      </c>
      <c r="C431" s="2">
        <v>45644</v>
      </c>
      <c r="D431" t="s">
        <v>2094</v>
      </c>
      <c r="E431" t="s">
        <v>2095</v>
      </c>
      <c r="F431" s="1">
        <v>1</v>
      </c>
      <c r="G431" t="s">
        <v>249</v>
      </c>
      <c r="H431" s="1">
        <v>45268.55</v>
      </c>
      <c r="I431" t="s">
        <v>250</v>
      </c>
      <c r="J431" s="1">
        <v>1</v>
      </c>
      <c r="K431" s="1">
        <v>0</v>
      </c>
      <c r="L431" s="1">
        <f t="shared" si="6"/>
        <v>45268.55</v>
      </c>
      <c r="M431" t="s">
        <v>511</v>
      </c>
    </row>
    <row r="432" spans="1:13" x14ac:dyDescent="0.3">
      <c r="A432">
        <v>418</v>
      </c>
      <c r="B432" s="2">
        <v>45644</v>
      </c>
      <c r="C432" s="2">
        <v>45644</v>
      </c>
      <c r="D432" t="s">
        <v>2096</v>
      </c>
      <c r="E432" t="s">
        <v>2097</v>
      </c>
      <c r="F432" s="1">
        <v>4999</v>
      </c>
      <c r="G432" t="s">
        <v>249</v>
      </c>
      <c r="H432" s="1">
        <v>40269.550000000003</v>
      </c>
      <c r="I432" t="s">
        <v>250</v>
      </c>
      <c r="J432" s="1">
        <v>4999</v>
      </c>
      <c r="K432" s="1">
        <v>0</v>
      </c>
      <c r="L432" s="1">
        <f t="shared" si="6"/>
        <v>40269.550000000003</v>
      </c>
      <c r="M432" t="s">
        <v>511</v>
      </c>
    </row>
    <row r="433" spans="1:13" x14ac:dyDescent="0.3">
      <c r="A433">
        <v>419</v>
      </c>
      <c r="B433" s="2">
        <v>45645</v>
      </c>
      <c r="C433" s="2">
        <v>45645</v>
      </c>
      <c r="D433" t="s">
        <v>2098</v>
      </c>
      <c r="E433" t="s">
        <v>2099</v>
      </c>
      <c r="F433" s="1">
        <v>45</v>
      </c>
      <c r="G433" t="s">
        <v>249</v>
      </c>
      <c r="H433" s="1">
        <v>40224.550000000003</v>
      </c>
      <c r="I433" t="s">
        <v>250</v>
      </c>
      <c r="J433" s="1">
        <v>45</v>
      </c>
      <c r="K433" s="1">
        <v>0</v>
      </c>
      <c r="L433" s="1">
        <f t="shared" si="6"/>
        <v>40224.550000000003</v>
      </c>
      <c r="M433" t="s">
        <v>511</v>
      </c>
    </row>
    <row r="434" spans="1:13" x14ac:dyDescent="0.3">
      <c r="A434">
        <v>420</v>
      </c>
      <c r="B434" s="2">
        <v>45646</v>
      </c>
      <c r="C434" s="2">
        <v>45646</v>
      </c>
      <c r="D434" t="s">
        <v>2100</v>
      </c>
      <c r="E434" t="s">
        <v>2101</v>
      </c>
      <c r="F434" s="1">
        <v>1500</v>
      </c>
      <c r="G434" t="s">
        <v>249</v>
      </c>
      <c r="H434" s="1">
        <v>38724.550000000003</v>
      </c>
      <c r="I434" t="s">
        <v>250</v>
      </c>
      <c r="J434" s="1">
        <v>1500</v>
      </c>
      <c r="K434" s="1">
        <v>0</v>
      </c>
      <c r="L434" s="1">
        <f t="shared" si="6"/>
        <v>38724.550000000003</v>
      </c>
      <c r="M434" t="s">
        <v>511</v>
      </c>
    </row>
    <row r="435" spans="1:13" x14ac:dyDescent="0.3">
      <c r="A435">
        <v>421</v>
      </c>
      <c r="B435" s="2">
        <v>45646</v>
      </c>
      <c r="C435" s="2">
        <v>45646</v>
      </c>
      <c r="D435" t="s">
        <v>2102</v>
      </c>
      <c r="E435" t="s">
        <v>2103</v>
      </c>
      <c r="F435" s="1">
        <v>80</v>
      </c>
      <c r="G435" t="s">
        <v>249</v>
      </c>
      <c r="H435" s="1">
        <v>38644.550000000003</v>
      </c>
      <c r="I435" t="s">
        <v>250</v>
      </c>
      <c r="J435" s="1">
        <v>80</v>
      </c>
      <c r="K435" s="1">
        <v>0</v>
      </c>
      <c r="L435" s="1">
        <f t="shared" si="6"/>
        <v>38644.550000000003</v>
      </c>
      <c r="M435" t="s">
        <v>511</v>
      </c>
    </row>
    <row r="436" spans="1:13" x14ac:dyDescent="0.3">
      <c r="A436">
        <v>422</v>
      </c>
      <c r="B436" s="2">
        <v>45647</v>
      </c>
      <c r="C436" s="2">
        <v>45647</v>
      </c>
      <c r="D436" t="s">
        <v>2104</v>
      </c>
      <c r="E436" t="s">
        <v>2105</v>
      </c>
      <c r="F436" s="1">
        <v>1500</v>
      </c>
      <c r="G436" t="s">
        <v>249</v>
      </c>
      <c r="H436" s="1">
        <v>37144.550000000003</v>
      </c>
      <c r="I436" t="s">
        <v>250</v>
      </c>
      <c r="J436" s="1">
        <v>1500</v>
      </c>
      <c r="K436" s="1">
        <v>0</v>
      </c>
      <c r="L436" s="1">
        <f t="shared" si="6"/>
        <v>37144.550000000003</v>
      </c>
      <c r="M436" t="s">
        <v>511</v>
      </c>
    </row>
    <row r="437" spans="1:13" x14ac:dyDescent="0.3">
      <c r="A437">
        <v>423</v>
      </c>
      <c r="B437" s="2">
        <v>45647</v>
      </c>
      <c r="C437" s="2">
        <v>45647</v>
      </c>
      <c r="D437" t="s">
        <v>2106</v>
      </c>
      <c r="E437" t="s">
        <v>2107</v>
      </c>
      <c r="F437" s="1">
        <v>300</v>
      </c>
      <c r="G437" t="s">
        <v>249</v>
      </c>
      <c r="H437" s="1">
        <v>36844.550000000003</v>
      </c>
      <c r="I437" t="s">
        <v>250</v>
      </c>
      <c r="J437" s="1">
        <v>300</v>
      </c>
      <c r="K437" s="1">
        <v>0</v>
      </c>
      <c r="L437" s="1">
        <f t="shared" si="6"/>
        <v>36844.550000000003</v>
      </c>
      <c r="M437" t="s">
        <v>511</v>
      </c>
    </row>
    <row r="438" spans="1:13" x14ac:dyDescent="0.3">
      <c r="A438">
        <v>424</v>
      </c>
      <c r="B438" s="2">
        <v>45647</v>
      </c>
      <c r="C438" s="2">
        <v>45647</v>
      </c>
      <c r="D438" t="s">
        <v>2108</v>
      </c>
      <c r="E438" t="s">
        <v>2109</v>
      </c>
      <c r="F438" s="1">
        <v>40</v>
      </c>
      <c r="G438" t="s">
        <v>249</v>
      </c>
      <c r="H438" s="1">
        <v>36804.550000000003</v>
      </c>
      <c r="I438" t="s">
        <v>250</v>
      </c>
      <c r="J438" s="1">
        <v>40</v>
      </c>
      <c r="K438" s="1">
        <v>0</v>
      </c>
      <c r="L438" s="1">
        <f t="shared" si="6"/>
        <v>36804.550000000003</v>
      </c>
      <c r="M438" t="s">
        <v>511</v>
      </c>
    </row>
    <row r="439" spans="1:13" x14ac:dyDescent="0.3">
      <c r="A439">
        <v>425</v>
      </c>
      <c r="B439" s="2">
        <v>45648</v>
      </c>
      <c r="C439" s="2">
        <v>45648</v>
      </c>
      <c r="D439" t="s">
        <v>2110</v>
      </c>
      <c r="E439" t="s">
        <v>2111</v>
      </c>
      <c r="F439" s="1">
        <v>1500</v>
      </c>
      <c r="G439" t="s">
        <v>249</v>
      </c>
      <c r="H439" s="1">
        <v>35304.550000000003</v>
      </c>
      <c r="I439" t="s">
        <v>250</v>
      </c>
      <c r="J439" s="1">
        <v>1500</v>
      </c>
      <c r="K439" s="1">
        <v>0</v>
      </c>
      <c r="L439" s="1">
        <f t="shared" si="6"/>
        <v>35304.550000000003</v>
      </c>
      <c r="M439" t="s">
        <v>511</v>
      </c>
    </row>
    <row r="440" spans="1:13" x14ac:dyDescent="0.3">
      <c r="A440">
        <v>426</v>
      </c>
      <c r="B440" s="2">
        <v>45648</v>
      </c>
      <c r="C440" s="2">
        <v>45648</v>
      </c>
      <c r="D440" t="s">
        <v>2112</v>
      </c>
      <c r="E440" t="s">
        <v>2113</v>
      </c>
      <c r="F440" s="1">
        <v>2397</v>
      </c>
      <c r="G440" t="s">
        <v>249</v>
      </c>
      <c r="H440" s="1">
        <v>32907.550000000003</v>
      </c>
      <c r="I440" t="s">
        <v>250</v>
      </c>
      <c r="J440" s="1">
        <v>2397</v>
      </c>
      <c r="K440" s="1">
        <v>0</v>
      </c>
      <c r="L440" s="1">
        <f t="shared" si="6"/>
        <v>32907.550000000003</v>
      </c>
      <c r="M440" t="s">
        <v>511</v>
      </c>
    </row>
    <row r="441" spans="1:13" x14ac:dyDescent="0.3">
      <c r="A441">
        <v>427</v>
      </c>
      <c r="B441" s="2">
        <v>45648</v>
      </c>
      <c r="C441" s="2">
        <v>45648</v>
      </c>
      <c r="D441" t="s">
        <v>2114</v>
      </c>
      <c r="E441" t="s">
        <v>2115</v>
      </c>
      <c r="F441" s="1">
        <v>7200</v>
      </c>
      <c r="G441" t="s">
        <v>249</v>
      </c>
      <c r="H441" s="1">
        <v>25707.55</v>
      </c>
      <c r="I441" t="s">
        <v>250</v>
      </c>
      <c r="J441" s="1">
        <v>7200</v>
      </c>
      <c r="K441" s="1">
        <v>0</v>
      </c>
      <c r="L441" s="1">
        <f t="shared" si="6"/>
        <v>25707.55</v>
      </c>
      <c r="M441" t="s">
        <v>511</v>
      </c>
    </row>
    <row r="442" spans="1:13" x14ac:dyDescent="0.3">
      <c r="A442">
        <v>428</v>
      </c>
      <c r="B442" s="2">
        <v>45649</v>
      </c>
      <c r="C442" s="2">
        <v>45649</v>
      </c>
      <c r="D442" t="s">
        <v>2116</v>
      </c>
      <c r="E442" t="s">
        <v>2117</v>
      </c>
      <c r="F442" s="1">
        <v>1500</v>
      </c>
      <c r="G442" t="s">
        <v>249</v>
      </c>
      <c r="H442" s="1">
        <v>24207.55</v>
      </c>
      <c r="I442" t="s">
        <v>250</v>
      </c>
      <c r="J442" s="1">
        <v>1500</v>
      </c>
      <c r="K442" s="1">
        <v>0</v>
      </c>
      <c r="L442" s="1">
        <f t="shared" si="6"/>
        <v>24207.55</v>
      </c>
      <c r="M442" t="s">
        <v>511</v>
      </c>
    </row>
    <row r="443" spans="1:13" x14ac:dyDescent="0.3">
      <c r="A443">
        <v>429</v>
      </c>
      <c r="B443" s="2">
        <v>45649</v>
      </c>
      <c r="C443" s="2">
        <v>45649</v>
      </c>
      <c r="D443" t="s">
        <v>2118</v>
      </c>
      <c r="E443" t="s">
        <v>2119</v>
      </c>
      <c r="F443" s="1">
        <v>50</v>
      </c>
      <c r="G443" t="s">
        <v>249</v>
      </c>
      <c r="H443" s="1">
        <v>24157.55</v>
      </c>
      <c r="I443" t="s">
        <v>250</v>
      </c>
      <c r="J443" s="1">
        <v>50</v>
      </c>
      <c r="K443" s="1">
        <v>0</v>
      </c>
      <c r="L443" s="1">
        <f t="shared" si="6"/>
        <v>24157.55</v>
      </c>
      <c r="M443" t="s">
        <v>511</v>
      </c>
    </row>
    <row r="444" spans="1:13" x14ac:dyDescent="0.3">
      <c r="A444">
        <v>430</v>
      </c>
      <c r="B444" s="2">
        <v>45649</v>
      </c>
      <c r="C444" s="2">
        <v>45649</v>
      </c>
      <c r="D444" t="s">
        <v>2120</v>
      </c>
      <c r="E444" t="s">
        <v>2121</v>
      </c>
      <c r="F444" s="1">
        <v>10157</v>
      </c>
      <c r="G444" t="s">
        <v>249</v>
      </c>
      <c r="H444" s="1">
        <v>14000.55</v>
      </c>
      <c r="I444" t="s">
        <v>250</v>
      </c>
      <c r="J444" s="1">
        <v>10157</v>
      </c>
      <c r="K444" s="1">
        <v>0</v>
      </c>
      <c r="L444" s="1">
        <f t="shared" si="6"/>
        <v>14000.55</v>
      </c>
      <c r="M444" t="s">
        <v>511</v>
      </c>
    </row>
    <row r="445" spans="1:13" x14ac:dyDescent="0.3">
      <c r="A445">
        <v>431</v>
      </c>
      <c r="B445" s="2">
        <v>45650</v>
      </c>
      <c r="C445" s="2">
        <v>45650</v>
      </c>
      <c r="D445" t="s">
        <v>2122</v>
      </c>
      <c r="E445" t="s">
        <v>2123</v>
      </c>
      <c r="F445" s="1">
        <v>1446.19</v>
      </c>
      <c r="G445" t="s">
        <v>249</v>
      </c>
      <c r="H445" s="1">
        <v>12554.36</v>
      </c>
      <c r="I445" t="s">
        <v>250</v>
      </c>
      <c r="J445" s="1">
        <v>1446.19</v>
      </c>
      <c r="K445" s="1">
        <v>0</v>
      </c>
      <c r="L445" s="1">
        <f t="shared" si="6"/>
        <v>12554.36</v>
      </c>
      <c r="M445" t="s">
        <v>511</v>
      </c>
    </row>
    <row r="446" spans="1:13" x14ac:dyDescent="0.3">
      <c r="A446">
        <v>432</v>
      </c>
      <c r="B446" s="2">
        <v>45650</v>
      </c>
      <c r="C446" s="2">
        <v>45650</v>
      </c>
      <c r="D446" t="s">
        <v>2124</v>
      </c>
      <c r="E446" t="s">
        <v>2125</v>
      </c>
      <c r="F446" s="1">
        <v>50</v>
      </c>
      <c r="G446" t="s">
        <v>249</v>
      </c>
      <c r="H446" s="1">
        <v>12504.36</v>
      </c>
      <c r="I446" t="s">
        <v>250</v>
      </c>
      <c r="J446" s="1">
        <v>50</v>
      </c>
      <c r="K446" s="1">
        <v>0</v>
      </c>
      <c r="L446" s="1">
        <f t="shared" si="6"/>
        <v>12504.36</v>
      </c>
      <c r="M446" t="s">
        <v>511</v>
      </c>
    </row>
    <row r="447" spans="1:13" x14ac:dyDescent="0.3">
      <c r="A447">
        <v>433</v>
      </c>
      <c r="B447" s="2">
        <v>45650</v>
      </c>
      <c r="C447" s="2">
        <v>45650</v>
      </c>
      <c r="D447" t="s">
        <v>2126</v>
      </c>
      <c r="E447" t="s">
        <v>2127</v>
      </c>
      <c r="F447" s="1">
        <v>62</v>
      </c>
      <c r="G447" t="s">
        <v>249</v>
      </c>
      <c r="H447" s="1">
        <v>12442.36</v>
      </c>
      <c r="I447" t="s">
        <v>250</v>
      </c>
      <c r="J447" s="1">
        <v>62</v>
      </c>
      <c r="K447" s="1">
        <v>0</v>
      </c>
      <c r="L447" s="1">
        <f t="shared" si="6"/>
        <v>12442.36</v>
      </c>
      <c r="M447" t="s">
        <v>511</v>
      </c>
    </row>
    <row r="448" spans="1:13" x14ac:dyDescent="0.3">
      <c r="A448">
        <v>434</v>
      </c>
      <c r="B448" s="2">
        <v>45650</v>
      </c>
      <c r="C448" s="2">
        <v>45650</v>
      </c>
      <c r="D448" t="s">
        <v>2128</v>
      </c>
      <c r="E448" t="s">
        <v>2129</v>
      </c>
      <c r="F448" s="1">
        <v>1273</v>
      </c>
      <c r="G448" t="s">
        <v>250</v>
      </c>
      <c r="H448" s="1">
        <v>13715.36</v>
      </c>
      <c r="I448" t="s">
        <v>250</v>
      </c>
      <c r="J448" s="1">
        <v>0</v>
      </c>
      <c r="K448" s="1">
        <v>1273</v>
      </c>
      <c r="L448" s="1">
        <f t="shared" si="6"/>
        <v>13715.36</v>
      </c>
      <c r="M448" t="s">
        <v>511</v>
      </c>
    </row>
    <row r="449" spans="1:13" x14ac:dyDescent="0.3">
      <c r="A449">
        <v>435</v>
      </c>
      <c r="B449" s="2">
        <v>45651</v>
      </c>
      <c r="C449" s="2">
        <v>45651</v>
      </c>
      <c r="D449" t="s">
        <v>2130</v>
      </c>
      <c r="E449" t="s">
        <v>2131</v>
      </c>
      <c r="F449" s="1">
        <v>88.3</v>
      </c>
      <c r="G449" t="s">
        <v>250</v>
      </c>
      <c r="H449" s="1">
        <v>13803.66</v>
      </c>
      <c r="I449" t="s">
        <v>250</v>
      </c>
      <c r="J449" s="1">
        <v>0</v>
      </c>
      <c r="K449" s="1">
        <v>88.3</v>
      </c>
      <c r="L449" s="1">
        <f t="shared" si="6"/>
        <v>13803.66</v>
      </c>
      <c r="M449" t="s">
        <v>511</v>
      </c>
    </row>
    <row r="450" spans="1:13" x14ac:dyDescent="0.3">
      <c r="A450">
        <v>436</v>
      </c>
      <c r="B450" s="2">
        <v>45651</v>
      </c>
      <c r="C450" s="2">
        <v>45651</v>
      </c>
      <c r="D450" t="s">
        <v>2132</v>
      </c>
      <c r="E450" t="s">
        <v>2133</v>
      </c>
      <c r="F450" s="1">
        <v>99</v>
      </c>
      <c r="G450" t="s">
        <v>249</v>
      </c>
      <c r="H450" s="1">
        <v>13704.66</v>
      </c>
      <c r="I450" t="s">
        <v>250</v>
      </c>
      <c r="J450" s="1">
        <v>99</v>
      </c>
      <c r="K450" s="1">
        <v>0</v>
      </c>
      <c r="L450" s="1">
        <f t="shared" ref="L450:L513" si="7">H450</f>
        <v>13704.66</v>
      </c>
      <c r="M450" t="s">
        <v>511</v>
      </c>
    </row>
    <row r="451" spans="1:13" x14ac:dyDescent="0.3">
      <c r="A451">
        <v>437</v>
      </c>
      <c r="B451" s="2">
        <v>45651</v>
      </c>
      <c r="C451" s="2">
        <v>45651</v>
      </c>
      <c r="D451" t="s">
        <v>2134</v>
      </c>
      <c r="E451" t="s">
        <v>2135</v>
      </c>
      <c r="F451" s="1">
        <v>45</v>
      </c>
      <c r="G451" t="s">
        <v>249</v>
      </c>
      <c r="H451" s="1">
        <v>13659.66</v>
      </c>
      <c r="I451" t="s">
        <v>250</v>
      </c>
      <c r="J451" s="1">
        <v>45</v>
      </c>
      <c r="K451" s="1">
        <v>0</v>
      </c>
      <c r="L451" s="1">
        <f t="shared" si="7"/>
        <v>13659.66</v>
      </c>
      <c r="M451" t="s">
        <v>511</v>
      </c>
    </row>
    <row r="452" spans="1:13" x14ac:dyDescent="0.3">
      <c r="A452">
        <v>438</v>
      </c>
      <c r="B452" s="2">
        <v>45652</v>
      </c>
      <c r="C452" s="2">
        <v>45652</v>
      </c>
      <c r="D452" t="s">
        <v>2136</v>
      </c>
      <c r="E452" t="s">
        <v>2137</v>
      </c>
      <c r="F452" s="1">
        <v>99</v>
      </c>
      <c r="G452" t="s">
        <v>249</v>
      </c>
      <c r="H452" s="1">
        <v>13560.66</v>
      </c>
      <c r="I452" t="s">
        <v>250</v>
      </c>
      <c r="J452" s="1">
        <v>99</v>
      </c>
      <c r="K452" s="1">
        <v>0</v>
      </c>
      <c r="L452" s="1">
        <f t="shared" si="7"/>
        <v>13560.66</v>
      </c>
      <c r="M452" t="s">
        <v>511</v>
      </c>
    </row>
    <row r="453" spans="1:13" x14ac:dyDescent="0.3">
      <c r="A453">
        <v>439</v>
      </c>
      <c r="B453" s="2">
        <v>45652</v>
      </c>
      <c r="C453" s="2">
        <v>45652</v>
      </c>
      <c r="D453" t="s">
        <v>2138</v>
      </c>
      <c r="E453" t="s">
        <v>2139</v>
      </c>
      <c r="F453" s="1">
        <v>10000</v>
      </c>
      <c r="G453" t="s">
        <v>250</v>
      </c>
      <c r="H453" s="1">
        <v>23560.66</v>
      </c>
      <c r="I453" t="s">
        <v>250</v>
      </c>
      <c r="J453" s="1">
        <v>0</v>
      </c>
      <c r="K453" s="1">
        <v>10000</v>
      </c>
      <c r="L453" s="1">
        <f t="shared" si="7"/>
        <v>23560.66</v>
      </c>
      <c r="M453" t="s">
        <v>508</v>
      </c>
    </row>
    <row r="454" spans="1:13" x14ac:dyDescent="0.3">
      <c r="A454">
        <v>440</v>
      </c>
      <c r="B454" s="2">
        <v>45652</v>
      </c>
      <c r="C454" s="2">
        <v>45652</v>
      </c>
      <c r="D454" t="s">
        <v>2140</v>
      </c>
      <c r="E454" t="s">
        <v>2141</v>
      </c>
      <c r="F454" s="1">
        <v>147</v>
      </c>
      <c r="G454" t="s">
        <v>249</v>
      </c>
      <c r="H454" s="1">
        <v>23413.66</v>
      </c>
      <c r="I454" t="s">
        <v>250</v>
      </c>
      <c r="J454" s="1">
        <v>147</v>
      </c>
      <c r="K454" s="1">
        <v>0</v>
      </c>
      <c r="L454" s="1">
        <f t="shared" si="7"/>
        <v>23413.66</v>
      </c>
      <c r="M454" t="s">
        <v>511</v>
      </c>
    </row>
    <row r="455" spans="1:13" x14ac:dyDescent="0.3">
      <c r="A455">
        <v>441</v>
      </c>
      <c r="B455" s="2">
        <v>45652</v>
      </c>
      <c r="C455" s="2">
        <v>45652</v>
      </c>
      <c r="D455" t="s">
        <v>2142</v>
      </c>
      <c r="E455" t="s">
        <v>2143</v>
      </c>
      <c r="F455" s="1">
        <v>26</v>
      </c>
      <c r="G455" t="s">
        <v>249</v>
      </c>
      <c r="H455" s="1">
        <v>23387.66</v>
      </c>
      <c r="I455" t="s">
        <v>250</v>
      </c>
      <c r="J455" s="1">
        <v>26</v>
      </c>
      <c r="K455" s="1">
        <v>0</v>
      </c>
      <c r="L455" s="1">
        <f t="shared" si="7"/>
        <v>23387.66</v>
      </c>
      <c r="M455" t="s">
        <v>511</v>
      </c>
    </row>
    <row r="456" spans="1:13" x14ac:dyDescent="0.3">
      <c r="A456">
        <v>442</v>
      </c>
      <c r="B456" s="2">
        <v>45653</v>
      </c>
      <c r="C456" s="2">
        <v>45653</v>
      </c>
      <c r="D456" t="s">
        <v>2144</v>
      </c>
      <c r="E456" t="s">
        <v>2145</v>
      </c>
      <c r="F456" s="1">
        <v>25</v>
      </c>
      <c r="G456" t="s">
        <v>249</v>
      </c>
      <c r="H456" s="1">
        <v>23362.66</v>
      </c>
      <c r="I456" t="s">
        <v>250</v>
      </c>
      <c r="J456" s="1">
        <v>25</v>
      </c>
      <c r="K456" s="1">
        <v>0</v>
      </c>
      <c r="L456" s="1">
        <f t="shared" si="7"/>
        <v>23362.66</v>
      </c>
      <c r="M456" t="s">
        <v>511</v>
      </c>
    </row>
    <row r="457" spans="1:13" x14ac:dyDescent="0.3">
      <c r="A457">
        <v>443</v>
      </c>
      <c r="B457" s="2">
        <v>45653</v>
      </c>
      <c r="C457" s="2">
        <v>45653</v>
      </c>
      <c r="D457" t="s">
        <v>2146</v>
      </c>
      <c r="E457" t="s">
        <v>2147</v>
      </c>
      <c r="F457" s="1">
        <v>90</v>
      </c>
      <c r="G457" t="s">
        <v>249</v>
      </c>
      <c r="H457" s="1">
        <v>23272.66</v>
      </c>
      <c r="I457" t="s">
        <v>250</v>
      </c>
      <c r="J457" s="1">
        <v>90</v>
      </c>
      <c r="K457" s="1">
        <v>0</v>
      </c>
      <c r="L457" s="1">
        <f t="shared" si="7"/>
        <v>23272.66</v>
      </c>
      <c r="M457" t="s">
        <v>511</v>
      </c>
    </row>
    <row r="458" spans="1:13" x14ac:dyDescent="0.3">
      <c r="A458">
        <v>444</v>
      </c>
      <c r="B458" s="2">
        <v>45653</v>
      </c>
      <c r="C458" s="2">
        <v>45653</v>
      </c>
      <c r="D458" t="s">
        <v>2148</v>
      </c>
      <c r="E458" t="s">
        <v>2149</v>
      </c>
      <c r="F458" s="1">
        <v>1250</v>
      </c>
      <c r="G458" t="s">
        <v>249</v>
      </c>
      <c r="H458" s="1">
        <v>22022.66</v>
      </c>
      <c r="I458" t="s">
        <v>250</v>
      </c>
      <c r="J458" s="1">
        <v>1250</v>
      </c>
      <c r="K458" s="1">
        <v>0</v>
      </c>
      <c r="L458" s="1">
        <f t="shared" si="7"/>
        <v>22022.66</v>
      </c>
      <c r="M458" t="s">
        <v>511</v>
      </c>
    </row>
    <row r="459" spans="1:13" x14ac:dyDescent="0.3">
      <c r="A459">
        <v>445</v>
      </c>
      <c r="B459" s="2">
        <v>45654</v>
      </c>
      <c r="C459" s="2">
        <v>45654</v>
      </c>
      <c r="D459" t="s">
        <v>2150</v>
      </c>
      <c r="E459" t="s">
        <v>2151</v>
      </c>
      <c r="F459" s="1">
        <v>7000</v>
      </c>
      <c r="G459" t="s">
        <v>249</v>
      </c>
      <c r="H459" s="1">
        <v>15022.66</v>
      </c>
      <c r="I459" t="s">
        <v>250</v>
      </c>
      <c r="J459" s="1">
        <v>7000</v>
      </c>
      <c r="K459" s="1">
        <v>0</v>
      </c>
      <c r="L459" s="1">
        <f t="shared" si="7"/>
        <v>15022.66</v>
      </c>
      <c r="M459" t="s">
        <v>2532</v>
      </c>
    </row>
    <row r="460" spans="1:13" x14ac:dyDescent="0.3">
      <c r="A460">
        <v>446</v>
      </c>
      <c r="B460" s="2">
        <v>45654</v>
      </c>
      <c r="C460" s="2">
        <v>45654</v>
      </c>
      <c r="D460" t="s">
        <v>2152</v>
      </c>
      <c r="E460" t="s">
        <v>2153</v>
      </c>
      <c r="F460" s="1">
        <v>10000</v>
      </c>
      <c r="G460" t="s">
        <v>250</v>
      </c>
      <c r="H460" s="1">
        <v>25022.66</v>
      </c>
      <c r="I460" t="s">
        <v>250</v>
      </c>
      <c r="J460" s="1">
        <v>0</v>
      </c>
      <c r="K460" s="1">
        <v>10000</v>
      </c>
      <c r="L460" s="1">
        <f t="shared" si="7"/>
        <v>25022.66</v>
      </c>
      <c r="M460" t="s">
        <v>511</v>
      </c>
    </row>
    <row r="461" spans="1:13" x14ac:dyDescent="0.3">
      <c r="A461">
        <v>447</v>
      </c>
      <c r="B461" s="2">
        <v>45654</v>
      </c>
      <c r="C461" s="2">
        <v>45654</v>
      </c>
      <c r="D461" t="s">
        <v>2154</v>
      </c>
      <c r="E461" t="s">
        <v>2155</v>
      </c>
      <c r="F461" s="1">
        <v>1</v>
      </c>
      <c r="G461" t="s">
        <v>250</v>
      </c>
      <c r="H461" s="1">
        <v>25023.66</v>
      </c>
      <c r="I461" t="s">
        <v>250</v>
      </c>
      <c r="J461" s="1">
        <v>0</v>
      </c>
      <c r="K461" s="1">
        <v>1</v>
      </c>
      <c r="L461" s="1">
        <f t="shared" si="7"/>
        <v>25023.66</v>
      </c>
      <c r="M461" t="s">
        <v>511</v>
      </c>
    </row>
    <row r="462" spans="1:13" x14ac:dyDescent="0.3">
      <c r="A462">
        <v>448</v>
      </c>
      <c r="B462" s="2">
        <v>45654</v>
      </c>
      <c r="C462" s="2">
        <v>45654</v>
      </c>
      <c r="D462" t="s">
        <v>2156</v>
      </c>
      <c r="E462" t="s">
        <v>2157</v>
      </c>
      <c r="F462" s="1">
        <v>10000</v>
      </c>
      <c r="G462" t="s">
        <v>249</v>
      </c>
      <c r="H462" s="1">
        <v>15023.66</v>
      </c>
      <c r="I462" t="s">
        <v>250</v>
      </c>
      <c r="J462" s="1">
        <v>10000</v>
      </c>
      <c r="K462" s="1">
        <v>0</v>
      </c>
      <c r="L462" s="1">
        <f t="shared" si="7"/>
        <v>15023.66</v>
      </c>
      <c r="M462" t="s">
        <v>511</v>
      </c>
    </row>
    <row r="463" spans="1:13" x14ac:dyDescent="0.3">
      <c r="A463">
        <v>449</v>
      </c>
      <c r="B463" s="2">
        <v>45654</v>
      </c>
      <c r="C463" s="2">
        <v>45654</v>
      </c>
      <c r="D463" t="s">
        <v>2158</v>
      </c>
      <c r="E463" t="s">
        <v>2159</v>
      </c>
      <c r="F463" s="1">
        <v>35</v>
      </c>
      <c r="G463" t="s">
        <v>249</v>
      </c>
      <c r="H463" s="1">
        <v>14988.66</v>
      </c>
      <c r="I463" t="s">
        <v>250</v>
      </c>
      <c r="J463" s="1">
        <v>35</v>
      </c>
      <c r="K463" s="1">
        <v>0</v>
      </c>
      <c r="L463" s="1">
        <f t="shared" si="7"/>
        <v>14988.66</v>
      </c>
      <c r="M463" t="s">
        <v>511</v>
      </c>
    </row>
    <row r="464" spans="1:13" x14ac:dyDescent="0.3">
      <c r="A464">
        <v>450</v>
      </c>
      <c r="B464" s="2">
        <v>45655</v>
      </c>
      <c r="C464" s="2">
        <v>45655</v>
      </c>
      <c r="D464" t="s">
        <v>2160</v>
      </c>
      <c r="E464" t="s">
        <v>2161</v>
      </c>
      <c r="F464" s="1">
        <v>10000</v>
      </c>
      <c r="G464" t="s">
        <v>249</v>
      </c>
      <c r="H464" s="1">
        <v>4988.66</v>
      </c>
      <c r="I464" t="s">
        <v>250</v>
      </c>
      <c r="J464" s="1">
        <v>10000</v>
      </c>
      <c r="K464" s="1">
        <v>0</v>
      </c>
      <c r="L464" s="1">
        <f t="shared" si="7"/>
        <v>4988.66</v>
      </c>
      <c r="M464" t="s">
        <v>511</v>
      </c>
    </row>
    <row r="465" spans="1:13" x14ac:dyDescent="0.3">
      <c r="A465">
        <v>451</v>
      </c>
      <c r="B465" s="2">
        <v>45655</v>
      </c>
      <c r="C465" s="2">
        <v>45655</v>
      </c>
      <c r="D465" t="s">
        <v>2162</v>
      </c>
      <c r="E465" t="s">
        <v>2163</v>
      </c>
      <c r="F465" s="1">
        <v>27</v>
      </c>
      <c r="G465" t="s">
        <v>249</v>
      </c>
      <c r="H465" s="1">
        <v>4961.66</v>
      </c>
      <c r="I465" t="s">
        <v>250</v>
      </c>
      <c r="J465" s="1">
        <v>27</v>
      </c>
      <c r="K465" s="1">
        <v>0</v>
      </c>
      <c r="L465" s="1">
        <f t="shared" si="7"/>
        <v>4961.66</v>
      </c>
      <c r="M465" t="s">
        <v>511</v>
      </c>
    </row>
    <row r="466" spans="1:13" x14ac:dyDescent="0.3">
      <c r="A466">
        <v>452</v>
      </c>
      <c r="B466" s="2">
        <v>45655</v>
      </c>
      <c r="C466" s="2">
        <v>45655</v>
      </c>
      <c r="D466" t="s">
        <v>2164</v>
      </c>
      <c r="E466" t="s">
        <v>2165</v>
      </c>
      <c r="F466" s="1">
        <v>15</v>
      </c>
      <c r="G466" t="s">
        <v>249</v>
      </c>
      <c r="H466" s="1">
        <v>4946.66</v>
      </c>
      <c r="I466" t="s">
        <v>250</v>
      </c>
      <c r="J466" s="1">
        <v>15</v>
      </c>
      <c r="K466" s="1">
        <v>0</v>
      </c>
      <c r="L466" s="1">
        <f t="shared" si="7"/>
        <v>4946.66</v>
      </c>
      <c r="M466" t="s">
        <v>511</v>
      </c>
    </row>
    <row r="467" spans="1:13" x14ac:dyDescent="0.3">
      <c r="A467">
        <v>453</v>
      </c>
      <c r="B467" s="2">
        <v>45656</v>
      </c>
      <c r="C467" s="2">
        <v>45656</v>
      </c>
      <c r="D467" t="s">
        <v>2166</v>
      </c>
      <c r="E467" t="s">
        <v>2167</v>
      </c>
      <c r="F467" s="1">
        <v>1018.6</v>
      </c>
      <c r="G467" t="s">
        <v>250</v>
      </c>
      <c r="H467" s="1">
        <v>5965.26</v>
      </c>
      <c r="I467" t="s">
        <v>250</v>
      </c>
      <c r="J467" s="1">
        <v>0</v>
      </c>
      <c r="K467" s="1">
        <v>1018.6</v>
      </c>
      <c r="L467" s="1">
        <f t="shared" si="7"/>
        <v>5965.26</v>
      </c>
      <c r="M467" t="s">
        <v>2537</v>
      </c>
    </row>
    <row r="468" spans="1:13" x14ac:dyDescent="0.3">
      <c r="A468">
        <v>454</v>
      </c>
      <c r="B468" s="2">
        <v>45656</v>
      </c>
      <c r="C468" s="2">
        <v>45656</v>
      </c>
      <c r="D468" t="s">
        <v>358</v>
      </c>
      <c r="E468" t="s">
        <v>2168</v>
      </c>
      <c r="F468" s="1">
        <v>68846</v>
      </c>
      <c r="G468" t="s">
        <v>250</v>
      </c>
      <c r="H468" s="1">
        <v>74811.259999999995</v>
      </c>
      <c r="I468" t="s">
        <v>250</v>
      </c>
      <c r="J468" s="1">
        <v>0</v>
      </c>
      <c r="K468" s="1">
        <v>68846</v>
      </c>
      <c r="L468" s="1">
        <f t="shared" si="7"/>
        <v>74811.259999999995</v>
      </c>
      <c r="M468" t="s">
        <v>507</v>
      </c>
    </row>
    <row r="469" spans="1:13" x14ac:dyDescent="0.3">
      <c r="A469">
        <v>455</v>
      </c>
      <c r="B469" s="2">
        <v>45656</v>
      </c>
      <c r="C469" s="2">
        <v>45656</v>
      </c>
      <c r="D469" t="s">
        <v>2169</v>
      </c>
      <c r="E469" t="s">
        <v>2170</v>
      </c>
      <c r="F469" s="1">
        <v>40000</v>
      </c>
      <c r="G469" t="s">
        <v>250</v>
      </c>
      <c r="H469" s="1">
        <v>114811.26</v>
      </c>
      <c r="I469" t="s">
        <v>250</v>
      </c>
      <c r="J469" s="1">
        <v>0</v>
      </c>
      <c r="K469" s="1">
        <v>40000</v>
      </c>
      <c r="L469" s="1">
        <f t="shared" si="7"/>
        <v>114811.26</v>
      </c>
      <c r="M469" t="s">
        <v>508</v>
      </c>
    </row>
    <row r="470" spans="1:13" x14ac:dyDescent="0.3">
      <c r="A470">
        <v>456</v>
      </c>
      <c r="B470" s="2">
        <v>45657</v>
      </c>
      <c r="C470" s="2">
        <v>45657</v>
      </c>
      <c r="D470" t="s">
        <v>2171</v>
      </c>
      <c r="E470" t="s">
        <v>2172</v>
      </c>
      <c r="F470" s="1">
        <v>5000</v>
      </c>
      <c r="G470" t="s">
        <v>249</v>
      </c>
      <c r="H470" s="1">
        <v>109811.26</v>
      </c>
      <c r="I470" t="s">
        <v>250</v>
      </c>
      <c r="J470" s="1">
        <v>5000</v>
      </c>
      <c r="K470" s="1">
        <v>0</v>
      </c>
      <c r="L470" s="1">
        <f t="shared" si="7"/>
        <v>109811.26</v>
      </c>
      <c r="M470" t="s">
        <v>511</v>
      </c>
    </row>
    <row r="471" spans="1:13" x14ac:dyDescent="0.3">
      <c r="A471">
        <v>457</v>
      </c>
      <c r="B471" s="2">
        <v>45657</v>
      </c>
      <c r="C471" s="2">
        <v>45657</v>
      </c>
      <c r="D471" t="s">
        <v>2173</v>
      </c>
      <c r="E471" t="s">
        <v>2174</v>
      </c>
      <c r="F471" s="1">
        <v>200</v>
      </c>
      <c r="G471" t="s">
        <v>249</v>
      </c>
      <c r="H471" s="1">
        <v>109611.26</v>
      </c>
      <c r="I471" t="s">
        <v>250</v>
      </c>
      <c r="J471" s="1">
        <v>200</v>
      </c>
      <c r="K471" s="1">
        <v>0</v>
      </c>
      <c r="L471" s="1">
        <f t="shared" si="7"/>
        <v>109611.26</v>
      </c>
      <c r="M471" t="s">
        <v>511</v>
      </c>
    </row>
    <row r="472" spans="1:13" x14ac:dyDescent="0.3">
      <c r="A472">
        <v>458</v>
      </c>
      <c r="B472" s="2">
        <v>45658</v>
      </c>
      <c r="C472" s="2">
        <v>45657</v>
      </c>
      <c r="D472" t="s">
        <v>2175</v>
      </c>
      <c r="F472" s="1">
        <v>431</v>
      </c>
      <c r="G472" t="s">
        <v>250</v>
      </c>
      <c r="H472" s="1">
        <v>110042.26</v>
      </c>
      <c r="I472" t="s">
        <v>250</v>
      </c>
      <c r="J472" s="1">
        <v>0</v>
      </c>
      <c r="K472" s="1">
        <v>431</v>
      </c>
      <c r="L472" s="1">
        <f t="shared" si="7"/>
        <v>110042.26</v>
      </c>
      <c r="M472" t="s">
        <v>227</v>
      </c>
    </row>
    <row r="473" spans="1:13" x14ac:dyDescent="0.3">
      <c r="A473">
        <v>459</v>
      </c>
      <c r="B473" s="2">
        <v>45658</v>
      </c>
      <c r="C473" s="2">
        <v>45658</v>
      </c>
      <c r="D473" t="s">
        <v>2176</v>
      </c>
      <c r="E473" t="s">
        <v>2177</v>
      </c>
      <c r="F473" s="1">
        <v>120</v>
      </c>
      <c r="G473" t="s">
        <v>249</v>
      </c>
      <c r="H473" s="1">
        <v>109922.26</v>
      </c>
      <c r="I473" t="s">
        <v>250</v>
      </c>
      <c r="J473" s="1">
        <v>120</v>
      </c>
      <c r="K473" s="1">
        <v>0</v>
      </c>
      <c r="L473" s="1">
        <f t="shared" si="7"/>
        <v>109922.26</v>
      </c>
      <c r="M473" t="s">
        <v>511</v>
      </c>
    </row>
    <row r="474" spans="1:13" x14ac:dyDescent="0.3">
      <c r="A474">
        <v>460</v>
      </c>
      <c r="B474" s="2">
        <v>45658</v>
      </c>
      <c r="C474" s="2">
        <v>45658</v>
      </c>
      <c r="D474" t="s">
        <v>2178</v>
      </c>
      <c r="E474" t="s">
        <v>2179</v>
      </c>
      <c r="F474" s="1">
        <v>1005</v>
      </c>
      <c r="G474" t="s">
        <v>249</v>
      </c>
      <c r="H474" s="1">
        <v>108917.26</v>
      </c>
      <c r="I474" t="s">
        <v>250</v>
      </c>
      <c r="J474" s="1">
        <v>1005</v>
      </c>
      <c r="K474" s="1">
        <v>0</v>
      </c>
      <c r="L474" s="1">
        <f t="shared" si="7"/>
        <v>108917.26</v>
      </c>
      <c r="M474" t="s">
        <v>511</v>
      </c>
    </row>
    <row r="475" spans="1:13" x14ac:dyDescent="0.3">
      <c r="A475">
        <v>461</v>
      </c>
      <c r="B475" s="2">
        <v>45658</v>
      </c>
      <c r="C475" s="2">
        <v>45658</v>
      </c>
      <c r="D475" t="s">
        <v>2180</v>
      </c>
      <c r="E475" t="s">
        <v>2181</v>
      </c>
      <c r="F475" s="1">
        <v>1200</v>
      </c>
      <c r="G475" t="s">
        <v>249</v>
      </c>
      <c r="H475" s="1">
        <v>107717.26</v>
      </c>
      <c r="I475" t="s">
        <v>250</v>
      </c>
      <c r="J475" s="1">
        <v>1200</v>
      </c>
      <c r="K475" s="1">
        <v>0</v>
      </c>
      <c r="L475" s="1">
        <f t="shared" si="7"/>
        <v>107717.26</v>
      </c>
      <c r="M475" t="s">
        <v>511</v>
      </c>
    </row>
    <row r="476" spans="1:13" x14ac:dyDescent="0.3">
      <c r="A476">
        <v>462</v>
      </c>
      <c r="B476" s="2">
        <v>45658</v>
      </c>
      <c r="C476" s="2">
        <v>45658</v>
      </c>
      <c r="D476" t="s">
        <v>2182</v>
      </c>
      <c r="E476" t="s">
        <v>2183</v>
      </c>
      <c r="F476" s="1">
        <v>3000</v>
      </c>
      <c r="G476" t="s">
        <v>249</v>
      </c>
      <c r="H476" s="1">
        <v>104717.26</v>
      </c>
      <c r="I476" t="s">
        <v>250</v>
      </c>
      <c r="J476" s="1">
        <v>3000</v>
      </c>
      <c r="K476" s="1">
        <v>0</v>
      </c>
      <c r="L476" s="1">
        <f t="shared" si="7"/>
        <v>104717.26</v>
      </c>
      <c r="M476" t="s">
        <v>511</v>
      </c>
    </row>
    <row r="477" spans="1:13" x14ac:dyDescent="0.3">
      <c r="A477">
        <v>463</v>
      </c>
      <c r="B477" s="2">
        <v>45658</v>
      </c>
      <c r="C477" s="2">
        <v>45658</v>
      </c>
      <c r="D477" t="s">
        <v>2184</v>
      </c>
      <c r="E477" t="s">
        <v>2185</v>
      </c>
      <c r="F477" s="1">
        <v>37000</v>
      </c>
      <c r="G477" t="s">
        <v>249</v>
      </c>
      <c r="H477" s="1">
        <v>67717.259999999995</v>
      </c>
      <c r="I477" t="s">
        <v>250</v>
      </c>
      <c r="J477" s="1">
        <v>37000</v>
      </c>
      <c r="K477" s="1">
        <v>0</v>
      </c>
      <c r="L477" s="1">
        <f t="shared" si="7"/>
        <v>67717.259999999995</v>
      </c>
      <c r="M477" t="s">
        <v>511</v>
      </c>
    </row>
    <row r="478" spans="1:13" x14ac:dyDescent="0.3">
      <c r="A478">
        <v>464</v>
      </c>
      <c r="B478" s="2">
        <v>45658</v>
      </c>
      <c r="C478" s="2">
        <v>45658</v>
      </c>
      <c r="D478" t="s">
        <v>2186</v>
      </c>
      <c r="E478" t="s">
        <v>2187</v>
      </c>
      <c r="F478" s="1">
        <v>80</v>
      </c>
      <c r="G478" t="s">
        <v>249</v>
      </c>
      <c r="H478" s="1">
        <v>67637.259999999995</v>
      </c>
      <c r="I478" t="s">
        <v>250</v>
      </c>
      <c r="J478" s="1">
        <v>80</v>
      </c>
      <c r="K478" s="1">
        <v>0</v>
      </c>
      <c r="L478" s="1">
        <f t="shared" si="7"/>
        <v>67637.259999999995</v>
      </c>
      <c r="M478" t="s">
        <v>511</v>
      </c>
    </row>
    <row r="479" spans="1:13" x14ac:dyDescent="0.3">
      <c r="A479">
        <v>465</v>
      </c>
      <c r="B479" s="2">
        <v>45658</v>
      </c>
      <c r="C479" s="2">
        <v>45658</v>
      </c>
      <c r="D479" t="s">
        <v>2188</v>
      </c>
      <c r="E479" t="s">
        <v>2189</v>
      </c>
      <c r="F479" s="1">
        <v>140</v>
      </c>
      <c r="G479" t="s">
        <v>249</v>
      </c>
      <c r="H479" s="1">
        <v>67497.259999999995</v>
      </c>
      <c r="I479" t="s">
        <v>250</v>
      </c>
      <c r="J479" s="1">
        <v>140</v>
      </c>
      <c r="K479" s="1">
        <v>0</v>
      </c>
      <c r="L479" s="1">
        <f t="shared" si="7"/>
        <v>67497.259999999995</v>
      </c>
      <c r="M479" t="s">
        <v>511</v>
      </c>
    </row>
    <row r="480" spans="1:13" x14ac:dyDescent="0.3">
      <c r="A480">
        <v>466</v>
      </c>
      <c r="B480" s="2">
        <v>45659</v>
      </c>
      <c r="C480" s="2">
        <v>45659</v>
      </c>
      <c r="D480" t="s">
        <v>2190</v>
      </c>
      <c r="E480" t="s">
        <v>2191</v>
      </c>
      <c r="F480" s="1">
        <v>50</v>
      </c>
      <c r="G480" t="s">
        <v>249</v>
      </c>
      <c r="H480" s="1">
        <v>67447.259999999995</v>
      </c>
      <c r="I480" t="s">
        <v>250</v>
      </c>
      <c r="J480" s="1">
        <v>50</v>
      </c>
      <c r="K480" s="1">
        <v>0</v>
      </c>
      <c r="L480" s="1">
        <f t="shared" si="7"/>
        <v>67447.259999999995</v>
      </c>
      <c r="M480" t="s">
        <v>511</v>
      </c>
    </row>
    <row r="481" spans="1:13" x14ac:dyDescent="0.3">
      <c r="A481">
        <v>467</v>
      </c>
      <c r="B481" s="2">
        <v>45659</v>
      </c>
      <c r="C481" s="2">
        <v>45659</v>
      </c>
      <c r="D481" t="s">
        <v>2192</v>
      </c>
      <c r="E481" t="s">
        <v>2193</v>
      </c>
      <c r="F481" s="1">
        <v>3500</v>
      </c>
      <c r="G481" t="s">
        <v>249</v>
      </c>
      <c r="H481" s="1">
        <v>63947.26</v>
      </c>
      <c r="I481" t="s">
        <v>250</v>
      </c>
      <c r="J481" s="1">
        <v>3500</v>
      </c>
      <c r="K481" s="1">
        <v>0</v>
      </c>
      <c r="L481" s="1">
        <f t="shared" si="7"/>
        <v>63947.26</v>
      </c>
      <c r="M481" t="s">
        <v>511</v>
      </c>
    </row>
    <row r="482" spans="1:13" x14ac:dyDescent="0.3">
      <c r="A482">
        <v>468</v>
      </c>
      <c r="B482" s="2">
        <v>45659</v>
      </c>
      <c r="C482" s="2">
        <v>45659</v>
      </c>
      <c r="D482" t="s">
        <v>2194</v>
      </c>
      <c r="E482" t="s">
        <v>2195</v>
      </c>
      <c r="F482" s="1">
        <v>114</v>
      </c>
      <c r="G482" t="s">
        <v>249</v>
      </c>
      <c r="H482" s="1">
        <v>63833.26</v>
      </c>
      <c r="I482" t="s">
        <v>250</v>
      </c>
      <c r="J482" s="1">
        <v>114</v>
      </c>
      <c r="K482" s="1">
        <v>0</v>
      </c>
      <c r="L482" s="1">
        <f t="shared" si="7"/>
        <v>63833.26</v>
      </c>
      <c r="M482" t="s">
        <v>511</v>
      </c>
    </row>
    <row r="483" spans="1:13" x14ac:dyDescent="0.3">
      <c r="A483">
        <v>469</v>
      </c>
      <c r="B483" s="2">
        <v>45660</v>
      </c>
      <c r="C483" s="2">
        <v>45660</v>
      </c>
      <c r="D483" t="s">
        <v>2196</v>
      </c>
      <c r="E483" t="s">
        <v>2197</v>
      </c>
      <c r="F483" s="1">
        <v>1100</v>
      </c>
      <c r="G483" t="s">
        <v>249</v>
      </c>
      <c r="H483" s="1">
        <v>62733.26</v>
      </c>
      <c r="I483" t="s">
        <v>250</v>
      </c>
      <c r="J483" s="1">
        <v>1100</v>
      </c>
      <c r="K483" s="1">
        <v>0</v>
      </c>
      <c r="L483" s="1">
        <f t="shared" si="7"/>
        <v>62733.26</v>
      </c>
      <c r="M483" t="s">
        <v>511</v>
      </c>
    </row>
    <row r="484" spans="1:13" x14ac:dyDescent="0.3">
      <c r="A484">
        <v>470</v>
      </c>
      <c r="B484" s="2">
        <v>45660</v>
      </c>
      <c r="C484" s="2">
        <v>45660</v>
      </c>
      <c r="D484" t="s">
        <v>2198</v>
      </c>
      <c r="E484" t="s">
        <v>2199</v>
      </c>
      <c r="F484" s="1">
        <v>10000</v>
      </c>
      <c r="G484" t="s">
        <v>249</v>
      </c>
      <c r="H484" s="1">
        <v>52733.26</v>
      </c>
      <c r="I484" t="s">
        <v>250</v>
      </c>
      <c r="J484" s="1">
        <v>10000</v>
      </c>
      <c r="K484" s="1">
        <v>0</v>
      </c>
      <c r="L484" s="1">
        <f t="shared" si="7"/>
        <v>52733.26</v>
      </c>
      <c r="M484" t="s">
        <v>511</v>
      </c>
    </row>
    <row r="485" spans="1:13" x14ac:dyDescent="0.3">
      <c r="A485">
        <v>471</v>
      </c>
      <c r="B485" s="2">
        <v>45660</v>
      </c>
      <c r="C485" s="2">
        <v>45660</v>
      </c>
      <c r="D485" t="s">
        <v>2200</v>
      </c>
      <c r="E485" t="s">
        <v>2201</v>
      </c>
      <c r="F485" s="1">
        <v>3614.03</v>
      </c>
      <c r="G485" t="s">
        <v>250</v>
      </c>
      <c r="H485" s="1">
        <v>56347.29</v>
      </c>
      <c r="I485" t="s">
        <v>250</v>
      </c>
      <c r="J485" s="1">
        <v>0</v>
      </c>
      <c r="K485" s="1">
        <v>3614.03</v>
      </c>
      <c r="L485" s="1">
        <f t="shared" si="7"/>
        <v>56347.29</v>
      </c>
      <c r="M485" t="s">
        <v>2536</v>
      </c>
    </row>
    <row r="486" spans="1:13" x14ac:dyDescent="0.3">
      <c r="A486">
        <v>472</v>
      </c>
      <c r="B486" s="2">
        <v>45660</v>
      </c>
      <c r="C486" s="2">
        <v>45660</v>
      </c>
      <c r="D486" t="s">
        <v>2202</v>
      </c>
      <c r="E486" t="s">
        <v>2203</v>
      </c>
      <c r="F486" s="1">
        <v>50</v>
      </c>
      <c r="G486" t="s">
        <v>249</v>
      </c>
      <c r="H486" s="1">
        <v>56297.29</v>
      </c>
      <c r="I486" t="s">
        <v>250</v>
      </c>
      <c r="J486" s="1">
        <v>50</v>
      </c>
      <c r="K486" s="1">
        <v>0</v>
      </c>
      <c r="L486" s="1">
        <f t="shared" si="7"/>
        <v>56297.29</v>
      </c>
      <c r="M486" t="s">
        <v>511</v>
      </c>
    </row>
    <row r="487" spans="1:13" x14ac:dyDescent="0.3">
      <c r="A487">
        <v>473</v>
      </c>
      <c r="B487" s="2">
        <v>45660</v>
      </c>
      <c r="C487" s="2">
        <v>45660</v>
      </c>
      <c r="D487" t="s">
        <v>2204</v>
      </c>
      <c r="E487" t="s">
        <v>2205</v>
      </c>
      <c r="F487" s="1">
        <v>19000</v>
      </c>
      <c r="G487" t="s">
        <v>249</v>
      </c>
      <c r="H487" s="1">
        <v>37297.29</v>
      </c>
      <c r="I487" t="s">
        <v>250</v>
      </c>
      <c r="J487" s="1">
        <v>19000</v>
      </c>
      <c r="K487" s="1">
        <v>0</v>
      </c>
      <c r="L487" s="1">
        <f t="shared" si="7"/>
        <v>37297.29</v>
      </c>
      <c r="M487" t="s">
        <v>511</v>
      </c>
    </row>
    <row r="488" spans="1:13" x14ac:dyDescent="0.3">
      <c r="A488">
        <v>474</v>
      </c>
      <c r="B488" s="2">
        <v>45660</v>
      </c>
      <c r="C488" s="2">
        <v>45660</v>
      </c>
      <c r="D488" t="s">
        <v>2206</v>
      </c>
      <c r="E488" t="s">
        <v>2207</v>
      </c>
      <c r="F488" s="1">
        <v>19000</v>
      </c>
      <c r="G488" t="s">
        <v>250</v>
      </c>
      <c r="H488" s="1">
        <v>56297.29</v>
      </c>
      <c r="I488" t="s">
        <v>250</v>
      </c>
      <c r="J488" s="1">
        <v>0</v>
      </c>
      <c r="K488" s="1">
        <v>19000</v>
      </c>
      <c r="L488" s="1">
        <f t="shared" si="7"/>
        <v>56297.29</v>
      </c>
      <c r="M488" t="s">
        <v>511</v>
      </c>
    </row>
    <row r="489" spans="1:13" x14ac:dyDescent="0.3">
      <c r="A489">
        <v>475</v>
      </c>
      <c r="B489" s="2">
        <v>45660</v>
      </c>
      <c r="C489" s="2">
        <v>45660</v>
      </c>
      <c r="D489" t="s">
        <v>2208</v>
      </c>
      <c r="E489" t="s">
        <v>2209</v>
      </c>
      <c r="F489" s="1">
        <v>19000</v>
      </c>
      <c r="G489" t="s">
        <v>249</v>
      </c>
      <c r="H489" s="1">
        <v>37297.29</v>
      </c>
      <c r="I489" t="s">
        <v>250</v>
      </c>
      <c r="J489" s="1">
        <v>19000</v>
      </c>
      <c r="K489" s="1">
        <v>0</v>
      </c>
      <c r="L489" s="1">
        <f t="shared" si="7"/>
        <v>37297.29</v>
      </c>
      <c r="M489" t="s">
        <v>511</v>
      </c>
    </row>
    <row r="490" spans="1:13" x14ac:dyDescent="0.3">
      <c r="A490">
        <v>476</v>
      </c>
      <c r="B490" s="2">
        <v>45660</v>
      </c>
      <c r="C490" s="2">
        <v>45660</v>
      </c>
      <c r="D490" t="s">
        <v>2210</v>
      </c>
      <c r="E490" t="s">
        <v>2211</v>
      </c>
      <c r="F490" s="1">
        <v>19000</v>
      </c>
      <c r="G490" t="s">
        <v>250</v>
      </c>
      <c r="H490" s="1">
        <v>56297.29</v>
      </c>
      <c r="I490" t="s">
        <v>250</v>
      </c>
      <c r="J490" s="1">
        <v>0</v>
      </c>
      <c r="K490" s="1">
        <v>19000</v>
      </c>
      <c r="L490" s="1">
        <f t="shared" si="7"/>
        <v>56297.29</v>
      </c>
      <c r="M490" t="s">
        <v>511</v>
      </c>
    </row>
    <row r="491" spans="1:13" x14ac:dyDescent="0.3">
      <c r="A491">
        <v>477</v>
      </c>
      <c r="B491" s="2">
        <v>45660</v>
      </c>
      <c r="C491" s="2">
        <v>45660</v>
      </c>
      <c r="D491" t="s">
        <v>2212</v>
      </c>
      <c r="E491" t="s">
        <v>2213</v>
      </c>
      <c r="F491" s="1">
        <v>19000</v>
      </c>
      <c r="G491" t="s">
        <v>249</v>
      </c>
      <c r="H491" s="1">
        <v>37297.29</v>
      </c>
      <c r="I491" t="s">
        <v>250</v>
      </c>
      <c r="J491" s="1">
        <v>19000</v>
      </c>
      <c r="K491" s="1">
        <v>0</v>
      </c>
      <c r="L491" s="1">
        <f t="shared" si="7"/>
        <v>37297.29</v>
      </c>
      <c r="M491" t="s">
        <v>511</v>
      </c>
    </row>
    <row r="492" spans="1:13" x14ac:dyDescent="0.3">
      <c r="A492">
        <v>478</v>
      </c>
      <c r="B492" s="2">
        <v>45660</v>
      </c>
      <c r="C492" s="2">
        <v>45660</v>
      </c>
      <c r="D492" t="s">
        <v>2214</v>
      </c>
      <c r="E492" t="s">
        <v>2213</v>
      </c>
      <c r="F492" s="1">
        <v>19000</v>
      </c>
      <c r="G492" t="s">
        <v>250</v>
      </c>
      <c r="H492" s="1">
        <v>56297.29</v>
      </c>
      <c r="I492" t="s">
        <v>250</v>
      </c>
      <c r="J492" s="1">
        <v>0</v>
      </c>
      <c r="K492" s="1">
        <v>19000</v>
      </c>
      <c r="L492" s="1">
        <f t="shared" si="7"/>
        <v>56297.29</v>
      </c>
      <c r="M492" t="s">
        <v>511</v>
      </c>
    </row>
    <row r="493" spans="1:13" x14ac:dyDescent="0.3">
      <c r="A493">
        <v>479</v>
      </c>
      <c r="B493" s="2">
        <v>45660</v>
      </c>
      <c r="C493" s="2">
        <v>45660</v>
      </c>
      <c r="D493" t="s">
        <v>2215</v>
      </c>
      <c r="E493" t="s">
        <v>2216</v>
      </c>
      <c r="F493" s="1">
        <v>19000</v>
      </c>
      <c r="G493" t="s">
        <v>249</v>
      </c>
      <c r="H493" s="1">
        <v>37297.29</v>
      </c>
      <c r="I493" t="s">
        <v>250</v>
      </c>
      <c r="J493" s="1">
        <v>19000</v>
      </c>
      <c r="K493" s="1">
        <v>0</v>
      </c>
      <c r="L493" s="1">
        <f t="shared" si="7"/>
        <v>37297.29</v>
      </c>
      <c r="M493" t="s">
        <v>511</v>
      </c>
    </row>
    <row r="494" spans="1:13" x14ac:dyDescent="0.3">
      <c r="A494">
        <v>480</v>
      </c>
      <c r="B494" s="2">
        <v>45660</v>
      </c>
      <c r="C494" s="2">
        <v>45660</v>
      </c>
      <c r="D494" t="s">
        <v>2217</v>
      </c>
      <c r="E494" t="s">
        <v>2218</v>
      </c>
      <c r="F494" s="1">
        <v>262.7</v>
      </c>
      <c r="G494" t="s">
        <v>249</v>
      </c>
      <c r="H494" s="1">
        <v>37034.589999999997</v>
      </c>
      <c r="I494" t="s">
        <v>250</v>
      </c>
      <c r="J494" s="1">
        <v>262.7</v>
      </c>
      <c r="K494" s="1">
        <v>0</v>
      </c>
      <c r="L494" s="1">
        <f t="shared" si="7"/>
        <v>37034.589999999997</v>
      </c>
      <c r="M494" t="s">
        <v>511</v>
      </c>
    </row>
    <row r="495" spans="1:13" x14ac:dyDescent="0.3">
      <c r="A495">
        <v>481</v>
      </c>
      <c r="B495" s="2">
        <v>45661</v>
      </c>
      <c r="C495" s="2">
        <v>45661</v>
      </c>
      <c r="D495" t="s">
        <v>2219</v>
      </c>
      <c r="E495" t="s">
        <v>2220</v>
      </c>
      <c r="F495" s="1">
        <v>1283.68</v>
      </c>
      <c r="G495" t="s">
        <v>250</v>
      </c>
      <c r="H495" s="1">
        <v>38318.269999999997</v>
      </c>
      <c r="I495" t="s">
        <v>250</v>
      </c>
      <c r="J495" s="1">
        <v>0</v>
      </c>
      <c r="K495" s="1">
        <v>1283.68</v>
      </c>
      <c r="L495" s="1">
        <f t="shared" si="7"/>
        <v>38318.269999999997</v>
      </c>
      <c r="M495" t="s">
        <v>508</v>
      </c>
    </row>
    <row r="496" spans="1:13" x14ac:dyDescent="0.3">
      <c r="A496">
        <v>482</v>
      </c>
      <c r="B496" s="2">
        <v>45661</v>
      </c>
      <c r="C496" s="2">
        <v>45661</v>
      </c>
      <c r="D496" t="s">
        <v>2221</v>
      </c>
      <c r="E496" t="s">
        <v>2222</v>
      </c>
      <c r="F496" s="1">
        <v>180</v>
      </c>
      <c r="G496" t="s">
        <v>249</v>
      </c>
      <c r="H496" s="1">
        <v>38138.269999999997</v>
      </c>
      <c r="I496" t="s">
        <v>250</v>
      </c>
      <c r="J496" s="1">
        <v>180</v>
      </c>
      <c r="K496" s="1">
        <v>0</v>
      </c>
      <c r="L496" s="1">
        <f t="shared" si="7"/>
        <v>38138.269999999997</v>
      </c>
      <c r="M496" t="s">
        <v>511</v>
      </c>
    </row>
    <row r="497" spans="1:13" x14ac:dyDescent="0.3">
      <c r="A497">
        <v>483</v>
      </c>
      <c r="B497" s="2">
        <v>45661</v>
      </c>
      <c r="C497" s="2">
        <v>45661</v>
      </c>
      <c r="D497" t="s">
        <v>2223</v>
      </c>
      <c r="E497" t="s">
        <v>2224</v>
      </c>
      <c r="F497" s="1">
        <v>60</v>
      </c>
      <c r="G497" t="s">
        <v>249</v>
      </c>
      <c r="H497" s="1">
        <v>38078.269999999997</v>
      </c>
      <c r="I497" t="s">
        <v>250</v>
      </c>
      <c r="J497" s="1">
        <v>60</v>
      </c>
      <c r="K497" s="1">
        <v>0</v>
      </c>
      <c r="L497" s="1">
        <f t="shared" si="7"/>
        <v>38078.269999999997</v>
      </c>
      <c r="M497" t="s">
        <v>511</v>
      </c>
    </row>
    <row r="498" spans="1:13" x14ac:dyDescent="0.3">
      <c r="A498">
        <v>484</v>
      </c>
      <c r="B498" s="2">
        <v>45661</v>
      </c>
      <c r="C498" s="2">
        <v>45661</v>
      </c>
      <c r="D498" t="s">
        <v>2225</v>
      </c>
      <c r="E498" t="s">
        <v>2226</v>
      </c>
      <c r="F498" s="1">
        <v>70</v>
      </c>
      <c r="G498" t="s">
        <v>249</v>
      </c>
      <c r="H498" s="1">
        <v>38008.269999999997</v>
      </c>
      <c r="I498" t="s">
        <v>250</v>
      </c>
      <c r="J498" s="1">
        <v>70</v>
      </c>
      <c r="K498" s="1">
        <v>0</v>
      </c>
      <c r="L498" s="1">
        <f t="shared" si="7"/>
        <v>38008.269999999997</v>
      </c>
      <c r="M498" t="s">
        <v>511</v>
      </c>
    </row>
    <row r="499" spans="1:13" x14ac:dyDescent="0.3">
      <c r="A499">
        <v>485</v>
      </c>
      <c r="B499" s="2">
        <v>45661</v>
      </c>
      <c r="C499" s="2">
        <v>45661</v>
      </c>
      <c r="D499" t="s">
        <v>2227</v>
      </c>
      <c r="E499" t="s">
        <v>2228</v>
      </c>
      <c r="F499" s="1">
        <v>400</v>
      </c>
      <c r="G499" t="s">
        <v>249</v>
      </c>
      <c r="H499" s="1">
        <v>37608.269999999997</v>
      </c>
      <c r="I499" t="s">
        <v>250</v>
      </c>
      <c r="J499" s="1">
        <v>400</v>
      </c>
      <c r="K499" s="1">
        <v>0</v>
      </c>
      <c r="L499" s="1">
        <f t="shared" si="7"/>
        <v>37608.269999999997</v>
      </c>
      <c r="M499" t="s">
        <v>511</v>
      </c>
    </row>
    <row r="500" spans="1:13" x14ac:dyDescent="0.3">
      <c r="A500">
        <v>486</v>
      </c>
      <c r="B500" s="2">
        <v>45661</v>
      </c>
      <c r="C500" s="2">
        <v>45661</v>
      </c>
      <c r="D500" t="s">
        <v>2229</v>
      </c>
      <c r="E500" t="s">
        <v>2230</v>
      </c>
      <c r="F500" s="1">
        <v>210</v>
      </c>
      <c r="G500" t="s">
        <v>249</v>
      </c>
      <c r="H500" s="1">
        <v>37398.269999999997</v>
      </c>
      <c r="I500" t="s">
        <v>250</v>
      </c>
      <c r="J500" s="1">
        <v>210</v>
      </c>
      <c r="K500" s="1">
        <v>0</v>
      </c>
      <c r="L500" s="1">
        <f t="shared" si="7"/>
        <v>37398.269999999997</v>
      </c>
      <c r="M500" t="s">
        <v>511</v>
      </c>
    </row>
    <row r="501" spans="1:13" x14ac:dyDescent="0.3">
      <c r="A501">
        <v>487</v>
      </c>
      <c r="B501" s="2">
        <v>45661</v>
      </c>
      <c r="C501" s="2">
        <v>45661</v>
      </c>
      <c r="D501" t="s">
        <v>2231</v>
      </c>
      <c r="E501" t="s">
        <v>2232</v>
      </c>
      <c r="F501" s="1">
        <v>20</v>
      </c>
      <c r="G501" t="s">
        <v>249</v>
      </c>
      <c r="H501" s="1">
        <v>37378.269999999997</v>
      </c>
      <c r="I501" t="s">
        <v>250</v>
      </c>
      <c r="J501" s="1">
        <v>20</v>
      </c>
      <c r="K501" s="1">
        <v>0</v>
      </c>
      <c r="L501" s="1">
        <f t="shared" si="7"/>
        <v>37378.269999999997</v>
      </c>
      <c r="M501" t="s">
        <v>511</v>
      </c>
    </row>
    <row r="502" spans="1:13" x14ac:dyDescent="0.3">
      <c r="A502">
        <v>488</v>
      </c>
      <c r="B502" s="2">
        <v>45661</v>
      </c>
      <c r="C502" s="2">
        <v>45661</v>
      </c>
      <c r="D502" t="s">
        <v>2233</v>
      </c>
      <c r="E502" t="s">
        <v>2234</v>
      </c>
      <c r="F502" s="1">
        <v>12</v>
      </c>
      <c r="G502" t="s">
        <v>249</v>
      </c>
      <c r="H502" s="1">
        <v>37366.269999999997</v>
      </c>
      <c r="I502" t="s">
        <v>250</v>
      </c>
      <c r="J502" s="1">
        <v>12</v>
      </c>
      <c r="K502" s="1">
        <v>0</v>
      </c>
      <c r="L502" s="1">
        <f t="shared" si="7"/>
        <v>37366.269999999997</v>
      </c>
      <c r="M502" t="s">
        <v>511</v>
      </c>
    </row>
    <row r="503" spans="1:13" x14ac:dyDescent="0.3">
      <c r="A503">
        <v>489</v>
      </c>
      <c r="B503" s="2">
        <v>45662</v>
      </c>
      <c r="C503" s="2">
        <v>45662</v>
      </c>
      <c r="D503" t="s">
        <v>2235</v>
      </c>
      <c r="E503" t="s">
        <v>2236</v>
      </c>
      <c r="F503" s="1">
        <v>75</v>
      </c>
      <c r="G503" t="s">
        <v>249</v>
      </c>
      <c r="H503" s="1">
        <v>37291.269999999997</v>
      </c>
      <c r="I503" t="s">
        <v>250</v>
      </c>
      <c r="J503" s="1">
        <v>75</v>
      </c>
      <c r="K503" s="1">
        <v>0</v>
      </c>
      <c r="L503" s="1">
        <f t="shared" si="7"/>
        <v>37291.269999999997</v>
      </c>
      <c r="M503" t="s">
        <v>511</v>
      </c>
    </row>
    <row r="504" spans="1:13" x14ac:dyDescent="0.3">
      <c r="A504">
        <v>490</v>
      </c>
      <c r="B504" s="2">
        <v>45662</v>
      </c>
      <c r="C504" s="2">
        <v>45662</v>
      </c>
      <c r="D504" t="s">
        <v>2237</v>
      </c>
      <c r="E504" t="s">
        <v>2238</v>
      </c>
      <c r="F504" s="1">
        <v>7000</v>
      </c>
      <c r="G504" t="s">
        <v>250</v>
      </c>
      <c r="H504" s="1">
        <v>44291.27</v>
      </c>
      <c r="I504" t="s">
        <v>250</v>
      </c>
      <c r="J504" s="1">
        <v>0</v>
      </c>
      <c r="K504" s="1">
        <v>7000</v>
      </c>
      <c r="L504" s="1">
        <f t="shared" si="7"/>
        <v>44291.27</v>
      </c>
      <c r="M504" t="s">
        <v>511</v>
      </c>
    </row>
    <row r="505" spans="1:13" x14ac:dyDescent="0.3">
      <c r="A505">
        <v>491</v>
      </c>
      <c r="B505" s="2">
        <v>45662</v>
      </c>
      <c r="C505" s="2">
        <v>45662</v>
      </c>
      <c r="D505" t="s">
        <v>2239</v>
      </c>
      <c r="E505" t="s">
        <v>2240</v>
      </c>
      <c r="F505" s="1">
        <v>1900</v>
      </c>
      <c r="G505" t="s">
        <v>249</v>
      </c>
      <c r="H505" s="1">
        <v>42391.27</v>
      </c>
      <c r="I505" t="s">
        <v>250</v>
      </c>
      <c r="J505" s="1">
        <v>1900</v>
      </c>
      <c r="K505" s="1">
        <v>0</v>
      </c>
      <c r="L505" s="1">
        <f t="shared" si="7"/>
        <v>42391.27</v>
      </c>
      <c r="M505" t="s">
        <v>511</v>
      </c>
    </row>
    <row r="506" spans="1:13" x14ac:dyDescent="0.3">
      <c r="A506">
        <v>492</v>
      </c>
      <c r="B506" s="2">
        <v>45662</v>
      </c>
      <c r="C506" s="2">
        <v>45662</v>
      </c>
      <c r="D506" t="s">
        <v>2241</v>
      </c>
      <c r="E506" t="s">
        <v>2242</v>
      </c>
      <c r="F506" s="1">
        <v>1900</v>
      </c>
      <c r="G506" t="s">
        <v>250</v>
      </c>
      <c r="H506" s="1">
        <v>44291.27</v>
      </c>
      <c r="I506" t="s">
        <v>250</v>
      </c>
      <c r="J506" s="1">
        <v>0</v>
      </c>
      <c r="K506" s="1">
        <v>1900</v>
      </c>
      <c r="L506" s="1">
        <f t="shared" si="7"/>
        <v>44291.27</v>
      </c>
      <c r="M506" t="s">
        <v>511</v>
      </c>
    </row>
    <row r="507" spans="1:13" x14ac:dyDescent="0.3">
      <c r="A507">
        <v>493</v>
      </c>
      <c r="B507" s="2">
        <v>45663</v>
      </c>
      <c r="C507" s="2">
        <v>45663</v>
      </c>
      <c r="D507" t="s">
        <v>2243</v>
      </c>
      <c r="E507" t="s">
        <v>2244</v>
      </c>
      <c r="F507" s="1">
        <v>50</v>
      </c>
      <c r="G507" t="s">
        <v>249</v>
      </c>
      <c r="H507" s="1">
        <v>44241.27</v>
      </c>
      <c r="I507" t="s">
        <v>250</v>
      </c>
      <c r="J507" s="1">
        <v>50</v>
      </c>
      <c r="K507" s="1">
        <v>0</v>
      </c>
      <c r="L507" s="1">
        <f t="shared" si="7"/>
        <v>44241.27</v>
      </c>
      <c r="M507" t="s">
        <v>511</v>
      </c>
    </row>
    <row r="508" spans="1:13" x14ac:dyDescent="0.3">
      <c r="A508">
        <v>494</v>
      </c>
      <c r="B508" s="2">
        <v>45663</v>
      </c>
      <c r="C508" s="2">
        <v>45663</v>
      </c>
      <c r="D508" t="s">
        <v>2245</v>
      </c>
      <c r="E508" t="s">
        <v>2246</v>
      </c>
      <c r="F508" s="1">
        <v>104</v>
      </c>
      <c r="G508" t="s">
        <v>249</v>
      </c>
      <c r="H508" s="1">
        <v>44137.27</v>
      </c>
      <c r="I508" t="s">
        <v>250</v>
      </c>
      <c r="J508" s="1">
        <v>104</v>
      </c>
      <c r="K508" s="1">
        <v>0</v>
      </c>
      <c r="L508" s="1">
        <f t="shared" si="7"/>
        <v>44137.27</v>
      </c>
      <c r="M508" t="s">
        <v>511</v>
      </c>
    </row>
    <row r="509" spans="1:13" x14ac:dyDescent="0.3">
      <c r="A509">
        <v>495</v>
      </c>
      <c r="B509" s="2">
        <v>45663</v>
      </c>
      <c r="C509" s="2">
        <v>45663</v>
      </c>
      <c r="D509" t="s">
        <v>2247</v>
      </c>
      <c r="E509" t="s">
        <v>2248</v>
      </c>
      <c r="F509" s="1">
        <v>50</v>
      </c>
      <c r="G509" t="s">
        <v>249</v>
      </c>
      <c r="H509" s="1">
        <v>44087.27</v>
      </c>
      <c r="I509" t="s">
        <v>250</v>
      </c>
      <c r="J509" s="1">
        <v>50</v>
      </c>
      <c r="K509" s="1">
        <v>0</v>
      </c>
      <c r="L509" s="1">
        <f t="shared" si="7"/>
        <v>44087.27</v>
      </c>
      <c r="M509" t="s">
        <v>511</v>
      </c>
    </row>
    <row r="510" spans="1:13" x14ac:dyDescent="0.3">
      <c r="A510">
        <v>496</v>
      </c>
      <c r="B510" s="2">
        <v>45663</v>
      </c>
      <c r="C510" s="2">
        <v>45663</v>
      </c>
      <c r="D510" t="s">
        <v>2249</v>
      </c>
      <c r="E510" t="s">
        <v>2250</v>
      </c>
      <c r="F510" s="1">
        <v>80</v>
      </c>
      <c r="G510" t="s">
        <v>249</v>
      </c>
      <c r="H510" s="1">
        <v>44007.27</v>
      </c>
      <c r="I510" t="s">
        <v>250</v>
      </c>
      <c r="J510" s="1">
        <v>80</v>
      </c>
      <c r="K510" s="1">
        <v>0</v>
      </c>
      <c r="L510" s="1">
        <f t="shared" si="7"/>
        <v>44007.27</v>
      </c>
      <c r="M510" t="s">
        <v>511</v>
      </c>
    </row>
    <row r="511" spans="1:13" x14ac:dyDescent="0.3">
      <c r="A511">
        <v>497</v>
      </c>
      <c r="B511" s="2">
        <v>45664</v>
      </c>
      <c r="C511" s="2">
        <v>45664</v>
      </c>
      <c r="D511" t="s">
        <v>2251</v>
      </c>
      <c r="E511" t="s">
        <v>2252</v>
      </c>
      <c r="F511" s="1">
        <v>50</v>
      </c>
      <c r="G511" t="s">
        <v>249</v>
      </c>
      <c r="H511" s="1">
        <v>43957.27</v>
      </c>
      <c r="I511" t="s">
        <v>250</v>
      </c>
      <c r="J511" s="1">
        <v>50</v>
      </c>
      <c r="K511" s="1">
        <v>0</v>
      </c>
      <c r="L511" s="1">
        <f t="shared" si="7"/>
        <v>43957.27</v>
      </c>
      <c r="M511" t="s">
        <v>511</v>
      </c>
    </row>
    <row r="512" spans="1:13" x14ac:dyDescent="0.3">
      <c r="A512">
        <v>498</v>
      </c>
      <c r="B512" s="2">
        <v>45664</v>
      </c>
      <c r="C512" s="2">
        <v>45664</v>
      </c>
      <c r="D512" t="s">
        <v>2253</v>
      </c>
      <c r="E512" t="s">
        <v>2254</v>
      </c>
      <c r="F512" s="1">
        <v>114</v>
      </c>
      <c r="G512" t="s">
        <v>249</v>
      </c>
      <c r="H512" s="1">
        <v>43843.27</v>
      </c>
      <c r="I512" t="s">
        <v>250</v>
      </c>
      <c r="J512" s="1">
        <v>114</v>
      </c>
      <c r="K512" s="1">
        <v>0</v>
      </c>
      <c r="L512" s="1">
        <f t="shared" si="7"/>
        <v>43843.27</v>
      </c>
      <c r="M512" t="s">
        <v>511</v>
      </c>
    </row>
    <row r="513" spans="1:13" x14ac:dyDescent="0.3">
      <c r="A513">
        <v>499</v>
      </c>
      <c r="B513" s="2">
        <v>45665</v>
      </c>
      <c r="C513" s="2">
        <v>45665</v>
      </c>
      <c r="D513" t="s">
        <v>2255</v>
      </c>
      <c r="E513" t="s">
        <v>2256</v>
      </c>
      <c r="F513" s="1">
        <v>50</v>
      </c>
      <c r="G513" t="s">
        <v>249</v>
      </c>
      <c r="H513" s="1">
        <v>43793.27</v>
      </c>
      <c r="I513" t="s">
        <v>250</v>
      </c>
      <c r="J513" s="1">
        <v>50</v>
      </c>
      <c r="K513" s="1">
        <v>0</v>
      </c>
      <c r="L513" s="1">
        <f t="shared" si="7"/>
        <v>43793.27</v>
      </c>
      <c r="M513" t="s">
        <v>511</v>
      </c>
    </row>
    <row r="514" spans="1:13" x14ac:dyDescent="0.3">
      <c r="A514">
        <v>500</v>
      </c>
      <c r="B514" s="2">
        <v>45665</v>
      </c>
      <c r="C514" s="2">
        <v>45665</v>
      </c>
      <c r="D514" t="s">
        <v>2257</v>
      </c>
      <c r="E514" t="s">
        <v>2258</v>
      </c>
      <c r="F514" s="1">
        <v>30309.34</v>
      </c>
      <c r="G514" t="s">
        <v>250</v>
      </c>
      <c r="H514" s="1">
        <v>74102.61</v>
      </c>
      <c r="I514" t="s">
        <v>250</v>
      </c>
      <c r="J514" s="1">
        <v>0</v>
      </c>
      <c r="K514" s="1">
        <v>30309.34</v>
      </c>
      <c r="L514" s="1">
        <f t="shared" ref="L514:L577" si="8">H514</f>
        <v>74102.61</v>
      </c>
      <c r="M514" t="s">
        <v>2537</v>
      </c>
    </row>
    <row r="515" spans="1:13" x14ac:dyDescent="0.3">
      <c r="A515">
        <v>501</v>
      </c>
      <c r="B515" s="2">
        <v>45665</v>
      </c>
      <c r="C515" s="2">
        <v>45665</v>
      </c>
      <c r="D515" t="s">
        <v>2259</v>
      </c>
      <c r="E515" t="s">
        <v>2260</v>
      </c>
      <c r="F515" s="1">
        <v>50</v>
      </c>
      <c r="G515" t="s">
        <v>249</v>
      </c>
      <c r="H515" s="1">
        <v>74052.61</v>
      </c>
      <c r="I515" t="s">
        <v>250</v>
      </c>
      <c r="J515" s="1">
        <v>50</v>
      </c>
      <c r="K515" s="1">
        <v>0</v>
      </c>
      <c r="L515" s="1">
        <f t="shared" si="8"/>
        <v>74052.61</v>
      </c>
      <c r="M515" t="s">
        <v>511</v>
      </c>
    </row>
    <row r="516" spans="1:13" x14ac:dyDescent="0.3">
      <c r="A516">
        <v>502</v>
      </c>
      <c r="B516" s="2">
        <v>45665</v>
      </c>
      <c r="C516" s="2">
        <v>45665</v>
      </c>
      <c r="D516" t="s">
        <v>2261</v>
      </c>
      <c r="E516" t="s">
        <v>2262</v>
      </c>
      <c r="F516" s="1">
        <v>100</v>
      </c>
      <c r="G516" t="s">
        <v>249</v>
      </c>
      <c r="H516" s="1">
        <v>73952.61</v>
      </c>
      <c r="I516" t="s">
        <v>250</v>
      </c>
      <c r="J516" s="1">
        <v>100</v>
      </c>
      <c r="K516" s="1">
        <v>0</v>
      </c>
      <c r="L516" s="1">
        <f t="shared" si="8"/>
        <v>73952.61</v>
      </c>
      <c r="M516" t="s">
        <v>511</v>
      </c>
    </row>
    <row r="517" spans="1:13" x14ac:dyDescent="0.3">
      <c r="A517">
        <v>503</v>
      </c>
      <c r="B517" s="2">
        <v>45665</v>
      </c>
      <c r="C517" s="2">
        <v>45665</v>
      </c>
      <c r="D517" t="s">
        <v>2263</v>
      </c>
      <c r="E517" t="s">
        <v>2264</v>
      </c>
      <c r="F517" s="1">
        <v>126</v>
      </c>
      <c r="G517" t="s">
        <v>249</v>
      </c>
      <c r="H517" s="1">
        <v>73826.61</v>
      </c>
      <c r="I517" t="s">
        <v>250</v>
      </c>
      <c r="J517" s="1">
        <v>126</v>
      </c>
      <c r="K517" s="1">
        <v>0</v>
      </c>
      <c r="L517" s="1">
        <f t="shared" si="8"/>
        <v>73826.61</v>
      </c>
      <c r="M517" t="s">
        <v>511</v>
      </c>
    </row>
    <row r="518" spans="1:13" x14ac:dyDescent="0.3">
      <c r="A518">
        <v>504</v>
      </c>
      <c r="B518" s="2">
        <v>45666</v>
      </c>
      <c r="C518" s="2">
        <v>45666</v>
      </c>
      <c r="D518" t="s">
        <v>2265</v>
      </c>
      <c r="E518" t="s">
        <v>2266</v>
      </c>
      <c r="F518" s="1">
        <v>200</v>
      </c>
      <c r="G518" t="s">
        <v>249</v>
      </c>
      <c r="H518" s="1">
        <v>73626.61</v>
      </c>
      <c r="I518" t="s">
        <v>250</v>
      </c>
      <c r="J518" s="1">
        <v>200</v>
      </c>
      <c r="K518" s="1">
        <v>0</v>
      </c>
      <c r="L518" s="1">
        <f t="shared" si="8"/>
        <v>73626.61</v>
      </c>
      <c r="M518" t="s">
        <v>511</v>
      </c>
    </row>
    <row r="519" spans="1:13" x14ac:dyDescent="0.3">
      <c r="A519">
        <v>505</v>
      </c>
      <c r="B519" s="2">
        <v>45666</v>
      </c>
      <c r="C519" s="2">
        <v>45666</v>
      </c>
      <c r="D519" t="s">
        <v>2267</v>
      </c>
      <c r="E519" t="s">
        <v>2268</v>
      </c>
      <c r="F519" s="1">
        <v>104</v>
      </c>
      <c r="G519" t="s">
        <v>249</v>
      </c>
      <c r="H519" s="1">
        <v>73522.61</v>
      </c>
      <c r="I519" t="s">
        <v>250</v>
      </c>
      <c r="J519" s="1">
        <v>104</v>
      </c>
      <c r="K519" s="1">
        <v>0</v>
      </c>
      <c r="L519" s="1">
        <f t="shared" si="8"/>
        <v>73522.61</v>
      </c>
      <c r="M519" t="s">
        <v>511</v>
      </c>
    </row>
    <row r="520" spans="1:13" x14ac:dyDescent="0.3">
      <c r="A520">
        <v>506</v>
      </c>
      <c r="B520" s="2">
        <v>45666</v>
      </c>
      <c r="C520" s="2">
        <v>45666</v>
      </c>
      <c r="D520" t="s">
        <v>2269</v>
      </c>
      <c r="E520" t="s">
        <v>2270</v>
      </c>
      <c r="F520" s="1">
        <v>45</v>
      </c>
      <c r="G520" t="s">
        <v>249</v>
      </c>
      <c r="H520" s="1">
        <v>73477.61</v>
      </c>
      <c r="I520" t="s">
        <v>250</v>
      </c>
      <c r="J520" s="1">
        <v>45</v>
      </c>
      <c r="K520" s="1">
        <v>0</v>
      </c>
      <c r="L520" s="1">
        <f t="shared" si="8"/>
        <v>73477.61</v>
      </c>
      <c r="M520" t="s">
        <v>511</v>
      </c>
    </row>
    <row r="521" spans="1:13" x14ac:dyDescent="0.3">
      <c r="A521">
        <v>507</v>
      </c>
      <c r="B521" s="2">
        <v>45666</v>
      </c>
      <c r="C521" s="2">
        <v>45666</v>
      </c>
      <c r="D521" t="s">
        <v>2271</v>
      </c>
      <c r="E521">
        <v>500913592233</v>
      </c>
      <c r="F521" s="1">
        <v>2</v>
      </c>
      <c r="G521" t="s">
        <v>249</v>
      </c>
      <c r="H521" s="1">
        <v>73475.61</v>
      </c>
      <c r="I521" t="s">
        <v>250</v>
      </c>
      <c r="J521" s="1">
        <v>2</v>
      </c>
      <c r="K521" s="1">
        <v>0</v>
      </c>
      <c r="L521" s="1">
        <f t="shared" si="8"/>
        <v>73475.61</v>
      </c>
      <c r="M521" t="s">
        <v>589</v>
      </c>
    </row>
    <row r="522" spans="1:13" x14ac:dyDescent="0.3">
      <c r="A522">
        <v>508</v>
      </c>
      <c r="B522" s="2">
        <v>45666</v>
      </c>
      <c r="C522" s="2">
        <v>45666</v>
      </c>
      <c r="D522" t="s">
        <v>2272</v>
      </c>
      <c r="E522" t="s">
        <v>2273</v>
      </c>
      <c r="F522" s="1">
        <v>393</v>
      </c>
      <c r="G522" t="s">
        <v>249</v>
      </c>
      <c r="H522" s="1">
        <v>73082.61</v>
      </c>
      <c r="I522" t="s">
        <v>250</v>
      </c>
      <c r="J522" s="1">
        <v>393</v>
      </c>
      <c r="K522" s="1">
        <v>0</v>
      </c>
      <c r="L522" s="1">
        <f t="shared" si="8"/>
        <v>73082.61</v>
      </c>
      <c r="M522" t="s">
        <v>511</v>
      </c>
    </row>
    <row r="523" spans="1:13" x14ac:dyDescent="0.3">
      <c r="A523">
        <v>509</v>
      </c>
      <c r="B523" s="2">
        <v>45667</v>
      </c>
      <c r="C523" s="2">
        <v>45667</v>
      </c>
      <c r="D523" t="s">
        <v>2274</v>
      </c>
      <c r="E523" t="s">
        <v>2275</v>
      </c>
      <c r="F523" s="1">
        <v>1</v>
      </c>
      <c r="G523" t="s">
        <v>249</v>
      </c>
      <c r="H523" s="1">
        <v>73081.61</v>
      </c>
      <c r="I523" t="s">
        <v>250</v>
      </c>
      <c r="J523" s="1">
        <v>1</v>
      </c>
      <c r="K523" s="1">
        <v>0</v>
      </c>
      <c r="L523" s="1">
        <f t="shared" si="8"/>
        <v>73081.61</v>
      </c>
      <c r="M523" t="s">
        <v>511</v>
      </c>
    </row>
    <row r="524" spans="1:13" x14ac:dyDescent="0.3">
      <c r="A524">
        <v>510</v>
      </c>
      <c r="B524" s="2">
        <v>45667</v>
      </c>
      <c r="C524" s="2">
        <v>45667</v>
      </c>
      <c r="D524" t="s">
        <v>2276</v>
      </c>
      <c r="E524" t="s">
        <v>2277</v>
      </c>
      <c r="F524" s="1">
        <v>501</v>
      </c>
      <c r="G524" t="s">
        <v>250</v>
      </c>
      <c r="H524" s="1">
        <v>73582.61</v>
      </c>
      <c r="I524" t="s">
        <v>250</v>
      </c>
      <c r="J524" s="1">
        <v>0</v>
      </c>
      <c r="K524" s="1">
        <v>501</v>
      </c>
      <c r="L524" s="1">
        <f t="shared" si="8"/>
        <v>73582.61</v>
      </c>
      <c r="M524" t="s">
        <v>2536</v>
      </c>
    </row>
    <row r="525" spans="1:13" x14ac:dyDescent="0.3">
      <c r="A525">
        <v>511</v>
      </c>
      <c r="B525" s="2">
        <v>45667</v>
      </c>
      <c r="C525" s="2">
        <v>45667</v>
      </c>
      <c r="D525" t="s">
        <v>2278</v>
      </c>
      <c r="E525" t="s">
        <v>2279</v>
      </c>
      <c r="F525" s="1">
        <v>1</v>
      </c>
      <c r="G525" t="s">
        <v>250</v>
      </c>
      <c r="H525" s="1">
        <v>73583.61</v>
      </c>
      <c r="I525" t="s">
        <v>250</v>
      </c>
      <c r="J525" s="1">
        <v>0</v>
      </c>
      <c r="K525" s="1">
        <v>1</v>
      </c>
      <c r="L525" s="1">
        <f t="shared" si="8"/>
        <v>73583.61</v>
      </c>
      <c r="M525" t="s">
        <v>511</v>
      </c>
    </row>
    <row r="526" spans="1:13" x14ac:dyDescent="0.3">
      <c r="A526">
        <v>512</v>
      </c>
      <c r="B526" s="2">
        <v>45668</v>
      </c>
      <c r="C526" s="2">
        <v>45668</v>
      </c>
      <c r="D526" t="s">
        <v>2280</v>
      </c>
      <c r="E526" t="s">
        <v>2281</v>
      </c>
      <c r="F526" s="1">
        <v>350</v>
      </c>
      <c r="G526" t="s">
        <v>249</v>
      </c>
      <c r="H526" s="1">
        <v>73233.61</v>
      </c>
      <c r="I526" t="s">
        <v>250</v>
      </c>
      <c r="J526" s="1">
        <v>350</v>
      </c>
      <c r="K526" s="1">
        <v>0</v>
      </c>
      <c r="L526" s="1">
        <f t="shared" si="8"/>
        <v>73233.61</v>
      </c>
      <c r="M526" t="s">
        <v>511</v>
      </c>
    </row>
    <row r="527" spans="1:13" x14ac:dyDescent="0.3">
      <c r="A527">
        <v>513</v>
      </c>
      <c r="B527" s="2">
        <v>45668</v>
      </c>
      <c r="C527" s="2">
        <v>45668</v>
      </c>
      <c r="D527" t="s">
        <v>2282</v>
      </c>
      <c r="E527" t="s">
        <v>2283</v>
      </c>
      <c r="F527" s="1">
        <v>50</v>
      </c>
      <c r="G527" t="s">
        <v>249</v>
      </c>
      <c r="H527" s="1">
        <v>73183.61</v>
      </c>
      <c r="I527" t="s">
        <v>250</v>
      </c>
      <c r="J527" s="1">
        <v>50</v>
      </c>
      <c r="K527" s="1">
        <v>0</v>
      </c>
      <c r="L527" s="1">
        <f t="shared" si="8"/>
        <v>73183.61</v>
      </c>
      <c r="M527" t="s">
        <v>511</v>
      </c>
    </row>
    <row r="528" spans="1:13" x14ac:dyDescent="0.3">
      <c r="A528">
        <v>514</v>
      </c>
      <c r="B528" s="2">
        <v>45670</v>
      </c>
      <c r="C528" s="2">
        <v>45670</v>
      </c>
      <c r="D528" t="s">
        <v>2284</v>
      </c>
      <c r="E528" t="s">
        <v>2285</v>
      </c>
      <c r="F528" s="1">
        <v>72.77</v>
      </c>
      <c r="G528" t="s">
        <v>250</v>
      </c>
      <c r="H528" s="1">
        <v>73256.38</v>
      </c>
      <c r="I528" t="s">
        <v>250</v>
      </c>
      <c r="J528" s="1">
        <v>0</v>
      </c>
      <c r="K528" s="1">
        <v>72.77</v>
      </c>
      <c r="L528" s="1">
        <f t="shared" si="8"/>
        <v>73256.38</v>
      </c>
      <c r="M528" t="s">
        <v>511</v>
      </c>
    </row>
    <row r="529" spans="1:13" x14ac:dyDescent="0.3">
      <c r="A529">
        <v>515</v>
      </c>
      <c r="B529" s="2">
        <v>45670</v>
      </c>
      <c r="C529" s="2">
        <v>45670</v>
      </c>
      <c r="D529" t="s">
        <v>2286</v>
      </c>
      <c r="E529" t="s">
        <v>2287</v>
      </c>
      <c r="F529" s="1">
        <v>1100</v>
      </c>
      <c r="G529" t="s">
        <v>250</v>
      </c>
      <c r="H529" s="1">
        <v>74356.38</v>
      </c>
      <c r="I529" t="s">
        <v>250</v>
      </c>
      <c r="J529" s="1">
        <v>0</v>
      </c>
      <c r="K529" s="1">
        <v>1100</v>
      </c>
      <c r="L529" s="1">
        <f t="shared" si="8"/>
        <v>74356.38</v>
      </c>
      <c r="M529" t="s">
        <v>228</v>
      </c>
    </row>
    <row r="530" spans="1:13" x14ac:dyDescent="0.3">
      <c r="A530">
        <v>516</v>
      </c>
      <c r="B530" s="2">
        <v>45671</v>
      </c>
      <c r="C530" s="2">
        <v>45671</v>
      </c>
      <c r="D530" t="s">
        <v>2288</v>
      </c>
      <c r="E530" t="s">
        <v>2289</v>
      </c>
      <c r="F530" s="1">
        <v>150</v>
      </c>
      <c r="G530" t="s">
        <v>249</v>
      </c>
      <c r="H530" s="1">
        <v>74206.38</v>
      </c>
      <c r="I530" t="s">
        <v>250</v>
      </c>
      <c r="J530" s="1">
        <v>150</v>
      </c>
      <c r="K530" s="1">
        <v>0</v>
      </c>
      <c r="L530" s="1">
        <f t="shared" si="8"/>
        <v>74206.38</v>
      </c>
      <c r="M530" t="s">
        <v>511</v>
      </c>
    </row>
    <row r="531" spans="1:13" x14ac:dyDescent="0.3">
      <c r="A531">
        <v>517</v>
      </c>
      <c r="B531" s="2">
        <v>45673</v>
      </c>
      <c r="C531" s="2">
        <v>45673</v>
      </c>
      <c r="D531" t="s">
        <v>2290</v>
      </c>
      <c r="E531" t="s">
        <v>2291</v>
      </c>
      <c r="F531" s="1">
        <v>2000</v>
      </c>
      <c r="G531" t="s">
        <v>249</v>
      </c>
      <c r="H531" s="1">
        <v>72206.38</v>
      </c>
      <c r="I531" t="s">
        <v>250</v>
      </c>
      <c r="J531" s="1">
        <v>2000</v>
      </c>
      <c r="K531" s="1">
        <v>0</v>
      </c>
      <c r="L531" s="1">
        <f t="shared" si="8"/>
        <v>72206.38</v>
      </c>
      <c r="M531" t="s">
        <v>511</v>
      </c>
    </row>
    <row r="532" spans="1:13" x14ac:dyDescent="0.3">
      <c r="A532">
        <v>518</v>
      </c>
      <c r="B532" s="2">
        <v>45675</v>
      </c>
      <c r="C532" s="2">
        <v>45675</v>
      </c>
      <c r="D532" t="s">
        <v>2292</v>
      </c>
      <c r="E532" t="s">
        <v>2293</v>
      </c>
      <c r="F532" s="1">
        <v>894</v>
      </c>
      <c r="G532" t="s">
        <v>249</v>
      </c>
      <c r="H532" s="1">
        <v>71312.38</v>
      </c>
      <c r="I532" t="s">
        <v>250</v>
      </c>
      <c r="J532" s="1">
        <v>894</v>
      </c>
      <c r="K532" s="1">
        <v>0</v>
      </c>
      <c r="L532" s="1">
        <f t="shared" si="8"/>
        <v>71312.38</v>
      </c>
      <c r="M532" t="s">
        <v>511</v>
      </c>
    </row>
    <row r="533" spans="1:13" x14ac:dyDescent="0.3">
      <c r="A533">
        <v>519</v>
      </c>
      <c r="B533" s="2">
        <v>45676</v>
      </c>
      <c r="C533" s="2">
        <v>45676</v>
      </c>
      <c r="D533" t="s">
        <v>2294</v>
      </c>
      <c r="E533" t="s">
        <v>2295</v>
      </c>
      <c r="F533" s="1">
        <v>20000</v>
      </c>
      <c r="G533" t="s">
        <v>249</v>
      </c>
      <c r="H533" s="1">
        <v>51312.38</v>
      </c>
      <c r="I533" t="s">
        <v>250</v>
      </c>
      <c r="J533" s="1">
        <v>20000</v>
      </c>
      <c r="K533" s="1">
        <v>0</v>
      </c>
      <c r="L533" s="1">
        <f t="shared" si="8"/>
        <v>51312.38</v>
      </c>
      <c r="M533" t="s">
        <v>511</v>
      </c>
    </row>
    <row r="534" spans="1:13" x14ac:dyDescent="0.3">
      <c r="A534">
        <v>520</v>
      </c>
      <c r="B534" s="2">
        <v>45676</v>
      </c>
      <c r="C534" s="2">
        <v>45676</v>
      </c>
      <c r="D534" t="s">
        <v>2296</v>
      </c>
      <c r="E534" t="s">
        <v>2297</v>
      </c>
      <c r="F534" s="1">
        <v>30000</v>
      </c>
      <c r="G534" t="s">
        <v>249</v>
      </c>
      <c r="H534" s="1">
        <v>21312.38</v>
      </c>
      <c r="I534" t="s">
        <v>250</v>
      </c>
      <c r="J534" s="1">
        <v>30000</v>
      </c>
      <c r="K534" s="1">
        <v>0</v>
      </c>
      <c r="L534" s="1">
        <f t="shared" si="8"/>
        <v>21312.38</v>
      </c>
      <c r="M534" t="s">
        <v>511</v>
      </c>
    </row>
    <row r="535" spans="1:13" x14ac:dyDescent="0.3">
      <c r="A535">
        <v>521</v>
      </c>
      <c r="B535" s="2">
        <v>45676</v>
      </c>
      <c r="C535" s="2">
        <v>45676</v>
      </c>
      <c r="D535" t="s">
        <v>2298</v>
      </c>
      <c r="E535" t="s">
        <v>2299</v>
      </c>
      <c r="F535" s="1">
        <v>500</v>
      </c>
      <c r="G535" t="s">
        <v>249</v>
      </c>
      <c r="H535" s="1">
        <v>20812.38</v>
      </c>
      <c r="I535" t="s">
        <v>250</v>
      </c>
      <c r="J535" s="1">
        <v>500</v>
      </c>
      <c r="K535" s="1">
        <v>0</v>
      </c>
      <c r="L535" s="1">
        <f t="shared" si="8"/>
        <v>20812.38</v>
      </c>
      <c r="M535" t="s">
        <v>511</v>
      </c>
    </row>
    <row r="536" spans="1:13" x14ac:dyDescent="0.3">
      <c r="A536">
        <v>522</v>
      </c>
      <c r="B536" s="2">
        <v>45678</v>
      </c>
      <c r="C536" s="2">
        <v>45678</v>
      </c>
      <c r="D536" t="s">
        <v>2300</v>
      </c>
      <c r="E536" t="s">
        <v>2301</v>
      </c>
      <c r="F536" s="1">
        <v>2000</v>
      </c>
      <c r="G536" t="s">
        <v>249</v>
      </c>
      <c r="H536" s="1">
        <v>18812.38</v>
      </c>
      <c r="I536" t="s">
        <v>250</v>
      </c>
      <c r="J536" s="1">
        <v>2000</v>
      </c>
      <c r="K536" s="1">
        <v>0</v>
      </c>
      <c r="L536" s="1">
        <f t="shared" si="8"/>
        <v>18812.38</v>
      </c>
      <c r="M536" t="s">
        <v>511</v>
      </c>
    </row>
    <row r="537" spans="1:13" x14ac:dyDescent="0.3">
      <c r="A537">
        <v>523</v>
      </c>
      <c r="B537" s="2">
        <v>45679</v>
      </c>
      <c r="C537" s="2">
        <v>45679</v>
      </c>
      <c r="D537" t="s">
        <v>2302</v>
      </c>
      <c r="E537" t="s">
        <v>2303</v>
      </c>
      <c r="F537" s="1">
        <v>1500</v>
      </c>
      <c r="G537" t="s">
        <v>249</v>
      </c>
      <c r="H537" s="1">
        <v>17312.38</v>
      </c>
      <c r="I537" t="s">
        <v>250</v>
      </c>
      <c r="J537" s="1">
        <v>1500</v>
      </c>
      <c r="K537" s="1">
        <v>0</v>
      </c>
      <c r="L537" s="1">
        <f t="shared" si="8"/>
        <v>17312.38</v>
      </c>
      <c r="M537" t="s">
        <v>511</v>
      </c>
    </row>
    <row r="538" spans="1:13" x14ac:dyDescent="0.3">
      <c r="A538">
        <v>524</v>
      </c>
      <c r="B538" s="2">
        <v>45680</v>
      </c>
      <c r="C538" s="2">
        <v>45680</v>
      </c>
      <c r="D538" t="s">
        <v>2304</v>
      </c>
      <c r="E538" t="s">
        <v>2305</v>
      </c>
      <c r="F538" s="1">
        <v>1500</v>
      </c>
      <c r="G538" t="s">
        <v>249</v>
      </c>
      <c r="H538" s="1">
        <v>15812.38</v>
      </c>
      <c r="I538" t="s">
        <v>250</v>
      </c>
      <c r="J538" s="1">
        <v>1500</v>
      </c>
      <c r="K538" s="1">
        <v>0</v>
      </c>
      <c r="L538" s="1">
        <f t="shared" si="8"/>
        <v>15812.38</v>
      </c>
      <c r="M538" t="s">
        <v>511</v>
      </c>
    </row>
    <row r="539" spans="1:13" x14ac:dyDescent="0.3">
      <c r="A539">
        <v>525</v>
      </c>
      <c r="B539" s="2">
        <v>45682</v>
      </c>
      <c r="C539" s="2">
        <v>45682</v>
      </c>
      <c r="D539" t="s">
        <v>2306</v>
      </c>
      <c r="E539" t="s">
        <v>2307</v>
      </c>
      <c r="F539" s="1">
        <v>1500</v>
      </c>
      <c r="G539" t="s">
        <v>249</v>
      </c>
      <c r="H539" s="1">
        <v>14312.38</v>
      </c>
      <c r="I539" t="s">
        <v>250</v>
      </c>
      <c r="J539" s="1">
        <v>1500</v>
      </c>
      <c r="K539" s="1">
        <v>0</v>
      </c>
      <c r="L539" s="1">
        <f t="shared" si="8"/>
        <v>14312.38</v>
      </c>
      <c r="M539" t="s">
        <v>511</v>
      </c>
    </row>
    <row r="540" spans="1:13" x14ac:dyDescent="0.3">
      <c r="A540">
        <v>526</v>
      </c>
      <c r="B540" s="2">
        <v>45682</v>
      </c>
      <c r="C540" s="2">
        <v>45682</v>
      </c>
      <c r="D540" t="s">
        <v>2308</v>
      </c>
      <c r="E540" t="s">
        <v>2309</v>
      </c>
      <c r="F540" s="1">
        <v>5000</v>
      </c>
      <c r="G540" t="s">
        <v>250</v>
      </c>
      <c r="H540" s="1">
        <v>19312.38</v>
      </c>
      <c r="I540" t="s">
        <v>250</v>
      </c>
      <c r="J540" s="1">
        <v>0</v>
      </c>
      <c r="K540" s="1">
        <v>5000</v>
      </c>
      <c r="L540" s="1">
        <f t="shared" si="8"/>
        <v>19312.38</v>
      </c>
      <c r="M540" t="s">
        <v>511</v>
      </c>
    </row>
    <row r="541" spans="1:13" x14ac:dyDescent="0.3">
      <c r="A541">
        <v>527</v>
      </c>
      <c r="B541" s="2">
        <v>45684</v>
      </c>
      <c r="C541" s="2">
        <v>45684</v>
      </c>
      <c r="D541" t="s">
        <v>2310</v>
      </c>
      <c r="E541" t="s">
        <v>2311</v>
      </c>
      <c r="F541" s="1">
        <v>1500</v>
      </c>
      <c r="G541" t="s">
        <v>249</v>
      </c>
      <c r="H541" s="1">
        <v>17812.38</v>
      </c>
      <c r="I541" t="s">
        <v>250</v>
      </c>
      <c r="J541" s="1">
        <v>1500</v>
      </c>
      <c r="K541" s="1">
        <v>0</v>
      </c>
      <c r="L541" s="1">
        <f t="shared" si="8"/>
        <v>17812.38</v>
      </c>
      <c r="M541" t="s">
        <v>511</v>
      </c>
    </row>
    <row r="542" spans="1:13" x14ac:dyDescent="0.3">
      <c r="A542">
        <v>528</v>
      </c>
      <c r="B542" s="2">
        <v>45685</v>
      </c>
      <c r="C542" s="2">
        <v>45685</v>
      </c>
      <c r="D542" t="s">
        <v>2312</v>
      </c>
      <c r="E542" t="s">
        <v>2313</v>
      </c>
      <c r="F542" s="1">
        <v>7000</v>
      </c>
      <c r="G542" t="s">
        <v>249</v>
      </c>
      <c r="H542" s="1">
        <v>10812.38</v>
      </c>
      <c r="I542" t="s">
        <v>250</v>
      </c>
      <c r="J542" s="1">
        <v>7000</v>
      </c>
      <c r="K542" s="1">
        <v>0</v>
      </c>
      <c r="L542" s="1">
        <f t="shared" si="8"/>
        <v>10812.38</v>
      </c>
      <c r="M542" t="s">
        <v>2532</v>
      </c>
    </row>
    <row r="543" spans="1:13" x14ac:dyDescent="0.3">
      <c r="A543">
        <v>529</v>
      </c>
      <c r="B543" s="2">
        <v>45685</v>
      </c>
      <c r="C543" s="2">
        <v>45685</v>
      </c>
      <c r="D543" t="s">
        <v>2314</v>
      </c>
      <c r="E543" t="s">
        <v>2315</v>
      </c>
      <c r="F543" s="1">
        <v>1500</v>
      </c>
      <c r="G543" t="s">
        <v>249</v>
      </c>
      <c r="H543" s="1">
        <v>9312.3799999999992</v>
      </c>
      <c r="I543" t="s">
        <v>250</v>
      </c>
      <c r="J543" s="1">
        <v>1500</v>
      </c>
      <c r="K543" s="1">
        <v>0</v>
      </c>
      <c r="L543" s="1">
        <f t="shared" si="8"/>
        <v>9312.3799999999992</v>
      </c>
      <c r="M543" t="s">
        <v>511</v>
      </c>
    </row>
    <row r="544" spans="1:13" x14ac:dyDescent="0.3">
      <c r="A544">
        <v>530</v>
      </c>
      <c r="B544" s="2">
        <v>45686</v>
      </c>
      <c r="C544" s="2">
        <v>45686</v>
      </c>
      <c r="D544" t="s">
        <v>2316</v>
      </c>
      <c r="E544" t="s">
        <v>2317</v>
      </c>
      <c r="F544" s="1">
        <v>1500</v>
      </c>
      <c r="G544" t="s">
        <v>249</v>
      </c>
      <c r="H544" s="1">
        <v>7812.38</v>
      </c>
      <c r="I544" t="s">
        <v>250</v>
      </c>
      <c r="J544" s="1">
        <v>1500</v>
      </c>
      <c r="K544" s="1">
        <v>0</v>
      </c>
      <c r="L544" s="1">
        <f t="shared" si="8"/>
        <v>7812.38</v>
      </c>
      <c r="M544" t="s">
        <v>511</v>
      </c>
    </row>
    <row r="545" spans="1:13" x14ac:dyDescent="0.3">
      <c r="A545">
        <v>531</v>
      </c>
      <c r="B545" s="2">
        <v>45687</v>
      </c>
      <c r="C545" s="2">
        <v>45687</v>
      </c>
      <c r="D545" t="s">
        <v>2318</v>
      </c>
      <c r="E545" t="s">
        <v>2319</v>
      </c>
      <c r="F545" s="1">
        <v>1679.68</v>
      </c>
      <c r="G545" t="s">
        <v>249</v>
      </c>
      <c r="H545" s="1">
        <v>6132.7</v>
      </c>
      <c r="I545" t="s">
        <v>250</v>
      </c>
      <c r="J545" s="1">
        <v>1679.68</v>
      </c>
      <c r="K545" s="1">
        <v>0</v>
      </c>
      <c r="L545" s="1">
        <f t="shared" si="8"/>
        <v>6132.7</v>
      </c>
      <c r="M545" t="s">
        <v>511</v>
      </c>
    </row>
    <row r="546" spans="1:13" x14ac:dyDescent="0.3">
      <c r="A546">
        <v>532</v>
      </c>
      <c r="B546" s="2">
        <v>45687</v>
      </c>
      <c r="C546" s="2">
        <v>45687</v>
      </c>
      <c r="D546" t="s">
        <v>358</v>
      </c>
      <c r="E546" t="s">
        <v>2320</v>
      </c>
      <c r="F546" s="1">
        <v>68924</v>
      </c>
      <c r="G546" t="s">
        <v>250</v>
      </c>
      <c r="H546" s="1">
        <v>75056.7</v>
      </c>
      <c r="I546" t="s">
        <v>250</v>
      </c>
      <c r="J546" s="1">
        <v>0</v>
      </c>
      <c r="K546" s="1">
        <v>68924</v>
      </c>
      <c r="L546" s="1">
        <f t="shared" si="8"/>
        <v>75056.7</v>
      </c>
      <c r="M546" t="s">
        <v>507</v>
      </c>
    </row>
    <row r="547" spans="1:13" x14ac:dyDescent="0.3">
      <c r="A547">
        <v>533</v>
      </c>
      <c r="B547" s="2">
        <v>45688</v>
      </c>
      <c r="C547" s="2">
        <v>45688</v>
      </c>
      <c r="D547" t="s">
        <v>2321</v>
      </c>
      <c r="E547" t="s">
        <v>2322</v>
      </c>
      <c r="F547" s="1">
        <v>3200</v>
      </c>
      <c r="G547" t="s">
        <v>249</v>
      </c>
      <c r="H547" s="1">
        <v>71856.7</v>
      </c>
      <c r="I547" t="s">
        <v>250</v>
      </c>
      <c r="J547" s="1">
        <v>3200</v>
      </c>
      <c r="K547" s="1">
        <v>0</v>
      </c>
      <c r="L547" s="1">
        <f t="shared" si="8"/>
        <v>71856.7</v>
      </c>
      <c r="M547" t="s">
        <v>511</v>
      </c>
    </row>
    <row r="548" spans="1:13" x14ac:dyDescent="0.3">
      <c r="A548">
        <v>534</v>
      </c>
      <c r="B548" s="2">
        <v>45689</v>
      </c>
      <c r="C548" s="2">
        <v>45689</v>
      </c>
      <c r="D548" t="s">
        <v>2323</v>
      </c>
      <c r="E548" t="s">
        <v>2324</v>
      </c>
      <c r="F548" s="1">
        <v>45</v>
      </c>
      <c r="G548" t="s">
        <v>249</v>
      </c>
      <c r="H548" s="1">
        <v>71811.7</v>
      </c>
      <c r="I548" t="s">
        <v>250</v>
      </c>
      <c r="J548" s="1">
        <v>45</v>
      </c>
      <c r="K548" s="1">
        <v>0</v>
      </c>
      <c r="L548" s="1">
        <f t="shared" si="8"/>
        <v>71811.7</v>
      </c>
      <c r="M548" t="s">
        <v>511</v>
      </c>
    </row>
    <row r="549" spans="1:13" x14ac:dyDescent="0.3">
      <c r="A549">
        <v>535</v>
      </c>
      <c r="B549" s="2">
        <v>45690</v>
      </c>
      <c r="C549" s="2">
        <v>45690</v>
      </c>
      <c r="D549" t="s">
        <v>2325</v>
      </c>
      <c r="E549" t="s">
        <v>2326</v>
      </c>
      <c r="F549" s="1">
        <v>40</v>
      </c>
      <c r="G549" t="s">
        <v>249</v>
      </c>
      <c r="H549" s="1">
        <v>71771.7</v>
      </c>
      <c r="I549" t="s">
        <v>250</v>
      </c>
      <c r="J549" s="1">
        <v>40</v>
      </c>
      <c r="K549" s="1">
        <v>0</v>
      </c>
      <c r="L549" s="1">
        <f t="shared" si="8"/>
        <v>71771.7</v>
      </c>
      <c r="M549" t="s">
        <v>511</v>
      </c>
    </row>
    <row r="550" spans="1:13" x14ac:dyDescent="0.3">
      <c r="A550">
        <v>536</v>
      </c>
      <c r="B550" s="2">
        <v>45690</v>
      </c>
      <c r="C550" s="2">
        <v>45690</v>
      </c>
      <c r="D550" t="s">
        <v>2327</v>
      </c>
      <c r="E550" t="s">
        <v>2328</v>
      </c>
      <c r="F550" s="1">
        <v>350</v>
      </c>
      <c r="G550" t="s">
        <v>249</v>
      </c>
      <c r="H550" s="1">
        <v>71421.7</v>
      </c>
      <c r="I550" t="s">
        <v>250</v>
      </c>
      <c r="J550" s="1">
        <v>350</v>
      </c>
      <c r="K550" s="1">
        <v>0</v>
      </c>
      <c r="L550" s="1">
        <f t="shared" si="8"/>
        <v>71421.7</v>
      </c>
      <c r="M550" t="s">
        <v>511</v>
      </c>
    </row>
    <row r="551" spans="1:13" x14ac:dyDescent="0.3">
      <c r="A551">
        <v>537</v>
      </c>
      <c r="B551" s="2">
        <v>45690</v>
      </c>
      <c r="C551" s="2">
        <v>45690</v>
      </c>
      <c r="D551" t="s">
        <v>2329</v>
      </c>
      <c r="E551" t="s">
        <v>2330</v>
      </c>
      <c r="F551" s="1">
        <v>70</v>
      </c>
      <c r="G551" t="s">
        <v>249</v>
      </c>
      <c r="H551" s="1">
        <v>71351.7</v>
      </c>
      <c r="I551" t="s">
        <v>250</v>
      </c>
      <c r="J551" s="1">
        <v>70</v>
      </c>
      <c r="K551" s="1">
        <v>0</v>
      </c>
      <c r="L551" s="1">
        <f t="shared" si="8"/>
        <v>71351.7</v>
      </c>
      <c r="M551" t="s">
        <v>511</v>
      </c>
    </row>
    <row r="552" spans="1:13" x14ac:dyDescent="0.3">
      <c r="A552">
        <v>538</v>
      </c>
      <c r="B552" s="2">
        <v>45691</v>
      </c>
      <c r="C552" s="2">
        <v>45691</v>
      </c>
      <c r="D552" t="s">
        <v>2331</v>
      </c>
      <c r="E552" t="s">
        <v>2332</v>
      </c>
      <c r="F552" s="1">
        <v>100</v>
      </c>
      <c r="G552" t="s">
        <v>250</v>
      </c>
      <c r="H552" s="1">
        <v>71451.7</v>
      </c>
      <c r="I552" t="s">
        <v>250</v>
      </c>
      <c r="J552" s="1">
        <v>0</v>
      </c>
      <c r="K552" s="1">
        <v>100</v>
      </c>
      <c r="L552" s="1">
        <f t="shared" si="8"/>
        <v>71451.7</v>
      </c>
      <c r="M552" t="s">
        <v>511</v>
      </c>
    </row>
    <row r="553" spans="1:13" x14ac:dyDescent="0.3">
      <c r="A553">
        <v>539</v>
      </c>
      <c r="B553" s="2">
        <v>45691</v>
      </c>
      <c r="C553" s="2">
        <v>45691</v>
      </c>
      <c r="D553" t="s">
        <v>2333</v>
      </c>
      <c r="E553" t="s">
        <v>2334</v>
      </c>
      <c r="F553" s="1">
        <v>2500</v>
      </c>
      <c r="G553" t="s">
        <v>249</v>
      </c>
      <c r="H553" s="1">
        <v>68951.7</v>
      </c>
      <c r="I553" t="s">
        <v>250</v>
      </c>
      <c r="J553" s="1">
        <v>2500</v>
      </c>
      <c r="K553" s="1">
        <v>0</v>
      </c>
      <c r="L553" s="1">
        <f t="shared" si="8"/>
        <v>68951.7</v>
      </c>
      <c r="M553" t="s">
        <v>511</v>
      </c>
    </row>
    <row r="554" spans="1:13" x14ac:dyDescent="0.3">
      <c r="A554">
        <v>540</v>
      </c>
      <c r="B554" s="2">
        <v>45692</v>
      </c>
      <c r="C554" s="2">
        <v>45692</v>
      </c>
      <c r="D554" t="s">
        <v>2335</v>
      </c>
      <c r="E554" t="s">
        <v>2336</v>
      </c>
      <c r="F554" s="1">
        <v>23000</v>
      </c>
      <c r="G554" t="s">
        <v>249</v>
      </c>
      <c r="H554" s="1">
        <v>45951.7</v>
      </c>
      <c r="I554" t="s">
        <v>250</v>
      </c>
      <c r="J554" s="1">
        <v>23000</v>
      </c>
      <c r="K554" s="1">
        <v>0</v>
      </c>
      <c r="L554" s="1">
        <f t="shared" si="8"/>
        <v>45951.7</v>
      </c>
      <c r="M554" t="s">
        <v>511</v>
      </c>
    </row>
    <row r="555" spans="1:13" x14ac:dyDescent="0.3">
      <c r="A555">
        <v>541</v>
      </c>
      <c r="B555" s="2">
        <v>45693</v>
      </c>
      <c r="C555" s="2">
        <v>45693</v>
      </c>
      <c r="D555" t="s">
        <v>2337</v>
      </c>
      <c r="E555" t="s">
        <v>2338</v>
      </c>
      <c r="F555" s="1">
        <v>1000</v>
      </c>
      <c r="G555" t="s">
        <v>249</v>
      </c>
      <c r="H555" s="1">
        <v>44951.7</v>
      </c>
      <c r="I555" t="s">
        <v>250</v>
      </c>
      <c r="J555" s="1">
        <v>1000</v>
      </c>
      <c r="K555" s="1">
        <v>0</v>
      </c>
      <c r="L555" s="1">
        <f t="shared" si="8"/>
        <v>44951.7</v>
      </c>
      <c r="M555" t="s">
        <v>511</v>
      </c>
    </row>
    <row r="556" spans="1:13" x14ac:dyDescent="0.3">
      <c r="A556">
        <v>542</v>
      </c>
      <c r="B556" s="2">
        <v>45695</v>
      </c>
      <c r="C556" s="2">
        <v>45695</v>
      </c>
      <c r="D556" t="s">
        <v>2339</v>
      </c>
      <c r="E556" t="s">
        <v>2340</v>
      </c>
      <c r="F556" s="1">
        <v>170</v>
      </c>
      <c r="G556" t="s">
        <v>249</v>
      </c>
      <c r="H556" s="1">
        <v>44781.7</v>
      </c>
      <c r="I556" t="s">
        <v>250</v>
      </c>
      <c r="J556" s="1">
        <v>170</v>
      </c>
      <c r="K556" s="1">
        <v>0</v>
      </c>
      <c r="L556" s="1">
        <f t="shared" si="8"/>
        <v>44781.7</v>
      </c>
      <c r="M556" t="s">
        <v>511</v>
      </c>
    </row>
    <row r="557" spans="1:13" x14ac:dyDescent="0.3">
      <c r="A557">
        <v>543</v>
      </c>
      <c r="B557" s="2">
        <v>45698</v>
      </c>
      <c r="C557" s="2">
        <v>45698</v>
      </c>
      <c r="D557" t="s">
        <v>2341</v>
      </c>
      <c r="E557" t="s">
        <v>2342</v>
      </c>
      <c r="F557" s="1">
        <v>3000</v>
      </c>
      <c r="G557" t="s">
        <v>249</v>
      </c>
      <c r="H557" s="1">
        <v>41781.699999999997</v>
      </c>
      <c r="I557" t="s">
        <v>250</v>
      </c>
      <c r="J557" s="1">
        <v>3000</v>
      </c>
      <c r="K557" s="1">
        <v>0</v>
      </c>
      <c r="L557" s="1">
        <f t="shared" si="8"/>
        <v>41781.699999999997</v>
      </c>
      <c r="M557" t="s">
        <v>511</v>
      </c>
    </row>
    <row r="558" spans="1:13" x14ac:dyDescent="0.3">
      <c r="A558">
        <v>544</v>
      </c>
      <c r="B558" s="2">
        <v>45698</v>
      </c>
      <c r="C558" s="2">
        <v>45698</v>
      </c>
      <c r="D558" t="s">
        <v>2343</v>
      </c>
      <c r="E558" t="s">
        <v>2344</v>
      </c>
      <c r="F558" s="1">
        <v>2000</v>
      </c>
      <c r="G558" t="s">
        <v>249</v>
      </c>
      <c r="H558" s="1">
        <v>39781.699999999997</v>
      </c>
      <c r="I558" t="s">
        <v>250</v>
      </c>
      <c r="J558" s="1">
        <v>2000</v>
      </c>
      <c r="K558" s="1">
        <v>0</v>
      </c>
      <c r="L558" s="1">
        <f t="shared" si="8"/>
        <v>39781.699999999997</v>
      </c>
      <c r="M558" t="s">
        <v>511</v>
      </c>
    </row>
    <row r="559" spans="1:13" x14ac:dyDescent="0.3">
      <c r="A559">
        <v>545</v>
      </c>
      <c r="B559" s="2">
        <v>45698</v>
      </c>
      <c r="C559" s="2">
        <v>45698</v>
      </c>
      <c r="D559" t="s">
        <v>2345</v>
      </c>
      <c r="E559" t="s">
        <v>2346</v>
      </c>
      <c r="F559" s="1">
        <v>2000</v>
      </c>
      <c r="G559" t="s">
        <v>249</v>
      </c>
      <c r="H559" s="1">
        <v>37781.699999999997</v>
      </c>
      <c r="I559" t="s">
        <v>250</v>
      </c>
      <c r="J559" s="1">
        <v>2000</v>
      </c>
      <c r="K559" s="1">
        <v>0</v>
      </c>
      <c r="L559" s="1">
        <f t="shared" si="8"/>
        <v>37781.699999999997</v>
      </c>
      <c r="M559" t="s">
        <v>511</v>
      </c>
    </row>
    <row r="560" spans="1:13" x14ac:dyDescent="0.3">
      <c r="A560">
        <v>546</v>
      </c>
      <c r="B560" s="2">
        <v>45699</v>
      </c>
      <c r="C560" s="2">
        <v>45699</v>
      </c>
      <c r="D560" t="s">
        <v>2347</v>
      </c>
      <c r="E560" t="s">
        <v>2348</v>
      </c>
      <c r="F560" s="1">
        <v>2000</v>
      </c>
      <c r="G560" t="s">
        <v>249</v>
      </c>
      <c r="H560" s="1">
        <v>35781.699999999997</v>
      </c>
      <c r="I560" t="s">
        <v>250</v>
      </c>
      <c r="J560" s="1">
        <v>2000</v>
      </c>
      <c r="K560" s="1">
        <v>0</v>
      </c>
      <c r="L560" s="1">
        <f t="shared" si="8"/>
        <v>35781.699999999997</v>
      </c>
      <c r="M560" t="s">
        <v>511</v>
      </c>
    </row>
    <row r="561" spans="1:13" x14ac:dyDescent="0.3">
      <c r="A561">
        <v>547</v>
      </c>
      <c r="B561" s="2">
        <v>45700</v>
      </c>
      <c r="C561" s="2">
        <v>45700</v>
      </c>
      <c r="D561" t="s">
        <v>2349</v>
      </c>
      <c r="E561" t="s">
        <v>2350</v>
      </c>
      <c r="F561" s="1">
        <v>501</v>
      </c>
      <c r="G561" t="s">
        <v>250</v>
      </c>
      <c r="H561" s="1">
        <v>36282.699999999997</v>
      </c>
      <c r="I561" t="s">
        <v>250</v>
      </c>
      <c r="J561" s="1">
        <v>0</v>
      </c>
      <c r="K561" s="1">
        <v>501</v>
      </c>
      <c r="L561" s="1">
        <f t="shared" si="8"/>
        <v>36282.699999999997</v>
      </c>
      <c r="M561" t="s">
        <v>2536</v>
      </c>
    </row>
    <row r="562" spans="1:13" x14ac:dyDescent="0.3">
      <c r="A562">
        <v>548</v>
      </c>
      <c r="B562" s="2">
        <v>45700</v>
      </c>
      <c r="C562" s="2">
        <v>45700</v>
      </c>
      <c r="D562" t="s">
        <v>2351</v>
      </c>
      <c r="E562" t="s">
        <v>2352</v>
      </c>
      <c r="F562" s="1">
        <v>91.36</v>
      </c>
      <c r="G562" t="s">
        <v>249</v>
      </c>
      <c r="H562" s="1">
        <v>36191.339999999997</v>
      </c>
      <c r="I562" t="s">
        <v>250</v>
      </c>
      <c r="J562" s="1">
        <v>91.36</v>
      </c>
      <c r="K562" s="1">
        <v>0</v>
      </c>
      <c r="L562" s="1">
        <f t="shared" si="8"/>
        <v>36191.339999999997</v>
      </c>
      <c r="M562" t="s">
        <v>511</v>
      </c>
    </row>
    <row r="563" spans="1:13" x14ac:dyDescent="0.3">
      <c r="A563">
        <v>549</v>
      </c>
      <c r="B563" s="2">
        <v>45703</v>
      </c>
      <c r="C563" s="2">
        <v>45703</v>
      </c>
      <c r="D563" t="s">
        <v>2353</v>
      </c>
      <c r="E563" t="s">
        <v>2354</v>
      </c>
      <c r="F563" s="1">
        <v>70</v>
      </c>
      <c r="G563" t="s">
        <v>249</v>
      </c>
      <c r="H563" s="1">
        <v>36121.339999999997</v>
      </c>
      <c r="I563" t="s">
        <v>250</v>
      </c>
      <c r="J563" s="1">
        <v>70</v>
      </c>
      <c r="K563" s="1">
        <v>0</v>
      </c>
      <c r="L563" s="1">
        <f t="shared" si="8"/>
        <v>36121.339999999997</v>
      </c>
      <c r="M563" t="s">
        <v>511</v>
      </c>
    </row>
    <row r="564" spans="1:13" x14ac:dyDescent="0.3">
      <c r="A564">
        <v>550</v>
      </c>
      <c r="B564" s="2">
        <v>45703</v>
      </c>
      <c r="C564" s="2">
        <v>45703</v>
      </c>
      <c r="D564" t="s">
        <v>2355</v>
      </c>
      <c r="E564" t="s">
        <v>2356</v>
      </c>
      <c r="F564" s="1">
        <v>30</v>
      </c>
      <c r="G564" t="s">
        <v>249</v>
      </c>
      <c r="H564" s="1">
        <v>36091.339999999997</v>
      </c>
      <c r="I564" t="s">
        <v>250</v>
      </c>
      <c r="J564" s="1">
        <v>30</v>
      </c>
      <c r="K564" s="1">
        <v>0</v>
      </c>
      <c r="L564" s="1">
        <f t="shared" si="8"/>
        <v>36091.339999999997</v>
      </c>
      <c r="M564" t="s">
        <v>511</v>
      </c>
    </row>
    <row r="565" spans="1:13" x14ac:dyDescent="0.3">
      <c r="A565">
        <v>551</v>
      </c>
      <c r="B565" s="2">
        <v>45703</v>
      </c>
      <c r="C565" s="2">
        <v>45703</v>
      </c>
      <c r="D565" t="s">
        <v>2357</v>
      </c>
      <c r="E565" t="s">
        <v>2358</v>
      </c>
      <c r="F565" s="1">
        <v>32</v>
      </c>
      <c r="G565" t="s">
        <v>249</v>
      </c>
      <c r="H565" s="1">
        <v>36059.339999999997</v>
      </c>
      <c r="I565" t="s">
        <v>250</v>
      </c>
      <c r="J565" s="1">
        <v>32</v>
      </c>
      <c r="K565" s="1">
        <v>0</v>
      </c>
      <c r="L565" s="1">
        <f t="shared" si="8"/>
        <v>36059.339999999997</v>
      </c>
      <c r="M565" t="s">
        <v>511</v>
      </c>
    </row>
    <row r="566" spans="1:13" x14ac:dyDescent="0.3">
      <c r="A566">
        <v>552</v>
      </c>
      <c r="B566" s="2">
        <v>45703</v>
      </c>
      <c r="C566" s="2">
        <v>45703</v>
      </c>
      <c r="D566" t="s">
        <v>2359</v>
      </c>
      <c r="E566" t="s">
        <v>2360</v>
      </c>
      <c r="F566" s="1">
        <v>236.8</v>
      </c>
      <c r="G566" t="s">
        <v>249</v>
      </c>
      <c r="H566" s="1">
        <v>35822.54</v>
      </c>
      <c r="I566" t="s">
        <v>250</v>
      </c>
      <c r="J566" s="1">
        <v>236.8</v>
      </c>
      <c r="K566" s="1">
        <v>0</v>
      </c>
      <c r="L566" s="1">
        <f t="shared" si="8"/>
        <v>35822.54</v>
      </c>
      <c r="M566" t="s">
        <v>511</v>
      </c>
    </row>
    <row r="567" spans="1:13" x14ac:dyDescent="0.3">
      <c r="A567">
        <v>553</v>
      </c>
      <c r="B567" s="2">
        <v>45703</v>
      </c>
      <c r="C567" s="2">
        <v>45703</v>
      </c>
      <c r="D567" t="s">
        <v>2361</v>
      </c>
      <c r="E567" t="s">
        <v>2362</v>
      </c>
      <c r="F567" s="1">
        <v>2828</v>
      </c>
      <c r="G567" t="s">
        <v>249</v>
      </c>
      <c r="H567" s="1">
        <v>32994.54</v>
      </c>
      <c r="I567" t="s">
        <v>250</v>
      </c>
      <c r="J567" s="1">
        <v>2828</v>
      </c>
      <c r="K567" s="1">
        <v>0</v>
      </c>
      <c r="L567" s="1">
        <f t="shared" si="8"/>
        <v>32994.54</v>
      </c>
      <c r="M567" t="s">
        <v>511</v>
      </c>
    </row>
    <row r="568" spans="1:13" x14ac:dyDescent="0.3">
      <c r="A568">
        <v>554</v>
      </c>
      <c r="B568" s="2">
        <v>45703</v>
      </c>
      <c r="C568" s="2">
        <v>45703</v>
      </c>
      <c r="D568" t="s">
        <v>2363</v>
      </c>
      <c r="E568" t="s">
        <v>2364</v>
      </c>
      <c r="F568" s="1">
        <v>45</v>
      </c>
      <c r="G568" t="s">
        <v>249</v>
      </c>
      <c r="H568" s="1">
        <v>32949.54</v>
      </c>
      <c r="I568" t="s">
        <v>250</v>
      </c>
      <c r="J568" s="1">
        <v>45</v>
      </c>
      <c r="K568" s="1">
        <v>0</v>
      </c>
      <c r="L568" s="1">
        <f t="shared" si="8"/>
        <v>32949.54</v>
      </c>
      <c r="M568" t="s">
        <v>511</v>
      </c>
    </row>
    <row r="569" spans="1:13" x14ac:dyDescent="0.3">
      <c r="A569">
        <v>555</v>
      </c>
      <c r="B569" s="2">
        <v>45703</v>
      </c>
      <c r="C569" s="2">
        <v>45703</v>
      </c>
      <c r="D569" t="s">
        <v>2365</v>
      </c>
      <c r="E569" t="s">
        <v>2366</v>
      </c>
      <c r="F569" s="1">
        <v>268.14999999999998</v>
      </c>
      <c r="G569" t="s">
        <v>249</v>
      </c>
      <c r="H569" s="1">
        <v>32681.39</v>
      </c>
      <c r="I569" t="s">
        <v>250</v>
      </c>
      <c r="J569" s="1">
        <v>268.14999999999998</v>
      </c>
      <c r="K569" s="1">
        <v>0</v>
      </c>
      <c r="L569" s="1">
        <f t="shared" si="8"/>
        <v>32681.39</v>
      </c>
      <c r="M569" t="s">
        <v>511</v>
      </c>
    </row>
    <row r="570" spans="1:13" x14ac:dyDescent="0.3">
      <c r="A570">
        <v>556</v>
      </c>
      <c r="B570" s="2">
        <v>45703</v>
      </c>
      <c r="C570" s="2">
        <v>45703</v>
      </c>
      <c r="D570" t="s">
        <v>2367</v>
      </c>
      <c r="E570" t="s">
        <v>2368</v>
      </c>
      <c r="F570" s="1">
        <v>40</v>
      </c>
      <c r="G570" t="s">
        <v>249</v>
      </c>
      <c r="H570" s="1">
        <v>32641.39</v>
      </c>
      <c r="I570" t="s">
        <v>250</v>
      </c>
      <c r="J570" s="1">
        <v>40</v>
      </c>
      <c r="K570" s="1">
        <v>0</v>
      </c>
      <c r="L570" s="1">
        <f t="shared" si="8"/>
        <v>32641.39</v>
      </c>
      <c r="M570" t="s">
        <v>511</v>
      </c>
    </row>
    <row r="571" spans="1:13" x14ac:dyDescent="0.3">
      <c r="A571">
        <v>557</v>
      </c>
      <c r="B571" s="2">
        <v>45703</v>
      </c>
      <c r="C571" s="2">
        <v>45703</v>
      </c>
      <c r="D571" t="s">
        <v>2369</v>
      </c>
      <c r="E571" t="s">
        <v>2370</v>
      </c>
      <c r="F571" s="1">
        <v>18</v>
      </c>
      <c r="G571" t="s">
        <v>249</v>
      </c>
      <c r="H571" s="1">
        <v>32623.39</v>
      </c>
      <c r="I571" t="s">
        <v>250</v>
      </c>
      <c r="J571" s="1">
        <v>18</v>
      </c>
      <c r="K571" s="1">
        <v>0</v>
      </c>
      <c r="L571" s="1">
        <f t="shared" si="8"/>
        <v>32623.39</v>
      </c>
      <c r="M571" t="s">
        <v>511</v>
      </c>
    </row>
    <row r="572" spans="1:13" x14ac:dyDescent="0.3">
      <c r="A572">
        <v>558</v>
      </c>
      <c r="B572" s="2">
        <v>45703</v>
      </c>
      <c r="C572" s="2">
        <v>45703</v>
      </c>
      <c r="D572" t="s">
        <v>2371</v>
      </c>
      <c r="E572" t="s">
        <v>2372</v>
      </c>
      <c r="F572" s="1">
        <v>45</v>
      </c>
      <c r="G572" t="s">
        <v>250</v>
      </c>
      <c r="H572" s="1">
        <v>32668.39</v>
      </c>
      <c r="I572" t="s">
        <v>250</v>
      </c>
      <c r="J572" s="1">
        <v>0</v>
      </c>
      <c r="K572" s="1">
        <v>45</v>
      </c>
      <c r="L572" s="1">
        <f t="shared" si="8"/>
        <v>32668.39</v>
      </c>
      <c r="M572" t="s">
        <v>511</v>
      </c>
    </row>
    <row r="573" spans="1:13" x14ac:dyDescent="0.3">
      <c r="A573">
        <v>559</v>
      </c>
      <c r="B573" s="2">
        <v>45704</v>
      </c>
      <c r="C573" s="2">
        <v>45704</v>
      </c>
      <c r="D573" t="s">
        <v>2373</v>
      </c>
      <c r="E573" t="s">
        <v>2374</v>
      </c>
      <c r="F573" s="1">
        <v>45</v>
      </c>
      <c r="G573" t="s">
        <v>249</v>
      </c>
      <c r="H573" s="1">
        <v>32623.39</v>
      </c>
      <c r="I573" t="s">
        <v>250</v>
      </c>
      <c r="J573" s="1">
        <v>45</v>
      </c>
      <c r="K573" s="1">
        <v>0</v>
      </c>
      <c r="L573" s="1">
        <f t="shared" si="8"/>
        <v>32623.39</v>
      </c>
      <c r="M573" t="s">
        <v>511</v>
      </c>
    </row>
    <row r="574" spans="1:13" x14ac:dyDescent="0.3">
      <c r="A574">
        <v>560</v>
      </c>
      <c r="B574" s="2">
        <v>45704</v>
      </c>
      <c r="C574" s="2">
        <v>45704</v>
      </c>
      <c r="D574" t="s">
        <v>2375</v>
      </c>
      <c r="E574" t="s">
        <v>2376</v>
      </c>
      <c r="F574" s="1">
        <v>18</v>
      </c>
      <c r="G574" t="s">
        <v>249</v>
      </c>
      <c r="H574" s="1">
        <v>32605.39</v>
      </c>
      <c r="I574" t="s">
        <v>250</v>
      </c>
      <c r="J574" s="1">
        <v>18</v>
      </c>
      <c r="K574" s="1">
        <v>0</v>
      </c>
      <c r="L574" s="1">
        <f t="shared" si="8"/>
        <v>32605.39</v>
      </c>
      <c r="M574" t="s">
        <v>511</v>
      </c>
    </row>
    <row r="575" spans="1:13" x14ac:dyDescent="0.3">
      <c r="A575">
        <v>561</v>
      </c>
      <c r="B575" s="2">
        <v>45704</v>
      </c>
      <c r="C575" s="2">
        <v>45704</v>
      </c>
      <c r="D575" t="s">
        <v>2377</v>
      </c>
      <c r="E575" t="s">
        <v>2378</v>
      </c>
      <c r="F575" s="1">
        <v>25</v>
      </c>
      <c r="G575" t="s">
        <v>249</v>
      </c>
      <c r="H575" s="1">
        <v>32580.39</v>
      </c>
      <c r="I575" t="s">
        <v>250</v>
      </c>
      <c r="J575" s="1">
        <v>25</v>
      </c>
      <c r="K575" s="1">
        <v>0</v>
      </c>
      <c r="L575" s="1">
        <f t="shared" si="8"/>
        <v>32580.39</v>
      </c>
      <c r="M575" t="s">
        <v>511</v>
      </c>
    </row>
    <row r="576" spans="1:13" x14ac:dyDescent="0.3">
      <c r="A576">
        <v>562</v>
      </c>
      <c r="B576" s="2">
        <v>45704</v>
      </c>
      <c r="C576" s="2">
        <v>45704</v>
      </c>
      <c r="D576" t="s">
        <v>2379</v>
      </c>
      <c r="E576" t="s">
        <v>2380</v>
      </c>
      <c r="F576" s="1">
        <v>30</v>
      </c>
      <c r="G576" t="s">
        <v>249</v>
      </c>
      <c r="H576" s="1">
        <v>32550.39</v>
      </c>
      <c r="I576" t="s">
        <v>250</v>
      </c>
      <c r="J576" s="1">
        <v>30</v>
      </c>
      <c r="K576" s="1">
        <v>0</v>
      </c>
      <c r="L576" s="1">
        <f t="shared" si="8"/>
        <v>32550.39</v>
      </c>
      <c r="M576" t="s">
        <v>511</v>
      </c>
    </row>
    <row r="577" spans="1:13" x14ac:dyDescent="0.3">
      <c r="A577">
        <v>563</v>
      </c>
      <c r="B577" s="2">
        <v>45704</v>
      </c>
      <c r="C577" s="2">
        <v>45704</v>
      </c>
      <c r="D577" t="s">
        <v>2381</v>
      </c>
      <c r="E577" t="s">
        <v>2382</v>
      </c>
      <c r="F577" s="1">
        <v>124.95</v>
      </c>
      <c r="G577" t="s">
        <v>249</v>
      </c>
      <c r="H577" s="1">
        <v>32425.439999999999</v>
      </c>
      <c r="I577" t="s">
        <v>250</v>
      </c>
      <c r="J577" s="1">
        <v>124.95</v>
      </c>
      <c r="K577" s="1">
        <v>0</v>
      </c>
      <c r="L577" s="1">
        <f t="shared" si="8"/>
        <v>32425.439999999999</v>
      </c>
      <c r="M577" t="s">
        <v>511</v>
      </c>
    </row>
    <row r="578" spans="1:13" x14ac:dyDescent="0.3">
      <c r="A578">
        <v>564</v>
      </c>
      <c r="B578" s="2">
        <v>45704</v>
      </c>
      <c r="C578" s="2">
        <v>45704</v>
      </c>
      <c r="D578" t="s">
        <v>2383</v>
      </c>
      <c r="E578" t="s">
        <v>2384</v>
      </c>
      <c r="F578" s="1">
        <v>20</v>
      </c>
      <c r="G578" t="s">
        <v>249</v>
      </c>
      <c r="H578" s="1">
        <v>32405.439999999999</v>
      </c>
      <c r="I578" t="s">
        <v>250</v>
      </c>
      <c r="J578" s="1">
        <v>20</v>
      </c>
      <c r="K578" s="1">
        <v>0</v>
      </c>
      <c r="L578" s="1">
        <f t="shared" ref="L578:L641" si="9">H578</f>
        <v>32405.439999999999</v>
      </c>
      <c r="M578" t="s">
        <v>511</v>
      </c>
    </row>
    <row r="579" spans="1:13" x14ac:dyDescent="0.3">
      <c r="A579">
        <v>565</v>
      </c>
      <c r="B579" s="2">
        <v>45704</v>
      </c>
      <c r="C579" s="2">
        <v>45704</v>
      </c>
      <c r="D579" t="s">
        <v>2385</v>
      </c>
      <c r="E579" t="s">
        <v>2386</v>
      </c>
      <c r="F579" s="1">
        <v>40</v>
      </c>
      <c r="G579" t="s">
        <v>249</v>
      </c>
      <c r="H579" s="1">
        <v>32365.439999999999</v>
      </c>
      <c r="I579" t="s">
        <v>250</v>
      </c>
      <c r="J579" s="1">
        <v>40</v>
      </c>
      <c r="K579" s="1">
        <v>0</v>
      </c>
      <c r="L579" s="1">
        <f t="shared" si="9"/>
        <v>32365.439999999999</v>
      </c>
      <c r="M579" t="s">
        <v>511</v>
      </c>
    </row>
    <row r="580" spans="1:13" x14ac:dyDescent="0.3">
      <c r="A580">
        <v>566</v>
      </c>
      <c r="B580" s="2">
        <v>45704</v>
      </c>
      <c r="C580" s="2">
        <v>45704</v>
      </c>
      <c r="D580" t="s">
        <v>2387</v>
      </c>
      <c r="E580" t="s">
        <v>2388</v>
      </c>
      <c r="F580" s="1">
        <v>18</v>
      </c>
      <c r="G580" t="s">
        <v>249</v>
      </c>
      <c r="H580" s="1">
        <v>32347.439999999999</v>
      </c>
      <c r="I580" t="s">
        <v>250</v>
      </c>
      <c r="J580" s="1">
        <v>18</v>
      </c>
      <c r="K580" s="1">
        <v>0</v>
      </c>
      <c r="L580" s="1">
        <f t="shared" si="9"/>
        <v>32347.439999999999</v>
      </c>
      <c r="M580" t="s">
        <v>511</v>
      </c>
    </row>
    <row r="581" spans="1:13" x14ac:dyDescent="0.3">
      <c r="A581">
        <v>567</v>
      </c>
      <c r="B581" s="2">
        <v>45704</v>
      </c>
      <c r="C581" s="2">
        <v>45704</v>
      </c>
      <c r="D581" t="s">
        <v>2389</v>
      </c>
      <c r="E581" t="s">
        <v>2390</v>
      </c>
      <c r="F581" s="1">
        <v>1160</v>
      </c>
      <c r="G581" t="s">
        <v>249</v>
      </c>
      <c r="H581" s="1">
        <v>31187.439999999999</v>
      </c>
      <c r="I581" t="s">
        <v>250</v>
      </c>
      <c r="J581" s="1">
        <v>1160</v>
      </c>
      <c r="K581" s="1">
        <v>0</v>
      </c>
      <c r="L581" s="1">
        <f t="shared" si="9"/>
        <v>31187.439999999999</v>
      </c>
      <c r="M581" t="s">
        <v>511</v>
      </c>
    </row>
    <row r="582" spans="1:13" x14ac:dyDescent="0.3">
      <c r="A582">
        <v>568</v>
      </c>
      <c r="B582" s="2">
        <v>45705</v>
      </c>
      <c r="C582" s="2">
        <v>45705</v>
      </c>
      <c r="D582" t="s">
        <v>2391</v>
      </c>
      <c r="E582" t="s">
        <v>2392</v>
      </c>
      <c r="F582" s="1">
        <v>25</v>
      </c>
      <c r="G582" t="s">
        <v>249</v>
      </c>
      <c r="H582" s="1">
        <v>31162.44</v>
      </c>
      <c r="I582" t="s">
        <v>250</v>
      </c>
      <c r="J582" s="1">
        <v>25</v>
      </c>
      <c r="K582" s="1">
        <v>0</v>
      </c>
      <c r="L582" s="1">
        <f t="shared" si="9"/>
        <v>31162.44</v>
      </c>
      <c r="M582" t="s">
        <v>511</v>
      </c>
    </row>
    <row r="583" spans="1:13" x14ac:dyDescent="0.3">
      <c r="A583">
        <v>569</v>
      </c>
      <c r="B583" s="2">
        <v>45705</v>
      </c>
      <c r="C583" s="2">
        <v>45705</v>
      </c>
      <c r="D583" t="s">
        <v>2393</v>
      </c>
      <c r="E583" t="s">
        <v>2394</v>
      </c>
      <c r="F583" s="1">
        <v>50</v>
      </c>
      <c r="G583" t="s">
        <v>249</v>
      </c>
      <c r="H583" s="1">
        <v>31112.44</v>
      </c>
      <c r="I583" t="s">
        <v>250</v>
      </c>
      <c r="J583" s="1">
        <v>50</v>
      </c>
      <c r="K583" s="1">
        <v>0</v>
      </c>
      <c r="L583" s="1">
        <f t="shared" si="9"/>
        <v>31112.44</v>
      </c>
      <c r="M583" t="s">
        <v>511</v>
      </c>
    </row>
    <row r="584" spans="1:13" x14ac:dyDescent="0.3">
      <c r="A584">
        <v>570</v>
      </c>
      <c r="B584" s="2">
        <v>45705</v>
      </c>
      <c r="C584" s="2">
        <v>45705</v>
      </c>
      <c r="D584" t="s">
        <v>2395</v>
      </c>
      <c r="E584" t="s">
        <v>2396</v>
      </c>
      <c r="F584" s="1">
        <v>24400</v>
      </c>
      <c r="G584" t="s">
        <v>249</v>
      </c>
      <c r="H584" s="1">
        <v>6712.44</v>
      </c>
      <c r="I584" t="s">
        <v>250</v>
      </c>
      <c r="J584" s="1">
        <v>24400</v>
      </c>
      <c r="K584" s="1">
        <v>0</v>
      </c>
      <c r="L584" s="1">
        <f t="shared" si="9"/>
        <v>6712.44</v>
      </c>
      <c r="M584" t="s">
        <v>511</v>
      </c>
    </row>
    <row r="585" spans="1:13" x14ac:dyDescent="0.3">
      <c r="A585">
        <v>571</v>
      </c>
      <c r="B585" s="2">
        <v>45705</v>
      </c>
      <c r="C585" s="2">
        <v>45705</v>
      </c>
      <c r="D585" t="s">
        <v>2397</v>
      </c>
      <c r="E585" t="s">
        <v>2398</v>
      </c>
      <c r="F585" s="1">
        <v>46</v>
      </c>
      <c r="G585" t="s">
        <v>249</v>
      </c>
      <c r="H585" s="1">
        <v>6666.44</v>
      </c>
      <c r="I585" t="s">
        <v>250</v>
      </c>
      <c r="J585" s="1">
        <v>46</v>
      </c>
      <c r="K585" s="1">
        <v>0</v>
      </c>
      <c r="L585" s="1">
        <f t="shared" si="9"/>
        <v>6666.44</v>
      </c>
      <c r="M585" t="s">
        <v>511</v>
      </c>
    </row>
    <row r="586" spans="1:13" x14ac:dyDescent="0.3">
      <c r="A586">
        <v>572</v>
      </c>
      <c r="B586" s="2">
        <v>45706</v>
      </c>
      <c r="C586" s="2">
        <v>45706</v>
      </c>
      <c r="D586" t="s">
        <v>2399</v>
      </c>
      <c r="E586" t="s">
        <v>2400</v>
      </c>
      <c r="F586" s="1">
        <v>2.5</v>
      </c>
      <c r="G586" t="s">
        <v>250</v>
      </c>
      <c r="H586" s="1">
        <v>6668.94</v>
      </c>
      <c r="I586" t="s">
        <v>250</v>
      </c>
      <c r="J586" s="1">
        <v>0</v>
      </c>
      <c r="K586" s="1">
        <v>2.5</v>
      </c>
      <c r="L586" s="1">
        <f t="shared" si="9"/>
        <v>6668.94</v>
      </c>
      <c r="M586" t="s">
        <v>218</v>
      </c>
    </row>
    <row r="587" spans="1:13" x14ac:dyDescent="0.3">
      <c r="A587">
        <v>573</v>
      </c>
      <c r="B587" s="2">
        <v>45706</v>
      </c>
      <c r="C587" s="2">
        <v>45706</v>
      </c>
      <c r="D587" t="s">
        <v>2401</v>
      </c>
      <c r="E587" t="s">
        <v>2402</v>
      </c>
      <c r="F587" s="1">
        <v>245</v>
      </c>
      <c r="G587" t="s">
        <v>250</v>
      </c>
      <c r="H587" s="1">
        <v>6913.94</v>
      </c>
      <c r="I587" t="s">
        <v>250</v>
      </c>
      <c r="J587" s="1">
        <v>0</v>
      </c>
      <c r="K587" s="1">
        <v>245</v>
      </c>
      <c r="L587" s="1">
        <f t="shared" si="9"/>
        <v>6913.94</v>
      </c>
      <c r="M587" t="s">
        <v>218</v>
      </c>
    </row>
    <row r="588" spans="1:13" x14ac:dyDescent="0.3">
      <c r="A588">
        <v>574</v>
      </c>
      <c r="B588" s="2">
        <v>45707</v>
      </c>
      <c r="C588" s="2">
        <v>45707</v>
      </c>
      <c r="D588" t="s">
        <v>2403</v>
      </c>
      <c r="E588" t="s">
        <v>2404</v>
      </c>
      <c r="F588" s="1">
        <v>30</v>
      </c>
      <c r="G588" t="s">
        <v>249</v>
      </c>
      <c r="H588" s="1">
        <v>6883.94</v>
      </c>
      <c r="I588" t="s">
        <v>250</v>
      </c>
      <c r="J588" s="1">
        <v>30</v>
      </c>
      <c r="K588" s="1">
        <v>0</v>
      </c>
      <c r="L588" s="1">
        <f t="shared" si="9"/>
        <v>6883.94</v>
      </c>
      <c r="M588" t="s">
        <v>511</v>
      </c>
    </row>
    <row r="589" spans="1:13" x14ac:dyDescent="0.3">
      <c r="A589">
        <v>575</v>
      </c>
      <c r="B589" s="2">
        <v>45707</v>
      </c>
      <c r="C589" s="2">
        <v>45707</v>
      </c>
      <c r="D589" t="s">
        <v>2405</v>
      </c>
      <c r="E589" t="s">
        <v>2406</v>
      </c>
      <c r="F589" s="1">
        <v>69</v>
      </c>
      <c r="G589" t="s">
        <v>249</v>
      </c>
      <c r="H589" s="1">
        <v>6814.94</v>
      </c>
      <c r="I589" t="s">
        <v>250</v>
      </c>
      <c r="J589" s="1">
        <v>69</v>
      </c>
      <c r="K589" s="1">
        <v>0</v>
      </c>
      <c r="L589" s="1">
        <f t="shared" si="9"/>
        <v>6814.94</v>
      </c>
      <c r="M589" t="s">
        <v>511</v>
      </c>
    </row>
    <row r="590" spans="1:13" x14ac:dyDescent="0.3">
      <c r="A590">
        <v>576</v>
      </c>
      <c r="B590" s="2">
        <v>45707</v>
      </c>
      <c r="C590" s="2">
        <v>45707</v>
      </c>
      <c r="D590" t="s">
        <v>2407</v>
      </c>
      <c r="E590" t="s">
        <v>2408</v>
      </c>
      <c r="F590" s="1">
        <v>45</v>
      </c>
      <c r="G590" t="s">
        <v>249</v>
      </c>
      <c r="H590" s="1">
        <v>6769.94</v>
      </c>
      <c r="I590" t="s">
        <v>250</v>
      </c>
      <c r="J590" s="1">
        <v>45</v>
      </c>
      <c r="K590" s="1">
        <v>0</v>
      </c>
      <c r="L590" s="1">
        <f t="shared" si="9"/>
        <v>6769.94</v>
      </c>
      <c r="M590" t="s">
        <v>511</v>
      </c>
    </row>
    <row r="591" spans="1:13" x14ac:dyDescent="0.3">
      <c r="A591">
        <v>577</v>
      </c>
      <c r="B591" s="2">
        <v>45709</v>
      </c>
      <c r="C591" s="2">
        <v>45709</v>
      </c>
      <c r="D591" t="s">
        <v>2409</v>
      </c>
      <c r="E591" t="s">
        <v>2410</v>
      </c>
      <c r="F591" s="1">
        <v>100</v>
      </c>
      <c r="G591" t="s">
        <v>249</v>
      </c>
      <c r="H591" s="1">
        <v>6669.94</v>
      </c>
      <c r="I591" t="s">
        <v>250</v>
      </c>
      <c r="J591" s="1">
        <v>100</v>
      </c>
      <c r="K591" s="1">
        <v>0</v>
      </c>
      <c r="L591" s="1">
        <f t="shared" si="9"/>
        <v>6669.94</v>
      </c>
      <c r="M591" t="s">
        <v>511</v>
      </c>
    </row>
    <row r="592" spans="1:13" x14ac:dyDescent="0.3">
      <c r="A592">
        <v>578</v>
      </c>
      <c r="B592" s="2">
        <v>45709</v>
      </c>
      <c r="C592" s="2">
        <v>45709</v>
      </c>
      <c r="D592" t="s">
        <v>2411</v>
      </c>
      <c r="E592" t="s">
        <v>2412</v>
      </c>
      <c r="F592" s="1">
        <v>1700</v>
      </c>
      <c r="G592" t="s">
        <v>249</v>
      </c>
      <c r="H592" s="1">
        <v>4969.9399999999996</v>
      </c>
      <c r="I592" t="s">
        <v>250</v>
      </c>
      <c r="J592" s="1">
        <v>1700</v>
      </c>
      <c r="K592" s="1">
        <v>0</v>
      </c>
      <c r="L592" s="1">
        <f t="shared" si="9"/>
        <v>4969.9399999999996</v>
      </c>
      <c r="M592" t="s">
        <v>511</v>
      </c>
    </row>
    <row r="593" spans="1:13" x14ac:dyDescent="0.3">
      <c r="A593">
        <v>579</v>
      </c>
      <c r="B593" s="2">
        <v>45709</v>
      </c>
      <c r="C593" s="2">
        <v>45709</v>
      </c>
      <c r="D593" t="s">
        <v>2413</v>
      </c>
      <c r="E593" t="s">
        <v>2414</v>
      </c>
      <c r="F593" s="1">
        <v>20</v>
      </c>
      <c r="G593" t="s">
        <v>249</v>
      </c>
      <c r="H593" s="1">
        <v>4949.9399999999996</v>
      </c>
      <c r="I593" t="s">
        <v>250</v>
      </c>
      <c r="J593" s="1">
        <v>20</v>
      </c>
      <c r="K593" s="1">
        <v>0</v>
      </c>
      <c r="L593" s="1">
        <f t="shared" si="9"/>
        <v>4949.9399999999996</v>
      </c>
      <c r="M593" t="s">
        <v>511</v>
      </c>
    </row>
    <row r="594" spans="1:13" x14ac:dyDescent="0.3">
      <c r="A594">
        <v>580</v>
      </c>
      <c r="B594" s="2">
        <v>45709</v>
      </c>
      <c r="C594" s="2">
        <v>45709</v>
      </c>
      <c r="D594" t="s">
        <v>2415</v>
      </c>
      <c r="E594" t="s">
        <v>2416</v>
      </c>
      <c r="F594" s="1">
        <v>25</v>
      </c>
      <c r="G594" t="s">
        <v>249</v>
      </c>
      <c r="H594" s="1">
        <v>4924.9399999999996</v>
      </c>
      <c r="I594" t="s">
        <v>250</v>
      </c>
      <c r="J594" s="1">
        <v>25</v>
      </c>
      <c r="K594" s="1">
        <v>0</v>
      </c>
      <c r="L594" s="1">
        <f t="shared" si="9"/>
        <v>4924.9399999999996</v>
      </c>
      <c r="M594" t="s">
        <v>511</v>
      </c>
    </row>
    <row r="595" spans="1:13" x14ac:dyDescent="0.3">
      <c r="A595">
        <v>581</v>
      </c>
      <c r="B595" s="2">
        <v>45710</v>
      </c>
      <c r="C595" s="2">
        <v>45710</v>
      </c>
      <c r="D595" t="s">
        <v>2417</v>
      </c>
      <c r="E595" t="s">
        <v>2418</v>
      </c>
      <c r="F595" s="1">
        <v>35</v>
      </c>
      <c r="G595" t="s">
        <v>249</v>
      </c>
      <c r="H595" s="1">
        <v>4889.9399999999996</v>
      </c>
      <c r="I595" t="s">
        <v>250</v>
      </c>
      <c r="J595" s="1">
        <v>35</v>
      </c>
      <c r="K595" s="1">
        <v>0</v>
      </c>
      <c r="L595" s="1">
        <f t="shared" si="9"/>
        <v>4889.9399999999996</v>
      </c>
      <c r="M595" t="s">
        <v>511</v>
      </c>
    </row>
    <row r="596" spans="1:13" x14ac:dyDescent="0.3">
      <c r="A596">
        <v>582</v>
      </c>
      <c r="B596" s="2">
        <v>45711</v>
      </c>
      <c r="C596" s="2">
        <v>45711</v>
      </c>
      <c r="D596" t="s">
        <v>2419</v>
      </c>
      <c r="E596" t="s">
        <v>2420</v>
      </c>
      <c r="F596" s="1">
        <v>45</v>
      </c>
      <c r="G596" t="s">
        <v>249</v>
      </c>
      <c r="H596" s="1">
        <v>4844.9399999999996</v>
      </c>
      <c r="I596" t="s">
        <v>250</v>
      </c>
      <c r="J596" s="1">
        <v>45</v>
      </c>
      <c r="K596" s="1">
        <v>0</v>
      </c>
      <c r="L596" s="1">
        <f t="shared" si="9"/>
        <v>4844.9399999999996</v>
      </c>
      <c r="M596" t="s">
        <v>511</v>
      </c>
    </row>
    <row r="597" spans="1:13" x14ac:dyDescent="0.3">
      <c r="A597">
        <v>583</v>
      </c>
      <c r="B597" s="2">
        <v>45711</v>
      </c>
      <c r="C597" s="2">
        <v>45711</v>
      </c>
      <c r="D597" t="s">
        <v>2421</v>
      </c>
      <c r="E597" t="s">
        <v>2422</v>
      </c>
      <c r="F597" s="1">
        <v>18</v>
      </c>
      <c r="G597" t="s">
        <v>249</v>
      </c>
      <c r="H597" s="1">
        <v>4826.9399999999996</v>
      </c>
      <c r="I597" t="s">
        <v>250</v>
      </c>
      <c r="J597" s="1">
        <v>18</v>
      </c>
      <c r="K597" s="1">
        <v>0</v>
      </c>
      <c r="L597" s="1">
        <f t="shared" si="9"/>
        <v>4826.9399999999996</v>
      </c>
      <c r="M597" t="s">
        <v>511</v>
      </c>
    </row>
    <row r="598" spans="1:13" x14ac:dyDescent="0.3">
      <c r="A598">
        <v>584</v>
      </c>
      <c r="B598" s="2">
        <v>45711</v>
      </c>
      <c r="C598" s="2">
        <v>45711</v>
      </c>
      <c r="D598" t="s">
        <v>2423</v>
      </c>
      <c r="E598" t="s">
        <v>2424</v>
      </c>
      <c r="F598" s="1">
        <v>35</v>
      </c>
      <c r="G598" t="s">
        <v>249</v>
      </c>
      <c r="H598" s="1">
        <v>4791.9399999999996</v>
      </c>
      <c r="I598" t="s">
        <v>250</v>
      </c>
      <c r="J598" s="1">
        <v>35</v>
      </c>
      <c r="K598" s="1">
        <v>0</v>
      </c>
      <c r="L598" s="1">
        <f t="shared" si="9"/>
        <v>4791.9399999999996</v>
      </c>
      <c r="M598" t="s">
        <v>511</v>
      </c>
    </row>
    <row r="599" spans="1:13" x14ac:dyDescent="0.3">
      <c r="A599">
        <v>585</v>
      </c>
      <c r="B599" s="2">
        <v>45711</v>
      </c>
      <c r="C599" s="2">
        <v>45711</v>
      </c>
      <c r="D599" t="s">
        <v>2425</v>
      </c>
      <c r="E599" t="s">
        <v>2426</v>
      </c>
      <c r="F599" s="1">
        <v>171</v>
      </c>
      <c r="G599" t="s">
        <v>249</v>
      </c>
      <c r="H599" s="1">
        <v>4620.9399999999996</v>
      </c>
      <c r="I599" t="s">
        <v>250</v>
      </c>
      <c r="J599" s="1">
        <v>171</v>
      </c>
      <c r="K599" s="1">
        <v>0</v>
      </c>
      <c r="L599" s="1">
        <f t="shared" si="9"/>
        <v>4620.9399999999996</v>
      </c>
      <c r="M599" t="s">
        <v>511</v>
      </c>
    </row>
    <row r="600" spans="1:13" x14ac:dyDescent="0.3">
      <c r="A600">
        <v>586</v>
      </c>
      <c r="B600" s="2">
        <v>45711</v>
      </c>
      <c r="C600" s="2">
        <v>45711</v>
      </c>
      <c r="D600" t="s">
        <v>2427</v>
      </c>
      <c r="E600" t="s">
        <v>2428</v>
      </c>
      <c r="F600" s="1">
        <v>800</v>
      </c>
      <c r="G600" t="s">
        <v>249</v>
      </c>
      <c r="H600" s="1">
        <v>3820.94</v>
      </c>
      <c r="I600" t="s">
        <v>250</v>
      </c>
      <c r="J600" s="1">
        <v>800</v>
      </c>
      <c r="K600" s="1">
        <v>0</v>
      </c>
      <c r="L600" s="1">
        <f t="shared" si="9"/>
        <v>3820.94</v>
      </c>
      <c r="M600" t="s">
        <v>511</v>
      </c>
    </row>
    <row r="601" spans="1:13" x14ac:dyDescent="0.3">
      <c r="A601">
        <v>587</v>
      </c>
      <c r="B601" s="2">
        <v>45711</v>
      </c>
      <c r="C601" s="2">
        <v>45711</v>
      </c>
      <c r="D601" t="s">
        <v>2429</v>
      </c>
      <c r="E601" t="s">
        <v>2430</v>
      </c>
      <c r="F601" s="1">
        <v>193</v>
      </c>
      <c r="G601" t="s">
        <v>249</v>
      </c>
      <c r="H601" s="1">
        <v>3627.94</v>
      </c>
      <c r="I601" t="s">
        <v>250</v>
      </c>
      <c r="J601" s="1">
        <v>193</v>
      </c>
      <c r="K601" s="1">
        <v>0</v>
      </c>
      <c r="L601" s="1">
        <f t="shared" si="9"/>
        <v>3627.94</v>
      </c>
      <c r="M601" t="s">
        <v>511</v>
      </c>
    </row>
    <row r="602" spans="1:13" x14ac:dyDescent="0.3">
      <c r="A602">
        <v>588</v>
      </c>
      <c r="B602" s="2">
        <v>45711</v>
      </c>
      <c r="C602" s="2">
        <v>45711</v>
      </c>
      <c r="D602" t="s">
        <v>2431</v>
      </c>
      <c r="E602" t="s">
        <v>2432</v>
      </c>
      <c r="F602" s="1">
        <v>149</v>
      </c>
      <c r="G602" t="s">
        <v>249</v>
      </c>
      <c r="H602" s="1">
        <v>3478.94</v>
      </c>
      <c r="I602" t="s">
        <v>250</v>
      </c>
      <c r="J602" s="1">
        <v>149</v>
      </c>
      <c r="K602" s="1">
        <v>0</v>
      </c>
      <c r="L602" s="1">
        <f t="shared" si="9"/>
        <v>3478.94</v>
      </c>
      <c r="M602" t="s">
        <v>511</v>
      </c>
    </row>
    <row r="603" spans="1:13" x14ac:dyDescent="0.3">
      <c r="A603">
        <v>589</v>
      </c>
      <c r="B603" s="2">
        <v>45711</v>
      </c>
      <c r="C603" s="2">
        <v>45711</v>
      </c>
      <c r="D603" t="s">
        <v>2433</v>
      </c>
      <c r="E603" t="s">
        <v>2434</v>
      </c>
      <c r="F603" s="1">
        <v>24</v>
      </c>
      <c r="G603" t="s">
        <v>249</v>
      </c>
      <c r="H603" s="1">
        <v>3454.94</v>
      </c>
      <c r="I603" t="s">
        <v>250</v>
      </c>
      <c r="J603" s="1">
        <v>24</v>
      </c>
      <c r="K603" s="1">
        <v>0</v>
      </c>
      <c r="L603" s="1">
        <f t="shared" si="9"/>
        <v>3454.94</v>
      </c>
      <c r="M603" t="s">
        <v>511</v>
      </c>
    </row>
    <row r="604" spans="1:13" x14ac:dyDescent="0.3">
      <c r="A604">
        <v>590</v>
      </c>
      <c r="B604" s="2">
        <v>45712</v>
      </c>
      <c r="C604" s="2">
        <v>45712</v>
      </c>
      <c r="D604" t="s">
        <v>2435</v>
      </c>
      <c r="E604" t="s">
        <v>2436</v>
      </c>
      <c r="F604" s="1">
        <v>50</v>
      </c>
      <c r="G604" t="s">
        <v>249</v>
      </c>
      <c r="H604" s="1">
        <v>3404.94</v>
      </c>
      <c r="I604" t="s">
        <v>250</v>
      </c>
      <c r="J604" s="1">
        <v>50</v>
      </c>
      <c r="K604" s="1">
        <v>0</v>
      </c>
      <c r="L604" s="1">
        <f t="shared" si="9"/>
        <v>3404.94</v>
      </c>
      <c r="M604" t="s">
        <v>511</v>
      </c>
    </row>
    <row r="605" spans="1:13" x14ac:dyDescent="0.3">
      <c r="A605">
        <v>591</v>
      </c>
      <c r="B605" s="2">
        <v>45712</v>
      </c>
      <c r="C605" s="2">
        <v>45712</v>
      </c>
      <c r="D605" t="s">
        <v>2437</v>
      </c>
      <c r="E605" t="s">
        <v>2438</v>
      </c>
      <c r="F605" s="1">
        <v>33</v>
      </c>
      <c r="G605" t="s">
        <v>249</v>
      </c>
      <c r="H605" s="1">
        <v>3371.94</v>
      </c>
      <c r="I605" t="s">
        <v>250</v>
      </c>
      <c r="J605" s="1">
        <v>33</v>
      </c>
      <c r="K605" s="1">
        <v>0</v>
      </c>
      <c r="L605" s="1">
        <f t="shared" si="9"/>
        <v>3371.94</v>
      </c>
      <c r="M605" t="s">
        <v>511</v>
      </c>
    </row>
    <row r="606" spans="1:13" x14ac:dyDescent="0.3">
      <c r="A606">
        <v>592</v>
      </c>
      <c r="B606" s="2">
        <v>45713</v>
      </c>
      <c r="C606" s="2">
        <v>45713</v>
      </c>
      <c r="D606" t="s">
        <v>2439</v>
      </c>
      <c r="E606" t="s">
        <v>2440</v>
      </c>
      <c r="F606" s="1">
        <v>109</v>
      </c>
      <c r="G606" t="s">
        <v>249</v>
      </c>
      <c r="H606" s="1">
        <v>3262.94</v>
      </c>
      <c r="I606" t="s">
        <v>250</v>
      </c>
      <c r="J606" s="1">
        <v>109</v>
      </c>
      <c r="K606" s="1">
        <v>0</v>
      </c>
      <c r="L606" s="1">
        <f t="shared" si="9"/>
        <v>3262.94</v>
      </c>
      <c r="M606" t="s">
        <v>511</v>
      </c>
    </row>
    <row r="607" spans="1:13" x14ac:dyDescent="0.3">
      <c r="A607">
        <v>593</v>
      </c>
      <c r="B607" s="2">
        <v>45713</v>
      </c>
      <c r="C607" s="2">
        <v>45713</v>
      </c>
      <c r="D607" t="s">
        <v>2441</v>
      </c>
      <c r="E607" t="s">
        <v>2442</v>
      </c>
      <c r="F607" s="1">
        <v>2200</v>
      </c>
      <c r="G607" t="s">
        <v>249</v>
      </c>
      <c r="H607" s="1">
        <v>1062.94</v>
      </c>
      <c r="I607" t="s">
        <v>250</v>
      </c>
      <c r="J607" s="1">
        <v>2200</v>
      </c>
      <c r="K607" s="1">
        <v>0</v>
      </c>
      <c r="L607" s="1">
        <f t="shared" si="9"/>
        <v>1062.94</v>
      </c>
      <c r="M607" t="s">
        <v>511</v>
      </c>
    </row>
    <row r="608" spans="1:13" x14ac:dyDescent="0.3">
      <c r="A608">
        <v>594</v>
      </c>
      <c r="B608" s="2">
        <v>45713</v>
      </c>
      <c r="C608" s="2">
        <v>45713</v>
      </c>
      <c r="D608" t="s">
        <v>2443</v>
      </c>
      <c r="E608" t="s">
        <v>2444</v>
      </c>
      <c r="F608" s="1">
        <v>140</v>
      </c>
      <c r="G608" t="s">
        <v>249</v>
      </c>
      <c r="H608" s="1">
        <v>922.94</v>
      </c>
      <c r="I608" t="s">
        <v>250</v>
      </c>
      <c r="J608" s="1">
        <v>140</v>
      </c>
      <c r="K608" s="1">
        <v>0</v>
      </c>
      <c r="L608" s="1">
        <f t="shared" si="9"/>
        <v>922.94</v>
      </c>
      <c r="M608" t="s">
        <v>511</v>
      </c>
    </row>
    <row r="609" spans="1:13" x14ac:dyDescent="0.3">
      <c r="A609">
        <v>595</v>
      </c>
      <c r="B609" s="2">
        <v>45714</v>
      </c>
      <c r="C609" s="2">
        <v>45714</v>
      </c>
      <c r="D609" t="s">
        <v>2445</v>
      </c>
      <c r="E609" t="s">
        <v>2446</v>
      </c>
      <c r="F609" s="1">
        <v>80</v>
      </c>
      <c r="G609" t="s">
        <v>249</v>
      </c>
      <c r="H609" s="1">
        <v>842.94</v>
      </c>
      <c r="I609" t="s">
        <v>250</v>
      </c>
      <c r="J609" s="1">
        <v>80</v>
      </c>
      <c r="K609" s="1">
        <v>0</v>
      </c>
      <c r="L609" s="1">
        <f t="shared" si="9"/>
        <v>842.94</v>
      </c>
      <c r="M609" t="s">
        <v>511</v>
      </c>
    </row>
    <row r="610" spans="1:13" x14ac:dyDescent="0.3">
      <c r="A610">
        <v>596</v>
      </c>
      <c r="B610" s="2">
        <v>45714</v>
      </c>
      <c r="C610" s="2">
        <v>45714</v>
      </c>
      <c r="D610" t="s">
        <v>2447</v>
      </c>
      <c r="E610" t="s">
        <v>2448</v>
      </c>
      <c r="F610" s="1">
        <v>7000</v>
      </c>
      <c r="G610" t="s">
        <v>250</v>
      </c>
      <c r="H610" s="1">
        <v>7842.94</v>
      </c>
      <c r="I610" t="s">
        <v>250</v>
      </c>
      <c r="J610" s="1">
        <v>0</v>
      </c>
      <c r="K610" s="1">
        <v>7000</v>
      </c>
      <c r="L610" s="1">
        <f t="shared" si="9"/>
        <v>7842.94</v>
      </c>
      <c r="M610" t="s">
        <v>511</v>
      </c>
    </row>
    <row r="611" spans="1:13" x14ac:dyDescent="0.3">
      <c r="A611">
        <v>597</v>
      </c>
      <c r="B611" s="2">
        <v>45715</v>
      </c>
      <c r="C611" s="2">
        <v>45715</v>
      </c>
      <c r="D611" t="s">
        <v>2449</v>
      </c>
      <c r="E611" t="s">
        <v>2450</v>
      </c>
      <c r="F611" s="1">
        <v>28.5</v>
      </c>
      <c r="G611" t="s">
        <v>250</v>
      </c>
      <c r="H611" s="1">
        <v>7871.44</v>
      </c>
      <c r="I611" t="s">
        <v>250</v>
      </c>
      <c r="J611" s="1">
        <v>0</v>
      </c>
      <c r="K611" s="1">
        <v>28.5</v>
      </c>
      <c r="L611" s="1">
        <f t="shared" si="9"/>
        <v>7871.44</v>
      </c>
      <c r="M611" t="s">
        <v>218</v>
      </c>
    </row>
    <row r="612" spans="1:13" x14ac:dyDescent="0.3">
      <c r="A612">
        <v>598</v>
      </c>
      <c r="B612" s="2">
        <v>45715</v>
      </c>
      <c r="C612" s="2">
        <v>45715</v>
      </c>
      <c r="D612" t="s">
        <v>2451</v>
      </c>
      <c r="E612" t="s">
        <v>2452</v>
      </c>
      <c r="F612" s="1">
        <v>200</v>
      </c>
      <c r="G612" t="s">
        <v>250</v>
      </c>
      <c r="H612" s="1">
        <v>8071.44</v>
      </c>
      <c r="I612" t="s">
        <v>250</v>
      </c>
      <c r="J612" s="1">
        <v>0</v>
      </c>
      <c r="K612" s="1">
        <v>200</v>
      </c>
      <c r="L612" s="1">
        <f t="shared" si="9"/>
        <v>8071.44</v>
      </c>
      <c r="M612" t="s">
        <v>511</v>
      </c>
    </row>
    <row r="613" spans="1:13" x14ac:dyDescent="0.3">
      <c r="A613">
        <v>599</v>
      </c>
      <c r="B613" s="2">
        <v>45716</v>
      </c>
      <c r="C613" s="2">
        <v>45716</v>
      </c>
      <c r="D613" t="s">
        <v>2453</v>
      </c>
      <c r="E613" t="s">
        <v>2454</v>
      </c>
      <c r="F613" s="1">
        <v>7000</v>
      </c>
      <c r="G613" t="s">
        <v>249</v>
      </c>
      <c r="H613" s="1">
        <v>1071.44</v>
      </c>
      <c r="I613" t="s">
        <v>250</v>
      </c>
      <c r="J613" s="1">
        <v>7000</v>
      </c>
      <c r="K613" s="1">
        <v>0</v>
      </c>
      <c r="L613" s="1">
        <f t="shared" si="9"/>
        <v>1071.44</v>
      </c>
      <c r="M613" t="s">
        <v>2532</v>
      </c>
    </row>
    <row r="614" spans="1:13" x14ac:dyDescent="0.3">
      <c r="A614">
        <v>600</v>
      </c>
      <c r="B614" s="2">
        <v>45716</v>
      </c>
      <c r="C614" s="2">
        <v>45716</v>
      </c>
      <c r="D614" t="s">
        <v>2455</v>
      </c>
      <c r="E614" t="s">
        <v>2456</v>
      </c>
      <c r="F614" s="1">
        <v>150</v>
      </c>
      <c r="G614" t="s">
        <v>250</v>
      </c>
      <c r="H614" s="1">
        <v>1221.44</v>
      </c>
      <c r="I614" t="s">
        <v>250</v>
      </c>
      <c r="J614" s="1">
        <v>0</v>
      </c>
      <c r="K614" s="1">
        <v>150</v>
      </c>
      <c r="L614" s="1">
        <f t="shared" si="9"/>
        <v>1221.44</v>
      </c>
      <c r="M614" t="s">
        <v>511</v>
      </c>
    </row>
    <row r="615" spans="1:13" x14ac:dyDescent="0.3">
      <c r="A615">
        <v>601</v>
      </c>
      <c r="B615" s="2">
        <v>45719</v>
      </c>
      <c r="C615" s="2">
        <v>45719</v>
      </c>
      <c r="D615" t="s">
        <v>2457</v>
      </c>
      <c r="E615" t="s">
        <v>2458</v>
      </c>
      <c r="F615" s="1">
        <v>60</v>
      </c>
      <c r="G615" t="s">
        <v>250</v>
      </c>
      <c r="H615" s="1">
        <v>1281.44</v>
      </c>
      <c r="I615" t="s">
        <v>250</v>
      </c>
      <c r="J615" s="1">
        <v>0</v>
      </c>
      <c r="K615" s="1">
        <v>60</v>
      </c>
      <c r="L615" s="1">
        <f t="shared" si="9"/>
        <v>1281.44</v>
      </c>
      <c r="M615" t="s">
        <v>218</v>
      </c>
    </row>
    <row r="616" spans="1:13" x14ac:dyDescent="0.3">
      <c r="A616">
        <v>602</v>
      </c>
      <c r="B616" s="2">
        <v>45719</v>
      </c>
      <c r="C616" s="2">
        <v>45719</v>
      </c>
      <c r="D616" t="s">
        <v>2459</v>
      </c>
      <c r="E616" t="s">
        <v>2460</v>
      </c>
      <c r="F616" s="1">
        <v>1</v>
      </c>
      <c r="G616" t="s">
        <v>250</v>
      </c>
      <c r="H616" s="1">
        <v>1282.44</v>
      </c>
      <c r="I616" t="s">
        <v>250</v>
      </c>
      <c r="J616" s="1">
        <v>0</v>
      </c>
      <c r="K616" s="1">
        <v>1</v>
      </c>
      <c r="L616" s="1">
        <f t="shared" si="9"/>
        <v>1282.44</v>
      </c>
      <c r="M616" t="s">
        <v>228</v>
      </c>
    </row>
    <row r="617" spans="1:13" x14ac:dyDescent="0.3">
      <c r="A617">
        <v>603</v>
      </c>
      <c r="B617" s="2">
        <v>45722</v>
      </c>
      <c r="C617" s="2">
        <v>45722</v>
      </c>
      <c r="D617" t="s">
        <v>2461</v>
      </c>
      <c r="E617" t="s">
        <v>2462</v>
      </c>
      <c r="F617" s="1">
        <v>95.75</v>
      </c>
      <c r="G617" t="s">
        <v>250</v>
      </c>
      <c r="H617" s="1">
        <v>1378.19</v>
      </c>
      <c r="I617" t="s">
        <v>250</v>
      </c>
      <c r="J617" s="1">
        <v>0</v>
      </c>
      <c r="K617" s="1">
        <v>95.75</v>
      </c>
      <c r="L617" s="1">
        <f t="shared" si="9"/>
        <v>1378.19</v>
      </c>
      <c r="M617" t="s">
        <v>511</v>
      </c>
    </row>
    <row r="618" spans="1:13" x14ac:dyDescent="0.3">
      <c r="A618">
        <v>604</v>
      </c>
      <c r="B618" s="2">
        <v>45723</v>
      </c>
      <c r="C618" s="2">
        <v>45723</v>
      </c>
      <c r="D618" t="s">
        <v>2463</v>
      </c>
      <c r="E618" t="s">
        <v>2464</v>
      </c>
      <c r="F618" s="1">
        <v>130</v>
      </c>
      <c r="G618" t="s">
        <v>250</v>
      </c>
      <c r="H618" s="1">
        <v>1508.19</v>
      </c>
      <c r="I618" t="s">
        <v>250</v>
      </c>
      <c r="J618" s="1">
        <v>0</v>
      </c>
      <c r="K618" s="1">
        <v>130</v>
      </c>
      <c r="L618" s="1">
        <f t="shared" si="9"/>
        <v>1508.19</v>
      </c>
      <c r="M618" t="s">
        <v>218</v>
      </c>
    </row>
    <row r="619" spans="1:13" x14ac:dyDescent="0.3">
      <c r="A619">
        <v>605</v>
      </c>
      <c r="B619" s="2">
        <v>45724</v>
      </c>
      <c r="C619" s="2">
        <v>45724</v>
      </c>
      <c r="D619" t="s">
        <v>2465</v>
      </c>
      <c r="E619" t="s">
        <v>2466</v>
      </c>
      <c r="F619" s="1">
        <v>70</v>
      </c>
      <c r="G619" t="s">
        <v>249</v>
      </c>
      <c r="H619" s="1">
        <v>1438.19</v>
      </c>
      <c r="I619" t="s">
        <v>250</v>
      </c>
      <c r="J619" s="1">
        <v>70</v>
      </c>
      <c r="K619" s="1">
        <v>0</v>
      </c>
      <c r="L619" s="1">
        <f t="shared" si="9"/>
        <v>1438.19</v>
      </c>
      <c r="M619" t="s">
        <v>511</v>
      </c>
    </row>
    <row r="620" spans="1:13" x14ac:dyDescent="0.3">
      <c r="A620">
        <v>606</v>
      </c>
      <c r="B620" s="2">
        <v>45725</v>
      </c>
      <c r="C620" s="2">
        <v>45725</v>
      </c>
      <c r="D620" t="s">
        <v>2467</v>
      </c>
      <c r="E620" t="s">
        <v>2468</v>
      </c>
      <c r="F620" s="1">
        <v>24</v>
      </c>
      <c r="G620" t="s">
        <v>249</v>
      </c>
      <c r="H620" s="1">
        <v>1414.19</v>
      </c>
      <c r="I620" t="s">
        <v>250</v>
      </c>
      <c r="J620" s="1">
        <v>24</v>
      </c>
      <c r="K620" s="1">
        <v>0</v>
      </c>
      <c r="L620" s="1">
        <f t="shared" si="9"/>
        <v>1414.19</v>
      </c>
      <c r="M620" t="s">
        <v>511</v>
      </c>
    </row>
    <row r="621" spans="1:13" x14ac:dyDescent="0.3">
      <c r="A621">
        <v>607</v>
      </c>
      <c r="B621" s="2">
        <v>45726</v>
      </c>
      <c r="C621" s="2">
        <v>45726</v>
      </c>
      <c r="D621" t="s">
        <v>2469</v>
      </c>
      <c r="E621" t="s">
        <v>2470</v>
      </c>
      <c r="F621" s="1">
        <v>25</v>
      </c>
      <c r="G621" t="s">
        <v>249</v>
      </c>
      <c r="H621" s="1">
        <v>1389.19</v>
      </c>
      <c r="I621" t="s">
        <v>250</v>
      </c>
      <c r="J621" s="1">
        <v>25</v>
      </c>
      <c r="K621" s="1">
        <v>0</v>
      </c>
      <c r="L621" s="1">
        <f t="shared" si="9"/>
        <v>1389.19</v>
      </c>
      <c r="M621" t="s">
        <v>511</v>
      </c>
    </row>
    <row r="622" spans="1:13" x14ac:dyDescent="0.3">
      <c r="A622">
        <v>608</v>
      </c>
      <c r="B622" s="2">
        <v>45726</v>
      </c>
      <c r="C622" s="2">
        <v>45726</v>
      </c>
      <c r="D622" t="s">
        <v>2471</v>
      </c>
      <c r="E622" t="s">
        <v>2472</v>
      </c>
      <c r="F622" s="1">
        <v>26</v>
      </c>
      <c r="G622" t="s">
        <v>249</v>
      </c>
      <c r="H622" s="1">
        <v>1363.19</v>
      </c>
      <c r="I622" t="s">
        <v>250</v>
      </c>
      <c r="J622" s="1">
        <v>26</v>
      </c>
      <c r="K622" s="1">
        <v>0</v>
      </c>
      <c r="L622" s="1">
        <f t="shared" si="9"/>
        <v>1363.19</v>
      </c>
      <c r="M622" t="s">
        <v>511</v>
      </c>
    </row>
    <row r="623" spans="1:13" x14ac:dyDescent="0.3">
      <c r="A623">
        <v>609</v>
      </c>
      <c r="B623" s="2">
        <v>45727</v>
      </c>
      <c r="C623" s="2">
        <v>45727</v>
      </c>
      <c r="D623" t="s">
        <v>2473</v>
      </c>
      <c r="E623" t="s">
        <v>2474</v>
      </c>
      <c r="F623" s="1">
        <v>129</v>
      </c>
      <c r="G623" t="s">
        <v>249</v>
      </c>
      <c r="H623" s="1">
        <v>1234.19</v>
      </c>
      <c r="I623" t="s">
        <v>250</v>
      </c>
      <c r="J623" s="1">
        <v>129</v>
      </c>
      <c r="K623" s="1">
        <v>0</v>
      </c>
      <c r="L623" s="1">
        <f t="shared" si="9"/>
        <v>1234.19</v>
      </c>
      <c r="M623" t="s">
        <v>511</v>
      </c>
    </row>
    <row r="624" spans="1:13" x14ac:dyDescent="0.3">
      <c r="A624">
        <v>610</v>
      </c>
      <c r="B624" s="2">
        <v>45727</v>
      </c>
      <c r="C624" s="2">
        <v>45727</v>
      </c>
      <c r="D624" t="s">
        <v>2475</v>
      </c>
      <c r="E624" t="s">
        <v>2476</v>
      </c>
      <c r="F624" s="1">
        <v>61</v>
      </c>
      <c r="G624" t="s">
        <v>249</v>
      </c>
      <c r="H624" s="1">
        <v>1173.19</v>
      </c>
      <c r="I624" t="s">
        <v>250</v>
      </c>
      <c r="J624" s="1">
        <v>61</v>
      </c>
      <c r="K624" s="1">
        <v>0</v>
      </c>
      <c r="L624" s="1">
        <f t="shared" si="9"/>
        <v>1173.19</v>
      </c>
      <c r="M624" t="s">
        <v>511</v>
      </c>
    </row>
    <row r="625" spans="1:13" x14ac:dyDescent="0.3">
      <c r="A625">
        <v>611</v>
      </c>
      <c r="B625" s="2">
        <v>45727</v>
      </c>
      <c r="C625" s="2">
        <v>45727</v>
      </c>
      <c r="D625" t="s">
        <v>2477</v>
      </c>
      <c r="E625" t="s">
        <v>2478</v>
      </c>
      <c r="F625" s="1">
        <v>53</v>
      </c>
      <c r="G625" t="s">
        <v>249</v>
      </c>
      <c r="H625" s="1">
        <v>1120.19</v>
      </c>
      <c r="I625" t="s">
        <v>250</v>
      </c>
      <c r="J625" s="1">
        <v>53</v>
      </c>
      <c r="K625" s="1">
        <v>0</v>
      </c>
      <c r="L625" s="1">
        <f t="shared" si="9"/>
        <v>1120.19</v>
      </c>
      <c r="M625" t="s">
        <v>511</v>
      </c>
    </row>
    <row r="626" spans="1:13" x14ac:dyDescent="0.3">
      <c r="A626">
        <v>612</v>
      </c>
      <c r="B626" s="2">
        <v>45728</v>
      </c>
      <c r="C626" s="2">
        <v>45728</v>
      </c>
      <c r="D626" t="s">
        <v>2479</v>
      </c>
      <c r="E626" t="s">
        <v>2480</v>
      </c>
      <c r="F626" s="1">
        <v>501</v>
      </c>
      <c r="G626" t="s">
        <v>250</v>
      </c>
      <c r="H626" s="1">
        <v>1621.19</v>
      </c>
      <c r="I626" t="s">
        <v>250</v>
      </c>
      <c r="J626" s="1">
        <v>0</v>
      </c>
      <c r="K626" s="1">
        <v>501</v>
      </c>
      <c r="L626" s="1">
        <f t="shared" si="9"/>
        <v>1621.19</v>
      </c>
      <c r="M626" t="s">
        <v>2536</v>
      </c>
    </row>
    <row r="627" spans="1:13" x14ac:dyDescent="0.3">
      <c r="A627">
        <v>613</v>
      </c>
      <c r="B627" s="2">
        <v>45728</v>
      </c>
      <c r="C627" s="2">
        <v>45728</v>
      </c>
      <c r="D627" t="s">
        <v>2481</v>
      </c>
      <c r="E627" t="s">
        <v>2482</v>
      </c>
      <c r="F627" s="1">
        <v>60</v>
      </c>
      <c r="G627" t="s">
        <v>249</v>
      </c>
      <c r="H627" s="1">
        <v>1561.19</v>
      </c>
      <c r="I627" t="s">
        <v>250</v>
      </c>
      <c r="J627" s="1">
        <v>60</v>
      </c>
      <c r="K627" s="1">
        <v>0</v>
      </c>
      <c r="L627" s="1">
        <f t="shared" si="9"/>
        <v>1561.19</v>
      </c>
      <c r="M627" t="s">
        <v>511</v>
      </c>
    </row>
    <row r="628" spans="1:13" x14ac:dyDescent="0.3">
      <c r="A628">
        <v>614</v>
      </c>
      <c r="B628" s="2">
        <v>45731</v>
      </c>
      <c r="C628" s="2">
        <v>45731</v>
      </c>
      <c r="D628" t="s">
        <v>2483</v>
      </c>
      <c r="E628" t="s">
        <v>2484</v>
      </c>
      <c r="F628" s="1">
        <v>250</v>
      </c>
      <c r="G628" t="s">
        <v>249</v>
      </c>
      <c r="H628" s="1">
        <v>1311.19</v>
      </c>
      <c r="I628" t="s">
        <v>250</v>
      </c>
      <c r="J628" s="1">
        <v>250</v>
      </c>
      <c r="K628" s="1">
        <v>0</v>
      </c>
      <c r="L628" s="1">
        <f t="shared" si="9"/>
        <v>1311.19</v>
      </c>
      <c r="M628" t="s">
        <v>511</v>
      </c>
    </row>
    <row r="629" spans="1:13" x14ac:dyDescent="0.3">
      <c r="A629">
        <v>615</v>
      </c>
      <c r="B629" s="2">
        <v>45731</v>
      </c>
      <c r="C629" s="2">
        <v>45731</v>
      </c>
      <c r="D629" t="s">
        <v>2485</v>
      </c>
      <c r="E629" t="s">
        <v>2486</v>
      </c>
      <c r="F629" s="1">
        <v>26</v>
      </c>
      <c r="G629" t="s">
        <v>249</v>
      </c>
      <c r="H629" s="1">
        <v>1285.19</v>
      </c>
      <c r="I629" t="s">
        <v>250</v>
      </c>
      <c r="J629" s="1">
        <v>26</v>
      </c>
      <c r="K629" s="1">
        <v>0</v>
      </c>
      <c r="L629" s="1">
        <f t="shared" si="9"/>
        <v>1285.19</v>
      </c>
      <c r="M629" t="s">
        <v>511</v>
      </c>
    </row>
    <row r="630" spans="1:13" x14ac:dyDescent="0.3">
      <c r="A630">
        <v>616</v>
      </c>
      <c r="B630" s="2">
        <v>45731</v>
      </c>
      <c r="C630" s="2">
        <v>45731</v>
      </c>
      <c r="D630" t="s">
        <v>2487</v>
      </c>
      <c r="E630" t="s">
        <v>2488</v>
      </c>
      <c r="F630" s="1">
        <v>2</v>
      </c>
      <c r="G630" t="s">
        <v>250</v>
      </c>
      <c r="H630" s="1">
        <v>1287.19</v>
      </c>
      <c r="I630" t="s">
        <v>250</v>
      </c>
      <c r="J630" s="1">
        <v>0</v>
      </c>
      <c r="K630" s="1">
        <v>2</v>
      </c>
      <c r="L630" s="1">
        <f t="shared" si="9"/>
        <v>1287.19</v>
      </c>
      <c r="M630" t="s">
        <v>511</v>
      </c>
    </row>
    <row r="631" spans="1:13" x14ac:dyDescent="0.3">
      <c r="A631">
        <v>617</v>
      </c>
      <c r="B631" s="2">
        <v>45731</v>
      </c>
      <c r="C631" s="2">
        <v>45731</v>
      </c>
      <c r="D631" t="s">
        <v>2489</v>
      </c>
      <c r="E631" t="s">
        <v>2490</v>
      </c>
      <c r="F631" s="1">
        <v>5</v>
      </c>
      <c r="G631" t="s">
        <v>250</v>
      </c>
      <c r="H631" s="1">
        <v>1292.19</v>
      </c>
      <c r="I631" t="s">
        <v>250</v>
      </c>
      <c r="J631" s="1">
        <v>0</v>
      </c>
      <c r="K631" s="1">
        <v>5</v>
      </c>
      <c r="L631" s="1">
        <f t="shared" si="9"/>
        <v>1292.19</v>
      </c>
      <c r="M631" t="s">
        <v>511</v>
      </c>
    </row>
    <row r="632" spans="1:13" x14ac:dyDescent="0.3">
      <c r="A632">
        <v>618</v>
      </c>
      <c r="B632" s="2">
        <v>45733</v>
      </c>
      <c r="C632" s="2">
        <v>45733</v>
      </c>
      <c r="D632" t="s">
        <v>2491</v>
      </c>
      <c r="E632" t="s">
        <v>2492</v>
      </c>
      <c r="F632" s="1">
        <v>100</v>
      </c>
      <c r="G632" t="s">
        <v>249</v>
      </c>
      <c r="H632" s="1">
        <v>1192.19</v>
      </c>
      <c r="I632" t="s">
        <v>250</v>
      </c>
      <c r="J632" s="1">
        <v>100</v>
      </c>
      <c r="K632" s="1">
        <v>0</v>
      </c>
      <c r="L632" s="1">
        <f t="shared" si="9"/>
        <v>1192.19</v>
      </c>
      <c r="M632" t="s">
        <v>511</v>
      </c>
    </row>
    <row r="633" spans="1:13" x14ac:dyDescent="0.3">
      <c r="A633">
        <v>619</v>
      </c>
      <c r="B633" s="2">
        <v>45739</v>
      </c>
      <c r="C633" s="2">
        <v>45739</v>
      </c>
      <c r="D633" t="s">
        <v>2493</v>
      </c>
      <c r="E633" t="s">
        <v>2494</v>
      </c>
      <c r="F633" s="1">
        <v>110</v>
      </c>
      <c r="G633" t="s">
        <v>249</v>
      </c>
      <c r="H633" s="1">
        <v>1082.19</v>
      </c>
      <c r="I633" t="s">
        <v>250</v>
      </c>
      <c r="J633" s="1">
        <v>110</v>
      </c>
      <c r="K633" s="1">
        <v>0</v>
      </c>
      <c r="L633" s="1">
        <f t="shared" si="9"/>
        <v>1082.19</v>
      </c>
      <c r="M633" t="s">
        <v>511</v>
      </c>
    </row>
    <row r="634" spans="1:13" x14ac:dyDescent="0.3">
      <c r="A634">
        <v>620</v>
      </c>
      <c r="B634" s="2">
        <v>45740</v>
      </c>
      <c r="C634" s="2">
        <v>45740</v>
      </c>
      <c r="D634" t="s">
        <v>2495</v>
      </c>
      <c r="E634" t="s">
        <v>2496</v>
      </c>
      <c r="F634" s="1">
        <v>30</v>
      </c>
      <c r="G634" t="s">
        <v>249</v>
      </c>
      <c r="H634" s="1">
        <v>1052.19</v>
      </c>
      <c r="I634" t="s">
        <v>250</v>
      </c>
      <c r="J634" s="1">
        <v>30</v>
      </c>
      <c r="K634" s="1">
        <v>0</v>
      </c>
      <c r="L634" s="1">
        <f t="shared" si="9"/>
        <v>1052.19</v>
      </c>
      <c r="M634" t="s">
        <v>511</v>
      </c>
    </row>
    <row r="635" spans="1:13" x14ac:dyDescent="0.3">
      <c r="A635">
        <v>621</v>
      </c>
      <c r="B635" s="2">
        <v>45741</v>
      </c>
      <c r="C635" s="2">
        <v>45741</v>
      </c>
      <c r="D635" t="s">
        <v>2497</v>
      </c>
      <c r="E635" t="s">
        <v>2498</v>
      </c>
      <c r="F635" s="1">
        <v>210</v>
      </c>
      <c r="G635" t="s">
        <v>249</v>
      </c>
      <c r="H635" s="1">
        <v>842.19</v>
      </c>
      <c r="I635" t="s">
        <v>250</v>
      </c>
      <c r="J635" s="1">
        <v>210</v>
      </c>
      <c r="K635" s="1">
        <v>0</v>
      </c>
      <c r="L635" s="1">
        <f t="shared" si="9"/>
        <v>842.19</v>
      </c>
      <c r="M635" t="s">
        <v>511</v>
      </c>
    </row>
    <row r="636" spans="1:13" x14ac:dyDescent="0.3">
      <c r="A636">
        <v>622</v>
      </c>
      <c r="B636" s="2">
        <v>45741</v>
      </c>
      <c r="C636" s="2">
        <v>45741</v>
      </c>
      <c r="D636" t="s">
        <v>2499</v>
      </c>
      <c r="E636" t="s">
        <v>2500</v>
      </c>
      <c r="F636" s="1">
        <v>135</v>
      </c>
      <c r="G636" t="s">
        <v>249</v>
      </c>
      <c r="H636" s="1">
        <v>707.19</v>
      </c>
      <c r="I636" t="s">
        <v>250</v>
      </c>
      <c r="J636" s="1">
        <v>135</v>
      </c>
      <c r="K636" s="1">
        <v>0</v>
      </c>
      <c r="L636" s="1">
        <f t="shared" si="9"/>
        <v>707.19</v>
      </c>
      <c r="M636" t="s">
        <v>511</v>
      </c>
    </row>
    <row r="637" spans="1:13" x14ac:dyDescent="0.3">
      <c r="A637">
        <v>623</v>
      </c>
      <c r="B637" s="2">
        <v>45741</v>
      </c>
      <c r="C637" s="2">
        <v>45741</v>
      </c>
      <c r="D637" t="s">
        <v>2501</v>
      </c>
      <c r="E637" t="s">
        <v>2502</v>
      </c>
      <c r="F637" s="1">
        <v>72</v>
      </c>
      <c r="G637" t="s">
        <v>249</v>
      </c>
      <c r="H637" s="1">
        <v>635.19000000000005</v>
      </c>
      <c r="I637" t="s">
        <v>250</v>
      </c>
      <c r="J637" s="1">
        <v>72</v>
      </c>
      <c r="K637" s="1">
        <v>0</v>
      </c>
      <c r="L637" s="1">
        <f t="shared" si="9"/>
        <v>635.19000000000005</v>
      </c>
      <c r="M637" t="s">
        <v>511</v>
      </c>
    </row>
    <row r="638" spans="1:13" x14ac:dyDescent="0.3">
      <c r="A638">
        <v>624</v>
      </c>
      <c r="B638" s="2">
        <v>45742</v>
      </c>
      <c r="C638" s="2">
        <v>45742</v>
      </c>
      <c r="D638" t="s">
        <v>2503</v>
      </c>
      <c r="E638" t="s">
        <v>2504</v>
      </c>
      <c r="F638" s="1">
        <v>1250</v>
      </c>
      <c r="G638" t="s">
        <v>250</v>
      </c>
      <c r="H638" s="1">
        <v>1885.19</v>
      </c>
      <c r="I638" t="s">
        <v>250</v>
      </c>
      <c r="J638" s="1">
        <v>0</v>
      </c>
      <c r="K638" s="1">
        <v>1250</v>
      </c>
      <c r="L638" s="1">
        <f t="shared" si="9"/>
        <v>1885.19</v>
      </c>
      <c r="M638" t="s">
        <v>511</v>
      </c>
    </row>
    <row r="639" spans="1:13" x14ac:dyDescent="0.3">
      <c r="A639">
        <v>625</v>
      </c>
      <c r="B639" s="2">
        <v>45743</v>
      </c>
      <c r="C639" s="2">
        <v>45743</v>
      </c>
      <c r="D639" t="s">
        <v>2505</v>
      </c>
      <c r="E639" t="s">
        <v>2506</v>
      </c>
      <c r="F639" s="1">
        <v>7000</v>
      </c>
      <c r="G639" t="s">
        <v>250</v>
      </c>
      <c r="H639" s="1">
        <v>8885.19</v>
      </c>
      <c r="I639" t="s">
        <v>250</v>
      </c>
      <c r="J639" s="1">
        <v>0</v>
      </c>
      <c r="K639" s="1">
        <v>7000</v>
      </c>
      <c r="L639" s="1">
        <f t="shared" si="9"/>
        <v>8885.19</v>
      </c>
      <c r="M639" t="s">
        <v>511</v>
      </c>
    </row>
    <row r="640" spans="1:13" x14ac:dyDescent="0.3">
      <c r="A640">
        <v>626</v>
      </c>
      <c r="B640" s="2">
        <v>45744</v>
      </c>
      <c r="C640" s="2">
        <v>45744</v>
      </c>
      <c r="D640" t="s">
        <v>2507</v>
      </c>
      <c r="E640" t="s">
        <v>2508</v>
      </c>
      <c r="F640" s="1">
        <v>7000</v>
      </c>
      <c r="G640" t="s">
        <v>249</v>
      </c>
      <c r="H640" s="1">
        <v>1885.19</v>
      </c>
      <c r="I640" t="s">
        <v>250</v>
      </c>
      <c r="J640" s="1">
        <v>7000</v>
      </c>
      <c r="K640" s="1">
        <v>0</v>
      </c>
      <c r="L640" s="1">
        <f t="shared" si="9"/>
        <v>1885.19</v>
      </c>
      <c r="M640" t="s">
        <v>2532</v>
      </c>
    </row>
    <row r="641" spans="1:13" x14ac:dyDescent="0.3">
      <c r="A641">
        <v>627</v>
      </c>
      <c r="B641" s="2">
        <v>45744</v>
      </c>
      <c r="C641" s="2">
        <v>45744</v>
      </c>
      <c r="D641" t="s">
        <v>2509</v>
      </c>
      <c r="E641" t="s">
        <v>2510</v>
      </c>
      <c r="F641" s="1">
        <v>105</v>
      </c>
      <c r="G641" t="s">
        <v>249</v>
      </c>
      <c r="H641" s="1">
        <v>1780.19</v>
      </c>
      <c r="I641" t="s">
        <v>250</v>
      </c>
      <c r="J641" s="1">
        <v>105</v>
      </c>
      <c r="K641" s="1">
        <v>0</v>
      </c>
      <c r="L641" s="1">
        <f t="shared" si="9"/>
        <v>1780.19</v>
      </c>
      <c r="M641" t="s">
        <v>511</v>
      </c>
    </row>
    <row r="642" spans="1:13" x14ac:dyDescent="0.3">
      <c r="A642">
        <v>628</v>
      </c>
      <c r="B642" s="2">
        <v>45744</v>
      </c>
      <c r="C642" s="2">
        <v>45744</v>
      </c>
      <c r="D642" t="s">
        <v>2511</v>
      </c>
      <c r="E642" t="s">
        <v>2512</v>
      </c>
      <c r="F642" s="1">
        <v>180</v>
      </c>
      <c r="G642" t="s">
        <v>249</v>
      </c>
      <c r="H642" s="1">
        <v>1600.19</v>
      </c>
      <c r="I642" t="s">
        <v>250</v>
      </c>
      <c r="J642" s="1">
        <v>180</v>
      </c>
      <c r="K642" s="1">
        <v>0</v>
      </c>
      <c r="L642" s="1">
        <f t="shared" ref="L642:L645" si="10">H642</f>
        <v>1600.19</v>
      </c>
      <c r="M642" t="s">
        <v>511</v>
      </c>
    </row>
    <row r="643" spans="1:13" x14ac:dyDescent="0.3">
      <c r="A643">
        <v>629</v>
      </c>
      <c r="B643" s="2">
        <v>45747</v>
      </c>
      <c r="C643" s="2">
        <v>45747</v>
      </c>
      <c r="D643" t="s">
        <v>2513</v>
      </c>
      <c r="E643" t="s">
        <v>2514</v>
      </c>
      <c r="F643" s="1">
        <v>50</v>
      </c>
      <c r="G643" t="s">
        <v>249</v>
      </c>
      <c r="H643" s="1">
        <v>1550.19</v>
      </c>
      <c r="I643" t="s">
        <v>250</v>
      </c>
      <c r="J643" s="1">
        <v>50</v>
      </c>
      <c r="K643" s="1">
        <v>0</v>
      </c>
      <c r="L643" s="1">
        <f t="shared" si="10"/>
        <v>1550.19</v>
      </c>
      <c r="M643" t="s">
        <v>511</v>
      </c>
    </row>
    <row r="644" spans="1:13" x14ac:dyDescent="0.3">
      <c r="A644">
        <v>630</v>
      </c>
      <c r="B644" s="2">
        <v>45747</v>
      </c>
      <c r="C644" s="2">
        <v>45747</v>
      </c>
      <c r="D644" t="s">
        <v>2515</v>
      </c>
      <c r="E644" t="s">
        <v>2516</v>
      </c>
      <c r="F644" s="1">
        <v>7</v>
      </c>
      <c r="G644" t="s">
        <v>249</v>
      </c>
      <c r="H644" s="1">
        <v>1543.19</v>
      </c>
      <c r="I644" t="s">
        <v>250</v>
      </c>
      <c r="J644" s="1">
        <v>7</v>
      </c>
      <c r="K644" s="1">
        <v>0</v>
      </c>
      <c r="L644" s="1">
        <f t="shared" si="10"/>
        <v>1543.19</v>
      </c>
      <c r="M644" t="s">
        <v>511</v>
      </c>
    </row>
    <row r="645" spans="1:13" x14ac:dyDescent="0.3">
      <c r="A645">
        <v>631</v>
      </c>
      <c r="B645" s="2">
        <v>45748</v>
      </c>
      <c r="C645" s="2">
        <v>45747</v>
      </c>
      <c r="D645" t="s">
        <v>2517</v>
      </c>
      <c r="F645" s="1">
        <v>190</v>
      </c>
      <c r="G645" t="s">
        <v>250</v>
      </c>
      <c r="H645" s="1">
        <v>1733.19</v>
      </c>
      <c r="I645" t="s">
        <v>250</v>
      </c>
      <c r="J645" s="1">
        <v>0</v>
      </c>
      <c r="K645" s="1">
        <v>190</v>
      </c>
      <c r="L645" s="1">
        <f t="shared" si="10"/>
        <v>1733.19</v>
      </c>
      <c r="M645" t="s">
        <v>227</v>
      </c>
    </row>
  </sheetData>
  <autoFilter ref="A14:M645" xr:uid="{AC10D215-6A6F-4D53-B2CE-681BDBB3FF2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5A28-3558-4A83-9447-5AE16ACBEF9D}">
  <dimension ref="A1:U19"/>
  <sheetViews>
    <sheetView workbookViewId="0">
      <selection activeCell="A3" sqref="A3"/>
    </sheetView>
  </sheetViews>
  <sheetFormatPr defaultRowHeight="14.4" x14ac:dyDescent="0.3"/>
  <cols>
    <col min="1" max="1" width="10.33203125" bestFit="1" customWidth="1"/>
    <col min="2" max="2" width="12" bestFit="1" customWidth="1"/>
    <col min="9" max="9" width="10.33203125" bestFit="1" customWidth="1"/>
    <col min="12" max="12" width="10.33203125" bestFit="1" customWidth="1"/>
    <col min="13" max="13" width="23.77734375" bestFit="1" customWidth="1"/>
  </cols>
  <sheetData>
    <row r="1" spans="1:21" x14ac:dyDescent="0.3">
      <c r="A1" t="s">
        <v>255</v>
      </c>
      <c r="D1" t="s">
        <v>2555</v>
      </c>
    </row>
    <row r="2" spans="1:21" x14ac:dyDescent="0.3">
      <c r="A2" t="s">
        <v>2553</v>
      </c>
      <c r="D2" t="s">
        <v>2556</v>
      </c>
    </row>
    <row r="3" spans="1:21" x14ac:dyDescent="0.3">
      <c r="A3" t="s">
        <v>2552</v>
      </c>
    </row>
    <row r="4" spans="1:21" x14ac:dyDescent="0.3">
      <c r="A4" t="s">
        <v>2554</v>
      </c>
    </row>
    <row r="6" spans="1:21" x14ac:dyDescent="0.3">
      <c r="A6" t="s">
        <v>23</v>
      </c>
      <c r="B6" t="s">
        <v>632</v>
      </c>
      <c r="C6" t="s">
        <v>2557</v>
      </c>
      <c r="D6" t="s">
        <v>636</v>
      </c>
      <c r="E6" t="s">
        <v>637</v>
      </c>
      <c r="F6" t="s">
        <v>284</v>
      </c>
      <c r="G6" t="s">
        <v>24</v>
      </c>
    </row>
    <row r="7" spans="1:21" x14ac:dyDescent="0.3">
      <c r="A7" s="2">
        <v>45383</v>
      </c>
      <c r="B7" t="s">
        <v>2558</v>
      </c>
      <c r="D7">
        <v>0</v>
      </c>
      <c r="F7">
        <v>225</v>
      </c>
    </row>
    <row r="8" spans="1:21" x14ac:dyDescent="0.3">
      <c r="A8" s="2">
        <f>EOMONTH(A7,0)+1</f>
        <v>45413</v>
      </c>
      <c r="B8" t="s">
        <v>2561</v>
      </c>
      <c r="E8">
        <v>1</v>
      </c>
      <c r="F8">
        <f>F7+E8-D8</f>
        <v>226</v>
      </c>
      <c r="G8" t="s">
        <v>227</v>
      </c>
      <c r="I8" s="2">
        <v>45382</v>
      </c>
      <c r="J8" t="s">
        <v>2559</v>
      </c>
      <c r="K8" t="s">
        <v>2560</v>
      </c>
      <c r="L8" s="2">
        <v>45412</v>
      </c>
      <c r="M8" t="str">
        <f>P8&amp;"-"&amp;Q8&amp;"-"&amp;R8&amp;"-"&amp;" "&amp;J8&amp;" "&amp;S8&amp;"-"&amp;T8&amp;"-"&amp;U8</f>
        <v>31-03-2024- to  30-04-2024</v>
      </c>
      <c r="N8" t="str">
        <f>K8&amp;M8</f>
        <v>20052205306441:Int.Pd:31-03-2024- to  30-04-2024</v>
      </c>
      <c r="P8" t="str">
        <f>TEXT(I8,"DD")</f>
        <v>31</v>
      </c>
      <c r="Q8" t="str">
        <f>TEXT(I8,"MM")</f>
        <v>03</v>
      </c>
      <c r="R8" t="str">
        <f>TEXT(I8,"YYYY")</f>
        <v>2024</v>
      </c>
      <c r="S8" t="str">
        <f>TEXT(L8,"DD")</f>
        <v>30</v>
      </c>
      <c r="T8" t="str">
        <f>TEXT(L8,"MM")</f>
        <v>04</v>
      </c>
      <c r="U8" t="str">
        <f>TEXT(L8,"YYYY")</f>
        <v>2024</v>
      </c>
    </row>
    <row r="9" spans="1:21" x14ac:dyDescent="0.3">
      <c r="A9" s="2">
        <f>EOMONTH(A8,0)+1</f>
        <v>45444</v>
      </c>
      <c r="B9" t="s">
        <v>2562</v>
      </c>
      <c r="E9">
        <v>1</v>
      </c>
      <c r="F9">
        <f t="shared" ref="F9:F19" si="0">F8+E9-D9</f>
        <v>227</v>
      </c>
      <c r="G9" t="s">
        <v>227</v>
      </c>
      <c r="I9" s="2">
        <f>L8+1</f>
        <v>45413</v>
      </c>
      <c r="J9" t="s">
        <v>2559</v>
      </c>
      <c r="K9" t="s">
        <v>2560</v>
      </c>
      <c r="L9" s="2">
        <f>EOMONTH(L8,1)</f>
        <v>45443</v>
      </c>
      <c r="M9" t="str">
        <f t="shared" ref="M9:M19" si="1">P9&amp;"-"&amp;Q9&amp;"-"&amp;R9&amp;"-"&amp;" "&amp;J9&amp;" "&amp;S9&amp;"-"&amp;T9&amp;"-"&amp;U9</f>
        <v>01-05-2024- to  31-05-2024</v>
      </c>
      <c r="N9" t="str">
        <f t="shared" ref="N9:N19" si="2">K9&amp;M9</f>
        <v>20052205306441:Int.Pd:01-05-2024- to  31-05-2024</v>
      </c>
      <c r="P9" t="str">
        <f t="shared" ref="P9:P19" si="3">TEXT(I9,"DD")</f>
        <v>01</v>
      </c>
      <c r="Q9" t="str">
        <f t="shared" ref="Q9:Q19" si="4">TEXT(I9,"MM")</f>
        <v>05</v>
      </c>
      <c r="R9" t="str">
        <f t="shared" ref="R9:R19" si="5">TEXT(I9,"YYYY")</f>
        <v>2024</v>
      </c>
      <c r="S9" t="str">
        <f t="shared" ref="S9:S19" si="6">TEXT(L9,"DD")</f>
        <v>31</v>
      </c>
      <c r="T9" t="str">
        <f t="shared" ref="T9:T19" si="7">TEXT(L9,"MM")</f>
        <v>05</v>
      </c>
      <c r="U9" t="str">
        <f t="shared" ref="U9:U19" si="8">TEXT(L9,"YYYY")</f>
        <v>2024</v>
      </c>
    </row>
    <row r="10" spans="1:21" x14ac:dyDescent="0.3">
      <c r="A10" s="2">
        <f t="shared" ref="A10:A18" si="9">EOMONTH(A9,0)+1</f>
        <v>45474</v>
      </c>
      <c r="B10" t="s">
        <v>2563</v>
      </c>
      <c r="E10">
        <v>1</v>
      </c>
      <c r="F10">
        <f t="shared" si="0"/>
        <v>228</v>
      </c>
      <c r="G10" t="s">
        <v>227</v>
      </c>
      <c r="I10" s="2">
        <f t="shared" ref="I10:I19" si="10">L9+1</f>
        <v>45444</v>
      </c>
      <c r="J10" t="s">
        <v>2559</v>
      </c>
      <c r="K10" t="s">
        <v>2560</v>
      </c>
      <c r="L10" s="2">
        <f t="shared" ref="L10:L19" si="11">EOMONTH(L9,1)</f>
        <v>45473</v>
      </c>
      <c r="M10" t="str">
        <f t="shared" si="1"/>
        <v>01-06-2024- to  30-06-2024</v>
      </c>
      <c r="N10" t="str">
        <f t="shared" si="2"/>
        <v>20052205306441:Int.Pd:01-06-2024- to  30-06-2024</v>
      </c>
      <c r="P10" t="str">
        <f t="shared" si="3"/>
        <v>01</v>
      </c>
      <c r="Q10" t="str">
        <f t="shared" si="4"/>
        <v>06</v>
      </c>
      <c r="R10" t="str">
        <f t="shared" si="5"/>
        <v>2024</v>
      </c>
      <c r="S10" t="str">
        <f t="shared" si="6"/>
        <v>30</v>
      </c>
      <c r="T10" t="str">
        <f t="shared" si="7"/>
        <v>06</v>
      </c>
      <c r="U10" t="str">
        <f t="shared" si="8"/>
        <v>2024</v>
      </c>
    </row>
    <row r="11" spans="1:21" x14ac:dyDescent="0.3">
      <c r="A11" s="2">
        <f t="shared" si="9"/>
        <v>45505</v>
      </c>
      <c r="B11" t="s">
        <v>2564</v>
      </c>
      <c r="E11">
        <v>1</v>
      </c>
      <c r="F11">
        <f t="shared" si="0"/>
        <v>229</v>
      </c>
      <c r="G11" t="s">
        <v>227</v>
      </c>
      <c r="I11" s="2">
        <f t="shared" si="10"/>
        <v>45474</v>
      </c>
      <c r="J11" t="s">
        <v>2559</v>
      </c>
      <c r="K11" t="s">
        <v>2560</v>
      </c>
      <c r="L11" s="2">
        <f t="shared" si="11"/>
        <v>45504</v>
      </c>
      <c r="M11" t="str">
        <f t="shared" si="1"/>
        <v>01-07-2024- to  31-07-2024</v>
      </c>
      <c r="N11" t="str">
        <f t="shared" si="2"/>
        <v>20052205306441:Int.Pd:01-07-2024- to  31-07-2024</v>
      </c>
      <c r="P11" t="str">
        <f t="shared" si="3"/>
        <v>01</v>
      </c>
      <c r="Q11" t="str">
        <f t="shared" si="4"/>
        <v>07</v>
      </c>
      <c r="R11" t="str">
        <f t="shared" si="5"/>
        <v>2024</v>
      </c>
      <c r="S11" t="str">
        <f t="shared" si="6"/>
        <v>31</v>
      </c>
      <c r="T11" t="str">
        <f t="shared" si="7"/>
        <v>07</v>
      </c>
      <c r="U11" t="str">
        <f t="shared" si="8"/>
        <v>2024</v>
      </c>
    </row>
    <row r="12" spans="1:21" x14ac:dyDescent="0.3">
      <c r="A12" s="2">
        <f t="shared" si="9"/>
        <v>45536</v>
      </c>
      <c r="B12" t="s">
        <v>2565</v>
      </c>
      <c r="E12">
        <v>1</v>
      </c>
      <c r="F12">
        <f t="shared" si="0"/>
        <v>230</v>
      </c>
      <c r="G12" t="s">
        <v>227</v>
      </c>
      <c r="I12" s="2">
        <f t="shared" si="10"/>
        <v>45505</v>
      </c>
      <c r="J12" t="s">
        <v>2559</v>
      </c>
      <c r="K12" t="s">
        <v>2560</v>
      </c>
      <c r="L12" s="2">
        <f t="shared" si="11"/>
        <v>45535</v>
      </c>
      <c r="M12" t="str">
        <f t="shared" si="1"/>
        <v>01-08-2024- to  31-08-2024</v>
      </c>
      <c r="N12" t="str">
        <f t="shared" si="2"/>
        <v>20052205306441:Int.Pd:01-08-2024- to  31-08-2024</v>
      </c>
      <c r="P12" t="str">
        <f t="shared" si="3"/>
        <v>01</v>
      </c>
      <c r="Q12" t="str">
        <f t="shared" si="4"/>
        <v>08</v>
      </c>
      <c r="R12" t="str">
        <f t="shared" si="5"/>
        <v>2024</v>
      </c>
      <c r="S12" t="str">
        <f t="shared" si="6"/>
        <v>31</v>
      </c>
      <c r="T12" t="str">
        <f t="shared" si="7"/>
        <v>08</v>
      </c>
      <c r="U12" t="str">
        <f t="shared" si="8"/>
        <v>2024</v>
      </c>
    </row>
    <row r="13" spans="1:21" x14ac:dyDescent="0.3">
      <c r="A13" s="2">
        <f t="shared" si="9"/>
        <v>45566</v>
      </c>
      <c r="B13" t="s">
        <v>2566</v>
      </c>
      <c r="E13">
        <v>1</v>
      </c>
      <c r="F13">
        <f t="shared" si="0"/>
        <v>231</v>
      </c>
      <c r="G13" t="s">
        <v>227</v>
      </c>
      <c r="I13" s="2">
        <f t="shared" si="10"/>
        <v>45536</v>
      </c>
      <c r="J13" t="s">
        <v>2559</v>
      </c>
      <c r="K13" t="s">
        <v>2560</v>
      </c>
      <c r="L13" s="2">
        <f t="shared" si="11"/>
        <v>45565</v>
      </c>
      <c r="M13" t="str">
        <f t="shared" si="1"/>
        <v>01-09-2024- to  30-09-2024</v>
      </c>
      <c r="N13" t="str">
        <f t="shared" si="2"/>
        <v>20052205306441:Int.Pd:01-09-2024- to  30-09-2024</v>
      </c>
      <c r="P13" t="str">
        <f t="shared" si="3"/>
        <v>01</v>
      </c>
      <c r="Q13" t="str">
        <f t="shared" si="4"/>
        <v>09</v>
      </c>
      <c r="R13" t="str">
        <f t="shared" si="5"/>
        <v>2024</v>
      </c>
      <c r="S13" t="str">
        <f t="shared" si="6"/>
        <v>30</v>
      </c>
      <c r="T13" t="str">
        <f t="shared" si="7"/>
        <v>09</v>
      </c>
      <c r="U13" t="str">
        <f t="shared" si="8"/>
        <v>2024</v>
      </c>
    </row>
    <row r="14" spans="1:21" x14ac:dyDescent="0.3">
      <c r="A14" s="2">
        <f t="shared" si="9"/>
        <v>45597</v>
      </c>
      <c r="B14" t="s">
        <v>2567</v>
      </c>
      <c r="E14">
        <v>1</v>
      </c>
      <c r="F14">
        <f t="shared" si="0"/>
        <v>232</v>
      </c>
      <c r="G14" t="s">
        <v>227</v>
      </c>
      <c r="I14" s="2">
        <f t="shared" si="10"/>
        <v>45566</v>
      </c>
      <c r="J14" t="s">
        <v>2559</v>
      </c>
      <c r="K14" t="s">
        <v>2560</v>
      </c>
      <c r="L14" s="2">
        <f t="shared" si="11"/>
        <v>45596</v>
      </c>
      <c r="M14" t="str">
        <f t="shared" si="1"/>
        <v>01-10-2024- to  31-10-2024</v>
      </c>
      <c r="N14" t="str">
        <f t="shared" si="2"/>
        <v>20052205306441:Int.Pd:01-10-2024- to  31-10-2024</v>
      </c>
      <c r="P14" t="str">
        <f t="shared" si="3"/>
        <v>01</v>
      </c>
      <c r="Q14" t="str">
        <f t="shared" si="4"/>
        <v>10</v>
      </c>
      <c r="R14" t="str">
        <f t="shared" si="5"/>
        <v>2024</v>
      </c>
      <c r="S14" t="str">
        <f t="shared" si="6"/>
        <v>31</v>
      </c>
      <c r="T14" t="str">
        <f t="shared" si="7"/>
        <v>10</v>
      </c>
      <c r="U14" t="str">
        <f t="shared" si="8"/>
        <v>2024</v>
      </c>
    </row>
    <row r="15" spans="1:21" x14ac:dyDescent="0.3">
      <c r="A15" s="2">
        <f t="shared" si="9"/>
        <v>45627</v>
      </c>
      <c r="B15" t="s">
        <v>2568</v>
      </c>
      <c r="E15">
        <v>1</v>
      </c>
      <c r="F15">
        <f t="shared" si="0"/>
        <v>233</v>
      </c>
      <c r="G15" t="s">
        <v>227</v>
      </c>
      <c r="I15" s="2">
        <f t="shared" si="10"/>
        <v>45597</v>
      </c>
      <c r="J15" t="s">
        <v>2559</v>
      </c>
      <c r="K15" t="s">
        <v>2560</v>
      </c>
      <c r="L15" s="2">
        <f t="shared" si="11"/>
        <v>45626</v>
      </c>
      <c r="M15" t="str">
        <f t="shared" si="1"/>
        <v>01-11-2024- to  30-11-2024</v>
      </c>
      <c r="N15" t="str">
        <f t="shared" si="2"/>
        <v>20052205306441:Int.Pd:01-11-2024- to  30-11-2024</v>
      </c>
      <c r="P15" t="str">
        <f t="shared" si="3"/>
        <v>01</v>
      </c>
      <c r="Q15" t="str">
        <f t="shared" si="4"/>
        <v>11</v>
      </c>
      <c r="R15" t="str">
        <f t="shared" si="5"/>
        <v>2024</v>
      </c>
      <c r="S15" t="str">
        <f t="shared" si="6"/>
        <v>30</v>
      </c>
      <c r="T15" t="str">
        <f t="shared" si="7"/>
        <v>11</v>
      </c>
      <c r="U15" t="str">
        <f t="shared" si="8"/>
        <v>2024</v>
      </c>
    </row>
    <row r="16" spans="1:21" x14ac:dyDescent="0.3">
      <c r="A16" s="2">
        <f t="shared" si="9"/>
        <v>45658</v>
      </c>
      <c r="B16" t="s">
        <v>2569</v>
      </c>
      <c r="E16">
        <v>1</v>
      </c>
      <c r="F16">
        <f t="shared" si="0"/>
        <v>234</v>
      </c>
      <c r="G16" t="s">
        <v>227</v>
      </c>
      <c r="I16" s="2">
        <f t="shared" si="10"/>
        <v>45627</v>
      </c>
      <c r="J16" t="s">
        <v>2559</v>
      </c>
      <c r="K16" t="s">
        <v>2560</v>
      </c>
      <c r="L16" s="2">
        <f t="shared" si="11"/>
        <v>45657</v>
      </c>
      <c r="M16" t="str">
        <f t="shared" si="1"/>
        <v>01-12-2024- to  31-12-2024</v>
      </c>
      <c r="N16" t="str">
        <f t="shared" si="2"/>
        <v>20052205306441:Int.Pd:01-12-2024- to  31-12-2024</v>
      </c>
      <c r="P16" t="str">
        <f t="shared" si="3"/>
        <v>01</v>
      </c>
      <c r="Q16" t="str">
        <f t="shared" si="4"/>
        <v>12</v>
      </c>
      <c r="R16" t="str">
        <f t="shared" si="5"/>
        <v>2024</v>
      </c>
      <c r="S16" t="str">
        <f t="shared" si="6"/>
        <v>31</v>
      </c>
      <c r="T16" t="str">
        <f t="shared" si="7"/>
        <v>12</v>
      </c>
      <c r="U16" t="str">
        <f t="shared" si="8"/>
        <v>2024</v>
      </c>
    </row>
    <row r="17" spans="1:21" x14ac:dyDescent="0.3">
      <c r="A17" s="2">
        <f t="shared" si="9"/>
        <v>45689</v>
      </c>
      <c r="B17" t="s">
        <v>2570</v>
      </c>
      <c r="E17">
        <v>1</v>
      </c>
      <c r="F17">
        <f t="shared" si="0"/>
        <v>235</v>
      </c>
      <c r="G17" t="s">
        <v>227</v>
      </c>
      <c r="I17" s="2">
        <f t="shared" si="10"/>
        <v>45658</v>
      </c>
      <c r="J17" t="s">
        <v>2559</v>
      </c>
      <c r="K17" t="s">
        <v>2560</v>
      </c>
      <c r="L17" s="2">
        <f t="shared" si="11"/>
        <v>45688</v>
      </c>
      <c r="M17" t="str">
        <f t="shared" si="1"/>
        <v>01-01-2025- to  31-01-2025</v>
      </c>
      <c r="N17" t="str">
        <f t="shared" si="2"/>
        <v>20052205306441:Int.Pd:01-01-2025- to  31-01-2025</v>
      </c>
      <c r="P17" t="str">
        <f t="shared" si="3"/>
        <v>01</v>
      </c>
      <c r="Q17" t="str">
        <f t="shared" si="4"/>
        <v>01</v>
      </c>
      <c r="R17" t="str">
        <f t="shared" si="5"/>
        <v>2025</v>
      </c>
      <c r="S17" t="str">
        <f t="shared" si="6"/>
        <v>31</v>
      </c>
      <c r="T17" t="str">
        <f t="shared" si="7"/>
        <v>01</v>
      </c>
      <c r="U17" t="str">
        <f t="shared" si="8"/>
        <v>2025</v>
      </c>
    </row>
    <row r="18" spans="1:21" x14ac:dyDescent="0.3">
      <c r="A18" s="2">
        <f t="shared" si="9"/>
        <v>45717</v>
      </c>
      <c r="B18" t="s">
        <v>2571</v>
      </c>
      <c r="E18">
        <v>1</v>
      </c>
      <c r="F18">
        <f t="shared" si="0"/>
        <v>236</v>
      </c>
      <c r="G18" t="s">
        <v>227</v>
      </c>
      <c r="I18" s="2">
        <f t="shared" si="10"/>
        <v>45689</v>
      </c>
      <c r="J18" t="s">
        <v>2559</v>
      </c>
      <c r="K18" t="s">
        <v>2560</v>
      </c>
      <c r="L18" s="2">
        <f t="shared" si="11"/>
        <v>45716</v>
      </c>
      <c r="M18" t="str">
        <f t="shared" si="1"/>
        <v>01-02-2025- to  28-02-2025</v>
      </c>
      <c r="N18" t="str">
        <f t="shared" si="2"/>
        <v>20052205306441:Int.Pd:01-02-2025- to  28-02-2025</v>
      </c>
      <c r="P18" t="str">
        <f t="shared" si="3"/>
        <v>01</v>
      </c>
      <c r="Q18" t="str">
        <f t="shared" si="4"/>
        <v>02</v>
      </c>
      <c r="R18" t="str">
        <f t="shared" si="5"/>
        <v>2025</v>
      </c>
      <c r="S18" t="str">
        <f t="shared" si="6"/>
        <v>28</v>
      </c>
      <c r="T18" t="str">
        <f t="shared" si="7"/>
        <v>02</v>
      </c>
      <c r="U18" t="str">
        <f t="shared" si="8"/>
        <v>2025</v>
      </c>
    </row>
    <row r="19" spans="1:21" x14ac:dyDescent="0.3">
      <c r="A19" s="2">
        <f>EOMONTH(A18,0)</f>
        <v>45747</v>
      </c>
      <c r="B19" t="s">
        <v>2572</v>
      </c>
      <c r="E19">
        <v>1</v>
      </c>
      <c r="F19">
        <f t="shared" si="0"/>
        <v>237</v>
      </c>
      <c r="G19" t="s">
        <v>227</v>
      </c>
      <c r="I19" s="2">
        <f t="shared" si="10"/>
        <v>45717</v>
      </c>
      <c r="J19" t="s">
        <v>2559</v>
      </c>
      <c r="K19" t="s">
        <v>2560</v>
      </c>
      <c r="L19" s="2">
        <f t="shared" si="11"/>
        <v>45747</v>
      </c>
      <c r="M19" t="str">
        <f t="shared" si="1"/>
        <v>01-03-2025- to  31-03-2025</v>
      </c>
      <c r="N19" t="str">
        <f t="shared" si="2"/>
        <v>20052205306441:Int.Pd:01-03-2025- to  31-03-2025</v>
      </c>
      <c r="P19" t="str">
        <f t="shared" si="3"/>
        <v>01</v>
      </c>
      <c r="Q19" t="str">
        <f t="shared" si="4"/>
        <v>03</v>
      </c>
      <c r="R19" t="str">
        <f t="shared" si="5"/>
        <v>2025</v>
      </c>
      <c r="S19" t="str">
        <f t="shared" si="6"/>
        <v>31</v>
      </c>
      <c r="T19" t="str">
        <f t="shared" si="7"/>
        <v>03</v>
      </c>
      <c r="U19" t="str">
        <f t="shared" si="8"/>
        <v>2025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9A85-5DFF-490B-A324-0DB2E52558BE}">
  <dimension ref="B1:P1437"/>
  <sheetViews>
    <sheetView showGridLines="0" tabSelected="1" topLeftCell="A2" workbookViewId="0">
      <selection activeCell="H2" sqref="H2"/>
    </sheetView>
  </sheetViews>
  <sheetFormatPr defaultRowHeight="14.4" x14ac:dyDescent="0.3"/>
  <cols>
    <col min="1" max="1" width="1.88671875" customWidth="1"/>
    <col min="2" max="2" width="10.33203125" bestFit="1" customWidth="1"/>
    <col min="3" max="3" width="10.33203125" customWidth="1"/>
    <col min="4" max="4" width="12" bestFit="1" customWidth="1"/>
    <col min="5" max="5" width="13.109375" bestFit="1" customWidth="1"/>
    <col min="6" max="9" width="13.77734375" customWidth="1"/>
    <col min="11" max="11" width="12.5546875" bestFit="1" customWidth="1"/>
    <col min="12" max="12" width="67.6640625" customWidth="1"/>
  </cols>
  <sheetData>
    <row r="1" spans="2:16" x14ac:dyDescent="0.3">
      <c r="E1">
        <f>SUBTOTAL(9,E2:E1438)</f>
        <v>3110823.1</v>
      </c>
    </row>
    <row r="2" spans="2:16" x14ac:dyDescent="0.3">
      <c r="B2" s="72" t="s">
        <v>749</v>
      </c>
      <c r="C2" s="72" t="s">
        <v>23</v>
      </c>
      <c r="D2" s="72" t="s">
        <v>2522</v>
      </c>
      <c r="E2" s="73" t="s">
        <v>543</v>
      </c>
      <c r="F2" s="72" t="s">
        <v>24</v>
      </c>
      <c r="G2" s="72" t="s">
        <v>2574</v>
      </c>
      <c r="H2" s="74" t="s">
        <v>2575</v>
      </c>
      <c r="I2" s="93" t="s">
        <v>751</v>
      </c>
      <c r="K2" s="74" t="s">
        <v>3874</v>
      </c>
      <c r="L2" s="73" t="s">
        <v>632</v>
      </c>
    </row>
    <row r="3" spans="2:16" x14ac:dyDescent="0.3">
      <c r="B3" s="70">
        <v>45383</v>
      </c>
      <c r="C3" s="70">
        <f>EOMONTH(B3,-1)+1</f>
        <v>45383</v>
      </c>
      <c r="D3" s="94">
        <v>686.24</v>
      </c>
      <c r="E3" s="94">
        <v>0</v>
      </c>
      <c r="F3" s="92" t="s">
        <v>2576</v>
      </c>
      <c r="G3" s="75"/>
      <c r="H3" s="92" t="s">
        <v>3881</v>
      </c>
      <c r="I3" s="92" t="s">
        <v>3889</v>
      </c>
      <c r="K3" s="71" t="s">
        <v>217</v>
      </c>
      <c r="L3" t="s">
        <v>30</v>
      </c>
      <c r="M3" t="str">
        <f>TEXT(B3,"DD")</f>
        <v>01</v>
      </c>
      <c r="N3" t="str">
        <f>TEXT(B3,"MM")</f>
        <v>04</v>
      </c>
      <c r="O3" t="str">
        <f t="shared" ref="O3:O66" si="0">TEXT(B3,"YYYY")</f>
        <v>2024</v>
      </c>
      <c r="P3" t="str">
        <f>M3&amp;"-"&amp;N3&amp;"-"&amp;O3</f>
        <v>01-04-2024</v>
      </c>
    </row>
    <row r="4" spans="2:16" x14ac:dyDescent="0.3">
      <c r="B4" s="70">
        <v>45383</v>
      </c>
      <c r="C4" s="70">
        <f t="shared" ref="C4:C67" si="1">EOMONTH(B4,-1)+1</f>
        <v>45383</v>
      </c>
      <c r="D4" s="94">
        <v>5000</v>
      </c>
      <c r="E4" s="94">
        <v>0</v>
      </c>
      <c r="F4" s="92" t="s">
        <v>2577</v>
      </c>
      <c r="G4" s="75"/>
      <c r="H4" s="92" t="s">
        <v>2538</v>
      </c>
      <c r="I4" s="92" t="s">
        <v>3889</v>
      </c>
      <c r="K4" s="71" t="s">
        <v>219</v>
      </c>
      <c r="L4" t="s">
        <v>32</v>
      </c>
      <c r="M4" t="str">
        <f t="shared" ref="M4:M67" si="2">TEXT(B4,"DD")</f>
        <v>01</v>
      </c>
      <c r="N4" t="str">
        <f t="shared" ref="N4:N67" si="3">TEXT(B4,"MM")</f>
        <v>04</v>
      </c>
      <c r="O4" t="str">
        <f t="shared" si="0"/>
        <v>2024</v>
      </c>
      <c r="P4" t="str">
        <f t="shared" ref="P4:P67" si="4">M4&amp;"-"&amp;N4&amp;"-"&amp;O4</f>
        <v>01-04-2024</v>
      </c>
    </row>
    <row r="5" spans="2:16" x14ac:dyDescent="0.3">
      <c r="B5" s="70">
        <v>45383</v>
      </c>
      <c r="C5" s="70">
        <f t="shared" si="1"/>
        <v>45383</v>
      </c>
      <c r="D5" s="94">
        <v>15000</v>
      </c>
      <c r="E5" s="94">
        <v>0</v>
      </c>
      <c r="F5" s="92" t="s">
        <v>2578</v>
      </c>
      <c r="G5" s="75"/>
      <c r="H5" s="92" t="s">
        <v>512</v>
      </c>
      <c r="I5" s="92" t="s">
        <v>3893</v>
      </c>
      <c r="K5" s="71" t="s">
        <v>512</v>
      </c>
      <c r="L5" t="s">
        <v>544</v>
      </c>
      <c r="M5" t="str">
        <f t="shared" si="2"/>
        <v>01</v>
      </c>
      <c r="N5" t="str">
        <f t="shared" si="3"/>
        <v>04</v>
      </c>
      <c r="O5" t="str">
        <f t="shared" si="0"/>
        <v>2024</v>
      </c>
      <c r="P5" t="str">
        <f t="shared" si="4"/>
        <v>01-04-2024</v>
      </c>
    </row>
    <row r="6" spans="2:16" x14ac:dyDescent="0.3">
      <c r="B6" s="70">
        <v>45384</v>
      </c>
      <c r="C6" s="70">
        <f t="shared" si="1"/>
        <v>45383</v>
      </c>
      <c r="D6" s="94">
        <v>0</v>
      </c>
      <c r="E6" s="94">
        <v>4127.8999999999996</v>
      </c>
      <c r="F6" s="92" t="s">
        <v>2579</v>
      </c>
      <c r="G6" s="75"/>
      <c r="H6" s="92" t="s">
        <v>3881</v>
      </c>
      <c r="I6" s="92" t="s">
        <v>3889</v>
      </c>
      <c r="K6" s="71" t="s">
        <v>217</v>
      </c>
      <c r="L6" t="s">
        <v>34</v>
      </c>
      <c r="M6" t="str">
        <f t="shared" si="2"/>
        <v>02</v>
      </c>
      <c r="N6" t="str">
        <f t="shared" si="3"/>
        <v>04</v>
      </c>
      <c r="O6" t="str">
        <f t="shared" si="0"/>
        <v>2024</v>
      </c>
      <c r="P6" t="str">
        <f t="shared" si="4"/>
        <v>02-04-2024</v>
      </c>
    </row>
    <row r="7" spans="2:16" x14ac:dyDescent="0.3">
      <c r="B7" s="70">
        <v>45384</v>
      </c>
      <c r="C7" s="70">
        <f t="shared" si="1"/>
        <v>45383</v>
      </c>
      <c r="D7" s="94">
        <v>171.56</v>
      </c>
      <c r="E7" s="94">
        <v>0</v>
      </c>
      <c r="F7" s="92" t="s">
        <v>2580</v>
      </c>
      <c r="G7" s="75"/>
      <c r="H7" s="92" t="s">
        <v>3881</v>
      </c>
      <c r="I7" s="92" t="s">
        <v>3889</v>
      </c>
      <c r="K7" s="71" t="s">
        <v>217</v>
      </c>
      <c r="L7" t="s">
        <v>30</v>
      </c>
      <c r="M7" t="str">
        <f t="shared" si="2"/>
        <v>02</v>
      </c>
      <c r="N7" t="str">
        <f t="shared" si="3"/>
        <v>04</v>
      </c>
      <c r="O7" t="str">
        <f t="shared" si="0"/>
        <v>2024</v>
      </c>
      <c r="P7" t="str">
        <f t="shared" si="4"/>
        <v>02-04-2024</v>
      </c>
    </row>
    <row r="8" spans="2:16" x14ac:dyDescent="0.3">
      <c r="B8" s="70">
        <v>45384</v>
      </c>
      <c r="C8" s="70">
        <f t="shared" si="1"/>
        <v>45383</v>
      </c>
      <c r="D8" s="94">
        <v>10704.09</v>
      </c>
      <c r="E8" s="94">
        <v>0</v>
      </c>
      <c r="F8" s="92" t="s">
        <v>2580</v>
      </c>
      <c r="G8" s="75"/>
      <c r="H8" s="92" t="s">
        <v>3881</v>
      </c>
      <c r="I8" s="92" t="s">
        <v>3889</v>
      </c>
      <c r="K8" s="71" t="s">
        <v>217</v>
      </c>
      <c r="L8" t="s">
        <v>30</v>
      </c>
      <c r="M8" t="str">
        <f t="shared" si="2"/>
        <v>02</v>
      </c>
      <c r="N8" t="str">
        <f t="shared" si="3"/>
        <v>04</v>
      </c>
      <c r="O8" t="str">
        <f t="shared" si="0"/>
        <v>2024</v>
      </c>
      <c r="P8" t="str">
        <f t="shared" si="4"/>
        <v>02-04-2024</v>
      </c>
    </row>
    <row r="9" spans="2:16" x14ac:dyDescent="0.3">
      <c r="B9" s="70">
        <v>45384</v>
      </c>
      <c r="C9" s="70">
        <f t="shared" si="1"/>
        <v>45383</v>
      </c>
      <c r="D9" s="94">
        <v>0</v>
      </c>
      <c r="E9" s="94">
        <v>32394.22</v>
      </c>
      <c r="F9" s="92" t="s">
        <v>2581</v>
      </c>
      <c r="G9" s="75"/>
      <c r="H9" s="92" t="s">
        <v>3892</v>
      </c>
      <c r="I9" s="92" t="s">
        <v>3893</v>
      </c>
      <c r="K9" s="71" t="s">
        <v>747</v>
      </c>
      <c r="L9" t="s">
        <v>546</v>
      </c>
      <c r="M9" t="str">
        <f t="shared" si="2"/>
        <v>02</v>
      </c>
      <c r="N9" t="str">
        <f t="shared" si="3"/>
        <v>04</v>
      </c>
      <c r="O9" t="str">
        <f t="shared" si="0"/>
        <v>2024</v>
      </c>
      <c r="P9" t="str">
        <f t="shared" si="4"/>
        <v>02-04-2024</v>
      </c>
    </row>
    <row r="10" spans="2:16" x14ac:dyDescent="0.3">
      <c r="B10" s="70">
        <v>45384</v>
      </c>
      <c r="C10" s="70">
        <f t="shared" si="1"/>
        <v>45383</v>
      </c>
      <c r="D10" s="94">
        <v>0</v>
      </c>
      <c r="E10" s="94">
        <v>590</v>
      </c>
      <c r="F10" s="92" t="s">
        <v>2582</v>
      </c>
      <c r="G10" s="75"/>
      <c r="H10" s="92" t="s">
        <v>589</v>
      </c>
      <c r="I10" s="92" t="s">
        <v>3893</v>
      </c>
      <c r="K10" s="71" t="s">
        <v>589</v>
      </c>
      <c r="L10" t="s">
        <v>548</v>
      </c>
      <c r="M10" t="str">
        <f t="shared" si="2"/>
        <v>02</v>
      </c>
      <c r="N10" t="str">
        <f t="shared" si="3"/>
        <v>04</v>
      </c>
      <c r="O10" t="str">
        <f t="shared" si="0"/>
        <v>2024</v>
      </c>
      <c r="P10" t="str">
        <f t="shared" si="4"/>
        <v>02-04-2024</v>
      </c>
    </row>
    <row r="11" spans="2:16" x14ac:dyDescent="0.3">
      <c r="B11" s="70">
        <v>45384</v>
      </c>
      <c r="C11" s="70">
        <f t="shared" si="1"/>
        <v>45383</v>
      </c>
      <c r="D11" s="94">
        <v>0</v>
      </c>
      <c r="E11" s="94">
        <v>590</v>
      </c>
      <c r="F11" s="92" t="s">
        <v>2583</v>
      </c>
      <c r="G11" s="75"/>
      <c r="H11" s="92" t="s">
        <v>589</v>
      </c>
      <c r="I11" s="92" t="s">
        <v>3893</v>
      </c>
      <c r="K11" s="71" t="s">
        <v>589</v>
      </c>
      <c r="L11" t="s">
        <v>549</v>
      </c>
      <c r="M11" t="str">
        <f t="shared" si="2"/>
        <v>02</v>
      </c>
      <c r="N11" t="str">
        <f t="shared" si="3"/>
        <v>04</v>
      </c>
      <c r="O11" t="str">
        <f t="shared" si="0"/>
        <v>2024</v>
      </c>
      <c r="P11" t="str">
        <f t="shared" si="4"/>
        <v>02-04-2024</v>
      </c>
    </row>
    <row r="12" spans="2:16" x14ac:dyDescent="0.3">
      <c r="B12" s="70">
        <v>45384</v>
      </c>
      <c r="C12" s="70">
        <f t="shared" si="1"/>
        <v>45383</v>
      </c>
      <c r="D12" s="94">
        <v>0</v>
      </c>
      <c r="E12" s="94">
        <v>590</v>
      </c>
      <c r="F12" s="92" t="s">
        <v>2584</v>
      </c>
      <c r="G12" s="75"/>
      <c r="H12" s="92" t="s">
        <v>589</v>
      </c>
      <c r="I12" s="92" t="s">
        <v>3893</v>
      </c>
      <c r="K12" s="71" t="s">
        <v>589</v>
      </c>
      <c r="L12" t="s">
        <v>550</v>
      </c>
      <c r="M12" t="str">
        <f t="shared" si="2"/>
        <v>02</v>
      </c>
      <c r="N12" t="str">
        <f t="shared" si="3"/>
        <v>04</v>
      </c>
      <c r="O12" t="str">
        <f t="shared" si="0"/>
        <v>2024</v>
      </c>
      <c r="P12" t="str">
        <f t="shared" si="4"/>
        <v>02-04-2024</v>
      </c>
    </row>
    <row r="13" spans="2:16" x14ac:dyDescent="0.3">
      <c r="B13" s="70">
        <v>45384</v>
      </c>
      <c r="C13" s="70">
        <f t="shared" si="1"/>
        <v>45383</v>
      </c>
      <c r="D13" s="94">
        <v>0</v>
      </c>
      <c r="E13" s="94">
        <v>590</v>
      </c>
      <c r="F13" s="92" t="s">
        <v>2585</v>
      </c>
      <c r="G13" s="75"/>
      <c r="H13" s="92" t="s">
        <v>589</v>
      </c>
      <c r="I13" s="92" t="s">
        <v>3893</v>
      </c>
      <c r="K13" s="71" t="s">
        <v>589</v>
      </c>
      <c r="L13" t="s">
        <v>551</v>
      </c>
      <c r="M13" t="str">
        <f t="shared" si="2"/>
        <v>02</v>
      </c>
      <c r="N13" t="str">
        <f t="shared" si="3"/>
        <v>04</v>
      </c>
      <c r="O13" t="str">
        <f t="shared" si="0"/>
        <v>2024</v>
      </c>
      <c r="P13" t="str">
        <f t="shared" si="4"/>
        <v>02-04-2024</v>
      </c>
    </row>
    <row r="14" spans="2:16" x14ac:dyDescent="0.3">
      <c r="B14" s="70">
        <v>45384</v>
      </c>
      <c r="C14" s="70">
        <f t="shared" si="1"/>
        <v>45383</v>
      </c>
      <c r="D14" s="94">
        <v>0</v>
      </c>
      <c r="E14" s="94">
        <v>590</v>
      </c>
      <c r="F14" s="92" t="s">
        <v>2586</v>
      </c>
      <c r="G14" s="75"/>
      <c r="H14" s="92" t="s">
        <v>589</v>
      </c>
      <c r="I14" s="92" t="s">
        <v>3893</v>
      </c>
      <c r="K14" s="71" t="s">
        <v>589</v>
      </c>
      <c r="L14" t="s">
        <v>552</v>
      </c>
      <c r="M14" t="str">
        <f t="shared" si="2"/>
        <v>02</v>
      </c>
      <c r="N14" t="str">
        <f t="shared" si="3"/>
        <v>04</v>
      </c>
      <c r="O14" t="str">
        <f t="shared" si="0"/>
        <v>2024</v>
      </c>
      <c r="P14" t="str">
        <f t="shared" si="4"/>
        <v>02-04-2024</v>
      </c>
    </row>
    <row r="15" spans="2:16" x14ac:dyDescent="0.3">
      <c r="B15" s="70">
        <v>45384</v>
      </c>
      <c r="C15" s="70">
        <f t="shared" si="1"/>
        <v>45383</v>
      </c>
      <c r="D15" s="94">
        <v>32394.22</v>
      </c>
      <c r="E15" s="94">
        <v>0</v>
      </c>
      <c r="F15" s="92" t="s">
        <v>2587</v>
      </c>
      <c r="G15" s="75"/>
      <c r="H15" s="92" t="s">
        <v>3893</v>
      </c>
      <c r="I15" s="92" t="s">
        <v>3892</v>
      </c>
      <c r="K15" s="71" t="s">
        <v>745</v>
      </c>
      <c r="L15" t="s">
        <v>285</v>
      </c>
      <c r="M15" t="str">
        <f t="shared" si="2"/>
        <v>02</v>
      </c>
      <c r="N15" t="str">
        <f t="shared" si="3"/>
        <v>04</v>
      </c>
      <c r="O15" t="str">
        <f t="shared" si="0"/>
        <v>2024</v>
      </c>
      <c r="P15" t="str">
        <f t="shared" si="4"/>
        <v>02-04-2024</v>
      </c>
    </row>
    <row r="16" spans="2:16" x14ac:dyDescent="0.3">
      <c r="B16" s="70">
        <v>45384</v>
      </c>
      <c r="C16" s="70">
        <f t="shared" si="1"/>
        <v>45383</v>
      </c>
      <c r="D16" s="94">
        <v>5000</v>
      </c>
      <c r="E16" s="94">
        <v>0</v>
      </c>
      <c r="F16" s="92" t="s">
        <v>2588</v>
      </c>
      <c r="G16" s="75"/>
      <c r="H16" s="92" t="s">
        <v>3891</v>
      </c>
      <c r="I16" s="92" t="s">
        <v>3892</v>
      </c>
      <c r="K16" s="71" t="s">
        <v>746</v>
      </c>
      <c r="L16" t="s">
        <v>287</v>
      </c>
      <c r="M16" t="str">
        <f t="shared" si="2"/>
        <v>02</v>
      </c>
      <c r="N16" t="str">
        <f t="shared" si="3"/>
        <v>04</v>
      </c>
      <c r="O16" t="str">
        <f t="shared" si="0"/>
        <v>2024</v>
      </c>
      <c r="P16" t="str">
        <f t="shared" si="4"/>
        <v>02-04-2024</v>
      </c>
    </row>
    <row r="17" spans="2:16" x14ac:dyDescent="0.3">
      <c r="B17" s="70">
        <v>45384</v>
      </c>
      <c r="C17" s="70">
        <f t="shared" si="1"/>
        <v>45383</v>
      </c>
      <c r="D17" s="94">
        <v>13</v>
      </c>
      <c r="E17" s="94">
        <v>0</v>
      </c>
      <c r="F17" s="92" t="s">
        <v>2589</v>
      </c>
      <c r="G17" s="75"/>
      <c r="H17" s="92" t="s">
        <v>589</v>
      </c>
      <c r="I17" s="92" t="s">
        <v>3891</v>
      </c>
      <c r="K17" s="71" t="s">
        <v>511</v>
      </c>
      <c r="L17" t="s">
        <v>758</v>
      </c>
      <c r="M17" t="str">
        <f t="shared" si="2"/>
        <v>02</v>
      </c>
      <c r="N17" t="str">
        <f t="shared" si="3"/>
        <v>04</v>
      </c>
      <c r="O17" t="str">
        <f t="shared" si="0"/>
        <v>2024</v>
      </c>
      <c r="P17" t="str">
        <f t="shared" si="4"/>
        <v>02-04-2024</v>
      </c>
    </row>
    <row r="18" spans="2:16" x14ac:dyDescent="0.3">
      <c r="B18" s="70">
        <v>45384</v>
      </c>
      <c r="C18" s="70">
        <f t="shared" si="1"/>
        <v>45383</v>
      </c>
      <c r="D18" s="94">
        <v>99</v>
      </c>
      <c r="E18" s="94">
        <v>0</v>
      </c>
      <c r="F18" s="92" t="s">
        <v>2590</v>
      </c>
      <c r="G18" s="75"/>
      <c r="H18" s="92" t="s">
        <v>589</v>
      </c>
      <c r="I18" s="92" t="s">
        <v>3891</v>
      </c>
      <c r="K18" s="71" t="s">
        <v>511</v>
      </c>
      <c r="L18" t="s">
        <v>759</v>
      </c>
      <c r="M18" t="str">
        <f t="shared" si="2"/>
        <v>02</v>
      </c>
      <c r="N18" t="str">
        <f t="shared" si="3"/>
        <v>04</v>
      </c>
      <c r="O18" t="str">
        <f t="shared" si="0"/>
        <v>2024</v>
      </c>
      <c r="P18" t="str">
        <f t="shared" si="4"/>
        <v>02-04-2024</v>
      </c>
    </row>
    <row r="19" spans="2:16" x14ac:dyDescent="0.3">
      <c r="B19" s="70">
        <v>45384</v>
      </c>
      <c r="C19" s="70">
        <f t="shared" si="1"/>
        <v>45383</v>
      </c>
      <c r="D19" s="94">
        <v>175</v>
      </c>
      <c r="E19" s="94">
        <v>0</v>
      </c>
      <c r="F19" s="92" t="s">
        <v>2591</v>
      </c>
      <c r="G19" s="75"/>
      <c r="H19" s="92" t="s">
        <v>589</v>
      </c>
      <c r="I19" s="92" t="s">
        <v>3891</v>
      </c>
      <c r="K19" s="71" t="s">
        <v>743</v>
      </c>
      <c r="L19" t="s">
        <v>760</v>
      </c>
      <c r="M19" t="str">
        <f t="shared" si="2"/>
        <v>02</v>
      </c>
      <c r="N19" t="str">
        <f t="shared" si="3"/>
        <v>04</v>
      </c>
      <c r="O19" t="str">
        <f t="shared" si="0"/>
        <v>2024</v>
      </c>
      <c r="P19" t="str">
        <f t="shared" si="4"/>
        <v>02-04-2024</v>
      </c>
    </row>
    <row r="20" spans="2:16" x14ac:dyDescent="0.3">
      <c r="B20" s="70">
        <v>45384</v>
      </c>
      <c r="C20" s="70">
        <f t="shared" si="1"/>
        <v>45383</v>
      </c>
      <c r="D20" s="94">
        <v>0</v>
      </c>
      <c r="E20" s="94">
        <v>5000</v>
      </c>
      <c r="F20" s="92" t="s">
        <v>2592</v>
      </c>
      <c r="G20" s="75"/>
      <c r="H20" s="92" t="s">
        <v>3892</v>
      </c>
      <c r="I20" s="92" t="s">
        <v>3891</v>
      </c>
      <c r="K20" s="71" t="s">
        <v>744</v>
      </c>
      <c r="L20" t="s">
        <v>761</v>
      </c>
      <c r="M20" t="str">
        <f t="shared" si="2"/>
        <v>02</v>
      </c>
      <c r="N20" t="str">
        <f t="shared" si="3"/>
        <v>04</v>
      </c>
      <c r="O20" t="str">
        <f t="shared" si="0"/>
        <v>2024</v>
      </c>
      <c r="P20" t="str">
        <f t="shared" si="4"/>
        <v>02-04-2024</v>
      </c>
    </row>
    <row r="21" spans="2:16" x14ac:dyDescent="0.3">
      <c r="B21" s="70">
        <v>45384</v>
      </c>
      <c r="C21" s="70">
        <f t="shared" si="1"/>
        <v>45383</v>
      </c>
      <c r="D21" s="94">
        <v>126</v>
      </c>
      <c r="E21" s="94">
        <v>0</v>
      </c>
      <c r="F21" s="92" t="s">
        <v>2593</v>
      </c>
      <c r="G21" s="75"/>
      <c r="H21" s="92" t="s">
        <v>589</v>
      </c>
      <c r="I21" s="92" t="s">
        <v>3891</v>
      </c>
      <c r="K21" s="71" t="s">
        <v>511</v>
      </c>
      <c r="L21" t="s">
        <v>762</v>
      </c>
      <c r="M21" t="str">
        <f t="shared" si="2"/>
        <v>02</v>
      </c>
      <c r="N21" t="str">
        <f t="shared" si="3"/>
        <v>04</v>
      </c>
      <c r="O21" t="str">
        <f t="shared" si="0"/>
        <v>2024</v>
      </c>
      <c r="P21" t="str">
        <f t="shared" si="4"/>
        <v>02-04-2024</v>
      </c>
    </row>
    <row r="22" spans="2:16" x14ac:dyDescent="0.3">
      <c r="B22" s="70">
        <v>45384</v>
      </c>
      <c r="C22" s="70">
        <f t="shared" si="1"/>
        <v>45383</v>
      </c>
      <c r="D22" s="94">
        <v>3366.53</v>
      </c>
      <c r="E22" s="94">
        <v>0</v>
      </c>
      <c r="F22" s="92" t="s">
        <v>2594</v>
      </c>
      <c r="G22" s="75"/>
      <c r="H22" s="92" t="s">
        <v>589</v>
      </c>
      <c r="I22" s="92" t="s">
        <v>3891</v>
      </c>
      <c r="K22" s="71" t="s">
        <v>743</v>
      </c>
      <c r="L22" t="s">
        <v>763</v>
      </c>
      <c r="M22" t="str">
        <f t="shared" si="2"/>
        <v>02</v>
      </c>
      <c r="N22" t="str">
        <f t="shared" si="3"/>
        <v>04</v>
      </c>
      <c r="O22" t="str">
        <f t="shared" si="0"/>
        <v>2024</v>
      </c>
      <c r="P22" t="str">
        <f t="shared" si="4"/>
        <v>02-04-2024</v>
      </c>
    </row>
    <row r="23" spans="2:16" x14ac:dyDescent="0.3">
      <c r="B23" s="70">
        <v>45384</v>
      </c>
      <c r="C23" s="70">
        <f t="shared" si="1"/>
        <v>45383</v>
      </c>
      <c r="D23" s="94">
        <v>62</v>
      </c>
      <c r="E23" s="94">
        <v>0</v>
      </c>
      <c r="F23" s="92" t="s">
        <v>2595</v>
      </c>
      <c r="G23" s="75"/>
      <c r="H23" s="92" t="s">
        <v>589</v>
      </c>
      <c r="I23" s="92" t="s">
        <v>3891</v>
      </c>
      <c r="K23" s="71" t="s">
        <v>511</v>
      </c>
      <c r="L23" t="s">
        <v>764</v>
      </c>
      <c r="M23" t="str">
        <f t="shared" si="2"/>
        <v>02</v>
      </c>
      <c r="N23" t="str">
        <f t="shared" si="3"/>
        <v>04</v>
      </c>
      <c r="O23" t="str">
        <f t="shared" si="0"/>
        <v>2024</v>
      </c>
      <c r="P23" t="str">
        <f t="shared" si="4"/>
        <v>02-04-2024</v>
      </c>
    </row>
    <row r="24" spans="2:16" x14ac:dyDescent="0.3">
      <c r="B24" s="70">
        <v>45385</v>
      </c>
      <c r="C24" s="70">
        <f t="shared" si="1"/>
        <v>45383</v>
      </c>
      <c r="D24" s="94">
        <v>158.35</v>
      </c>
      <c r="E24" s="94">
        <v>0</v>
      </c>
      <c r="F24" s="92" t="s">
        <v>2596</v>
      </c>
      <c r="G24" s="75"/>
      <c r="H24" s="92" t="s">
        <v>3881</v>
      </c>
      <c r="I24" s="92" t="s">
        <v>3889</v>
      </c>
      <c r="K24" s="71" t="s">
        <v>217</v>
      </c>
      <c r="L24" t="s">
        <v>30</v>
      </c>
      <c r="M24" t="str">
        <f t="shared" si="2"/>
        <v>03</v>
      </c>
      <c r="N24" t="str">
        <f t="shared" si="3"/>
        <v>04</v>
      </c>
      <c r="O24" t="str">
        <f t="shared" si="0"/>
        <v>2024</v>
      </c>
      <c r="P24" t="str">
        <f t="shared" si="4"/>
        <v>03-04-2024</v>
      </c>
    </row>
    <row r="25" spans="2:16" x14ac:dyDescent="0.3">
      <c r="B25" s="70">
        <v>45385</v>
      </c>
      <c r="C25" s="70">
        <f t="shared" si="1"/>
        <v>45383</v>
      </c>
      <c r="D25" s="94">
        <v>20</v>
      </c>
      <c r="E25" s="94">
        <v>0</v>
      </c>
      <c r="F25" s="92" t="s">
        <v>2597</v>
      </c>
      <c r="G25" s="75"/>
      <c r="H25" s="92" t="s">
        <v>589</v>
      </c>
      <c r="I25" s="92" t="s">
        <v>3891</v>
      </c>
      <c r="K25" s="71" t="s">
        <v>511</v>
      </c>
      <c r="L25" t="s">
        <v>765</v>
      </c>
      <c r="M25" t="str">
        <f t="shared" si="2"/>
        <v>03</v>
      </c>
      <c r="N25" t="str">
        <f t="shared" si="3"/>
        <v>04</v>
      </c>
      <c r="O25" t="str">
        <f t="shared" si="0"/>
        <v>2024</v>
      </c>
      <c r="P25" t="str">
        <f t="shared" si="4"/>
        <v>03-04-2024</v>
      </c>
    </row>
    <row r="26" spans="2:16" x14ac:dyDescent="0.3">
      <c r="B26" s="70">
        <v>45385</v>
      </c>
      <c r="C26" s="70">
        <f t="shared" si="1"/>
        <v>45383</v>
      </c>
      <c r="D26" s="94">
        <v>0</v>
      </c>
      <c r="E26" s="94">
        <v>399</v>
      </c>
      <c r="F26" s="92" t="s">
        <v>2598</v>
      </c>
      <c r="G26" s="75"/>
      <c r="H26" s="92" t="s">
        <v>589</v>
      </c>
      <c r="I26" s="92" t="s">
        <v>3891</v>
      </c>
      <c r="K26" s="71" t="s">
        <v>511</v>
      </c>
      <c r="L26" t="s">
        <v>766</v>
      </c>
      <c r="M26" t="str">
        <f t="shared" si="2"/>
        <v>03</v>
      </c>
      <c r="N26" t="str">
        <f t="shared" si="3"/>
        <v>04</v>
      </c>
      <c r="O26" t="str">
        <f t="shared" si="0"/>
        <v>2024</v>
      </c>
      <c r="P26" t="str">
        <f t="shared" si="4"/>
        <v>03-04-2024</v>
      </c>
    </row>
    <row r="27" spans="2:16" x14ac:dyDescent="0.3">
      <c r="B27" s="70">
        <v>45385</v>
      </c>
      <c r="C27" s="70">
        <f t="shared" si="1"/>
        <v>45383</v>
      </c>
      <c r="D27" s="94">
        <v>25</v>
      </c>
      <c r="E27" s="94">
        <v>0</v>
      </c>
      <c r="F27" s="92" t="s">
        <v>2599</v>
      </c>
      <c r="G27" s="75"/>
      <c r="H27" s="92" t="s">
        <v>589</v>
      </c>
      <c r="I27" s="92" t="s">
        <v>3891</v>
      </c>
      <c r="K27" s="71" t="s">
        <v>511</v>
      </c>
      <c r="L27" t="s">
        <v>767</v>
      </c>
      <c r="M27" t="str">
        <f t="shared" si="2"/>
        <v>03</v>
      </c>
      <c r="N27" t="str">
        <f t="shared" si="3"/>
        <v>04</v>
      </c>
      <c r="O27" t="str">
        <f t="shared" si="0"/>
        <v>2024</v>
      </c>
      <c r="P27" t="str">
        <f t="shared" si="4"/>
        <v>03-04-2024</v>
      </c>
    </row>
    <row r="28" spans="2:16" x14ac:dyDescent="0.3">
      <c r="B28" s="70">
        <v>45386</v>
      </c>
      <c r="C28" s="70">
        <f t="shared" si="1"/>
        <v>45383</v>
      </c>
      <c r="D28" s="94">
        <v>0</v>
      </c>
      <c r="E28" s="94">
        <v>11625.48</v>
      </c>
      <c r="F28" s="92" t="s">
        <v>2600</v>
      </c>
      <c r="G28" s="75"/>
      <c r="H28" s="92" t="s">
        <v>3881</v>
      </c>
      <c r="I28" s="92" t="s">
        <v>3889</v>
      </c>
      <c r="K28" s="71" t="s">
        <v>217</v>
      </c>
      <c r="L28" t="s">
        <v>34</v>
      </c>
      <c r="M28" t="str">
        <f t="shared" si="2"/>
        <v>04</v>
      </c>
      <c r="N28" t="str">
        <f t="shared" si="3"/>
        <v>04</v>
      </c>
      <c r="O28" t="str">
        <f t="shared" si="0"/>
        <v>2024</v>
      </c>
      <c r="P28" t="str">
        <f t="shared" si="4"/>
        <v>04-04-2024</v>
      </c>
    </row>
    <row r="29" spans="2:16" x14ac:dyDescent="0.3">
      <c r="B29" s="70">
        <v>45386</v>
      </c>
      <c r="C29" s="70">
        <f t="shared" si="1"/>
        <v>45383</v>
      </c>
      <c r="D29" s="94">
        <v>30000</v>
      </c>
      <c r="E29" s="94">
        <v>0</v>
      </c>
      <c r="F29" s="92" t="s">
        <v>2601</v>
      </c>
      <c r="G29" s="75"/>
      <c r="H29" s="92" t="s">
        <v>3887</v>
      </c>
      <c r="I29" s="92" t="s">
        <v>3889</v>
      </c>
      <c r="K29" s="71" t="s">
        <v>224</v>
      </c>
      <c r="L29" t="s">
        <v>40</v>
      </c>
      <c r="M29" t="str">
        <f t="shared" si="2"/>
        <v>04</v>
      </c>
      <c r="N29" t="str">
        <f t="shared" si="3"/>
        <v>04</v>
      </c>
      <c r="O29" t="str">
        <f t="shared" si="0"/>
        <v>2024</v>
      </c>
      <c r="P29" t="str">
        <f t="shared" si="4"/>
        <v>04-04-2024</v>
      </c>
    </row>
    <row r="30" spans="2:16" x14ac:dyDescent="0.3">
      <c r="B30" s="70">
        <v>45386</v>
      </c>
      <c r="C30" s="70">
        <f t="shared" si="1"/>
        <v>45383</v>
      </c>
      <c r="D30" s="94">
        <v>158.35</v>
      </c>
      <c r="E30" s="94">
        <v>0</v>
      </c>
      <c r="F30" s="92" t="s">
        <v>2602</v>
      </c>
      <c r="G30" s="75"/>
      <c r="H30" s="92" t="s">
        <v>3881</v>
      </c>
      <c r="I30" s="92" t="s">
        <v>3889</v>
      </c>
      <c r="K30" s="71" t="s">
        <v>217</v>
      </c>
      <c r="L30" t="s">
        <v>30</v>
      </c>
      <c r="M30" t="str">
        <f t="shared" si="2"/>
        <v>04</v>
      </c>
      <c r="N30" t="str">
        <f t="shared" si="3"/>
        <v>04</v>
      </c>
      <c r="O30" t="str">
        <f t="shared" si="0"/>
        <v>2024</v>
      </c>
      <c r="P30" t="str">
        <f t="shared" si="4"/>
        <v>04-04-2024</v>
      </c>
    </row>
    <row r="31" spans="2:16" x14ac:dyDescent="0.3">
      <c r="B31" s="70">
        <v>45386</v>
      </c>
      <c r="C31" s="70">
        <f t="shared" si="1"/>
        <v>45383</v>
      </c>
      <c r="D31" s="94">
        <v>2000</v>
      </c>
      <c r="E31" s="94">
        <v>0</v>
      </c>
      <c r="F31" s="92" t="s">
        <v>2603</v>
      </c>
      <c r="G31" s="75"/>
      <c r="H31" s="92" t="s">
        <v>3891</v>
      </c>
      <c r="I31" s="92" t="s">
        <v>3892</v>
      </c>
      <c r="K31" s="71" t="s">
        <v>746</v>
      </c>
      <c r="L31" t="s">
        <v>289</v>
      </c>
      <c r="M31" t="str">
        <f t="shared" si="2"/>
        <v>04</v>
      </c>
      <c r="N31" t="str">
        <f t="shared" si="3"/>
        <v>04</v>
      </c>
      <c r="O31" t="str">
        <f t="shared" si="0"/>
        <v>2024</v>
      </c>
      <c r="P31" t="str">
        <f t="shared" si="4"/>
        <v>04-04-2024</v>
      </c>
    </row>
    <row r="32" spans="2:16" x14ac:dyDescent="0.3">
      <c r="B32" s="70">
        <v>45386</v>
      </c>
      <c r="C32" s="70">
        <f t="shared" si="1"/>
        <v>45383</v>
      </c>
      <c r="D32" s="94">
        <v>50</v>
      </c>
      <c r="E32" s="94">
        <v>0</v>
      </c>
      <c r="F32" s="92" t="s">
        <v>2604</v>
      </c>
      <c r="G32" s="75"/>
      <c r="H32" s="92" t="s">
        <v>589</v>
      </c>
      <c r="I32" s="92" t="s">
        <v>3891</v>
      </c>
      <c r="K32" s="71" t="s">
        <v>743</v>
      </c>
      <c r="L32" t="s">
        <v>768</v>
      </c>
      <c r="M32" t="str">
        <f t="shared" si="2"/>
        <v>04</v>
      </c>
      <c r="N32" t="str">
        <f t="shared" si="3"/>
        <v>04</v>
      </c>
      <c r="O32" t="str">
        <f t="shared" si="0"/>
        <v>2024</v>
      </c>
      <c r="P32" t="str">
        <f t="shared" si="4"/>
        <v>04-04-2024</v>
      </c>
    </row>
    <row r="33" spans="2:16" x14ac:dyDescent="0.3">
      <c r="B33" s="70">
        <v>45386</v>
      </c>
      <c r="C33" s="70">
        <f t="shared" si="1"/>
        <v>45383</v>
      </c>
      <c r="D33" s="94">
        <v>0</v>
      </c>
      <c r="E33" s="94">
        <v>2000</v>
      </c>
      <c r="F33" s="92" t="s">
        <v>2605</v>
      </c>
      <c r="G33" s="75"/>
      <c r="H33" s="92" t="s">
        <v>3892</v>
      </c>
      <c r="I33" s="92" t="s">
        <v>3891</v>
      </c>
      <c r="K33" s="71" t="s">
        <v>744</v>
      </c>
      <c r="L33" t="s">
        <v>769</v>
      </c>
      <c r="M33" t="str">
        <f t="shared" si="2"/>
        <v>04</v>
      </c>
      <c r="N33" t="str">
        <f t="shared" si="3"/>
        <v>04</v>
      </c>
      <c r="O33" t="str">
        <f t="shared" si="0"/>
        <v>2024</v>
      </c>
      <c r="P33" t="str">
        <f t="shared" si="4"/>
        <v>04-04-2024</v>
      </c>
    </row>
    <row r="34" spans="2:16" x14ac:dyDescent="0.3">
      <c r="B34" s="70">
        <v>45386</v>
      </c>
      <c r="C34" s="70">
        <f t="shared" si="1"/>
        <v>45383</v>
      </c>
      <c r="D34" s="94">
        <v>331</v>
      </c>
      <c r="E34" s="94">
        <v>0</v>
      </c>
      <c r="F34" s="92" t="s">
        <v>2606</v>
      </c>
      <c r="G34" s="75"/>
      <c r="H34" s="92" t="s">
        <v>589</v>
      </c>
      <c r="I34" s="92" t="s">
        <v>3891</v>
      </c>
      <c r="K34" s="71" t="s">
        <v>511</v>
      </c>
      <c r="L34" t="s">
        <v>770</v>
      </c>
      <c r="M34" t="str">
        <f t="shared" si="2"/>
        <v>04</v>
      </c>
      <c r="N34" t="str">
        <f t="shared" si="3"/>
        <v>04</v>
      </c>
      <c r="O34" t="str">
        <f t="shared" si="0"/>
        <v>2024</v>
      </c>
      <c r="P34" t="str">
        <f t="shared" si="4"/>
        <v>04-04-2024</v>
      </c>
    </row>
    <row r="35" spans="2:16" x14ac:dyDescent="0.3">
      <c r="B35" s="70">
        <v>45386</v>
      </c>
      <c r="C35" s="70">
        <f t="shared" si="1"/>
        <v>45383</v>
      </c>
      <c r="D35" s="94">
        <v>2290.4</v>
      </c>
      <c r="E35" s="94">
        <v>0</v>
      </c>
      <c r="F35" s="92" t="s">
        <v>2607</v>
      </c>
      <c r="G35" s="75"/>
      <c r="H35" s="92" t="s">
        <v>589</v>
      </c>
      <c r="I35" s="92" t="s">
        <v>3891</v>
      </c>
      <c r="K35" s="71" t="s">
        <v>743</v>
      </c>
      <c r="L35" t="s">
        <v>771</v>
      </c>
      <c r="M35" t="str">
        <f t="shared" si="2"/>
        <v>04</v>
      </c>
      <c r="N35" t="str">
        <f t="shared" si="3"/>
        <v>04</v>
      </c>
      <c r="O35" t="str">
        <f t="shared" si="0"/>
        <v>2024</v>
      </c>
      <c r="P35" t="str">
        <f t="shared" si="4"/>
        <v>04-04-2024</v>
      </c>
    </row>
    <row r="36" spans="2:16" x14ac:dyDescent="0.3">
      <c r="B36" s="70">
        <v>45386</v>
      </c>
      <c r="C36" s="70">
        <f t="shared" si="1"/>
        <v>45383</v>
      </c>
      <c r="D36" s="94">
        <v>172</v>
      </c>
      <c r="E36" s="94">
        <v>0</v>
      </c>
      <c r="F36" s="92" t="s">
        <v>2608</v>
      </c>
      <c r="G36" s="75"/>
      <c r="H36" s="92" t="s">
        <v>589</v>
      </c>
      <c r="I36" s="92" t="s">
        <v>3891</v>
      </c>
      <c r="K36" s="71" t="s">
        <v>511</v>
      </c>
      <c r="L36" t="s">
        <v>772</v>
      </c>
      <c r="M36" t="str">
        <f t="shared" si="2"/>
        <v>04</v>
      </c>
      <c r="N36" t="str">
        <f t="shared" si="3"/>
        <v>04</v>
      </c>
      <c r="O36" t="str">
        <f t="shared" si="0"/>
        <v>2024</v>
      </c>
      <c r="P36" t="str">
        <f t="shared" si="4"/>
        <v>04-04-2024</v>
      </c>
    </row>
    <row r="37" spans="2:16" x14ac:dyDescent="0.3">
      <c r="B37" s="70">
        <v>45387</v>
      </c>
      <c r="C37" s="70">
        <f t="shared" si="1"/>
        <v>45383</v>
      </c>
      <c r="D37" s="94">
        <v>0</v>
      </c>
      <c r="E37" s="94">
        <v>2099.75</v>
      </c>
      <c r="F37" s="92" t="s">
        <v>2609</v>
      </c>
      <c r="G37" s="75"/>
      <c r="H37" s="92" t="s">
        <v>3881</v>
      </c>
      <c r="I37" s="92" t="s">
        <v>3889</v>
      </c>
      <c r="K37" s="71" t="s">
        <v>217</v>
      </c>
      <c r="L37" t="s">
        <v>34</v>
      </c>
      <c r="M37" t="str">
        <f t="shared" si="2"/>
        <v>05</v>
      </c>
      <c r="N37" t="str">
        <f t="shared" si="3"/>
        <v>04</v>
      </c>
      <c r="O37" t="str">
        <f t="shared" si="0"/>
        <v>2024</v>
      </c>
      <c r="P37" t="str">
        <f t="shared" si="4"/>
        <v>05-04-2024</v>
      </c>
    </row>
    <row r="38" spans="2:16" x14ac:dyDescent="0.3">
      <c r="B38" s="70">
        <v>45387</v>
      </c>
      <c r="C38" s="70">
        <f t="shared" si="1"/>
        <v>45383</v>
      </c>
      <c r="D38" s="94">
        <v>154.71</v>
      </c>
      <c r="E38" s="94">
        <v>0</v>
      </c>
      <c r="F38" s="92" t="s">
        <v>2610</v>
      </c>
      <c r="G38" s="75"/>
      <c r="H38" s="92" t="s">
        <v>3881</v>
      </c>
      <c r="I38" s="92" t="s">
        <v>3889</v>
      </c>
      <c r="K38" s="71" t="s">
        <v>217</v>
      </c>
      <c r="L38" t="s">
        <v>30</v>
      </c>
      <c r="M38" t="str">
        <f t="shared" si="2"/>
        <v>05</v>
      </c>
      <c r="N38" t="str">
        <f t="shared" si="3"/>
        <v>04</v>
      </c>
      <c r="O38" t="str">
        <f t="shared" si="0"/>
        <v>2024</v>
      </c>
      <c r="P38" t="str">
        <f t="shared" si="4"/>
        <v>05-04-2024</v>
      </c>
    </row>
    <row r="39" spans="2:16" x14ac:dyDescent="0.3">
      <c r="B39" s="70">
        <v>45387</v>
      </c>
      <c r="C39" s="70">
        <f t="shared" si="1"/>
        <v>45383</v>
      </c>
      <c r="D39" s="94">
        <v>585.49</v>
      </c>
      <c r="E39" s="94">
        <v>0</v>
      </c>
      <c r="F39" s="92" t="s">
        <v>2611</v>
      </c>
      <c r="G39" s="75"/>
      <c r="H39" s="92" t="s">
        <v>220</v>
      </c>
      <c r="I39" s="92" t="s">
        <v>3889</v>
      </c>
      <c r="K39" s="71" t="s">
        <v>220</v>
      </c>
      <c r="L39" t="s">
        <v>45</v>
      </c>
      <c r="M39" t="str">
        <f t="shared" si="2"/>
        <v>05</v>
      </c>
      <c r="N39" t="str">
        <f t="shared" si="3"/>
        <v>04</v>
      </c>
      <c r="O39" t="str">
        <f t="shared" si="0"/>
        <v>2024</v>
      </c>
      <c r="P39" t="str">
        <f t="shared" si="4"/>
        <v>05-04-2024</v>
      </c>
    </row>
    <row r="40" spans="2:16" x14ac:dyDescent="0.3">
      <c r="B40" s="70">
        <v>45387</v>
      </c>
      <c r="C40" s="70">
        <f t="shared" si="1"/>
        <v>45383</v>
      </c>
      <c r="D40" s="94">
        <v>0</v>
      </c>
      <c r="E40" s="94">
        <v>58.08</v>
      </c>
      <c r="F40" s="92" t="s">
        <v>2609</v>
      </c>
      <c r="G40" s="75"/>
      <c r="H40" s="92" t="s">
        <v>3881</v>
      </c>
      <c r="I40" s="92" t="s">
        <v>3889</v>
      </c>
      <c r="K40" s="71" t="s">
        <v>217</v>
      </c>
      <c r="L40" t="s">
        <v>34</v>
      </c>
      <c r="M40" t="str">
        <f t="shared" si="2"/>
        <v>05</v>
      </c>
      <c r="N40" t="str">
        <f t="shared" si="3"/>
        <v>04</v>
      </c>
      <c r="O40" t="str">
        <f t="shared" si="0"/>
        <v>2024</v>
      </c>
      <c r="P40" t="str">
        <f t="shared" si="4"/>
        <v>05-04-2024</v>
      </c>
    </row>
    <row r="41" spans="2:16" x14ac:dyDescent="0.3">
      <c r="B41" s="70">
        <v>45387</v>
      </c>
      <c r="C41" s="70">
        <f t="shared" si="1"/>
        <v>45383</v>
      </c>
      <c r="D41" s="94">
        <v>40</v>
      </c>
      <c r="E41" s="94">
        <v>0</v>
      </c>
      <c r="F41" s="92" t="s">
        <v>2612</v>
      </c>
      <c r="G41" s="75"/>
      <c r="H41" s="92" t="s">
        <v>589</v>
      </c>
      <c r="I41" s="92" t="s">
        <v>3891</v>
      </c>
      <c r="K41" s="71" t="s">
        <v>511</v>
      </c>
      <c r="L41" t="s">
        <v>773</v>
      </c>
      <c r="M41" t="str">
        <f t="shared" si="2"/>
        <v>05</v>
      </c>
      <c r="N41" t="str">
        <f t="shared" si="3"/>
        <v>04</v>
      </c>
      <c r="O41" t="str">
        <f t="shared" si="0"/>
        <v>2024</v>
      </c>
      <c r="P41" t="str">
        <f t="shared" si="4"/>
        <v>05-04-2024</v>
      </c>
    </row>
    <row r="42" spans="2:16" x14ac:dyDescent="0.3">
      <c r="B42" s="70">
        <v>45387</v>
      </c>
      <c r="C42" s="70">
        <f t="shared" si="1"/>
        <v>45383</v>
      </c>
      <c r="D42" s="94">
        <v>149.87</v>
      </c>
      <c r="E42" s="94">
        <v>0</v>
      </c>
      <c r="F42" s="92" t="s">
        <v>2613</v>
      </c>
      <c r="G42" s="75"/>
      <c r="H42" s="92" t="s">
        <v>589</v>
      </c>
      <c r="I42" s="92" t="s">
        <v>3891</v>
      </c>
      <c r="K42" s="71" t="s">
        <v>743</v>
      </c>
      <c r="L42" t="s">
        <v>774</v>
      </c>
      <c r="M42" t="str">
        <f t="shared" si="2"/>
        <v>05</v>
      </c>
      <c r="N42" t="str">
        <f t="shared" si="3"/>
        <v>04</v>
      </c>
      <c r="O42" t="str">
        <f t="shared" si="0"/>
        <v>2024</v>
      </c>
      <c r="P42" t="str">
        <f t="shared" si="4"/>
        <v>05-04-2024</v>
      </c>
    </row>
    <row r="43" spans="2:16" x14ac:dyDescent="0.3">
      <c r="B43" s="70">
        <v>45387</v>
      </c>
      <c r="C43" s="70">
        <f t="shared" si="1"/>
        <v>45383</v>
      </c>
      <c r="D43" s="94">
        <v>21</v>
      </c>
      <c r="E43" s="94">
        <v>0</v>
      </c>
      <c r="F43" s="92" t="s">
        <v>2614</v>
      </c>
      <c r="G43" s="75"/>
      <c r="H43" s="92" t="s">
        <v>589</v>
      </c>
      <c r="I43" s="92" t="s">
        <v>3891</v>
      </c>
      <c r="K43" s="71" t="s">
        <v>511</v>
      </c>
      <c r="L43" t="s">
        <v>775</v>
      </c>
      <c r="M43" t="str">
        <f t="shared" si="2"/>
        <v>05</v>
      </c>
      <c r="N43" t="str">
        <f t="shared" si="3"/>
        <v>04</v>
      </c>
      <c r="O43" t="str">
        <f t="shared" si="0"/>
        <v>2024</v>
      </c>
      <c r="P43" t="str">
        <f t="shared" si="4"/>
        <v>05-04-2024</v>
      </c>
    </row>
    <row r="44" spans="2:16" x14ac:dyDescent="0.3">
      <c r="B44" s="70">
        <v>45387</v>
      </c>
      <c r="C44" s="70">
        <f t="shared" si="1"/>
        <v>45383</v>
      </c>
      <c r="D44" s="94">
        <v>74</v>
      </c>
      <c r="E44" s="94">
        <v>0</v>
      </c>
      <c r="F44" s="92" t="s">
        <v>2615</v>
      </c>
      <c r="G44" s="75"/>
      <c r="H44" s="92" t="s">
        <v>589</v>
      </c>
      <c r="I44" s="92" t="s">
        <v>3891</v>
      </c>
      <c r="K44" s="71" t="s">
        <v>511</v>
      </c>
      <c r="L44" t="s">
        <v>776</v>
      </c>
      <c r="M44" t="str">
        <f t="shared" si="2"/>
        <v>05</v>
      </c>
      <c r="N44" t="str">
        <f t="shared" si="3"/>
        <v>04</v>
      </c>
      <c r="O44" t="str">
        <f t="shared" si="0"/>
        <v>2024</v>
      </c>
      <c r="P44" t="str">
        <f t="shared" si="4"/>
        <v>05-04-2024</v>
      </c>
    </row>
    <row r="45" spans="2:16" x14ac:dyDescent="0.3">
      <c r="B45" s="70">
        <v>45387</v>
      </c>
      <c r="C45" s="70">
        <f t="shared" si="1"/>
        <v>45383</v>
      </c>
      <c r="D45" s="94">
        <v>50</v>
      </c>
      <c r="E45" s="94">
        <v>0</v>
      </c>
      <c r="F45" s="92" t="s">
        <v>2616</v>
      </c>
      <c r="G45" s="75"/>
      <c r="H45" s="92" t="s">
        <v>589</v>
      </c>
      <c r="I45" s="92" t="s">
        <v>3891</v>
      </c>
      <c r="K45" s="71" t="s">
        <v>511</v>
      </c>
      <c r="L45" t="s">
        <v>777</v>
      </c>
      <c r="M45" t="str">
        <f t="shared" si="2"/>
        <v>05</v>
      </c>
      <c r="N45" t="str">
        <f t="shared" si="3"/>
        <v>04</v>
      </c>
      <c r="O45" t="str">
        <f t="shared" si="0"/>
        <v>2024</v>
      </c>
      <c r="P45" t="str">
        <f t="shared" si="4"/>
        <v>05-04-2024</v>
      </c>
    </row>
    <row r="46" spans="2:16" x14ac:dyDescent="0.3">
      <c r="B46" s="70">
        <v>45388</v>
      </c>
      <c r="C46" s="70">
        <f t="shared" si="1"/>
        <v>45383</v>
      </c>
      <c r="D46" s="94">
        <v>0</v>
      </c>
      <c r="E46" s="94">
        <v>11.5</v>
      </c>
      <c r="F46" s="92" t="s">
        <v>2617</v>
      </c>
      <c r="G46" s="75"/>
      <c r="H46" s="92" t="s">
        <v>3888</v>
      </c>
      <c r="I46" s="92" t="s">
        <v>3893</v>
      </c>
      <c r="K46" s="71" t="s">
        <v>508</v>
      </c>
      <c r="L46" t="s">
        <v>553</v>
      </c>
      <c r="M46" t="str">
        <f t="shared" si="2"/>
        <v>06</v>
      </c>
      <c r="N46" t="str">
        <f t="shared" si="3"/>
        <v>04</v>
      </c>
      <c r="O46" t="str">
        <f t="shared" si="0"/>
        <v>2024</v>
      </c>
      <c r="P46" t="str">
        <f t="shared" si="4"/>
        <v>06-04-2024</v>
      </c>
    </row>
    <row r="47" spans="2:16" x14ac:dyDescent="0.3">
      <c r="B47" s="70">
        <v>45388</v>
      </c>
      <c r="C47" s="70">
        <f t="shared" si="1"/>
        <v>45383</v>
      </c>
      <c r="D47" s="94">
        <v>106</v>
      </c>
      <c r="E47" s="94">
        <v>0</v>
      </c>
      <c r="F47" s="92" t="s">
        <v>2618</v>
      </c>
      <c r="G47" s="75"/>
      <c r="H47" s="92" t="s">
        <v>589</v>
      </c>
      <c r="I47" s="92" t="s">
        <v>3891</v>
      </c>
      <c r="K47" s="71" t="s">
        <v>511</v>
      </c>
      <c r="L47" t="s">
        <v>778</v>
      </c>
      <c r="M47" t="str">
        <f t="shared" si="2"/>
        <v>06</v>
      </c>
      <c r="N47" t="str">
        <f t="shared" si="3"/>
        <v>04</v>
      </c>
      <c r="O47" t="str">
        <f t="shared" si="0"/>
        <v>2024</v>
      </c>
      <c r="P47" t="str">
        <f t="shared" si="4"/>
        <v>06-04-2024</v>
      </c>
    </row>
    <row r="48" spans="2:16" x14ac:dyDescent="0.3">
      <c r="B48" s="70">
        <v>45388</v>
      </c>
      <c r="C48" s="70">
        <f t="shared" si="1"/>
        <v>45383</v>
      </c>
      <c r="D48" s="94">
        <v>784.2</v>
      </c>
      <c r="E48" s="94">
        <v>0</v>
      </c>
      <c r="F48" s="92" t="s">
        <v>2619</v>
      </c>
      <c r="G48" s="75"/>
      <c r="H48" s="92" t="s">
        <v>589</v>
      </c>
      <c r="I48" s="92" t="s">
        <v>3891</v>
      </c>
      <c r="K48" s="71" t="s">
        <v>743</v>
      </c>
      <c r="L48" t="s">
        <v>779</v>
      </c>
      <c r="M48" t="str">
        <f t="shared" si="2"/>
        <v>06</v>
      </c>
      <c r="N48" t="str">
        <f t="shared" si="3"/>
        <v>04</v>
      </c>
      <c r="O48" t="str">
        <f t="shared" si="0"/>
        <v>2024</v>
      </c>
      <c r="P48" t="str">
        <f t="shared" si="4"/>
        <v>06-04-2024</v>
      </c>
    </row>
    <row r="49" spans="2:16" x14ac:dyDescent="0.3">
      <c r="B49" s="70">
        <v>45388</v>
      </c>
      <c r="C49" s="70">
        <f t="shared" si="1"/>
        <v>45383</v>
      </c>
      <c r="D49" s="94">
        <v>114</v>
      </c>
      <c r="E49" s="94">
        <v>0</v>
      </c>
      <c r="F49" s="92" t="s">
        <v>2620</v>
      </c>
      <c r="G49" s="75"/>
      <c r="H49" s="92" t="s">
        <v>589</v>
      </c>
      <c r="I49" s="92" t="s">
        <v>3891</v>
      </c>
      <c r="K49" s="71" t="s">
        <v>511</v>
      </c>
      <c r="L49" t="s">
        <v>780</v>
      </c>
      <c r="M49" t="str">
        <f t="shared" si="2"/>
        <v>06</v>
      </c>
      <c r="N49" t="str">
        <f t="shared" si="3"/>
        <v>04</v>
      </c>
      <c r="O49" t="str">
        <f t="shared" si="0"/>
        <v>2024</v>
      </c>
      <c r="P49" t="str">
        <f t="shared" si="4"/>
        <v>06-04-2024</v>
      </c>
    </row>
    <row r="50" spans="2:16" x14ac:dyDescent="0.3">
      <c r="B50" s="70">
        <v>45389</v>
      </c>
      <c r="C50" s="70">
        <f t="shared" si="1"/>
        <v>45383</v>
      </c>
      <c r="D50" s="94">
        <v>58</v>
      </c>
      <c r="E50" s="94">
        <v>0</v>
      </c>
      <c r="F50" s="92" t="s">
        <v>2621</v>
      </c>
      <c r="G50" s="75"/>
      <c r="H50" s="92" t="s">
        <v>589</v>
      </c>
      <c r="I50" s="92" t="s">
        <v>3893</v>
      </c>
      <c r="K50" s="71" t="s">
        <v>589</v>
      </c>
      <c r="L50" t="s">
        <v>555</v>
      </c>
      <c r="M50" t="str">
        <f t="shared" si="2"/>
        <v>07</v>
      </c>
      <c r="N50" t="str">
        <f t="shared" si="3"/>
        <v>04</v>
      </c>
      <c r="O50" t="str">
        <f t="shared" si="0"/>
        <v>2024</v>
      </c>
      <c r="P50" t="str">
        <f t="shared" si="4"/>
        <v>07-04-2024</v>
      </c>
    </row>
    <row r="51" spans="2:16" x14ac:dyDescent="0.3">
      <c r="B51" s="70">
        <v>45389</v>
      </c>
      <c r="C51" s="70">
        <f t="shared" si="1"/>
        <v>45383</v>
      </c>
      <c r="D51" s="94">
        <v>1000</v>
      </c>
      <c r="E51" s="94">
        <v>0</v>
      </c>
      <c r="F51" s="92" t="s">
        <v>2622</v>
      </c>
      <c r="G51" s="75"/>
      <c r="H51" s="92" t="s">
        <v>3891</v>
      </c>
      <c r="I51" s="92" t="s">
        <v>3892</v>
      </c>
      <c r="K51" s="71" t="s">
        <v>746</v>
      </c>
      <c r="L51" t="s">
        <v>291</v>
      </c>
      <c r="M51" t="str">
        <f t="shared" si="2"/>
        <v>07</v>
      </c>
      <c r="N51" t="str">
        <f t="shared" si="3"/>
        <v>04</v>
      </c>
      <c r="O51" t="str">
        <f t="shared" si="0"/>
        <v>2024</v>
      </c>
      <c r="P51" t="str">
        <f t="shared" si="4"/>
        <v>07-04-2024</v>
      </c>
    </row>
    <row r="52" spans="2:16" x14ac:dyDescent="0.3">
      <c r="B52" s="70">
        <v>45389</v>
      </c>
      <c r="C52" s="70">
        <f t="shared" si="1"/>
        <v>45383</v>
      </c>
      <c r="D52" s="94">
        <v>50</v>
      </c>
      <c r="E52" s="94">
        <v>0</v>
      </c>
      <c r="F52" s="92" t="s">
        <v>2623</v>
      </c>
      <c r="G52" s="75"/>
      <c r="H52" s="92" t="s">
        <v>589</v>
      </c>
      <c r="I52" s="92" t="s">
        <v>3891</v>
      </c>
      <c r="K52" s="71" t="s">
        <v>743</v>
      </c>
      <c r="L52" t="s">
        <v>781</v>
      </c>
      <c r="M52" t="str">
        <f t="shared" si="2"/>
        <v>07</v>
      </c>
      <c r="N52" t="str">
        <f t="shared" si="3"/>
        <v>04</v>
      </c>
      <c r="O52" t="str">
        <f t="shared" si="0"/>
        <v>2024</v>
      </c>
      <c r="P52" t="str">
        <f t="shared" si="4"/>
        <v>07-04-2024</v>
      </c>
    </row>
    <row r="53" spans="2:16" x14ac:dyDescent="0.3">
      <c r="B53" s="70">
        <v>45389</v>
      </c>
      <c r="C53" s="70">
        <f t="shared" si="1"/>
        <v>45383</v>
      </c>
      <c r="D53" s="94">
        <v>20</v>
      </c>
      <c r="E53" s="94">
        <v>0</v>
      </c>
      <c r="F53" s="92" t="s">
        <v>2624</v>
      </c>
      <c r="G53" s="75"/>
      <c r="H53" s="92" t="s">
        <v>589</v>
      </c>
      <c r="I53" s="92" t="s">
        <v>3891</v>
      </c>
      <c r="K53" s="71" t="s">
        <v>511</v>
      </c>
      <c r="L53" t="s">
        <v>782</v>
      </c>
      <c r="M53" t="str">
        <f t="shared" si="2"/>
        <v>07</v>
      </c>
      <c r="N53" t="str">
        <f t="shared" si="3"/>
        <v>04</v>
      </c>
      <c r="O53" t="str">
        <f t="shared" si="0"/>
        <v>2024</v>
      </c>
      <c r="P53" t="str">
        <f t="shared" si="4"/>
        <v>07-04-2024</v>
      </c>
    </row>
    <row r="54" spans="2:16" x14ac:dyDescent="0.3">
      <c r="B54" s="70">
        <v>45389</v>
      </c>
      <c r="C54" s="70">
        <f t="shared" si="1"/>
        <v>45383</v>
      </c>
      <c r="D54" s="94">
        <v>0</v>
      </c>
      <c r="E54" s="94">
        <v>1000</v>
      </c>
      <c r="F54" s="92" t="s">
        <v>2625</v>
      </c>
      <c r="G54" s="75"/>
      <c r="H54" s="92" t="s">
        <v>3892</v>
      </c>
      <c r="I54" s="92" t="s">
        <v>3891</v>
      </c>
      <c r="K54" s="71" t="s">
        <v>744</v>
      </c>
      <c r="L54" t="s">
        <v>783</v>
      </c>
      <c r="M54" t="str">
        <f t="shared" si="2"/>
        <v>07</v>
      </c>
      <c r="N54" t="str">
        <f t="shared" si="3"/>
        <v>04</v>
      </c>
      <c r="O54" t="str">
        <f t="shared" si="0"/>
        <v>2024</v>
      </c>
      <c r="P54" t="str">
        <f t="shared" si="4"/>
        <v>07-04-2024</v>
      </c>
    </row>
    <row r="55" spans="2:16" x14ac:dyDescent="0.3">
      <c r="B55" s="70">
        <v>45389</v>
      </c>
      <c r="C55" s="70">
        <f t="shared" si="1"/>
        <v>45383</v>
      </c>
      <c r="D55" s="94">
        <v>80</v>
      </c>
      <c r="E55" s="94">
        <v>0</v>
      </c>
      <c r="F55" s="92" t="s">
        <v>2626</v>
      </c>
      <c r="G55" s="75"/>
      <c r="H55" s="92" t="s">
        <v>589</v>
      </c>
      <c r="I55" s="92" t="s">
        <v>3891</v>
      </c>
      <c r="K55" s="71" t="s">
        <v>511</v>
      </c>
      <c r="L55" t="s">
        <v>784</v>
      </c>
      <c r="M55" t="str">
        <f t="shared" si="2"/>
        <v>07</v>
      </c>
      <c r="N55" t="str">
        <f t="shared" si="3"/>
        <v>04</v>
      </c>
      <c r="O55" t="str">
        <f t="shared" si="0"/>
        <v>2024</v>
      </c>
      <c r="P55" t="str">
        <f t="shared" si="4"/>
        <v>07-04-2024</v>
      </c>
    </row>
    <row r="56" spans="2:16" x14ac:dyDescent="0.3">
      <c r="B56" s="70">
        <v>45389</v>
      </c>
      <c r="C56" s="70">
        <f t="shared" si="1"/>
        <v>45383</v>
      </c>
      <c r="D56" s="94">
        <v>30</v>
      </c>
      <c r="E56" s="94">
        <v>0</v>
      </c>
      <c r="F56" s="92" t="s">
        <v>2627</v>
      </c>
      <c r="G56" s="75"/>
      <c r="H56" s="92" t="s">
        <v>589</v>
      </c>
      <c r="I56" s="92" t="s">
        <v>3891</v>
      </c>
      <c r="K56" s="71" t="s">
        <v>511</v>
      </c>
      <c r="L56" t="s">
        <v>785</v>
      </c>
      <c r="M56" t="str">
        <f t="shared" si="2"/>
        <v>07</v>
      </c>
      <c r="N56" t="str">
        <f t="shared" si="3"/>
        <v>04</v>
      </c>
      <c r="O56" t="str">
        <f t="shared" si="0"/>
        <v>2024</v>
      </c>
      <c r="P56" t="str">
        <f t="shared" si="4"/>
        <v>07-04-2024</v>
      </c>
    </row>
    <row r="57" spans="2:16" x14ac:dyDescent="0.3">
      <c r="B57" s="70">
        <v>45389</v>
      </c>
      <c r="C57" s="70">
        <f t="shared" si="1"/>
        <v>45383</v>
      </c>
      <c r="D57" s="94">
        <v>440.9</v>
      </c>
      <c r="E57" s="94">
        <v>0</v>
      </c>
      <c r="F57" s="92" t="s">
        <v>2628</v>
      </c>
      <c r="G57" s="75"/>
      <c r="H57" s="92" t="s">
        <v>589</v>
      </c>
      <c r="I57" s="92" t="s">
        <v>3891</v>
      </c>
      <c r="K57" s="71" t="s">
        <v>743</v>
      </c>
      <c r="L57" t="s">
        <v>786</v>
      </c>
      <c r="M57" t="str">
        <f t="shared" si="2"/>
        <v>07</v>
      </c>
      <c r="N57" t="str">
        <f t="shared" si="3"/>
        <v>04</v>
      </c>
      <c r="O57" t="str">
        <f t="shared" si="0"/>
        <v>2024</v>
      </c>
      <c r="P57" t="str">
        <f t="shared" si="4"/>
        <v>07-04-2024</v>
      </c>
    </row>
    <row r="58" spans="2:16" x14ac:dyDescent="0.3">
      <c r="B58" s="70">
        <v>45389</v>
      </c>
      <c r="C58" s="70">
        <f t="shared" si="1"/>
        <v>45383</v>
      </c>
      <c r="D58" s="94">
        <v>315</v>
      </c>
      <c r="E58" s="94">
        <v>0</v>
      </c>
      <c r="F58" s="92" t="s">
        <v>2629</v>
      </c>
      <c r="G58" s="75"/>
      <c r="H58" s="92" t="s">
        <v>589</v>
      </c>
      <c r="I58" s="92" t="s">
        <v>3891</v>
      </c>
      <c r="K58" s="71" t="s">
        <v>511</v>
      </c>
      <c r="L58" t="s">
        <v>787</v>
      </c>
      <c r="M58" t="str">
        <f t="shared" si="2"/>
        <v>07</v>
      </c>
      <c r="N58" t="str">
        <f t="shared" si="3"/>
        <v>04</v>
      </c>
      <c r="O58" t="str">
        <f t="shared" si="0"/>
        <v>2024</v>
      </c>
      <c r="P58" t="str">
        <f t="shared" si="4"/>
        <v>07-04-2024</v>
      </c>
    </row>
    <row r="59" spans="2:16" x14ac:dyDescent="0.3">
      <c r="B59" s="70">
        <v>45390</v>
      </c>
      <c r="C59" s="70">
        <f t="shared" si="1"/>
        <v>45383</v>
      </c>
      <c r="D59" s="94">
        <v>466.44</v>
      </c>
      <c r="E59" s="94">
        <v>0</v>
      </c>
      <c r="F59" s="92" t="s">
        <v>2630</v>
      </c>
      <c r="G59" s="75"/>
      <c r="H59" s="92" t="s">
        <v>3881</v>
      </c>
      <c r="I59" s="92" t="s">
        <v>3889</v>
      </c>
      <c r="K59" s="71" t="s">
        <v>217</v>
      </c>
      <c r="L59" t="s">
        <v>30</v>
      </c>
      <c r="M59" t="str">
        <f t="shared" si="2"/>
        <v>08</v>
      </c>
      <c r="N59" t="str">
        <f t="shared" si="3"/>
        <v>04</v>
      </c>
      <c r="O59" t="str">
        <f t="shared" si="0"/>
        <v>2024</v>
      </c>
      <c r="P59" t="str">
        <f t="shared" si="4"/>
        <v>08-04-2024</v>
      </c>
    </row>
    <row r="60" spans="2:16" x14ac:dyDescent="0.3">
      <c r="B60" s="70">
        <v>45390</v>
      </c>
      <c r="C60" s="70">
        <f t="shared" si="1"/>
        <v>45383</v>
      </c>
      <c r="D60" s="94">
        <v>0</v>
      </c>
      <c r="E60" s="94">
        <v>1880</v>
      </c>
      <c r="F60" s="92" t="s">
        <v>2631</v>
      </c>
      <c r="G60" s="92" t="s">
        <v>222</v>
      </c>
      <c r="H60" s="92" t="s">
        <v>3876</v>
      </c>
      <c r="I60" s="92" t="s">
        <v>3889</v>
      </c>
      <c r="K60" s="71" t="s">
        <v>222</v>
      </c>
      <c r="L60" t="s">
        <v>49</v>
      </c>
      <c r="M60" t="str">
        <f t="shared" si="2"/>
        <v>08</v>
      </c>
      <c r="N60" t="str">
        <f t="shared" si="3"/>
        <v>04</v>
      </c>
      <c r="O60" t="str">
        <f t="shared" si="0"/>
        <v>2024</v>
      </c>
      <c r="P60" t="str">
        <f t="shared" si="4"/>
        <v>08-04-2024</v>
      </c>
    </row>
    <row r="61" spans="2:16" x14ac:dyDescent="0.3">
      <c r="B61" s="70">
        <v>45390</v>
      </c>
      <c r="C61" s="70">
        <f t="shared" si="1"/>
        <v>45383</v>
      </c>
      <c r="D61" s="94">
        <v>277.68</v>
      </c>
      <c r="E61" s="94">
        <v>0</v>
      </c>
      <c r="F61" s="92" t="s">
        <v>2630</v>
      </c>
      <c r="G61" s="75"/>
      <c r="H61" s="92" t="s">
        <v>3881</v>
      </c>
      <c r="I61" s="92" t="s">
        <v>3889</v>
      </c>
      <c r="K61" s="71" t="s">
        <v>217</v>
      </c>
      <c r="L61" t="s">
        <v>30</v>
      </c>
      <c r="M61" t="str">
        <f t="shared" si="2"/>
        <v>08</v>
      </c>
      <c r="N61" t="str">
        <f t="shared" si="3"/>
        <v>04</v>
      </c>
      <c r="O61" t="str">
        <f t="shared" si="0"/>
        <v>2024</v>
      </c>
      <c r="P61" t="str">
        <f t="shared" si="4"/>
        <v>08-04-2024</v>
      </c>
    </row>
    <row r="62" spans="2:16" x14ac:dyDescent="0.3">
      <c r="B62" s="70">
        <v>45390</v>
      </c>
      <c r="C62" s="70">
        <f t="shared" si="1"/>
        <v>45383</v>
      </c>
      <c r="D62" s="94">
        <v>1</v>
      </c>
      <c r="E62" s="94">
        <v>0</v>
      </c>
      <c r="F62" s="92" t="s">
        <v>2632</v>
      </c>
      <c r="G62" s="75"/>
      <c r="H62" s="92" t="s">
        <v>589</v>
      </c>
      <c r="I62" s="92" t="s">
        <v>3892</v>
      </c>
      <c r="K62" s="71" t="s">
        <v>511</v>
      </c>
      <c r="L62" t="s">
        <v>293</v>
      </c>
      <c r="M62" t="str">
        <f t="shared" si="2"/>
        <v>08</v>
      </c>
      <c r="N62" t="str">
        <f t="shared" si="3"/>
        <v>04</v>
      </c>
      <c r="O62" t="str">
        <f t="shared" si="0"/>
        <v>2024</v>
      </c>
      <c r="P62" t="str">
        <f t="shared" si="4"/>
        <v>08-04-2024</v>
      </c>
    </row>
    <row r="63" spans="2:16" x14ac:dyDescent="0.3">
      <c r="B63" s="70">
        <v>45390</v>
      </c>
      <c r="C63" s="70">
        <f t="shared" si="1"/>
        <v>45383</v>
      </c>
      <c r="D63" s="94">
        <v>50</v>
      </c>
      <c r="E63" s="94">
        <v>0</v>
      </c>
      <c r="F63" s="92" t="s">
        <v>2633</v>
      </c>
      <c r="G63" s="75"/>
      <c r="H63" s="92" t="s">
        <v>589</v>
      </c>
      <c r="I63" s="92" t="s">
        <v>3891</v>
      </c>
      <c r="K63" s="71" t="s">
        <v>511</v>
      </c>
      <c r="L63" t="s">
        <v>788</v>
      </c>
      <c r="M63" t="str">
        <f t="shared" si="2"/>
        <v>08</v>
      </c>
      <c r="N63" t="str">
        <f t="shared" si="3"/>
        <v>04</v>
      </c>
      <c r="O63" t="str">
        <f t="shared" si="0"/>
        <v>2024</v>
      </c>
      <c r="P63" t="str">
        <f t="shared" si="4"/>
        <v>08-04-2024</v>
      </c>
    </row>
    <row r="64" spans="2:16" x14ac:dyDescent="0.3">
      <c r="B64" s="70">
        <v>45390</v>
      </c>
      <c r="C64" s="70">
        <f t="shared" si="1"/>
        <v>45383</v>
      </c>
      <c r="D64" s="94">
        <v>100</v>
      </c>
      <c r="E64" s="94">
        <v>0</v>
      </c>
      <c r="F64" s="92" t="s">
        <v>2634</v>
      </c>
      <c r="G64" s="75"/>
      <c r="H64" s="92" t="s">
        <v>589</v>
      </c>
      <c r="I64" s="92" t="s">
        <v>3891</v>
      </c>
      <c r="K64" s="71" t="s">
        <v>511</v>
      </c>
      <c r="L64" t="s">
        <v>789</v>
      </c>
      <c r="M64" t="str">
        <f t="shared" si="2"/>
        <v>08</v>
      </c>
      <c r="N64" t="str">
        <f t="shared" si="3"/>
        <v>04</v>
      </c>
      <c r="O64" t="str">
        <f t="shared" si="0"/>
        <v>2024</v>
      </c>
      <c r="P64" t="str">
        <f t="shared" si="4"/>
        <v>08-04-2024</v>
      </c>
    </row>
    <row r="65" spans="2:16" x14ac:dyDescent="0.3">
      <c r="B65" s="70">
        <v>45391</v>
      </c>
      <c r="C65" s="70">
        <f t="shared" si="1"/>
        <v>45383</v>
      </c>
      <c r="D65" s="94">
        <v>28.05</v>
      </c>
      <c r="E65" s="94">
        <v>0</v>
      </c>
      <c r="F65" s="92" t="s">
        <v>2635</v>
      </c>
      <c r="G65" s="75"/>
      <c r="H65" s="92" t="s">
        <v>3881</v>
      </c>
      <c r="I65" s="92" t="s">
        <v>3889</v>
      </c>
      <c r="K65" s="71" t="s">
        <v>217</v>
      </c>
      <c r="L65" t="s">
        <v>30</v>
      </c>
      <c r="M65" t="str">
        <f t="shared" si="2"/>
        <v>09</v>
      </c>
      <c r="N65" t="str">
        <f t="shared" si="3"/>
        <v>04</v>
      </c>
      <c r="O65" t="str">
        <f t="shared" si="0"/>
        <v>2024</v>
      </c>
      <c r="P65" t="str">
        <f t="shared" si="4"/>
        <v>09-04-2024</v>
      </c>
    </row>
    <row r="66" spans="2:16" x14ac:dyDescent="0.3">
      <c r="B66" s="70">
        <v>45391</v>
      </c>
      <c r="C66" s="70">
        <f t="shared" si="1"/>
        <v>45383</v>
      </c>
      <c r="D66" s="94">
        <v>2000</v>
      </c>
      <c r="E66" s="94">
        <v>0</v>
      </c>
      <c r="F66" s="92" t="s">
        <v>2636</v>
      </c>
      <c r="G66" s="75"/>
      <c r="H66" s="92" t="s">
        <v>3891</v>
      </c>
      <c r="I66" s="92" t="s">
        <v>3892</v>
      </c>
      <c r="K66" s="71" t="s">
        <v>746</v>
      </c>
      <c r="L66" t="s">
        <v>295</v>
      </c>
      <c r="M66" t="str">
        <f t="shared" si="2"/>
        <v>09</v>
      </c>
      <c r="N66" t="str">
        <f t="shared" si="3"/>
        <v>04</v>
      </c>
      <c r="O66" t="str">
        <f t="shared" si="0"/>
        <v>2024</v>
      </c>
      <c r="P66" t="str">
        <f t="shared" si="4"/>
        <v>09-04-2024</v>
      </c>
    </row>
    <row r="67" spans="2:16" x14ac:dyDescent="0.3">
      <c r="B67" s="70">
        <v>45391</v>
      </c>
      <c r="C67" s="70">
        <f t="shared" si="1"/>
        <v>45383</v>
      </c>
      <c r="D67" s="94">
        <v>0</v>
      </c>
      <c r="E67" s="94">
        <v>2000</v>
      </c>
      <c r="F67" s="92" t="s">
        <v>2637</v>
      </c>
      <c r="G67" s="75"/>
      <c r="H67" s="92" t="s">
        <v>3892</v>
      </c>
      <c r="I67" s="92" t="s">
        <v>3891</v>
      </c>
      <c r="K67" s="71" t="s">
        <v>744</v>
      </c>
      <c r="L67" t="s">
        <v>790</v>
      </c>
      <c r="M67" t="str">
        <f t="shared" si="2"/>
        <v>09</v>
      </c>
      <c r="N67" t="str">
        <f t="shared" si="3"/>
        <v>04</v>
      </c>
      <c r="O67" t="str">
        <f t="shared" ref="O67:O130" si="5">TEXT(B67,"YYYY")</f>
        <v>2024</v>
      </c>
      <c r="P67" t="str">
        <f t="shared" si="4"/>
        <v>09-04-2024</v>
      </c>
    </row>
    <row r="68" spans="2:16" x14ac:dyDescent="0.3">
      <c r="B68" s="70">
        <v>45391</v>
      </c>
      <c r="C68" s="70">
        <f t="shared" ref="C68:C131" si="6">EOMONTH(B68,-1)+1</f>
        <v>45383</v>
      </c>
      <c r="D68" s="94">
        <v>30</v>
      </c>
      <c r="E68" s="94">
        <v>0</v>
      </c>
      <c r="F68" s="92" t="s">
        <v>2638</v>
      </c>
      <c r="G68" s="75"/>
      <c r="H68" s="92" t="s">
        <v>589</v>
      </c>
      <c r="I68" s="92" t="s">
        <v>3891</v>
      </c>
      <c r="K68" s="71" t="s">
        <v>511</v>
      </c>
      <c r="L68" t="s">
        <v>791</v>
      </c>
      <c r="M68" t="str">
        <f t="shared" ref="M68:M131" si="7">TEXT(B68,"DD")</f>
        <v>09</v>
      </c>
      <c r="N68" t="str">
        <f t="shared" ref="N68:N131" si="8">TEXT(B68,"MM")</f>
        <v>04</v>
      </c>
      <c r="O68" t="str">
        <f t="shared" si="5"/>
        <v>2024</v>
      </c>
      <c r="P68" t="str">
        <f t="shared" ref="P68:P131" si="9">M68&amp;"-"&amp;N68&amp;"-"&amp;O68</f>
        <v>09-04-2024</v>
      </c>
    </row>
    <row r="69" spans="2:16" x14ac:dyDescent="0.3">
      <c r="B69" s="70">
        <v>45392</v>
      </c>
      <c r="C69" s="70">
        <f t="shared" si="6"/>
        <v>45383</v>
      </c>
      <c r="D69" s="94">
        <v>0</v>
      </c>
      <c r="E69" s="94">
        <v>46373.79</v>
      </c>
      <c r="F69" s="92" t="s">
        <v>2639</v>
      </c>
      <c r="G69" s="75"/>
      <c r="H69" s="92" t="s">
        <v>3881</v>
      </c>
      <c r="I69" s="92" t="s">
        <v>3889</v>
      </c>
      <c r="K69" s="71" t="s">
        <v>217</v>
      </c>
      <c r="L69" t="s">
        <v>34</v>
      </c>
      <c r="M69" t="str">
        <f t="shared" si="7"/>
        <v>10</v>
      </c>
      <c r="N69" t="str">
        <f t="shared" si="8"/>
        <v>04</v>
      </c>
      <c r="O69" t="str">
        <f t="shared" si="5"/>
        <v>2024</v>
      </c>
      <c r="P69" t="str">
        <f t="shared" si="9"/>
        <v>10-04-2024</v>
      </c>
    </row>
    <row r="70" spans="2:16" x14ac:dyDescent="0.3">
      <c r="B70" s="70">
        <v>45392</v>
      </c>
      <c r="C70" s="70">
        <f t="shared" si="6"/>
        <v>45383</v>
      </c>
      <c r="D70" s="94">
        <v>155.41999999999999</v>
      </c>
      <c r="E70" s="94">
        <v>0</v>
      </c>
      <c r="F70" s="92" t="s">
        <v>2640</v>
      </c>
      <c r="G70" s="75"/>
      <c r="H70" s="92" t="s">
        <v>3881</v>
      </c>
      <c r="I70" s="92" t="s">
        <v>3889</v>
      </c>
      <c r="K70" s="71" t="s">
        <v>217</v>
      </c>
      <c r="L70" t="s">
        <v>30</v>
      </c>
      <c r="M70" t="str">
        <f t="shared" si="7"/>
        <v>10</v>
      </c>
      <c r="N70" t="str">
        <f t="shared" si="8"/>
        <v>04</v>
      </c>
      <c r="O70" t="str">
        <f t="shared" si="5"/>
        <v>2024</v>
      </c>
      <c r="P70" t="str">
        <f t="shared" si="9"/>
        <v>10-04-2024</v>
      </c>
    </row>
    <row r="71" spans="2:16" x14ac:dyDescent="0.3">
      <c r="B71" s="70">
        <v>45392</v>
      </c>
      <c r="C71" s="70">
        <f t="shared" si="6"/>
        <v>45383</v>
      </c>
      <c r="D71" s="94">
        <v>0</v>
      </c>
      <c r="E71" s="94">
        <v>100</v>
      </c>
      <c r="F71" s="92" t="s">
        <v>2641</v>
      </c>
      <c r="G71" s="75"/>
      <c r="H71" s="92" t="s">
        <v>589</v>
      </c>
      <c r="I71" s="92" t="s">
        <v>3893</v>
      </c>
      <c r="K71" s="71" t="s">
        <v>589</v>
      </c>
      <c r="L71" t="s">
        <v>557</v>
      </c>
      <c r="M71" t="str">
        <f t="shared" si="7"/>
        <v>10</v>
      </c>
      <c r="N71" t="str">
        <f t="shared" si="8"/>
        <v>04</v>
      </c>
      <c r="O71" t="str">
        <f t="shared" si="5"/>
        <v>2024</v>
      </c>
      <c r="P71" t="str">
        <f t="shared" si="9"/>
        <v>10-04-2024</v>
      </c>
    </row>
    <row r="72" spans="2:16" x14ac:dyDescent="0.3">
      <c r="B72" s="70">
        <v>45392</v>
      </c>
      <c r="C72" s="70">
        <f t="shared" si="6"/>
        <v>45383</v>
      </c>
      <c r="D72" s="94">
        <v>0</v>
      </c>
      <c r="E72" s="94">
        <v>1</v>
      </c>
      <c r="F72" s="92" t="s">
        <v>2642</v>
      </c>
      <c r="G72" s="75"/>
      <c r="H72" s="92" t="s">
        <v>589</v>
      </c>
      <c r="I72" s="92" t="s">
        <v>3892</v>
      </c>
      <c r="K72" s="71" t="s">
        <v>511</v>
      </c>
      <c r="L72" t="s">
        <v>297</v>
      </c>
      <c r="M72" t="str">
        <f t="shared" si="7"/>
        <v>10</v>
      </c>
      <c r="N72" t="str">
        <f t="shared" si="8"/>
        <v>04</v>
      </c>
      <c r="O72" t="str">
        <f t="shared" si="5"/>
        <v>2024</v>
      </c>
      <c r="P72" t="str">
        <f t="shared" si="9"/>
        <v>10-04-2024</v>
      </c>
    </row>
    <row r="73" spans="2:16" x14ac:dyDescent="0.3">
      <c r="B73" s="70">
        <v>45394</v>
      </c>
      <c r="C73" s="70">
        <f t="shared" si="6"/>
        <v>45383</v>
      </c>
      <c r="D73" s="94">
        <v>0</v>
      </c>
      <c r="E73" s="94">
        <v>68.67</v>
      </c>
      <c r="F73" s="92" t="s">
        <v>2643</v>
      </c>
      <c r="G73" s="75"/>
      <c r="H73" s="92" t="s">
        <v>3881</v>
      </c>
      <c r="I73" s="92" t="s">
        <v>3889</v>
      </c>
      <c r="K73" s="71" t="s">
        <v>217</v>
      </c>
      <c r="L73" t="s">
        <v>34</v>
      </c>
      <c r="M73" t="str">
        <f t="shared" si="7"/>
        <v>12</v>
      </c>
      <c r="N73" t="str">
        <f t="shared" si="8"/>
        <v>04</v>
      </c>
      <c r="O73" t="str">
        <f t="shared" si="5"/>
        <v>2024</v>
      </c>
      <c r="P73" t="str">
        <f t="shared" si="9"/>
        <v>12-04-2024</v>
      </c>
    </row>
    <row r="74" spans="2:16" x14ac:dyDescent="0.3">
      <c r="B74" s="70">
        <v>45394</v>
      </c>
      <c r="C74" s="70">
        <f t="shared" si="6"/>
        <v>45383</v>
      </c>
      <c r="D74" s="94">
        <v>0</v>
      </c>
      <c r="E74" s="94">
        <v>22631.71</v>
      </c>
      <c r="F74" s="92" t="s">
        <v>2643</v>
      </c>
      <c r="G74" s="75"/>
      <c r="H74" s="92" t="s">
        <v>3881</v>
      </c>
      <c r="I74" s="92" t="s">
        <v>3889</v>
      </c>
      <c r="K74" s="71" t="s">
        <v>217</v>
      </c>
      <c r="L74" t="s">
        <v>34</v>
      </c>
      <c r="M74" t="str">
        <f t="shared" si="7"/>
        <v>12</v>
      </c>
      <c r="N74" t="str">
        <f t="shared" si="8"/>
        <v>04</v>
      </c>
      <c r="O74" t="str">
        <f t="shared" si="5"/>
        <v>2024</v>
      </c>
      <c r="P74" t="str">
        <f t="shared" si="9"/>
        <v>12-04-2024</v>
      </c>
    </row>
    <row r="75" spans="2:16" x14ac:dyDescent="0.3">
      <c r="B75" s="70">
        <v>45394</v>
      </c>
      <c r="C75" s="70">
        <f t="shared" si="6"/>
        <v>45383</v>
      </c>
      <c r="D75" s="94">
        <v>310.83999999999997</v>
      </c>
      <c r="E75" s="94">
        <v>0</v>
      </c>
      <c r="F75" s="92" t="s">
        <v>2644</v>
      </c>
      <c r="G75" s="75"/>
      <c r="H75" s="92" t="s">
        <v>3881</v>
      </c>
      <c r="I75" s="92" t="s">
        <v>3889</v>
      </c>
      <c r="K75" s="71" t="s">
        <v>217</v>
      </c>
      <c r="L75" t="s">
        <v>30</v>
      </c>
      <c r="M75" t="str">
        <f t="shared" si="7"/>
        <v>12</v>
      </c>
      <c r="N75" t="str">
        <f t="shared" si="8"/>
        <v>04</v>
      </c>
      <c r="O75" t="str">
        <f t="shared" si="5"/>
        <v>2024</v>
      </c>
      <c r="P75" t="str">
        <f t="shared" si="9"/>
        <v>12-04-2024</v>
      </c>
    </row>
    <row r="76" spans="2:16" x14ac:dyDescent="0.3">
      <c r="B76" s="70">
        <v>45394</v>
      </c>
      <c r="C76" s="70">
        <f t="shared" si="6"/>
        <v>45383</v>
      </c>
      <c r="D76" s="94">
        <v>37368.43</v>
      </c>
      <c r="E76" s="94">
        <v>0</v>
      </c>
      <c r="F76" s="92" t="s">
        <v>2644</v>
      </c>
      <c r="G76" s="75"/>
      <c r="H76" s="92" t="s">
        <v>3881</v>
      </c>
      <c r="I76" s="92" t="s">
        <v>3889</v>
      </c>
      <c r="K76" s="71" t="s">
        <v>217</v>
      </c>
      <c r="L76" t="s">
        <v>30</v>
      </c>
      <c r="M76" t="str">
        <f t="shared" si="7"/>
        <v>12</v>
      </c>
      <c r="N76" t="str">
        <f t="shared" si="8"/>
        <v>04</v>
      </c>
      <c r="O76" t="str">
        <f t="shared" si="5"/>
        <v>2024</v>
      </c>
      <c r="P76" t="str">
        <f t="shared" si="9"/>
        <v>12-04-2024</v>
      </c>
    </row>
    <row r="77" spans="2:16" x14ac:dyDescent="0.3">
      <c r="B77" s="70">
        <v>45394</v>
      </c>
      <c r="C77" s="70">
        <f t="shared" si="6"/>
        <v>45383</v>
      </c>
      <c r="D77" s="94">
        <v>134.79</v>
      </c>
      <c r="E77" s="94">
        <v>0</v>
      </c>
      <c r="F77" s="92" t="s">
        <v>2644</v>
      </c>
      <c r="G77" s="75"/>
      <c r="H77" s="92" t="s">
        <v>3881</v>
      </c>
      <c r="I77" s="92" t="s">
        <v>3889</v>
      </c>
      <c r="K77" s="71" t="s">
        <v>217</v>
      </c>
      <c r="L77" t="s">
        <v>30</v>
      </c>
      <c r="M77" t="str">
        <f t="shared" si="7"/>
        <v>12</v>
      </c>
      <c r="N77" t="str">
        <f t="shared" si="8"/>
        <v>04</v>
      </c>
      <c r="O77" t="str">
        <f t="shared" si="5"/>
        <v>2024</v>
      </c>
      <c r="P77" t="str">
        <f t="shared" si="9"/>
        <v>12-04-2024</v>
      </c>
    </row>
    <row r="78" spans="2:16" x14ac:dyDescent="0.3">
      <c r="B78" s="70">
        <v>45394</v>
      </c>
      <c r="C78" s="70">
        <f t="shared" si="6"/>
        <v>45383</v>
      </c>
      <c r="D78" s="94">
        <v>10000</v>
      </c>
      <c r="E78" s="94">
        <v>0</v>
      </c>
      <c r="F78" s="92" t="s">
        <v>2645</v>
      </c>
      <c r="G78" s="75"/>
      <c r="H78" s="92" t="s">
        <v>3888</v>
      </c>
      <c r="I78" s="92" t="s">
        <v>3892</v>
      </c>
      <c r="K78" s="71" t="s">
        <v>508</v>
      </c>
      <c r="L78" t="s">
        <v>299</v>
      </c>
      <c r="M78" t="str">
        <f t="shared" si="7"/>
        <v>12</v>
      </c>
      <c r="N78" t="str">
        <f t="shared" si="8"/>
        <v>04</v>
      </c>
      <c r="O78" t="str">
        <f t="shared" si="5"/>
        <v>2024</v>
      </c>
      <c r="P78" t="str">
        <f t="shared" si="9"/>
        <v>12-04-2024</v>
      </c>
    </row>
    <row r="79" spans="2:16" x14ac:dyDescent="0.3">
      <c r="B79" s="70">
        <v>45394</v>
      </c>
      <c r="C79" s="70">
        <f t="shared" si="6"/>
        <v>45383</v>
      </c>
      <c r="D79" s="94">
        <v>0</v>
      </c>
      <c r="E79" s="94">
        <v>10000</v>
      </c>
      <c r="F79" s="92" t="s">
        <v>2646</v>
      </c>
      <c r="G79" s="75"/>
      <c r="H79" s="92" t="s">
        <v>3888</v>
      </c>
      <c r="I79" s="92" t="s">
        <v>3892</v>
      </c>
      <c r="K79" s="71" t="s">
        <v>508</v>
      </c>
      <c r="L79" t="s">
        <v>301</v>
      </c>
      <c r="M79" t="str">
        <f t="shared" si="7"/>
        <v>12</v>
      </c>
      <c r="N79" t="str">
        <f t="shared" si="8"/>
        <v>04</v>
      </c>
      <c r="O79" t="str">
        <f t="shared" si="5"/>
        <v>2024</v>
      </c>
      <c r="P79" t="str">
        <f t="shared" si="9"/>
        <v>12-04-2024</v>
      </c>
    </row>
    <row r="80" spans="2:16" x14ac:dyDescent="0.3">
      <c r="B80" s="70">
        <v>45394</v>
      </c>
      <c r="C80" s="70">
        <f t="shared" si="6"/>
        <v>45383</v>
      </c>
      <c r="D80" s="94">
        <v>0</v>
      </c>
      <c r="E80" s="94">
        <v>1</v>
      </c>
      <c r="F80" s="92" t="s">
        <v>2647</v>
      </c>
      <c r="G80" s="75"/>
      <c r="H80" s="92" t="s">
        <v>3888</v>
      </c>
      <c r="I80" s="92" t="s">
        <v>3892</v>
      </c>
      <c r="K80" s="71" t="s">
        <v>508</v>
      </c>
      <c r="L80" t="s">
        <v>302</v>
      </c>
      <c r="M80" t="str">
        <f t="shared" si="7"/>
        <v>12</v>
      </c>
      <c r="N80" t="str">
        <f t="shared" si="8"/>
        <v>04</v>
      </c>
      <c r="O80" t="str">
        <f t="shared" si="5"/>
        <v>2024</v>
      </c>
      <c r="P80" t="str">
        <f t="shared" si="9"/>
        <v>12-04-2024</v>
      </c>
    </row>
    <row r="81" spans="2:16" x14ac:dyDescent="0.3">
      <c r="B81" s="70">
        <v>45394</v>
      </c>
      <c r="C81" s="70">
        <f t="shared" si="6"/>
        <v>45383</v>
      </c>
      <c r="D81" s="94">
        <v>1000</v>
      </c>
      <c r="E81" s="94">
        <v>0</v>
      </c>
      <c r="F81" s="92" t="s">
        <v>2648</v>
      </c>
      <c r="G81" s="75"/>
      <c r="H81" s="92" t="s">
        <v>3888</v>
      </c>
      <c r="I81" s="92" t="s">
        <v>3892</v>
      </c>
      <c r="K81" s="71" t="s">
        <v>508</v>
      </c>
      <c r="L81" t="s">
        <v>304</v>
      </c>
      <c r="M81" t="str">
        <f t="shared" si="7"/>
        <v>12</v>
      </c>
      <c r="N81" t="str">
        <f t="shared" si="8"/>
        <v>04</v>
      </c>
      <c r="O81" t="str">
        <f t="shared" si="5"/>
        <v>2024</v>
      </c>
      <c r="P81" t="str">
        <f t="shared" si="9"/>
        <v>12-04-2024</v>
      </c>
    </row>
    <row r="82" spans="2:16" x14ac:dyDescent="0.3">
      <c r="B82" s="70">
        <v>45394</v>
      </c>
      <c r="C82" s="70">
        <f t="shared" si="6"/>
        <v>45383</v>
      </c>
      <c r="D82" s="94">
        <v>106</v>
      </c>
      <c r="E82" s="94">
        <v>0</v>
      </c>
      <c r="F82" s="92" t="s">
        <v>2649</v>
      </c>
      <c r="G82" s="75"/>
      <c r="H82" s="92" t="s">
        <v>589</v>
      </c>
      <c r="I82" s="92" t="s">
        <v>3892</v>
      </c>
      <c r="K82" s="71" t="s">
        <v>511</v>
      </c>
      <c r="L82" t="s">
        <v>306</v>
      </c>
      <c r="M82" t="str">
        <f t="shared" si="7"/>
        <v>12</v>
      </c>
      <c r="N82" t="str">
        <f t="shared" si="8"/>
        <v>04</v>
      </c>
      <c r="O82" t="str">
        <f t="shared" si="5"/>
        <v>2024</v>
      </c>
      <c r="P82" t="str">
        <f t="shared" si="9"/>
        <v>12-04-2024</v>
      </c>
    </row>
    <row r="83" spans="2:16" x14ac:dyDescent="0.3">
      <c r="B83" s="70">
        <v>45395</v>
      </c>
      <c r="C83" s="70">
        <f t="shared" si="6"/>
        <v>45383</v>
      </c>
      <c r="D83" s="94">
        <v>15</v>
      </c>
      <c r="E83" s="94">
        <v>0</v>
      </c>
      <c r="F83" s="92" t="s">
        <v>2650</v>
      </c>
      <c r="G83" s="75"/>
      <c r="H83" s="92" t="s">
        <v>3891</v>
      </c>
      <c r="I83" s="92" t="s">
        <v>3892</v>
      </c>
      <c r="K83" s="71" t="s">
        <v>746</v>
      </c>
      <c r="L83" t="s">
        <v>308</v>
      </c>
      <c r="M83" t="str">
        <f t="shared" si="7"/>
        <v>13</v>
      </c>
      <c r="N83" t="str">
        <f t="shared" si="8"/>
        <v>04</v>
      </c>
      <c r="O83" t="str">
        <f t="shared" si="5"/>
        <v>2024</v>
      </c>
      <c r="P83" t="str">
        <f t="shared" si="9"/>
        <v>13-04-2024</v>
      </c>
    </row>
    <row r="84" spans="2:16" x14ac:dyDescent="0.3">
      <c r="B84" s="70">
        <v>45395</v>
      </c>
      <c r="C84" s="70">
        <f t="shared" si="6"/>
        <v>45383</v>
      </c>
      <c r="D84" s="94">
        <v>0</v>
      </c>
      <c r="E84" s="94">
        <v>10</v>
      </c>
      <c r="F84" s="92" t="s">
        <v>2651</v>
      </c>
      <c r="G84" s="75"/>
      <c r="H84" s="92" t="s">
        <v>589</v>
      </c>
      <c r="I84" s="92" t="s">
        <v>3892</v>
      </c>
      <c r="K84" s="71" t="s">
        <v>511</v>
      </c>
      <c r="L84" t="s">
        <v>310</v>
      </c>
      <c r="M84" t="str">
        <f t="shared" si="7"/>
        <v>13</v>
      </c>
      <c r="N84" t="str">
        <f t="shared" si="8"/>
        <v>04</v>
      </c>
      <c r="O84" t="str">
        <f t="shared" si="5"/>
        <v>2024</v>
      </c>
      <c r="P84" t="str">
        <f t="shared" si="9"/>
        <v>13-04-2024</v>
      </c>
    </row>
    <row r="85" spans="2:16" x14ac:dyDescent="0.3">
      <c r="B85" s="70">
        <v>45395</v>
      </c>
      <c r="C85" s="70">
        <f t="shared" si="6"/>
        <v>45383</v>
      </c>
      <c r="D85" s="94">
        <v>0</v>
      </c>
      <c r="E85" s="94">
        <v>15</v>
      </c>
      <c r="F85" s="92" t="s">
        <v>2652</v>
      </c>
      <c r="G85" s="75"/>
      <c r="H85" s="92" t="s">
        <v>3892</v>
      </c>
      <c r="I85" s="92" t="s">
        <v>3891</v>
      </c>
      <c r="K85" s="71" t="s">
        <v>747</v>
      </c>
      <c r="L85" t="s">
        <v>792</v>
      </c>
      <c r="M85" t="str">
        <f t="shared" si="7"/>
        <v>13</v>
      </c>
      <c r="N85" t="str">
        <f t="shared" si="8"/>
        <v>04</v>
      </c>
      <c r="O85" t="str">
        <f t="shared" si="5"/>
        <v>2024</v>
      </c>
      <c r="P85" t="str">
        <f t="shared" si="9"/>
        <v>13-04-2024</v>
      </c>
    </row>
    <row r="86" spans="2:16" x14ac:dyDescent="0.3">
      <c r="B86" s="70">
        <v>45396</v>
      </c>
      <c r="C86" s="70">
        <f t="shared" si="6"/>
        <v>45383</v>
      </c>
      <c r="D86" s="94">
        <v>100</v>
      </c>
      <c r="E86" s="94">
        <v>0</v>
      </c>
      <c r="F86" s="92" t="s">
        <v>2653</v>
      </c>
      <c r="G86" s="75"/>
      <c r="H86" s="92" t="s">
        <v>589</v>
      </c>
      <c r="I86" s="92" t="s">
        <v>3892</v>
      </c>
      <c r="K86" s="71" t="s">
        <v>511</v>
      </c>
      <c r="L86" t="s">
        <v>312</v>
      </c>
      <c r="M86" t="str">
        <f t="shared" si="7"/>
        <v>14</v>
      </c>
      <c r="N86" t="str">
        <f t="shared" si="8"/>
        <v>04</v>
      </c>
      <c r="O86" t="str">
        <f t="shared" si="5"/>
        <v>2024</v>
      </c>
      <c r="P86" t="str">
        <f t="shared" si="9"/>
        <v>14-04-2024</v>
      </c>
    </row>
    <row r="87" spans="2:16" x14ac:dyDescent="0.3">
      <c r="B87" s="70">
        <v>45396</v>
      </c>
      <c r="C87" s="70">
        <f t="shared" si="6"/>
        <v>45383</v>
      </c>
      <c r="D87" s="94">
        <v>480</v>
      </c>
      <c r="E87" s="94">
        <v>0</v>
      </c>
      <c r="F87" s="92" t="s">
        <v>2654</v>
      </c>
      <c r="G87" s="75"/>
      <c r="H87" s="92" t="s">
        <v>589</v>
      </c>
      <c r="I87" s="92" t="s">
        <v>3892</v>
      </c>
      <c r="K87" s="71" t="s">
        <v>511</v>
      </c>
      <c r="L87" t="s">
        <v>314</v>
      </c>
      <c r="M87" t="str">
        <f t="shared" si="7"/>
        <v>14</v>
      </c>
      <c r="N87" t="str">
        <f t="shared" si="8"/>
        <v>04</v>
      </c>
      <c r="O87" t="str">
        <f t="shared" si="5"/>
        <v>2024</v>
      </c>
      <c r="P87" t="str">
        <f t="shared" si="9"/>
        <v>14-04-2024</v>
      </c>
    </row>
    <row r="88" spans="2:16" x14ac:dyDescent="0.3">
      <c r="B88" s="70">
        <v>45397</v>
      </c>
      <c r="C88" s="70">
        <f t="shared" si="6"/>
        <v>45383</v>
      </c>
      <c r="D88" s="94">
        <v>426.42</v>
      </c>
      <c r="E88" s="94">
        <v>0</v>
      </c>
      <c r="F88" s="92" t="s">
        <v>2655</v>
      </c>
      <c r="G88" s="75"/>
      <c r="H88" s="92" t="s">
        <v>3881</v>
      </c>
      <c r="I88" s="92" t="s">
        <v>3889</v>
      </c>
      <c r="K88" s="71" t="s">
        <v>217</v>
      </c>
      <c r="L88" t="s">
        <v>30</v>
      </c>
      <c r="M88" t="str">
        <f t="shared" si="7"/>
        <v>15</v>
      </c>
      <c r="N88" t="str">
        <f t="shared" si="8"/>
        <v>04</v>
      </c>
      <c r="O88" t="str">
        <f t="shared" si="5"/>
        <v>2024</v>
      </c>
      <c r="P88" t="str">
        <f t="shared" si="9"/>
        <v>15-04-2024</v>
      </c>
    </row>
    <row r="89" spans="2:16" x14ac:dyDescent="0.3">
      <c r="B89" s="70">
        <v>45397</v>
      </c>
      <c r="C89" s="70">
        <f t="shared" si="6"/>
        <v>45383</v>
      </c>
      <c r="D89" s="94">
        <v>21000</v>
      </c>
      <c r="E89" s="94">
        <v>0</v>
      </c>
      <c r="F89" s="92" t="s">
        <v>2656</v>
      </c>
      <c r="G89" s="75"/>
      <c r="H89" s="92" t="s">
        <v>3886</v>
      </c>
      <c r="I89" s="92" t="s">
        <v>3893</v>
      </c>
      <c r="K89" s="71" t="s">
        <v>225</v>
      </c>
      <c r="L89" t="s">
        <v>559</v>
      </c>
      <c r="M89" t="str">
        <f t="shared" si="7"/>
        <v>15</v>
      </c>
      <c r="N89" t="str">
        <f t="shared" si="8"/>
        <v>04</v>
      </c>
      <c r="O89" t="str">
        <f t="shared" si="5"/>
        <v>2024</v>
      </c>
      <c r="P89" t="str">
        <f t="shared" si="9"/>
        <v>15-04-2024</v>
      </c>
    </row>
    <row r="90" spans="2:16" x14ac:dyDescent="0.3">
      <c r="B90" s="70">
        <v>45397</v>
      </c>
      <c r="C90" s="70">
        <f t="shared" si="6"/>
        <v>45383</v>
      </c>
      <c r="D90" s="94">
        <v>0</v>
      </c>
      <c r="E90" s="94">
        <v>400</v>
      </c>
      <c r="F90" s="92" t="s">
        <v>2657</v>
      </c>
      <c r="G90" s="75"/>
      <c r="H90" s="92" t="s">
        <v>3886</v>
      </c>
      <c r="I90" s="92" t="s">
        <v>3892</v>
      </c>
      <c r="K90" s="71" t="s">
        <v>505</v>
      </c>
      <c r="L90" t="s">
        <v>316</v>
      </c>
      <c r="M90" t="str">
        <f t="shared" si="7"/>
        <v>15</v>
      </c>
      <c r="N90" t="str">
        <f t="shared" si="8"/>
        <v>04</v>
      </c>
      <c r="O90" t="str">
        <f t="shared" si="5"/>
        <v>2024</v>
      </c>
      <c r="P90" t="str">
        <f t="shared" si="9"/>
        <v>15-04-2024</v>
      </c>
    </row>
    <row r="91" spans="2:16" x14ac:dyDescent="0.3">
      <c r="B91" s="70">
        <v>45397</v>
      </c>
      <c r="C91" s="70">
        <f t="shared" si="6"/>
        <v>45383</v>
      </c>
      <c r="D91" s="94">
        <v>5000</v>
      </c>
      <c r="E91" s="94">
        <v>0</v>
      </c>
      <c r="F91" s="92" t="s">
        <v>2658</v>
      </c>
      <c r="G91" s="75"/>
      <c r="H91" s="92" t="s">
        <v>2538</v>
      </c>
      <c r="I91" s="92" t="s">
        <v>3892</v>
      </c>
      <c r="K91" s="71" t="s">
        <v>219</v>
      </c>
      <c r="L91" t="s">
        <v>318</v>
      </c>
      <c r="M91" t="str">
        <f t="shared" si="7"/>
        <v>15</v>
      </c>
      <c r="N91" t="str">
        <f t="shared" si="8"/>
        <v>04</v>
      </c>
      <c r="O91" t="str">
        <f t="shared" si="5"/>
        <v>2024</v>
      </c>
      <c r="P91" t="str">
        <f t="shared" si="9"/>
        <v>15-04-2024</v>
      </c>
    </row>
    <row r="92" spans="2:16" x14ac:dyDescent="0.3">
      <c r="B92" s="70">
        <v>45397</v>
      </c>
      <c r="C92" s="70">
        <f t="shared" si="6"/>
        <v>45383</v>
      </c>
      <c r="D92" s="94">
        <v>2000</v>
      </c>
      <c r="E92" s="94">
        <v>0</v>
      </c>
      <c r="F92" s="92" t="s">
        <v>2659</v>
      </c>
      <c r="G92" s="75"/>
      <c r="H92" s="92" t="s">
        <v>2538</v>
      </c>
      <c r="I92" s="92" t="s">
        <v>3891</v>
      </c>
      <c r="K92" s="71" t="s">
        <v>2538</v>
      </c>
      <c r="L92" t="s">
        <v>793</v>
      </c>
      <c r="M92" t="str">
        <f t="shared" si="7"/>
        <v>15</v>
      </c>
      <c r="N92" t="str">
        <f t="shared" si="8"/>
        <v>04</v>
      </c>
      <c r="O92" t="str">
        <f t="shared" si="5"/>
        <v>2024</v>
      </c>
      <c r="P92" t="str">
        <f t="shared" si="9"/>
        <v>15-04-2024</v>
      </c>
    </row>
    <row r="93" spans="2:16" x14ac:dyDescent="0.3">
      <c r="B93" s="70">
        <v>45398</v>
      </c>
      <c r="C93" s="70">
        <f t="shared" si="6"/>
        <v>45383</v>
      </c>
      <c r="D93" s="94">
        <v>0</v>
      </c>
      <c r="E93" s="94">
        <v>2228.21</v>
      </c>
      <c r="F93" s="92" t="s">
        <v>2660</v>
      </c>
      <c r="G93" s="75"/>
      <c r="H93" s="92" t="s">
        <v>3881</v>
      </c>
      <c r="I93" s="92" t="s">
        <v>3889</v>
      </c>
      <c r="K93" s="71" t="s">
        <v>217</v>
      </c>
      <c r="L93" t="s">
        <v>34</v>
      </c>
      <c r="M93" t="str">
        <f t="shared" si="7"/>
        <v>16</v>
      </c>
      <c r="N93" t="str">
        <f t="shared" si="8"/>
        <v>04</v>
      </c>
      <c r="O93" t="str">
        <f t="shared" si="5"/>
        <v>2024</v>
      </c>
      <c r="P93" t="str">
        <f t="shared" si="9"/>
        <v>16-04-2024</v>
      </c>
    </row>
    <row r="94" spans="2:16" x14ac:dyDescent="0.3">
      <c r="B94" s="70">
        <v>45398</v>
      </c>
      <c r="C94" s="70">
        <f t="shared" si="6"/>
        <v>45383</v>
      </c>
      <c r="D94" s="94">
        <v>0</v>
      </c>
      <c r="E94" s="94">
        <v>19000</v>
      </c>
      <c r="F94" s="92" t="s">
        <v>2660</v>
      </c>
      <c r="G94" s="75"/>
      <c r="H94" s="92" t="s">
        <v>3881</v>
      </c>
      <c r="I94" s="92" t="s">
        <v>3889</v>
      </c>
      <c r="K94" s="71" t="s">
        <v>217</v>
      </c>
      <c r="L94" t="s">
        <v>34</v>
      </c>
      <c r="M94" t="str">
        <f t="shared" si="7"/>
        <v>16</v>
      </c>
      <c r="N94" t="str">
        <f t="shared" si="8"/>
        <v>04</v>
      </c>
      <c r="O94" t="str">
        <f t="shared" si="5"/>
        <v>2024</v>
      </c>
      <c r="P94" t="str">
        <f t="shared" si="9"/>
        <v>16-04-2024</v>
      </c>
    </row>
    <row r="95" spans="2:16" x14ac:dyDescent="0.3">
      <c r="B95" s="70">
        <v>45398</v>
      </c>
      <c r="C95" s="70">
        <f t="shared" si="6"/>
        <v>45383</v>
      </c>
      <c r="D95" s="94">
        <v>142.13999999999999</v>
      </c>
      <c r="E95" s="94">
        <v>0</v>
      </c>
      <c r="F95" s="92" t="s">
        <v>2661</v>
      </c>
      <c r="G95" s="75"/>
      <c r="H95" s="92" t="s">
        <v>3881</v>
      </c>
      <c r="I95" s="92" t="s">
        <v>3889</v>
      </c>
      <c r="K95" s="71" t="s">
        <v>217</v>
      </c>
      <c r="L95" t="s">
        <v>30</v>
      </c>
      <c r="M95" t="str">
        <f t="shared" si="7"/>
        <v>16</v>
      </c>
      <c r="N95" t="str">
        <f t="shared" si="8"/>
        <v>04</v>
      </c>
      <c r="O95" t="str">
        <f t="shared" si="5"/>
        <v>2024</v>
      </c>
      <c r="P95" t="str">
        <f t="shared" si="9"/>
        <v>16-04-2024</v>
      </c>
    </row>
    <row r="96" spans="2:16" x14ac:dyDescent="0.3">
      <c r="B96" s="70">
        <v>45398</v>
      </c>
      <c r="C96" s="70">
        <f t="shared" si="6"/>
        <v>45383</v>
      </c>
      <c r="D96" s="94">
        <v>10000</v>
      </c>
      <c r="E96" s="94">
        <v>0</v>
      </c>
      <c r="F96" s="92" t="s">
        <v>2662</v>
      </c>
      <c r="G96" s="75"/>
      <c r="H96" s="92" t="s">
        <v>2538</v>
      </c>
      <c r="I96" s="92" t="s">
        <v>3889</v>
      </c>
      <c r="K96" s="71" t="s">
        <v>2538</v>
      </c>
      <c r="L96" t="s">
        <v>64</v>
      </c>
      <c r="M96" t="str">
        <f t="shared" si="7"/>
        <v>16</v>
      </c>
      <c r="N96" t="str">
        <f t="shared" si="8"/>
        <v>04</v>
      </c>
      <c r="O96" t="str">
        <f t="shared" si="5"/>
        <v>2024</v>
      </c>
      <c r="P96" t="str">
        <f t="shared" si="9"/>
        <v>16-04-2024</v>
      </c>
    </row>
    <row r="97" spans="2:16" x14ac:dyDescent="0.3">
      <c r="B97" s="70">
        <v>45398</v>
      </c>
      <c r="C97" s="70">
        <f t="shared" si="6"/>
        <v>45383</v>
      </c>
      <c r="D97" s="94">
        <v>1</v>
      </c>
      <c r="E97" s="94">
        <v>0</v>
      </c>
      <c r="F97" s="92" t="s">
        <v>2663</v>
      </c>
      <c r="G97" s="75"/>
      <c r="H97" s="92" t="s">
        <v>589</v>
      </c>
      <c r="I97" s="92" t="s">
        <v>3892</v>
      </c>
      <c r="K97" s="71" t="s">
        <v>511</v>
      </c>
      <c r="L97" t="s">
        <v>320</v>
      </c>
      <c r="M97" t="str">
        <f t="shared" si="7"/>
        <v>16</v>
      </c>
      <c r="N97" t="str">
        <f t="shared" si="8"/>
        <v>04</v>
      </c>
      <c r="O97" t="str">
        <f t="shared" si="5"/>
        <v>2024</v>
      </c>
      <c r="P97" t="str">
        <f t="shared" si="9"/>
        <v>16-04-2024</v>
      </c>
    </row>
    <row r="98" spans="2:16" x14ac:dyDescent="0.3">
      <c r="B98" s="70">
        <v>45398</v>
      </c>
      <c r="C98" s="70">
        <f t="shared" si="6"/>
        <v>45383</v>
      </c>
      <c r="D98" s="94">
        <v>1</v>
      </c>
      <c r="E98" s="94">
        <v>0</v>
      </c>
      <c r="F98" s="92" t="s">
        <v>2664</v>
      </c>
      <c r="G98" s="75"/>
      <c r="H98" s="92" t="s">
        <v>589</v>
      </c>
      <c r="I98" s="92" t="s">
        <v>3892</v>
      </c>
      <c r="K98" s="71" t="s">
        <v>511</v>
      </c>
      <c r="L98" t="s">
        <v>322</v>
      </c>
      <c r="M98" t="str">
        <f t="shared" si="7"/>
        <v>16</v>
      </c>
      <c r="N98" t="str">
        <f t="shared" si="8"/>
        <v>04</v>
      </c>
      <c r="O98" t="str">
        <f t="shared" si="5"/>
        <v>2024</v>
      </c>
      <c r="P98" t="str">
        <f t="shared" si="9"/>
        <v>16-04-2024</v>
      </c>
    </row>
    <row r="99" spans="2:16" x14ac:dyDescent="0.3">
      <c r="B99" s="70">
        <v>45398</v>
      </c>
      <c r="C99" s="70">
        <f t="shared" si="6"/>
        <v>45383</v>
      </c>
      <c r="D99" s="94">
        <v>1</v>
      </c>
      <c r="E99" s="94">
        <v>0</v>
      </c>
      <c r="F99" s="92" t="s">
        <v>2665</v>
      </c>
      <c r="G99" s="75"/>
      <c r="H99" s="92" t="s">
        <v>589</v>
      </c>
      <c r="I99" s="92" t="s">
        <v>3892</v>
      </c>
      <c r="K99" s="71" t="s">
        <v>511</v>
      </c>
      <c r="L99" t="s">
        <v>324</v>
      </c>
      <c r="M99" t="str">
        <f t="shared" si="7"/>
        <v>16</v>
      </c>
      <c r="N99" t="str">
        <f t="shared" si="8"/>
        <v>04</v>
      </c>
      <c r="O99" t="str">
        <f t="shared" si="5"/>
        <v>2024</v>
      </c>
      <c r="P99" t="str">
        <f t="shared" si="9"/>
        <v>16-04-2024</v>
      </c>
    </row>
    <row r="100" spans="2:16" x14ac:dyDescent="0.3">
      <c r="B100" s="70">
        <v>45398</v>
      </c>
      <c r="C100" s="70">
        <f t="shared" si="6"/>
        <v>45383</v>
      </c>
      <c r="D100" s="94">
        <v>1132</v>
      </c>
      <c r="E100" s="94">
        <v>0</v>
      </c>
      <c r="F100" s="92" t="s">
        <v>2666</v>
      </c>
      <c r="G100" s="75"/>
      <c r="H100" s="92" t="s">
        <v>589</v>
      </c>
      <c r="I100" s="92" t="s">
        <v>3892</v>
      </c>
      <c r="K100" s="71" t="s">
        <v>511</v>
      </c>
      <c r="L100" t="s">
        <v>326</v>
      </c>
      <c r="M100" t="str">
        <f t="shared" si="7"/>
        <v>16</v>
      </c>
      <c r="N100" t="str">
        <f t="shared" si="8"/>
        <v>04</v>
      </c>
      <c r="O100" t="str">
        <f t="shared" si="5"/>
        <v>2024</v>
      </c>
      <c r="P100" t="str">
        <f t="shared" si="9"/>
        <v>16-04-2024</v>
      </c>
    </row>
    <row r="101" spans="2:16" x14ac:dyDescent="0.3">
      <c r="B101" s="70">
        <v>45398</v>
      </c>
      <c r="C101" s="70">
        <f t="shared" si="6"/>
        <v>45383</v>
      </c>
      <c r="D101" s="94">
        <v>2000</v>
      </c>
      <c r="E101" s="94">
        <v>0</v>
      </c>
      <c r="F101" s="92" t="s">
        <v>2667</v>
      </c>
      <c r="G101" s="75"/>
      <c r="H101" s="92" t="s">
        <v>3891</v>
      </c>
      <c r="I101" s="92" t="s">
        <v>3892</v>
      </c>
      <c r="K101" s="71" t="s">
        <v>746</v>
      </c>
      <c r="L101" t="s">
        <v>328</v>
      </c>
      <c r="M101" t="str">
        <f t="shared" si="7"/>
        <v>16</v>
      </c>
      <c r="N101" t="str">
        <f t="shared" si="8"/>
        <v>04</v>
      </c>
      <c r="O101" t="str">
        <f t="shared" si="5"/>
        <v>2024</v>
      </c>
      <c r="P101" t="str">
        <f t="shared" si="9"/>
        <v>16-04-2024</v>
      </c>
    </row>
    <row r="102" spans="2:16" x14ac:dyDescent="0.3">
      <c r="B102" s="70">
        <v>45398</v>
      </c>
      <c r="C102" s="70">
        <f t="shared" si="6"/>
        <v>45383</v>
      </c>
      <c r="D102" s="94">
        <v>50</v>
      </c>
      <c r="E102" s="94">
        <v>0</v>
      </c>
      <c r="F102" s="92" t="s">
        <v>2668</v>
      </c>
      <c r="G102" s="75"/>
      <c r="H102" s="92" t="s">
        <v>3875</v>
      </c>
      <c r="I102" s="92" t="s">
        <v>3892</v>
      </c>
      <c r="K102" s="71" t="s">
        <v>228</v>
      </c>
      <c r="L102" t="s">
        <v>330</v>
      </c>
      <c r="M102" t="str">
        <f t="shared" si="7"/>
        <v>16</v>
      </c>
      <c r="N102" t="str">
        <f t="shared" si="8"/>
        <v>04</v>
      </c>
      <c r="O102" t="str">
        <f t="shared" si="5"/>
        <v>2024</v>
      </c>
      <c r="P102" t="str">
        <f t="shared" si="9"/>
        <v>16-04-2024</v>
      </c>
    </row>
    <row r="103" spans="2:16" x14ac:dyDescent="0.3">
      <c r="B103" s="70">
        <v>45398</v>
      </c>
      <c r="C103" s="70">
        <f t="shared" si="6"/>
        <v>45383</v>
      </c>
      <c r="D103" s="94">
        <v>80</v>
      </c>
      <c r="E103" s="94">
        <v>0</v>
      </c>
      <c r="F103" s="92" t="s">
        <v>2669</v>
      </c>
      <c r="G103" s="75"/>
      <c r="H103" s="92" t="s">
        <v>589</v>
      </c>
      <c r="I103" s="92" t="s">
        <v>3892</v>
      </c>
      <c r="K103" s="71" t="s">
        <v>511</v>
      </c>
      <c r="L103" t="s">
        <v>332</v>
      </c>
      <c r="M103" t="str">
        <f t="shared" si="7"/>
        <v>16</v>
      </c>
      <c r="N103" t="str">
        <f t="shared" si="8"/>
        <v>04</v>
      </c>
      <c r="O103" t="str">
        <f t="shared" si="5"/>
        <v>2024</v>
      </c>
      <c r="P103" t="str">
        <f t="shared" si="9"/>
        <v>16-04-2024</v>
      </c>
    </row>
    <row r="104" spans="2:16" x14ac:dyDescent="0.3">
      <c r="B104" s="70">
        <v>45398</v>
      </c>
      <c r="C104" s="70">
        <f t="shared" si="6"/>
        <v>45383</v>
      </c>
      <c r="D104" s="94">
        <v>0</v>
      </c>
      <c r="E104" s="94">
        <v>804</v>
      </c>
      <c r="F104" s="92" t="s">
        <v>2670</v>
      </c>
      <c r="G104" s="75"/>
      <c r="H104" s="92" t="s">
        <v>3875</v>
      </c>
      <c r="I104" s="92" t="s">
        <v>3892</v>
      </c>
      <c r="K104" s="71" t="s">
        <v>509</v>
      </c>
      <c r="L104" t="s">
        <v>334</v>
      </c>
      <c r="M104" t="str">
        <f t="shared" si="7"/>
        <v>16</v>
      </c>
      <c r="N104" t="str">
        <f t="shared" si="8"/>
        <v>04</v>
      </c>
      <c r="O104" t="str">
        <f t="shared" si="5"/>
        <v>2024</v>
      </c>
      <c r="P104" t="str">
        <f t="shared" si="9"/>
        <v>16-04-2024</v>
      </c>
    </row>
    <row r="105" spans="2:16" x14ac:dyDescent="0.3">
      <c r="B105" s="70">
        <v>45398</v>
      </c>
      <c r="C105" s="70">
        <f t="shared" si="6"/>
        <v>45383</v>
      </c>
      <c r="D105" s="94">
        <v>0</v>
      </c>
      <c r="E105" s="94">
        <v>2000</v>
      </c>
      <c r="F105" s="92" t="s">
        <v>2671</v>
      </c>
      <c r="G105" s="75"/>
      <c r="H105" s="92" t="s">
        <v>3892</v>
      </c>
      <c r="I105" s="92" t="s">
        <v>3891</v>
      </c>
      <c r="K105" s="71" t="s">
        <v>744</v>
      </c>
      <c r="L105" t="s">
        <v>794</v>
      </c>
      <c r="M105" t="str">
        <f t="shared" si="7"/>
        <v>16</v>
      </c>
      <c r="N105" t="str">
        <f t="shared" si="8"/>
        <v>04</v>
      </c>
      <c r="O105" t="str">
        <f t="shared" si="5"/>
        <v>2024</v>
      </c>
      <c r="P105" t="str">
        <f t="shared" si="9"/>
        <v>16-04-2024</v>
      </c>
    </row>
    <row r="106" spans="2:16" x14ac:dyDescent="0.3">
      <c r="B106" s="70">
        <v>45399</v>
      </c>
      <c r="C106" s="70">
        <f t="shared" si="6"/>
        <v>45383</v>
      </c>
      <c r="D106" s="94">
        <v>961</v>
      </c>
      <c r="E106" s="94">
        <v>0</v>
      </c>
      <c r="F106" s="92" t="s">
        <v>2672</v>
      </c>
      <c r="G106" s="75"/>
      <c r="H106" s="92" t="s">
        <v>589</v>
      </c>
      <c r="I106" s="92" t="s">
        <v>3892</v>
      </c>
      <c r="K106" s="71" t="s">
        <v>511</v>
      </c>
      <c r="L106" t="s">
        <v>336</v>
      </c>
      <c r="M106" t="str">
        <f t="shared" si="7"/>
        <v>17</v>
      </c>
      <c r="N106" t="str">
        <f t="shared" si="8"/>
        <v>04</v>
      </c>
      <c r="O106" t="str">
        <f t="shared" si="5"/>
        <v>2024</v>
      </c>
      <c r="P106" t="str">
        <f t="shared" si="9"/>
        <v>17-04-2024</v>
      </c>
    </row>
    <row r="107" spans="2:16" x14ac:dyDescent="0.3">
      <c r="B107" s="70">
        <v>45399</v>
      </c>
      <c r="C107" s="70">
        <f t="shared" si="6"/>
        <v>45383</v>
      </c>
      <c r="D107" s="94">
        <v>261</v>
      </c>
      <c r="E107" s="94">
        <v>0</v>
      </c>
      <c r="F107" s="92" t="s">
        <v>2673</v>
      </c>
      <c r="G107" s="75"/>
      <c r="H107" s="92" t="s">
        <v>589</v>
      </c>
      <c r="I107" s="92" t="s">
        <v>3892</v>
      </c>
      <c r="K107" s="71" t="s">
        <v>511</v>
      </c>
      <c r="L107" t="s">
        <v>338</v>
      </c>
      <c r="M107" t="str">
        <f t="shared" si="7"/>
        <v>17</v>
      </c>
      <c r="N107" t="str">
        <f t="shared" si="8"/>
        <v>04</v>
      </c>
      <c r="O107" t="str">
        <f t="shared" si="5"/>
        <v>2024</v>
      </c>
      <c r="P107" t="str">
        <f t="shared" si="9"/>
        <v>17-04-2024</v>
      </c>
    </row>
    <row r="108" spans="2:16" x14ac:dyDescent="0.3">
      <c r="B108" s="70">
        <v>45399</v>
      </c>
      <c r="C108" s="70">
        <f t="shared" si="6"/>
        <v>45383</v>
      </c>
      <c r="D108" s="94">
        <v>20</v>
      </c>
      <c r="E108" s="94">
        <v>0</v>
      </c>
      <c r="F108" s="92" t="s">
        <v>2674</v>
      </c>
      <c r="G108" s="75"/>
      <c r="H108" s="92" t="s">
        <v>589</v>
      </c>
      <c r="I108" s="92" t="s">
        <v>3892</v>
      </c>
      <c r="K108" s="71" t="s">
        <v>511</v>
      </c>
      <c r="L108" t="s">
        <v>340</v>
      </c>
      <c r="M108" t="str">
        <f t="shared" si="7"/>
        <v>17</v>
      </c>
      <c r="N108" t="str">
        <f t="shared" si="8"/>
        <v>04</v>
      </c>
      <c r="O108" t="str">
        <f t="shared" si="5"/>
        <v>2024</v>
      </c>
      <c r="P108" t="str">
        <f t="shared" si="9"/>
        <v>17-04-2024</v>
      </c>
    </row>
    <row r="109" spans="2:16" x14ac:dyDescent="0.3">
      <c r="B109" s="70">
        <v>45399</v>
      </c>
      <c r="C109" s="70">
        <f t="shared" si="6"/>
        <v>45383</v>
      </c>
      <c r="D109" s="94">
        <v>70</v>
      </c>
      <c r="E109" s="94">
        <v>0</v>
      </c>
      <c r="F109" s="92" t="s">
        <v>2675</v>
      </c>
      <c r="G109" s="75"/>
      <c r="H109" s="92" t="s">
        <v>589</v>
      </c>
      <c r="I109" s="92" t="s">
        <v>3892</v>
      </c>
      <c r="K109" s="71" t="s">
        <v>511</v>
      </c>
      <c r="L109" t="s">
        <v>342</v>
      </c>
      <c r="M109" t="str">
        <f t="shared" si="7"/>
        <v>17</v>
      </c>
      <c r="N109" t="str">
        <f t="shared" si="8"/>
        <v>04</v>
      </c>
      <c r="O109" t="str">
        <f t="shared" si="5"/>
        <v>2024</v>
      </c>
      <c r="P109" t="str">
        <f t="shared" si="9"/>
        <v>17-04-2024</v>
      </c>
    </row>
    <row r="110" spans="2:16" x14ac:dyDescent="0.3">
      <c r="B110" s="70">
        <v>45400</v>
      </c>
      <c r="C110" s="70">
        <f t="shared" si="6"/>
        <v>45383</v>
      </c>
      <c r="D110" s="94">
        <v>0</v>
      </c>
      <c r="E110" s="94">
        <v>360.75</v>
      </c>
      <c r="F110" s="92" t="s">
        <v>2676</v>
      </c>
      <c r="G110" s="75"/>
      <c r="H110" s="92" t="s">
        <v>3881</v>
      </c>
      <c r="I110" s="92" t="s">
        <v>3889</v>
      </c>
      <c r="K110" s="71" t="s">
        <v>217</v>
      </c>
      <c r="L110" t="s">
        <v>34</v>
      </c>
      <c r="M110" t="str">
        <f t="shared" si="7"/>
        <v>18</v>
      </c>
      <c r="N110" t="str">
        <f t="shared" si="8"/>
        <v>04</v>
      </c>
      <c r="O110" t="str">
        <f t="shared" si="5"/>
        <v>2024</v>
      </c>
      <c r="P110" t="str">
        <f t="shared" si="9"/>
        <v>18-04-2024</v>
      </c>
    </row>
    <row r="111" spans="2:16" x14ac:dyDescent="0.3">
      <c r="B111" s="70">
        <v>45400</v>
      </c>
      <c r="C111" s="70">
        <f t="shared" si="6"/>
        <v>45383</v>
      </c>
      <c r="D111" s="94">
        <v>275.68</v>
      </c>
      <c r="E111" s="94">
        <v>0</v>
      </c>
      <c r="F111" s="92" t="s">
        <v>2677</v>
      </c>
      <c r="G111" s="75"/>
      <c r="H111" s="92" t="s">
        <v>3881</v>
      </c>
      <c r="I111" s="92" t="s">
        <v>3889</v>
      </c>
      <c r="K111" s="71" t="s">
        <v>217</v>
      </c>
      <c r="L111" t="s">
        <v>30</v>
      </c>
      <c r="M111" t="str">
        <f t="shared" si="7"/>
        <v>18</v>
      </c>
      <c r="N111" t="str">
        <f t="shared" si="8"/>
        <v>04</v>
      </c>
      <c r="O111" t="str">
        <f t="shared" si="5"/>
        <v>2024</v>
      </c>
      <c r="P111" t="str">
        <f t="shared" si="9"/>
        <v>18-04-2024</v>
      </c>
    </row>
    <row r="112" spans="2:16" x14ac:dyDescent="0.3">
      <c r="B112" s="70">
        <v>45400</v>
      </c>
      <c r="C112" s="70">
        <f t="shared" si="6"/>
        <v>45383</v>
      </c>
      <c r="D112" s="94">
        <v>710.07</v>
      </c>
      <c r="E112" s="94">
        <v>0</v>
      </c>
      <c r="F112" s="92" t="s">
        <v>2677</v>
      </c>
      <c r="G112" s="75"/>
      <c r="H112" s="92" t="s">
        <v>3881</v>
      </c>
      <c r="I112" s="92" t="s">
        <v>3889</v>
      </c>
      <c r="K112" s="71" t="s">
        <v>217</v>
      </c>
      <c r="L112" t="s">
        <v>30</v>
      </c>
      <c r="M112" t="str">
        <f t="shared" si="7"/>
        <v>18</v>
      </c>
      <c r="N112" t="str">
        <f t="shared" si="8"/>
        <v>04</v>
      </c>
      <c r="O112" t="str">
        <f t="shared" si="5"/>
        <v>2024</v>
      </c>
      <c r="P112" t="str">
        <f t="shared" si="9"/>
        <v>18-04-2024</v>
      </c>
    </row>
    <row r="113" spans="2:16" x14ac:dyDescent="0.3">
      <c r="B113" s="70">
        <v>45400</v>
      </c>
      <c r="C113" s="70">
        <f t="shared" si="6"/>
        <v>45383</v>
      </c>
      <c r="D113" s="94">
        <v>50</v>
      </c>
      <c r="E113" s="94">
        <v>0</v>
      </c>
      <c r="F113" s="92" t="s">
        <v>2678</v>
      </c>
      <c r="G113" s="75"/>
      <c r="H113" s="92" t="s">
        <v>589</v>
      </c>
      <c r="I113" s="92" t="s">
        <v>3891</v>
      </c>
      <c r="K113" s="71" t="s">
        <v>511</v>
      </c>
      <c r="L113" t="s">
        <v>795</v>
      </c>
      <c r="M113" t="str">
        <f t="shared" si="7"/>
        <v>18</v>
      </c>
      <c r="N113" t="str">
        <f t="shared" si="8"/>
        <v>04</v>
      </c>
      <c r="O113" t="str">
        <f t="shared" si="5"/>
        <v>2024</v>
      </c>
      <c r="P113" t="str">
        <f t="shared" si="9"/>
        <v>18-04-2024</v>
      </c>
    </row>
    <row r="114" spans="2:16" x14ac:dyDescent="0.3">
      <c r="B114" s="70">
        <v>45401</v>
      </c>
      <c r="C114" s="70">
        <f t="shared" si="6"/>
        <v>45383</v>
      </c>
      <c r="D114" s="94">
        <v>137.72</v>
      </c>
      <c r="E114" s="94">
        <v>0</v>
      </c>
      <c r="F114" s="92" t="s">
        <v>2679</v>
      </c>
      <c r="G114" s="75"/>
      <c r="H114" s="92" t="s">
        <v>3881</v>
      </c>
      <c r="I114" s="92" t="s">
        <v>3889</v>
      </c>
      <c r="K114" s="71" t="s">
        <v>217</v>
      </c>
      <c r="L114" t="s">
        <v>30</v>
      </c>
      <c r="M114" t="str">
        <f t="shared" si="7"/>
        <v>19</v>
      </c>
      <c r="N114" t="str">
        <f t="shared" si="8"/>
        <v>04</v>
      </c>
      <c r="O114" t="str">
        <f t="shared" si="5"/>
        <v>2024</v>
      </c>
      <c r="P114" t="str">
        <f t="shared" si="9"/>
        <v>19-04-2024</v>
      </c>
    </row>
    <row r="115" spans="2:16" x14ac:dyDescent="0.3">
      <c r="B115" s="70">
        <v>45401</v>
      </c>
      <c r="C115" s="70">
        <f t="shared" si="6"/>
        <v>45383</v>
      </c>
      <c r="D115" s="94">
        <v>1181.51</v>
      </c>
      <c r="E115" s="94">
        <v>0</v>
      </c>
      <c r="F115" s="92" t="s">
        <v>2679</v>
      </c>
      <c r="G115" s="75"/>
      <c r="H115" s="92" t="s">
        <v>3881</v>
      </c>
      <c r="I115" s="92" t="s">
        <v>3889</v>
      </c>
      <c r="K115" s="71" t="s">
        <v>217</v>
      </c>
      <c r="L115" t="s">
        <v>30</v>
      </c>
      <c r="M115" t="str">
        <f t="shared" si="7"/>
        <v>19</v>
      </c>
      <c r="N115" t="str">
        <f t="shared" si="8"/>
        <v>04</v>
      </c>
      <c r="O115" t="str">
        <f t="shared" si="5"/>
        <v>2024</v>
      </c>
      <c r="P115" t="str">
        <f t="shared" si="9"/>
        <v>19-04-2024</v>
      </c>
    </row>
    <row r="116" spans="2:16" x14ac:dyDescent="0.3">
      <c r="B116" s="70">
        <v>45403</v>
      </c>
      <c r="C116" s="70">
        <f t="shared" si="6"/>
        <v>45383</v>
      </c>
      <c r="D116" s="94">
        <v>1.18</v>
      </c>
      <c r="E116" s="94">
        <v>0</v>
      </c>
      <c r="F116" s="92" t="s">
        <v>2680</v>
      </c>
      <c r="G116" s="75"/>
      <c r="H116" s="92" t="s">
        <v>221</v>
      </c>
      <c r="I116" s="92" t="s">
        <v>3890</v>
      </c>
      <c r="K116" s="71" t="s">
        <v>221</v>
      </c>
      <c r="L116" t="s">
        <v>253</v>
      </c>
      <c r="M116" t="str">
        <f t="shared" si="7"/>
        <v>21</v>
      </c>
      <c r="N116" t="str">
        <f t="shared" si="8"/>
        <v>04</v>
      </c>
      <c r="O116" t="str">
        <f t="shared" si="5"/>
        <v>2024</v>
      </c>
      <c r="P116" t="str">
        <f t="shared" si="9"/>
        <v>21-04-2024</v>
      </c>
    </row>
    <row r="117" spans="2:16" x14ac:dyDescent="0.3">
      <c r="B117" s="70">
        <v>45403</v>
      </c>
      <c r="C117" s="70">
        <f t="shared" si="6"/>
        <v>45383</v>
      </c>
      <c r="D117" s="94">
        <v>914</v>
      </c>
      <c r="E117" s="94">
        <v>0</v>
      </c>
      <c r="F117" s="92" t="s">
        <v>2681</v>
      </c>
      <c r="G117" s="75"/>
      <c r="H117" s="92" t="s">
        <v>589</v>
      </c>
      <c r="I117" s="92" t="s">
        <v>3892</v>
      </c>
      <c r="K117" s="71" t="s">
        <v>511</v>
      </c>
      <c r="L117" t="s">
        <v>344</v>
      </c>
      <c r="M117" t="str">
        <f t="shared" si="7"/>
        <v>21</v>
      </c>
      <c r="N117" t="str">
        <f t="shared" si="8"/>
        <v>04</v>
      </c>
      <c r="O117" t="str">
        <f t="shared" si="5"/>
        <v>2024</v>
      </c>
      <c r="P117" t="str">
        <f t="shared" si="9"/>
        <v>21-04-2024</v>
      </c>
    </row>
    <row r="118" spans="2:16" x14ac:dyDescent="0.3">
      <c r="B118" s="70">
        <v>45403</v>
      </c>
      <c r="C118" s="70">
        <f t="shared" si="6"/>
        <v>45383</v>
      </c>
      <c r="D118" s="94">
        <v>736.9</v>
      </c>
      <c r="E118" s="94">
        <v>0</v>
      </c>
      <c r="F118" s="92" t="s">
        <v>2682</v>
      </c>
      <c r="G118" s="75"/>
      <c r="H118" s="92" t="s">
        <v>3875</v>
      </c>
      <c r="I118" s="92" t="s">
        <v>3892</v>
      </c>
      <c r="K118" s="71" t="s">
        <v>509</v>
      </c>
      <c r="L118" t="s">
        <v>346</v>
      </c>
      <c r="M118" t="str">
        <f t="shared" si="7"/>
        <v>21</v>
      </c>
      <c r="N118" t="str">
        <f t="shared" si="8"/>
        <v>04</v>
      </c>
      <c r="O118" t="str">
        <f t="shared" si="5"/>
        <v>2024</v>
      </c>
      <c r="P118" t="str">
        <f t="shared" si="9"/>
        <v>21-04-2024</v>
      </c>
    </row>
    <row r="119" spans="2:16" x14ac:dyDescent="0.3">
      <c r="B119" s="70">
        <v>45403</v>
      </c>
      <c r="C119" s="70">
        <f t="shared" si="6"/>
        <v>45383</v>
      </c>
      <c r="D119" s="94">
        <v>91</v>
      </c>
      <c r="E119" s="94">
        <v>0</v>
      </c>
      <c r="F119" s="92" t="s">
        <v>2683</v>
      </c>
      <c r="G119" s="75"/>
      <c r="H119" s="92" t="s">
        <v>589</v>
      </c>
      <c r="I119" s="92" t="s">
        <v>3892</v>
      </c>
      <c r="K119" s="71" t="s">
        <v>511</v>
      </c>
      <c r="L119" t="s">
        <v>348</v>
      </c>
      <c r="M119" t="str">
        <f t="shared" si="7"/>
        <v>21</v>
      </c>
      <c r="N119" t="str">
        <f t="shared" si="8"/>
        <v>04</v>
      </c>
      <c r="O119" t="str">
        <f t="shared" si="5"/>
        <v>2024</v>
      </c>
      <c r="P119" t="str">
        <f t="shared" si="9"/>
        <v>21-04-2024</v>
      </c>
    </row>
    <row r="120" spans="2:16" x14ac:dyDescent="0.3">
      <c r="B120" s="70">
        <v>45404</v>
      </c>
      <c r="C120" s="70">
        <f t="shared" si="6"/>
        <v>45383</v>
      </c>
      <c r="D120" s="94">
        <v>411.9</v>
      </c>
      <c r="E120" s="94">
        <v>0</v>
      </c>
      <c r="F120" s="92" t="s">
        <v>2684</v>
      </c>
      <c r="G120" s="75"/>
      <c r="H120" s="92" t="s">
        <v>3881</v>
      </c>
      <c r="I120" s="92" t="s">
        <v>3889</v>
      </c>
      <c r="K120" s="71" t="s">
        <v>217</v>
      </c>
      <c r="L120" t="s">
        <v>30</v>
      </c>
      <c r="M120" t="str">
        <f t="shared" si="7"/>
        <v>22</v>
      </c>
      <c r="N120" t="str">
        <f t="shared" si="8"/>
        <v>04</v>
      </c>
      <c r="O120" t="str">
        <f t="shared" si="5"/>
        <v>2024</v>
      </c>
      <c r="P120" t="str">
        <f t="shared" si="9"/>
        <v>22-04-2024</v>
      </c>
    </row>
    <row r="121" spans="2:16" x14ac:dyDescent="0.3">
      <c r="B121" s="70">
        <v>45404</v>
      </c>
      <c r="C121" s="70">
        <f t="shared" si="6"/>
        <v>45383</v>
      </c>
      <c r="D121" s="94">
        <v>100</v>
      </c>
      <c r="E121" s="94">
        <v>0</v>
      </c>
      <c r="F121" s="92" t="s">
        <v>2685</v>
      </c>
      <c r="G121" s="75"/>
      <c r="H121" s="92" t="s">
        <v>589</v>
      </c>
      <c r="I121" s="92" t="s">
        <v>3892</v>
      </c>
      <c r="K121" s="71" t="s">
        <v>511</v>
      </c>
      <c r="L121" t="s">
        <v>350</v>
      </c>
      <c r="M121" t="str">
        <f t="shared" si="7"/>
        <v>22</v>
      </c>
      <c r="N121" t="str">
        <f t="shared" si="8"/>
        <v>04</v>
      </c>
      <c r="O121" t="str">
        <f t="shared" si="5"/>
        <v>2024</v>
      </c>
      <c r="P121" t="str">
        <f t="shared" si="9"/>
        <v>22-04-2024</v>
      </c>
    </row>
    <row r="122" spans="2:16" x14ac:dyDescent="0.3">
      <c r="B122" s="70">
        <v>45405</v>
      </c>
      <c r="C122" s="70">
        <f t="shared" si="6"/>
        <v>45383</v>
      </c>
      <c r="D122" s="94">
        <v>0</v>
      </c>
      <c r="E122" s="94">
        <v>1968.45</v>
      </c>
      <c r="F122" s="92" t="s">
        <v>2686</v>
      </c>
      <c r="G122" s="75"/>
      <c r="H122" s="92" t="s">
        <v>3881</v>
      </c>
      <c r="I122" s="92" t="s">
        <v>3889</v>
      </c>
      <c r="K122" s="71" t="s">
        <v>217</v>
      </c>
      <c r="L122" t="s">
        <v>34</v>
      </c>
      <c r="M122" t="str">
        <f t="shared" si="7"/>
        <v>23</v>
      </c>
      <c r="N122" t="str">
        <f t="shared" si="8"/>
        <v>04</v>
      </c>
      <c r="O122" t="str">
        <f t="shared" si="5"/>
        <v>2024</v>
      </c>
      <c r="P122" t="str">
        <f t="shared" si="9"/>
        <v>23-04-2024</v>
      </c>
    </row>
    <row r="123" spans="2:16" x14ac:dyDescent="0.3">
      <c r="B123" s="70">
        <v>45405</v>
      </c>
      <c r="C123" s="70">
        <f t="shared" si="6"/>
        <v>45383</v>
      </c>
      <c r="D123" s="94">
        <v>137.30000000000001</v>
      </c>
      <c r="E123" s="94">
        <v>0</v>
      </c>
      <c r="F123" s="92" t="s">
        <v>2687</v>
      </c>
      <c r="G123" s="75"/>
      <c r="H123" s="92" t="s">
        <v>3881</v>
      </c>
      <c r="I123" s="92" t="s">
        <v>3889</v>
      </c>
      <c r="K123" s="71" t="s">
        <v>217</v>
      </c>
      <c r="L123" t="s">
        <v>30</v>
      </c>
      <c r="M123" t="str">
        <f t="shared" si="7"/>
        <v>23</v>
      </c>
      <c r="N123" t="str">
        <f t="shared" si="8"/>
        <v>04</v>
      </c>
      <c r="O123" t="str">
        <f t="shared" si="5"/>
        <v>2024</v>
      </c>
      <c r="P123" t="str">
        <f t="shared" si="9"/>
        <v>23-04-2024</v>
      </c>
    </row>
    <row r="124" spans="2:16" x14ac:dyDescent="0.3">
      <c r="B124" s="70">
        <v>45405</v>
      </c>
      <c r="C124" s="70">
        <f t="shared" si="6"/>
        <v>45383</v>
      </c>
      <c r="D124" s="94">
        <v>640.47</v>
      </c>
      <c r="E124" s="94">
        <v>0</v>
      </c>
      <c r="F124" s="92" t="s">
        <v>2687</v>
      </c>
      <c r="G124" s="75"/>
      <c r="H124" s="92" t="s">
        <v>3881</v>
      </c>
      <c r="I124" s="92" t="s">
        <v>3889</v>
      </c>
      <c r="K124" s="71" t="s">
        <v>217</v>
      </c>
      <c r="L124" t="s">
        <v>30</v>
      </c>
      <c r="M124" t="str">
        <f t="shared" si="7"/>
        <v>23</v>
      </c>
      <c r="N124" t="str">
        <f t="shared" si="8"/>
        <v>04</v>
      </c>
      <c r="O124" t="str">
        <f t="shared" si="5"/>
        <v>2024</v>
      </c>
      <c r="P124" t="str">
        <f t="shared" si="9"/>
        <v>23-04-2024</v>
      </c>
    </row>
    <row r="125" spans="2:16" x14ac:dyDescent="0.3">
      <c r="B125" s="70">
        <v>45405</v>
      </c>
      <c r="C125" s="70">
        <f t="shared" si="6"/>
        <v>45383</v>
      </c>
      <c r="D125" s="94">
        <v>0</v>
      </c>
      <c r="E125" s="94">
        <v>1950.19</v>
      </c>
      <c r="F125" s="92" t="s">
        <v>2688</v>
      </c>
      <c r="G125" s="75"/>
      <c r="H125" s="92" t="s">
        <v>3891</v>
      </c>
      <c r="I125" s="92" t="s">
        <v>3893</v>
      </c>
      <c r="K125" s="71" t="s">
        <v>746</v>
      </c>
      <c r="L125" t="s">
        <v>560</v>
      </c>
      <c r="M125" t="str">
        <f t="shared" si="7"/>
        <v>23</v>
      </c>
      <c r="N125" t="str">
        <f t="shared" si="8"/>
        <v>04</v>
      </c>
      <c r="O125" t="str">
        <f t="shared" si="5"/>
        <v>2024</v>
      </c>
      <c r="P125" t="str">
        <f t="shared" si="9"/>
        <v>23-04-2024</v>
      </c>
    </row>
    <row r="126" spans="2:16" x14ac:dyDescent="0.3">
      <c r="B126" s="70">
        <v>45405</v>
      </c>
      <c r="C126" s="70">
        <f t="shared" si="6"/>
        <v>45383</v>
      </c>
      <c r="D126" s="94">
        <v>1950.19</v>
      </c>
      <c r="E126" s="94">
        <v>0</v>
      </c>
      <c r="F126" s="92" t="s">
        <v>2689</v>
      </c>
      <c r="G126" s="75"/>
      <c r="H126" s="92" t="s">
        <v>3893</v>
      </c>
      <c r="I126" s="92" t="s">
        <v>3891</v>
      </c>
      <c r="K126" s="71" t="s">
        <v>745</v>
      </c>
      <c r="L126" t="s">
        <v>796</v>
      </c>
      <c r="M126" t="str">
        <f t="shared" si="7"/>
        <v>23</v>
      </c>
      <c r="N126" t="str">
        <f t="shared" si="8"/>
        <v>04</v>
      </c>
      <c r="O126" t="str">
        <f t="shared" si="5"/>
        <v>2024</v>
      </c>
      <c r="P126" t="str">
        <f t="shared" si="9"/>
        <v>23-04-2024</v>
      </c>
    </row>
    <row r="127" spans="2:16" x14ac:dyDescent="0.3">
      <c r="B127" s="70">
        <v>45406</v>
      </c>
      <c r="C127" s="70">
        <f t="shared" si="6"/>
        <v>45383</v>
      </c>
      <c r="D127" s="94">
        <v>137.77000000000001</v>
      </c>
      <c r="E127" s="94">
        <v>0</v>
      </c>
      <c r="F127" s="92" t="s">
        <v>2690</v>
      </c>
      <c r="G127" s="75"/>
      <c r="H127" s="92" t="s">
        <v>3881</v>
      </c>
      <c r="I127" s="92" t="s">
        <v>3889</v>
      </c>
      <c r="K127" s="71" t="s">
        <v>217</v>
      </c>
      <c r="L127" t="s">
        <v>30</v>
      </c>
      <c r="M127" t="str">
        <f t="shared" si="7"/>
        <v>24</v>
      </c>
      <c r="N127" t="str">
        <f t="shared" si="8"/>
        <v>04</v>
      </c>
      <c r="O127" t="str">
        <f t="shared" si="5"/>
        <v>2024</v>
      </c>
      <c r="P127" t="str">
        <f t="shared" si="9"/>
        <v>24-04-2024</v>
      </c>
    </row>
    <row r="128" spans="2:16" x14ac:dyDescent="0.3">
      <c r="B128" s="70">
        <v>45407</v>
      </c>
      <c r="C128" s="70">
        <f t="shared" si="6"/>
        <v>45383</v>
      </c>
      <c r="D128" s="94">
        <v>0</v>
      </c>
      <c r="E128" s="94">
        <v>34.58</v>
      </c>
      <c r="F128" s="92" t="s">
        <v>2691</v>
      </c>
      <c r="G128" s="75"/>
      <c r="H128" s="92" t="s">
        <v>3881</v>
      </c>
      <c r="I128" s="92" t="s">
        <v>3889</v>
      </c>
      <c r="K128" s="71" t="s">
        <v>217</v>
      </c>
      <c r="L128" t="s">
        <v>34</v>
      </c>
      <c r="M128" t="str">
        <f t="shared" si="7"/>
        <v>25</v>
      </c>
      <c r="N128" t="str">
        <f t="shared" si="8"/>
        <v>04</v>
      </c>
      <c r="O128" t="str">
        <f t="shared" si="5"/>
        <v>2024</v>
      </c>
      <c r="P128" t="str">
        <f t="shared" si="9"/>
        <v>25-04-2024</v>
      </c>
    </row>
    <row r="129" spans="2:16" x14ac:dyDescent="0.3">
      <c r="B129" s="70">
        <v>45407</v>
      </c>
      <c r="C129" s="70">
        <f t="shared" si="6"/>
        <v>45383</v>
      </c>
      <c r="D129" s="94">
        <v>137.77000000000001</v>
      </c>
      <c r="E129" s="94">
        <v>0</v>
      </c>
      <c r="F129" s="92" t="s">
        <v>2692</v>
      </c>
      <c r="G129" s="75"/>
      <c r="H129" s="92" t="s">
        <v>3881</v>
      </c>
      <c r="I129" s="92" t="s">
        <v>3889</v>
      </c>
      <c r="K129" s="71" t="s">
        <v>217</v>
      </c>
      <c r="L129" t="s">
        <v>30</v>
      </c>
      <c r="M129" t="str">
        <f t="shared" si="7"/>
        <v>25</v>
      </c>
      <c r="N129" t="str">
        <f t="shared" si="8"/>
        <v>04</v>
      </c>
      <c r="O129" t="str">
        <f t="shared" si="5"/>
        <v>2024</v>
      </c>
      <c r="P129" t="str">
        <f t="shared" si="9"/>
        <v>25-04-2024</v>
      </c>
    </row>
    <row r="130" spans="2:16" x14ac:dyDescent="0.3">
      <c r="B130" s="70">
        <v>45407</v>
      </c>
      <c r="C130" s="70">
        <f t="shared" si="6"/>
        <v>45383</v>
      </c>
      <c r="D130" s="94">
        <v>50</v>
      </c>
      <c r="E130" s="94">
        <v>0</v>
      </c>
      <c r="F130" s="92" t="s">
        <v>2693</v>
      </c>
      <c r="G130" s="75"/>
      <c r="H130" s="92" t="s">
        <v>3875</v>
      </c>
      <c r="I130" s="92" t="s">
        <v>3892</v>
      </c>
      <c r="K130" s="71" t="s">
        <v>509</v>
      </c>
      <c r="L130" t="s">
        <v>352</v>
      </c>
      <c r="M130" t="str">
        <f t="shared" si="7"/>
        <v>25</v>
      </c>
      <c r="N130" t="str">
        <f t="shared" si="8"/>
        <v>04</v>
      </c>
      <c r="O130" t="str">
        <f t="shared" si="5"/>
        <v>2024</v>
      </c>
      <c r="P130" t="str">
        <f t="shared" si="9"/>
        <v>25-04-2024</v>
      </c>
    </row>
    <row r="131" spans="2:16" x14ac:dyDescent="0.3">
      <c r="B131" s="70">
        <v>45407</v>
      </c>
      <c r="C131" s="70">
        <f t="shared" si="6"/>
        <v>45383</v>
      </c>
      <c r="D131" s="94">
        <v>199</v>
      </c>
      <c r="E131" s="94">
        <v>0</v>
      </c>
      <c r="F131" s="92" t="s">
        <v>2694</v>
      </c>
      <c r="G131" s="75"/>
      <c r="H131" s="92" t="s">
        <v>589</v>
      </c>
      <c r="I131" s="92" t="s">
        <v>3892</v>
      </c>
      <c r="K131" s="71" t="s">
        <v>511</v>
      </c>
      <c r="L131" t="s">
        <v>354</v>
      </c>
      <c r="M131" t="str">
        <f t="shared" si="7"/>
        <v>25</v>
      </c>
      <c r="N131" t="str">
        <f t="shared" si="8"/>
        <v>04</v>
      </c>
      <c r="O131" t="str">
        <f t="shared" ref="O131:O194" si="10">TEXT(B131,"YYYY")</f>
        <v>2024</v>
      </c>
      <c r="P131" t="str">
        <f t="shared" si="9"/>
        <v>25-04-2024</v>
      </c>
    </row>
    <row r="132" spans="2:16" x14ac:dyDescent="0.3">
      <c r="B132" s="70">
        <v>45408</v>
      </c>
      <c r="C132" s="70">
        <f t="shared" ref="C132:C195" si="11">EOMONTH(B132,-1)+1</f>
        <v>45383</v>
      </c>
      <c r="D132" s="94">
        <v>0</v>
      </c>
      <c r="E132" s="94">
        <v>808.17</v>
      </c>
      <c r="F132" s="92" t="s">
        <v>2695</v>
      </c>
      <c r="G132" s="75"/>
      <c r="H132" s="92" t="s">
        <v>3881</v>
      </c>
      <c r="I132" s="92" t="s">
        <v>3889</v>
      </c>
      <c r="K132" s="71" t="s">
        <v>217</v>
      </c>
      <c r="L132" t="s">
        <v>34</v>
      </c>
      <c r="M132" t="str">
        <f t="shared" ref="M132:M195" si="12">TEXT(B132,"DD")</f>
        <v>26</v>
      </c>
      <c r="N132" t="str">
        <f t="shared" ref="N132:N195" si="13">TEXT(B132,"MM")</f>
        <v>04</v>
      </c>
      <c r="O132" t="str">
        <f t="shared" si="10"/>
        <v>2024</v>
      </c>
      <c r="P132" t="str">
        <f t="shared" ref="P132:P195" si="14">M132&amp;"-"&amp;N132&amp;"-"&amp;O132</f>
        <v>26-04-2024</v>
      </c>
    </row>
    <row r="133" spans="2:16" x14ac:dyDescent="0.3">
      <c r="B133" s="70">
        <v>45408</v>
      </c>
      <c r="C133" s="70">
        <f t="shared" si="11"/>
        <v>45383</v>
      </c>
      <c r="D133" s="94">
        <v>137.78</v>
      </c>
      <c r="E133" s="94">
        <v>0</v>
      </c>
      <c r="F133" s="92" t="s">
        <v>2696</v>
      </c>
      <c r="G133" s="75"/>
      <c r="H133" s="92" t="s">
        <v>3881</v>
      </c>
      <c r="I133" s="92" t="s">
        <v>3889</v>
      </c>
      <c r="K133" s="71" t="s">
        <v>217</v>
      </c>
      <c r="L133" t="s">
        <v>30</v>
      </c>
      <c r="M133" t="str">
        <f t="shared" si="12"/>
        <v>26</v>
      </c>
      <c r="N133" t="str">
        <f t="shared" si="13"/>
        <v>04</v>
      </c>
      <c r="O133" t="str">
        <f t="shared" si="10"/>
        <v>2024</v>
      </c>
      <c r="P133" t="str">
        <f t="shared" si="14"/>
        <v>26-04-2024</v>
      </c>
    </row>
    <row r="134" spans="2:16" x14ac:dyDescent="0.3">
      <c r="B134" s="70">
        <v>45409</v>
      </c>
      <c r="C134" s="70">
        <f t="shared" si="11"/>
        <v>45383</v>
      </c>
      <c r="D134" s="94">
        <v>75</v>
      </c>
      <c r="E134" s="94">
        <v>0</v>
      </c>
      <c r="F134" s="92" t="s">
        <v>2697</v>
      </c>
      <c r="G134" s="75"/>
      <c r="H134" s="92" t="s">
        <v>589</v>
      </c>
      <c r="I134" s="92" t="s">
        <v>3892</v>
      </c>
      <c r="K134" s="71" t="s">
        <v>511</v>
      </c>
      <c r="L134" t="s">
        <v>356</v>
      </c>
      <c r="M134" t="str">
        <f t="shared" si="12"/>
        <v>27</v>
      </c>
      <c r="N134" t="str">
        <f t="shared" si="13"/>
        <v>04</v>
      </c>
      <c r="O134" t="str">
        <f t="shared" si="10"/>
        <v>2024</v>
      </c>
      <c r="P134" t="str">
        <f t="shared" si="14"/>
        <v>27-04-2024</v>
      </c>
    </row>
    <row r="135" spans="2:16" x14ac:dyDescent="0.3">
      <c r="B135" s="70">
        <v>45410</v>
      </c>
      <c r="C135" s="70">
        <f t="shared" si="11"/>
        <v>45383</v>
      </c>
      <c r="D135" s="94">
        <v>10000</v>
      </c>
      <c r="E135" s="94">
        <v>0</v>
      </c>
      <c r="F135" s="92" t="s">
        <v>2698</v>
      </c>
      <c r="G135" s="75"/>
      <c r="H135" s="92" t="s">
        <v>3888</v>
      </c>
      <c r="I135" s="92" t="s">
        <v>3893</v>
      </c>
      <c r="K135" s="71" t="s">
        <v>508</v>
      </c>
      <c r="L135" t="s">
        <v>561</v>
      </c>
      <c r="M135" t="str">
        <f t="shared" si="12"/>
        <v>28</v>
      </c>
      <c r="N135" t="str">
        <f t="shared" si="13"/>
        <v>04</v>
      </c>
      <c r="O135" t="str">
        <f t="shared" si="10"/>
        <v>2024</v>
      </c>
      <c r="P135" t="str">
        <f t="shared" si="14"/>
        <v>28-04-2024</v>
      </c>
    </row>
    <row r="136" spans="2:16" x14ac:dyDescent="0.3">
      <c r="B136" s="70">
        <v>45411</v>
      </c>
      <c r="C136" s="70">
        <f t="shared" si="11"/>
        <v>45383</v>
      </c>
      <c r="D136" s="94">
        <v>0</v>
      </c>
      <c r="E136" s="94">
        <v>12156</v>
      </c>
      <c r="F136" s="92" t="s">
        <v>2699</v>
      </c>
      <c r="G136" s="75"/>
      <c r="H136" s="92" t="s">
        <v>3881</v>
      </c>
      <c r="I136" s="92" t="s">
        <v>3889</v>
      </c>
      <c r="K136" s="71" t="s">
        <v>217</v>
      </c>
      <c r="L136" t="s">
        <v>34</v>
      </c>
      <c r="M136" t="str">
        <f t="shared" si="12"/>
        <v>29</v>
      </c>
      <c r="N136" t="str">
        <f t="shared" si="13"/>
        <v>04</v>
      </c>
      <c r="O136" t="str">
        <f t="shared" si="10"/>
        <v>2024</v>
      </c>
      <c r="P136" t="str">
        <f t="shared" si="14"/>
        <v>29-04-2024</v>
      </c>
    </row>
    <row r="137" spans="2:16" x14ac:dyDescent="0.3">
      <c r="B137" s="70">
        <v>45411</v>
      </c>
      <c r="C137" s="70">
        <f t="shared" si="11"/>
        <v>45383</v>
      </c>
      <c r="D137" s="94">
        <v>5000</v>
      </c>
      <c r="E137" s="94">
        <v>0</v>
      </c>
      <c r="F137" s="92" t="s">
        <v>2700</v>
      </c>
      <c r="G137" s="75"/>
      <c r="H137" s="92" t="s">
        <v>2538</v>
      </c>
      <c r="I137" s="92" t="s">
        <v>3889</v>
      </c>
      <c r="K137" s="71" t="s">
        <v>219</v>
      </c>
      <c r="L137" t="s">
        <v>81</v>
      </c>
      <c r="M137" t="str">
        <f t="shared" si="12"/>
        <v>29</v>
      </c>
      <c r="N137" t="str">
        <f t="shared" si="13"/>
        <v>04</v>
      </c>
      <c r="O137" t="str">
        <f t="shared" si="10"/>
        <v>2024</v>
      </c>
      <c r="P137" t="str">
        <f t="shared" si="14"/>
        <v>29-04-2024</v>
      </c>
    </row>
    <row r="138" spans="2:16" x14ac:dyDescent="0.3">
      <c r="B138" s="70">
        <v>45411</v>
      </c>
      <c r="C138" s="70">
        <f t="shared" si="11"/>
        <v>45383</v>
      </c>
      <c r="D138" s="94">
        <v>414.21</v>
      </c>
      <c r="E138" s="94">
        <v>0</v>
      </c>
      <c r="F138" s="92" t="s">
        <v>2701</v>
      </c>
      <c r="G138" s="75"/>
      <c r="H138" s="92" t="s">
        <v>3881</v>
      </c>
      <c r="I138" s="92" t="s">
        <v>3889</v>
      </c>
      <c r="K138" s="71" t="s">
        <v>217</v>
      </c>
      <c r="L138" t="s">
        <v>30</v>
      </c>
      <c r="M138" t="str">
        <f t="shared" si="12"/>
        <v>29</v>
      </c>
      <c r="N138" t="str">
        <f t="shared" si="13"/>
        <v>04</v>
      </c>
      <c r="O138" t="str">
        <f t="shared" si="10"/>
        <v>2024</v>
      </c>
      <c r="P138" t="str">
        <f t="shared" si="14"/>
        <v>29-04-2024</v>
      </c>
    </row>
    <row r="139" spans="2:16" x14ac:dyDescent="0.3">
      <c r="B139" s="70">
        <v>45411</v>
      </c>
      <c r="C139" s="70">
        <f t="shared" si="11"/>
        <v>45383</v>
      </c>
      <c r="D139" s="94">
        <v>0</v>
      </c>
      <c r="E139" s="94">
        <v>67921</v>
      </c>
      <c r="F139" s="92" t="s">
        <v>2702</v>
      </c>
      <c r="G139" s="75"/>
      <c r="H139" s="92" t="s">
        <v>507</v>
      </c>
      <c r="I139" s="92" t="s">
        <v>3892</v>
      </c>
      <c r="K139" s="71" t="s">
        <v>507</v>
      </c>
      <c r="L139" t="s">
        <v>358</v>
      </c>
      <c r="M139" t="str">
        <f t="shared" si="12"/>
        <v>29</v>
      </c>
      <c r="N139" t="str">
        <f t="shared" si="13"/>
        <v>04</v>
      </c>
      <c r="O139" t="str">
        <f t="shared" si="10"/>
        <v>2024</v>
      </c>
      <c r="P139" t="str">
        <f t="shared" si="14"/>
        <v>29-04-2024</v>
      </c>
    </row>
    <row r="140" spans="2:16" x14ac:dyDescent="0.3">
      <c r="B140" s="70">
        <v>45412</v>
      </c>
      <c r="C140" s="70">
        <f t="shared" si="11"/>
        <v>45383</v>
      </c>
      <c r="D140" s="94">
        <v>0</v>
      </c>
      <c r="E140" s="94">
        <v>25414.99</v>
      </c>
      <c r="F140" s="92" t="s">
        <v>2703</v>
      </c>
      <c r="G140" s="75"/>
      <c r="H140" s="92" t="s">
        <v>3881</v>
      </c>
      <c r="I140" s="92" t="s">
        <v>3889</v>
      </c>
      <c r="K140" s="71" t="s">
        <v>217</v>
      </c>
      <c r="L140" t="s">
        <v>34</v>
      </c>
      <c r="M140" t="str">
        <f t="shared" si="12"/>
        <v>30</v>
      </c>
      <c r="N140" t="str">
        <f t="shared" si="13"/>
        <v>04</v>
      </c>
      <c r="O140" t="str">
        <f t="shared" si="10"/>
        <v>2024</v>
      </c>
      <c r="P140" t="str">
        <f t="shared" si="14"/>
        <v>30-04-2024</v>
      </c>
    </row>
    <row r="141" spans="2:16" x14ac:dyDescent="0.3">
      <c r="B141" s="70">
        <v>45412</v>
      </c>
      <c r="C141" s="70">
        <f t="shared" si="11"/>
        <v>45383</v>
      </c>
      <c r="D141" s="94">
        <v>5000</v>
      </c>
      <c r="E141" s="94">
        <v>0</v>
      </c>
      <c r="F141" s="92" t="s">
        <v>2704</v>
      </c>
      <c r="G141" s="75"/>
      <c r="H141" s="92" t="s">
        <v>2538</v>
      </c>
      <c r="I141" s="92" t="s">
        <v>3889</v>
      </c>
      <c r="K141" s="71" t="s">
        <v>219</v>
      </c>
      <c r="L141" t="s">
        <v>85</v>
      </c>
      <c r="M141" t="str">
        <f t="shared" si="12"/>
        <v>30</v>
      </c>
      <c r="N141" t="str">
        <f t="shared" si="13"/>
        <v>04</v>
      </c>
      <c r="O141" t="str">
        <f t="shared" si="10"/>
        <v>2024</v>
      </c>
      <c r="P141" t="str">
        <f t="shared" si="14"/>
        <v>30-04-2024</v>
      </c>
    </row>
    <row r="142" spans="2:16" x14ac:dyDescent="0.3">
      <c r="B142" s="70">
        <v>45412</v>
      </c>
      <c r="C142" s="70">
        <f t="shared" si="11"/>
        <v>45383</v>
      </c>
      <c r="D142" s="94">
        <v>133.97999999999999</v>
      </c>
      <c r="E142" s="94">
        <v>0</v>
      </c>
      <c r="F142" s="92" t="s">
        <v>2705</v>
      </c>
      <c r="G142" s="75"/>
      <c r="H142" s="92" t="s">
        <v>3881</v>
      </c>
      <c r="I142" s="92" t="s">
        <v>3889</v>
      </c>
      <c r="K142" s="71" t="s">
        <v>217</v>
      </c>
      <c r="L142" t="s">
        <v>30</v>
      </c>
      <c r="M142" t="str">
        <f t="shared" si="12"/>
        <v>30</v>
      </c>
      <c r="N142" t="str">
        <f t="shared" si="13"/>
        <v>04</v>
      </c>
      <c r="O142" t="str">
        <f t="shared" si="10"/>
        <v>2024</v>
      </c>
      <c r="P142" t="str">
        <f t="shared" si="14"/>
        <v>30-04-2024</v>
      </c>
    </row>
    <row r="143" spans="2:16" x14ac:dyDescent="0.3">
      <c r="B143" s="70">
        <v>45412</v>
      </c>
      <c r="C143" s="70">
        <f t="shared" si="11"/>
        <v>45383</v>
      </c>
      <c r="D143" s="94">
        <v>42065.11</v>
      </c>
      <c r="E143" s="94">
        <v>0</v>
      </c>
      <c r="F143" s="92" t="s">
        <v>2705</v>
      </c>
      <c r="G143" s="75"/>
      <c r="H143" s="92" t="s">
        <v>3881</v>
      </c>
      <c r="I143" s="92" t="s">
        <v>3889</v>
      </c>
      <c r="K143" s="71" t="s">
        <v>217</v>
      </c>
      <c r="L143" t="s">
        <v>30</v>
      </c>
      <c r="M143" t="str">
        <f t="shared" si="12"/>
        <v>30</v>
      </c>
      <c r="N143" t="str">
        <f t="shared" si="13"/>
        <v>04</v>
      </c>
      <c r="O143" t="str">
        <f t="shared" si="10"/>
        <v>2024</v>
      </c>
      <c r="P143" t="str">
        <f t="shared" si="14"/>
        <v>30-04-2024</v>
      </c>
    </row>
    <row r="144" spans="2:16" x14ac:dyDescent="0.3">
      <c r="B144" s="70">
        <v>45412</v>
      </c>
      <c r="C144" s="70">
        <f t="shared" si="11"/>
        <v>45383</v>
      </c>
      <c r="D144" s="94">
        <v>0</v>
      </c>
      <c r="E144" s="94">
        <v>35000</v>
      </c>
      <c r="F144" s="92" t="s">
        <v>2706</v>
      </c>
      <c r="G144" s="75"/>
      <c r="H144" s="92" t="s">
        <v>3892</v>
      </c>
      <c r="I144" s="92" t="s">
        <v>3893</v>
      </c>
      <c r="K144" s="71" t="s">
        <v>747</v>
      </c>
      <c r="L144" t="s">
        <v>562</v>
      </c>
      <c r="M144" t="str">
        <f t="shared" si="12"/>
        <v>30</v>
      </c>
      <c r="N144" t="str">
        <f t="shared" si="13"/>
        <v>04</v>
      </c>
      <c r="O144" t="str">
        <f t="shared" si="10"/>
        <v>2024</v>
      </c>
      <c r="P144" t="str">
        <f t="shared" si="14"/>
        <v>30-04-2024</v>
      </c>
    </row>
    <row r="145" spans="2:16" x14ac:dyDescent="0.3">
      <c r="B145" s="70">
        <v>45412</v>
      </c>
      <c r="C145" s="70">
        <f t="shared" si="11"/>
        <v>45383</v>
      </c>
      <c r="D145" s="94">
        <v>35000</v>
      </c>
      <c r="E145" s="94">
        <v>0</v>
      </c>
      <c r="F145" s="92" t="s">
        <v>2707</v>
      </c>
      <c r="G145" s="75"/>
      <c r="H145" s="92" t="s">
        <v>3893</v>
      </c>
      <c r="I145" s="92" t="s">
        <v>3892</v>
      </c>
      <c r="K145" s="71" t="s">
        <v>745</v>
      </c>
      <c r="L145" t="s">
        <v>360</v>
      </c>
      <c r="M145" t="str">
        <f t="shared" si="12"/>
        <v>30</v>
      </c>
      <c r="N145" t="str">
        <f t="shared" si="13"/>
        <v>04</v>
      </c>
      <c r="O145" t="str">
        <f t="shared" si="10"/>
        <v>2024</v>
      </c>
      <c r="P145" t="str">
        <f t="shared" si="14"/>
        <v>30-04-2024</v>
      </c>
    </row>
    <row r="146" spans="2:16" x14ac:dyDescent="0.3">
      <c r="B146" s="70">
        <v>45412</v>
      </c>
      <c r="C146" s="70">
        <f t="shared" si="11"/>
        <v>45383</v>
      </c>
      <c r="D146" s="94">
        <v>0</v>
      </c>
      <c r="E146" s="94">
        <v>10</v>
      </c>
      <c r="F146" s="92" t="s">
        <v>2708</v>
      </c>
      <c r="G146" s="75"/>
      <c r="H146" s="92" t="s">
        <v>589</v>
      </c>
      <c r="I146" s="92" t="s">
        <v>3892</v>
      </c>
      <c r="K146" s="71" t="s">
        <v>511</v>
      </c>
      <c r="L146" t="s">
        <v>362</v>
      </c>
      <c r="M146" t="str">
        <f t="shared" si="12"/>
        <v>30</v>
      </c>
      <c r="N146" t="str">
        <f t="shared" si="13"/>
        <v>04</v>
      </c>
      <c r="O146" t="str">
        <f t="shared" si="10"/>
        <v>2024</v>
      </c>
      <c r="P146" t="str">
        <f t="shared" si="14"/>
        <v>30-04-2024</v>
      </c>
    </row>
    <row r="147" spans="2:16" x14ac:dyDescent="0.3">
      <c r="B147" s="70">
        <v>45412</v>
      </c>
      <c r="C147" s="70">
        <f t="shared" si="11"/>
        <v>45383</v>
      </c>
      <c r="D147" s="94">
        <v>30</v>
      </c>
      <c r="E147" s="94">
        <v>0</v>
      </c>
      <c r="F147" s="92" t="s">
        <v>2709</v>
      </c>
      <c r="G147" s="75"/>
      <c r="H147" s="92" t="s">
        <v>589</v>
      </c>
      <c r="I147" s="92" t="s">
        <v>3892</v>
      </c>
      <c r="K147" s="71" t="s">
        <v>511</v>
      </c>
      <c r="L147" t="s">
        <v>364</v>
      </c>
      <c r="M147" t="str">
        <f t="shared" si="12"/>
        <v>30</v>
      </c>
      <c r="N147" t="str">
        <f t="shared" si="13"/>
        <v>04</v>
      </c>
      <c r="O147" t="str">
        <f t="shared" si="10"/>
        <v>2024</v>
      </c>
      <c r="P147" t="str">
        <f t="shared" si="14"/>
        <v>30-04-2024</v>
      </c>
    </row>
    <row r="148" spans="2:16" x14ac:dyDescent="0.3">
      <c r="B148" s="70">
        <v>45412</v>
      </c>
      <c r="C148" s="70">
        <f t="shared" si="11"/>
        <v>45383</v>
      </c>
      <c r="D148" s="94">
        <v>40</v>
      </c>
      <c r="E148" s="94">
        <v>0</v>
      </c>
      <c r="F148" s="92" t="s">
        <v>2710</v>
      </c>
      <c r="G148" s="75"/>
      <c r="H148" s="92" t="s">
        <v>589</v>
      </c>
      <c r="I148" s="92" t="s">
        <v>3892</v>
      </c>
      <c r="K148" s="71" t="s">
        <v>511</v>
      </c>
      <c r="L148" t="s">
        <v>366</v>
      </c>
      <c r="M148" t="str">
        <f t="shared" si="12"/>
        <v>30</v>
      </c>
      <c r="N148" t="str">
        <f t="shared" si="13"/>
        <v>04</v>
      </c>
      <c r="O148" t="str">
        <f t="shared" si="10"/>
        <v>2024</v>
      </c>
      <c r="P148" t="str">
        <f t="shared" si="14"/>
        <v>30-04-2024</v>
      </c>
    </row>
    <row r="149" spans="2:16" x14ac:dyDescent="0.3">
      <c r="B149" s="70">
        <v>45413</v>
      </c>
      <c r="C149" s="70">
        <f t="shared" si="11"/>
        <v>45413</v>
      </c>
      <c r="D149" s="94">
        <v>0</v>
      </c>
      <c r="E149" s="94">
        <v>1</v>
      </c>
      <c r="F149" s="92" t="s">
        <v>2711</v>
      </c>
      <c r="G149" s="92" t="s">
        <v>2573</v>
      </c>
      <c r="H149" s="92" t="s">
        <v>227</v>
      </c>
      <c r="I149" s="92" t="s">
        <v>3894</v>
      </c>
      <c r="K149" s="71" t="s">
        <v>227</v>
      </c>
      <c r="L149" t="s">
        <v>2561</v>
      </c>
      <c r="M149" t="str">
        <f t="shared" si="12"/>
        <v>01</v>
      </c>
      <c r="N149" t="str">
        <f t="shared" si="13"/>
        <v>05</v>
      </c>
      <c r="O149" t="str">
        <f t="shared" si="10"/>
        <v>2024</v>
      </c>
      <c r="P149" t="str">
        <f t="shared" si="14"/>
        <v>01-05-2024</v>
      </c>
    </row>
    <row r="150" spans="2:16" x14ac:dyDescent="0.3">
      <c r="B150" s="70">
        <v>45414</v>
      </c>
      <c r="C150" s="70">
        <f t="shared" si="11"/>
        <v>45413</v>
      </c>
      <c r="D150" s="94">
        <v>212.74</v>
      </c>
      <c r="E150" s="94">
        <v>0</v>
      </c>
      <c r="F150" s="92" t="s">
        <v>2712</v>
      </c>
      <c r="G150" s="75"/>
      <c r="H150" s="92" t="s">
        <v>3881</v>
      </c>
      <c r="I150" s="92" t="s">
        <v>3889</v>
      </c>
      <c r="K150" s="71" t="s">
        <v>217</v>
      </c>
      <c r="L150" t="s">
        <v>30</v>
      </c>
      <c r="M150" t="str">
        <f t="shared" si="12"/>
        <v>02</v>
      </c>
      <c r="N150" t="str">
        <f t="shared" si="13"/>
        <v>05</v>
      </c>
      <c r="O150" t="str">
        <f t="shared" si="10"/>
        <v>2024</v>
      </c>
      <c r="P150" t="str">
        <f t="shared" si="14"/>
        <v>02-05-2024</v>
      </c>
    </row>
    <row r="151" spans="2:16" x14ac:dyDescent="0.3">
      <c r="B151" s="70">
        <v>45414</v>
      </c>
      <c r="C151" s="70">
        <f t="shared" si="11"/>
        <v>45413</v>
      </c>
      <c r="D151" s="94">
        <v>93.48</v>
      </c>
      <c r="E151" s="94">
        <v>0</v>
      </c>
      <c r="F151" s="92" t="s">
        <v>2712</v>
      </c>
      <c r="G151" s="75"/>
      <c r="H151" s="92" t="s">
        <v>3881</v>
      </c>
      <c r="I151" s="92" t="s">
        <v>3889</v>
      </c>
      <c r="K151" s="71" t="s">
        <v>217</v>
      </c>
      <c r="L151" t="s">
        <v>30</v>
      </c>
      <c r="M151" t="str">
        <f t="shared" si="12"/>
        <v>02</v>
      </c>
      <c r="N151" t="str">
        <f t="shared" si="13"/>
        <v>05</v>
      </c>
      <c r="O151" t="str">
        <f t="shared" si="10"/>
        <v>2024</v>
      </c>
      <c r="P151" t="str">
        <f t="shared" si="14"/>
        <v>02-05-2024</v>
      </c>
    </row>
    <row r="152" spans="2:16" x14ac:dyDescent="0.3">
      <c r="B152" s="70">
        <v>45415</v>
      </c>
      <c r="C152" s="70">
        <f t="shared" si="11"/>
        <v>45413</v>
      </c>
      <c r="D152" s="94">
        <v>295</v>
      </c>
      <c r="E152" s="94">
        <v>0</v>
      </c>
      <c r="F152" s="92" t="s">
        <v>2713</v>
      </c>
      <c r="G152" s="75"/>
      <c r="H152" s="92" t="s">
        <v>221</v>
      </c>
      <c r="I152" s="92" t="s">
        <v>3889</v>
      </c>
      <c r="K152" s="71" t="s">
        <v>221</v>
      </c>
      <c r="L152" t="s">
        <v>91</v>
      </c>
      <c r="M152" t="str">
        <f t="shared" si="12"/>
        <v>03</v>
      </c>
      <c r="N152" t="str">
        <f t="shared" si="13"/>
        <v>05</v>
      </c>
      <c r="O152" t="str">
        <f t="shared" si="10"/>
        <v>2024</v>
      </c>
      <c r="P152" t="str">
        <f t="shared" si="14"/>
        <v>03-05-2024</v>
      </c>
    </row>
    <row r="153" spans="2:16" x14ac:dyDescent="0.3">
      <c r="B153" s="70">
        <v>45415</v>
      </c>
      <c r="C153" s="70">
        <f t="shared" si="11"/>
        <v>45413</v>
      </c>
      <c r="D153" s="94">
        <v>106.34</v>
      </c>
      <c r="E153" s="94">
        <v>0</v>
      </c>
      <c r="F153" s="92" t="s">
        <v>2714</v>
      </c>
      <c r="G153" s="75"/>
      <c r="H153" s="92" t="s">
        <v>3881</v>
      </c>
      <c r="I153" s="92" t="s">
        <v>3889</v>
      </c>
      <c r="K153" s="71" t="s">
        <v>217</v>
      </c>
      <c r="L153" t="s">
        <v>30</v>
      </c>
      <c r="M153" t="str">
        <f t="shared" si="12"/>
        <v>03</v>
      </c>
      <c r="N153" t="str">
        <f t="shared" si="13"/>
        <v>05</v>
      </c>
      <c r="O153" t="str">
        <f t="shared" si="10"/>
        <v>2024</v>
      </c>
      <c r="P153" t="str">
        <f t="shared" si="14"/>
        <v>03-05-2024</v>
      </c>
    </row>
    <row r="154" spans="2:16" x14ac:dyDescent="0.3">
      <c r="B154" s="70">
        <v>45415</v>
      </c>
      <c r="C154" s="70">
        <f t="shared" si="11"/>
        <v>45413</v>
      </c>
      <c r="D154" s="94">
        <v>2000</v>
      </c>
      <c r="E154" s="94">
        <v>0</v>
      </c>
      <c r="F154" s="92" t="s">
        <v>2715</v>
      </c>
      <c r="G154" s="75"/>
      <c r="H154" s="92" t="s">
        <v>3877</v>
      </c>
      <c r="I154" s="92" t="s">
        <v>3889</v>
      </c>
      <c r="K154" s="71" t="s">
        <v>223</v>
      </c>
      <c r="L154" t="s">
        <v>94</v>
      </c>
      <c r="M154" t="str">
        <f t="shared" si="12"/>
        <v>03</v>
      </c>
      <c r="N154" t="str">
        <f t="shared" si="13"/>
        <v>05</v>
      </c>
      <c r="O154" t="str">
        <f t="shared" si="10"/>
        <v>2024</v>
      </c>
      <c r="P154" t="str">
        <f t="shared" si="14"/>
        <v>03-05-2024</v>
      </c>
    </row>
    <row r="155" spans="2:16" x14ac:dyDescent="0.3">
      <c r="B155" s="70">
        <v>45415</v>
      </c>
      <c r="C155" s="70">
        <f t="shared" si="11"/>
        <v>45413</v>
      </c>
      <c r="D155" s="94">
        <v>517.47</v>
      </c>
      <c r="E155" s="94">
        <v>0</v>
      </c>
      <c r="F155" s="92" t="s">
        <v>2714</v>
      </c>
      <c r="G155" s="75"/>
      <c r="H155" s="92" t="s">
        <v>3881</v>
      </c>
      <c r="I155" s="92" t="s">
        <v>3889</v>
      </c>
      <c r="K155" s="71" t="s">
        <v>217</v>
      </c>
      <c r="L155" t="s">
        <v>30</v>
      </c>
      <c r="M155" t="str">
        <f t="shared" si="12"/>
        <v>03</v>
      </c>
      <c r="N155" t="str">
        <f t="shared" si="13"/>
        <v>05</v>
      </c>
      <c r="O155" t="str">
        <f t="shared" si="10"/>
        <v>2024</v>
      </c>
      <c r="P155" t="str">
        <f t="shared" si="14"/>
        <v>03-05-2024</v>
      </c>
    </row>
    <row r="156" spans="2:16" x14ac:dyDescent="0.3">
      <c r="B156" s="70">
        <v>45417</v>
      </c>
      <c r="C156" s="70">
        <f t="shared" si="11"/>
        <v>45413</v>
      </c>
      <c r="D156" s="94">
        <v>15000</v>
      </c>
      <c r="E156" s="94">
        <v>0</v>
      </c>
      <c r="F156" s="92" t="s">
        <v>2716</v>
      </c>
      <c r="G156" s="75"/>
      <c r="H156" s="92" t="s">
        <v>512</v>
      </c>
      <c r="I156" s="92" t="s">
        <v>3892</v>
      </c>
      <c r="K156" s="71" t="s">
        <v>512</v>
      </c>
      <c r="L156" t="s">
        <v>368</v>
      </c>
      <c r="M156" t="str">
        <f t="shared" si="12"/>
        <v>05</v>
      </c>
      <c r="N156" t="str">
        <f t="shared" si="13"/>
        <v>05</v>
      </c>
      <c r="O156" t="str">
        <f t="shared" si="10"/>
        <v>2024</v>
      </c>
      <c r="P156" t="str">
        <f t="shared" si="14"/>
        <v>05-05-2024</v>
      </c>
    </row>
    <row r="157" spans="2:16" x14ac:dyDescent="0.3">
      <c r="B157" s="70">
        <v>45417</v>
      </c>
      <c r="C157" s="70">
        <f t="shared" si="11"/>
        <v>45413</v>
      </c>
      <c r="D157" s="94">
        <v>14728</v>
      </c>
      <c r="E157" s="94">
        <v>0</v>
      </c>
      <c r="F157" s="92" t="s">
        <v>2717</v>
      </c>
      <c r="G157" s="75"/>
      <c r="H157" s="92" t="s">
        <v>3875</v>
      </c>
      <c r="I157" s="92" t="s">
        <v>3892</v>
      </c>
      <c r="K157" s="71" t="s">
        <v>509</v>
      </c>
      <c r="L157" t="s">
        <v>370</v>
      </c>
      <c r="M157" t="str">
        <f t="shared" si="12"/>
        <v>05</v>
      </c>
      <c r="N157" t="str">
        <f t="shared" si="13"/>
        <v>05</v>
      </c>
      <c r="O157" t="str">
        <f t="shared" si="10"/>
        <v>2024</v>
      </c>
      <c r="P157" t="str">
        <f t="shared" si="14"/>
        <v>05-05-2024</v>
      </c>
    </row>
    <row r="158" spans="2:16" x14ac:dyDescent="0.3">
      <c r="B158" s="70">
        <v>45418</v>
      </c>
      <c r="C158" s="70">
        <f t="shared" si="11"/>
        <v>45413</v>
      </c>
      <c r="D158" s="94">
        <v>318.48</v>
      </c>
      <c r="E158" s="94">
        <v>0</v>
      </c>
      <c r="F158" s="92" t="s">
        <v>2718</v>
      </c>
      <c r="G158" s="75"/>
      <c r="H158" s="92" t="s">
        <v>3881</v>
      </c>
      <c r="I158" s="92" t="s">
        <v>3889</v>
      </c>
      <c r="K158" s="71" t="s">
        <v>217</v>
      </c>
      <c r="L158" t="s">
        <v>30</v>
      </c>
      <c r="M158" t="str">
        <f t="shared" si="12"/>
        <v>06</v>
      </c>
      <c r="N158" t="str">
        <f t="shared" si="13"/>
        <v>05</v>
      </c>
      <c r="O158" t="str">
        <f t="shared" si="10"/>
        <v>2024</v>
      </c>
      <c r="P158" t="str">
        <f t="shared" si="14"/>
        <v>06-05-2024</v>
      </c>
    </row>
    <row r="159" spans="2:16" x14ac:dyDescent="0.3">
      <c r="B159" s="70">
        <v>45418</v>
      </c>
      <c r="C159" s="70">
        <f t="shared" si="11"/>
        <v>45413</v>
      </c>
      <c r="D159" s="94">
        <v>190</v>
      </c>
      <c r="E159" s="94">
        <v>0</v>
      </c>
      <c r="F159" s="92" t="s">
        <v>2719</v>
      </c>
      <c r="G159" s="75"/>
      <c r="H159" s="92" t="s">
        <v>589</v>
      </c>
      <c r="I159" s="92" t="s">
        <v>3892</v>
      </c>
      <c r="K159" s="71" t="s">
        <v>511</v>
      </c>
      <c r="L159" t="s">
        <v>372</v>
      </c>
      <c r="M159" t="str">
        <f t="shared" si="12"/>
        <v>06</v>
      </c>
      <c r="N159" t="str">
        <f t="shared" si="13"/>
        <v>05</v>
      </c>
      <c r="O159" t="str">
        <f t="shared" si="10"/>
        <v>2024</v>
      </c>
      <c r="P159" t="str">
        <f t="shared" si="14"/>
        <v>06-05-2024</v>
      </c>
    </row>
    <row r="160" spans="2:16" x14ac:dyDescent="0.3">
      <c r="B160" s="70">
        <v>45419</v>
      </c>
      <c r="C160" s="70">
        <f t="shared" si="11"/>
        <v>45413</v>
      </c>
      <c r="D160" s="94">
        <v>0</v>
      </c>
      <c r="E160" s="94">
        <v>22182.26</v>
      </c>
      <c r="F160" s="92" t="s">
        <v>2720</v>
      </c>
      <c r="G160" s="75"/>
      <c r="H160" s="92" t="s">
        <v>3881</v>
      </c>
      <c r="I160" s="92" t="s">
        <v>3889</v>
      </c>
      <c r="K160" s="71" t="s">
        <v>217</v>
      </c>
      <c r="L160" t="s">
        <v>34</v>
      </c>
      <c r="M160" t="str">
        <f t="shared" si="12"/>
        <v>07</v>
      </c>
      <c r="N160" t="str">
        <f t="shared" si="13"/>
        <v>05</v>
      </c>
      <c r="O160" t="str">
        <f t="shared" si="10"/>
        <v>2024</v>
      </c>
      <c r="P160" t="str">
        <f t="shared" si="14"/>
        <v>07-05-2024</v>
      </c>
    </row>
    <row r="161" spans="2:16" x14ac:dyDescent="0.3">
      <c r="B161" s="70">
        <v>45419</v>
      </c>
      <c r="C161" s="70">
        <f t="shared" si="11"/>
        <v>45413</v>
      </c>
      <c r="D161" s="94">
        <v>106.16</v>
      </c>
      <c r="E161" s="94">
        <v>0</v>
      </c>
      <c r="F161" s="92" t="s">
        <v>2721</v>
      </c>
      <c r="G161" s="75"/>
      <c r="H161" s="92" t="s">
        <v>3881</v>
      </c>
      <c r="I161" s="92" t="s">
        <v>3889</v>
      </c>
      <c r="K161" s="71" t="s">
        <v>217</v>
      </c>
      <c r="L161" t="s">
        <v>30</v>
      </c>
      <c r="M161" t="str">
        <f t="shared" si="12"/>
        <v>07</v>
      </c>
      <c r="N161" t="str">
        <f t="shared" si="13"/>
        <v>05</v>
      </c>
      <c r="O161" t="str">
        <f t="shared" si="10"/>
        <v>2024</v>
      </c>
      <c r="P161" t="str">
        <f t="shared" si="14"/>
        <v>07-05-2024</v>
      </c>
    </row>
    <row r="162" spans="2:16" x14ac:dyDescent="0.3">
      <c r="B162" s="70">
        <v>45419</v>
      </c>
      <c r="C162" s="70">
        <f t="shared" si="11"/>
        <v>45413</v>
      </c>
      <c r="D162" s="94">
        <v>0</v>
      </c>
      <c r="E162" s="94">
        <v>1880</v>
      </c>
      <c r="F162" s="92" t="s">
        <v>2722</v>
      </c>
      <c r="G162" s="92" t="s">
        <v>222</v>
      </c>
      <c r="H162" s="92" t="s">
        <v>3876</v>
      </c>
      <c r="I162" s="92" t="s">
        <v>3889</v>
      </c>
      <c r="K162" s="71" t="s">
        <v>222</v>
      </c>
      <c r="L162" t="s">
        <v>100</v>
      </c>
      <c r="M162" t="str">
        <f t="shared" si="12"/>
        <v>07</v>
      </c>
      <c r="N162" t="str">
        <f t="shared" si="13"/>
        <v>05</v>
      </c>
      <c r="O162" t="str">
        <f t="shared" si="10"/>
        <v>2024</v>
      </c>
      <c r="P162" t="str">
        <f t="shared" si="14"/>
        <v>07-05-2024</v>
      </c>
    </row>
    <row r="163" spans="2:16" x14ac:dyDescent="0.3">
      <c r="B163" s="70">
        <v>45419</v>
      </c>
      <c r="C163" s="70">
        <f t="shared" si="11"/>
        <v>45413</v>
      </c>
      <c r="D163" s="94">
        <v>3897.36</v>
      </c>
      <c r="E163" s="94">
        <v>0</v>
      </c>
      <c r="F163" s="92" t="s">
        <v>2721</v>
      </c>
      <c r="G163" s="75"/>
      <c r="H163" s="92" t="s">
        <v>3881</v>
      </c>
      <c r="I163" s="92" t="s">
        <v>3889</v>
      </c>
      <c r="K163" s="71" t="s">
        <v>217</v>
      </c>
      <c r="L163" t="s">
        <v>30</v>
      </c>
      <c r="M163" t="str">
        <f t="shared" si="12"/>
        <v>07</v>
      </c>
      <c r="N163" t="str">
        <f t="shared" si="13"/>
        <v>05</v>
      </c>
      <c r="O163" t="str">
        <f t="shared" si="10"/>
        <v>2024</v>
      </c>
      <c r="P163" t="str">
        <f t="shared" si="14"/>
        <v>07-05-2024</v>
      </c>
    </row>
    <row r="164" spans="2:16" x14ac:dyDescent="0.3">
      <c r="B164" s="70">
        <v>45419</v>
      </c>
      <c r="C164" s="70">
        <f t="shared" si="11"/>
        <v>45413</v>
      </c>
      <c r="D164" s="94">
        <v>80</v>
      </c>
      <c r="E164" s="94">
        <v>0</v>
      </c>
      <c r="F164" s="92" t="s">
        <v>2723</v>
      </c>
      <c r="G164" s="75"/>
      <c r="H164" s="92" t="s">
        <v>589</v>
      </c>
      <c r="I164" s="92" t="s">
        <v>3892</v>
      </c>
      <c r="K164" s="71" t="s">
        <v>511</v>
      </c>
      <c r="L164" t="s">
        <v>374</v>
      </c>
      <c r="M164" t="str">
        <f t="shared" si="12"/>
        <v>07</v>
      </c>
      <c r="N164" t="str">
        <f t="shared" si="13"/>
        <v>05</v>
      </c>
      <c r="O164" t="str">
        <f t="shared" si="10"/>
        <v>2024</v>
      </c>
      <c r="P164" t="str">
        <f t="shared" si="14"/>
        <v>07-05-2024</v>
      </c>
    </row>
    <row r="165" spans="2:16" x14ac:dyDescent="0.3">
      <c r="B165" s="70">
        <v>45420</v>
      </c>
      <c r="C165" s="70">
        <f t="shared" si="11"/>
        <v>45413</v>
      </c>
      <c r="D165" s="94">
        <v>95.13</v>
      </c>
      <c r="E165" s="94">
        <v>0</v>
      </c>
      <c r="F165" s="92" t="s">
        <v>2724</v>
      </c>
      <c r="G165" s="75"/>
      <c r="H165" s="92" t="s">
        <v>3881</v>
      </c>
      <c r="I165" s="92" t="s">
        <v>3889</v>
      </c>
      <c r="K165" s="71" t="s">
        <v>217</v>
      </c>
      <c r="L165" t="s">
        <v>30</v>
      </c>
      <c r="M165" t="str">
        <f t="shared" si="12"/>
        <v>08</v>
      </c>
      <c r="N165" t="str">
        <f t="shared" si="13"/>
        <v>05</v>
      </c>
      <c r="O165" t="str">
        <f t="shared" si="10"/>
        <v>2024</v>
      </c>
      <c r="P165" t="str">
        <f t="shared" si="14"/>
        <v>08-05-2024</v>
      </c>
    </row>
    <row r="166" spans="2:16" x14ac:dyDescent="0.3">
      <c r="B166" s="70">
        <v>45420</v>
      </c>
      <c r="C166" s="70">
        <f t="shared" si="11"/>
        <v>45413</v>
      </c>
      <c r="D166" s="94">
        <v>102.25</v>
      </c>
      <c r="E166" s="94">
        <v>0</v>
      </c>
      <c r="F166" s="92" t="s">
        <v>2725</v>
      </c>
      <c r="G166" s="75"/>
      <c r="H166" s="92" t="s">
        <v>589</v>
      </c>
      <c r="I166" s="92" t="s">
        <v>3892</v>
      </c>
      <c r="K166" s="71" t="s">
        <v>511</v>
      </c>
      <c r="L166" t="s">
        <v>376</v>
      </c>
      <c r="M166" t="str">
        <f t="shared" si="12"/>
        <v>08</v>
      </c>
      <c r="N166" t="str">
        <f t="shared" si="13"/>
        <v>05</v>
      </c>
      <c r="O166" t="str">
        <f t="shared" si="10"/>
        <v>2024</v>
      </c>
      <c r="P166" t="str">
        <f t="shared" si="14"/>
        <v>08-05-2024</v>
      </c>
    </row>
    <row r="167" spans="2:16" x14ac:dyDescent="0.3">
      <c r="B167" s="70">
        <v>45421</v>
      </c>
      <c r="C167" s="70">
        <f t="shared" si="11"/>
        <v>45413</v>
      </c>
      <c r="D167" s="94">
        <v>0</v>
      </c>
      <c r="E167" s="94">
        <v>11.83</v>
      </c>
      <c r="F167" s="92" t="s">
        <v>2726</v>
      </c>
      <c r="G167" s="75"/>
      <c r="H167" s="92" t="s">
        <v>3881</v>
      </c>
      <c r="I167" s="92" t="s">
        <v>3889</v>
      </c>
      <c r="K167" s="71" t="s">
        <v>217</v>
      </c>
      <c r="L167" t="s">
        <v>34</v>
      </c>
      <c r="M167" t="str">
        <f t="shared" si="12"/>
        <v>09</v>
      </c>
      <c r="N167" t="str">
        <f t="shared" si="13"/>
        <v>05</v>
      </c>
      <c r="O167" t="str">
        <f t="shared" si="10"/>
        <v>2024</v>
      </c>
      <c r="P167" t="str">
        <f t="shared" si="14"/>
        <v>09-05-2024</v>
      </c>
    </row>
    <row r="168" spans="2:16" x14ac:dyDescent="0.3">
      <c r="B168" s="70">
        <v>45421</v>
      </c>
      <c r="C168" s="70">
        <f t="shared" si="11"/>
        <v>45413</v>
      </c>
      <c r="D168" s="94">
        <v>98.24</v>
      </c>
      <c r="E168" s="94">
        <v>0</v>
      </c>
      <c r="F168" s="92" t="s">
        <v>2727</v>
      </c>
      <c r="G168" s="75"/>
      <c r="H168" s="92" t="s">
        <v>3881</v>
      </c>
      <c r="I168" s="92" t="s">
        <v>3889</v>
      </c>
      <c r="K168" s="71" t="s">
        <v>217</v>
      </c>
      <c r="L168" t="s">
        <v>30</v>
      </c>
      <c r="M168" t="str">
        <f t="shared" si="12"/>
        <v>09</v>
      </c>
      <c r="N168" t="str">
        <f t="shared" si="13"/>
        <v>05</v>
      </c>
      <c r="O168" t="str">
        <f t="shared" si="10"/>
        <v>2024</v>
      </c>
      <c r="P168" t="str">
        <f t="shared" si="14"/>
        <v>09-05-2024</v>
      </c>
    </row>
    <row r="169" spans="2:16" x14ac:dyDescent="0.3">
      <c r="B169" s="70">
        <v>45421</v>
      </c>
      <c r="C169" s="70">
        <f t="shared" si="11"/>
        <v>45413</v>
      </c>
      <c r="D169" s="94">
        <v>726.48</v>
      </c>
      <c r="E169" s="94">
        <v>0</v>
      </c>
      <c r="F169" s="92" t="s">
        <v>2728</v>
      </c>
      <c r="G169" s="75"/>
      <c r="H169" s="92" t="s">
        <v>220</v>
      </c>
      <c r="I169" s="92" t="s">
        <v>3889</v>
      </c>
      <c r="K169" s="71" t="s">
        <v>220</v>
      </c>
      <c r="L169" t="s">
        <v>106</v>
      </c>
      <c r="M169" t="str">
        <f t="shared" si="12"/>
        <v>09</v>
      </c>
      <c r="N169" t="str">
        <f t="shared" si="13"/>
        <v>05</v>
      </c>
      <c r="O169" t="str">
        <f t="shared" si="10"/>
        <v>2024</v>
      </c>
      <c r="P169" t="str">
        <f t="shared" si="14"/>
        <v>09-05-2024</v>
      </c>
    </row>
    <row r="170" spans="2:16" x14ac:dyDescent="0.3">
      <c r="B170" s="70">
        <v>45421</v>
      </c>
      <c r="C170" s="70">
        <f t="shared" si="11"/>
        <v>45413</v>
      </c>
      <c r="D170" s="94">
        <v>1266.3399999999999</v>
      </c>
      <c r="E170" s="94">
        <v>0</v>
      </c>
      <c r="F170" s="92" t="s">
        <v>2727</v>
      </c>
      <c r="G170" s="75"/>
      <c r="H170" s="92" t="s">
        <v>3881</v>
      </c>
      <c r="I170" s="92" t="s">
        <v>3889</v>
      </c>
      <c r="K170" s="71" t="s">
        <v>217</v>
      </c>
      <c r="L170" t="s">
        <v>30</v>
      </c>
      <c r="M170" t="str">
        <f t="shared" si="12"/>
        <v>09</v>
      </c>
      <c r="N170" t="str">
        <f t="shared" si="13"/>
        <v>05</v>
      </c>
      <c r="O170" t="str">
        <f t="shared" si="10"/>
        <v>2024</v>
      </c>
      <c r="P170" t="str">
        <f t="shared" si="14"/>
        <v>09-05-2024</v>
      </c>
    </row>
    <row r="171" spans="2:16" x14ac:dyDescent="0.3">
      <c r="B171" s="70">
        <v>45421</v>
      </c>
      <c r="C171" s="70">
        <f t="shared" si="11"/>
        <v>45413</v>
      </c>
      <c r="D171" s="94">
        <v>85</v>
      </c>
      <c r="E171" s="94">
        <v>0</v>
      </c>
      <c r="F171" s="92" t="s">
        <v>2729</v>
      </c>
      <c r="G171" s="75"/>
      <c r="H171" s="92" t="s">
        <v>589</v>
      </c>
      <c r="I171" s="92" t="s">
        <v>3893</v>
      </c>
      <c r="K171" s="71" t="s">
        <v>589</v>
      </c>
      <c r="L171" t="s">
        <v>563</v>
      </c>
      <c r="M171" t="str">
        <f t="shared" si="12"/>
        <v>09</v>
      </c>
      <c r="N171" t="str">
        <f t="shared" si="13"/>
        <v>05</v>
      </c>
      <c r="O171" t="str">
        <f t="shared" si="10"/>
        <v>2024</v>
      </c>
      <c r="P171" t="str">
        <f t="shared" si="14"/>
        <v>09-05-2024</v>
      </c>
    </row>
    <row r="172" spans="2:16" x14ac:dyDescent="0.3">
      <c r="B172" s="70">
        <v>45421</v>
      </c>
      <c r="C172" s="70">
        <f t="shared" si="11"/>
        <v>45413</v>
      </c>
      <c r="D172" s="94">
        <v>135</v>
      </c>
      <c r="E172" s="94">
        <v>0</v>
      </c>
      <c r="F172" s="92" t="s">
        <v>2730</v>
      </c>
      <c r="G172" s="75"/>
      <c r="H172" s="92" t="s">
        <v>589</v>
      </c>
      <c r="I172" s="92" t="s">
        <v>3893</v>
      </c>
      <c r="K172" s="71" t="s">
        <v>589</v>
      </c>
      <c r="L172" t="s">
        <v>565</v>
      </c>
      <c r="M172" t="str">
        <f t="shared" si="12"/>
        <v>09</v>
      </c>
      <c r="N172" t="str">
        <f t="shared" si="13"/>
        <v>05</v>
      </c>
      <c r="O172" t="str">
        <f t="shared" si="10"/>
        <v>2024</v>
      </c>
      <c r="P172" t="str">
        <f t="shared" si="14"/>
        <v>09-05-2024</v>
      </c>
    </row>
    <row r="173" spans="2:16" x14ac:dyDescent="0.3">
      <c r="B173" s="70">
        <v>45421</v>
      </c>
      <c r="C173" s="70">
        <f t="shared" si="11"/>
        <v>45413</v>
      </c>
      <c r="D173" s="94">
        <v>99</v>
      </c>
      <c r="E173" s="94">
        <v>0</v>
      </c>
      <c r="F173" s="92" t="s">
        <v>2731</v>
      </c>
      <c r="G173" s="75"/>
      <c r="H173" s="92" t="s">
        <v>589</v>
      </c>
      <c r="I173" s="92" t="s">
        <v>3893</v>
      </c>
      <c r="K173" s="71" t="s">
        <v>589</v>
      </c>
      <c r="L173" t="s">
        <v>566</v>
      </c>
      <c r="M173" t="str">
        <f t="shared" si="12"/>
        <v>09</v>
      </c>
      <c r="N173" t="str">
        <f t="shared" si="13"/>
        <v>05</v>
      </c>
      <c r="O173" t="str">
        <f t="shared" si="10"/>
        <v>2024</v>
      </c>
      <c r="P173" t="str">
        <f t="shared" si="14"/>
        <v>09-05-2024</v>
      </c>
    </row>
    <row r="174" spans="2:16" x14ac:dyDescent="0.3">
      <c r="B174" s="70">
        <v>45421</v>
      </c>
      <c r="C174" s="70">
        <f t="shared" si="11"/>
        <v>45413</v>
      </c>
      <c r="D174" s="94">
        <v>270</v>
      </c>
      <c r="E174" s="94">
        <v>0</v>
      </c>
      <c r="F174" s="92" t="s">
        <v>2732</v>
      </c>
      <c r="G174" s="75"/>
      <c r="H174" s="92" t="s">
        <v>589</v>
      </c>
      <c r="I174" s="92" t="s">
        <v>3893</v>
      </c>
      <c r="K174" s="71" t="s">
        <v>589</v>
      </c>
      <c r="L174" t="s">
        <v>567</v>
      </c>
      <c r="M174" t="str">
        <f t="shared" si="12"/>
        <v>09</v>
      </c>
      <c r="N174" t="str">
        <f t="shared" si="13"/>
        <v>05</v>
      </c>
      <c r="O174" t="str">
        <f t="shared" si="10"/>
        <v>2024</v>
      </c>
      <c r="P174" t="str">
        <f t="shared" si="14"/>
        <v>09-05-2024</v>
      </c>
    </row>
    <row r="175" spans="2:16" x14ac:dyDescent="0.3">
      <c r="B175" s="70">
        <v>45421</v>
      </c>
      <c r="C175" s="70">
        <f t="shared" si="11"/>
        <v>45413</v>
      </c>
      <c r="D175" s="94">
        <v>0</v>
      </c>
      <c r="E175" s="94">
        <v>185</v>
      </c>
      <c r="F175" s="92" t="s">
        <v>2733</v>
      </c>
      <c r="G175" s="75"/>
      <c r="H175" s="92" t="s">
        <v>589</v>
      </c>
      <c r="I175" s="92" t="s">
        <v>3893</v>
      </c>
      <c r="K175" s="71" t="s">
        <v>589</v>
      </c>
      <c r="L175" t="s">
        <v>568</v>
      </c>
      <c r="M175" t="str">
        <f t="shared" si="12"/>
        <v>09</v>
      </c>
      <c r="N175" t="str">
        <f t="shared" si="13"/>
        <v>05</v>
      </c>
      <c r="O175" t="str">
        <f t="shared" si="10"/>
        <v>2024</v>
      </c>
      <c r="P175" t="str">
        <f t="shared" si="14"/>
        <v>09-05-2024</v>
      </c>
    </row>
    <row r="176" spans="2:16" x14ac:dyDescent="0.3">
      <c r="B176" s="70">
        <v>45421</v>
      </c>
      <c r="C176" s="70">
        <f t="shared" si="11"/>
        <v>45413</v>
      </c>
      <c r="D176" s="94">
        <v>1552</v>
      </c>
      <c r="E176" s="94">
        <v>0</v>
      </c>
      <c r="F176" s="92" t="s">
        <v>2734</v>
      </c>
      <c r="G176" s="75"/>
      <c r="H176" s="92" t="s">
        <v>589</v>
      </c>
      <c r="I176" s="92" t="s">
        <v>3892</v>
      </c>
      <c r="K176" s="71" t="s">
        <v>511</v>
      </c>
      <c r="L176" t="s">
        <v>378</v>
      </c>
      <c r="M176" t="str">
        <f t="shared" si="12"/>
        <v>09</v>
      </c>
      <c r="N176" t="str">
        <f t="shared" si="13"/>
        <v>05</v>
      </c>
      <c r="O176" t="str">
        <f t="shared" si="10"/>
        <v>2024</v>
      </c>
      <c r="P176" t="str">
        <f t="shared" si="14"/>
        <v>09-05-2024</v>
      </c>
    </row>
    <row r="177" spans="2:16" x14ac:dyDescent="0.3">
      <c r="B177" s="70">
        <v>45421</v>
      </c>
      <c r="C177" s="70">
        <f t="shared" si="11"/>
        <v>45413</v>
      </c>
      <c r="D177" s="94">
        <v>586</v>
      </c>
      <c r="E177" s="94">
        <v>0</v>
      </c>
      <c r="F177" s="92" t="s">
        <v>2735</v>
      </c>
      <c r="G177" s="75"/>
      <c r="H177" s="92" t="s">
        <v>589</v>
      </c>
      <c r="I177" s="92" t="s">
        <v>3892</v>
      </c>
      <c r="K177" s="71" t="s">
        <v>511</v>
      </c>
      <c r="L177" t="s">
        <v>380</v>
      </c>
      <c r="M177" t="str">
        <f t="shared" si="12"/>
        <v>09</v>
      </c>
      <c r="N177" t="str">
        <f t="shared" si="13"/>
        <v>05</v>
      </c>
      <c r="O177" t="str">
        <f t="shared" si="10"/>
        <v>2024</v>
      </c>
      <c r="P177" t="str">
        <f t="shared" si="14"/>
        <v>09-05-2024</v>
      </c>
    </row>
    <row r="178" spans="2:16" x14ac:dyDescent="0.3">
      <c r="B178" s="70">
        <v>45421</v>
      </c>
      <c r="C178" s="70">
        <f t="shared" si="11"/>
        <v>45413</v>
      </c>
      <c r="D178" s="94">
        <v>0</v>
      </c>
      <c r="E178" s="94">
        <v>80</v>
      </c>
      <c r="F178" s="92" t="s">
        <v>2736</v>
      </c>
      <c r="G178" s="75"/>
      <c r="H178" s="92" t="s">
        <v>589</v>
      </c>
      <c r="I178" s="92" t="s">
        <v>3892</v>
      </c>
      <c r="K178" s="71" t="s">
        <v>511</v>
      </c>
      <c r="L178" t="s">
        <v>382</v>
      </c>
      <c r="M178" t="str">
        <f t="shared" si="12"/>
        <v>09</v>
      </c>
      <c r="N178" t="str">
        <f t="shared" si="13"/>
        <v>05</v>
      </c>
      <c r="O178" t="str">
        <f t="shared" si="10"/>
        <v>2024</v>
      </c>
      <c r="P178" t="str">
        <f t="shared" si="14"/>
        <v>09-05-2024</v>
      </c>
    </row>
    <row r="179" spans="2:16" x14ac:dyDescent="0.3">
      <c r="B179" s="70">
        <v>45421</v>
      </c>
      <c r="C179" s="70">
        <f t="shared" si="11"/>
        <v>45413</v>
      </c>
      <c r="D179" s="94">
        <v>499</v>
      </c>
      <c r="E179" s="94">
        <v>0</v>
      </c>
      <c r="F179" s="92" t="s">
        <v>2737</v>
      </c>
      <c r="G179" s="75"/>
      <c r="H179" s="92" t="s">
        <v>589</v>
      </c>
      <c r="I179" s="92" t="s">
        <v>3892</v>
      </c>
      <c r="K179" s="71" t="s">
        <v>511</v>
      </c>
      <c r="L179" t="s">
        <v>384</v>
      </c>
      <c r="M179" t="str">
        <f t="shared" si="12"/>
        <v>09</v>
      </c>
      <c r="N179" t="str">
        <f t="shared" si="13"/>
        <v>05</v>
      </c>
      <c r="O179" t="str">
        <f t="shared" si="10"/>
        <v>2024</v>
      </c>
      <c r="P179" t="str">
        <f t="shared" si="14"/>
        <v>09-05-2024</v>
      </c>
    </row>
    <row r="180" spans="2:16" x14ac:dyDescent="0.3">
      <c r="B180" s="70">
        <v>45421</v>
      </c>
      <c r="C180" s="70">
        <f t="shared" si="11"/>
        <v>45413</v>
      </c>
      <c r="D180" s="94">
        <v>140</v>
      </c>
      <c r="E180" s="94">
        <v>0</v>
      </c>
      <c r="F180" s="92" t="s">
        <v>2738</v>
      </c>
      <c r="G180" s="75"/>
      <c r="H180" s="92" t="s">
        <v>589</v>
      </c>
      <c r="I180" s="92" t="s">
        <v>3892</v>
      </c>
      <c r="K180" s="71" t="s">
        <v>511</v>
      </c>
      <c r="L180" t="s">
        <v>386</v>
      </c>
      <c r="M180" t="str">
        <f t="shared" si="12"/>
        <v>09</v>
      </c>
      <c r="N180" t="str">
        <f t="shared" si="13"/>
        <v>05</v>
      </c>
      <c r="O180" t="str">
        <f t="shared" si="10"/>
        <v>2024</v>
      </c>
      <c r="P180" t="str">
        <f t="shared" si="14"/>
        <v>09-05-2024</v>
      </c>
    </row>
    <row r="181" spans="2:16" x14ac:dyDescent="0.3">
      <c r="B181" s="70">
        <v>45422</v>
      </c>
      <c r="C181" s="70">
        <f t="shared" si="11"/>
        <v>45413</v>
      </c>
      <c r="D181" s="94">
        <v>97.79</v>
      </c>
      <c r="E181" s="94">
        <v>0</v>
      </c>
      <c r="F181" s="92" t="s">
        <v>2739</v>
      </c>
      <c r="G181" s="75"/>
      <c r="H181" s="92" t="s">
        <v>3881</v>
      </c>
      <c r="I181" s="92" t="s">
        <v>3889</v>
      </c>
      <c r="K181" s="71" t="s">
        <v>217</v>
      </c>
      <c r="L181" t="s">
        <v>30</v>
      </c>
      <c r="M181" t="str">
        <f t="shared" si="12"/>
        <v>10</v>
      </c>
      <c r="N181" t="str">
        <f t="shared" si="13"/>
        <v>05</v>
      </c>
      <c r="O181" t="str">
        <f t="shared" si="10"/>
        <v>2024</v>
      </c>
      <c r="P181" t="str">
        <f t="shared" si="14"/>
        <v>10-05-2024</v>
      </c>
    </row>
    <row r="182" spans="2:16" x14ac:dyDescent="0.3">
      <c r="B182" s="70">
        <v>45422</v>
      </c>
      <c r="C182" s="70">
        <f t="shared" si="11"/>
        <v>45413</v>
      </c>
      <c r="D182" s="94">
        <v>6393.74</v>
      </c>
      <c r="E182" s="94">
        <v>0</v>
      </c>
      <c r="F182" s="92" t="s">
        <v>2739</v>
      </c>
      <c r="G182" s="75"/>
      <c r="H182" s="92" t="s">
        <v>3881</v>
      </c>
      <c r="I182" s="92" t="s">
        <v>3889</v>
      </c>
      <c r="K182" s="71" t="s">
        <v>217</v>
      </c>
      <c r="L182" t="s">
        <v>30</v>
      </c>
      <c r="M182" t="str">
        <f t="shared" si="12"/>
        <v>10</v>
      </c>
      <c r="N182" t="str">
        <f t="shared" si="13"/>
        <v>05</v>
      </c>
      <c r="O182" t="str">
        <f t="shared" si="10"/>
        <v>2024</v>
      </c>
      <c r="P182" t="str">
        <f t="shared" si="14"/>
        <v>10-05-2024</v>
      </c>
    </row>
    <row r="183" spans="2:16" x14ac:dyDescent="0.3">
      <c r="B183" s="70">
        <v>45422</v>
      </c>
      <c r="C183" s="70">
        <f t="shared" si="11"/>
        <v>45413</v>
      </c>
      <c r="D183" s="94">
        <v>166.9</v>
      </c>
      <c r="E183" s="94">
        <v>0</v>
      </c>
      <c r="F183" s="92" t="s">
        <v>2739</v>
      </c>
      <c r="G183" s="75"/>
      <c r="H183" s="92" t="s">
        <v>3881</v>
      </c>
      <c r="I183" s="92" t="s">
        <v>3889</v>
      </c>
      <c r="K183" s="71" t="s">
        <v>217</v>
      </c>
      <c r="L183" t="s">
        <v>30</v>
      </c>
      <c r="M183" t="str">
        <f t="shared" si="12"/>
        <v>10</v>
      </c>
      <c r="N183" t="str">
        <f t="shared" si="13"/>
        <v>05</v>
      </c>
      <c r="O183" t="str">
        <f t="shared" si="10"/>
        <v>2024</v>
      </c>
      <c r="P183" t="str">
        <f t="shared" si="14"/>
        <v>10-05-2024</v>
      </c>
    </row>
    <row r="184" spans="2:16" x14ac:dyDescent="0.3">
      <c r="B184" s="70">
        <v>45422</v>
      </c>
      <c r="C184" s="70">
        <f t="shared" si="11"/>
        <v>45413</v>
      </c>
      <c r="D184" s="94">
        <v>0</v>
      </c>
      <c r="E184" s="94">
        <v>586</v>
      </c>
      <c r="F184" s="92" t="s">
        <v>2740</v>
      </c>
      <c r="G184" s="75"/>
      <c r="H184" s="92" t="s">
        <v>589</v>
      </c>
      <c r="I184" s="92" t="s">
        <v>3892</v>
      </c>
      <c r="K184" s="71" t="s">
        <v>511</v>
      </c>
      <c r="L184" t="s">
        <v>388</v>
      </c>
      <c r="M184" t="str">
        <f t="shared" si="12"/>
        <v>10</v>
      </c>
      <c r="N184" t="str">
        <f t="shared" si="13"/>
        <v>05</v>
      </c>
      <c r="O184" t="str">
        <f t="shared" si="10"/>
        <v>2024</v>
      </c>
      <c r="P184" t="str">
        <f t="shared" si="14"/>
        <v>10-05-2024</v>
      </c>
    </row>
    <row r="185" spans="2:16" x14ac:dyDescent="0.3">
      <c r="B185" s="70">
        <v>45422</v>
      </c>
      <c r="C185" s="70">
        <f t="shared" si="11"/>
        <v>45413</v>
      </c>
      <c r="D185" s="94">
        <v>50</v>
      </c>
      <c r="E185" s="94">
        <v>0</v>
      </c>
      <c r="F185" s="92" t="s">
        <v>2741</v>
      </c>
      <c r="G185" s="75"/>
      <c r="H185" s="92" t="s">
        <v>3875</v>
      </c>
      <c r="I185" s="92" t="s">
        <v>3892</v>
      </c>
      <c r="K185" s="71" t="s">
        <v>509</v>
      </c>
      <c r="L185" t="s">
        <v>390</v>
      </c>
      <c r="M185" t="str">
        <f t="shared" si="12"/>
        <v>10</v>
      </c>
      <c r="N185" t="str">
        <f t="shared" si="13"/>
        <v>05</v>
      </c>
      <c r="O185" t="str">
        <f t="shared" si="10"/>
        <v>2024</v>
      </c>
      <c r="P185" t="str">
        <f t="shared" si="14"/>
        <v>10-05-2024</v>
      </c>
    </row>
    <row r="186" spans="2:16" x14ac:dyDescent="0.3">
      <c r="B186" s="70">
        <v>45424</v>
      </c>
      <c r="C186" s="70">
        <f t="shared" si="11"/>
        <v>45413</v>
      </c>
      <c r="D186" s="94">
        <v>71</v>
      </c>
      <c r="E186" s="94">
        <v>0</v>
      </c>
      <c r="F186" s="92" t="s">
        <v>2742</v>
      </c>
      <c r="G186" s="75"/>
      <c r="H186" s="92" t="s">
        <v>589</v>
      </c>
      <c r="I186" s="92" t="s">
        <v>3892</v>
      </c>
      <c r="K186" s="71" t="s">
        <v>511</v>
      </c>
      <c r="L186" t="s">
        <v>392</v>
      </c>
      <c r="M186" t="str">
        <f t="shared" si="12"/>
        <v>12</v>
      </c>
      <c r="N186" t="str">
        <f t="shared" si="13"/>
        <v>05</v>
      </c>
      <c r="O186" t="str">
        <f t="shared" si="10"/>
        <v>2024</v>
      </c>
      <c r="P186" t="str">
        <f t="shared" si="14"/>
        <v>12-05-2024</v>
      </c>
    </row>
    <row r="187" spans="2:16" x14ac:dyDescent="0.3">
      <c r="B187" s="70">
        <v>45424</v>
      </c>
      <c r="C187" s="70">
        <f t="shared" si="11"/>
        <v>45413</v>
      </c>
      <c r="D187" s="94">
        <v>20</v>
      </c>
      <c r="E187" s="94">
        <v>0</v>
      </c>
      <c r="F187" s="92" t="s">
        <v>2743</v>
      </c>
      <c r="G187" s="75"/>
      <c r="H187" s="92" t="s">
        <v>589</v>
      </c>
      <c r="I187" s="92" t="s">
        <v>3892</v>
      </c>
      <c r="K187" s="71" t="s">
        <v>511</v>
      </c>
      <c r="L187" t="s">
        <v>394</v>
      </c>
      <c r="M187" t="str">
        <f t="shared" si="12"/>
        <v>12</v>
      </c>
      <c r="N187" t="str">
        <f t="shared" si="13"/>
        <v>05</v>
      </c>
      <c r="O187" t="str">
        <f t="shared" si="10"/>
        <v>2024</v>
      </c>
      <c r="P187" t="str">
        <f t="shared" si="14"/>
        <v>12-05-2024</v>
      </c>
    </row>
    <row r="188" spans="2:16" x14ac:dyDescent="0.3">
      <c r="B188" s="70">
        <v>45425</v>
      </c>
      <c r="C188" s="70">
        <f t="shared" si="11"/>
        <v>45413</v>
      </c>
      <c r="D188" s="94">
        <v>293.19</v>
      </c>
      <c r="E188" s="94">
        <v>0</v>
      </c>
      <c r="F188" s="92" t="s">
        <v>2744</v>
      </c>
      <c r="G188" s="75"/>
      <c r="H188" s="92" t="s">
        <v>3881</v>
      </c>
      <c r="I188" s="92" t="s">
        <v>3889</v>
      </c>
      <c r="K188" s="71" t="s">
        <v>217</v>
      </c>
      <c r="L188" t="s">
        <v>30</v>
      </c>
      <c r="M188" t="str">
        <f t="shared" si="12"/>
        <v>13</v>
      </c>
      <c r="N188" t="str">
        <f t="shared" si="13"/>
        <v>05</v>
      </c>
      <c r="O188" t="str">
        <f t="shared" si="10"/>
        <v>2024</v>
      </c>
      <c r="P188" t="str">
        <f t="shared" si="14"/>
        <v>13-05-2024</v>
      </c>
    </row>
    <row r="189" spans="2:16" x14ac:dyDescent="0.3">
      <c r="B189" s="70">
        <v>45425</v>
      </c>
      <c r="C189" s="70">
        <f t="shared" si="11"/>
        <v>45413</v>
      </c>
      <c r="D189" s="94">
        <v>25</v>
      </c>
      <c r="E189" s="94">
        <v>0</v>
      </c>
      <c r="F189" s="92" t="s">
        <v>2745</v>
      </c>
      <c r="G189" s="75"/>
      <c r="H189" s="92" t="s">
        <v>589</v>
      </c>
      <c r="I189" s="92" t="s">
        <v>3892</v>
      </c>
      <c r="K189" s="71" t="s">
        <v>511</v>
      </c>
      <c r="L189" t="s">
        <v>396</v>
      </c>
      <c r="M189" t="str">
        <f t="shared" si="12"/>
        <v>13</v>
      </c>
      <c r="N189" t="str">
        <f t="shared" si="13"/>
        <v>05</v>
      </c>
      <c r="O189" t="str">
        <f t="shared" si="10"/>
        <v>2024</v>
      </c>
      <c r="P189" t="str">
        <f t="shared" si="14"/>
        <v>13-05-2024</v>
      </c>
    </row>
    <row r="190" spans="2:16" x14ac:dyDescent="0.3">
      <c r="B190" s="70">
        <v>45426</v>
      </c>
      <c r="C190" s="70">
        <f t="shared" si="11"/>
        <v>45413</v>
      </c>
      <c r="D190" s="94">
        <v>0</v>
      </c>
      <c r="E190" s="94">
        <v>18201.25</v>
      </c>
      <c r="F190" s="92" t="s">
        <v>2746</v>
      </c>
      <c r="G190" s="75"/>
      <c r="H190" s="92" t="s">
        <v>3881</v>
      </c>
      <c r="I190" s="92" t="s">
        <v>3889</v>
      </c>
      <c r="K190" s="71" t="s">
        <v>217</v>
      </c>
      <c r="L190" t="s">
        <v>34</v>
      </c>
      <c r="M190" t="str">
        <f t="shared" si="12"/>
        <v>14</v>
      </c>
      <c r="N190" t="str">
        <f t="shared" si="13"/>
        <v>05</v>
      </c>
      <c r="O190" t="str">
        <f t="shared" si="10"/>
        <v>2024</v>
      </c>
      <c r="P190" t="str">
        <f t="shared" si="14"/>
        <v>14-05-2024</v>
      </c>
    </row>
    <row r="191" spans="2:16" x14ac:dyDescent="0.3">
      <c r="B191" s="70">
        <v>45426</v>
      </c>
      <c r="C191" s="70">
        <f t="shared" si="11"/>
        <v>45413</v>
      </c>
      <c r="D191" s="94">
        <v>97.73</v>
      </c>
      <c r="E191" s="94">
        <v>0</v>
      </c>
      <c r="F191" s="92" t="s">
        <v>2747</v>
      </c>
      <c r="G191" s="75"/>
      <c r="H191" s="92" t="s">
        <v>3881</v>
      </c>
      <c r="I191" s="92" t="s">
        <v>3889</v>
      </c>
      <c r="K191" s="71" t="s">
        <v>217</v>
      </c>
      <c r="L191" t="s">
        <v>30</v>
      </c>
      <c r="M191" t="str">
        <f t="shared" si="12"/>
        <v>14</v>
      </c>
      <c r="N191" t="str">
        <f t="shared" si="13"/>
        <v>05</v>
      </c>
      <c r="O191" t="str">
        <f t="shared" si="10"/>
        <v>2024</v>
      </c>
      <c r="P191" t="str">
        <f t="shared" si="14"/>
        <v>14-05-2024</v>
      </c>
    </row>
    <row r="192" spans="2:16" x14ac:dyDescent="0.3">
      <c r="B192" s="70">
        <v>45426</v>
      </c>
      <c r="C192" s="70">
        <f t="shared" si="11"/>
        <v>45413</v>
      </c>
      <c r="D192" s="94">
        <v>30</v>
      </c>
      <c r="E192" s="94">
        <v>0</v>
      </c>
      <c r="F192" s="92" t="s">
        <v>2748</v>
      </c>
      <c r="G192" s="75"/>
      <c r="H192" s="92" t="s">
        <v>589</v>
      </c>
      <c r="I192" s="92" t="s">
        <v>3892</v>
      </c>
      <c r="K192" s="71" t="s">
        <v>511</v>
      </c>
      <c r="L192" t="s">
        <v>398</v>
      </c>
      <c r="M192" t="str">
        <f t="shared" si="12"/>
        <v>14</v>
      </c>
      <c r="N192" t="str">
        <f t="shared" si="13"/>
        <v>05</v>
      </c>
      <c r="O192" t="str">
        <f t="shared" si="10"/>
        <v>2024</v>
      </c>
      <c r="P192" t="str">
        <f t="shared" si="14"/>
        <v>14-05-2024</v>
      </c>
    </row>
    <row r="193" spans="2:16" x14ac:dyDescent="0.3">
      <c r="B193" s="70">
        <v>45427</v>
      </c>
      <c r="C193" s="70">
        <f t="shared" si="11"/>
        <v>45413</v>
      </c>
      <c r="D193" s="94">
        <v>0</v>
      </c>
      <c r="E193" s="94">
        <v>10616.44</v>
      </c>
      <c r="F193" s="92" t="s">
        <v>2749</v>
      </c>
      <c r="G193" s="75"/>
      <c r="H193" s="92" t="s">
        <v>3881</v>
      </c>
      <c r="I193" s="92" t="s">
        <v>3889</v>
      </c>
      <c r="K193" s="71" t="s">
        <v>217</v>
      </c>
      <c r="L193" t="s">
        <v>34</v>
      </c>
      <c r="M193" t="str">
        <f t="shared" si="12"/>
        <v>15</v>
      </c>
      <c r="N193" t="str">
        <f t="shared" si="13"/>
        <v>05</v>
      </c>
      <c r="O193" t="str">
        <f t="shared" si="10"/>
        <v>2024</v>
      </c>
      <c r="P193" t="str">
        <f t="shared" si="14"/>
        <v>15-05-2024</v>
      </c>
    </row>
    <row r="194" spans="2:16" x14ac:dyDescent="0.3">
      <c r="B194" s="70">
        <v>45427</v>
      </c>
      <c r="C194" s="70">
        <f t="shared" si="11"/>
        <v>45413</v>
      </c>
      <c r="D194" s="94">
        <v>86.54</v>
      </c>
      <c r="E194" s="94">
        <v>0</v>
      </c>
      <c r="F194" s="92" t="s">
        <v>2750</v>
      </c>
      <c r="G194" s="75"/>
      <c r="H194" s="92" t="s">
        <v>3881</v>
      </c>
      <c r="I194" s="92" t="s">
        <v>3889</v>
      </c>
      <c r="K194" s="71" t="s">
        <v>217</v>
      </c>
      <c r="L194" t="s">
        <v>30</v>
      </c>
      <c r="M194" t="str">
        <f t="shared" si="12"/>
        <v>15</v>
      </c>
      <c r="N194" t="str">
        <f t="shared" si="13"/>
        <v>05</v>
      </c>
      <c r="O194" t="str">
        <f t="shared" si="10"/>
        <v>2024</v>
      </c>
      <c r="P194" t="str">
        <f t="shared" si="14"/>
        <v>15-05-2024</v>
      </c>
    </row>
    <row r="195" spans="2:16" x14ac:dyDescent="0.3">
      <c r="B195" s="70">
        <v>45427</v>
      </c>
      <c r="C195" s="70">
        <f t="shared" si="11"/>
        <v>45413</v>
      </c>
      <c r="D195" s="94">
        <v>160</v>
      </c>
      <c r="E195" s="94">
        <v>0</v>
      </c>
      <c r="F195" s="92" t="s">
        <v>2751</v>
      </c>
      <c r="G195" s="75"/>
      <c r="H195" s="92" t="s">
        <v>589</v>
      </c>
      <c r="I195" s="92" t="s">
        <v>3892</v>
      </c>
      <c r="K195" s="71" t="s">
        <v>511</v>
      </c>
      <c r="L195" t="s">
        <v>400</v>
      </c>
      <c r="M195" t="str">
        <f t="shared" si="12"/>
        <v>15</v>
      </c>
      <c r="N195" t="str">
        <f t="shared" si="13"/>
        <v>05</v>
      </c>
      <c r="O195" t="str">
        <f t="shared" ref="O195:O258" si="15">TEXT(B195,"YYYY")</f>
        <v>2024</v>
      </c>
      <c r="P195" t="str">
        <f t="shared" si="14"/>
        <v>15-05-2024</v>
      </c>
    </row>
    <row r="196" spans="2:16" x14ac:dyDescent="0.3">
      <c r="B196" s="70">
        <v>45428</v>
      </c>
      <c r="C196" s="70">
        <f t="shared" ref="C196:C259" si="16">EOMONTH(B196,-1)+1</f>
        <v>45413</v>
      </c>
      <c r="D196" s="94">
        <v>0</v>
      </c>
      <c r="E196" s="94">
        <v>2567.1799999999998</v>
      </c>
      <c r="F196" s="92" t="s">
        <v>2752</v>
      </c>
      <c r="G196" s="75"/>
      <c r="H196" s="92" t="s">
        <v>3881</v>
      </c>
      <c r="I196" s="92" t="s">
        <v>3889</v>
      </c>
      <c r="K196" s="71" t="s">
        <v>217</v>
      </c>
      <c r="L196" t="s">
        <v>34</v>
      </c>
      <c r="M196" t="str">
        <f t="shared" ref="M196:M259" si="17">TEXT(B196,"DD")</f>
        <v>16</v>
      </c>
      <c r="N196" t="str">
        <f t="shared" ref="N196:N259" si="18">TEXT(B196,"MM")</f>
        <v>05</v>
      </c>
      <c r="O196" t="str">
        <f t="shared" si="15"/>
        <v>2024</v>
      </c>
      <c r="P196" t="str">
        <f t="shared" ref="P196:P259" si="19">M196&amp;"-"&amp;N196&amp;"-"&amp;O196</f>
        <v>16-05-2024</v>
      </c>
    </row>
    <row r="197" spans="2:16" x14ac:dyDescent="0.3">
      <c r="B197" s="70">
        <v>45428</v>
      </c>
      <c r="C197" s="70">
        <f t="shared" si="16"/>
        <v>45413</v>
      </c>
      <c r="D197" s="94">
        <v>83.58</v>
      </c>
      <c r="E197" s="94">
        <v>0</v>
      </c>
      <c r="F197" s="92" t="s">
        <v>2753</v>
      </c>
      <c r="G197" s="75"/>
      <c r="H197" s="92" t="s">
        <v>3881</v>
      </c>
      <c r="I197" s="92" t="s">
        <v>3889</v>
      </c>
      <c r="K197" s="71" t="s">
        <v>217</v>
      </c>
      <c r="L197" t="s">
        <v>30</v>
      </c>
      <c r="M197" t="str">
        <f t="shared" si="17"/>
        <v>16</v>
      </c>
      <c r="N197" t="str">
        <f t="shared" si="18"/>
        <v>05</v>
      </c>
      <c r="O197" t="str">
        <f t="shared" si="15"/>
        <v>2024</v>
      </c>
      <c r="P197" t="str">
        <f t="shared" si="19"/>
        <v>16-05-2024</v>
      </c>
    </row>
    <row r="198" spans="2:16" x14ac:dyDescent="0.3">
      <c r="B198" s="70">
        <v>45428</v>
      </c>
      <c r="C198" s="70">
        <f t="shared" si="16"/>
        <v>45413</v>
      </c>
      <c r="D198" s="94">
        <v>0</v>
      </c>
      <c r="E198" s="94">
        <v>1440</v>
      </c>
      <c r="F198" s="92" t="s">
        <v>2754</v>
      </c>
      <c r="G198" s="75" t="s">
        <v>3895</v>
      </c>
      <c r="H198" s="92" t="s">
        <v>218</v>
      </c>
      <c r="I198" s="92" t="s">
        <v>3889</v>
      </c>
      <c r="K198" s="71" t="s">
        <v>218</v>
      </c>
      <c r="L198" t="s">
        <v>118</v>
      </c>
      <c r="M198" t="str">
        <f t="shared" si="17"/>
        <v>16</v>
      </c>
      <c r="N198" t="str">
        <f t="shared" si="18"/>
        <v>05</v>
      </c>
      <c r="O198" t="str">
        <f t="shared" si="15"/>
        <v>2024</v>
      </c>
      <c r="P198" t="str">
        <f t="shared" si="19"/>
        <v>16-05-2024</v>
      </c>
    </row>
    <row r="199" spans="2:16" x14ac:dyDescent="0.3">
      <c r="B199" s="70">
        <v>45428</v>
      </c>
      <c r="C199" s="70">
        <f t="shared" si="16"/>
        <v>45413</v>
      </c>
      <c r="D199" s="94">
        <v>22275.31</v>
      </c>
      <c r="E199" s="94">
        <v>0</v>
      </c>
      <c r="F199" s="92" t="s">
        <v>2753</v>
      </c>
      <c r="G199" s="75"/>
      <c r="H199" s="92" t="s">
        <v>3881</v>
      </c>
      <c r="I199" s="92" t="s">
        <v>3889</v>
      </c>
      <c r="K199" s="71" t="s">
        <v>217</v>
      </c>
      <c r="L199" t="s">
        <v>30</v>
      </c>
      <c r="M199" t="str">
        <f t="shared" si="17"/>
        <v>16</v>
      </c>
      <c r="N199" t="str">
        <f t="shared" si="18"/>
        <v>05</v>
      </c>
      <c r="O199" t="str">
        <f t="shared" si="15"/>
        <v>2024</v>
      </c>
      <c r="P199" t="str">
        <f t="shared" si="19"/>
        <v>16-05-2024</v>
      </c>
    </row>
    <row r="200" spans="2:16" x14ac:dyDescent="0.3">
      <c r="B200" s="70">
        <v>45428</v>
      </c>
      <c r="C200" s="70">
        <f t="shared" si="16"/>
        <v>45413</v>
      </c>
      <c r="D200" s="94">
        <v>0</v>
      </c>
      <c r="E200" s="94">
        <v>1</v>
      </c>
      <c r="F200" s="92" t="s">
        <v>2755</v>
      </c>
      <c r="G200" s="75"/>
      <c r="H200" s="92" t="s">
        <v>226</v>
      </c>
      <c r="I200" s="92" t="s">
        <v>3889</v>
      </c>
      <c r="K200" s="71" t="s">
        <v>226</v>
      </c>
      <c r="L200" t="s">
        <v>121</v>
      </c>
      <c r="M200" t="str">
        <f t="shared" si="17"/>
        <v>16</v>
      </c>
      <c r="N200" t="str">
        <f t="shared" si="18"/>
        <v>05</v>
      </c>
      <c r="O200" t="str">
        <f t="shared" si="15"/>
        <v>2024</v>
      </c>
      <c r="P200" t="str">
        <f t="shared" si="19"/>
        <v>16-05-2024</v>
      </c>
    </row>
    <row r="201" spans="2:16" x14ac:dyDescent="0.3">
      <c r="B201" s="70">
        <v>45428</v>
      </c>
      <c r="C201" s="70">
        <f t="shared" si="16"/>
        <v>45413</v>
      </c>
      <c r="D201" s="94">
        <v>0</v>
      </c>
      <c r="E201" s="94">
        <v>499</v>
      </c>
      <c r="F201" s="92" t="s">
        <v>2756</v>
      </c>
      <c r="G201" s="75"/>
      <c r="H201" s="92" t="s">
        <v>589</v>
      </c>
      <c r="I201" s="92" t="s">
        <v>3892</v>
      </c>
      <c r="K201" s="71" t="s">
        <v>511</v>
      </c>
      <c r="L201" t="s">
        <v>402</v>
      </c>
      <c r="M201" t="str">
        <f t="shared" si="17"/>
        <v>16</v>
      </c>
      <c r="N201" t="str">
        <f t="shared" si="18"/>
        <v>05</v>
      </c>
      <c r="O201" t="str">
        <f t="shared" si="15"/>
        <v>2024</v>
      </c>
      <c r="P201" t="str">
        <f t="shared" si="19"/>
        <v>16-05-2024</v>
      </c>
    </row>
    <row r="202" spans="2:16" x14ac:dyDescent="0.3">
      <c r="B202" s="70">
        <v>45428</v>
      </c>
      <c r="C202" s="70">
        <f t="shared" si="16"/>
        <v>45413</v>
      </c>
      <c r="D202" s="94">
        <v>0</v>
      </c>
      <c r="E202" s="94">
        <v>70</v>
      </c>
      <c r="F202" s="92" t="s">
        <v>2757</v>
      </c>
      <c r="G202" s="75"/>
      <c r="H202" s="92" t="s">
        <v>589</v>
      </c>
      <c r="I202" s="92" t="s">
        <v>3892</v>
      </c>
      <c r="K202" s="71" t="s">
        <v>511</v>
      </c>
      <c r="L202" t="s">
        <v>404</v>
      </c>
      <c r="M202" t="str">
        <f t="shared" si="17"/>
        <v>16</v>
      </c>
      <c r="N202" t="str">
        <f t="shared" si="18"/>
        <v>05</v>
      </c>
      <c r="O202" t="str">
        <f t="shared" si="15"/>
        <v>2024</v>
      </c>
      <c r="P202" t="str">
        <f t="shared" si="19"/>
        <v>16-05-2024</v>
      </c>
    </row>
    <row r="203" spans="2:16" x14ac:dyDescent="0.3">
      <c r="B203" s="70">
        <v>45429</v>
      </c>
      <c r="C203" s="70">
        <f t="shared" si="16"/>
        <v>45413</v>
      </c>
      <c r="D203" s="94">
        <v>76.56</v>
      </c>
      <c r="E203" s="94">
        <v>0</v>
      </c>
      <c r="F203" s="92" t="s">
        <v>2758</v>
      </c>
      <c r="G203" s="75"/>
      <c r="H203" s="92" t="s">
        <v>3881</v>
      </c>
      <c r="I203" s="92" t="s">
        <v>3889</v>
      </c>
      <c r="K203" s="71" t="s">
        <v>217</v>
      </c>
      <c r="L203" t="s">
        <v>30</v>
      </c>
      <c r="M203" t="str">
        <f t="shared" si="17"/>
        <v>17</v>
      </c>
      <c r="N203" t="str">
        <f t="shared" si="18"/>
        <v>05</v>
      </c>
      <c r="O203" t="str">
        <f t="shared" si="15"/>
        <v>2024</v>
      </c>
      <c r="P203" t="str">
        <f t="shared" si="19"/>
        <v>17-05-2024</v>
      </c>
    </row>
    <row r="204" spans="2:16" x14ac:dyDescent="0.3">
      <c r="B204" s="70">
        <v>45429</v>
      </c>
      <c r="C204" s="70">
        <f t="shared" si="16"/>
        <v>45413</v>
      </c>
      <c r="D204" s="94">
        <v>9498.26</v>
      </c>
      <c r="E204" s="94">
        <v>0</v>
      </c>
      <c r="F204" s="92" t="s">
        <v>2758</v>
      </c>
      <c r="G204" s="75"/>
      <c r="H204" s="92" t="s">
        <v>3881</v>
      </c>
      <c r="I204" s="92" t="s">
        <v>3889</v>
      </c>
      <c r="K204" s="71" t="s">
        <v>217</v>
      </c>
      <c r="L204" t="s">
        <v>30</v>
      </c>
      <c r="M204" t="str">
        <f t="shared" si="17"/>
        <v>17</v>
      </c>
      <c r="N204" t="str">
        <f t="shared" si="18"/>
        <v>05</v>
      </c>
      <c r="O204" t="str">
        <f t="shared" si="15"/>
        <v>2024</v>
      </c>
      <c r="P204" t="str">
        <f t="shared" si="19"/>
        <v>17-05-2024</v>
      </c>
    </row>
    <row r="205" spans="2:16" x14ac:dyDescent="0.3">
      <c r="B205" s="70">
        <v>45429</v>
      </c>
      <c r="C205" s="70">
        <f t="shared" si="16"/>
        <v>45413</v>
      </c>
      <c r="D205" s="94">
        <v>0</v>
      </c>
      <c r="E205" s="94">
        <v>16</v>
      </c>
      <c r="F205" s="92" t="s">
        <v>2759</v>
      </c>
      <c r="G205" s="75" t="s">
        <v>3906</v>
      </c>
      <c r="H205" s="92" t="s">
        <v>218</v>
      </c>
      <c r="I205" s="92" t="s">
        <v>3893</v>
      </c>
      <c r="K205" s="71" t="s">
        <v>218</v>
      </c>
      <c r="L205" t="s">
        <v>570</v>
      </c>
      <c r="M205" t="str">
        <f t="shared" si="17"/>
        <v>17</v>
      </c>
      <c r="N205" t="str">
        <f t="shared" si="18"/>
        <v>05</v>
      </c>
      <c r="O205" t="str">
        <f t="shared" si="15"/>
        <v>2024</v>
      </c>
      <c r="P205" t="str">
        <f t="shared" si="19"/>
        <v>17-05-2024</v>
      </c>
    </row>
    <row r="206" spans="2:16" x14ac:dyDescent="0.3">
      <c r="B206" s="70">
        <v>45429</v>
      </c>
      <c r="C206" s="70">
        <f t="shared" si="16"/>
        <v>45413</v>
      </c>
      <c r="D206" s="94">
        <v>0</v>
      </c>
      <c r="E206" s="94">
        <v>90</v>
      </c>
      <c r="F206" s="92" t="s">
        <v>2760</v>
      </c>
      <c r="G206" s="75"/>
      <c r="H206" s="92" t="s">
        <v>589</v>
      </c>
      <c r="I206" s="92" t="s">
        <v>3893</v>
      </c>
      <c r="K206" s="71" t="s">
        <v>589</v>
      </c>
      <c r="L206" t="s">
        <v>571</v>
      </c>
      <c r="M206" t="str">
        <f t="shared" si="17"/>
        <v>17</v>
      </c>
      <c r="N206" t="str">
        <f t="shared" si="18"/>
        <v>05</v>
      </c>
      <c r="O206" t="str">
        <f t="shared" si="15"/>
        <v>2024</v>
      </c>
      <c r="P206" t="str">
        <f t="shared" si="19"/>
        <v>17-05-2024</v>
      </c>
    </row>
    <row r="207" spans="2:16" x14ac:dyDescent="0.3">
      <c r="B207" s="70">
        <v>45429</v>
      </c>
      <c r="C207" s="70">
        <f t="shared" si="16"/>
        <v>45413</v>
      </c>
      <c r="D207" s="94">
        <v>0</v>
      </c>
      <c r="E207" s="94">
        <v>180</v>
      </c>
      <c r="F207" s="92" t="s">
        <v>2761</v>
      </c>
      <c r="G207" s="75"/>
      <c r="H207" s="92" t="s">
        <v>3891</v>
      </c>
      <c r="I207" s="92" t="s">
        <v>3892</v>
      </c>
      <c r="K207" s="71" t="s">
        <v>746</v>
      </c>
      <c r="L207" t="s">
        <v>406</v>
      </c>
      <c r="M207" t="str">
        <f t="shared" si="17"/>
        <v>17</v>
      </c>
      <c r="N207" t="str">
        <f t="shared" si="18"/>
        <v>05</v>
      </c>
      <c r="O207" t="str">
        <f t="shared" si="15"/>
        <v>2024</v>
      </c>
      <c r="P207" t="str">
        <f t="shared" si="19"/>
        <v>17-05-2024</v>
      </c>
    </row>
    <row r="208" spans="2:16" x14ac:dyDescent="0.3">
      <c r="B208" s="70">
        <v>45429</v>
      </c>
      <c r="C208" s="70">
        <f t="shared" si="16"/>
        <v>45413</v>
      </c>
      <c r="D208" s="94">
        <v>0</v>
      </c>
      <c r="E208" s="94">
        <v>1</v>
      </c>
      <c r="F208" s="92" t="s">
        <v>2762</v>
      </c>
      <c r="G208" s="75"/>
      <c r="H208" s="92" t="s">
        <v>3891</v>
      </c>
      <c r="I208" s="92" t="s">
        <v>3892</v>
      </c>
      <c r="K208" s="71" t="s">
        <v>746</v>
      </c>
      <c r="L208" t="s">
        <v>408</v>
      </c>
      <c r="M208" t="str">
        <f t="shared" si="17"/>
        <v>17</v>
      </c>
      <c r="N208" t="str">
        <f t="shared" si="18"/>
        <v>05</v>
      </c>
      <c r="O208" t="str">
        <f t="shared" si="15"/>
        <v>2024</v>
      </c>
      <c r="P208" t="str">
        <f t="shared" si="19"/>
        <v>17-05-2024</v>
      </c>
    </row>
    <row r="209" spans="2:16" x14ac:dyDescent="0.3">
      <c r="B209" s="70">
        <v>45429</v>
      </c>
      <c r="C209" s="70">
        <f t="shared" si="16"/>
        <v>45413</v>
      </c>
      <c r="D209" s="94">
        <v>0</v>
      </c>
      <c r="E209" s="94">
        <v>1000</v>
      </c>
      <c r="F209" s="92" t="s">
        <v>2763</v>
      </c>
      <c r="G209" s="75"/>
      <c r="H209" s="92" t="s">
        <v>3891</v>
      </c>
      <c r="I209" s="92" t="s">
        <v>3892</v>
      </c>
      <c r="K209" s="71" t="s">
        <v>746</v>
      </c>
      <c r="L209" t="s">
        <v>410</v>
      </c>
      <c r="M209" t="str">
        <f t="shared" si="17"/>
        <v>17</v>
      </c>
      <c r="N209" t="str">
        <f t="shared" si="18"/>
        <v>05</v>
      </c>
      <c r="O209" t="str">
        <f t="shared" si="15"/>
        <v>2024</v>
      </c>
      <c r="P209" t="str">
        <f t="shared" si="19"/>
        <v>17-05-2024</v>
      </c>
    </row>
    <row r="210" spans="2:16" x14ac:dyDescent="0.3">
      <c r="B210" s="70">
        <v>45429</v>
      </c>
      <c r="C210" s="70">
        <f t="shared" si="16"/>
        <v>45413</v>
      </c>
      <c r="D210" s="94">
        <v>0</v>
      </c>
      <c r="E210" s="94">
        <v>180</v>
      </c>
      <c r="F210" s="92" t="s">
        <v>2764</v>
      </c>
      <c r="G210" s="75"/>
      <c r="H210" s="92" t="s">
        <v>589</v>
      </c>
      <c r="I210" s="92" t="s">
        <v>3891</v>
      </c>
      <c r="K210" s="71" t="s">
        <v>511</v>
      </c>
      <c r="L210" t="s">
        <v>797</v>
      </c>
      <c r="M210" t="str">
        <f t="shared" si="17"/>
        <v>17</v>
      </c>
      <c r="N210" t="str">
        <f t="shared" si="18"/>
        <v>05</v>
      </c>
      <c r="O210" t="str">
        <f t="shared" si="15"/>
        <v>2024</v>
      </c>
      <c r="P210" t="str">
        <f t="shared" si="19"/>
        <v>17-05-2024</v>
      </c>
    </row>
    <row r="211" spans="2:16" x14ac:dyDescent="0.3">
      <c r="B211" s="70">
        <v>45429</v>
      </c>
      <c r="C211" s="70">
        <f t="shared" si="16"/>
        <v>45413</v>
      </c>
      <c r="D211" s="94">
        <v>180</v>
      </c>
      <c r="E211" s="94">
        <v>0</v>
      </c>
      <c r="F211" s="92" t="s">
        <v>2765</v>
      </c>
      <c r="G211" s="75"/>
      <c r="H211" s="92" t="s">
        <v>3892</v>
      </c>
      <c r="I211" s="92" t="s">
        <v>3891</v>
      </c>
      <c r="K211" s="71" t="s">
        <v>744</v>
      </c>
      <c r="L211" t="s">
        <v>798</v>
      </c>
      <c r="M211" t="str">
        <f t="shared" si="17"/>
        <v>17</v>
      </c>
      <c r="N211" t="str">
        <f t="shared" si="18"/>
        <v>05</v>
      </c>
      <c r="O211" t="str">
        <f t="shared" si="15"/>
        <v>2024</v>
      </c>
      <c r="P211" t="str">
        <f t="shared" si="19"/>
        <v>17-05-2024</v>
      </c>
    </row>
    <row r="212" spans="2:16" x14ac:dyDescent="0.3">
      <c r="B212" s="70">
        <v>45429</v>
      </c>
      <c r="C212" s="70">
        <f t="shared" si="16"/>
        <v>45413</v>
      </c>
      <c r="D212" s="94">
        <v>0</v>
      </c>
      <c r="E212" s="94">
        <v>1</v>
      </c>
      <c r="F212" s="92" t="s">
        <v>2766</v>
      </c>
      <c r="G212" s="75"/>
      <c r="H212" s="92" t="s">
        <v>226</v>
      </c>
      <c r="I212" s="92" t="s">
        <v>3891</v>
      </c>
      <c r="K212" s="71" t="s">
        <v>226</v>
      </c>
      <c r="L212" t="s">
        <v>799</v>
      </c>
      <c r="M212" t="str">
        <f t="shared" si="17"/>
        <v>17</v>
      </c>
      <c r="N212" t="str">
        <f t="shared" si="18"/>
        <v>05</v>
      </c>
      <c r="O212" t="str">
        <f t="shared" si="15"/>
        <v>2024</v>
      </c>
      <c r="P212" t="str">
        <f t="shared" si="19"/>
        <v>17-05-2024</v>
      </c>
    </row>
    <row r="213" spans="2:16" x14ac:dyDescent="0.3">
      <c r="B213" s="70">
        <v>45429</v>
      </c>
      <c r="C213" s="70">
        <f t="shared" si="16"/>
        <v>45413</v>
      </c>
      <c r="D213" s="94">
        <v>1</v>
      </c>
      <c r="E213" s="94">
        <v>0</v>
      </c>
      <c r="F213" s="92" t="s">
        <v>2767</v>
      </c>
      <c r="G213" s="75"/>
      <c r="H213" s="92" t="s">
        <v>3892</v>
      </c>
      <c r="I213" s="92" t="s">
        <v>3891</v>
      </c>
      <c r="K213" s="71" t="s">
        <v>744</v>
      </c>
      <c r="L213" t="s">
        <v>800</v>
      </c>
      <c r="M213" t="str">
        <f t="shared" si="17"/>
        <v>17</v>
      </c>
      <c r="N213" t="str">
        <f t="shared" si="18"/>
        <v>05</v>
      </c>
      <c r="O213" t="str">
        <f t="shared" si="15"/>
        <v>2024</v>
      </c>
      <c r="P213" t="str">
        <f t="shared" si="19"/>
        <v>17-05-2024</v>
      </c>
    </row>
    <row r="214" spans="2:16" x14ac:dyDescent="0.3">
      <c r="B214" s="70">
        <v>45429</v>
      </c>
      <c r="C214" s="70">
        <f t="shared" si="16"/>
        <v>45413</v>
      </c>
      <c r="D214" s="94">
        <v>0</v>
      </c>
      <c r="E214" s="94">
        <v>1000</v>
      </c>
      <c r="F214" s="92" t="s">
        <v>2768</v>
      </c>
      <c r="G214" s="75"/>
      <c r="H214" s="92" t="s">
        <v>3883</v>
      </c>
      <c r="I214" s="92" t="s">
        <v>3891</v>
      </c>
      <c r="K214" s="71" t="s">
        <v>2539</v>
      </c>
      <c r="L214" t="s">
        <v>801</v>
      </c>
      <c r="M214" t="str">
        <f t="shared" si="17"/>
        <v>17</v>
      </c>
      <c r="N214" t="str">
        <f t="shared" si="18"/>
        <v>05</v>
      </c>
      <c r="O214" t="str">
        <f t="shared" si="15"/>
        <v>2024</v>
      </c>
      <c r="P214" t="str">
        <f t="shared" si="19"/>
        <v>17-05-2024</v>
      </c>
    </row>
    <row r="215" spans="2:16" x14ac:dyDescent="0.3">
      <c r="B215" s="70">
        <v>45429</v>
      </c>
      <c r="C215" s="70">
        <f t="shared" si="16"/>
        <v>45413</v>
      </c>
      <c r="D215" s="94">
        <v>1000</v>
      </c>
      <c r="E215" s="94">
        <v>0</v>
      </c>
      <c r="F215" s="92" t="s">
        <v>2769</v>
      </c>
      <c r="G215" s="75"/>
      <c r="H215" s="92" t="s">
        <v>3892</v>
      </c>
      <c r="I215" s="92" t="s">
        <v>3891</v>
      </c>
      <c r="K215" s="71" t="s">
        <v>744</v>
      </c>
      <c r="L215" t="s">
        <v>802</v>
      </c>
      <c r="M215" t="str">
        <f t="shared" si="17"/>
        <v>17</v>
      </c>
      <c r="N215" t="str">
        <f t="shared" si="18"/>
        <v>05</v>
      </c>
      <c r="O215" t="str">
        <f t="shared" si="15"/>
        <v>2024</v>
      </c>
      <c r="P215" t="str">
        <f t="shared" si="19"/>
        <v>17-05-2024</v>
      </c>
    </row>
    <row r="216" spans="2:16" x14ac:dyDescent="0.3">
      <c r="B216" s="70">
        <v>45430</v>
      </c>
      <c r="C216" s="70">
        <f t="shared" si="16"/>
        <v>45413</v>
      </c>
      <c r="D216" s="94">
        <v>93.5</v>
      </c>
      <c r="E216" s="94">
        <v>0</v>
      </c>
      <c r="F216" s="92" t="s">
        <v>2770</v>
      </c>
      <c r="G216" s="75"/>
      <c r="H216" s="92" t="s">
        <v>3881</v>
      </c>
      <c r="I216" s="92" t="s">
        <v>3889</v>
      </c>
      <c r="K216" s="71" t="s">
        <v>217</v>
      </c>
      <c r="L216" t="s">
        <v>30</v>
      </c>
      <c r="M216" t="str">
        <f t="shared" si="17"/>
        <v>18</v>
      </c>
      <c r="N216" t="str">
        <f t="shared" si="18"/>
        <v>05</v>
      </c>
      <c r="O216" t="str">
        <f t="shared" si="15"/>
        <v>2024</v>
      </c>
      <c r="P216" t="str">
        <f t="shared" si="19"/>
        <v>18-05-2024</v>
      </c>
    </row>
    <row r="217" spans="2:16" x14ac:dyDescent="0.3">
      <c r="B217" s="70">
        <v>45432</v>
      </c>
      <c r="C217" s="70">
        <f t="shared" si="16"/>
        <v>45413</v>
      </c>
      <c r="D217" s="94">
        <v>35</v>
      </c>
      <c r="E217" s="94">
        <v>0</v>
      </c>
      <c r="F217" s="92" t="s">
        <v>2771</v>
      </c>
      <c r="G217" s="75"/>
      <c r="H217" s="92" t="s">
        <v>589</v>
      </c>
      <c r="I217" s="92" t="s">
        <v>3892</v>
      </c>
      <c r="K217" s="71" t="s">
        <v>511</v>
      </c>
      <c r="L217" t="s">
        <v>412</v>
      </c>
      <c r="M217" t="str">
        <f t="shared" si="17"/>
        <v>20</v>
      </c>
      <c r="N217" t="str">
        <f t="shared" si="18"/>
        <v>05</v>
      </c>
      <c r="O217" t="str">
        <f t="shared" si="15"/>
        <v>2024</v>
      </c>
      <c r="P217" t="str">
        <f t="shared" si="19"/>
        <v>20-05-2024</v>
      </c>
    </row>
    <row r="218" spans="2:16" x14ac:dyDescent="0.3">
      <c r="B218" s="70">
        <v>45433</v>
      </c>
      <c r="C218" s="70">
        <f t="shared" si="16"/>
        <v>45413</v>
      </c>
      <c r="D218" s="94">
        <v>0</v>
      </c>
      <c r="E218" s="94">
        <v>725.24</v>
      </c>
      <c r="F218" s="92" t="s">
        <v>2772</v>
      </c>
      <c r="G218" s="75"/>
      <c r="H218" s="92" t="s">
        <v>3881</v>
      </c>
      <c r="I218" s="92" t="s">
        <v>3889</v>
      </c>
      <c r="K218" s="71" t="s">
        <v>217</v>
      </c>
      <c r="L218" t="s">
        <v>34</v>
      </c>
      <c r="M218" t="str">
        <f t="shared" si="17"/>
        <v>21</v>
      </c>
      <c r="N218" t="str">
        <f t="shared" si="18"/>
        <v>05</v>
      </c>
      <c r="O218" t="str">
        <f t="shared" si="15"/>
        <v>2024</v>
      </c>
      <c r="P218" t="str">
        <f t="shared" si="19"/>
        <v>21-05-2024</v>
      </c>
    </row>
    <row r="219" spans="2:16" x14ac:dyDescent="0.3">
      <c r="B219" s="70">
        <v>45433</v>
      </c>
      <c r="C219" s="70">
        <f t="shared" si="16"/>
        <v>45413</v>
      </c>
      <c r="D219" s="94">
        <v>280.5</v>
      </c>
      <c r="E219" s="94">
        <v>0</v>
      </c>
      <c r="F219" s="92" t="s">
        <v>2773</v>
      </c>
      <c r="G219" s="75"/>
      <c r="H219" s="92" t="s">
        <v>3881</v>
      </c>
      <c r="I219" s="92" t="s">
        <v>3889</v>
      </c>
      <c r="K219" s="71" t="s">
        <v>217</v>
      </c>
      <c r="L219" t="s">
        <v>30</v>
      </c>
      <c r="M219" t="str">
        <f t="shared" si="17"/>
        <v>21</v>
      </c>
      <c r="N219" t="str">
        <f t="shared" si="18"/>
        <v>05</v>
      </c>
      <c r="O219" t="str">
        <f t="shared" si="15"/>
        <v>2024</v>
      </c>
      <c r="P219" t="str">
        <f t="shared" si="19"/>
        <v>21-05-2024</v>
      </c>
    </row>
    <row r="220" spans="2:16" x14ac:dyDescent="0.3">
      <c r="B220" s="70">
        <v>45433</v>
      </c>
      <c r="C220" s="70">
        <f t="shared" si="16"/>
        <v>45413</v>
      </c>
      <c r="D220" s="94">
        <v>1</v>
      </c>
      <c r="E220" s="94">
        <v>0</v>
      </c>
      <c r="F220" s="92" t="s">
        <v>2773</v>
      </c>
      <c r="G220" s="75"/>
      <c r="H220" s="92" t="s">
        <v>3881</v>
      </c>
      <c r="I220" s="92" t="s">
        <v>3889</v>
      </c>
      <c r="K220" s="71" t="s">
        <v>217</v>
      </c>
      <c r="L220" t="s">
        <v>30</v>
      </c>
      <c r="M220" t="str">
        <f t="shared" si="17"/>
        <v>21</v>
      </c>
      <c r="N220" t="str">
        <f t="shared" si="18"/>
        <v>05</v>
      </c>
      <c r="O220" t="str">
        <f t="shared" si="15"/>
        <v>2024</v>
      </c>
      <c r="P220" t="str">
        <f t="shared" si="19"/>
        <v>21-05-2024</v>
      </c>
    </row>
    <row r="221" spans="2:16" x14ac:dyDescent="0.3">
      <c r="B221" s="70">
        <v>45433</v>
      </c>
      <c r="C221" s="70">
        <f t="shared" si="16"/>
        <v>45413</v>
      </c>
      <c r="D221" s="94">
        <v>729.81</v>
      </c>
      <c r="E221" s="94">
        <v>0</v>
      </c>
      <c r="F221" s="92" t="s">
        <v>2773</v>
      </c>
      <c r="G221" s="75"/>
      <c r="H221" s="92" t="s">
        <v>3881</v>
      </c>
      <c r="I221" s="92" t="s">
        <v>3889</v>
      </c>
      <c r="K221" s="71" t="s">
        <v>217</v>
      </c>
      <c r="L221" t="s">
        <v>30</v>
      </c>
      <c r="M221" t="str">
        <f t="shared" si="17"/>
        <v>21</v>
      </c>
      <c r="N221" t="str">
        <f t="shared" si="18"/>
        <v>05</v>
      </c>
      <c r="O221" t="str">
        <f t="shared" si="15"/>
        <v>2024</v>
      </c>
      <c r="P221" t="str">
        <f t="shared" si="19"/>
        <v>21-05-2024</v>
      </c>
    </row>
    <row r="222" spans="2:16" x14ac:dyDescent="0.3">
      <c r="B222" s="70">
        <v>45433</v>
      </c>
      <c r="C222" s="70">
        <f t="shared" si="16"/>
        <v>45413</v>
      </c>
      <c r="D222" s="94">
        <v>240</v>
      </c>
      <c r="E222" s="94">
        <v>0</v>
      </c>
      <c r="F222" s="92" t="s">
        <v>2774</v>
      </c>
      <c r="G222" s="75"/>
      <c r="H222" s="92" t="s">
        <v>589</v>
      </c>
      <c r="I222" s="92" t="s">
        <v>3892</v>
      </c>
      <c r="K222" s="71" t="s">
        <v>511</v>
      </c>
      <c r="L222" t="s">
        <v>414</v>
      </c>
      <c r="M222" t="str">
        <f t="shared" si="17"/>
        <v>21</v>
      </c>
      <c r="N222" t="str">
        <f t="shared" si="18"/>
        <v>05</v>
      </c>
      <c r="O222" t="str">
        <f t="shared" si="15"/>
        <v>2024</v>
      </c>
      <c r="P222" t="str">
        <f t="shared" si="19"/>
        <v>21-05-2024</v>
      </c>
    </row>
    <row r="223" spans="2:16" x14ac:dyDescent="0.3">
      <c r="B223" s="70">
        <v>45433</v>
      </c>
      <c r="C223" s="70">
        <f t="shared" si="16"/>
        <v>45413</v>
      </c>
      <c r="D223" s="94">
        <v>0</v>
      </c>
      <c r="E223" s="94">
        <v>1</v>
      </c>
      <c r="F223" s="92" t="s">
        <v>2775</v>
      </c>
      <c r="G223" s="75"/>
      <c r="H223" s="92" t="s">
        <v>3875</v>
      </c>
      <c r="I223" s="92" t="s">
        <v>3892</v>
      </c>
      <c r="K223" s="71" t="s">
        <v>509</v>
      </c>
      <c r="L223" t="s">
        <v>416</v>
      </c>
      <c r="M223" t="str">
        <f t="shared" si="17"/>
        <v>21</v>
      </c>
      <c r="N223" t="str">
        <f t="shared" si="18"/>
        <v>05</v>
      </c>
      <c r="O223" t="str">
        <f t="shared" si="15"/>
        <v>2024</v>
      </c>
      <c r="P223" t="str">
        <f t="shared" si="19"/>
        <v>21-05-2024</v>
      </c>
    </row>
    <row r="224" spans="2:16" x14ac:dyDescent="0.3">
      <c r="B224" s="70">
        <v>45433</v>
      </c>
      <c r="C224" s="70">
        <f t="shared" si="16"/>
        <v>45413</v>
      </c>
      <c r="D224" s="94">
        <v>0</v>
      </c>
      <c r="E224" s="94">
        <v>4</v>
      </c>
      <c r="F224" s="92" t="s">
        <v>2776</v>
      </c>
      <c r="G224" s="92" t="s">
        <v>757</v>
      </c>
      <c r="H224" s="92" t="s">
        <v>227</v>
      </c>
      <c r="I224" s="92" t="s">
        <v>3891</v>
      </c>
      <c r="K224" s="71" t="s">
        <v>227</v>
      </c>
      <c r="L224" t="s">
        <v>803</v>
      </c>
      <c r="M224" t="str">
        <f t="shared" si="17"/>
        <v>21</v>
      </c>
      <c r="N224" t="str">
        <f t="shared" si="18"/>
        <v>05</v>
      </c>
      <c r="O224" t="str">
        <f t="shared" si="15"/>
        <v>2024</v>
      </c>
      <c r="P224" t="str">
        <f t="shared" si="19"/>
        <v>21-05-2024</v>
      </c>
    </row>
    <row r="225" spans="2:16" x14ac:dyDescent="0.3">
      <c r="B225" s="70">
        <v>45433</v>
      </c>
      <c r="C225" s="70">
        <f t="shared" si="16"/>
        <v>45413</v>
      </c>
      <c r="D225" s="94">
        <v>4</v>
      </c>
      <c r="E225" s="94">
        <v>0</v>
      </c>
      <c r="F225" s="92" t="s">
        <v>2777</v>
      </c>
      <c r="G225" s="75"/>
      <c r="H225" s="92" t="s">
        <v>3892</v>
      </c>
      <c r="I225" s="92" t="s">
        <v>3891</v>
      </c>
      <c r="K225" s="71" t="s">
        <v>744</v>
      </c>
      <c r="L225" t="s">
        <v>804</v>
      </c>
      <c r="M225" t="str">
        <f t="shared" si="17"/>
        <v>21</v>
      </c>
      <c r="N225" t="str">
        <f t="shared" si="18"/>
        <v>05</v>
      </c>
      <c r="O225" t="str">
        <f t="shared" si="15"/>
        <v>2024</v>
      </c>
      <c r="P225" t="str">
        <f t="shared" si="19"/>
        <v>21-05-2024</v>
      </c>
    </row>
    <row r="226" spans="2:16" x14ac:dyDescent="0.3">
      <c r="B226" s="70">
        <v>45434</v>
      </c>
      <c r="C226" s="70">
        <f t="shared" si="16"/>
        <v>45413</v>
      </c>
      <c r="D226" s="94">
        <v>101.86</v>
      </c>
      <c r="E226" s="94">
        <v>0</v>
      </c>
      <c r="F226" s="92" t="s">
        <v>2778</v>
      </c>
      <c r="G226" s="75"/>
      <c r="H226" s="92" t="s">
        <v>3881</v>
      </c>
      <c r="I226" s="92" t="s">
        <v>3889</v>
      </c>
      <c r="K226" s="71" t="s">
        <v>217</v>
      </c>
      <c r="L226" t="s">
        <v>30</v>
      </c>
      <c r="M226" t="str">
        <f t="shared" si="17"/>
        <v>22</v>
      </c>
      <c r="N226" t="str">
        <f t="shared" si="18"/>
        <v>05</v>
      </c>
      <c r="O226" t="str">
        <f t="shared" si="15"/>
        <v>2024</v>
      </c>
      <c r="P226" t="str">
        <f t="shared" si="19"/>
        <v>22-05-2024</v>
      </c>
    </row>
    <row r="227" spans="2:16" x14ac:dyDescent="0.3">
      <c r="B227" s="70">
        <v>45434</v>
      </c>
      <c r="C227" s="70">
        <f t="shared" si="16"/>
        <v>45413</v>
      </c>
      <c r="D227" s="94">
        <v>253</v>
      </c>
      <c r="E227" s="94">
        <v>0</v>
      </c>
      <c r="F227" s="92" t="s">
        <v>2779</v>
      </c>
      <c r="G227" s="75"/>
      <c r="H227" s="92" t="s">
        <v>589</v>
      </c>
      <c r="I227" s="92" t="s">
        <v>3892</v>
      </c>
      <c r="K227" s="71" t="s">
        <v>511</v>
      </c>
      <c r="L227" t="s">
        <v>418</v>
      </c>
      <c r="M227" t="str">
        <f t="shared" si="17"/>
        <v>22</v>
      </c>
      <c r="N227" t="str">
        <f t="shared" si="18"/>
        <v>05</v>
      </c>
      <c r="O227" t="str">
        <f t="shared" si="15"/>
        <v>2024</v>
      </c>
      <c r="P227" t="str">
        <f t="shared" si="19"/>
        <v>22-05-2024</v>
      </c>
    </row>
    <row r="228" spans="2:16" x14ac:dyDescent="0.3">
      <c r="B228" s="70">
        <v>45435</v>
      </c>
      <c r="C228" s="70">
        <f t="shared" si="16"/>
        <v>45413</v>
      </c>
      <c r="D228" s="94">
        <v>17.7</v>
      </c>
      <c r="E228" s="94">
        <v>0</v>
      </c>
      <c r="F228" s="92" t="s">
        <v>2780</v>
      </c>
      <c r="G228" s="75"/>
      <c r="H228" s="92" t="s">
        <v>221</v>
      </c>
      <c r="I228" s="92" t="s">
        <v>3889</v>
      </c>
      <c r="K228" s="71" t="s">
        <v>221</v>
      </c>
      <c r="L228" t="s">
        <v>131</v>
      </c>
      <c r="M228" t="str">
        <f t="shared" si="17"/>
        <v>23</v>
      </c>
      <c r="N228" t="str">
        <f t="shared" si="18"/>
        <v>05</v>
      </c>
      <c r="O228" t="str">
        <f t="shared" si="15"/>
        <v>2024</v>
      </c>
      <c r="P228" t="str">
        <f t="shared" si="19"/>
        <v>23-05-2024</v>
      </c>
    </row>
    <row r="229" spans="2:16" x14ac:dyDescent="0.3">
      <c r="B229" s="70">
        <v>45436</v>
      </c>
      <c r="C229" s="70">
        <f t="shared" si="16"/>
        <v>45413</v>
      </c>
      <c r="D229" s="94">
        <v>0</v>
      </c>
      <c r="E229" s="94">
        <v>4819.47</v>
      </c>
      <c r="F229" s="92" t="s">
        <v>2781</v>
      </c>
      <c r="G229" s="75"/>
      <c r="H229" s="92" t="s">
        <v>3881</v>
      </c>
      <c r="I229" s="92" t="s">
        <v>3889</v>
      </c>
      <c r="K229" s="71" t="s">
        <v>217</v>
      </c>
      <c r="L229" t="s">
        <v>34</v>
      </c>
      <c r="M229" t="str">
        <f t="shared" si="17"/>
        <v>24</v>
      </c>
      <c r="N229" t="str">
        <f t="shared" si="18"/>
        <v>05</v>
      </c>
      <c r="O229" t="str">
        <f t="shared" si="15"/>
        <v>2024</v>
      </c>
      <c r="P229" t="str">
        <f t="shared" si="19"/>
        <v>24-05-2024</v>
      </c>
    </row>
    <row r="230" spans="2:16" x14ac:dyDescent="0.3">
      <c r="B230" s="70">
        <v>45436</v>
      </c>
      <c r="C230" s="70">
        <f t="shared" si="16"/>
        <v>45413</v>
      </c>
      <c r="D230" s="94">
        <v>101.9</v>
      </c>
      <c r="E230" s="94">
        <v>0</v>
      </c>
      <c r="F230" s="92" t="s">
        <v>2782</v>
      </c>
      <c r="G230" s="75"/>
      <c r="H230" s="92" t="s">
        <v>3881</v>
      </c>
      <c r="I230" s="92" t="s">
        <v>3889</v>
      </c>
      <c r="K230" s="71" t="s">
        <v>217</v>
      </c>
      <c r="L230" t="s">
        <v>30</v>
      </c>
      <c r="M230" t="str">
        <f t="shared" si="17"/>
        <v>24</v>
      </c>
      <c r="N230" t="str">
        <f t="shared" si="18"/>
        <v>05</v>
      </c>
      <c r="O230" t="str">
        <f t="shared" si="15"/>
        <v>2024</v>
      </c>
      <c r="P230" t="str">
        <f t="shared" si="19"/>
        <v>24-05-2024</v>
      </c>
    </row>
    <row r="231" spans="2:16" x14ac:dyDescent="0.3">
      <c r="B231" s="70">
        <v>45436</v>
      </c>
      <c r="C231" s="70">
        <f t="shared" si="16"/>
        <v>45413</v>
      </c>
      <c r="D231" s="94">
        <v>50</v>
      </c>
      <c r="E231" s="94">
        <v>0</v>
      </c>
      <c r="F231" s="92" t="s">
        <v>2783</v>
      </c>
      <c r="G231" s="75"/>
      <c r="H231" s="92" t="s">
        <v>3875</v>
      </c>
      <c r="I231" s="92" t="s">
        <v>3892</v>
      </c>
      <c r="K231" s="71" t="s">
        <v>509</v>
      </c>
      <c r="L231" t="s">
        <v>420</v>
      </c>
      <c r="M231" t="str">
        <f t="shared" si="17"/>
        <v>24</v>
      </c>
      <c r="N231" t="str">
        <f t="shared" si="18"/>
        <v>05</v>
      </c>
      <c r="O231" t="str">
        <f t="shared" si="15"/>
        <v>2024</v>
      </c>
      <c r="P231" t="str">
        <f t="shared" si="19"/>
        <v>24-05-2024</v>
      </c>
    </row>
    <row r="232" spans="2:16" x14ac:dyDescent="0.3">
      <c r="B232" s="70">
        <v>45436</v>
      </c>
      <c r="C232" s="70">
        <f t="shared" si="16"/>
        <v>45413</v>
      </c>
      <c r="D232" s="94">
        <v>86</v>
      </c>
      <c r="E232" s="94">
        <v>0</v>
      </c>
      <c r="F232" s="92" t="s">
        <v>2784</v>
      </c>
      <c r="G232" s="75"/>
      <c r="H232" s="92" t="s">
        <v>589</v>
      </c>
      <c r="I232" s="92" t="s">
        <v>3892</v>
      </c>
      <c r="K232" s="71" t="s">
        <v>511</v>
      </c>
      <c r="L232" t="s">
        <v>422</v>
      </c>
      <c r="M232" t="str">
        <f t="shared" si="17"/>
        <v>24</v>
      </c>
      <c r="N232" t="str">
        <f t="shared" si="18"/>
        <v>05</v>
      </c>
      <c r="O232" t="str">
        <f t="shared" si="15"/>
        <v>2024</v>
      </c>
      <c r="P232" t="str">
        <f t="shared" si="19"/>
        <v>24-05-2024</v>
      </c>
    </row>
    <row r="233" spans="2:16" x14ac:dyDescent="0.3">
      <c r="B233" s="70">
        <v>45437</v>
      </c>
      <c r="C233" s="70">
        <f t="shared" si="16"/>
        <v>45413</v>
      </c>
      <c r="D233" s="94">
        <v>659.14</v>
      </c>
      <c r="E233" s="94">
        <v>0</v>
      </c>
      <c r="F233" s="92" t="s">
        <v>2785</v>
      </c>
      <c r="G233" s="75"/>
      <c r="H233" s="92" t="s">
        <v>3881</v>
      </c>
      <c r="I233" s="92" t="s">
        <v>3889</v>
      </c>
      <c r="K233" s="71" t="s">
        <v>217</v>
      </c>
      <c r="L233" t="s">
        <v>30</v>
      </c>
      <c r="M233" t="str">
        <f t="shared" si="17"/>
        <v>25</v>
      </c>
      <c r="N233" t="str">
        <f t="shared" si="18"/>
        <v>05</v>
      </c>
      <c r="O233" t="str">
        <f t="shared" si="15"/>
        <v>2024</v>
      </c>
      <c r="P233" t="str">
        <f t="shared" si="19"/>
        <v>25-05-2024</v>
      </c>
    </row>
    <row r="234" spans="2:16" x14ac:dyDescent="0.3">
      <c r="B234" s="70">
        <v>45437</v>
      </c>
      <c r="C234" s="70">
        <f t="shared" si="16"/>
        <v>45413</v>
      </c>
      <c r="D234" s="94">
        <v>5</v>
      </c>
      <c r="E234" s="94">
        <v>0</v>
      </c>
      <c r="F234" s="92" t="s">
        <v>2786</v>
      </c>
      <c r="G234" s="75"/>
      <c r="H234" s="92" t="s">
        <v>589</v>
      </c>
      <c r="I234" s="92" t="s">
        <v>3892</v>
      </c>
      <c r="K234" s="71" t="s">
        <v>511</v>
      </c>
      <c r="L234" t="s">
        <v>424</v>
      </c>
      <c r="M234" t="str">
        <f t="shared" si="17"/>
        <v>25</v>
      </c>
      <c r="N234" t="str">
        <f t="shared" si="18"/>
        <v>05</v>
      </c>
      <c r="O234" t="str">
        <f t="shared" si="15"/>
        <v>2024</v>
      </c>
      <c r="P234" t="str">
        <f t="shared" si="19"/>
        <v>25-05-2024</v>
      </c>
    </row>
    <row r="235" spans="2:16" x14ac:dyDescent="0.3">
      <c r="B235" s="70">
        <v>45439</v>
      </c>
      <c r="C235" s="70">
        <f t="shared" si="16"/>
        <v>45413</v>
      </c>
      <c r="D235" s="94">
        <v>310.14</v>
      </c>
      <c r="E235" s="94">
        <v>0</v>
      </c>
      <c r="F235" s="92" t="s">
        <v>2787</v>
      </c>
      <c r="G235" s="75"/>
      <c r="H235" s="92" t="s">
        <v>3881</v>
      </c>
      <c r="I235" s="92" t="s">
        <v>3889</v>
      </c>
      <c r="K235" s="71" t="s">
        <v>217</v>
      </c>
      <c r="L235" t="s">
        <v>30</v>
      </c>
      <c r="M235" t="str">
        <f t="shared" si="17"/>
        <v>27</v>
      </c>
      <c r="N235" t="str">
        <f t="shared" si="18"/>
        <v>05</v>
      </c>
      <c r="O235" t="str">
        <f t="shared" si="15"/>
        <v>2024</v>
      </c>
      <c r="P235" t="str">
        <f t="shared" si="19"/>
        <v>27-05-2024</v>
      </c>
    </row>
    <row r="236" spans="2:16" x14ac:dyDescent="0.3">
      <c r="B236" s="70">
        <v>45439</v>
      </c>
      <c r="C236" s="70">
        <f t="shared" si="16"/>
        <v>45413</v>
      </c>
      <c r="D236" s="94">
        <v>135</v>
      </c>
      <c r="E236" s="94">
        <v>0</v>
      </c>
      <c r="F236" s="92" t="s">
        <v>2788</v>
      </c>
      <c r="G236" s="75"/>
      <c r="H236" s="92" t="s">
        <v>589</v>
      </c>
      <c r="I236" s="92" t="s">
        <v>3892</v>
      </c>
      <c r="K236" s="71" t="s">
        <v>511</v>
      </c>
      <c r="L236" t="s">
        <v>426</v>
      </c>
      <c r="M236" t="str">
        <f t="shared" si="17"/>
        <v>27</v>
      </c>
      <c r="N236" t="str">
        <f t="shared" si="18"/>
        <v>05</v>
      </c>
      <c r="O236" t="str">
        <f t="shared" si="15"/>
        <v>2024</v>
      </c>
      <c r="P236" t="str">
        <f t="shared" si="19"/>
        <v>27-05-2024</v>
      </c>
    </row>
    <row r="237" spans="2:16" x14ac:dyDescent="0.3">
      <c r="B237" s="70">
        <v>45440</v>
      </c>
      <c r="C237" s="70">
        <f t="shared" si="16"/>
        <v>45413</v>
      </c>
      <c r="D237" s="94">
        <v>0</v>
      </c>
      <c r="E237" s="94">
        <v>950.25</v>
      </c>
      <c r="F237" s="92" t="s">
        <v>2789</v>
      </c>
      <c r="G237" s="75"/>
      <c r="H237" s="92" t="s">
        <v>3881</v>
      </c>
      <c r="I237" s="92" t="s">
        <v>3889</v>
      </c>
      <c r="K237" s="71" t="s">
        <v>217</v>
      </c>
      <c r="L237" t="s">
        <v>34</v>
      </c>
      <c r="M237" t="str">
        <f t="shared" si="17"/>
        <v>28</v>
      </c>
      <c r="N237" t="str">
        <f t="shared" si="18"/>
        <v>05</v>
      </c>
      <c r="O237" t="str">
        <f t="shared" si="15"/>
        <v>2024</v>
      </c>
      <c r="P237" t="str">
        <f t="shared" si="19"/>
        <v>28-05-2024</v>
      </c>
    </row>
    <row r="238" spans="2:16" x14ac:dyDescent="0.3">
      <c r="B238" s="70">
        <v>45440</v>
      </c>
      <c r="C238" s="70">
        <f t="shared" si="16"/>
        <v>45413</v>
      </c>
      <c r="D238" s="94">
        <v>5000</v>
      </c>
      <c r="E238" s="94">
        <v>0</v>
      </c>
      <c r="F238" s="92" t="s">
        <v>2790</v>
      </c>
      <c r="G238" s="75"/>
      <c r="H238" s="92" t="s">
        <v>2538</v>
      </c>
      <c r="I238" s="92" t="s">
        <v>3889</v>
      </c>
      <c r="K238" s="71" t="s">
        <v>219</v>
      </c>
      <c r="L238" t="s">
        <v>138</v>
      </c>
      <c r="M238" t="str">
        <f t="shared" si="17"/>
        <v>28</v>
      </c>
      <c r="N238" t="str">
        <f t="shared" si="18"/>
        <v>05</v>
      </c>
      <c r="O238" t="str">
        <f t="shared" si="15"/>
        <v>2024</v>
      </c>
      <c r="P238" t="str">
        <f t="shared" si="19"/>
        <v>28-05-2024</v>
      </c>
    </row>
    <row r="239" spans="2:16" x14ac:dyDescent="0.3">
      <c r="B239" s="70">
        <v>45440</v>
      </c>
      <c r="C239" s="70">
        <f t="shared" si="16"/>
        <v>45413</v>
      </c>
      <c r="D239" s="94">
        <v>103.38</v>
      </c>
      <c r="E239" s="94">
        <v>0</v>
      </c>
      <c r="F239" s="92" t="s">
        <v>2791</v>
      </c>
      <c r="G239" s="75"/>
      <c r="H239" s="92" t="s">
        <v>3881</v>
      </c>
      <c r="I239" s="92" t="s">
        <v>3889</v>
      </c>
      <c r="K239" s="71" t="s">
        <v>217</v>
      </c>
      <c r="L239" t="s">
        <v>30</v>
      </c>
      <c r="M239" t="str">
        <f t="shared" si="17"/>
        <v>28</v>
      </c>
      <c r="N239" t="str">
        <f t="shared" si="18"/>
        <v>05</v>
      </c>
      <c r="O239" t="str">
        <f t="shared" si="15"/>
        <v>2024</v>
      </c>
      <c r="P239" t="str">
        <f t="shared" si="19"/>
        <v>28-05-2024</v>
      </c>
    </row>
    <row r="240" spans="2:16" x14ac:dyDescent="0.3">
      <c r="B240" s="70">
        <v>45440</v>
      </c>
      <c r="C240" s="70">
        <f t="shared" si="16"/>
        <v>45413</v>
      </c>
      <c r="D240" s="94">
        <v>17070.650000000001</v>
      </c>
      <c r="E240" s="94">
        <v>0</v>
      </c>
      <c r="F240" s="92" t="s">
        <v>2791</v>
      </c>
      <c r="G240" s="75"/>
      <c r="H240" s="92" t="s">
        <v>3881</v>
      </c>
      <c r="I240" s="92" t="s">
        <v>3889</v>
      </c>
      <c r="K240" s="71" t="s">
        <v>217</v>
      </c>
      <c r="L240" t="s">
        <v>30</v>
      </c>
      <c r="M240" t="str">
        <f t="shared" si="17"/>
        <v>28</v>
      </c>
      <c r="N240" t="str">
        <f t="shared" si="18"/>
        <v>05</v>
      </c>
      <c r="O240" t="str">
        <f t="shared" si="15"/>
        <v>2024</v>
      </c>
      <c r="P240" t="str">
        <f t="shared" si="19"/>
        <v>28-05-2024</v>
      </c>
    </row>
    <row r="241" spans="2:16" x14ac:dyDescent="0.3">
      <c r="B241" s="70">
        <v>45440</v>
      </c>
      <c r="C241" s="70">
        <f t="shared" si="16"/>
        <v>45413</v>
      </c>
      <c r="D241" s="94">
        <v>631.52</v>
      </c>
      <c r="E241" s="94">
        <v>0</v>
      </c>
      <c r="F241" s="92" t="s">
        <v>2791</v>
      </c>
      <c r="G241" s="75"/>
      <c r="H241" s="92" t="s">
        <v>3881</v>
      </c>
      <c r="I241" s="92" t="s">
        <v>3889</v>
      </c>
      <c r="K241" s="71" t="s">
        <v>217</v>
      </c>
      <c r="L241" t="s">
        <v>30</v>
      </c>
      <c r="M241" t="str">
        <f t="shared" si="17"/>
        <v>28</v>
      </c>
      <c r="N241" t="str">
        <f t="shared" si="18"/>
        <v>05</v>
      </c>
      <c r="O241" t="str">
        <f t="shared" si="15"/>
        <v>2024</v>
      </c>
      <c r="P241" t="str">
        <f t="shared" si="19"/>
        <v>28-05-2024</v>
      </c>
    </row>
    <row r="242" spans="2:16" x14ac:dyDescent="0.3">
      <c r="B242" s="70">
        <v>45440</v>
      </c>
      <c r="C242" s="70">
        <f t="shared" si="16"/>
        <v>45413</v>
      </c>
      <c r="D242" s="94">
        <v>5380</v>
      </c>
      <c r="E242" s="94">
        <v>0</v>
      </c>
      <c r="F242" s="92" t="s">
        <v>2792</v>
      </c>
      <c r="G242" s="75"/>
      <c r="H242" s="92" t="s">
        <v>589</v>
      </c>
      <c r="I242" s="92" t="s">
        <v>3893</v>
      </c>
      <c r="K242" s="71" t="s">
        <v>589</v>
      </c>
      <c r="L242" t="s">
        <v>573</v>
      </c>
      <c r="M242" t="str">
        <f t="shared" si="17"/>
        <v>28</v>
      </c>
      <c r="N242" t="str">
        <f t="shared" si="18"/>
        <v>05</v>
      </c>
      <c r="O242" t="str">
        <f t="shared" si="15"/>
        <v>2024</v>
      </c>
      <c r="P242" t="str">
        <f t="shared" si="19"/>
        <v>28-05-2024</v>
      </c>
    </row>
    <row r="243" spans="2:16" x14ac:dyDescent="0.3">
      <c r="B243" s="70">
        <v>45441</v>
      </c>
      <c r="C243" s="70">
        <f t="shared" si="16"/>
        <v>45413</v>
      </c>
      <c r="D243" s="94">
        <v>103.49</v>
      </c>
      <c r="E243" s="94">
        <v>0</v>
      </c>
      <c r="F243" s="92" t="s">
        <v>2793</v>
      </c>
      <c r="G243" s="75"/>
      <c r="H243" s="92" t="s">
        <v>3881</v>
      </c>
      <c r="I243" s="92" t="s">
        <v>3889</v>
      </c>
      <c r="K243" s="71" t="s">
        <v>217</v>
      </c>
      <c r="L243" t="s">
        <v>30</v>
      </c>
      <c r="M243" t="str">
        <f t="shared" si="17"/>
        <v>29</v>
      </c>
      <c r="N243" t="str">
        <f t="shared" si="18"/>
        <v>05</v>
      </c>
      <c r="O243" t="str">
        <f t="shared" si="15"/>
        <v>2024</v>
      </c>
      <c r="P243" t="str">
        <f t="shared" si="19"/>
        <v>29-05-2024</v>
      </c>
    </row>
    <row r="244" spans="2:16" x14ac:dyDescent="0.3">
      <c r="B244" s="70">
        <v>45441</v>
      </c>
      <c r="C244" s="70">
        <f t="shared" si="16"/>
        <v>45413</v>
      </c>
      <c r="D244" s="94">
        <v>712.88</v>
      </c>
      <c r="E244" s="94">
        <v>0</v>
      </c>
      <c r="F244" s="92" t="s">
        <v>2793</v>
      </c>
      <c r="G244" s="75"/>
      <c r="H244" s="92" t="s">
        <v>3881</v>
      </c>
      <c r="I244" s="92" t="s">
        <v>3889</v>
      </c>
      <c r="K244" s="71" t="s">
        <v>217</v>
      </c>
      <c r="L244" t="s">
        <v>30</v>
      </c>
      <c r="M244" t="str">
        <f t="shared" si="17"/>
        <v>29</v>
      </c>
      <c r="N244" t="str">
        <f t="shared" si="18"/>
        <v>05</v>
      </c>
      <c r="O244" t="str">
        <f t="shared" si="15"/>
        <v>2024</v>
      </c>
      <c r="P244" t="str">
        <f t="shared" si="19"/>
        <v>29-05-2024</v>
      </c>
    </row>
    <row r="245" spans="2:16" x14ac:dyDescent="0.3">
      <c r="B245" s="70">
        <v>45441</v>
      </c>
      <c r="C245" s="70">
        <f t="shared" si="16"/>
        <v>45413</v>
      </c>
      <c r="D245" s="94">
        <v>5000</v>
      </c>
      <c r="E245" s="94">
        <v>0</v>
      </c>
      <c r="F245" s="92" t="s">
        <v>2794</v>
      </c>
      <c r="G245" s="75"/>
      <c r="H245" s="92" t="s">
        <v>3875</v>
      </c>
      <c r="I245" s="92" t="s">
        <v>3892</v>
      </c>
      <c r="K245" s="71" t="s">
        <v>509</v>
      </c>
      <c r="L245" t="s">
        <v>318</v>
      </c>
      <c r="M245" t="str">
        <f t="shared" si="17"/>
        <v>29</v>
      </c>
      <c r="N245" t="str">
        <f t="shared" si="18"/>
        <v>05</v>
      </c>
      <c r="O245" t="str">
        <f t="shared" si="15"/>
        <v>2024</v>
      </c>
      <c r="P245" t="str">
        <f t="shared" si="19"/>
        <v>29-05-2024</v>
      </c>
    </row>
    <row r="246" spans="2:16" x14ac:dyDescent="0.3">
      <c r="B246" s="70">
        <v>45442</v>
      </c>
      <c r="C246" s="70">
        <f t="shared" si="16"/>
        <v>45413</v>
      </c>
      <c r="D246" s="94">
        <v>0</v>
      </c>
      <c r="E246" s="94">
        <v>40008.449999999997</v>
      </c>
      <c r="F246" s="92" t="s">
        <v>2795</v>
      </c>
      <c r="G246" s="75"/>
      <c r="H246" s="92" t="s">
        <v>3881</v>
      </c>
      <c r="I246" s="92" t="s">
        <v>3889</v>
      </c>
      <c r="K246" s="71" t="s">
        <v>217</v>
      </c>
      <c r="L246" t="s">
        <v>34</v>
      </c>
      <c r="M246" t="str">
        <f t="shared" si="17"/>
        <v>30</v>
      </c>
      <c r="N246" t="str">
        <f t="shared" si="18"/>
        <v>05</v>
      </c>
      <c r="O246" t="str">
        <f t="shared" si="15"/>
        <v>2024</v>
      </c>
      <c r="P246" t="str">
        <f t="shared" si="19"/>
        <v>30-05-2024</v>
      </c>
    </row>
    <row r="247" spans="2:16" x14ac:dyDescent="0.3">
      <c r="B247" s="70">
        <v>45442</v>
      </c>
      <c r="C247" s="70">
        <f t="shared" si="16"/>
        <v>45413</v>
      </c>
      <c r="D247" s="94">
        <v>5000</v>
      </c>
      <c r="E247" s="94">
        <v>0</v>
      </c>
      <c r="F247" s="92" t="s">
        <v>2796</v>
      </c>
      <c r="G247" s="75"/>
      <c r="H247" s="92" t="s">
        <v>2538</v>
      </c>
      <c r="I247" s="92" t="s">
        <v>3889</v>
      </c>
      <c r="K247" s="71" t="s">
        <v>219</v>
      </c>
      <c r="L247" t="s">
        <v>146</v>
      </c>
      <c r="M247" t="str">
        <f t="shared" si="17"/>
        <v>30</v>
      </c>
      <c r="N247" t="str">
        <f t="shared" si="18"/>
        <v>05</v>
      </c>
      <c r="O247" t="str">
        <f t="shared" si="15"/>
        <v>2024</v>
      </c>
      <c r="P247" t="str">
        <f t="shared" si="19"/>
        <v>30-05-2024</v>
      </c>
    </row>
    <row r="248" spans="2:16" x14ac:dyDescent="0.3">
      <c r="B248" s="70">
        <v>45442</v>
      </c>
      <c r="C248" s="70">
        <f t="shared" si="16"/>
        <v>45413</v>
      </c>
      <c r="D248" s="94">
        <v>103.24</v>
      </c>
      <c r="E248" s="94">
        <v>0</v>
      </c>
      <c r="F248" s="92" t="s">
        <v>2797</v>
      </c>
      <c r="G248" s="75"/>
      <c r="H248" s="92" t="s">
        <v>3881</v>
      </c>
      <c r="I248" s="92" t="s">
        <v>3889</v>
      </c>
      <c r="K248" s="71" t="s">
        <v>217</v>
      </c>
      <c r="L248" t="s">
        <v>30</v>
      </c>
      <c r="M248" t="str">
        <f t="shared" si="17"/>
        <v>30</v>
      </c>
      <c r="N248" t="str">
        <f t="shared" si="18"/>
        <v>05</v>
      </c>
      <c r="O248" t="str">
        <f t="shared" si="15"/>
        <v>2024</v>
      </c>
      <c r="P248" t="str">
        <f t="shared" si="19"/>
        <v>30-05-2024</v>
      </c>
    </row>
    <row r="249" spans="2:16" x14ac:dyDescent="0.3">
      <c r="B249" s="70">
        <v>45442</v>
      </c>
      <c r="C249" s="70">
        <f t="shared" si="16"/>
        <v>45413</v>
      </c>
      <c r="D249" s="94">
        <v>1261.72</v>
      </c>
      <c r="E249" s="94">
        <v>0</v>
      </c>
      <c r="F249" s="92" t="s">
        <v>2797</v>
      </c>
      <c r="G249" s="75"/>
      <c r="H249" s="92" t="s">
        <v>3881</v>
      </c>
      <c r="I249" s="92" t="s">
        <v>3889</v>
      </c>
      <c r="K249" s="71" t="s">
        <v>217</v>
      </c>
      <c r="L249" t="s">
        <v>30</v>
      </c>
      <c r="M249" t="str">
        <f t="shared" si="17"/>
        <v>30</v>
      </c>
      <c r="N249" t="str">
        <f t="shared" si="18"/>
        <v>05</v>
      </c>
      <c r="O249" t="str">
        <f t="shared" si="15"/>
        <v>2024</v>
      </c>
      <c r="P249" t="str">
        <f t="shared" si="19"/>
        <v>30-05-2024</v>
      </c>
    </row>
    <row r="250" spans="2:16" x14ac:dyDescent="0.3">
      <c r="B250" s="70">
        <v>45442</v>
      </c>
      <c r="C250" s="70">
        <f t="shared" si="16"/>
        <v>45413</v>
      </c>
      <c r="D250" s="94">
        <v>450</v>
      </c>
      <c r="E250" s="94">
        <v>0</v>
      </c>
      <c r="F250" s="92" t="s">
        <v>2798</v>
      </c>
      <c r="G250" s="75"/>
      <c r="H250" s="92" t="s">
        <v>589</v>
      </c>
      <c r="I250" s="92" t="s">
        <v>3892</v>
      </c>
      <c r="K250" s="71" t="s">
        <v>511</v>
      </c>
      <c r="L250" t="s">
        <v>429</v>
      </c>
      <c r="M250" t="str">
        <f t="shared" si="17"/>
        <v>30</v>
      </c>
      <c r="N250" t="str">
        <f t="shared" si="18"/>
        <v>05</v>
      </c>
      <c r="O250" t="str">
        <f t="shared" si="15"/>
        <v>2024</v>
      </c>
      <c r="P250" t="str">
        <f t="shared" si="19"/>
        <v>30-05-2024</v>
      </c>
    </row>
    <row r="251" spans="2:16" x14ac:dyDescent="0.3">
      <c r="B251" s="70">
        <v>45442</v>
      </c>
      <c r="C251" s="70">
        <f t="shared" si="16"/>
        <v>45413</v>
      </c>
      <c r="D251" s="94">
        <v>0</v>
      </c>
      <c r="E251" s="94">
        <v>67921</v>
      </c>
      <c r="F251" s="92" t="s">
        <v>2799</v>
      </c>
      <c r="G251" s="75"/>
      <c r="H251" s="92" t="s">
        <v>507</v>
      </c>
      <c r="I251" s="92" t="s">
        <v>3892</v>
      </c>
      <c r="K251" s="71" t="s">
        <v>507</v>
      </c>
      <c r="L251" t="s">
        <v>358</v>
      </c>
      <c r="M251" t="str">
        <f t="shared" si="17"/>
        <v>30</v>
      </c>
      <c r="N251" t="str">
        <f t="shared" si="18"/>
        <v>05</v>
      </c>
      <c r="O251" t="str">
        <f t="shared" si="15"/>
        <v>2024</v>
      </c>
      <c r="P251" t="str">
        <f t="shared" si="19"/>
        <v>30-05-2024</v>
      </c>
    </row>
    <row r="252" spans="2:16" x14ac:dyDescent="0.3">
      <c r="B252" s="70">
        <v>45442</v>
      </c>
      <c r="C252" s="70">
        <f t="shared" si="16"/>
        <v>45413</v>
      </c>
      <c r="D252" s="94">
        <v>70</v>
      </c>
      <c r="E252" s="94">
        <v>0</v>
      </c>
      <c r="F252" s="92" t="s">
        <v>2800</v>
      </c>
      <c r="G252" s="75"/>
      <c r="H252" s="92" t="s">
        <v>589</v>
      </c>
      <c r="I252" s="92" t="s">
        <v>3892</v>
      </c>
      <c r="K252" s="71" t="s">
        <v>511</v>
      </c>
      <c r="L252" t="s">
        <v>432</v>
      </c>
      <c r="M252" t="str">
        <f t="shared" si="17"/>
        <v>30</v>
      </c>
      <c r="N252" t="str">
        <f t="shared" si="18"/>
        <v>05</v>
      </c>
      <c r="O252" t="str">
        <f t="shared" si="15"/>
        <v>2024</v>
      </c>
      <c r="P252" t="str">
        <f t="shared" si="19"/>
        <v>30-05-2024</v>
      </c>
    </row>
    <row r="253" spans="2:16" x14ac:dyDescent="0.3">
      <c r="B253" s="70">
        <v>45442</v>
      </c>
      <c r="C253" s="70">
        <f t="shared" si="16"/>
        <v>45413</v>
      </c>
      <c r="D253" s="94">
        <v>15000</v>
      </c>
      <c r="E253" s="94">
        <v>0</v>
      </c>
      <c r="F253" s="92" t="s">
        <v>2801</v>
      </c>
      <c r="G253" s="75"/>
      <c r="H253" s="92" t="s">
        <v>512</v>
      </c>
      <c r="I253" s="92" t="s">
        <v>3892</v>
      </c>
      <c r="K253" s="71" t="s">
        <v>512</v>
      </c>
      <c r="L253" t="s">
        <v>434</v>
      </c>
      <c r="M253" t="str">
        <f t="shared" si="17"/>
        <v>30</v>
      </c>
      <c r="N253" t="str">
        <f t="shared" si="18"/>
        <v>05</v>
      </c>
      <c r="O253" t="str">
        <f t="shared" si="15"/>
        <v>2024</v>
      </c>
      <c r="P253" t="str">
        <f t="shared" si="19"/>
        <v>30-05-2024</v>
      </c>
    </row>
    <row r="254" spans="2:16" x14ac:dyDescent="0.3">
      <c r="B254" s="70">
        <v>45442</v>
      </c>
      <c r="C254" s="70">
        <f t="shared" si="16"/>
        <v>45413</v>
      </c>
      <c r="D254" s="94">
        <v>30</v>
      </c>
      <c r="E254" s="94">
        <v>0</v>
      </c>
      <c r="F254" s="92" t="s">
        <v>2802</v>
      </c>
      <c r="G254" s="75"/>
      <c r="H254" s="92" t="s">
        <v>589</v>
      </c>
      <c r="I254" s="92" t="s">
        <v>3892</v>
      </c>
      <c r="K254" s="71" t="s">
        <v>511</v>
      </c>
      <c r="L254" t="s">
        <v>436</v>
      </c>
      <c r="M254" t="str">
        <f t="shared" si="17"/>
        <v>30</v>
      </c>
      <c r="N254" t="str">
        <f t="shared" si="18"/>
        <v>05</v>
      </c>
      <c r="O254" t="str">
        <f t="shared" si="15"/>
        <v>2024</v>
      </c>
      <c r="P254" t="str">
        <f t="shared" si="19"/>
        <v>30-05-2024</v>
      </c>
    </row>
    <row r="255" spans="2:16" x14ac:dyDescent="0.3">
      <c r="B255" s="70">
        <v>45442</v>
      </c>
      <c r="C255" s="70">
        <f t="shared" si="16"/>
        <v>45413</v>
      </c>
      <c r="D255" s="94">
        <v>3000</v>
      </c>
      <c r="E255" s="94">
        <v>0</v>
      </c>
      <c r="F255" s="92" t="s">
        <v>2803</v>
      </c>
      <c r="G255" s="75"/>
      <c r="H255" s="92" t="s">
        <v>3875</v>
      </c>
      <c r="I255" s="92" t="s">
        <v>3892</v>
      </c>
      <c r="K255" s="71" t="s">
        <v>509</v>
      </c>
      <c r="L255" t="s">
        <v>438</v>
      </c>
      <c r="M255" t="str">
        <f t="shared" si="17"/>
        <v>30</v>
      </c>
      <c r="N255" t="str">
        <f t="shared" si="18"/>
        <v>05</v>
      </c>
      <c r="O255" t="str">
        <f t="shared" si="15"/>
        <v>2024</v>
      </c>
      <c r="P255" t="str">
        <f t="shared" si="19"/>
        <v>30-05-2024</v>
      </c>
    </row>
    <row r="256" spans="2:16" x14ac:dyDescent="0.3">
      <c r="B256" s="70">
        <v>45442</v>
      </c>
      <c r="C256" s="70">
        <f t="shared" si="16"/>
        <v>45413</v>
      </c>
      <c r="D256" s="94">
        <v>280</v>
      </c>
      <c r="E256" s="94">
        <v>0</v>
      </c>
      <c r="F256" s="92" t="s">
        <v>2804</v>
      </c>
      <c r="G256" s="75"/>
      <c r="H256" s="92" t="s">
        <v>589</v>
      </c>
      <c r="I256" s="92" t="s">
        <v>3892</v>
      </c>
      <c r="K256" s="71" t="s">
        <v>511</v>
      </c>
      <c r="L256" t="s">
        <v>439</v>
      </c>
      <c r="M256" t="str">
        <f t="shared" si="17"/>
        <v>30</v>
      </c>
      <c r="N256" t="str">
        <f t="shared" si="18"/>
        <v>05</v>
      </c>
      <c r="O256" t="str">
        <f t="shared" si="15"/>
        <v>2024</v>
      </c>
      <c r="P256" t="str">
        <f t="shared" si="19"/>
        <v>30-05-2024</v>
      </c>
    </row>
    <row r="257" spans="2:16" x14ac:dyDescent="0.3">
      <c r="B257" s="70">
        <v>45443</v>
      </c>
      <c r="C257" s="70">
        <f t="shared" si="16"/>
        <v>45413</v>
      </c>
      <c r="D257" s="94">
        <v>102.79</v>
      </c>
      <c r="E257" s="94">
        <v>0</v>
      </c>
      <c r="F257" s="92" t="s">
        <v>2805</v>
      </c>
      <c r="G257" s="75"/>
      <c r="H257" s="92" t="s">
        <v>3881</v>
      </c>
      <c r="I257" s="92" t="s">
        <v>3889</v>
      </c>
      <c r="K257" s="71" t="s">
        <v>217</v>
      </c>
      <c r="L257" t="s">
        <v>30</v>
      </c>
      <c r="M257" t="str">
        <f t="shared" si="17"/>
        <v>31</v>
      </c>
      <c r="N257" t="str">
        <f t="shared" si="18"/>
        <v>05</v>
      </c>
      <c r="O257" t="str">
        <f t="shared" si="15"/>
        <v>2024</v>
      </c>
      <c r="P257" t="str">
        <f t="shared" si="19"/>
        <v>31-05-2024</v>
      </c>
    </row>
    <row r="258" spans="2:16" x14ac:dyDescent="0.3">
      <c r="B258" s="70">
        <v>45443</v>
      </c>
      <c r="C258" s="70">
        <f t="shared" si="16"/>
        <v>45413</v>
      </c>
      <c r="D258" s="94">
        <v>726.98</v>
      </c>
      <c r="E258" s="94">
        <v>0</v>
      </c>
      <c r="F258" s="92" t="s">
        <v>2805</v>
      </c>
      <c r="G258" s="75"/>
      <c r="H258" s="92" t="s">
        <v>3881</v>
      </c>
      <c r="I258" s="92" t="s">
        <v>3889</v>
      </c>
      <c r="K258" s="71" t="s">
        <v>217</v>
      </c>
      <c r="L258" t="s">
        <v>30</v>
      </c>
      <c r="M258" t="str">
        <f t="shared" si="17"/>
        <v>31</v>
      </c>
      <c r="N258" t="str">
        <f t="shared" si="18"/>
        <v>05</v>
      </c>
      <c r="O258" t="str">
        <f t="shared" si="15"/>
        <v>2024</v>
      </c>
      <c r="P258" t="str">
        <f t="shared" si="19"/>
        <v>31-05-2024</v>
      </c>
    </row>
    <row r="259" spans="2:16" x14ac:dyDescent="0.3">
      <c r="B259" s="70">
        <v>45443</v>
      </c>
      <c r="C259" s="70">
        <f t="shared" si="16"/>
        <v>45413</v>
      </c>
      <c r="D259" s="94">
        <v>15</v>
      </c>
      <c r="E259" s="94">
        <v>0</v>
      </c>
      <c r="F259" s="92" t="s">
        <v>2806</v>
      </c>
      <c r="G259" s="75"/>
      <c r="H259" s="92" t="s">
        <v>589</v>
      </c>
      <c r="I259" s="92" t="s">
        <v>3892</v>
      </c>
      <c r="K259" s="71" t="s">
        <v>511</v>
      </c>
      <c r="L259" t="s">
        <v>441</v>
      </c>
      <c r="M259" t="str">
        <f t="shared" si="17"/>
        <v>31</v>
      </c>
      <c r="N259" t="str">
        <f t="shared" si="18"/>
        <v>05</v>
      </c>
      <c r="O259" t="str">
        <f t="shared" ref="O259:O322" si="20">TEXT(B259,"YYYY")</f>
        <v>2024</v>
      </c>
      <c r="P259" t="str">
        <f t="shared" si="19"/>
        <v>31-05-2024</v>
      </c>
    </row>
    <row r="260" spans="2:16" x14ac:dyDescent="0.3">
      <c r="B260" s="70">
        <v>45444</v>
      </c>
      <c r="C260" s="70">
        <f t="shared" ref="C260:C323" si="21">EOMONTH(B260,-1)+1</f>
        <v>45444</v>
      </c>
      <c r="D260" s="94">
        <v>60</v>
      </c>
      <c r="E260" s="94">
        <v>0</v>
      </c>
      <c r="F260" s="92" t="s">
        <v>2807</v>
      </c>
      <c r="G260" s="75"/>
      <c r="H260" s="92" t="s">
        <v>589</v>
      </c>
      <c r="I260" s="92" t="s">
        <v>3892</v>
      </c>
      <c r="K260" s="71" t="s">
        <v>511</v>
      </c>
      <c r="L260" t="s">
        <v>443</v>
      </c>
      <c r="M260" t="str">
        <f t="shared" ref="M260:M323" si="22">TEXT(B260,"DD")</f>
        <v>01</v>
      </c>
      <c r="N260" t="str">
        <f t="shared" ref="N260:N323" si="23">TEXT(B260,"MM")</f>
        <v>06</v>
      </c>
      <c r="O260" t="str">
        <f t="shared" si="20"/>
        <v>2024</v>
      </c>
      <c r="P260" t="str">
        <f t="shared" ref="P260:P323" si="24">M260&amp;"-"&amp;N260&amp;"-"&amp;O260</f>
        <v>01-06-2024</v>
      </c>
    </row>
    <row r="261" spans="2:16" x14ac:dyDescent="0.3">
      <c r="B261" s="70">
        <v>45444</v>
      </c>
      <c r="C261" s="70">
        <f t="shared" si="21"/>
        <v>45444</v>
      </c>
      <c r="D261" s="94">
        <v>0</v>
      </c>
      <c r="E261" s="94">
        <v>1</v>
      </c>
      <c r="F261" s="92" t="s">
        <v>2808</v>
      </c>
      <c r="G261" s="92" t="s">
        <v>2573</v>
      </c>
      <c r="H261" s="92" t="s">
        <v>227</v>
      </c>
      <c r="I261" s="92" t="s">
        <v>3894</v>
      </c>
      <c r="K261" s="71" t="s">
        <v>227</v>
      </c>
      <c r="L261" t="s">
        <v>2562</v>
      </c>
      <c r="M261" t="str">
        <f t="shared" si="22"/>
        <v>01</v>
      </c>
      <c r="N261" t="str">
        <f t="shared" si="23"/>
        <v>06</v>
      </c>
      <c r="O261" t="str">
        <f t="shared" si="20"/>
        <v>2024</v>
      </c>
      <c r="P261" t="str">
        <f t="shared" si="24"/>
        <v>01-06-2024</v>
      </c>
    </row>
    <row r="262" spans="2:16" x14ac:dyDescent="0.3">
      <c r="B262" s="70">
        <v>45445</v>
      </c>
      <c r="C262" s="70">
        <f t="shared" si="21"/>
        <v>45444</v>
      </c>
      <c r="D262" s="94">
        <v>500</v>
      </c>
      <c r="E262" s="94">
        <v>0</v>
      </c>
      <c r="F262" s="92" t="s">
        <v>2809</v>
      </c>
      <c r="G262" s="75"/>
      <c r="H262" s="92" t="s">
        <v>589</v>
      </c>
      <c r="I262" s="92" t="s">
        <v>3892</v>
      </c>
      <c r="K262" s="71" t="s">
        <v>511</v>
      </c>
      <c r="L262" t="s">
        <v>445</v>
      </c>
      <c r="M262" t="str">
        <f t="shared" si="22"/>
        <v>02</v>
      </c>
      <c r="N262" t="str">
        <f t="shared" si="23"/>
        <v>06</v>
      </c>
      <c r="O262" t="str">
        <f t="shared" si="20"/>
        <v>2024</v>
      </c>
      <c r="P262" t="str">
        <f t="shared" si="24"/>
        <v>02-06-2024</v>
      </c>
    </row>
    <row r="263" spans="2:16" x14ac:dyDescent="0.3">
      <c r="B263" s="70">
        <v>45445</v>
      </c>
      <c r="C263" s="70">
        <f t="shared" si="21"/>
        <v>45444</v>
      </c>
      <c r="D263" s="94">
        <v>1300</v>
      </c>
      <c r="E263" s="94">
        <v>0</v>
      </c>
      <c r="F263" s="92" t="s">
        <v>2810</v>
      </c>
      <c r="G263" s="75"/>
      <c r="H263" s="92" t="s">
        <v>589</v>
      </c>
      <c r="I263" s="92" t="s">
        <v>3892</v>
      </c>
      <c r="K263" s="71" t="s">
        <v>511</v>
      </c>
      <c r="L263" t="s">
        <v>447</v>
      </c>
      <c r="M263" t="str">
        <f t="shared" si="22"/>
        <v>02</v>
      </c>
      <c r="N263" t="str">
        <f t="shared" si="23"/>
        <v>06</v>
      </c>
      <c r="O263" t="str">
        <f t="shared" si="20"/>
        <v>2024</v>
      </c>
      <c r="P263" t="str">
        <f t="shared" si="24"/>
        <v>02-06-2024</v>
      </c>
    </row>
    <row r="264" spans="2:16" x14ac:dyDescent="0.3">
      <c r="B264" s="70">
        <v>45446</v>
      </c>
      <c r="C264" s="70">
        <f t="shared" si="21"/>
        <v>45444</v>
      </c>
      <c r="D264" s="94">
        <v>307.58999999999997</v>
      </c>
      <c r="E264" s="94">
        <v>0</v>
      </c>
      <c r="F264" s="92" t="s">
        <v>2811</v>
      </c>
      <c r="G264" s="75"/>
      <c r="H264" s="92" t="s">
        <v>3881</v>
      </c>
      <c r="I264" s="92" t="s">
        <v>3889</v>
      </c>
      <c r="K264" s="71" t="s">
        <v>217</v>
      </c>
      <c r="L264" t="s">
        <v>30</v>
      </c>
      <c r="M264" t="str">
        <f t="shared" si="22"/>
        <v>03</v>
      </c>
      <c r="N264" t="str">
        <f t="shared" si="23"/>
        <v>06</v>
      </c>
      <c r="O264" t="str">
        <f t="shared" si="20"/>
        <v>2024</v>
      </c>
      <c r="P264" t="str">
        <f t="shared" si="24"/>
        <v>03-06-2024</v>
      </c>
    </row>
    <row r="265" spans="2:16" x14ac:dyDescent="0.3">
      <c r="B265" s="70">
        <v>45446</v>
      </c>
      <c r="C265" s="70">
        <f t="shared" si="21"/>
        <v>45444</v>
      </c>
      <c r="D265" s="94">
        <v>40</v>
      </c>
      <c r="E265" s="94">
        <v>0</v>
      </c>
      <c r="F265" s="92" t="s">
        <v>2812</v>
      </c>
      <c r="G265" s="75"/>
      <c r="H265" s="92" t="s">
        <v>589</v>
      </c>
      <c r="I265" s="92" t="s">
        <v>3893</v>
      </c>
      <c r="K265" s="71" t="s">
        <v>589</v>
      </c>
      <c r="L265" t="s">
        <v>575</v>
      </c>
      <c r="M265" t="str">
        <f t="shared" si="22"/>
        <v>03</v>
      </c>
      <c r="N265" t="str">
        <f t="shared" si="23"/>
        <v>06</v>
      </c>
      <c r="O265" t="str">
        <f t="shared" si="20"/>
        <v>2024</v>
      </c>
      <c r="P265" t="str">
        <f t="shared" si="24"/>
        <v>03-06-2024</v>
      </c>
    </row>
    <row r="266" spans="2:16" x14ac:dyDescent="0.3">
      <c r="B266" s="70">
        <v>45446</v>
      </c>
      <c r="C266" s="70">
        <f t="shared" si="21"/>
        <v>45444</v>
      </c>
      <c r="D266" s="94">
        <v>0</v>
      </c>
      <c r="E266" s="94">
        <v>40</v>
      </c>
      <c r="F266" s="92" t="s">
        <v>2813</v>
      </c>
      <c r="G266" s="75"/>
      <c r="H266" s="92" t="s">
        <v>589</v>
      </c>
      <c r="I266" s="92" t="s">
        <v>3893</v>
      </c>
      <c r="K266" s="71" t="s">
        <v>589</v>
      </c>
      <c r="L266" t="s">
        <v>576</v>
      </c>
      <c r="M266" t="str">
        <f t="shared" si="22"/>
        <v>03</v>
      </c>
      <c r="N266" t="str">
        <f t="shared" si="23"/>
        <v>06</v>
      </c>
      <c r="O266" t="str">
        <f t="shared" si="20"/>
        <v>2024</v>
      </c>
      <c r="P266" t="str">
        <f t="shared" si="24"/>
        <v>03-06-2024</v>
      </c>
    </row>
    <row r="267" spans="2:16" x14ac:dyDescent="0.3">
      <c r="B267" s="70">
        <v>45446</v>
      </c>
      <c r="C267" s="70">
        <f t="shared" si="21"/>
        <v>45444</v>
      </c>
      <c r="D267" s="94">
        <v>40</v>
      </c>
      <c r="E267" s="94">
        <v>0</v>
      </c>
      <c r="F267" s="92" t="s">
        <v>2814</v>
      </c>
      <c r="G267" s="75"/>
      <c r="H267" s="92" t="s">
        <v>589</v>
      </c>
      <c r="I267" s="92" t="s">
        <v>3892</v>
      </c>
      <c r="K267" s="71" t="s">
        <v>511</v>
      </c>
      <c r="L267" t="s">
        <v>449</v>
      </c>
      <c r="M267" t="str">
        <f t="shared" si="22"/>
        <v>03</v>
      </c>
      <c r="N267" t="str">
        <f t="shared" si="23"/>
        <v>06</v>
      </c>
      <c r="O267" t="str">
        <f t="shared" si="20"/>
        <v>2024</v>
      </c>
      <c r="P267" t="str">
        <f t="shared" si="24"/>
        <v>03-06-2024</v>
      </c>
    </row>
    <row r="268" spans="2:16" x14ac:dyDescent="0.3">
      <c r="B268" s="70">
        <v>45446</v>
      </c>
      <c r="C268" s="70">
        <f t="shared" si="21"/>
        <v>45444</v>
      </c>
      <c r="D268" s="94">
        <v>0</v>
      </c>
      <c r="E268" s="94">
        <v>40</v>
      </c>
      <c r="F268" s="92" t="s">
        <v>2815</v>
      </c>
      <c r="G268" s="75"/>
      <c r="H268" s="92" t="s">
        <v>589</v>
      </c>
      <c r="I268" s="92" t="s">
        <v>3892</v>
      </c>
      <c r="K268" s="71" t="s">
        <v>511</v>
      </c>
      <c r="L268" t="s">
        <v>451</v>
      </c>
      <c r="M268" t="str">
        <f t="shared" si="22"/>
        <v>03</v>
      </c>
      <c r="N268" t="str">
        <f t="shared" si="23"/>
        <v>06</v>
      </c>
      <c r="O268" t="str">
        <f t="shared" si="20"/>
        <v>2024</v>
      </c>
      <c r="P268" t="str">
        <f t="shared" si="24"/>
        <v>03-06-2024</v>
      </c>
    </row>
    <row r="269" spans="2:16" x14ac:dyDescent="0.3">
      <c r="B269" s="70">
        <v>45447</v>
      </c>
      <c r="C269" s="70">
        <f t="shared" si="21"/>
        <v>45444</v>
      </c>
      <c r="D269" s="94">
        <v>0</v>
      </c>
      <c r="E269" s="94">
        <v>1822.48</v>
      </c>
      <c r="F269" s="92" t="s">
        <v>2816</v>
      </c>
      <c r="G269" s="75"/>
      <c r="H269" s="92" t="s">
        <v>3881</v>
      </c>
      <c r="I269" s="92" t="s">
        <v>3889</v>
      </c>
      <c r="K269" s="71" t="s">
        <v>217</v>
      </c>
      <c r="L269" t="s">
        <v>34</v>
      </c>
      <c r="M269" t="str">
        <f t="shared" si="22"/>
        <v>04</v>
      </c>
      <c r="N269" t="str">
        <f t="shared" si="23"/>
        <v>06</v>
      </c>
      <c r="O269" t="str">
        <f t="shared" si="20"/>
        <v>2024</v>
      </c>
      <c r="P269" t="str">
        <f t="shared" si="24"/>
        <v>04-06-2024</v>
      </c>
    </row>
    <row r="270" spans="2:16" x14ac:dyDescent="0.3">
      <c r="B270" s="70">
        <v>45447</v>
      </c>
      <c r="C270" s="70">
        <f t="shared" si="21"/>
        <v>45444</v>
      </c>
      <c r="D270" s="94">
        <v>102.53</v>
      </c>
      <c r="E270" s="94">
        <v>0</v>
      </c>
      <c r="F270" s="92" t="s">
        <v>2817</v>
      </c>
      <c r="G270" s="75"/>
      <c r="H270" s="92" t="s">
        <v>3881</v>
      </c>
      <c r="I270" s="92" t="s">
        <v>3889</v>
      </c>
      <c r="K270" s="71" t="s">
        <v>217</v>
      </c>
      <c r="L270" t="s">
        <v>30</v>
      </c>
      <c r="M270" t="str">
        <f t="shared" si="22"/>
        <v>04</v>
      </c>
      <c r="N270" t="str">
        <f t="shared" si="23"/>
        <v>06</v>
      </c>
      <c r="O270" t="str">
        <f t="shared" si="20"/>
        <v>2024</v>
      </c>
      <c r="P270" t="str">
        <f t="shared" si="24"/>
        <v>04-06-2024</v>
      </c>
    </row>
    <row r="271" spans="2:16" x14ac:dyDescent="0.3">
      <c r="B271" s="70">
        <v>45447</v>
      </c>
      <c r="C271" s="70">
        <f t="shared" si="21"/>
        <v>45444</v>
      </c>
      <c r="D271" s="94">
        <v>0</v>
      </c>
      <c r="E271" s="94">
        <v>448</v>
      </c>
      <c r="F271" s="92" t="s">
        <v>2818</v>
      </c>
      <c r="G271" s="75" t="s">
        <v>3904</v>
      </c>
      <c r="H271" s="92" t="s">
        <v>218</v>
      </c>
      <c r="I271" s="92" t="s">
        <v>3889</v>
      </c>
      <c r="K271" s="71" t="s">
        <v>218</v>
      </c>
      <c r="L271" t="s">
        <v>155</v>
      </c>
      <c r="M271" t="str">
        <f t="shared" si="22"/>
        <v>04</v>
      </c>
      <c r="N271" t="str">
        <f t="shared" si="23"/>
        <v>06</v>
      </c>
      <c r="O271" t="str">
        <f t="shared" si="20"/>
        <v>2024</v>
      </c>
      <c r="P271" t="str">
        <f t="shared" si="24"/>
        <v>04-06-2024</v>
      </c>
    </row>
    <row r="272" spans="2:16" x14ac:dyDescent="0.3">
      <c r="B272" s="70">
        <v>45447</v>
      </c>
      <c r="C272" s="70">
        <f t="shared" si="21"/>
        <v>45444</v>
      </c>
      <c r="D272" s="94">
        <v>8240.77</v>
      </c>
      <c r="E272" s="94">
        <v>0</v>
      </c>
      <c r="F272" s="92" t="s">
        <v>2817</v>
      </c>
      <c r="G272" s="75"/>
      <c r="H272" s="92" t="s">
        <v>3881</v>
      </c>
      <c r="I272" s="92" t="s">
        <v>3889</v>
      </c>
      <c r="K272" s="71" t="s">
        <v>217</v>
      </c>
      <c r="L272" t="s">
        <v>30</v>
      </c>
      <c r="M272" t="str">
        <f t="shared" si="22"/>
        <v>04</v>
      </c>
      <c r="N272" t="str">
        <f t="shared" si="23"/>
        <v>06</v>
      </c>
      <c r="O272" t="str">
        <f t="shared" si="20"/>
        <v>2024</v>
      </c>
      <c r="P272" t="str">
        <f t="shared" si="24"/>
        <v>04-06-2024</v>
      </c>
    </row>
    <row r="273" spans="2:16" x14ac:dyDescent="0.3">
      <c r="B273" s="70">
        <v>45447</v>
      </c>
      <c r="C273" s="70">
        <f t="shared" si="21"/>
        <v>45444</v>
      </c>
      <c r="D273" s="94">
        <v>6931.19</v>
      </c>
      <c r="E273" s="94">
        <v>0</v>
      </c>
      <c r="F273" s="92" t="s">
        <v>2819</v>
      </c>
      <c r="G273" s="75"/>
      <c r="H273" s="92" t="s">
        <v>589</v>
      </c>
      <c r="I273" s="92" t="s">
        <v>3892</v>
      </c>
      <c r="K273" s="71" t="s">
        <v>511</v>
      </c>
      <c r="L273" t="s">
        <v>452</v>
      </c>
      <c r="M273" t="str">
        <f t="shared" si="22"/>
        <v>04</v>
      </c>
      <c r="N273" t="str">
        <f t="shared" si="23"/>
        <v>06</v>
      </c>
      <c r="O273" t="str">
        <f t="shared" si="20"/>
        <v>2024</v>
      </c>
      <c r="P273" t="str">
        <f t="shared" si="24"/>
        <v>04-06-2024</v>
      </c>
    </row>
    <row r="274" spans="2:16" x14ac:dyDescent="0.3">
      <c r="B274" s="70">
        <v>45447</v>
      </c>
      <c r="C274" s="70">
        <f t="shared" si="21"/>
        <v>45444</v>
      </c>
      <c r="D274" s="94">
        <v>0</v>
      </c>
      <c r="E274" s="94">
        <v>4</v>
      </c>
      <c r="F274" s="92" t="s">
        <v>2820</v>
      </c>
      <c r="G274" s="75"/>
      <c r="H274" s="92" t="s">
        <v>3891</v>
      </c>
      <c r="I274" s="92" t="s">
        <v>3892</v>
      </c>
      <c r="K274" s="71" t="s">
        <v>746</v>
      </c>
      <c r="L274" t="s">
        <v>454</v>
      </c>
      <c r="M274" t="str">
        <f t="shared" si="22"/>
        <v>04</v>
      </c>
      <c r="N274" t="str">
        <f t="shared" si="23"/>
        <v>06</v>
      </c>
      <c r="O274" t="str">
        <f t="shared" si="20"/>
        <v>2024</v>
      </c>
      <c r="P274" t="str">
        <f t="shared" si="24"/>
        <v>04-06-2024</v>
      </c>
    </row>
    <row r="275" spans="2:16" x14ac:dyDescent="0.3">
      <c r="B275" s="70">
        <v>45448</v>
      </c>
      <c r="C275" s="70">
        <f t="shared" si="21"/>
        <v>45444</v>
      </c>
      <c r="D275" s="94">
        <v>100.24</v>
      </c>
      <c r="E275" s="94">
        <v>0</v>
      </c>
      <c r="F275" s="92" t="s">
        <v>2821</v>
      </c>
      <c r="G275" s="75"/>
      <c r="H275" s="92" t="s">
        <v>3881</v>
      </c>
      <c r="I275" s="92" t="s">
        <v>3889</v>
      </c>
      <c r="K275" s="71" t="s">
        <v>217</v>
      </c>
      <c r="L275" t="s">
        <v>30</v>
      </c>
      <c r="M275" t="str">
        <f t="shared" si="22"/>
        <v>05</v>
      </c>
      <c r="N275" t="str">
        <f t="shared" si="23"/>
        <v>06</v>
      </c>
      <c r="O275" t="str">
        <f t="shared" si="20"/>
        <v>2024</v>
      </c>
      <c r="P275" t="str">
        <f t="shared" si="24"/>
        <v>05-06-2024</v>
      </c>
    </row>
    <row r="276" spans="2:16" x14ac:dyDescent="0.3">
      <c r="B276" s="70">
        <v>45448</v>
      </c>
      <c r="C276" s="70">
        <f t="shared" si="21"/>
        <v>45444</v>
      </c>
      <c r="D276" s="94">
        <v>0</v>
      </c>
      <c r="E276" s="94">
        <v>1370</v>
      </c>
      <c r="F276" s="92" t="s">
        <v>2822</v>
      </c>
      <c r="G276" s="75" t="s">
        <v>3897</v>
      </c>
      <c r="H276" s="92" t="s">
        <v>218</v>
      </c>
      <c r="I276" s="92" t="s">
        <v>3889</v>
      </c>
      <c r="K276" s="71" t="s">
        <v>218</v>
      </c>
      <c r="L276" t="s">
        <v>159</v>
      </c>
      <c r="M276" t="str">
        <f t="shared" si="22"/>
        <v>05</v>
      </c>
      <c r="N276" t="str">
        <f t="shared" si="23"/>
        <v>06</v>
      </c>
      <c r="O276" t="str">
        <f t="shared" si="20"/>
        <v>2024</v>
      </c>
      <c r="P276" t="str">
        <f t="shared" si="24"/>
        <v>05-06-2024</v>
      </c>
    </row>
    <row r="277" spans="2:16" x14ac:dyDescent="0.3">
      <c r="B277" s="70">
        <v>45449</v>
      </c>
      <c r="C277" s="70">
        <f t="shared" si="21"/>
        <v>45444</v>
      </c>
      <c r="D277" s="94">
        <v>0</v>
      </c>
      <c r="E277" s="94">
        <v>3961.37</v>
      </c>
      <c r="F277" s="92" t="s">
        <v>2823</v>
      </c>
      <c r="G277" s="75"/>
      <c r="H277" s="92" t="s">
        <v>3881</v>
      </c>
      <c r="I277" s="92" t="s">
        <v>3889</v>
      </c>
      <c r="K277" s="71" t="s">
        <v>217</v>
      </c>
      <c r="L277" t="s">
        <v>34</v>
      </c>
      <c r="M277" t="str">
        <f t="shared" si="22"/>
        <v>06</v>
      </c>
      <c r="N277" t="str">
        <f t="shared" si="23"/>
        <v>06</v>
      </c>
      <c r="O277" t="str">
        <f t="shared" si="20"/>
        <v>2024</v>
      </c>
      <c r="P277" t="str">
        <f t="shared" si="24"/>
        <v>06-06-2024</v>
      </c>
    </row>
    <row r="278" spans="2:16" x14ac:dyDescent="0.3">
      <c r="B278" s="70">
        <v>45449</v>
      </c>
      <c r="C278" s="70">
        <f t="shared" si="21"/>
        <v>45444</v>
      </c>
      <c r="D278" s="94">
        <v>100.24</v>
      </c>
      <c r="E278" s="94">
        <v>0</v>
      </c>
      <c r="F278" s="92" t="s">
        <v>2824</v>
      </c>
      <c r="G278" s="75"/>
      <c r="H278" s="92" t="s">
        <v>3881</v>
      </c>
      <c r="I278" s="92" t="s">
        <v>3889</v>
      </c>
      <c r="K278" s="71" t="s">
        <v>217</v>
      </c>
      <c r="L278" t="s">
        <v>30</v>
      </c>
      <c r="M278" t="str">
        <f t="shared" si="22"/>
        <v>06</v>
      </c>
      <c r="N278" t="str">
        <f t="shared" si="23"/>
        <v>06</v>
      </c>
      <c r="O278" t="str">
        <f t="shared" si="20"/>
        <v>2024</v>
      </c>
      <c r="P278" t="str">
        <f t="shared" si="24"/>
        <v>06-06-2024</v>
      </c>
    </row>
    <row r="279" spans="2:16" x14ac:dyDescent="0.3">
      <c r="B279" s="70">
        <v>45450</v>
      </c>
      <c r="C279" s="70">
        <f t="shared" si="21"/>
        <v>45444</v>
      </c>
      <c r="D279" s="94">
        <v>0</v>
      </c>
      <c r="E279" s="94">
        <v>2281.29</v>
      </c>
      <c r="F279" s="92" t="s">
        <v>2825</v>
      </c>
      <c r="G279" s="75"/>
      <c r="H279" s="92" t="s">
        <v>3881</v>
      </c>
      <c r="I279" s="92" t="s">
        <v>3889</v>
      </c>
      <c r="K279" s="71" t="s">
        <v>217</v>
      </c>
      <c r="L279" t="s">
        <v>34</v>
      </c>
      <c r="M279" t="str">
        <f t="shared" si="22"/>
        <v>07</v>
      </c>
      <c r="N279" t="str">
        <f t="shared" si="23"/>
        <v>06</v>
      </c>
      <c r="O279" t="str">
        <f t="shared" si="20"/>
        <v>2024</v>
      </c>
      <c r="P279" t="str">
        <f t="shared" si="24"/>
        <v>07-06-2024</v>
      </c>
    </row>
    <row r="280" spans="2:16" x14ac:dyDescent="0.3">
      <c r="B280" s="70">
        <v>45450</v>
      </c>
      <c r="C280" s="70">
        <f t="shared" si="21"/>
        <v>45444</v>
      </c>
      <c r="D280" s="94">
        <v>0</v>
      </c>
      <c r="E280" s="94">
        <v>36733.370000000003</v>
      </c>
      <c r="F280" s="92" t="s">
        <v>2825</v>
      </c>
      <c r="G280" s="75"/>
      <c r="H280" s="92" t="s">
        <v>3881</v>
      </c>
      <c r="I280" s="92" t="s">
        <v>3889</v>
      </c>
      <c r="K280" s="71" t="s">
        <v>217</v>
      </c>
      <c r="L280" t="s">
        <v>34</v>
      </c>
      <c r="M280" t="str">
        <f t="shared" si="22"/>
        <v>07</v>
      </c>
      <c r="N280" t="str">
        <f t="shared" si="23"/>
        <v>06</v>
      </c>
      <c r="O280" t="str">
        <f t="shared" si="20"/>
        <v>2024</v>
      </c>
      <c r="P280" t="str">
        <f t="shared" si="24"/>
        <v>07-06-2024</v>
      </c>
    </row>
    <row r="281" spans="2:16" x14ac:dyDescent="0.3">
      <c r="B281" s="70">
        <v>45450</v>
      </c>
      <c r="C281" s="70">
        <f t="shared" si="21"/>
        <v>45444</v>
      </c>
      <c r="D281" s="94">
        <v>101.66</v>
      </c>
      <c r="E281" s="94">
        <v>0</v>
      </c>
      <c r="F281" s="92" t="s">
        <v>2826</v>
      </c>
      <c r="G281" s="75"/>
      <c r="H281" s="92" t="s">
        <v>3881</v>
      </c>
      <c r="I281" s="92" t="s">
        <v>3889</v>
      </c>
      <c r="K281" s="71" t="s">
        <v>217</v>
      </c>
      <c r="L281" t="s">
        <v>30</v>
      </c>
      <c r="M281" t="str">
        <f t="shared" si="22"/>
        <v>07</v>
      </c>
      <c r="N281" t="str">
        <f t="shared" si="23"/>
        <v>06</v>
      </c>
      <c r="O281" t="str">
        <f t="shared" si="20"/>
        <v>2024</v>
      </c>
      <c r="P281" t="str">
        <f t="shared" si="24"/>
        <v>07-06-2024</v>
      </c>
    </row>
    <row r="282" spans="2:16" x14ac:dyDescent="0.3">
      <c r="B282" s="70">
        <v>45450</v>
      </c>
      <c r="C282" s="70">
        <f t="shared" si="21"/>
        <v>45444</v>
      </c>
      <c r="D282" s="94">
        <v>0</v>
      </c>
      <c r="E282" s="94">
        <v>1880</v>
      </c>
      <c r="F282" s="92" t="s">
        <v>2827</v>
      </c>
      <c r="G282" s="92" t="s">
        <v>222</v>
      </c>
      <c r="H282" s="92" t="s">
        <v>3876</v>
      </c>
      <c r="I282" s="92" t="s">
        <v>3889</v>
      </c>
      <c r="K282" s="71" t="s">
        <v>222</v>
      </c>
      <c r="L282" t="s">
        <v>166</v>
      </c>
      <c r="M282" t="str">
        <f t="shared" si="22"/>
        <v>07</v>
      </c>
      <c r="N282" t="str">
        <f t="shared" si="23"/>
        <v>06</v>
      </c>
      <c r="O282" t="str">
        <f t="shared" si="20"/>
        <v>2024</v>
      </c>
      <c r="P282" t="str">
        <f t="shared" si="24"/>
        <v>07-06-2024</v>
      </c>
    </row>
    <row r="283" spans="2:16" x14ac:dyDescent="0.3">
      <c r="B283" s="70">
        <v>45450</v>
      </c>
      <c r="C283" s="70">
        <f t="shared" si="21"/>
        <v>45444</v>
      </c>
      <c r="D283" s="94">
        <v>0</v>
      </c>
      <c r="E283" s="94">
        <v>1840.52</v>
      </c>
      <c r="F283" s="92" t="s">
        <v>2825</v>
      </c>
      <c r="G283" s="75"/>
      <c r="H283" s="92" t="s">
        <v>3881</v>
      </c>
      <c r="I283" s="92" t="s">
        <v>3889</v>
      </c>
      <c r="K283" s="71" t="s">
        <v>217</v>
      </c>
      <c r="L283" t="s">
        <v>34</v>
      </c>
      <c r="M283" t="str">
        <f t="shared" si="22"/>
        <v>07</v>
      </c>
      <c r="N283" t="str">
        <f t="shared" si="23"/>
        <v>06</v>
      </c>
      <c r="O283" t="str">
        <f t="shared" si="20"/>
        <v>2024</v>
      </c>
      <c r="P283" t="str">
        <f t="shared" si="24"/>
        <v>07-06-2024</v>
      </c>
    </row>
    <row r="284" spans="2:16" x14ac:dyDescent="0.3">
      <c r="B284" s="70">
        <v>45452</v>
      </c>
      <c r="C284" s="70">
        <f t="shared" si="21"/>
        <v>45444</v>
      </c>
      <c r="D284" s="94">
        <v>1000</v>
      </c>
      <c r="E284" s="94">
        <v>0</v>
      </c>
      <c r="F284" s="92" t="s">
        <v>2828</v>
      </c>
      <c r="G284" s="75"/>
      <c r="H284" s="92" t="s">
        <v>3877</v>
      </c>
      <c r="I284" s="92" t="s">
        <v>3889</v>
      </c>
      <c r="K284" s="71" t="s">
        <v>223</v>
      </c>
      <c r="L284" t="s">
        <v>169</v>
      </c>
      <c r="M284" t="str">
        <f t="shared" si="22"/>
        <v>09</v>
      </c>
      <c r="N284" t="str">
        <f t="shared" si="23"/>
        <v>06</v>
      </c>
      <c r="O284" t="str">
        <f t="shared" si="20"/>
        <v>2024</v>
      </c>
      <c r="P284" t="str">
        <f t="shared" si="24"/>
        <v>09-06-2024</v>
      </c>
    </row>
    <row r="285" spans="2:16" x14ac:dyDescent="0.3">
      <c r="B285" s="70">
        <v>45452</v>
      </c>
      <c r="C285" s="70">
        <f t="shared" si="21"/>
        <v>45444</v>
      </c>
      <c r="D285" s="94">
        <v>200</v>
      </c>
      <c r="E285" s="94">
        <v>0</v>
      </c>
      <c r="F285" s="92" t="s">
        <v>2829</v>
      </c>
      <c r="G285" s="75"/>
      <c r="H285" s="92" t="s">
        <v>589</v>
      </c>
      <c r="I285" s="92" t="s">
        <v>3893</v>
      </c>
      <c r="K285" s="71" t="s">
        <v>589</v>
      </c>
      <c r="L285" t="s">
        <v>578</v>
      </c>
      <c r="M285" t="str">
        <f t="shared" si="22"/>
        <v>09</v>
      </c>
      <c r="N285" t="str">
        <f t="shared" si="23"/>
        <v>06</v>
      </c>
      <c r="O285" t="str">
        <f t="shared" si="20"/>
        <v>2024</v>
      </c>
      <c r="P285" t="str">
        <f t="shared" si="24"/>
        <v>09-06-2024</v>
      </c>
    </row>
    <row r="286" spans="2:16" x14ac:dyDescent="0.3">
      <c r="B286" s="70">
        <v>45452</v>
      </c>
      <c r="C286" s="70">
        <f t="shared" si="21"/>
        <v>45444</v>
      </c>
      <c r="D286" s="94">
        <v>142.25</v>
      </c>
      <c r="E286" s="94">
        <v>0</v>
      </c>
      <c r="F286" s="92" t="s">
        <v>2830</v>
      </c>
      <c r="G286" s="75"/>
      <c r="H286" s="92" t="s">
        <v>589</v>
      </c>
      <c r="I286" s="92" t="s">
        <v>3892</v>
      </c>
      <c r="K286" s="71" t="s">
        <v>511</v>
      </c>
      <c r="L286" t="s">
        <v>456</v>
      </c>
      <c r="M286" t="str">
        <f t="shared" si="22"/>
        <v>09</v>
      </c>
      <c r="N286" t="str">
        <f t="shared" si="23"/>
        <v>06</v>
      </c>
      <c r="O286" t="str">
        <f t="shared" si="20"/>
        <v>2024</v>
      </c>
      <c r="P286" t="str">
        <f t="shared" si="24"/>
        <v>09-06-2024</v>
      </c>
    </row>
    <row r="287" spans="2:16" x14ac:dyDescent="0.3">
      <c r="B287" s="70">
        <v>45453</v>
      </c>
      <c r="C287" s="70">
        <f t="shared" si="21"/>
        <v>45444</v>
      </c>
      <c r="D287" s="94">
        <v>309.36</v>
      </c>
      <c r="E287" s="94">
        <v>0</v>
      </c>
      <c r="F287" s="92" t="s">
        <v>2831</v>
      </c>
      <c r="G287" s="75"/>
      <c r="H287" s="92" t="s">
        <v>3881</v>
      </c>
      <c r="I287" s="92" t="s">
        <v>3889</v>
      </c>
      <c r="K287" s="71" t="s">
        <v>217</v>
      </c>
      <c r="L287" t="s">
        <v>30</v>
      </c>
      <c r="M287" t="str">
        <f t="shared" si="22"/>
        <v>10</v>
      </c>
      <c r="N287" t="str">
        <f t="shared" si="23"/>
        <v>06</v>
      </c>
      <c r="O287" t="str">
        <f t="shared" si="20"/>
        <v>2024</v>
      </c>
      <c r="P287" t="str">
        <f t="shared" si="24"/>
        <v>10-06-2024</v>
      </c>
    </row>
    <row r="288" spans="2:16" x14ac:dyDescent="0.3">
      <c r="B288" s="70">
        <v>45453</v>
      </c>
      <c r="C288" s="70">
        <f t="shared" si="21"/>
        <v>45444</v>
      </c>
      <c r="D288" s="94">
        <v>14669.42</v>
      </c>
      <c r="E288" s="94">
        <v>0</v>
      </c>
      <c r="F288" s="92" t="s">
        <v>2831</v>
      </c>
      <c r="G288" s="75"/>
      <c r="H288" s="92" t="s">
        <v>3881</v>
      </c>
      <c r="I288" s="92" t="s">
        <v>3889</v>
      </c>
      <c r="K288" s="71" t="s">
        <v>217</v>
      </c>
      <c r="L288" t="s">
        <v>30</v>
      </c>
      <c r="M288" t="str">
        <f t="shared" si="22"/>
        <v>10</v>
      </c>
      <c r="N288" t="str">
        <f t="shared" si="23"/>
        <v>06</v>
      </c>
      <c r="O288" t="str">
        <f t="shared" si="20"/>
        <v>2024</v>
      </c>
      <c r="P288" t="str">
        <f t="shared" si="24"/>
        <v>10-06-2024</v>
      </c>
    </row>
    <row r="289" spans="2:16" x14ac:dyDescent="0.3">
      <c r="B289" s="70">
        <v>45453</v>
      </c>
      <c r="C289" s="70">
        <f t="shared" si="21"/>
        <v>45444</v>
      </c>
      <c r="D289" s="94">
        <v>0</v>
      </c>
      <c r="E289" s="94">
        <v>122.22</v>
      </c>
      <c r="F289" s="92" t="s">
        <v>2832</v>
      </c>
      <c r="G289" s="75"/>
      <c r="H289" s="92" t="s">
        <v>3875</v>
      </c>
      <c r="I289" s="92" t="s">
        <v>3893</v>
      </c>
      <c r="K289" s="71" t="s">
        <v>2535</v>
      </c>
      <c r="L289" t="s">
        <v>579</v>
      </c>
      <c r="M289" t="str">
        <f t="shared" si="22"/>
        <v>10</v>
      </c>
      <c r="N289" t="str">
        <f t="shared" si="23"/>
        <v>06</v>
      </c>
      <c r="O289" t="str">
        <f t="shared" si="20"/>
        <v>2024</v>
      </c>
      <c r="P289" t="str">
        <f t="shared" si="24"/>
        <v>10-06-2024</v>
      </c>
    </row>
    <row r="290" spans="2:16" x14ac:dyDescent="0.3">
      <c r="B290" s="70">
        <v>45453</v>
      </c>
      <c r="C290" s="70">
        <f t="shared" si="21"/>
        <v>45444</v>
      </c>
      <c r="D290" s="94">
        <v>5000</v>
      </c>
      <c r="E290" s="94">
        <v>0</v>
      </c>
      <c r="F290" s="92" t="s">
        <v>2833</v>
      </c>
      <c r="G290" s="75"/>
      <c r="H290" s="92" t="s">
        <v>2538</v>
      </c>
      <c r="I290" s="92" t="s">
        <v>3892</v>
      </c>
      <c r="K290" s="71" t="s">
        <v>219</v>
      </c>
      <c r="L290" t="s">
        <v>458</v>
      </c>
      <c r="M290" t="str">
        <f t="shared" si="22"/>
        <v>10</v>
      </c>
      <c r="N290" t="str">
        <f t="shared" si="23"/>
        <v>06</v>
      </c>
      <c r="O290" t="str">
        <f t="shared" si="20"/>
        <v>2024</v>
      </c>
      <c r="P290" t="str">
        <f t="shared" si="24"/>
        <v>10-06-2024</v>
      </c>
    </row>
    <row r="291" spans="2:16" x14ac:dyDescent="0.3">
      <c r="B291" s="70">
        <v>45454</v>
      </c>
      <c r="C291" s="70">
        <f t="shared" si="21"/>
        <v>45444</v>
      </c>
      <c r="D291" s="94">
        <v>50000</v>
      </c>
      <c r="E291" s="94">
        <v>0</v>
      </c>
      <c r="F291" s="92" t="s">
        <v>2834</v>
      </c>
      <c r="G291" s="75"/>
      <c r="H291" s="92" t="s">
        <v>3886</v>
      </c>
      <c r="I291" s="92" t="s">
        <v>3889</v>
      </c>
      <c r="K291" s="71" t="s">
        <v>225</v>
      </c>
      <c r="L291" t="s">
        <v>173</v>
      </c>
      <c r="M291" t="str">
        <f t="shared" si="22"/>
        <v>11</v>
      </c>
      <c r="N291" t="str">
        <f t="shared" si="23"/>
        <v>06</v>
      </c>
      <c r="O291" t="str">
        <f t="shared" si="20"/>
        <v>2024</v>
      </c>
      <c r="P291" t="str">
        <f t="shared" si="24"/>
        <v>11-06-2024</v>
      </c>
    </row>
    <row r="292" spans="2:16" x14ac:dyDescent="0.3">
      <c r="B292" s="70">
        <v>45454</v>
      </c>
      <c r="C292" s="70">
        <f t="shared" si="21"/>
        <v>45444</v>
      </c>
      <c r="D292" s="94">
        <v>97.9</v>
      </c>
      <c r="E292" s="94">
        <v>0</v>
      </c>
      <c r="F292" s="92" t="s">
        <v>2835</v>
      </c>
      <c r="G292" s="75"/>
      <c r="H292" s="92" t="s">
        <v>3881</v>
      </c>
      <c r="I292" s="92" t="s">
        <v>3889</v>
      </c>
      <c r="K292" s="71" t="s">
        <v>217</v>
      </c>
      <c r="L292" t="s">
        <v>30</v>
      </c>
      <c r="M292" t="str">
        <f t="shared" si="22"/>
        <v>11</v>
      </c>
      <c r="N292" t="str">
        <f t="shared" si="23"/>
        <v>06</v>
      </c>
      <c r="O292" t="str">
        <f t="shared" si="20"/>
        <v>2024</v>
      </c>
      <c r="P292" t="str">
        <f t="shared" si="24"/>
        <v>11-06-2024</v>
      </c>
    </row>
    <row r="293" spans="2:16" x14ac:dyDescent="0.3">
      <c r="B293" s="70">
        <v>45455</v>
      </c>
      <c r="C293" s="70">
        <f t="shared" si="21"/>
        <v>45444</v>
      </c>
      <c r="D293" s="94">
        <v>0</v>
      </c>
      <c r="E293" s="94">
        <v>12292.31</v>
      </c>
      <c r="F293" s="92" t="s">
        <v>2836</v>
      </c>
      <c r="G293" s="75"/>
      <c r="H293" s="92" t="s">
        <v>3881</v>
      </c>
      <c r="I293" s="92" t="s">
        <v>3889</v>
      </c>
      <c r="K293" s="71" t="s">
        <v>217</v>
      </c>
      <c r="L293" t="s">
        <v>34</v>
      </c>
      <c r="M293" t="str">
        <f t="shared" si="22"/>
        <v>12</v>
      </c>
      <c r="N293" t="str">
        <f t="shared" si="23"/>
        <v>06</v>
      </c>
      <c r="O293" t="str">
        <f t="shared" si="20"/>
        <v>2024</v>
      </c>
      <c r="P293" t="str">
        <f t="shared" si="24"/>
        <v>12-06-2024</v>
      </c>
    </row>
    <row r="294" spans="2:16" x14ac:dyDescent="0.3">
      <c r="B294" s="70">
        <v>45455</v>
      </c>
      <c r="C294" s="70">
        <f t="shared" si="21"/>
        <v>45444</v>
      </c>
      <c r="D294" s="94">
        <v>0</v>
      </c>
      <c r="E294" s="94">
        <v>12515.66</v>
      </c>
      <c r="F294" s="92" t="s">
        <v>2836</v>
      </c>
      <c r="G294" s="75"/>
      <c r="H294" s="92" t="s">
        <v>3881</v>
      </c>
      <c r="I294" s="92" t="s">
        <v>3889</v>
      </c>
      <c r="K294" s="71" t="s">
        <v>217</v>
      </c>
      <c r="L294" t="s">
        <v>34</v>
      </c>
      <c r="M294" t="str">
        <f t="shared" si="22"/>
        <v>12</v>
      </c>
      <c r="N294" t="str">
        <f t="shared" si="23"/>
        <v>06</v>
      </c>
      <c r="O294" t="str">
        <f t="shared" si="20"/>
        <v>2024</v>
      </c>
      <c r="P294" t="str">
        <f t="shared" si="24"/>
        <v>12-06-2024</v>
      </c>
    </row>
    <row r="295" spans="2:16" x14ac:dyDescent="0.3">
      <c r="B295" s="70">
        <v>45455</v>
      </c>
      <c r="C295" s="70">
        <f t="shared" si="21"/>
        <v>45444</v>
      </c>
      <c r="D295" s="94">
        <v>97.9</v>
      </c>
      <c r="E295" s="94">
        <v>0</v>
      </c>
      <c r="F295" s="92" t="s">
        <v>2837</v>
      </c>
      <c r="G295" s="75"/>
      <c r="H295" s="92" t="s">
        <v>3881</v>
      </c>
      <c r="I295" s="92" t="s">
        <v>3889</v>
      </c>
      <c r="K295" s="71" t="s">
        <v>217</v>
      </c>
      <c r="L295" t="s">
        <v>30</v>
      </c>
      <c r="M295" t="str">
        <f t="shared" si="22"/>
        <v>12</v>
      </c>
      <c r="N295" t="str">
        <f t="shared" si="23"/>
        <v>06</v>
      </c>
      <c r="O295" t="str">
        <f t="shared" si="20"/>
        <v>2024</v>
      </c>
      <c r="P295" t="str">
        <f t="shared" si="24"/>
        <v>12-06-2024</v>
      </c>
    </row>
    <row r="296" spans="2:16" x14ac:dyDescent="0.3">
      <c r="B296" s="70">
        <v>45455</v>
      </c>
      <c r="C296" s="70">
        <f t="shared" si="21"/>
        <v>45444</v>
      </c>
      <c r="D296" s="94">
        <v>2251.88</v>
      </c>
      <c r="E296" s="94">
        <v>0</v>
      </c>
      <c r="F296" s="92" t="s">
        <v>2837</v>
      </c>
      <c r="G296" s="75"/>
      <c r="H296" s="92" t="s">
        <v>3881</v>
      </c>
      <c r="I296" s="92" t="s">
        <v>3889</v>
      </c>
      <c r="K296" s="71" t="s">
        <v>217</v>
      </c>
      <c r="L296" t="s">
        <v>30</v>
      </c>
      <c r="M296" t="str">
        <f t="shared" si="22"/>
        <v>12</v>
      </c>
      <c r="N296" t="str">
        <f t="shared" si="23"/>
        <v>06</v>
      </c>
      <c r="O296" t="str">
        <f t="shared" si="20"/>
        <v>2024</v>
      </c>
      <c r="P296" t="str">
        <f t="shared" si="24"/>
        <v>12-06-2024</v>
      </c>
    </row>
    <row r="297" spans="2:16" x14ac:dyDescent="0.3">
      <c r="B297" s="70">
        <v>45455</v>
      </c>
      <c r="C297" s="70">
        <f t="shared" si="21"/>
        <v>45444</v>
      </c>
      <c r="D297" s="94">
        <v>1</v>
      </c>
      <c r="E297" s="94">
        <v>0</v>
      </c>
      <c r="F297" s="92" t="s">
        <v>2838</v>
      </c>
      <c r="G297" s="75"/>
      <c r="H297" s="92" t="s">
        <v>3892</v>
      </c>
      <c r="I297" s="92" t="s">
        <v>3893</v>
      </c>
      <c r="K297" s="71" t="s">
        <v>747</v>
      </c>
      <c r="L297" t="s">
        <v>581</v>
      </c>
      <c r="M297" t="str">
        <f t="shared" si="22"/>
        <v>12</v>
      </c>
      <c r="N297" t="str">
        <f t="shared" si="23"/>
        <v>06</v>
      </c>
      <c r="O297" t="str">
        <f t="shared" si="20"/>
        <v>2024</v>
      </c>
      <c r="P297" t="str">
        <f t="shared" si="24"/>
        <v>12-06-2024</v>
      </c>
    </row>
    <row r="298" spans="2:16" x14ac:dyDescent="0.3">
      <c r="B298" s="70">
        <v>45455</v>
      </c>
      <c r="C298" s="70">
        <f t="shared" si="21"/>
        <v>45444</v>
      </c>
      <c r="D298" s="94">
        <v>30000</v>
      </c>
      <c r="E298" s="94">
        <v>0</v>
      </c>
      <c r="F298" s="92" t="s">
        <v>2839</v>
      </c>
      <c r="G298" s="75"/>
      <c r="H298" s="92" t="s">
        <v>3892</v>
      </c>
      <c r="I298" s="92" t="s">
        <v>3893</v>
      </c>
      <c r="K298" s="71" t="s">
        <v>747</v>
      </c>
      <c r="L298" t="s">
        <v>583</v>
      </c>
      <c r="M298" t="str">
        <f t="shared" si="22"/>
        <v>12</v>
      </c>
      <c r="N298" t="str">
        <f t="shared" si="23"/>
        <v>06</v>
      </c>
      <c r="O298" t="str">
        <f t="shared" si="20"/>
        <v>2024</v>
      </c>
      <c r="P298" t="str">
        <f t="shared" si="24"/>
        <v>12-06-2024</v>
      </c>
    </row>
    <row r="299" spans="2:16" x14ac:dyDescent="0.3">
      <c r="B299" s="70">
        <v>45455</v>
      </c>
      <c r="C299" s="70">
        <f t="shared" si="21"/>
        <v>45444</v>
      </c>
      <c r="D299" s="94">
        <v>0</v>
      </c>
      <c r="E299" s="94">
        <v>1</v>
      </c>
      <c r="F299" s="92" t="s">
        <v>2840</v>
      </c>
      <c r="G299" s="75"/>
      <c r="H299" s="92" t="s">
        <v>3893</v>
      </c>
      <c r="I299" s="92" t="s">
        <v>3892</v>
      </c>
      <c r="K299" s="71" t="s">
        <v>745</v>
      </c>
      <c r="L299" t="s">
        <v>460</v>
      </c>
      <c r="M299" t="str">
        <f t="shared" si="22"/>
        <v>12</v>
      </c>
      <c r="N299" t="str">
        <f t="shared" si="23"/>
        <v>06</v>
      </c>
      <c r="O299" t="str">
        <f t="shared" si="20"/>
        <v>2024</v>
      </c>
      <c r="P299" t="str">
        <f t="shared" si="24"/>
        <v>12-06-2024</v>
      </c>
    </row>
    <row r="300" spans="2:16" x14ac:dyDescent="0.3">
      <c r="B300" s="70">
        <v>45455</v>
      </c>
      <c r="C300" s="70">
        <f t="shared" si="21"/>
        <v>45444</v>
      </c>
      <c r="D300" s="94">
        <v>0</v>
      </c>
      <c r="E300" s="94">
        <v>30000</v>
      </c>
      <c r="F300" s="92" t="s">
        <v>2841</v>
      </c>
      <c r="G300" s="75"/>
      <c r="H300" s="92" t="s">
        <v>3893</v>
      </c>
      <c r="I300" s="92" t="s">
        <v>3892</v>
      </c>
      <c r="K300" s="71" t="s">
        <v>745</v>
      </c>
      <c r="L300" t="s">
        <v>462</v>
      </c>
      <c r="M300" t="str">
        <f t="shared" si="22"/>
        <v>12</v>
      </c>
      <c r="N300" t="str">
        <f t="shared" si="23"/>
        <v>06</v>
      </c>
      <c r="O300" t="str">
        <f t="shared" si="20"/>
        <v>2024</v>
      </c>
      <c r="P300" t="str">
        <f t="shared" si="24"/>
        <v>12-06-2024</v>
      </c>
    </row>
    <row r="301" spans="2:16" x14ac:dyDescent="0.3">
      <c r="B301" s="70">
        <v>45455</v>
      </c>
      <c r="C301" s="70">
        <f t="shared" si="21"/>
        <v>45444</v>
      </c>
      <c r="D301" s="94">
        <v>50000</v>
      </c>
      <c r="E301" s="94">
        <v>0</v>
      </c>
      <c r="F301" s="92" t="s">
        <v>2842</v>
      </c>
      <c r="G301" s="75"/>
      <c r="H301" s="92" t="s">
        <v>3875</v>
      </c>
      <c r="I301" s="92" t="s">
        <v>3892</v>
      </c>
      <c r="K301" s="71" t="s">
        <v>509</v>
      </c>
      <c r="L301" t="s">
        <v>318</v>
      </c>
      <c r="M301" t="str">
        <f t="shared" si="22"/>
        <v>12</v>
      </c>
      <c r="N301" t="str">
        <f t="shared" si="23"/>
        <v>06</v>
      </c>
      <c r="O301" t="str">
        <f t="shared" si="20"/>
        <v>2024</v>
      </c>
      <c r="P301" t="str">
        <f t="shared" si="24"/>
        <v>12-06-2024</v>
      </c>
    </row>
    <row r="302" spans="2:16" x14ac:dyDescent="0.3">
      <c r="B302" s="70">
        <v>45456</v>
      </c>
      <c r="C302" s="70">
        <f t="shared" si="21"/>
        <v>45444</v>
      </c>
      <c r="D302" s="94">
        <v>92.56</v>
      </c>
      <c r="E302" s="94">
        <v>0</v>
      </c>
      <c r="F302" s="92" t="s">
        <v>2843</v>
      </c>
      <c r="G302" s="75"/>
      <c r="H302" s="92" t="s">
        <v>3881</v>
      </c>
      <c r="I302" s="92" t="s">
        <v>3889</v>
      </c>
      <c r="K302" s="71" t="s">
        <v>217</v>
      </c>
      <c r="L302" t="s">
        <v>30</v>
      </c>
      <c r="M302" t="str">
        <f t="shared" si="22"/>
        <v>13</v>
      </c>
      <c r="N302" t="str">
        <f t="shared" si="23"/>
        <v>06</v>
      </c>
      <c r="O302" t="str">
        <f t="shared" si="20"/>
        <v>2024</v>
      </c>
      <c r="P302" t="str">
        <f t="shared" si="24"/>
        <v>13-06-2024</v>
      </c>
    </row>
    <row r="303" spans="2:16" x14ac:dyDescent="0.3">
      <c r="B303" s="70">
        <v>45456</v>
      </c>
      <c r="C303" s="70">
        <f t="shared" si="21"/>
        <v>45444</v>
      </c>
      <c r="D303" s="94">
        <v>32739.14</v>
      </c>
      <c r="E303" s="94">
        <v>0</v>
      </c>
      <c r="F303" s="92" t="s">
        <v>2843</v>
      </c>
      <c r="G303" s="75"/>
      <c r="H303" s="92" t="s">
        <v>3881</v>
      </c>
      <c r="I303" s="92" t="s">
        <v>3889</v>
      </c>
      <c r="K303" s="71" t="s">
        <v>217</v>
      </c>
      <c r="L303" t="s">
        <v>30</v>
      </c>
      <c r="M303" t="str">
        <f t="shared" si="22"/>
        <v>13</v>
      </c>
      <c r="N303" t="str">
        <f t="shared" si="23"/>
        <v>06</v>
      </c>
      <c r="O303" t="str">
        <f t="shared" si="20"/>
        <v>2024</v>
      </c>
      <c r="P303" t="str">
        <f t="shared" si="24"/>
        <v>13-06-2024</v>
      </c>
    </row>
    <row r="304" spans="2:16" x14ac:dyDescent="0.3">
      <c r="B304" s="70">
        <v>45457</v>
      </c>
      <c r="C304" s="70">
        <f t="shared" si="21"/>
        <v>45444</v>
      </c>
      <c r="D304" s="94">
        <v>80.900000000000006</v>
      </c>
      <c r="E304" s="94">
        <v>0</v>
      </c>
      <c r="F304" s="92" t="s">
        <v>2844</v>
      </c>
      <c r="G304" s="75"/>
      <c r="H304" s="92" t="s">
        <v>3881</v>
      </c>
      <c r="I304" s="92" t="s">
        <v>3889</v>
      </c>
      <c r="K304" s="71" t="s">
        <v>217</v>
      </c>
      <c r="L304" t="s">
        <v>30</v>
      </c>
      <c r="M304" t="str">
        <f t="shared" si="22"/>
        <v>14</v>
      </c>
      <c r="N304" t="str">
        <f t="shared" si="23"/>
        <v>06</v>
      </c>
      <c r="O304" t="str">
        <f t="shared" si="20"/>
        <v>2024</v>
      </c>
      <c r="P304" t="str">
        <f t="shared" si="24"/>
        <v>14-06-2024</v>
      </c>
    </row>
    <row r="305" spans="2:16" x14ac:dyDescent="0.3">
      <c r="B305" s="70">
        <v>45457</v>
      </c>
      <c r="C305" s="70">
        <f t="shared" si="21"/>
        <v>45444</v>
      </c>
      <c r="D305" s="94">
        <v>2.84</v>
      </c>
      <c r="E305" s="94">
        <v>0</v>
      </c>
      <c r="F305" s="92" t="s">
        <v>2845</v>
      </c>
      <c r="G305" s="75"/>
      <c r="H305" s="92" t="s">
        <v>221</v>
      </c>
      <c r="I305" s="92" t="s">
        <v>3889</v>
      </c>
      <c r="K305" s="71" t="s">
        <v>221</v>
      </c>
      <c r="L305" t="s">
        <v>183</v>
      </c>
      <c r="M305" t="str">
        <f t="shared" si="22"/>
        <v>14</v>
      </c>
      <c r="N305" t="str">
        <f t="shared" si="23"/>
        <v>06</v>
      </c>
      <c r="O305" t="str">
        <f t="shared" si="20"/>
        <v>2024</v>
      </c>
      <c r="P305" t="str">
        <f t="shared" si="24"/>
        <v>14-06-2024</v>
      </c>
    </row>
    <row r="306" spans="2:16" x14ac:dyDescent="0.3">
      <c r="B306" s="70">
        <v>45458</v>
      </c>
      <c r="C306" s="70">
        <f t="shared" si="21"/>
        <v>45444</v>
      </c>
      <c r="D306" s="94">
        <v>58</v>
      </c>
      <c r="E306" s="94">
        <v>0</v>
      </c>
      <c r="F306" s="92" t="s">
        <v>2846</v>
      </c>
      <c r="G306" s="75"/>
      <c r="H306" s="92" t="s">
        <v>589</v>
      </c>
      <c r="I306" s="92" t="s">
        <v>3892</v>
      </c>
      <c r="K306" s="71" t="s">
        <v>511</v>
      </c>
      <c r="L306" t="s">
        <v>465</v>
      </c>
      <c r="M306" t="str">
        <f t="shared" si="22"/>
        <v>15</v>
      </c>
      <c r="N306" t="str">
        <f t="shared" si="23"/>
        <v>06</v>
      </c>
      <c r="O306" t="str">
        <f t="shared" si="20"/>
        <v>2024</v>
      </c>
      <c r="P306" t="str">
        <f t="shared" si="24"/>
        <v>15-06-2024</v>
      </c>
    </row>
    <row r="307" spans="2:16" x14ac:dyDescent="0.3">
      <c r="B307" s="70">
        <v>45460</v>
      </c>
      <c r="C307" s="70">
        <f t="shared" si="21"/>
        <v>45444</v>
      </c>
      <c r="D307" s="94">
        <v>40</v>
      </c>
      <c r="E307" s="94">
        <v>0</v>
      </c>
      <c r="F307" s="92" t="s">
        <v>2847</v>
      </c>
      <c r="G307" s="75"/>
      <c r="H307" s="92" t="s">
        <v>589</v>
      </c>
      <c r="I307" s="92" t="s">
        <v>3892</v>
      </c>
      <c r="K307" s="71" t="s">
        <v>511</v>
      </c>
      <c r="L307" t="s">
        <v>467</v>
      </c>
      <c r="M307" t="str">
        <f t="shared" si="22"/>
        <v>17</v>
      </c>
      <c r="N307" t="str">
        <f t="shared" si="23"/>
        <v>06</v>
      </c>
      <c r="O307" t="str">
        <f t="shared" si="20"/>
        <v>2024</v>
      </c>
      <c r="P307" t="str">
        <f t="shared" si="24"/>
        <v>17-06-2024</v>
      </c>
    </row>
    <row r="308" spans="2:16" x14ac:dyDescent="0.3">
      <c r="B308" s="70">
        <v>45460</v>
      </c>
      <c r="C308" s="70">
        <f t="shared" si="21"/>
        <v>45444</v>
      </c>
      <c r="D308" s="94">
        <v>121</v>
      </c>
      <c r="E308" s="94">
        <v>0</v>
      </c>
      <c r="F308" s="92" t="s">
        <v>2848</v>
      </c>
      <c r="G308" s="75"/>
      <c r="H308" s="92" t="s">
        <v>589</v>
      </c>
      <c r="I308" s="92" t="s">
        <v>3892</v>
      </c>
      <c r="K308" s="71" t="s">
        <v>511</v>
      </c>
      <c r="L308" t="s">
        <v>469</v>
      </c>
      <c r="M308" t="str">
        <f t="shared" si="22"/>
        <v>17</v>
      </c>
      <c r="N308" t="str">
        <f t="shared" si="23"/>
        <v>06</v>
      </c>
      <c r="O308" t="str">
        <f t="shared" si="20"/>
        <v>2024</v>
      </c>
      <c r="P308" t="str">
        <f t="shared" si="24"/>
        <v>17-06-2024</v>
      </c>
    </row>
    <row r="309" spans="2:16" x14ac:dyDescent="0.3">
      <c r="B309" s="70">
        <v>45461</v>
      </c>
      <c r="C309" s="70">
        <f t="shared" si="21"/>
        <v>45444</v>
      </c>
      <c r="D309" s="94">
        <v>0</v>
      </c>
      <c r="E309" s="94">
        <v>164.71</v>
      </c>
      <c r="F309" s="92" t="s">
        <v>2849</v>
      </c>
      <c r="G309" s="75"/>
      <c r="H309" s="92" t="s">
        <v>3881</v>
      </c>
      <c r="I309" s="92" t="s">
        <v>3889</v>
      </c>
      <c r="K309" s="71" t="s">
        <v>217</v>
      </c>
      <c r="L309" t="s">
        <v>34</v>
      </c>
      <c r="M309" t="str">
        <f t="shared" si="22"/>
        <v>18</v>
      </c>
      <c r="N309" t="str">
        <f t="shared" si="23"/>
        <v>06</v>
      </c>
      <c r="O309" t="str">
        <f t="shared" si="20"/>
        <v>2024</v>
      </c>
      <c r="P309" t="str">
        <f t="shared" si="24"/>
        <v>18-06-2024</v>
      </c>
    </row>
    <row r="310" spans="2:16" x14ac:dyDescent="0.3">
      <c r="B310" s="70">
        <v>45461</v>
      </c>
      <c r="C310" s="70">
        <f t="shared" si="21"/>
        <v>45444</v>
      </c>
      <c r="D310" s="94">
        <v>342.2</v>
      </c>
      <c r="E310" s="94">
        <v>0</v>
      </c>
      <c r="F310" s="92" t="s">
        <v>2850</v>
      </c>
      <c r="G310" s="75"/>
      <c r="H310" s="92" t="s">
        <v>220</v>
      </c>
      <c r="I310" s="92" t="s">
        <v>3889</v>
      </c>
      <c r="K310" s="71" t="s">
        <v>220</v>
      </c>
      <c r="L310" t="s">
        <v>186</v>
      </c>
      <c r="M310" t="str">
        <f t="shared" si="22"/>
        <v>18</v>
      </c>
      <c r="N310" t="str">
        <f t="shared" si="23"/>
        <v>06</v>
      </c>
      <c r="O310" t="str">
        <f t="shared" si="20"/>
        <v>2024</v>
      </c>
      <c r="P310" t="str">
        <f t="shared" si="24"/>
        <v>18-06-2024</v>
      </c>
    </row>
    <row r="311" spans="2:16" x14ac:dyDescent="0.3">
      <c r="B311" s="70">
        <v>45461</v>
      </c>
      <c r="C311" s="70">
        <f t="shared" si="21"/>
        <v>45444</v>
      </c>
      <c r="D311" s="94">
        <v>323.60000000000002</v>
      </c>
      <c r="E311" s="94">
        <v>0</v>
      </c>
      <c r="F311" s="92" t="s">
        <v>2851</v>
      </c>
      <c r="G311" s="75"/>
      <c r="H311" s="92" t="s">
        <v>3881</v>
      </c>
      <c r="I311" s="92" t="s">
        <v>3889</v>
      </c>
      <c r="K311" s="71" t="s">
        <v>217</v>
      </c>
      <c r="L311" t="s">
        <v>30</v>
      </c>
      <c r="M311" t="str">
        <f t="shared" si="22"/>
        <v>18</v>
      </c>
      <c r="N311" t="str">
        <f t="shared" si="23"/>
        <v>06</v>
      </c>
      <c r="O311" t="str">
        <f t="shared" si="20"/>
        <v>2024</v>
      </c>
      <c r="P311" t="str">
        <f t="shared" si="24"/>
        <v>18-06-2024</v>
      </c>
    </row>
    <row r="312" spans="2:16" x14ac:dyDescent="0.3">
      <c r="B312" s="70">
        <v>45461</v>
      </c>
      <c r="C312" s="70">
        <f t="shared" si="21"/>
        <v>45444</v>
      </c>
      <c r="D312" s="94">
        <v>0</v>
      </c>
      <c r="E312" s="94">
        <v>500</v>
      </c>
      <c r="F312" s="92" t="s">
        <v>2852</v>
      </c>
      <c r="G312" s="75"/>
      <c r="H312" s="92" t="s">
        <v>589</v>
      </c>
      <c r="I312" s="92" t="s">
        <v>3893</v>
      </c>
      <c r="K312" s="71" t="s">
        <v>589</v>
      </c>
      <c r="L312" t="s">
        <v>584</v>
      </c>
      <c r="M312" t="str">
        <f t="shared" si="22"/>
        <v>18</v>
      </c>
      <c r="N312" t="str">
        <f t="shared" si="23"/>
        <v>06</v>
      </c>
      <c r="O312" t="str">
        <f t="shared" si="20"/>
        <v>2024</v>
      </c>
      <c r="P312" t="str">
        <f t="shared" si="24"/>
        <v>18-06-2024</v>
      </c>
    </row>
    <row r="313" spans="2:16" x14ac:dyDescent="0.3">
      <c r="B313" s="70">
        <v>45461</v>
      </c>
      <c r="C313" s="70">
        <f t="shared" si="21"/>
        <v>45444</v>
      </c>
      <c r="D313" s="94">
        <v>76</v>
      </c>
      <c r="E313" s="94">
        <v>0</v>
      </c>
      <c r="F313" s="92" t="s">
        <v>2853</v>
      </c>
      <c r="G313" s="75"/>
      <c r="H313" s="92" t="s">
        <v>589</v>
      </c>
      <c r="I313" s="92" t="s">
        <v>3892</v>
      </c>
      <c r="K313" s="71" t="s">
        <v>511</v>
      </c>
      <c r="L313" t="s">
        <v>471</v>
      </c>
      <c r="M313" t="str">
        <f t="shared" si="22"/>
        <v>18</v>
      </c>
      <c r="N313" t="str">
        <f t="shared" si="23"/>
        <v>06</v>
      </c>
      <c r="O313" t="str">
        <f t="shared" si="20"/>
        <v>2024</v>
      </c>
      <c r="P313" t="str">
        <f t="shared" si="24"/>
        <v>18-06-2024</v>
      </c>
    </row>
    <row r="314" spans="2:16" x14ac:dyDescent="0.3">
      <c r="B314" s="70">
        <v>45461</v>
      </c>
      <c r="C314" s="70">
        <f t="shared" si="21"/>
        <v>45444</v>
      </c>
      <c r="D314" s="94">
        <v>97</v>
      </c>
      <c r="E314" s="94">
        <v>0</v>
      </c>
      <c r="F314" s="92" t="s">
        <v>2854</v>
      </c>
      <c r="G314" s="75"/>
      <c r="H314" s="92" t="s">
        <v>589</v>
      </c>
      <c r="I314" s="92" t="s">
        <v>3892</v>
      </c>
      <c r="K314" s="71" t="s">
        <v>511</v>
      </c>
      <c r="L314" t="s">
        <v>473</v>
      </c>
      <c r="M314" t="str">
        <f t="shared" si="22"/>
        <v>18</v>
      </c>
      <c r="N314" t="str">
        <f t="shared" si="23"/>
        <v>06</v>
      </c>
      <c r="O314" t="str">
        <f t="shared" si="20"/>
        <v>2024</v>
      </c>
      <c r="P314" t="str">
        <f t="shared" si="24"/>
        <v>18-06-2024</v>
      </c>
    </row>
    <row r="315" spans="2:16" x14ac:dyDescent="0.3">
      <c r="B315" s="70">
        <v>45462</v>
      </c>
      <c r="C315" s="70">
        <f t="shared" si="21"/>
        <v>45444</v>
      </c>
      <c r="D315" s="94">
        <v>0</v>
      </c>
      <c r="E315" s="94">
        <v>1049.5</v>
      </c>
      <c r="F315" s="92" t="s">
        <v>2855</v>
      </c>
      <c r="G315" s="75"/>
      <c r="H315" s="92" t="s">
        <v>3881</v>
      </c>
      <c r="I315" s="92" t="s">
        <v>3889</v>
      </c>
      <c r="K315" s="71" t="s">
        <v>217</v>
      </c>
      <c r="L315" t="s">
        <v>34</v>
      </c>
      <c r="M315" t="str">
        <f t="shared" si="22"/>
        <v>19</v>
      </c>
      <c r="N315" t="str">
        <f t="shared" si="23"/>
        <v>06</v>
      </c>
      <c r="O315" t="str">
        <f t="shared" si="20"/>
        <v>2024</v>
      </c>
      <c r="P315" t="str">
        <f t="shared" si="24"/>
        <v>19-06-2024</v>
      </c>
    </row>
    <row r="316" spans="2:16" x14ac:dyDescent="0.3">
      <c r="B316" s="70">
        <v>45462</v>
      </c>
      <c r="C316" s="70">
        <f t="shared" si="21"/>
        <v>45444</v>
      </c>
      <c r="D316" s="94">
        <v>0</v>
      </c>
      <c r="E316" s="94">
        <v>25889.17</v>
      </c>
      <c r="F316" s="92" t="s">
        <v>2855</v>
      </c>
      <c r="G316" s="75"/>
      <c r="H316" s="92" t="s">
        <v>3881</v>
      </c>
      <c r="I316" s="92" t="s">
        <v>3889</v>
      </c>
      <c r="K316" s="71" t="s">
        <v>217</v>
      </c>
      <c r="L316" t="s">
        <v>34</v>
      </c>
      <c r="M316" t="str">
        <f t="shared" si="22"/>
        <v>19</v>
      </c>
      <c r="N316" t="str">
        <f t="shared" si="23"/>
        <v>06</v>
      </c>
      <c r="O316" t="str">
        <f t="shared" si="20"/>
        <v>2024</v>
      </c>
      <c r="P316" t="str">
        <f t="shared" si="24"/>
        <v>19-06-2024</v>
      </c>
    </row>
    <row r="317" spans="2:16" x14ac:dyDescent="0.3">
      <c r="B317" s="70">
        <v>45462</v>
      </c>
      <c r="C317" s="70">
        <f t="shared" si="21"/>
        <v>45444</v>
      </c>
      <c r="D317" s="94">
        <v>80.959999999999994</v>
      </c>
      <c r="E317" s="94">
        <v>0</v>
      </c>
      <c r="F317" s="92" t="s">
        <v>2856</v>
      </c>
      <c r="G317" s="75"/>
      <c r="H317" s="92" t="s">
        <v>3881</v>
      </c>
      <c r="I317" s="92" t="s">
        <v>3889</v>
      </c>
      <c r="K317" s="71" t="s">
        <v>217</v>
      </c>
      <c r="L317" t="s">
        <v>30</v>
      </c>
      <c r="M317" t="str">
        <f t="shared" si="22"/>
        <v>19</v>
      </c>
      <c r="N317" t="str">
        <f t="shared" si="23"/>
        <v>06</v>
      </c>
      <c r="O317" t="str">
        <f t="shared" si="20"/>
        <v>2024</v>
      </c>
      <c r="P317" t="str">
        <f t="shared" si="24"/>
        <v>19-06-2024</v>
      </c>
    </row>
    <row r="318" spans="2:16" x14ac:dyDescent="0.3">
      <c r="B318" s="70">
        <v>45463</v>
      </c>
      <c r="C318" s="70">
        <f t="shared" si="21"/>
        <v>45444</v>
      </c>
      <c r="D318" s="94">
        <v>0</v>
      </c>
      <c r="E318" s="94">
        <v>571.07000000000005</v>
      </c>
      <c r="F318" s="92" t="s">
        <v>2857</v>
      </c>
      <c r="G318" s="75"/>
      <c r="H318" s="92" t="s">
        <v>3881</v>
      </c>
      <c r="I318" s="92" t="s">
        <v>3889</v>
      </c>
      <c r="K318" s="71" t="s">
        <v>217</v>
      </c>
      <c r="L318" t="s">
        <v>34</v>
      </c>
      <c r="M318" t="str">
        <f t="shared" si="22"/>
        <v>20</v>
      </c>
      <c r="N318" t="str">
        <f t="shared" si="23"/>
        <v>06</v>
      </c>
      <c r="O318" t="str">
        <f t="shared" si="20"/>
        <v>2024</v>
      </c>
      <c r="P318" t="str">
        <f t="shared" si="24"/>
        <v>20-06-2024</v>
      </c>
    </row>
    <row r="319" spans="2:16" x14ac:dyDescent="0.3">
      <c r="B319" s="70">
        <v>45463</v>
      </c>
      <c r="C319" s="70">
        <f t="shared" si="21"/>
        <v>45444</v>
      </c>
      <c r="D319" s="94">
        <v>81.33</v>
      </c>
      <c r="E319" s="94">
        <v>0</v>
      </c>
      <c r="F319" s="92" t="s">
        <v>2858</v>
      </c>
      <c r="G319" s="75"/>
      <c r="H319" s="92" t="s">
        <v>3881</v>
      </c>
      <c r="I319" s="92" t="s">
        <v>3889</v>
      </c>
      <c r="K319" s="71" t="s">
        <v>217</v>
      </c>
      <c r="L319" t="s">
        <v>30</v>
      </c>
      <c r="M319" t="str">
        <f t="shared" si="22"/>
        <v>20</v>
      </c>
      <c r="N319" t="str">
        <f t="shared" si="23"/>
        <v>06</v>
      </c>
      <c r="O319" t="str">
        <f t="shared" si="20"/>
        <v>2024</v>
      </c>
      <c r="P319" t="str">
        <f t="shared" si="24"/>
        <v>20-06-2024</v>
      </c>
    </row>
    <row r="320" spans="2:16" x14ac:dyDescent="0.3">
      <c r="B320" s="70">
        <v>45463</v>
      </c>
      <c r="C320" s="70">
        <f t="shared" si="21"/>
        <v>45444</v>
      </c>
      <c r="D320" s="94">
        <v>2.36</v>
      </c>
      <c r="E320" s="94">
        <v>0</v>
      </c>
      <c r="F320" s="92" t="s">
        <v>2859</v>
      </c>
      <c r="G320" s="75"/>
      <c r="H320" s="92" t="s">
        <v>221</v>
      </c>
      <c r="I320" s="92" t="s">
        <v>3889</v>
      </c>
      <c r="K320" s="71" t="s">
        <v>221</v>
      </c>
      <c r="L320" t="s">
        <v>193</v>
      </c>
      <c r="M320" t="str">
        <f t="shared" si="22"/>
        <v>20</v>
      </c>
      <c r="N320" t="str">
        <f t="shared" si="23"/>
        <v>06</v>
      </c>
      <c r="O320" t="str">
        <f t="shared" si="20"/>
        <v>2024</v>
      </c>
      <c r="P320" t="str">
        <f t="shared" si="24"/>
        <v>20-06-2024</v>
      </c>
    </row>
    <row r="321" spans="2:16" x14ac:dyDescent="0.3">
      <c r="B321" s="70">
        <v>45463</v>
      </c>
      <c r="C321" s="70">
        <f t="shared" si="21"/>
        <v>45444</v>
      </c>
      <c r="D321" s="94">
        <v>274.02999999999997</v>
      </c>
      <c r="E321" s="94">
        <v>0</v>
      </c>
      <c r="F321" s="92" t="s">
        <v>2858</v>
      </c>
      <c r="G321" s="75"/>
      <c r="H321" s="92" t="s">
        <v>3881</v>
      </c>
      <c r="I321" s="92" t="s">
        <v>3889</v>
      </c>
      <c r="K321" s="71" t="s">
        <v>217</v>
      </c>
      <c r="L321" t="s">
        <v>30</v>
      </c>
      <c r="M321" t="str">
        <f t="shared" si="22"/>
        <v>20</v>
      </c>
      <c r="N321" t="str">
        <f t="shared" si="23"/>
        <v>06</v>
      </c>
      <c r="O321" t="str">
        <f t="shared" si="20"/>
        <v>2024</v>
      </c>
      <c r="P321" t="str">
        <f t="shared" si="24"/>
        <v>20-06-2024</v>
      </c>
    </row>
    <row r="322" spans="2:16" x14ac:dyDescent="0.3">
      <c r="B322" s="70">
        <v>45464</v>
      </c>
      <c r="C322" s="70">
        <f t="shared" si="21"/>
        <v>45444</v>
      </c>
      <c r="D322" s="94">
        <v>81.44</v>
      </c>
      <c r="E322" s="94">
        <v>0</v>
      </c>
      <c r="F322" s="92" t="s">
        <v>2860</v>
      </c>
      <c r="G322" s="75"/>
      <c r="H322" s="92" t="s">
        <v>3881</v>
      </c>
      <c r="I322" s="92" t="s">
        <v>3889</v>
      </c>
      <c r="K322" s="71" t="s">
        <v>217</v>
      </c>
      <c r="L322" t="s">
        <v>30</v>
      </c>
      <c r="M322" t="str">
        <f t="shared" si="22"/>
        <v>21</v>
      </c>
      <c r="N322" t="str">
        <f t="shared" si="23"/>
        <v>06</v>
      </c>
      <c r="O322" t="str">
        <f t="shared" si="20"/>
        <v>2024</v>
      </c>
      <c r="P322" t="str">
        <f t="shared" si="24"/>
        <v>21-06-2024</v>
      </c>
    </row>
    <row r="323" spans="2:16" x14ac:dyDescent="0.3">
      <c r="B323" s="70">
        <v>45465</v>
      </c>
      <c r="C323" s="70">
        <f t="shared" si="21"/>
        <v>45444</v>
      </c>
      <c r="D323" s="94">
        <v>148</v>
      </c>
      <c r="E323" s="94">
        <v>0</v>
      </c>
      <c r="F323" s="92" t="s">
        <v>2861</v>
      </c>
      <c r="G323" s="75"/>
      <c r="H323" s="92" t="s">
        <v>589</v>
      </c>
      <c r="I323" s="92" t="s">
        <v>3892</v>
      </c>
      <c r="K323" s="71" t="s">
        <v>511</v>
      </c>
      <c r="L323" t="s">
        <v>475</v>
      </c>
      <c r="M323" t="str">
        <f t="shared" si="22"/>
        <v>22</v>
      </c>
      <c r="N323" t="str">
        <f t="shared" si="23"/>
        <v>06</v>
      </c>
      <c r="O323" t="str">
        <f t="shared" ref="O323:O386" si="25">TEXT(B323,"YYYY")</f>
        <v>2024</v>
      </c>
      <c r="P323" t="str">
        <f t="shared" si="24"/>
        <v>22-06-2024</v>
      </c>
    </row>
    <row r="324" spans="2:16" x14ac:dyDescent="0.3">
      <c r="B324" s="70">
        <v>45465</v>
      </c>
      <c r="C324" s="70">
        <f t="shared" ref="C324:C387" si="26">EOMONTH(B324,-1)+1</f>
        <v>45444</v>
      </c>
      <c r="D324" s="94">
        <v>20</v>
      </c>
      <c r="E324" s="94">
        <v>0</v>
      </c>
      <c r="F324" s="92" t="s">
        <v>2862</v>
      </c>
      <c r="G324" s="75"/>
      <c r="H324" s="92" t="s">
        <v>589</v>
      </c>
      <c r="I324" s="92" t="s">
        <v>3892</v>
      </c>
      <c r="K324" s="71" t="s">
        <v>511</v>
      </c>
      <c r="L324" t="s">
        <v>477</v>
      </c>
      <c r="M324" t="str">
        <f t="shared" ref="M324:M387" si="27">TEXT(B324,"DD")</f>
        <v>22</v>
      </c>
      <c r="N324" t="str">
        <f t="shared" ref="N324:N387" si="28">TEXT(B324,"MM")</f>
        <v>06</v>
      </c>
      <c r="O324" t="str">
        <f t="shared" si="25"/>
        <v>2024</v>
      </c>
      <c r="P324" t="str">
        <f t="shared" ref="P324:P387" si="29">M324&amp;"-"&amp;N324&amp;"-"&amp;O324</f>
        <v>22-06-2024</v>
      </c>
    </row>
    <row r="325" spans="2:16" x14ac:dyDescent="0.3">
      <c r="B325" s="70">
        <v>45466</v>
      </c>
      <c r="C325" s="70">
        <f t="shared" si="26"/>
        <v>45444</v>
      </c>
      <c r="D325" s="94">
        <v>102</v>
      </c>
      <c r="E325" s="94">
        <v>0</v>
      </c>
      <c r="F325" s="92" t="s">
        <v>2863</v>
      </c>
      <c r="G325" s="75"/>
      <c r="H325" s="92" t="s">
        <v>589</v>
      </c>
      <c r="I325" s="92" t="s">
        <v>3892</v>
      </c>
      <c r="K325" s="71" t="s">
        <v>511</v>
      </c>
      <c r="L325" t="s">
        <v>479</v>
      </c>
      <c r="M325" t="str">
        <f t="shared" si="27"/>
        <v>23</v>
      </c>
      <c r="N325" t="str">
        <f t="shared" si="28"/>
        <v>06</v>
      </c>
      <c r="O325" t="str">
        <f t="shared" si="25"/>
        <v>2024</v>
      </c>
      <c r="P325" t="str">
        <f t="shared" si="29"/>
        <v>23-06-2024</v>
      </c>
    </row>
    <row r="326" spans="2:16" x14ac:dyDescent="0.3">
      <c r="B326" s="70">
        <v>45467</v>
      </c>
      <c r="C326" s="70">
        <f t="shared" si="26"/>
        <v>45444</v>
      </c>
      <c r="D326" s="94">
        <v>0</v>
      </c>
      <c r="E326" s="94">
        <v>242.1</v>
      </c>
      <c r="F326" s="92" t="s">
        <v>2864</v>
      </c>
      <c r="G326" s="75"/>
      <c r="H326" s="92" t="s">
        <v>3881</v>
      </c>
      <c r="I326" s="92" t="s">
        <v>3889</v>
      </c>
      <c r="K326" s="71" t="s">
        <v>217</v>
      </c>
      <c r="L326" t="s">
        <v>34</v>
      </c>
      <c r="M326" t="str">
        <f t="shared" si="27"/>
        <v>24</v>
      </c>
      <c r="N326" t="str">
        <f t="shared" si="28"/>
        <v>06</v>
      </c>
      <c r="O326" t="str">
        <f t="shared" si="25"/>
        <v>2024</v>
      </c>
      <c r="P326" t="str">
        <f t="shared" si="29"/>
        <v>24-06-2024</v>
      </c>
    </row>
    <row r="327" spans="2:16" x14ac:dyDescent="0.3">
      <c r="B327" s="70">
        <v>45467</v>
      </c>
      <c r="C327" s="70">
        <f t="shared" si="26"/>
        <v>45444</v>
      </c>
      <c r="D327" s="94">
        <v>244.32</v>
      </c>
      <c r="E327" s="94">
        <v>0</v>
      </c>
      <c r="F327" s="92" t="s">
        <v>2865</v>
      </c>
      <c r="G327" s="75"/>
      <c r="H327" s="92" t="s">
        <v>3881</v>
      </c>
      <c r="I327" s="92" t="s">
        <v>3889</v>
      </c>
      <c r="K327" s="71" t="s">
        <v>217</v>
      </c>
      <c r="L327" t="s">
        <v>30</v>
      </c>
      <c r="M327" t="str">
        <f t="shared" si="27"/>
        <v>24</v>
      </c>
      <c r="N327" t="str">
        <f t="shared" si="28"/>
        <v>06</v>
      </c>
      <c r="O327" t="str">
        <f t="shared" si="25"/>
        <v>2024</v>
      </c>
      <c r="P327" t="str">
        <f t="shared" si="29"/>
        <v>24-06-2024</v>
      </c>
    </row>
    <row r="328" spans="2:16" x14ac:dyDescent="0.3">
      <c r="B328" s="70">
        <v>45467</v>
      </c>
      <c r="C328" s="70">
        <f t="shared" si="26"/>
        <v>45444</v>
      </c>
      <c r="D328" s="94">
        <v>1211.01</v>
      </c>
      <c r="E328" s="94">
        <v>0</v>
      </c>
      <c r="F328" s="92" t="s">
        <v>2865</v>
      </c>
      <c r="G328" s="75"/>
      <c r="H328" s="92" t="s">
        <v>3881</v>
      </c>
      <c r="I328" s="92" t="s">
        <v>3889</v>
      </c>
      <c r="K328" s="71" t="s">
        <v>217</v>
      </c>
      <c r="L328" t="s">
        <v>30</v>
      </c>
      <c r="M328" t="str">
        <f t="shared" si="27"/>
        <v>24</v>
      </c>
      <c r="N328" t="str">
        <f t="shared" si="28"/>
        <v>06</v>
      </c>
      <c r="O328" t="str">
        <f t="shared" si="25"/>
        <v>2024</v>
      </c>
      <c r="P328" t="str">
        <f t="shared" si="29"/>
        <v>24-06-2024</v>
      </c>
    </row>
    <row r="329" spans="2:16" x14ac:dyDescent="0.3">
      <c r="B329" s="70">
        <v>45468</v>
      </c>
      <c r="C329" s="70">
        <f t="shared" si="26"/>
        <v>45444</v>
      </c>
      <c r="D329" s="94">
        <v>81.09</v>
      </c>
      <c r="E329" s="94">
        <v>0</v>
      </c>
      <c r="F329" s="92" t="s">
        <v>2866</v>
      </c>
      <c r="G329" s="75"/>
      <c r="H329" s="92" t="s">
        <v>3881</v>
      </c>
      <c r="I329" s="92" t="s">
        <v>3889</v>
      </c>
      <c r="K329" s="71" t="s">
        <v>217</v>
      </c>
      <c r="L329" t="s">
        <v>30</v>
      </c>
      <c r="M329" t="str">
        <f t="shared" si="27"/>
        <v>25</v>
      </c>
      <c r="N329" t="str">
        <f t="shared" si="28"/>
        <v>06</v>
      </c>
      <c r="O329" t="str">
        <f t="shared" si="25"/>
        <v>2024</v>
      </c>
      <c r="P329" t="str">
        <f t="shared" si="29"/>
        <v>25-06-2024</v>
      </c>
    </row>
    <row r="330" spans="2:16" x14ac:dyDescent="0.3">
      <c r="B330" s="70">
        <v>45468</v>
      </c>
      <c r="C330" s="70">
        <f t="shared" si="26"/>
        <v>45444</v>
      </c>
      <c r="D330" s="94">
        <v>258</v>
      </c>
      <c r="E330" s="94">
        <v>0</v>
      </c>
      <c r="F330" s="92" t="s">
        <v>2867</v>
      </c>
      <c r="G330" s="75"/>
      <c r="H330" s="92" t="s">
        <v>589</v>
      </c>
      <c r="I330" s="92" t="s">
        <v>3893</v>
      </c>
      <c r="K330" s="71" t="s">
        <v>589</v>
      </c>
      <c r="L330" t="s">
        <v>585</v>
      </c>
      <c r="M330" t="str">
        <f t="shared" si="27"/>
        <v>25</v>
      </c>
      <c r="N330" t="str">
        <f t="shared" si="28"/>
        <v>06</v>
      </c>
      <c r="O330" t="str">
        <f t="shared" si="25"/>
        <v>2024</v>
      </c>
      <c r="P330" t="str">
        <f t="shared" si="29"/>
        <v>25-06-2024</v>
      </c>
    </row>
    <row r="331" spans="2:16" x14ac:dyDescent="0.3">
      <c r="B331" s="70">
        <v>45468</v>
      </c>
      <c r="C331" s="70">
        <f t="shared" si="26"/>
        <v>45444</v>
      </c>
      <c r="D331" s="94">
        <v>0</v>
      </c>
      <c r="E331" s="94">
        <v>441</v>
      </c>
      <c r="F331" s="92" t="s">
        <v>2868</v>
      </c>
      <c r="G331" s="92" t="s">
        <v>753</v>
      </c>
      <c r="H331" s="92" t="s">
        <v>227</v>
      </c>
      <c r="I331" s="92" t="s">
        <v>3893</v>
      </c>
      <c r="K331" s="71" t="s">
        <v>227</v>
      </c>
      <c r="L331" t="s">
        <v>586</v>
      </c>
      <c r="M331" t="str">
        <f t="shared" si="27"/>
        <v>25</v>
      </c>
      <c r="N331" t="str">
        <f t="shared" si="28"/>
        <v>06</v>
      </c>
      <c r="O331" t="str">
        <f t="shared" si="25"/>
        <v>2024</v>
      </c>
      <c r="P331" t="str">
        <f t="shared" si="29"/>
        <v>25-06-2024</v>
      </c>
    </row>
    <row r="332" spans="2:16" x14ac:dyDescent="0.3">
      <c r="B332" s="70">
        <v>45468</v>
      </c>
      <c r="C332" s="70">
        <f t="shared" si="26"/>
        <v>45444</v>
      </c>
      <c r="D332" s="94">
        <v>20</v>
      </c>
      <c r="E332" s="94">
        <v>0</v>
      </c>
      <c r="F332" s="92" t="s">
        <v>2869</v>
      </c>
      <c r="G332" s="75"/>
      <c r="H332" s="92" t="s">
        <v>589</v>
      </c>
      <c r="I332" s="92" t="s">
        <v>3892</v>
      </c>
      <c r="K332" s="71" t="s">
        <v>511</v>
      </c>
      <c r="L332" t="s">
        <v>481</v>
      </c>
      <c r="M332" t="str">
        <f t="shared" si="27"/>
        <v>25</v>
      </c>
      <c r="N332" t="str">
        <f t="shared" si="28"/>
        <v>06</v>
      </c>
      <c r="O332" t="str">
        <f t="shared" si="25"/>
        <v>2024</v>
      </c>
      <c r="P332" t="str">
        <f t="shared" si="29"/>
        <v>25-06-2024</v>
      </c>
    </row>
    <row r="333" spans="2:16" x14ac:dyDescent="0.3">
      <c r="B333" s="70">
        <v>45468</v>
      </c>
      <c r="C333" s="70">
        <f t="shared" si="26"/>
        <v>45444</v>
      </c>
      <c r="D333" s="94">
        <v>30</v>
      </c>
      <c r="E333" s="94">
        <v>0</v>
      </c>
      <c r="F333" s="92" t="s">
        <v>2870</v>
      </c>
      <c r="G333" s="75"/>
      <c r="H333" s="92" t="s">
        <v>589</v>
      </c>
      <c r="I333" s="92" t="s">
        <v>3892</v>
      </c>
      <c r="K333" s="71" t="s">
        <v>511</v>
      </c>
      <c r="L333" t="s">
        <v>483</v>
      </c>
      <c r="M333" t="str">
        <f t="shared" si="27"/>
        <v>25</v>
      </c>
      <c r="N333" t="str">
        <f t="shared" si="28"/>
        <v>06</v>
      </c>
      <c r="O333" t="str">
        <f t="shared" si="25"/>
        <v>2024</v>
      </c>
      <c r="P333" t="str">
        <f t="shared" si="29"/>
        <v>25-06-2024</v>
      </c>
    </row>
    <row r="334" spans="2:16" x14ac:dyDescent="0.3">
      <c r="B334" s="70">
        <v>45469</v>
      </c>
      <c r="C334" s="70">
        <f t="shared" si="26"/>
        <v>45444</v>
      </c>
      <c r="D334" s="94">
        <v>0</v>
      </c>
      <c r="E334" s="94">
        <v>1667.68</v>
      </c>
      <c r="F334" s="92" t="s">
        <v>2871</v>
      </c>
      <c r="G334" s="75"/>
      <c r="H334" s="92" t="s">
        <v>3881</v>
      </c>
      <c r="I334" s="92" t="s">
        <v>3889</v>
      </c>
      <c r="K334" s="71" t="s">
        <v>217</v>
      </c>
      <c r="L334" t="s">
        <v>34</v>
      </c>
      <c r="M334" t="str">
        <f t="shared" si="27"/>
        <v>26</v>
      </c>
      <c r="N334" t="str">
        <f t="shared" si="28"/>
        <v>06</v>
      </c>
      <c r="O334" t="str">
        <f t="shared" si="25"/>
        <v>2024</v>
      </c>
      <c r="P334" t="str">
        <f t="shared" si="29"/>
        <v>26-06-2024</v>
      </c>
    </row>
    <row r="335" spans="2:16" x14ac:dyDescent="0.3">
      <c r="B335" s="70">
        <v>45469</v>
      </c>
      <c r="C335" s="70">
        <f t="shared" si="26"/>
        <v>45444</v>
      </c>
      <c r="D335" s="94">
        <v>0</v>
      </c>
      <c r="E335" s="94">
        <v>21600.85</v>
      </c>
      <c r="F335" s="92" t="s">
        <v>2871</v>
      </c>
      <c r="G335" s="75"/>
      <c r="H335" s="92" t="s">
        <v>3881</v>
      </c>
      <c r="I335" s="92" t="s">
        <v>3889</v>
      </c>
      <c r="K335" s="71" t="s">
        <v>217</v>
      </c>
      <c r="L335" t="s">
        <v>34</v>
      </c>
      <c r="M335" t="str">
        <f t="shared" si="27"/>
        <v>26</v>
      </c>
      <c r="N335" t="str">
        <f t="shared" si="28"/>
        <v>06</v>
      </c>
      <c r="O335" t="str">
        <f t="shared" si="25"/>
        <v>2024</v>
      </c>
      <c r="P335" t="str">
        <f t="shared" si="29"/>
        <v>26-06-2024</v>
      </c>
    </row>
    <row r="336" spans="2:16" x14ac:dyDescent="0.3">
      <c r="B336" s="70">
        <v>45469</v>
      </c>
      <c r="C336" s="70">
        <f t="shared" si="26"/>
        <v>45444</v>
      </c>
      <c r="D336" s="94">
        <v>0</v>
      </c>
      <c r="E336" s="94">
        <v>160</v>
      </c>
      <c r="F336" s="92" t="s">
        <v>2872</v>
      </c>
      <c r="G336" s="75" t="s">
        <v>3909</v>
      </c>
      <c r="H336" s="92" t="s">
        <v>218</v>
      </c>
      <c r="I336" s="92" t="s">
        <v>3889</v>
      </c>
      <c r="K336" s="71" t="s">
        <v>218</v>
      </c>
      <c r="L336" t="s">
        <v>203</v>
      </c>
      <c r="M336" t="str">
        <f t="shared" si="27"/>
        <v>26</v>
      </c>
      <c r="N336" t="str">
        <f t="shared" si="28"/>
        <v>06</v>
      </c>
      <c r="O336" t="str">
        <f t="shared" si="25"/>
        <v>2024</v>
      </c>
      <c r="P336" t="str">
        <f t="shared" si="29"/>
        <v>26-06-2024</v>
      </c>
    </row>
    <row r="337" spans="2:16" x14ac:dyDescent="0.3">
      <c r="B337" s="70">
        <v>45469</v>
      </c>
      <c r="C337" s="70">
        <f t="shared" si="26"/>
        <v>45444</v>
      </c>
      <c r="D337" s="94">
        <v>81.09</v>
      </c>
      <c r="E337" s="94">
        <v>0</v>
      </c>
      <c r="F337" s="92" t="s">
        <v>2873</v>
      </c>
      <c r="G337" s="75"/>
      <c r="H337" s="92" t="s">
        <v>3881</v>
      </c>
      <c r="I337" s="92" t="s">
        <v>3889</v>
      </c>
      <c r="K337" s="71" t="s">
        <v>217</v>
      </c>
      <c r="L337" t="s">
        <v>30</v>
      </c>
      <c r="M337" t="str">
        <f t="shared" si="27"/>
        <v>26</v>
      </c>
      <c r="N337" t="str">
        <f t="shared" si="28"/>
        <v>06</v>
      </c>
      <c r="O337" t="str">
        <f t="shared" si="25"/>
        <v>2024</v>
      </c>
      <c r="P337" t="str">
        <f t="shared" si="29"/>
        <v>26-06-2024</v>
      </c>
    </row>
    <row r="338" spans="2:16" x14ac:dyDescent="0.3">
      <c r="B338" s="70">
        <v>45469</v>
      </c>
      <c r="C338" s="70">
        <f t="shared" si="26"/>
        <v>45444</v>
      </c>
      <c r="D338" s="94">
        <v>31.18</v>
      </c>
      <c r="E338" s="94">
        <v>0</v>
      </c>
      <c r="F338" s="92" t="s">
        <v>2873</v>
      </c>
      <c r="G338" s="75"/>
      <c r="H338" s="92" t="s">
        <v>3881</v>
      </c>
      <c r="I338" s="92" t="s">
        <v>3889</v>
      </c>
      <c r="K338" s="71" t="s">
        <v>217</v>
      </c>
      <c r="L338" t="s">
        <v>30</v>
      </c>
      <c r="M338" t="str">
        <f t="shared" si="27"/>
        <v>26</v>
      </c>
      <c r="N338" t="str">
        <f t="shared" si="28"/>
        <v>06</v>
      </c>
      <c r="O338" t="str">
        <f t="shared" si="25"/>
        <v>2024</v>
      </c>
      <c r="P338" t="str">
        <f t="shared" si="29"/>
        <v>26-06-2024</v>
      </c>
    </row>
    <row r="339" spans="2:16" x14ac:dyDescent="0.3">
      <c r="B339" s="70">
        <v>45469</v>
      </c>
      <c r="C339" s="70">
        <f t="shared" si="26"/>
        <v>45444</v>
      </c>
      <c r="D339" s="94">
        <v>25</v>
      </c>
      <c r="E339" s="94">
        <v>0</v>
      </c>
      <c r="F339" s="92" t="s">
        <v>2874</v>
      </c>
      <c r="G339" s="75"/>
      <c r="H339" s="92" t="s">
        <v>589</v>
      </c>
      <c r="I339" s="92" t="s">
        <v>3892</v>
      </c>
      <c r="K339" s="71" t="s">
        <v>511</v>
      </c>
      <c r="L339" t="s">
        <v>485</v>
      </c>
      <c r="M339" t="str">
        <f t="shared" si="27"/>
        <v>26</v>
      </c>
      <c r="N339" t="str">
        <f t="shared" si="28"/>
        <v>06</v>
      </c>
      <c r="O339" t="str">
        <f t="shared" si="25"/>
        <v>2024</v>
      </c>
      <c r="P339" t="str">
        <f t="shared" si="29"/>
        <v>26-06-2024</v>
      </c>
    </row>
    <row r="340" spans="2:16" x14ac:dyDescent="0.3">
      <c r="B340" s="70">
        <v>45470</v>
      </c>
      <c r="C340" s="70">
        <f t="shared" si="26"/>
        <v>45444</v>
      </c>
      <c r="D340" s="94">
        <v>0</v>
      </c>
      <c r="E340" s="94">
        <v>36739.339999999997</v>
      </c>
      <c r="F340" s="92" t="s">
        <v>2875</v>
      </c>
      <c r="G340" s="75"/>
      <c r="H340" s="92" t="s">
        <v>3881</v>
      </c>
      <c r="I340" s="92" t="s">
        <v>3889</v>
      </c>
      <c r="K340" s="71" t="s">
        <v>217</v>
      </c>
      <c r="L340" t="s">
        <v>34</v>
      </c>
      <c r="M340" t="str">
        <f t="shared" si="27"/>
        <v>27</v>
      </c>
      <c r="N340" t="str">
        <f t="shared" si="28"/>
        <v>06</v>
      </c>
      <c r="O340" t="str">
        <f t="shared" si="25"/>
        <v>2024</v>
      </c>
      <c r="P340" t="str">
        <f t="shared" si="29"/>
        <v>27-06-2024</v>
      </c>
    </row>
    <row r="341" spans="2:16" x14ac:dyDescent="0.3">
      <c r="B341" s="70">
        <v>45470</v>
      </c>
      <c r="C341" s="70">
        <f t="shared" si="26"/>
        <v>45444</v>
      </c>
      <c r="D341" s="94">
        <v>81.67</v>
      </c>
      <c r="E341" s="94">
        <v>0</v>
      </c>
      <c r="F341" s="92" t="s">
        <v>2876</v>
      </c>
      <c r="G341" s="75"/>
      <c r="H341" s="92" t="s">
        <v>3881</v>
      </c>
      <c r="I341" s="92" t="s">
        <v>3889</v>
      </c>
      <c r="K341" s="71" t="s">
        <v>217</v>
      </c>
      <c r="L341" t="s">
        <v>30</v>
      </c>
      <c r="M341" t="str">
        <f t="shared" si="27"/>
        <v>27</v>
      </c>
      <c r="N341" t="str">
        <f t="shared" si="28"/>
        <v>06</v>
      </c>
      <c r="O341" t="str">
        <f t="shared" si="25"/>
        <v>2024</v>
      </c>
      <c r="P341" t="str">
        <f t="shared" si="29"/>
        <v>27-06-2024</v>
      </c>
    </row>
    <row r="342" spans="2:16" x14ac:dyDescent="0.3">
      <c r="B342" s="70">
        <v>45470</v>
      </c>
      <c r="C342" s="70">
        <f t="shared" si="26"/>
        <v>45444</v>
      </c>
      <c r="D342" s="94">
        <v>869.16</v>
      </c>
      <c r="E342" s="94">
        <v>0</v>
      </c>
      <c r="F342" s="92" t="s">
        <v>2876</v>
      </c>
      <c r="G342" s="75"/>
      <c r="H342" s="92" t="s">
        <v>3881</v>
      </c>
      <c r="I342" s="92" t="s">
        <v>3889</v>
      </c>
      <c r="K342" s="71" t="s">
        <v>217</v>
      </c>
      <c r="L342" t="s">
        <v>30</v>
      </c>
      <c r="M342" t="str">
        <f t="shared" si="27"/>
        <v>27</v>
      </c>
      <c r="N342" t="str">
        <f t="shared" si="28"/>
        <v>06</v>
      </c>
      <c r="O342" t="str">
        <f t="shared" si="25"/>
        <v>2024</v>
      </c>
      <c r="P342" t="str">
        <f t="shared" si="29"/>
        <v>27-06-2024</v>
      </c>
    </row>
    <row r="343" spans="2:16" x14ac:dyDescent="0.3">
      <c r="B343" s="70">
        <v>45470</v>
      </c>
      <c r="C343" s="70">
        <f t="shared" si="26"/>
        <v>45444</v>
      </c>
      <c r="D343" s="94">
        <v>0</v>
      </c>
      <c r="E343" s="94">
        <v>67921</v>
      </c>
      <c r="F343" s="92" t="s">
        <v>2877</v>
      </c>
      <c r="G343" s="75"/>
      <c r="H343" s="92" t="s">
        <v>507</v>
      </c>
      <c r="I343" s="92" t="s">
        <v>3892</v>
      </c>
      <c r="K343" s="71" t="s">
        <v>507</v>
      </c>
      <c r="L343" t="s">
        <v>358</v>
      </c>
      <c r="M343" t="str">
        <f t="shared" si="27"/>
        <v>27</v>
      </c>
      <c r="N343" t="str">
        <f t="shared" si="28"/>
        <v>06</v>
      </c>
      <c r="O343" t="str">
        <f t="shared" si="25"/>
        <v>2024</v>
      </c>
      <c r="P343" t="str">
        <f t="shared" si="29"/>
        <v>27-06-2024</v>
      </c>
    </row>
    <row r="344" spans="2:16" x14ac:dyDescent="0.3">
      <c r="B344" s="70">
        <v>45470</v>
      </c>
      <c r="C344" s="70">
        <f t="shared" si="26"/>
        <v>45444</v>
      </c>
      <c r="D344" s="94">
        <v>40</v>
      </c>
      <c r="E344" s="94">
        <v>0</v>
      </c>
      <c r="F344" s="92" t="s">
        <v>2878</v>
      </c>
      <c r="G344" s="75"/>
      <c r="H344" s="92" t="s">
        <v>589</v>
      </c>
      <c r="I344" s="92" t="s">
        <v>3892</v>
      </c>
      <c r="K344" s="71" t="s">
        <v>511</v>
      </c>
      <c r="L344" t="s">
        <v>488</v>
      </c>
      <c r="M344" t="str">
        <f t="shared" si="27"/>
        <v>27</v>
      </c>
      <c r="N344" t="str">
        <f t="shared" si="28"/>
        <v>06</v>
      </c>
      <c r="O344" t="str">
        <f t="shared" si="25"/>
        <v>2024</v>
      </c>
      <c r="P344" t="str">
        <f t="shared" si="29"/>
        <v>27-06-2024</v>
      </c>
    </row>
    <row r="345" spans="2:16" x14ac:dyDescent="0.3">
      <c r="B345" s="70">
        <v>45471</v>
      </c>
      <c r="C345" s="70">
        <f t="shared" si="26"/>
        <v>45444</v>
      </c>
      <c r="D345" s="94">
        <v>5000</v>
      </c>
      <c r="E345" s="94">
        <v>0</v>
      </c>
      <c r="F345" s="92" t="s">
        <v>2879</v>
      </c>
      <c r="G345" s="75"/>
      <c r="H345" s="92" t="s">
        <v>2538</v>
      </c>
      <c r="I345" s="92" t="s">
        <v>3889</v>
      </c>
      <c r="K345" s="71" t="s">
        <v>219</v>
      </c>
      <c r="L345" t="s">
        <v>210</v>
      </c>
      <c r="M345" t="str">
        <f t="shared" si="27"/>
        <v>28</v>
      </c>
      <c r="N345" t="str">
        <f t="shared" si="28"/>
        <v>06</v>
      </c>
      <c r="O345" t="str">
        <f t="shared" si="25"/>
        <v>2024</v>
      </c>
      <c r="P345" t="str">
        <f t="shared" si="29"/>
        <v>28-06-2024</v>
      </c>
    </row>
    <row r="346" spans="2:16" x14ac:dyDescent="0.3">
      <c r="B346" s="70">
        <v>45471</v>
      </c>
      <c r="C346" s="70">
        <f t="shared" si="26"/>
        <v>45444</v>
      </c>
      <c r="D346" s="94">
        <v>0</v>
      </c>
      <c r="E346" s="94">
        <v>1800</v>
      </c>
      <c r="F346" s="92" t="s">
        <v>2880</v>
      </c>
      <c r="G346" s="75" t="s">
        <v>3910</v>
      </c>
      <c r="H346" s="92" t="s">
        <v>218</v>
      </c>
      <c r="I346" s="92" t="s">
        <v>3889</v>
      </c>
      <c r="K346" s="71" t="s">
        <v>218</v>
      </c>
      <c r="L346" t="s">
        <v>212</v>
      </c>
      <c r="M346" t="str">
        <f t="shared" si="27"/>
        <v>28</v>
      </c>
      <c r="N346" t="str">
        <f t="shared" si="28"/>
        <v>06</v>
      </c>
      <c r="O346" t="str">
        <f t="shared" si="25"/>
        <v>2024</v>
      </c>
      <c r="P346" t="str">
        <f t="shared" si="29"/>
        <v>28-06-2024</v>
      </c>
    </row>
    <row r="347" spans="2:16" x14ac:dyDescent="0.3">
      <c r="B347" s="70">
        <v>45471</v>
      </c>
      <c r="C347" s="70">
        <f t="shared" si="26"/>
        <v>45444</v>
      </c>
      <c r="D347" s="94">
        <v>81.36</v>
      </c>
      <c r="E347" s="94">
        <v>0</v>
      </c>
      <c r="F347" s="92" t="s">
        <v>2881</v>
      </c>
      <c r="G347" s="75"/>
      <c r="H347" s="92" t="s">
        <v>3881</v>
      </c>
      <c r="I347" s="92" t="s">
        <v>3889</v>
      </c>
      <c r="K347" s="71" t="s">
        <v>217</v>
      </c>
      <c r="L347" t="s">
        <v>30</v>
      </c>
      <c r="M347" t="str">
        <f t="shared" si="27"/>
        <v>28</v>
      </c>
      <c r="N347" t="str">
        <f t="shared" si="28"/>
        <v>06</v>
      </c>
      <c r="O347" t="str">
        <f t="shared" si="25"/>
        <v>2024</v>
      </c>
      <c r="P347" t="str">
        <f t="shared" si="29"/>
        <v>28-06-2024</v>
      </c>
    </row>
    <row r="348" spans="2:16" x14ac:dyDescent="0.3">
      <c r="B348" s="70">
        <v>45471</v>
      </c>
      <c r="C348" s="70">
        <f t="shared" si="26"/>
        <v>45444</v>
      </c>
      <c r="D348" s="94">
        <v>411.64</v>
      </c>
      <c r="E348" s="94">
        <v>0</v>
      </c>
      <c r="F348" s="92" t="s">
        <v>2881</v>
      </c>
      <c r="G348" s="75"/>
      <c r="H348" s="92" t="s">
        <v>3881</v>
      </c>
      <c r="I348" s="92" t="s">
        <v>3889</v>
      </c>
      <c r="K348" s="71" t="s">
        <v>217</v>
      </c>
      <c r="L348" t="s">
        <v>30</v>
      </c>
      <c r="M348" t="str">
        <f t="shared" si="27"/>
        <v>28</v>
      </c>
      <c r="N348" t="str">
        <f t="shared" si="28"/>
        <v>06</v>
      </c>
      <c r="O348" t="str">
        <f t="shared" si="25"/>
        <v>2024</v>
      </c>
      <c r="P348" t="str">
        <f t="shared" si="29"/>
        <v>28-06-2024</v>
      </c>
    </row>
    <row r="349" spans="2:16" x14ac:dyDescent="0.3">
      <c r="B349" s="70">
        <v>45471</v>
      </c>
      <c r="C349" s="70">
        <f t="shared" si="26"/>
        <v>45444</v>
      </c>
      <c r="D349" s="94">
        <v>0</v>
      </c>
      <c r="E349" s="94">
        <v>45</v>
      </c>
      <c r="F349" s="92" t="s">
        <v>2882</v>
      </c>
      <c r="G349" s="75" t="s">
        <v>3911</v>
      </c>
      <c r="H349" s="92" t="s">
        <v>218</v>
      </c>
      <c r="I349" s="92" t="s">
        <v>3893</v>
      </c>
      <c r="K349" s="71" t="s">
        <v>218</v>
      </c>
      <c r="L349" t="s">
        <v>587</v>
      </c>
      <c r="M349" t="str">
        <f t="shared" si="27"/>
        <v>28</v>
      </c>
      <c r="N349" t="str">
        <f t="shared" si="28"/>
        <v>06</v>
      </c>
      <c r="O349" t="str">
        <f t="shared" si="25"/>
        <v>2024</v>
      </c>
      <c r="P349" t="str">
        <f t="shared" si="29"/>
        <v>28-06-2024</v>
      </c>
    </row>
    <row r="350" spans="2:16" x14ac:dyDescent="0.3">
      <c r="B350" s="70">
        <v>45471</v>
      </c>
      <c r="C350" s="70">
        <f t="shared" si="26"/>
        <v>45444</v>
      </c>
      <c r="D350" s="94">
        <v>475</v>
      </c>
      <c r="E350" s="94">
        <v>0</v>
      </c>
      <c r="F350" s="92" t="s">
        <v>2883</v>
      </c>
      <c r="G350" s="75"/>
      <c r="H350" s="92" t="s">
        <v>589</v>
      </c>
      <c r="I350" s="92" t="s">
        <v>3892</v>
      </c>
      <c r="K350" s="71" t="s">
        <v>511</v>
      </c>
      <c r="L350" t="s">
        <v>490</v>
      </c>
      <c r="M350" t="str">
        <f t="shared" si="27"/>
        <v>28</v>
      </c>
      <c r="N350" t="str">
        <f t="shared" si="28"/>
        <v>06</v>
      </c>
      <c r="O350" t="str">
        <f t="shared" si="25"/>
        <v>2024</v>
      </c>
      <c r="P350" t="str">
        <f t="shared" si="29"/>
        <v>28-06-2024</v>
      </c>
    </row>
    <row r="351" spans="2:16" x14ac:dyDescent="0.3">
      <c r="B351" s="70">
        <v>45472</v>
      </c>
      <c r="C351" s="70">
        <f t="shared" si="26"/>
        <v>45444</v>
      </c>
      <c r="D351" s="94">
        <v>74</v>
      </c>
      <c r="E351" s="94">
        <v>0</v>
      </c>
      <c r="F351" s="92" t="s">
        <v>2884</v>
      </c>
      <c r="G351" s="75"/>
      <c r="H351" s="92" t="s">
        <v>589</v>
      </c>
      <c r="I351" s="92" t="s">
        <v>3892</v>
      </c>
      <c r="K351" s="71" t="s">
        <v>511</v>
      </c>
      <c r="L351" t="s">
        <v>492</v>
      </c>
      <c r="M351" t="str">
        <f t="shared" si="27"/>
        <v>29</v>
      </c>
      <c r="N351" t="str">
        <f t="shared" si="28"/>
        <v>06</v>
      </c>
      <c r="O351" t="str">
        <f t="shared" si="25"/>
        <v>2024</v>
      </c>
      <c r="P351" t="str">
        <f t="shared" si="29"/>
        <v>29-06-2024</v>
      </c>
    </row>
    <row r="352" spans="2:16" x14ac:dyDescent="0.3">
      <c r="B352" s="70">
        <v>45472</v>
      </c>
      <c r="C352" s="70">
        <f t="shared" si="26"/>
        <v>45444</v>
      </c>
      <c r="D352" s="94">
        <v>950</v>
      </c>
      <c r="E352" s="94">
        <v>0</v>
      </c>
      <c r="F352" s="92" t="s">
        <v>2885</v>
      </c>
      <c r="G352" s="75"/>
      <c r="H352" s="92" t="s">
        <v>589</v>
      </c>
      <c r="I352" s="92" t="s">
        <v>3892</v>
      </c>
      <c r="K352" s="71" t="s">
        <v>511</v>
      </c>
      <c r="L352" t="s">
        <v>494</v>
      </c>
      <c r="M352" t="str">
        <f t="shared" si="27"/>
        <v>29</v>
      </c>
      <c r="N352" t="str">
        <f t="shared" si="28"/>
        <v>06</v>
      </c>
      <c r="O352" t="str">
        <f t="shared" si="25"/>
        <v>2024</v>
      </c>
      <c r="P352" t="str">
        <f t="shared" si="29"/>
        <v>29-06-2024</v>
      </c>
    </row>
    <row r="353" spans="2:16" x14ac:dyDescent="0.3">
      <c r="B353" s="70">
        <v>45472</v>
      </c>
      <c r="C353" s="70">
        <f t="shared" si="26"/>
        <v>45444</v>
      </c>
      <c r="D353" s="94">
        <v>0</v>
      </c>
      <c r="E353" s="94">
        <v>500</v>
      </c>
      <c r="F353" s="92" t="s">
        <v>2886</v>
      </c>
      <c r="G353" s="75"/>
      <c r="H353" s="92" t="s">
        <v>589</v>
      </c>
      <c r="I353" s="92" t="s">
        <v>3892</v>
      </c>
      <c r="K353" s="71" t="s">
        <v>511</v>
      </c>
      <c r="L353" t="s">
        <v>496</v>
      </c>
      <c r="M353" t="str">
        <f t="shared" si="27"/>
        <v>29</v>
      </c>
      <c r="N353" t="str">
        <f t="shared" si="28"/>
        <v>06</v>
      </c>
      <c r="O353" t="str">
        <f t="shared" si="25"/>
        <v>2024</v>
      </c>
      <c r="P353" t="str">
        <f t="shared" si="29"/>
        <v>29-06-2024</v>
      </c>
    </row>
    <row r="354" spans="2:16" x14ac:dyDescent="0.3">
      <c r="B354" s="70">
        <v>45472</v>
      </c>
      <c r="C354" s="70">
        <f t="shared" si="26"/>
        <v>45444</v>
      </c>
      <c r="D354" s="94">
        <v>0</v>
      </c>
      <c r="E354" s="94">
        <v>27</v>
      </c>
      <c r="F354" s="92" t="s">
        <v>2887</v>
      </c>
      <c r="G354" s="75"/>
      <c r="H354" s="92" t="s">
        <v>589</v>
      </c>
      <c r="I354" s="92" t="s">
        <v>3892</v>
      </c>
      <c r="K354" s="71" t="s">
        <v>511</v>
      </c>
      <c r="L354" t="s">
        <v>498</v>
      </c>
      <c r="M354" t="str">
        <f t="shared" si="27"/>
        <v>29</v>
      </c>
      <c r="N354" t="str">
        <f t="shared" si="28"/>
        <v>06</v>
      </c>
      <c r="O354" t="str">
        <f t="shared" si="25"/>
        <v>2024</v>
      </c>
      <c r="P354" t="str">
        <f t="shared" si="29"/>
        <v>29-06-2024</v>
      </c>
    </row>
    <row r="355" spans="2:16" x14ac:dyDescent="0.3">
      <c r="B355" s="70">
        <v>45473</v>
      </c>
      <c r="C355" s="70">
        <f t="shared" si="26"/>
        <v>45444</v>
      </c>
      <c r="D355" s="94">
        <v>0</v>
      </c>
      <c r="E355" s="94">
        <v>389</v>
      </c>
      <c r="F355" s="92" t="s">
        <v>2888</v>
      </c>
      <c r="G355" s="92" t="s">
        <v>752</v>
      </c>
      <c r="H355" s="92" t="s">
        <v>227</v>
      </c>
      <c r="I355" s="92" t="s">
        <v>3889</v>
      </c>
      <c r="K355" s="71" t="s">
        <v>227</v>
      </c>
      <c r="L355" t="s">
        <v>216</v>
      </c>
      <c r="M355" t="str">
        <f t="shared" si="27"/>
        <v>30</v>
      </c>
      <c r="N355" t="str">
        <f t="shared" si="28"/>
        <v>06</v>
      </c>
      <c r="O355" t="str">
        <f t="shared" si="25"/>
        <v>2024</v>
      </c>
      <c r="P355" t="str">
        <f t="shared" si="29"/>
        <v>30-06-2024</v>
      </c>
    </row>
    <row r="356" spans="2:16" x14ac:dyDescent="0.3">
      <c r="B356" s="70">
        <v>45473</v>
      </c>
      <c r="C356" s="70">
        <f t="shared" si="26"/>
        <v>45444</v>
      </c>
      <c r="D356" s="94">
        <v>160</v>
      </c>
      <c r="E356" s="94">
        <v>0</v>
      </c>
      <c r="F356" s="92" t="s">
        <v>2889</v>
      </c>
      <c r="G356" s="75"/>
      <c r="H356" s="92" t="s">
        <v>589</v>
      </c>
      <c r="I356" s="92" t="s">
        <v>3892</v>
      </c>
      <c r="K356" s="71" t="s">
        <v>511</v>
      </c>
      <c r="L356" t="s">
        <v>500</v>
      </c>
      <c r="M356" t="str">
        <f t="shared" si="27"/>
        <v>30</v>
      </c>
      <c r="N356" t="str">
        <f t="shared" si="28"/>
        <v>06</v>
      </c>
      <c r="O356" t="str">
        <f t="shared" si="25"/>
        <v>2024</v>
      </c>
      <c r="P356" t="str">
        <f t="shared" si="29"/>
        <v>30-06-2024</v>
      </c>
    </row>
    <row r="357" spans="2:16" x14ac:dyDescent="0.3">
      <c r="B357" s="70">
        <v>45473</v>
      </c>
      <c r="C357" s="70">
        <f t="shared" si="26"/>
        <v>45444</v>
      </c>
      <c r="D357" s="94">
        <v>25</v>
      </c>
      <c r="E357" s="94">
        <v>0</v>
      </c>
      <c r="F357" s="92" t="s">
        <v>2890</v>
      </c>
      <c r="G357" s="75"/>
      <c r="H357" s="92" t="s">
        <v>589</v>
      </c>
      <c r="I357" s="92" t="s">
        <v>3892</v>
      </c>
      <c r="K357" s="71" t="s">
        <v>511</v>
      </c>
      <c r="L357" t="s">
        <v>502</v>
      </c>
      <c r="M357" t="str">
        <f t="shared" si="27"/>
        <v>30</v>
      </c>
      <c r="N357" t="str">
        <f t="shared" si="28"/>
        <v>06</v>
      </c>
      <c r="O357" t="str">
        <f t="shared" si="25"/>
        <v>2024</v>
      </c>
      <c r="P357" t="str">
        <f t="shared" si="29"/>
        <v>30-06-2024</v>
      </c>
    </row>
    <row r="358" spans="2:16" x14ac:dyDescent="0.3">
      <c r="B358" s="70">
        <v>45473</v>
      </c>
      <c r="C358" s="70">
        <f t="shared" si="26"/>
        <v>45444</v>
      </c>
      <c r="D358" s="94">
        <v>0</v>
      </c>
      <c r="E358" s="94">
        <v>188</v>
      </c>
      <c r="F358" s="92" t="s">
        <v>2891</v>
      </c>
      <c r="G358" s="92" t="s">
        <v>756</v>
      </c>
      <c r="H358" s="92" t="s">
        <v>227</v>
      </c>
      <c r="I358" s="92" t="s">
        <v>3892</v>
      </c>
      <c r="K358" s="71" t="s">
        <v>227</v>
      </c>
      <c r="L358" t="s">
        <v>504</v>
      </c>
      <c r="M358" t="str">
        <f t="shared" si="27"/>
        <v>30</v>
      </c>
      <c r="N358" t="str">
        <f t="shared" si="28"/>
        <v>06</v>
      </c>
      <c r="O358" t="str">
        <f t="shared" si="25"/>
        <v>2024</v>
      </c>
      <c r="P358" t="str">
        <f t="shared" si="29"/>
        <v>30-06-2024</v>
      </c>
    </row>
    <row r="359" spans="2:16" x14ac:dyDescent="0.3">
      <c r="B359" s="70">
        <v>45474</v>
      </c>
      <c r="C359" s="70">
        <f t="shared" si="26"/>
        <v>45474</v>
      </c>
      <c r="D359" s="94">
        <v>0</v>
      </c>
      <c r="E359" s="94">
        <v>126</v>
      </c>
      <c r="F359" s="92" t="s">
        <v>2892</v>
      </c>
      <c r="G359" s="92" t="s">
        <v>755</v>
      </c>
      <c r="H359" s="92" t="s">
        <v>227</v>
      </c>
      <c r="I359" s="92" t="s">
        <v>3890</v>
      </c>
      <c r="K359" s="71" t="s">
        <v>227</v>
      </c>
      <c r="L359" t="s">
        <v>805</v>
      </c>
      <c r="M359" t="str">
        <f t="shared" si="27"/>
        <v>01</v>
      </c>
      <c r="N359" t="str">
        <f t="shared" si="28"/>
        <v>07</v>
      </c>
      <c r="O359" t="str">
        <f t="shared" si="25"/>
        <v>2024</v>
      </c>
      <c r="P359" t="str">
        <f t="shared" si="29"/>
        <v>01-07-2024</v>
      </c>
    </row>
    <row r="360" spans="2:16" x14ac:dyDescent="0.3">
      <c r="B360" s="70">
        <v>45474</v>
      </c>
      <c r="C360" s="70">
        <f t="shared" si="26"/>
        <v>45474</v>
      </c>
      <c r="D360" s="94">
        <v>5000</v>
      </c>
      <c r="E360" s="94">
        <v>0</v>
      </c>
      <c r="F360" s="92" t="s">
        <v>2893</v>
      </c>
      <c r="G360" s="75"/>
      <c r="H360" s="92" t="s">
        <v>2538</v>
      </c>
      <c r="I360" s="92" t="s">
        <v>3889</v>
      </c>
      <c r="K360" s="71" t="s">
        <v>219</v>
      </c>
      <c r="L360" t="s">
        <v>809</v>
      </c>
      <c r="M360" t="str">
        <f t="shared" si="27"/>
        <v>01</v>
      </c>
      <c r="N360" t="str">
        <f t="shared" si="28"/>
        <v>07</v>
      </c>
      <c r="O360" t="str">
        <f t="shared" si="25"/>
        <v>2024</v>
      </c>
      <c r="P360" t="str">
        <f t="shared" si="29"/>
        <v>01-07-2024</v>
      </c>
    </row>
    <row r="361" spans="2:16" x14ac:dyDescent="0.3">
      <c r="B361" s="70">
        <v>45474</v>
      </c>
      <c r="C361" s="70">
        <f t="shared" si="26"/>
        <v>45474</v>
      </c>
      <c r="D361" s="94">
        <v>243.66</v>
      </c>
      <c r="E361" s="94">
        <v>0</v>
      </c>
      <c r="F361" s="92" t="s">
        <v>2894</v>
      </c>
      <c r="G361" s="75"/>
      <c r="H361" s="92" t="s">
        <v>3881</v>
      </c>
      <c r="I361" s="92" t="s">
        <v>3889</v>
      </c>
      <c r="K361" s="71" t="s">
        <v>217</v>
      </c>
      <c r="L361" t="s">
        <v>30</v>
      </c>
      <c r="M361" t="str">
        <f t="shared" si="27"/>
        <v>01</v>
      </c>
      <c r="N361" t="str">
        <f t="shared" si="28"/>
        <v>07</v>
      </c>
      <c r="O361" t="str">
        <f t="shared" si="25"/>
        <v>2024</v>
      </c>
      <c r="P361" t="str">
        <f t="shared" si="29"/>
        <v>01-07-2024</v>
      </c>
    </row>
    <row r="362" spans="2:16" x14ac:dyDescent="0.3">
      <c r="B362" s="70">
        <v>45474</v>
      </c>
      <c r="C362" s="70">
        <f t="shared" si="26"/>
        <v>45474</v>
      </c>
      <c r="D362" s="94">
        <v>0</v>
      </c>
      <c r="E362" s="94">
        <v>700</v>
      </c>
      <c r="F362" s="92" t="s">
        <v>2895</v>
      </c>
      <c r="G362" s="75" t="s">
        <v>3896</v>
      </c>
      <c r="H362" s="92" t="s">
        <v>218</v>
      </c>
      <c r="I362" s="92" t="s">
        <v>3889</v>
      </c>
      <c r="K362" s="71" t="s">
        <v>218</v>
      </c>
      <c r="L362" t="s">
        <v>812</v>
      </c>
      <c r="M362" t="str">
        <f t="shared" si="27"/>
        <v>01</v>
      </c>
      <c r="N362" t="str">
        <f t="shared" si="28"/>
        <v>07</v>
      </c>
      <c r="O362" t="str">
        <f t="shared" si="25"/>
        <v>2024</v>
      </c>
      <c r="P362" t="str">
        <f t="shared" si="29"/>
        <v>01-07-2024</v>
      </c>
    </row>
    <row r="363" spans="2:16" x14ac:dyDescent="0.3">
      <c r="B363" s="70">
        <v>45474</v>
      </c>
      <c r="C363" s="70">
        <f t="shared" si="26"/>
        <v>45474</v>
      </c>
      <c r="D363" s="94">
        <v>2000</v>
      </c>
      <c r="E363" s="94">
        <v>0</v>
      </c>
      <c r="F363" s="92" t="s">
        <v>2896</v>
      </c>
      <c r="G363" s="75"/>
      <c r="H363" s="92" t="s">
        <v>3877</v>
      </c>
      <c r="I363" s="92" t="s">
        <v>3889</v>
      </c>
      <c r="K363" s="71" t="s">
        <v>223</v>
      </c>
      <c r="L363" t="s">
        <v>814</v>
      </c>
      <c r="M363" t="str">
        <f t="shared" si="27"/>
        <v>01</v>
      </c>
      <c r="N363" t="str">
        <f t="shared" si="28"/>
        <v>07</v>
      </c>
      <c r="O363" t="str">
        <f t="shared" si="25"/>
        <v>2024</v>
      </c>
      <c r="P363" t="str">
        <f t="shared" si="29"/>
        <v>01-07-2024</v>
      </c>
    </row>
    <row r="364" spans="2:16" x14ac:dyDescent="0.3">
      <c r="B364" s="70">
        <v>45474</v>
      </c>
      <c r="C364" s="70">
        <f t="shared" si="26"/>
        <v>45474</v>
      </c>
      <c r="D364" s="94">
        <v>0</v>
      </c>
      <c r="E364" s="94">
        <v>1</v>
      </c>
      <c r="F364" s="92" t="s">
        <v>2897</v>
      </c>
      <c r="G364" s="92" t="s">
        <v>2573</v>
      </c>
      <c r="H364" s="92" t="s">
        <v>227</v>
      </c>
      <c r="I364" s="92" t="s">
        <v>3894</v>
      </c>
      <c r="K364" s="71" t="s">
        <v>227</v>
      </c>
      <c r="L364" t="s">
        <v>2563</v>
      </c>
      <c r="M364" t="str">
        <f t="shared" si="27"/>
        <v>01</v>
      </c>
      <c r="N364" t="str">
        <f t="shared" si="28"/>
        <v>07</v>
      </c>
      <c r="O364" t="str">
        <f t="shared" si="25"/>
        <v>2024</v>
      </c>
      <c r="P364" t="str">
        <f t="shared" si="29"/>
        <v>01-07-2024</v>
      </c>
    </row>
    <row r="365" spans="2:16" x14ac:dyDescent="0.3">
      <c r="B365" s="70">
        <v>45475</v>
      </c>
      <c r="C365" s="70">
        <f t="shared" si="26"/>
        <v>45474</v>
      </c>
      <c r="D365" s="94">
        <v>0</v>
      </c>
      <c r="E365" s="94">
        <v>1282.1500000000001</v>
      </c>
      <c r="F365" s="92" t="s">
        <v>2898</v>
      </c>
      <c r="G365" s="75"/>
      <c r="H365" s="92" t="s">
        <v>3881</v>
      </c>
      <c r="I365" s="92" t="s">
        <v>3889</v>
      </c>
      <c r="K365" s="71" t="s">
        <v>217</v>
      </c>
      <c r="L365" t="s">
        <v>34</v>
      </c>
      <c r="M365" t="str">
        <f t="shared" si="27"/>
        <v>02</v>
      </c>
      <c r="N365" t="str">
        <f t="shared" si="28"/>
        <v>07</v>
      </c>
      <c r="O365" t="str">
        <f t="shared" si="25"/>
        <v>2024</v>
      </c>
      <c r="P365" t="str">
        <f t="shared" si="29"/>
        <v>02-07-2024</v>
      </c>
    </row>
    <row r="366" spans="2:16" x14ac:dyDescent="0.3">
      <c r="B366" s="70">
        <v>45475</v>
      </c>
      <c r="C366" s="70">
        <f t="shared" si="26"/>
        <v>45474</v>
      </c>
      <c r="D366" s="94">
        <v>81.22</v>
      </c>
      <c r="E366" s="94">
        <v>0</v>
      </c>
      <c r="F366" s="92" t="s">
        <v>2899</v>
      </c>
      <c r="G366" s="75"/>
      <c r="H366" s="92" t="s">
        <v>3881</v>
      </c>
      <c r="I366" s="92" t="s">
        <v>3889</v>
      </c>
      <c r="K366" s="71" t="s">
        <v>217</v>
      </c>
      <c r="L366" t="s">
        <v>30</v>
      </c>
      <c r="M366" t="str">
        <f t="shared" si="27"/>
        <v>02</v>
      </c>
      <c r="N366" t="str">
        <f t="shared" si="28"/>
        <v>07</v>
      </c>
      <c r="O366" t="str">
        <f t="shared" si="25"/>
        <v>2024</v>
      </c>
      <c r="P366" t="str">
        <f t="shared" si="29"/>
        <v>02-07-2024</v>
      </c>
    </row>
    <row r="367" spans="2:16" x14ac:dyDescent="0.3">
      <c r="B367" s="70">
        <v>45475</v>
      </c>
      <c r="C367" s="70">
        <f t="shared" si="26"/>
        <v>45474</v>
      </c>
      <c r="D367" s="94">
        <v>0</v>
      </c>
      <c r="E367" s="94">
        <v>1400</v>
      </c>
      <c r="F367" s="92" t="s">
        <v>2900</v>
      </c>
      <c r="G367" s="75" t="s">
        <v>3898</v>
      </c>
      <c r="H367" s="92" t="s">
        <v>218</v>
      </c>
      <c r="I367" s="92" t="s">
        <v>3889</v>
      </c>
      <c r="K367" s="71" t="s">
        <v>218</v>
      </c>
      <c r="L367" t="s">
        <v>818</v>
      </c>
      <c r="M367" t="str">
        <f t="shared" si="27"/>
        <v>02</v>
      </c>
      <c r="N367" t="str">
        <f t="shared" si="28"/>
        <v>07</v>
      </c>
      <c r="O367" t="str">
        <f t="shared" si="25"/>
        <v>2024</v>
      </c>
      <c r="P367" t="str">
        <f t="shared" si="29"/>
        <v>02-07-2024</v>
      </c>
    </row>
    <row r="368" spans="2:16" x14ac:dyDescent="0.3">
      <c r="B368" s="70">
        <v>45475</v>
      </c>
      <c r="C368" s="70">
        <f t="shared" si="26"/>
        <v>45474</v>
      </c>
      <c r="D368" s="94">
        <v>560.69000000000005</v>
      </c>
      <c r="E368" s="94">
        <v>0</v>
      </c>
      <c r="F368" s="92" t="s">
        <v>2899</v>
      </c>
      <c r="G368" s="75"/>
      <c r="H368" s="92" t="s">
        <v>3881</v>
      </c>
      <c r="I368" s="92" t="s">
        <v>3889</v>
      </c>
      <c r="K368" s="71" t="s">
        <v>217</v>
      </c>
      <c r="L368" t="s">
        <v>30</v>
      </c>
      <c r="M368" t="str">
        <f t="shared" si="27"/>
        <v>02</v>
      </c>
      <c r="N368" t="str">
        <f t="shared" si="28"/>
        <v>07</v>
      </c>
      <c r="O368" t="str">
        <f t="shared" si="25"/>
        <v>2024</v>
      </c>
      <c r="P368" t="str">
        <f t="shared" si="29"/>
        <v>02-07-2024</v>
      </c>
    </row>
    <row r="369" spans="2:16" x14ac:dyDescent="0.3">
      <c r="B369" s="70">
        <v>45475</v>
      </c>
      <c r="C369" s="70">
        <f t="shared" si="26"/>
        <v>45474</v>
      </c>
      <c r="D369" s="94">
        <v>30</v>
      </c>
      <c r="E369" s="94">
        <v>0</v>
      </c>
      <c r="F369" s="92" t="s">
        <v>2901</v>
      </c>
      <c r="G369" s="75"/>
      <c r="H369" s="92" t="s">
        <v>589</v>
      </c>
      <c r="I369" s="92" t="s">
        <v>3892</v>
      </c>
      <c r="K369" s="71" t="s">
        <v>511</v>
      </c>
      <c r="L369" t="s">
        <v>1508</v>
      </c>
      <c r="M369" t="str">
        <f t="shared" si="27"/>
        <v>02</v>
      </c>
      <c r="N369" t="str">
        <f t="shared" si="28"/>
        <v>07</v>
      </c>
      <c r="O369" t="str">
        <f t="shared" si="25"/>
        <v>2024</v>
      </c>
      <c r="P369" t="str">
        <f t="shared" si="29"/>
        <v>02-07-2024</v>
      </c>
    </row>
    <row r="370" spans="2:16" x14ac:dyDescent="0.3">
      <c r="B370" s="70">
        <v>45476</v>
      </c>
      <c r="C370" s="70">
        <f t="shared" si="26"/>
        <v>45474</v>
      </c>
      <c r="D370" s="94">
        <v>81.48</v>
      </c>
      <c r="E370" s="94">
        <v>0</v>
      </c>
      <c r="F370" s="92" t="s">
        <v>2902</v>
      </c>
      <c r="G370" s="75"/>
      <c r="H370" s="92" t="s">
        <v>3881</v>
      </c>
      <c r="I370" s="92" t="s">
        <v>3889</v>
      </c>
      <c r="K370" s="71" t="s">
        <v>217</v>
      </c>
      <c r="L370" t="s">
        <v>30</v>
      </c>
      <c r="M370" t="str">
        <f t="shared" si="27"/>
        <v>03</v>
      </c>
      <c r="N370" t="str">
        <f t="shared" si="28"/>
        <v>07</v>
      </c>
      <c r="O370" t="str">
        <f t="shared" si="25"/>
        <v>2024</v>
      </c>
      <c r="P370" t="str">
        <f t="shared" si="29"/>
        <v>03-07-2024</v>
      </c>
    </row>
    <row r="371" spans="2:16" x14ac:dyDescent="0.3">
      <c r="B371" s="70">
        <v>45476</v>
      </c>
      <c r="C371" s="70">
        <f t="shared" si="26"/>
        <v>45474</v>
      </c>
      <c r="D371" s="94">
        <v>0</v>
      </c>
      <c r="E371" s="94">
        <v>11373.59</v>
      </c>
      <c r="F371" s="92" t="s">
        <v>2903</v>
      </c>
      <c r="G371" s="75"/>
      <c r="H371" s="92" t="s">
        <v>3888</v>
      </c>
      <c r="I371" s="92" t="s">
        <v>3893</v>
      </c>
      <c r="K371" s="71" t="s">
        <v>508</v>
      </c>
      <c r="L371" t="s">
        <v>1411</v>
      </c>
      <c r="M371" t="str">
        <f t="shared" si="27"/>
        <v>03</v>
      </c>
      <c r="N371" t="str">
        <f t="shared" si="28"/>
        <v>07</v>
      </c>
      <c r="O371" t="str">
        <f t="shared" si="25"/>
        <v>2024</v>
      </c>
      <c r="P371" t="str">
        <f t="shared" si="29"/>
        <v>03-07-2024</v>
      </c>
    </row>
    <row r="372" spans="2:16" x14ac:dyDescent="0.3">
      <c r="B372" s="70">
        <v>45477</v>
      </c>
      <c r="C372" s="70">
        <f t="shared" si="26"/>
        <v>45474</v>
      </c>
      <c r="D372" s="94">
        <v>0</v>
      </c>
      <c r="E372" s="94">
        <v>805.1</v>
      </c>
      <c r="F372" s="92" t="s">
        <v>2904</v>
      </c>
      <c r="G372" s="75"/>
      <c r="H372" s="92" t="s">
        <v>3881</v>
      </c>
      <c r="I372" s="92" t="s">
        <v>3889</v>
      </c>
      <c r="K372" s="71" t="s">
        <v>217</v>
      </c>
      <c r="L372" t="s">
        <v>34</v>
      </c>
      <c r="M372" t="str">
        <f t="shared" si="27"/>
        <v>04</v>
      </c>
      <c r="N372" t="str">
        <f t="shared" si="28"/>
        <v>07</v>
      </c>
      <c r="O372" t="str">
        <f t="shared" si="25"/>
        <v>2024</v>
      </c>
      <c r="P372" t="str">
        <f t="shared" si="29"/>
        <v>04-07-2024</v>
      </c>
    </row>
    <row r="373" spans="2:16" x14ac:dyDescent="0.3">
      <c r="B373" s="70">
        <v>45477</v>
      </c>
      <c r="C373" s="70">
        <f t="shared" si="26"/>
        <v>45474</v>
      </c>
      <c r="D373" s="94">
        <v>81.48</v>
      </c>
      <c r="E373" s="94">
        <v>0</v>
      </c>
      <c r="F373" s="92" t="s">
        <v>2905</v>
      </c>
      <c r="G373" s="75"/>
      <c r="H373" s="92" t="s">
        <v>3881</v>
      </c>
      <c r="I373" s="92" t="s">
        <v>3889</v>
      </c>
      <c r="K373" s="71" t="s">
        <v>217</v>
      </c>
      <c r="L373" t="s">
        <v>30</v>
      </c>
      <c r="M373" t="str">
        <f t="shared" si="27"/>
        <v>04</v>
      </c>
      <c r="N373" t="str">
        <f t="shared" si="28"/>
        <v>07</v>
      </c>
      <c r="O373" t="str">
        <f t="shared" si="25"/>
        <v>2024</v>
      </c>
      <c r="P373" t="str">
        <f t="shared" si="29"/>
        <v>04-07-2024</v>
      </c>
    </row>
    <row r="374" spans="2:16" x14ac:dyDescent="0.3">
      <c r="B374" s="70">
        <v>45477</v>
      </c>
      <c r="C374" s="70">
        <f t="shared" si="26"/>
        <v>45474</v>
      </c>
      <c r="D374" s="94">
        <v>0</v>
      </c>
      <c r="E374" s="94">
        <v>107.1</v>
      </c>
      <c r="F374" s="92" t="s">
        <v>2906</v>
      </c>
      <c r="G374" s="75" t="s">
        <v>3907</v>
      </c>
      <c r="H374" s="92" t="s">
        <v>218</v>
      </c>
      <c r="I374" s="92" t="s">
        <v>3889</v>
      </c>
      <c r="K374" s="71" t="s">
        <v>218</v>
      </c>
      <c r="L374" t="s">
        <v>824</v>
      </c>
      <c r="M374" t="str">
        <f t="shared" si="27"/>
        <v>04</v>
      </c>
      <c r="N374" t="str">
        <f t="shared" si="28"/>
        <v>07</v>
      </c>
      <c r="O374" t="str">
        <f t="shared" si="25"/>
        <v>2024</v>
      </c>
      <c r="P374" t="str">
        <f t="shared" si="29"/>
        <v>04-07-2024</v>
      </c>
    </row>
    <row r="375" spans="2:16" x14ac:dyDescent="0.3">
      <c r="B375" s="70">
        <v>45477</v>
      </c>
      <c r="C375" s="70">
        <f t="shared" si="26"/>
        <v>45474</v>
      </c>
      <c r="D375" s="94">
        <v>6954.22</v>
      </c>
      <c r="E375" s="94">
        <v>0</v>
      </c>
      <c r="F375" s="92" t="s">
        <v>2905</v>
      </c>
      <c r="G375" s="75"/>
      <c r="H375" s="92" t="s">
        <v>3881</v>
      </c>
      <c r="I375" s="92" t="s">
        <v>3889</v>
      </c>
      <c r="K375" s="71" t="s">
        <v>217</v>
      </c>
      <c r="L375" t="s">
        <v>30</v>
      </c>
      <c r="M375" t="str">
        <f t="shared" si="27"/>
        <v>04</v>
      </c>
      <c r="N375" t="str">
        <f t="shared" si="28"/>
        <v>07</v>
      </c>
      <c r="O375" t="str">
        <f t="shared" si="25"/>
        <v>2024</v>
      </c>
      <c r="P375" t="str">
        <f t="shared" si="29"/>
        <v>04-07-2024</v>
      </c>
    </row>
    <row r="376" spans="2:16" x14ac:dyDescent="0.3">
      <c r="B376" s="70">
        <v>45477</v>
      </c>
      <c r="C376" s="70">
        <f t="shared" si="26"/>
        <v>45474</v>
      </c>
      <c r="D376" s="94">
        <v>83</v>
      </c>
      <c r="E376" s="94">
        <v>0</v>
      </c>
      <c r="F376" s="92" t="s">
        <v>2907</v>
      </c>
      <c r="G376" s="75"/>
      <c r="H376" s="92" t="s">
        <v>589</v>
      </c>
      <c r="I376" s="92" t="s">
        <v>3892</v>
      </c>
      <c r="K376" s="71" t="s">
        <v>511</v>
      </c>
      <c r="L376" t="s">
        <v>1510</v>
      </c>
      <c r="M376" t="str">
        <f t="shared" si="27"/>
        <v>04</v>
      </c>
      <c r="N376" t="str">
        <f t="shared" si="28"/>
        <v>07</v>
      </c>
      <c r="O376" t="str">
        <f t="shared" si="25"/>
        <v>2024</v>
      </c>
      <c r="P376" t="str">
        <f t="shared" si="29"/>
        <v>04-07-2024</v>
      </c>
    </row>
    <row r="377" spans="2:16" x14ac:dyDescent="0.3">
      <c r="B377" s="70">
        <v>45477</v>
      </c>
      <c r="C377" s="70">
        <f t="shared" si="26"/>
        <v>45474</v>
      </c>
      <c r="D377" s="94">
        <v>40</v>
      </c>
      <c r="E377" s="94">
        <v>0</v>
      </c>
      <c r="F377" s="92" t="s">
        <v>2908</v>
      </c>
      <c r="G377" s="75"/>
      <c r="H377" s="92" t="s">
        <v>589</v>
      </c>
      <c r="I377" s="92" t="s">
        <v>3892</v>
      </c>
      <c r="K377" s="71" t="s">
        <v>511</v>
      </c>
      <c r="L377" t="s">
        <v>1512</v>
      </c>
      <c r="M377" t="str">
        <f t="shared" si="27"/>
        <v>04</v>
      </c>
      <c r="N377" t="str">
        <f t="shared" si="28"/>
        <v>07</v>
      </c>
      <c r="O377" t="str">
        <f t="shared" si="25"/>
        <v>2024</v>
      </c>
      <c r="P377" t="str">
        <f t="shared" si="29"/>
        <v>04-07-2024</v>
      </c>
    </row>
    <row r="378" spans="2:16" x14ac:dyDescent="0.3">
      <c r="B378" s="70">
        <v>45478</v>
      </c>
      <c r="C378" s="70">
        <f t="shared" si="26"/>
        <v>45474</v>
      </c>
      <c r="D378" s="94">
        <v>79.290000000000006</v>
      </c>
      <c r="E378" s="94">
        <v>0</v>
      </c>
      <c r="F378" s="92" t="s">
        <v>2909</v>
      </c>
      <c r="G378" s="75"/>
      <c r="H378" s="92" t="s">
        <v>3881</v>
      </c>
      <c r="I378" s="92" t="s">
        <v>3889</v>
      </c>
      <c r="K378" s="71" t="s">
        <v>217</v>
      </c>
      <c r="L378" t="s">
        <v>30</v>
      </c>
      <c r="M378" t="str">
        <f t="shared" si="27"/>
        <v>05</v>
      </c>
      <c r="N378" t="str">
        <f t="shared" si="28"/>
        <v>07</v>
      </c>
      <c r="O378" t="str">
        <f t="shared" si="25"/>
        <v>2024</v>
      </c>
      <c r="P378" t="str">
        <f t="shared" si="29"/>
        <v>05-07-2024</v>
      </c>
    </row>
    <row r="379" spans="2:16" x14ac:dyDescent="0.3">
      <c r="B379" s="70">
        <v>45478</v>
      </c>
      <c r="C379" s="70">
        <f t="shared" si="26"/>
        <v>45474</v>
      </c>
      <c r="D379" s="94">
        <v>610.30999999999995</v>
      </c>
      <c r="E379" s="94">
        <v>0</v>
      </c>
      <c r="F379" s="92" t="s">
        <v>2909</v>
      </c>
      <c r="G379" s="75"/>
      <c r="H379" s="92" t="s">
        <v>3881</v>
      </c>
      <c r="I379" s="92" t="s">
        <v>3889</v>
      </c>
      <c r="K379" s="71" t="s">
        <v>217</v>
      </c>
      <c r="L379" t="s">
        <v>30</v>
      </c>
      <c r="M379" t="str">
        <f t="shared" si="27"/>
        <v>05</v>
      </c>
      <c r="N379" t="str">
        <f t="shared" si="28"/>
        <v>07</v>
      </c>
      <c r="O379" t="str">
        <f t="shared" si="25"/>
        <v>2024</v>
      </c>
      <c r="P379" t="str">
        <f t="shared" si="29"/>
        <v>05-07-2024</v>
      </c>
    </row>
    <row r="380" spans="2:16" x14ac:dyDescent="0.3">
      <c r="B380" s="70">
        <v>45478</v>
      </c>
      <c r="C380" s="70">
        <f t="shared" si="26"/>
        <v>45474</v>
      </c>
      <c r="D380" s="94">
        <v>4436.7</v>
      </c>
      <c r="E380" s="94">
        <v>0</v>
      </c>
      <c r="F380" s="92" t="s">
        <v>2910</v>
      </c>
      <c r="G380" s="75"/>
      <c r="H380" s="92" t="s">
        <v>589</v>
      </c>
      <c r="I380" s="92" t="s">
        <v>3892</v>
      </c>
      <c r="K380" s="71" t="s">
        <v>511</v>
      </c>
      <c r="L380" t="s">
        <v>1514</v>
      </c>
      <c r="M380" t="str">
        <f t="shared" si="27"/>
        <v>05</v>
      </c>
      <c r="N380" t="str">
        <f t="shared" si="28"/>
        <v>07</v>
      </c>
      <c r="O380" t="str">
        <f t="shared" si="25"/>
        <v>2024</v>
      </c>
      <c r="P380" t="str">
        <f t="shared" si="29"/>
        <v>05-07-2024</v>
      </c>
    </row>
    <row r="381" spans="2:16" x14ac:dyDescent="0.3">
      <c r="B381" s="70">
        <v>45479</v>
      </c>
      <c r="C381" s="70">
        <f t="shared" si="26"/>
        <v>45474</v>
      </c>
      <c r="D381" s="94">
        <v>50000</v>
      </c>
      <c r="E381" s="94">
        <v>0</v>
      </c>
      <c r="F381" s="92" t="s">
        <v>2911</v>
      </c>
      <c r="G381" s="75" t="s">
        <v>3880</v>
      </c>
      <c r="H381" s="92" t="s">
        <v>3876</v>
      </c>
      <c r="I381" s="92" t="s">
        <v>3889</v>
      </c>
      <c r="K381" s="71" t="s">
        <v>2525</v>
      </c>
      <c r="L381" t="s">
        <v>829</v>
      </c>
      <c r="M381" t="str">
        <f t="shared" si="27"/>
        <v>06</v>
      </c>
      <c r="N381" t="str">
        <f t="shared" si="28"/>
        <v>07</v>
      </c>
      <c r="O381" t="str">
        <f t="shared" si="25"/>
        <v>2024</v>
      </c>
      <c r="P381" t="str">
        <f t="shared" si="29"/>
        <v>06-07-2024</v>
      </c>
    </row>
    <row r="382" spans="2:16" x14ac:dyDescent="0.3">
      <c r="B382" s="70">
        <v>45479</v>
      </c>
      <c r="C382" s="70">
        <f t="shared" si="26"/>
        <v>45474</v>
      </c>
      <c r="D382" s="94">
        <v>5600</v>
      </c>
      <c r="E382" s="94">
        <v>0</v>
      </c>
      <c r="F382" s="92" t="s">
        <v>2912</v>
      </c>
      <c r="G382" s="75"/>
      <c r="H382" s="92" t="s">
        <v>3875</v>
      </c>
      <c r="I382" s="92" t="s">
        <v>3893</v>
      </c>
      <c r="K382" s="71" t="s">
        <v>2528</v>
      </c>
      <c r="L382" t="s">
        <v>1413</v>
      </c>
      <c r="M382" t="str">
        <f t="shared" si="27"/>
        <v>06</v>
      </c>
      <c r="N382" t="str">
        <f t="shared" si="28"/>
        <v>07</v>
      </c>
      <c r="O382" t="str">
        <f t="shared" si="25"/>
        <v>2024</v>
      </c>
      <c r="P382" t="str">
        <f t="shared" si="29"/>
        <v>06-07-2024</v>
      </c>
    </row>
    <row r="383" spans="2:16" x14ac:dyDescent="0.3">
      <c r="B383" s="70">
        <v>45479</v>
      </c>
      <c r="C383" s="70">
        <f t="shared" si="26"/>
        <v>45474</v>
      </c>
      <c r="D383" s="94">
        <v>2000</v>
      </c>
      <c r="E383" s="94">
        <v>0</v>
      </c>
      <c r="F383" s="92" t="s">
        <v>2913</v>
      </c>
      <c r="G383" s="75"/>
      <c r="H383" s="92" t="s">
        <v>589</v>
      </c>
      <c r="I383" s="92" t="s">
        <v>3892</v>
      </c>
      <c r="K383" s="71" t="s">
        <v>511</v>
      </c>
      <c r="L383" t="s">
        <v>1516</v>
      </c>
      <c r="M383" t="str">
        <f t="shared" si="27"/>
        <v>06</v>
      </c>
      <c r="N383" t="str">
        <f t="shared" si="28"/>
        <v>07</v>
      </c>
      <c r="O383" t="str">
        <f t="shared" si="25"/>
        <v>2024</v>
      </c>
      <c r="P383" t="str">
        <f t="shared" si="29"/>
        <v>06-07-2024</v>
      </c>
    </row>
    <row r="384" spans="2:16" x14ac:dyDescent="0.3">
      <c r="B384" s="70">
        <v>45480</v>
      </c>
      <c r="C384" s="70">
        <f t="shared" si="26"/>
        <v>45474</v>
      </c>
      <c r="D384" s="94">
        <v>10000</v>
      </c>
      <c r="E384" s="94">
        <v>0</v>
      </c>
      <c r="F384" s="92" t="s">
        <v>2914</v>
      </c>
      <c r="G384" s="75"/>
      <c r="H384" s="92" t="s">
        <v>3875</v>
      </c>
      <c r="I384" s="92" t="s">
        <v>3892</v>
      </c>
      <c r="K384" s="71" t="s">
        <v>228</v>
      </c>
      <c r="L384" t="s">
        <v>1518</v>
      </c>
      <c r="M384" t="str">
        <f t="shared" si="27"/>
        <v>07</v>
      </c>
      <c r="N384" t="str">
        <f t="shared" si="28"/>
        <v>07</v>
      </c>
      <c r="O384" t="str">
        <f t="shared" si="25"/>
        <v>2024</v>
      </c>
      <c r="P384" t="str">
        <f t="shared" si="29"/>
        <v>07-07-2024</v>
      </c>
    </row>
    <row r="385" spans="2:16" x14ac:dyDescent="0.3">
      <c r="B385" s="70">
        <v>45480</v>
      </c>
      <c r="C385" s="70">
        <f t="shared" si="26"/>
        <v>45474</v>
      </c>
      <c r="D385" s="94">
        <v>5000</v>
      </c>
      <c r="E385" s="94">
        <v>0</v>
      </c>
      <c r="F385" s="92" t="s">
        <v>2915</v>
      </c>
      <c r="G385" s="75"/>
      <c r="H385" s="92" t="s">
        <v>3875</v>
      </c>
      <c r="I385" s="92" t="s">
        <v>3892</v>
      </c>
      <c r="K385" s="71" t="s">
        <v>228</v>
      </c>
      <c r="L385" t="s">
        <v>1519</v>
      </c>
      <c r="M385" t="str">
        <f t="shared" si="27"/>
        <v>07</v>
      </c>
      <c r="N385" t="str">
        <f t="shared" si="28"/>
        <v>07</v>
      </c>
      <c r="O385" t="str">
        <f t="shared" si="25"/>
        <v>2024</v>
      </c>
      <c r="P385" t="str">
        <f t="shared" si="29"/>
        <v>07-07-2024</v>
      </c>
    </row>
    <row r="386" spans="2:16" x14ac:dyDescent="0.3">
      <c r="B386" s="70">
        <v>45481</v>
      </c>
      <c r="C386" s="70">
        <f t="shared" si="26"/>
        <v>45474</v>
      </c>
      <c r="D386" s="94">
        <v>256.52999999999997</v>
      </c>
      <c r="E386" s="94">
        <v>0</v>
      </c>
      <c r="F386" s="92" t="s">
        <v>2916</v>
      </c>
      <c r="G386" s="75"/>
      <c r="H386" s="92" t="s">
        <v>3881</v>
      </c>
      <c r="I386" s="92" t="s">
        <v>3889</v>
      </c>
      <c r="K386" s="71" t="s">
        <v>217</v>
      </c>
      <c r="L386" t="s">
        <v>30</v>
      </c>
      <c r="M386" t="str">
        <f t="shared" si="27"/>
        <v>08</v>
      </c>
      <c r="N386" t="str">
        <f t="shared" si="28"/>
        <v>07</v>
      </c>
      <c r="O386" t="str">
        <f t="shared" si="25"/>
        <v>2024</v>
      </c>
      <c r="P386" t="str">
        <f t="shared" si="29"/>
        <v>08-07-2024</v>
      </c>
    </row>
    <row r="387" spans="2:16" x14ac:dyDescent="0.3">
      <c r="B387" s="70">
        <v>45481</v>
      </c>
      <c r="C387" s="70">
        <f t="shared" si="26"/>
        <v>45474</v>
      </c>
      <c r="D387" s="94">
        <v>0</v>
      </c>
      <c r="E387" s="94">
        <v>1880</v>
      </c>
      <c r="F387" s="92" t="s">
        <v>2917</v>
      </c>
      <c r="G387" s="92" t="s">
        <v>222</v>
      </c>
      <c r="H387" s="92" t="s">
        <v>3876</v>
      </c>
      <c r="I387" s="92" t="s">
        <v>3889</v>
      </c>
      <c r="K387" s="71" t="s">
        <v>222</v>
      </c>
      <c r="L387" t="s">
        <v>832</v>
      </c>
      <c r="M387" t="str">
        <f t="shared" si="27"/>
        <v>08</v>
      </c>
      <c r="N387" t="str">
        <f t="shared" si="28"/>
        <v>07</v>
      </c>
      <c r="O387" t="str">
        <f t="shared" ref="O387:O450" si="30">TEXT(B387,"YYYY")</f>
        <v>2024</v>
      </c>
      <c r="P387" t="str">
        <f t="shared" si="29"/>
        <v>08-07-2024</v>
      </c>
    </row>
    <row r="388" spans="2:16" x14ac:dyDescent="0.3">
      <c r="B388" s="70">
        <v>45482</v>
      </c>
      <c r="C388" s="70">
        <f t="shared" ref="C388:C451" si="31">EOMONTH(B388,-1)+1</f>
        <v>45474</v>
      </c>
      <c r="D388" s="94">
        <v>0</v>
      </c>
      <c r="E388" s="94">
        <v>1053.8399999999999</v>
      </c>
      <c r="F388" s="92" t="s">
        <v>2918</v>
      </c>
      <c r="G388" s="75"/>
      <c r="H388" s="92" t="s">
        <v>3881</v>
      </c>
      <c r="I388" s="92" t="s">
        <v>3889</v>
      </c>
      <c r="K388" s="71" t="s">
        <v>217</v>
      </c>
      <c r="L388" t="s">
        <v>34</v>
      </c>
      <c r="M388" t="str">
        <f t="shared" ref="M388:M451" si="32">TEXT(B388,"DD")</f>
        <v>09</v>
      </c>
      <c r="N388" t="str">
        <f t="shared" ref="N388:N451" si="33">TEXT(B388,"MM")</f>
        <v>07</v>
      </c>
      <c r="O388" t="str">
        <f t="shared" si="30"/>
        <v>2024</v>
      </c>
      <c r="P388" t="str">
        <f t="shared" ref="P388:P451" si="34">M388&amp;"-"&amp;N388&amp;"-"&amp;O388</f>
        <v>09-07-2024</v>
      </c>
    </row>
    <row r="389" spans="2:16" x14ac:dyDescent="0.3">
      <c r="B389" s="70">
        <v>45482</v>
      </c>
      <c r="C389" s="70">
        <f t="shared" si="31"/>
        <v>45474</v>
      </c>
      <c r="D389" s="94">
        <v>85.51</v>
      </c>
      <c r="E389" s="94">
        <v>0</v>
      </c>
      <c r="F389" s="92" t="s">
        <v>2919</v>
      </c>
      <c r="G389" s="75"/>
      <c r="H389" s="92" t="s">
        <v>3881</v>
      </c>
      <c r="I389" s="92" t="s">
        <v>3889</v>
      </c>
      <c r="K389" s="71" t="s">
        <v>217</v>
      </c>
      <c r="L389" t="s">
        <v>30</v>
      </c>
      <c r="M389" t="str">
        <f t="shared" si="32"/>
        <v>09</v>
      </c>
      <c r="N389" t="str">
        <f t="shared" si="33"/>
        <v>07</v>
      </c>
      <c r="O389" t="str">
        <f t="shared" si="30"/>
        <v>2024</v>
      </c>
      <c r="P389" t="str">
        <f t="shared" si="34"/>
        <v>09-07-2024</v>
      </c>
    </row>
    <row r="390" spans="2:16" x14ac:dyDescent="0.3">
      <c r="B390" s="70">
        <v>45483</v>
      </c>
      <c r="C390" s="70">
        <f t="shared" si="31"/>
        <v>45474</v>
      </c>
      <c r="D390" s="94">
        <v>0</v>
      </c>
      <c r="E390" s="94">
        <v>122418.47</v>
      </c>
      <c r="F390" s="92" t="s">
        <v>2920</v>
      </c>
      <c r="G390" s="75"/>
      <c r="H390" s="92" t="s">
        <v>3881</v>
      </c>
      <c r="I390" s="92" t="s">
        <v>3889</v>
      </c>
      <c r="K390" s="71" t="s">
        <v>217</v>
      </c>
      <c r="L390" t="s">
        <v>34</v>
      </c>
      <c r="M390" t="str">
        <f t="shared" si="32"/>
        <v>10</v>
      </c>
      <c r="N390" t="str">
        <f t="shared" si="33"/>
        <v>07</v>
      </c>
      <c r="O390" t="str">
        <f t="shared" si="30"/>
        <v>2024</v>
      </c>
      <c r="P390" t="str">
        <f t="shared" si="34"/>
        <v>10-07-2024</v>
      </c>
    </row>
    <row r="391" spans="2:16" x14ac:dyDescent="0.3">
      <c r="B391" s="70">
        <v>45483</v>
      </c>
      <c r="C391" s="70">
        <f t="shared" si="31"/>
        <v>45474</v>
      </c>
      <c r="D391" s="94">
        <v>85.88</v>
      </c>
      <c r="E391" s="94">
        <v>0</v>
      </c>
      <c r="F391" s="92" t="s">
        <v>2921</v>
      </c>
      <c r="G391" s="75"/>
      <c r="H391" s="92" t="s">
        <v>3881</v>
      </c>
      <c r="I391" s="92" t="s">
        <v>3889</v>
      </c>
      <c r="K391" s="71" t="s">
        <v>217</v>
      </c>
      <c r="L391" t="s">
        <v>30</v>
      </c>
      <c r="M391" t="str">
        <f t="shared" si="32"/>
        <v>10</v>
      </c>
      <c r="N391" t="str">
        <f t="shared" si="33"/>
        <v>07</v>
      </c>
      <c r="O391" t="str">
        <f t="shared" si="30"/>
        <v>2024</v>
      </c>
      <c r="P391" t="str">
        <f t="shared" si="34"/>
        <v>10-07-2024</v>
      </c>
    </row>
    <row r="392" spans="2:16" x14ac:dyDescent="0.3">
      <c r="B392" s="70">
        <v>45483</v>
      </c>
      <c r="C392" s="70">
        <f t="shared" si="31"/>
        <v>45474</v>
      </c>
      <c r="D392" s="94">
        <v>5000</v>
      </c>
      <c r="E392" s="94">
        <v>0</v>
      </c>
      <c r="F392" s="92" t="s">
        <v>2922</v>
      </c>
      <c r="G392" s="75"/>
      <c r="H392" s="92" t="s">
        <v>2538</v>
      </c>
      <c r="I392" s="92" t="s">
        <v>3892</v>
      </c>
      <c r="K392" s="71" t="s">
        <v>219</v>
      </c>
      <c r="L392" t="s">
        <v>458</v>
      </c>
      <c r="M392" t="str">
        <f t="shared" si="32"/>
        <v>10</v>
      </c>
      <c r="N392" t="str">
        <f t="shared" si="33"/>
        <v>07</v>
      </c>
      <c r="O392" t="str">
        <f t="shared" si="30"/>
        <v>2024</v>
      </c>
      <c r="P392" t="str">
        <f t="shared" si="34"/>
        <v>10-07-2024</v>
      </c>
    </row>
    <row r="393" spans="2:16" x14ac:dyDescent="0.3">
      <c r="B393" s="70">
        <v>45483</v>
      </c>
      <c r="C393" s="70">
        <f t="shared" si="31"/>
        <v>45474</v>
      </c>
      <c r="D393" s="94">
        <v>10000</v>
      </c>
      <c r="E393" s="94">
        <v>0</v>
      </c>
      <c r="F393" s="92" t="s">
        <v>2923</v>
      </c>
      <c r="G393" s="75"/>
      <c r="H393" s="92" t="s">
        <v>2538</v>
      </c>
      <c r="I393" s="92" t="s">
        <v>3892</v>
      </c>
      <c r="K393" s="71" t="s">
        <v>2533</v>
      </c>
      <c r="L393" t="s">
        <v>1521</v>
      </c>
      <c r="M393" t="str">
        <f t="shared" si="32"/>
        <v>10</v>
      </c>
      <c r="N393" t="str">
        <f t="shared" si="33"/>
        <v>07</v>
      </c>
      <c r="O393" t="str">
        <f t="shared" si="30"/>
        <v>2024</v>
      </c>
      <c r="P393" t="str">
        <f t="shared" si="34"/>
        <v>10-07-2024</v>
      </c>
    </row>
    <row r="394" spans="2:16" x14ac:dyDescent="0.3">
      <c r="B394" s="70">
        <v>45484</v>
      </c>
      <c r="C394" s="70">
        <f t="shared" si="31"/>
        <v>45474</v>
      </c>
      <c r="D394" s="94">
        <v>129.47999999999999</v>
      </c>
      <c r="E394" s="94">
        <v>0</v>
      </c>
      <c r="F394" s="92" t="s">
        <v>2924</v>
      </c>
      <c r="G394" s="75"/>
      <c r="H394" s="92" t="s">
        <v>3881</v>
      </c>
      <c r="I394" s="92" t="s">
        <v>3889</v>
      </c>
      <c r="K394" s="71" t="s">
        <v>217</v>
      </c>
      <c r="L394" t="s">
        <v>30</v>
      </c>
      <c r="M394" t="str">
        <f t="shared" si="32"/>
        <v>11</v>
      </c>
      <c r="N394" t="str">
        <f t="shared" si="33"/>
        <v>07</v>
      </c>
      <c r="O394" t="str">
        <f t="shared" si="30"/>
        <v>2024</v>
      </c>
      <c r="P394" t="str">
        <f t="shared" si="34"/>
        <v>11-07-2024</v>
      </c>
    </row>
    <row r="395" spans="2:16" x14ac:dyDescent="0.3">
      <c r="B395" s="70">
        <v>45484</v>
      </c>
      <c r="C395" s="70">
        <f t="shared" si="31"/>
        <v>45474</v>
      </c>
      <c r="D395" s="94">
        <v>50</v>
      </c>
      <c r="E395" s="94">
        <v>0</v>
      </c>
      <c r="F395" s="92" t="s">
        <v>2925</v>
      </c>
      <c r="G395" s="75"/>
      <c r="H395" s="92" t="s">
        <v>589</v>
      </c>
      <c r="I395" s="92" t="s">
        <v>3892</v>
      </c>
      <c r="K395" s="71" t="s">
        <v>511</v>
      </c>
      <c r="L395" t="s">
        <v>1523</v>
      </c>
      <c r="M395" t="str">
        <f t="shared" si="32"/>
        <v>11</v>
      </c>
      <c r="N395" t="str">
        <f t="shared" si="33"/>
        <v>07</v>
      </c>
      <c r="O395" t="str">
        <f t="shared" si="30"/>
        <v>2024</v>
      </c>
      <c r="P395" t="str">
        <f t="shared" si="34"/>
        <v>11-07-2024</v>
      </c>
    </row>
    <row r="396" spans="2:16" x14ac:dyDescent="0.3">
      <c r="B396" s="70">
        <v>45484</v>
      </c>
      <c r="C396" s="70">
        <f t="shared" si="31"/>
        <v>45474</v>
      </c>
      <c r="D396" s="94">
        <v>250</v>
      </c>
      <c r="E396" s="94">
        <v>0</v>
      </c>
      <c r="F396" s="92" t="s">
        <v>2926</v>
      </c>
      <c r="G396" s="75"/>
      <c r="H396" s="92" t="s">
        <v>589</v>
      </c>
      <c r="I396" s="92" t="s">
        <v>3892</v>
      </c>
      <c r="K396" s="71" t="s">
        <v>511</v>
      </c>
      <c r="L396" t="s">
        <v>1525</v>
      </c>
      <c r="M396" t="str">
        <f t="shared" si="32"/>
        <v>11</v>
      </c>
      <c r="N396" t="str">
        <f t="shared" si="33"/>
        <v>07</v>
      </c>
      <c r="O396" t="str">
        <f t="shared" si="30"/>
        <v>2024</v>
      </c>
      <c r="P396" t="str">
        <f t="shared" si="34"/>
        <v>11-07-2024</v>
      </c>
    </row>
    <row r="397" spans="2:16" x14ac:dyDescent="0.3">
      <c r="B397" s="70">
        <v>45485</v>
      </c>
      <c r="C397" s="70">
        <f t="shared" si="31"/>
        <v>45474</v>
      </c>
      <c r="D397" s="94">
        <v>139.38</v>
      </c>
      <c r="E397" s="94">
        <v>0</v>
      </c>
      <c r="F397" s="92" t="s">
        <v>2927</v>
      </c>
      <c r="G397" s="75"/>
      <c r="H397" s="92" t="s">
        <v>3881</v>
      </c>
      <c r="I397" s="92" t="s">
        <v>3889</v>
      </c>
      <c r="K397" s="71" t="s">
        <v>217</v>
      </c>
      <c r="L397" t="s">
        <v>30</v>
      </c>
      <c r="M397" t="str">
        <f t="shared" si="32"/>
        <v>12</v>
      </c>
      <c r="N397" t="str">
        <f t="shared" si="33"/>
        <v>07</v>
      </c>
      <c r="O397" t="str">
        <f t="shared" si="30"/>
        <v>2024</v>
      </c>
      <c r="P397" t="str">
        <f t="shared" si="34"/>
        <v>12-07-2024</v>
      </c>
    </row>
    <row r="398" spans="2:16" x14ac:dyDescent="0.3">
      <c r="B398" s="70">
        <v>45485</v>
      </c>
      <c r="C398" s="70">
        <f t="shared" si="31"/>
        <v>45474</v>
      </c>
      <c r="D398" s="94">
        <v>25000</v>
      </c>
      <c r="E398" s="94">
        <v>0</v>
      </c>
      <c r="F398" s="92" t="s">
        <v>2928</v>
      </c>
      <c r="G398" s="75"/>
      <c r="H398" s="92" t="s">
        <v>589</v>
      </c>
      <c r="I398" s="92" t="s">
        <v>3892</v>
      </c>
      <c r="K398" s="71" t="s">
        <v>511</v>
      </c>
      <c r="L398" t="s">
        <v>1527</v>
      </c>
      <c r="M398" t="str">
        <f t="shared" si="32"/>
        <v>12</v>
      </c>
      <c r="N398" t="str">
        <f t="shared" si="33"/>
        <v>07</v>
      </c>
      <c r="O398" t="str">
        <f t="shared" si="30"/>
        <v>2024</v>
      </c>
      <c r="P398" t="str">
        <f t="shared" si="34"/>
        <v>12-07-2024</v>
      </c>
    </row>
    <row r="399" spans="2:16" x14ac:dyDescent="0.3">
      <c r="B399" s="70">
        <v>45485</v>
      </c>
      <c r="C399" s="70">
        <f t="shared" si="31"/>
        <v>45474</v>
      </c>
      <c r="D399" s="94">
        <v>60</v>
      </c>
      <c r="E399" s="94">
        <v>0</v>
      </c>
      <c r="F399" s="92" t="s">
        <v>2929</v>
      </c>
      <c r="G399" s="75"/>
      <c r="H399" s="92" t="s">
        <v>589</v>
      </c>
      <c r="I399" s="92" t="s">
        <v>3892</v>
      </c>
      <c r="K399" s="71" t="s">
        <v>511</v>
      </c>
      <c r="L399" t="s">
        <v>1529</v>
      </c>
      <c r="M399" t="str">
        <f t="shared" si="32"/>
        <v>12</v>
      </c>
      <c r="N399" t="str">
        <f t="shared" si="33"/>
        <v>07</v>
      </c>
      <c r="O399" t="str">
        <f t="shared" si="30"/>
        <v>2024</v>
      </c>
      <c r="P399" t="str">
        <f t="shared" si="34"/>
        <v>12-07-2024</v>
      </c>
    </row>
    <row r="400" spans="2:16" x14ac:dyDescent="0.3">
      <c r="B400" s="70">
        <v>45486</v>
      </c>
      <c r="C400" s="70">
        <f t="shared" si="31"/>
        <v>45474</v>
      </c>
      <c r="D400" s="94">
        <v>4745</v>
      </c>
      <c r="E400" s="94">
        <v>0</v>
      </c>
      <c r="F400" s="92" t="s">
        <v>2930</v>
      </c>
      <c r="G400" s="75"/>
      <c r="H400" s="92" t="s">
        <v>589</v>
      </c>
      <c r="I400" s="92" t="s">
        <v>3893</v>
      </c>
      <c r="K400" s="71" t="s">
        <v>511</v>
      </c>
      <c r="L400" t="s">
        <v>1415</v>
      </c>
      <c r="M400" t="str">
        <f t="shared" si="32"/>
        <v>13</v>
      </c>
      <c r="N400" t="str">
        <f t="shared" si="33"/>
        <v>07</v>
      </c>
      <c r="O400" t="str">
        <f t="shared" si="30"/>
        <v>2024</v>
      </c>
      <c r="P400" t="str">
        <f t="shared" si="34"/>
        <v>13-07-2024</v>
      </c>
    </row>
    <row r="401" spans="2:16" x14ac:dyDescent="0.3">
      <c r="B401" s="70">
        <v>45486</v>
      </c>
      <c r="C401" s="70">
        <f t="shared" si="31"/>
        <v>45474</v>
      </c>
      <c r="D401" s="94">
        <v>35</v>
      </c>
      <c r="E401" s="94">
        <v>0</v>
      </c>
      <c r="F401" s="92" t="s">
        <v>2931</v>
      </c>
      <c r="G401" s="75"/>
      <c r="H401" s="92" t="s">
        <v>589</v>
      </c>
      <c r="I401" s="92" t="s">
        <v>3893</v>
      </c>
      <c r="K401" s="71" t="s">
        <v>511</v>
      </c>
      <c r="L401" t="s">
        <v>1417</v>
      </c>
      <c r="M401" t="str">
        <f t="shared" si="32"/>
        <v>13</v>
      </c>
      <c r="N401" t="str">
        <f t="shared" si="33"/>
        <v>07</v>
      </c>
      <c r="O401" t="str">
        <f t="shared" si="30"/>
        <v>2024</v>
      </c>
      <c r="P401" t="str">
        <f t="shared" si="34"/>
        <v>13-07-2024</v>
      </c>
    </row>
    <row r="402" spans="2:16" x14ac:dyDescent="0.3">
      <c r="B402" s="70">
        <v>45486</v>
      </c>
      <c r="C402" s="70">
        <f t="shared" si="31"/>
        <v>45474</v>
      </c>
      <c r="D402" s="94">
        <v>25</v>
      </c>
      <c r="E402" s="94">
        <v>0</v>
      </c>
      <c r="F402" s="92" t="s">
        <v>2932</v>
      </c>
      <c r="G402" s="75"/>
      <c r="H402" s="92" t="s">
        <v>589</v>
      </c>
      <c r="I402" s="92" t="s">
        <v>3892</v>
      </c>
      <c r="K402" s="71" t="s">
        <v>511</v>
      </c>
      <c r="L402" t="s">
        <v>1531</v>
      </c>
      <c r="M402" t="str">
        <f t="shared" si="32"/>
        <v>13</v>
      </c>
      <c r="N402" t="str">
        <f t="shared" si="33"/>
        <v>07</v>
      </c>
      <c r="O402" t="str">
        <f t="shared" si="30"/>
        <v>2024</v>
      </c>
      <c r="P402" t="str">
        <f t="shared" si="34"/>
        <v>13-07-2024</v>
      </c>
    </row>
    <row r="403" spans="2:16" x14ac:dyDescent="0.3">
      <c r="B403" s="70">
        <v>45486</v>
      </c>
      <c r="C403" s="70">
        <f t="shared" si="31"/>
        <v>45474</v>
      </c>
      <c r="D403" s="94">
        <v>40</v>
      </c>
      <c r="E403" s="94">
        <v>0</v>
      </c>
      <c r="F403" s="92" t="s">
        <v>2933</v>
      </c>
      <c r="G403" s="75"/>
      <c r="H403" s="92" t="s">
        <v>589</v>
      </c>
      <c r="I403" s="92" t="s">
        <v>3892</v>
      </c>
      <c r="K403" s="71" t="s">
        <v>511</v>
      </c>
      <c r="L403" t="s">
        <v>1533</v>
      </c>
      <c r="M403" t="str">
        <f t="shared" si="32"/>
        <v>13</v>
      </c>
      <c r="N403" t="str">
        <f t="shared" si="33"/>
        <v>07</v>
      </c>
      <c r="O403" t="str">
        <f t="shared" si="30"/>
        <v>2024</v>
      </c>
      <c r="P403" t="str">
        <f t="shared" si="34"/>
        <v>13-07-2024</v>
      </c>
    </row>
    <row r="404" spans="2:16" x14ac:dyDescent="0.3">
      <c r="B404" s="70">
        <v>45487</v>
      </c>
      <c r="C404" s="70">
        <f t="shared" si="31"/>
        <v>45474</v>
      </c>
      <c r="D404" s="94">
        <v>0</v>
      </c>
      <c r="E404" s="94">
        <v>10</v>
      </c>
      <c r="F404" s="92" t="s">
        <v>2934</v>
      </c>
      <c r="G404" s="75"/>
      <c r="H404" s="92" t="s">
        <v>589</v>
      </c>
      <c r="I404" s="92" t="s">
        <v>3893</v>
      </c>
      <c r="K404" s="71" t="s">
        <v>511</v>
      </c>
      <c r="L404" t="s">
        <v>1418</v>
      </c>
      <c r="M404" t="str">
        <f t="shared" si="32"/>
        <v>14</v>
      </c>
      <c r="N404" t="str">
        <f t="shared" si="33"/>
        <v>07</v>
      </c>
      <c r="O404" t="str">
        <f t="shared" si="30"/>
        <v>2024</v>
      </c>
      <c r="P404" t="str">
        <f t="shared" si="34"/>
        <v>14-07-2024</v>
      </c>
    </row>
    <row r="405" spans="2:16" x14ac:dyDescent="0.3">
      <c r="B405" s="70">
        <v>45487</v>
      </c>
      <c r="C405" s="70">
        <f t="shared" si="31"/>
        <v>45474</v>
      </c>
      <c r="D405" s="94">
        <v>0</v>
      </c>
      <c r="E405" s="94">
        <v>10</v>
      </c>
      <c r="F405" s="92" t="s">
        <v>2935</v>
      </c>
      <c r="G405" s="75"/>
      <c r="H405" s="92" t="s">
        <v>589</v>
      </c>
      <c r="I405" s="92" t="s">
        <v>3893</v>
      </c>
      <c r="K405" s="71" t="s">
        <v>511</v>
      </c>
      <c r="L405" t="s">
        <v>1420</v>
      </c>
      <c r="M405" t="str">
        <f t="shared" si="32"/>
        <v>14</v>
      </c>
      <c r="N405" t="str">
        <f t="shared" si="33"/>
        <v>07</v>
      </c>
      <c r="O405" t="str">
        <f t="shared" si="30"/>
        <v>2024</v>
      </c>
      <c r="P405" t="str">
        <f t="shared" si="34"/>
        <v>14-07-2024</v>
      </c>
    </row>
    <row r="406" spans="2:16" x14ac:dyDescent="0.3">
      <c r="B406" s="70">
        <v>45487</v>
      </c>
      <c r="C406" s="70">
        <f t="shared" si="31"/>
        <v>45474</v>
      </c>
      <c r="D406" s="94">
        <v>10</v>
      </c>
      <c r="E406" s="94">
        <v>0</v>
      </c>
      <c r="F406" s="92" t="s">
        <v>2936</v>
      </c>
      <c r="G406" s="75"/>
      <c r="H406" s="92" t="s">
        <v>589</v>
      </c>
      <c r="I406" s="92" t="s">
        <v>3892</v>
      </c>
      <c r="K406" s="71" t="s">
        <v>511</v>
      </c>
      <c r="L406" t="s">
        <v>1535</v>
      </c>
      <c r="M406" t="str">
        <f t="shared" si="32"/>
        <v>14</v>
      </c>
      <c r="N406" t="str">
        <f t="shared" si="33"/>
        <v>07</v>
      </c>
      <c r="O406" t="str">
        <f t="shared" si="30"/>
        <v>2024</v>
      </c>
      <c r="P406" t="str">
        <f t="shared" si="34"/>
        <v>14-07-2024</v>
      </c>
    </row>
    <row r="407" spans="2:16" x14ac:dyDescent="0.3">
      <c r="B407" s="70">
        <v>45487</v>
      </c>
      <c r="C407" s="70">
        <f t="shared" si="31"/>
        <v>45474</v>
      </c>
      <c r="D407" s="94">
        <v>10</v>
      </c>
      <c r="E407" s="94">
        <v>0</v>
      </c>
      <c r="F407" s="92" t="s">
        <v>2937</v>
      </c>
      <c r="G407" s="75"/>
      <c r="H407" s="92" t="s">
        <v>589</v>
      </c>
      <c r="I407" s="92" t="s">
        <v>3892</v>
      </c>
      <c r="K407" s="71" t="s">
        <v>511</v>
      </c>
      <c r="L407" t="s">
        <v>1537</v>
      </c>
      <c r="M407" t="str">
        <f t="shared" si="32"/>
        <v>14</v>
      </c>
      <c r="N407" t="str">
        <f t="shared" si="33"/>
        <v>07</v>
      </c>
      <c r="O407" t="str">
        <f t="shared" si="30"/>
        <v>2024</v>
      </c>
      <c r="P407" t="str">
        <f t="shared" si="34"/>
        <v>14-07-2024</v>
      </c>
    </row>
    <row r="408" spans="2:16" x14ac:dyDescent="0.3">
      <c r="B408" s="70">
        <v>45487</v>
      </c>
      <c r="C408" s="70">
        <f t="shared" si="31"/>
        <v>45474</v>
      </c>
      <c r="D408" s="94">
        <v>10</v>
      </c>
      <c r="E408" s="94">
        <v>0</v>
      </c>
      <c r="F408" s="92" t="s">
        <v>2938</v>
      </c>
      <c r="G408" s="75"/>
      <c r="H408" s="92" t="s">
        <v>589</v>
      </c>
      <c r="I408" s="92" t="s">
        <v>3892</v>
      </c>
      <c r="K408" s="71" t="s">
        <v>511</v>
      </c>
      <c r="L408" t="s">
        <v>1539</v>
      </c>
      <c r="M408" t="str">
        <f t="shared" si="32"/>
        <v>14</v>
      </c>
      <c r="N408" t="str">
        <f t="shared" si="33"/>
        <v>07</v>
      </c>
      <c r="O408" t="str">
        <f t="shared" si="30"/>
        <v>2024</v>
      </c>
      <c r="P408" t="str">
        <f t="shared" si="34"/>
        <v>14-07-2024</v>
      </c>
    </row>
    <row r="409" spans="2:16" x14ac:dyDescent="0.3">
      <c r="B409" s="70">
        <v>45487</v>
      </c>
      <c r="C409" s="70">
        <f t="shared" si="31"/>
        <v>45474</v>
      </c>
      <c r="D409" s="94">
        <v>10</v>
      </c>
      <c r="E409" s="94">
        <v>0</v>
      </c>
      <c r="F409" s="92" t="s">
        <v>2939</v>
      </c>
      <c r="G409" s="75"/>
      <c r="H409" s="92" t="s">
        <v>589</v>
      </c>
      <c r="I409" s="92" t="s">
        <v>3892</v>
      </c>
      <c r="K409" s="71" t="s">
        <v>511</v>
      </c>
      <c r="L409" t="s">
        <v>1541</v>
      </c>
      <c r="M409" t="str">
        <f t="shared" si="32"/>
        <v>14</v>
      </c>
      <c r="N409" t="str">
        <f t="shared" si="33"/>
        <v>07</v>
      </c>
      <c r="O409" t="str">
        <f t="shared" si="30"/>
        <v>2024</v>
      </c>
      <c r="P409" t="str">
        <f t="shared" si="34"/>
        <v>14-07-2024</v>
      </c>
    </row>
    <row r="410" spans="2:16" x14ac:dyDescent="0.3">
      <c r="B410" s="70">
        <v>45487</v>
      </c>
      <c r="C410" s="70">
        <f t="shared" si="31"/>
        <v>45474</v>
      </c>
      <c r="D410" s="94">
        <v>40</v>
      </c>
      <c r="E410" s="94">
        <v>0</v>
      </c>
      <c r="F410" s="92" t="s">
        <v>2940</v>
      </c>
      <c r="G410" s="75"/>
      <c r="H410" s="92" t="s">
        <v>589</v>
      </c>
      <c r="I410" s="92" t="s">
        <v>3892</v>
      </c>
      <c r="K410" s="71" t="s">
        <v>511</v>
      </c>
      <c r="L410" t="s">
        <v>1543</v>
      </c>
      <c r="M410" t="str">
        <f t="shared" si="32"/>
        <v>14</v>
      </c>
      <c r="N410" t="str">
        <f t="shared" si="33"/>
        <v>07</v>
      </c>
      <c r="O410" t="str">
        <f t="shared" si="30"/>
        <v>2024</v>
      </c>
      <c r="P410" t="str">
        <f t="shared" si="34"/>
        <v>14-07-2024</v>
      </c>
    </row>
    <row r="411" spans="2:16" x14ac:dyDescent="0.3">
      <c r="B411" s="70">
        <v>45487</v>
      </c>
      <c r="C411" s="70">
        <f t="shared" si="31"/>
        <v>45474</v>
      </c>
      <c r="D411" s="94">
        <v>0</v>
      </c>
      <c r="E411" s="94">
        <v>20</v>
      </c>
      <c r="F411" s="92" t="s">
        <v>2941</v>
      </c>
      <c r="G411" s="75"/>
      <c r="H411" s="92" t="s">
        <v>589</v>
      </c>
      <c r="I411" s="92" t="s">
        <v>3892</v>
      </c>
      <c r="K411" s="71" t="s">
        <v>511</v>
      </c>
      <c r="L411" t="s">
        <v>1545</v>
      </c>
      <c r="M411" t="str">
        <f t="shared" si="32"/>
        <v>14</v>
      </c>
      <c r="N411" t="str">
        <f t="shared" si="33"/>
        <v>07</v>
      </c>
      <c r="O411" t="str">
        <f t="shared" si="30"/>
        <v>2024</v>
      </c>
      <c r="P411" t="str">
        <f t="shared" si="34"/>
        <v>14-07-2024</v>
      </c>
    </row>
    <row r="412" spans="2:16" x14ac:dyDescent="0.3">
      <c r="B412" s="70">
        <v>45488</v>
      </c>
      <c r="C412" s="70">
        <f t="shared" si="31"/>
        <v>45474</v>
      </c>
      <c r="D412" s="94">
        <v>418.14</v>
      </c>
      <c r="E412" s="94">
        <v>0</v>
      </c>
      <c r="F412" s="92" t="s">
        <v>2942</v>
      </c>
      <c r="G412" s="75"/>
      <c r="H412" s="92" t="s">
        <v>3881</v>
      </c>
      <c r="I412" s="92" t="s">
        <v>3889</v>
      </c>
      <c r="K412" s="71" t="s">
        <v>217</v>
      </c>
      <c r="L412" t="s">
        <v>30</v>
      </c>
      <c r="M412" t="str">
        <f t="shared" si="32"/>
        <v>15</v>
      </c>
      <c r="N412" t="str">
        <f t="shared" si="33"/>
        <v>07</v>
      </c>
      <c r="O412" t="str">
        <f t="shared" si="30"/>
        <v>2024</v>
      </c>
      <c r="P412" t="str">
        <f t="shared" si="34"/>
        <v>15-07-2024</v>
      </c>
    </row>
    <row r="413" spans="2:16" x14ac:dyDescent="0.3">
      <c r="B413" s="70">
        <v>45488</v>
      </c>
      <c r="C413" s="70">
        <f t="shared" si="31"/>
        <v>45474</v>
      </c>
      <c r="D413" s="94">
        <v>0</v>
      </c>
      <c r="E413" s="94">
        <v>500</v>
      </c>
      <c r="F413" s="92" t="s">
        <v>2943</v>
      </c>
      <c r="G413" s="75"/>
      <c r="H413" s="92" t="s">
        <v>589</v>
      </c>
      <c r="I413" s="92" t="s">
        <v>3893</v>
      </c>
      <c r="K413" s="71" t="s">
        <v>511</v>
      </c>
      <c r="L413" t="s">
        <v>1421</v>
      </c>
      <c r="M413" t="str">
        <f t="shared" si="32"/>
        <v>15</v>
      </c>
      <c r="N413" t="str">
        <f t="shared" si="33"/>
        <v>07</v>
      </c>
      <c r="O413" t="str">
        <f t="shared" si="30"/>
        <v>2024</v>
      </c>
      <c r="P413" t="str">
        <f t="shared" si="34"/>
        <v>15-07-2024</v>
      </c>
    </row>
    <row r="414" spans="2:16" x14ac:dyDescent="0.3">
      <c r="B414" s="70">
        <v>45488</v>
      </c>
      <c r="C414" s="70">
        <f t="shared" si="31"/>
        <v>45474</v>
      </c>
      <c r="D414" s="94">
        <v>100</v>
      </c>
      <c r="E414" s="94">
        <v>0</v>
      </c>
      <c r="F414" s="92" t="s">
        <v>2944</v>
      </c>
      <c r="G414" s="75"/>
      <c r="H414" s="92" t="s">
        <v>589</v>
      </c>
      <c r="I414" s="92" t="s">
        <v>3892</v>
      </c>
      <c r="K414" s="71" t="s">
        <v>511</v>
      </c>
      <c r="L414" t="s">
        <v>1547</v>
      </c>
      <c r="M414" t="str">
        <f t="shared" si="32"/>
        <v>15</v>
      </c>
      <c r="N414" t="str">
        <f t="shared" si="33"/>
        <v>07</v>
      </c>
      <c r="O414" t="str">
        <f t="shared" si="30"/>
        <v>2024</v>
      </c>
      <c r="P414" t="str">
        <f t="shared" si="34"/>
        <v>15-07-2024</v>
      </c>
    </row>
    <row r="415" spans="2:16" x14ac:dyDescent="0.3">
      <c r="B415" s="70">
        <v>45489</v>
      </c>
      <c r="C415" s="70">
        <f t="shared" si="31"/>
        <v>45474</v>
      </c>
      <c r="D415" s="94">
        <v>0</v>
      </c>
      <c r="E415" s="94">
        <v>21897.09</v>
      </c>
      <c r="F415" s="92" t="s">
        <v>2945</v>
      </c>
      <c r="G415" s="75"/>
      <c r="H415" s="92" t="s">
        <v>3881</v>
      </c>
      <c r="I415" s="92" t="s">
        <v>3889</v>
      </c>
      <c r="K415" s="71" t="s">
        <v>217</v>
      </c>
      <c r="L415" t="s">
        <v>34</v>
      </c>
      <c r="M415" t="str">
        <f t="shared" si="32"/>
        <v>16</v>
      </c>
      <c r="N415" t="str">
        <f t="shared" si="33"/>
        <v>07</v>
      </c>
      <c r="O415" t="str">
        <f t="shared" si="30"/>
        <v>2024</v>
      </c>
      <c r="P415" t="str">
        <f t="shared" si="34"/>
        <v>16-07-2024</v>
      </c>
    </row>
    <row r="416" spans="2:16" x14ac:dyDescent="0.3">
      <c r="B416" s="70">
        <v>45489</v>
      </c>
      <c r="C416" s="70">
        <f t="shared" si="31"/>
        <v>45474</v>
      </c>
      <c r="D416" s="94">
        <v>306.8</v>
      </c>
      <c r="E416" s="94">
        <v>0</v>
      </c>
      <c r="F416" s="92" t="s">
        <v>2946</v>
      </c>
      <c r="G416" s="75"/>
      <c r="H416" s="92" t="s">
        <v>220</v>
      </c>
      <c r="I416" s="92" t="s">
        <v>3889</v>
      </c>
      <c r="K416" s="71" t="s">
        <v>220</v>
      </c>
      <c r="L416" t="s">
        <v>842</v>
      </c>
      <c r="M416" t="str">
        <f t="shared" si="32"/>
        <v>16</v>
      </c>
      <c r="N416" t="str">
        <f t="shared" si="33"/>
        <v>07</v>
      </c>
      <c r="O416" t="str">
        <f t="shared" si="30"/>
        <v>2024</v>
      </c>
      <c r="P416" t="str">
        <f t="shared" si="34"/>
        <v>16-07-2024</v>
      </c>
    </row>
    <row r="417" spans="2:16" x14ac:dyDescent="0.3">
      <c r="B417" s="70">
        <v>45489</v>
      </c>
      <c r="C417" s="70">
        <f t="shared" si="31"/>
        <v>45474</v>
      </c>
      <c r="D417" s="94">
        <v>139.38</v>
      </c>
      <c r="E417" s="94">
        <v>0</v>
      </c>
      <c r="F417" s="92" t="s">
        <v>2947</v>
      </c>
      <c r="G417" s="75"/>
      <c r="H417" s="92" t="s">
        <v>3881</v>
      </c>
      <c r="I417" s="92" t="s">
        <v>3889</v>
      </c>
      <c r="K417" s="71" t="s">
        <v>217</v>
      </c>
      <c r="L417" t="s">
        <v>30</v>
      </c>
      <c r="M417" t="str">
        <f t="shared" si="32"/>
        <v>16</v>
      </c>
      <c r="N417" t="str">
        <f t="shared" si="33"/>
        <v>07</v>
      </c>
      <c r="O417" t="str">
        <f t="shared" si="30"/>
        <v>2024</v>
      </c>
      <c r="P417" t="str">
        <f t="shared" si="34"/>
        <v>16-07-2024</v>
      </c>
    </row>
    <row r="418" spans="2:16" x14ac:dyDescent="0.3">
      <c r="B418" s="70">
        <v>45489</v>
      </c>
      <c r="C418" s="70">
        <f t="shared" si="31"/>
        <v>45474</v>
      </c>
      <c r="D418" s="94">
        <v>0</v>
      </c>
      <c r="E418" s="94">
        <v>390</v>
      </c>
      <c r="F418" s="92" t="s">
        <v>2948</v>
      </c>
      <c r="G418" s="75" t="s">
        <v>3912</v>
      </c>
      <c r="H418" s="92" t="s">
        <v>218</v>
      </c>
      <c r="I418" s="92" t="s">
        <v>3889</v>
      </c>
      <c r="K418" s="71" t="s">
        <v>218</v>
      </c>
      <c r="L418" t="s">
        <v>844</v>
      </c>
      <c r="M418" t="str">
        <f t="shared" si="32"/>
        <v>16</v>
      </c>
      <c r="N418" t="str">
        <f t="shared" si="33"/>
        <v>07</v>
      </c>
      <c r="O418" t="str">
        <f t="shared" si="30"/>
        <v>2024</v>
      </c>
      <c r="P418" t="str">
        <f t="shared" si="34"/>
        <v>16-07-2024</v>
      </c>
    </row>
    <row r="419" spans="2:16" x14ac:dyDescent="0.3">
      <c r="B419" s="70">
        <v>45489</v>
      </c>
      <c r="C419" s="70">
        <f t="shared" si="31"/>
        <v>45474</v>
      </c>
      <c r="D419" s="94">
        <v>40</v>
      </c>
      <c r="E419" s="94">
        <v>0</v>
      </c>
      <c r="F419" s="92" t="s">
        <v>2949</v>
      </c>
      <c r="G419" s="75"/>
      <c r="H419" s="92" t="s">
        <v>589</v>
      </c>
      <c r="I419" s="92" t="s">
        <v>3892</v>
      </c>
      <c r="K419" s="71" t="s">
        <v>511</v>
      </c>
      <c r="L419" t="s">
        <v>1549</v>
      </c>
      <c r="M419" t="str">
        <f t="shared" si="32"/>
        <v>16</v>
      </c>
      <c r="N419" t="str">
        <f t="shared" si="33"/>
        <v>07</v>
      </c>
      <c r="O419" t="str">
        <f t="shared" si="30"/>
        <v>2024</v>
      </c>
      <c r="P419" t="str">
        <f t="shared" si="34"/>
        <v>16-07-2024</v>
      </c>
    </row>
    <row r="420" spans="2:16" x14ac:dyDescent="0.3">
      <c r="B420" s="70">
        <v>45490</v>
      </c>
      <c r="C420" s="70">
        <f t="shared" si="31"/>
        <v>45474</v>
      </c>
      <c r="D420" s="94">
        <v>363.19</v>
      </c>
      <c r="E420" s="94">
        <v>0</v>
      </c>
      <c r="F420" s="92" t="s">
        <v>2950</v>
      </c>
      <c r="G420" s="75"/>
      <c r="H420" s="92" t="s">
        <v>589</v>
      </c>
      <c r="I420" s="92" t="s">
        <v>3892</v>
      </c>
      <c r="K420" s="71" t="s">
        <v>511</v>
      </c>
      <c r="L420" t="s">
        <v>1551</v>
      </c>
      <c r="M420" t="str">
        <f t="shared" si="32"/>
        <v>17</v>
      </c>
      <c r="N420" t="str">
        <f t="shared" si="33"/>
        <v>07</v>
      </c>
      <c r="O420" t="str">
        <f t="shared" si="30"/>
        <v>2024</v>
      </c>
      <c r="P420" t="str">
        <f t="shared" si="34"/>
        <v>17-07-2024</v>
      </c>
    </row>
    <row r="421" spans="2:16" x14ac:dyDescent="0.3">
      <c r="B421" s="70">
        <v>45491</v>
      </c>
      <c r="C421" s="70">
        <f t="shared" si="31"/>
        <v>45474</v>
      </c>
      <c r="D421" s="94">
        <v>2.12</v>
      </c>
      <c r="E421" s="94">
        <v>0</v>
      </c>
      <c r="F421" s="92" t="s">
        <v>2951</v>
      </c>
      <c r="G421" s="75"/>
      <c r="H421" s="92" t="s">
        <v>221</v>
      </c>
      <c r="I421" s="92" t="s">
        <v>3889</v>
      </c>
      <c r="K421" s="71" t="s">
        <v>221</v>
      </c>
      <c r="L421" t="s">
        <v>846</v>
      </c>
      <c r="M421" t="str">
        <f t="shared" si="32"/>
        <v>18</v>
      </c>
      <c r="N421" t="str">
        <f t="shared" si="33"/>
        <v>07</v>
      </c>
      <c r="O421" t="str">
        <f t="shared" si="30"/>
        <v>2024</v>
      </c>
      <c r="P421" t="str">
        <f t="shared" si="34"/>
        <v>18-07-2024</v>
      </c>
    </row>
    <row r="422" spans="2:16" x14ac:dyDescent="0.3">
      <c r="B422" s="70">
        <v>45491</v>
      </c>
      <c r="C422" s="70">
        <f t="shared" si="31"/>
        <v>45474</v>
      </c>
      <c r="D422" s="94">
        <v>278.76</v>
      </c>
      <c r="E422" s="94">
        <v>0</v>
      </c>
      <c r="F422" s="92" t="s">
        <v>2952</v>
      </c>
      <c r="G422" s="75"/>
      <c r="H422" s="92" t="s">
        <v>3881</v>
      </c>
      <c r="I422" s="92" t="s">
        <v>3889</v>
      </c>
      <c r="K422" s="71" t="s">
        <v>217</v>
      </c>
      <c r="L422" t="s">
        <v>30</v>
      </c>
      <c r="M422" t="str">
        <f t="shared" si="32"/>
        <v>18</v>
      </c>
      <c r="N422" t="str">
        <f t="shared" si="33"/>
        <v>07</v>
      </c>
      <c r="O422" t="str">
        <f t="shared" si="30"/>
        <v>2024</v>
      </c>
      <c r="P422" t="str">
        <f t="shared" si="34"/>
        <v>18-07-2024</v>
      </c>
    </row>
    <row r="423" spans="2:16" x14ac:dyDescent="0.3">
      <c r="B423" s="70">
        <v>45491</v>
      </c>
      <c r="C423" s="70">
        <f t="shared" si="31"/>
        <v>45474</v>
      </c>
      <c r="D423" s="94">
        <v>80</v>
      </c>
      <c r="E423" s="94">
        <v>0</v>
      </c>
      <c r="F423" s="92" t="s">
        <v>2953</v>
      </c>
      <c r="G423" s="75"/>
      <c r="H423" s="92" t="s">
        <v>589</v>
      </c>
      <c r="I423" s="92" t="s">
        <v>3892</v>
      </c>
      <c r="K423" s="71" t="s">
        <v>511</v>
      </c>
      <c r="L423" t="s">
        <v>1553</v>
      </c>
      <c r="M423" t="str">
        <f t="shared" si="32"/>
        <v>18</v>
      </c>
      <c r="N423" t="str">
        <f t="shared" si="33"/>
        <v>07</v>
      </c>
      <c r="O423" t="str">
        <f t="shared" si="30"/>
        <v>2024</v>
      </c>
      <c r="P423" t="str">
        <f t="shared" si="34"/>
        <v>18-07-2024</v>
      </c>
    </row>
    <row r="424" spans="2:16" x14ac:dyDescent="0.3">
      <c r="B424" s="70">
        <v>45491</v>
      </c>
      <c r="C424" s="70">
        <f t="shared" si="31"/>
        <v>45474</v>
      </c>
      <c r="D424" s="94">
        <v>60</v>
      </c>
      <c r="E424" s="94">
        <v>0</v>
      </c>
      <c r="F424" s="92" t="s">
        <v>2954</v>
      </c>
      <c r="G424" s="75"/>
      <c r="H424" s="92" t="s">
        <v>589</v>
      </c>
      <c r="I424" s="92" t="s">
        <v>3892</v>
      </c>
      <c r="K424" s="71" t="s">
        <v>511</v>
      </c>
      <c r="L424" t="s">
        <v>1555</v>
      </c>
      <c r="M424" t="str">
        <f t="shared" si="32"/>
        <v>18</v>
      </c>
      <c r="N424" t="str">
        <f t="shared" si="33"/>
        <v>07</v>
      </c>
      <c r="O424" t="str">
        <f t="shared" si="30"/>
        <v>2024</v>
      </c>
      <c r="P424" t="str">
        <f t="shared" si="34"/>
        <v>18-07-2024</v>
      </c>
    </row>
    <row r="425" spans="2:16" x14ac:dyDescent="0.3">
      <c r="B425" s="70">
        <v>45492</v>
      </c>
      <c r="C425" s="70">
        <f t="shared" si="31"/>
        <v>45474</v>
      </c>
      <c r="D425" s="94">
        <v>139.38</v>
      </c>
      <c r="E425" s="94">
        <v>0</v>
      </c>
      <c r="F425" s="92" t="s">
        <v>2955</v>
      </c>
      <c r="G425" s="75"/>
      <c r="H425" s="92" t="s">
        <v>3881</v>
      </c>
      <c r="I425" s="92" t="s">
        <v>3889</v>
      </c>
      <c r="K425" s="71" t="s">
        <v>217</v>
      </c>
      <c r="L425" t="s">
        <v>30</v>
      </c>
      <c r="M425" t="str">
        <f t="shared" si="32"/>
        <v>19</v>
      </c>
      <c r="N425" t="str">
        <f t="shared" si="33"/>
        <v>07</v>
      </c>
      <c r="O425" t="str">
        <f t="shared" si="30"/>
        <v>2024</v>
      </c>
      <c r="P425" t="str">
        <f t="shared" si="34"/>
        <v>19-07-2024</v>
      </c>
    </row>
    <row r="426" spans="2:16" x14ac:dyDescent="0.3">
      <c r="B426" s="70">
        <v>45492</v>
      </c>
      <c r="C426" s="70">
        <f t="shared" si="31"/>
        <v>45474</v>
      </c>
      <c r="D426" s="94">
        <v>0</v>
      </c>
      <c r="E426" s="94">
        <v>200</v>
      </c>
      <c r="F426" s="92" t="s">
        <v>2956</v>
      </c>
      <c r="G426" s="75" t="s">
        <v>3913</v>
      </c>
      <c r="H426" s="92" t="s">
        <v>218</v>
      </c>
      <c r="I426" s="92" t="s">
        <v>3889</v>
      </c>
      <c r="K426" s="71" t="s">
        <v>218</v>
      </c>
      <c r="L426" t="s">
        <v>850</v>
      </c>
      <c r="M426" t="str">
        <f t="shared" si="32"/>
        <v>19</v>
      </c>
      <c r="N426" t="str">
        <f t="shared" si="33"/>
        <v>07</v>
      </c>
      <c r="O426" t="str">
        <f t="shared" si="30"/>
        <v>2024</v>
      </c>
      <c r="P426" t="str">
        <f t="shared" si="34"/>
        <v>19-07-2024</v>
      </c>
    </row>
    <row r="427" spans="2:16" x14ac:dyDescent="0.3">
      <c r="B427" s="70">
        <v>45492</v>
      </c>
      <c r="C427" s="70">
        <f t="shared" si="31"/>
        <v>45474</v>
      </c>
      <c r="D427" s="94">
        <v>0</v>
      </c>
      <c r="E427" s="94">
        <v>880</v>
      </c>
      <c r="F427" s="92" t="s">
        <v>2957</v>
      </c>
      <c r="G427" s="75" t="s">
        <v>3914</v>
      </c>
      <c r="H427" s="92" t="s">
        <v>218</v>
      </c>
      <c r="I427" s="92" t="s">
        <v>3889</v>
      </c>
      <c r="K427" s="71" t="s">
        <v>218</v>
      </c>
      <c r="L427" t="s">
        <v>852</v>
      </c>
      <c r="M427" t="str">
        <f t="shared" si="32"/>
        <v>19</v>
      </c>
      <c r="N427" t="str">
        <f t="shared" si="33"/>
        <v>07</v>
      </c>
      <c r="O427" t="str">
        <f t="shared" si="30"/>
        <v>2024</v>
      </c>
      <c r="P427" t="str">
        <f t="shared" si="34"/>
        <v>19-07-2024</v>
      </c>
    </row>
    <row r="428" spans="2:16" x14ac:dyDescent="0.3">
      <c r="B428" s="70">
        <v>45492</v>
      </c>
      <c r="C428" s="70">
        <f t="shared" si="31"/>
        <v>45474</v>
      </c>
      <c r="D428" s="94">
        <v>0</v>
      </c>
      <c r="E428" s="94">
        <v>900</v>
      </c>
      <c r="F428" s="92" t="s">
        <v>2958</v>
      </c>
      <c r="G428" s="75" t="s">
        <v>3915</v>
      </c>
      <c r="H428" s="92" t="s">
        <v>218</v>
      </c>
      <c r="I428" s="92" t="s">
        <v>3889</v>
      </c>
      <c r="K428" s="71" t="s">
        <v>218</v>
      </c>
      <c r="L428" t="s">
        <v>854</v>
      </c>
      <c r="M428" t="str">
        <f t="shared" si="32"/>
        <v>19</v>
      </c>
      <c r="N428" t="str">
        <f t="shared" si="33"/>
        <v>07</v>
      </c>
      <c r="O428" t="str">
        <f t="shared" si="30"/>
        <v>2024</v>
      </c>
      <c r="P428" t="str">
        <f t="shared" si="34"/>
        <v>19-07-2024</v>
      </c>
    </row>
    <row r="429" spans="2:16" x14ac:dyDescent="0.3">
      <c r="B429" s="70">
        <v>45492</v>
      </c>
      <c r="C429" s="70">
        <f t="shared" si="31"/>
        <v>45474</v>
      </c>
      <c r="D429" s="94">
        <v>0</v>
      </c>
      <c r="E429" s="94">
        <v>3040</v>
      </c>
      <c r="F429" s="92" t="s">
        <v>2959</v>
      </c>
      <c r="G429" s="75" t="s">
        <v>3916</v>
      </c>
      <c r="H429" s="92" t="s">
        <v>218</v>
      </c>
      <c r="I429" s="92" t="s">
        <v>3889</v>
      </c>
      <c r="K429" s="71" t="s">
        <v>218</v>
      </c>
      <c r="L429" t="s">
        <v>856</v>
      </c>
      <c r="M429" t="str">
        <f t="shared" si="32"/>
        <v>19</v>
      </c>
      <c r="N429" t="str">
        <f t="shared" si="33"/>
        <v>07</v>
      </c>
      <c r="O429" t="str">
        <f t="shared" si="30"/>
        <v>2024</v>
      </c>
      <c r="P429" t="str">
        <f t="shared" si="34"/>
        <v>19-07-2024</v>
      </c>
    </row>
    <row r="430" spans="2:16" x14ac:dyDescent="0.3">
      <c r="B430" s="70">
        <v>45492</v>
      </c>
      <c r="C430" s="70">
        <f t="shared" si="31"/>
        <v>45474</v>
      </c>
      <c r="D430" s="94">
        <v>0</v>
      </c>
      <c r="E430" s="94">
        <v>346.5</v>
      </c>
      <c r="F430" s="92" t="s">
        <v>2960</v>
      </c>
      <c r="G430" s="75" t="s">
        <v>3917</v>
      </c>
      <c r="H430" s="92" t="s">
        <v>218</v>
      </c>
      <c r="I430" s="92" t="s">
        <v>3893</v>
      </c>
      <c r="K430" s="71" t="s">
        <v>218</v>
      </c>
      <c r="L430" t="s">
        <v>1423</v>
      </c>
      <c r="M430" t="str">
        <f t="shared" si="32"/>
        <v>19</v>
      </c>
      <c r="N430" t="str">
        <f t="shared" si="33"/>
        <v>07</v>
      </c>
      <c r="O430" t="str">
        <f t="shared" si="30"/>
        <v>2024</v>
      </c>
      <c r="P430" t="str">
        <f t="shared" si="34"/>
        <v>19-07-2024</v>
      </c>
    </row>
    <row r="431" spans="2:16" x14ac:dyDescent="0.3">
      <c r="B431" s="70">
        <v>45492</v>
      </c>
      <c r="C431" s="70">
        <f t="shared" si="31"/>
        <v>45474</v>
      </c>
      <c r="D431" s="94">
        <v>157</v>
      </c>
      <c r="E431" s="94">
        <v>0</v>
      </c>
      <c r="F431" s="92" t="s">
        <v>2961</v>
      </c>
      <c r="G431" s="75"/>
      <c r="H431" s="92" t="s">
        <v>589</v>
      </c>
      <c r="I431" s="92" t="s">
        <v>3892</v>
      </c>
      <c r="K431" s="71" t="s">
        <v>511</v>
      </c>
      <c r="L431" t="s">
        <v>1557</v>
      </c>
      <c r="M431" t="str">
        <f t="shared" si="32"/>
        <v>19</v>
      </c>
      <c r="N431" t="str">
        <f t="shared" si="33"/>
        <v>07</v>
      </c>
      <c r="O431" t="str">
        <f t="shared" si="30"/>
        <v>2024</v>
      </c>
      <c r="P431" t="str">
        <f t="shared" si="34"/>
        <v>19-07-2024</v>
      </c>
    </row>
    <row r="432" spans="2:16" x14ac:dyDescent="0.3">
      <c r="B432" s="70">
        <v>45493</v>
      </c>
      <c r="C432" s="70">
        <f t="shared" si="31"/>
        <v>45474</v>
      </c>
      <c r="D432" s="94">
        <v>35</v>
      </c>
      <c r="E432" s="94">
        <v>0</v>
      </c>
      <c r="F432" s="92" t="s">
        <v>2962</v>
      </c>
      <c r="G432" s="75"/>
      <c r="H432" s="92" t="s">
        <v>589</v>
      </c>
      <c r="I432" s="92" t="s">
        <v>3892</v>
      </c>
      <c r="K432" s="71" t="s">
        <v>511</v>
      </c>
      <c r="L432" t="s">
        <v>1559</v>
      </c>
      <c r="M432" t="str">
        <f t="shared" si="32"/>
        <v>20</v>
      </c>
      <c r="N432" t="str">
        <f t="shared" si="33"/>
        <v>07</v>
      </c>
      <c r="O432" t="str">
        <f t="shared" si="30"/>
        <v>2024</v>
      </c>
      <c r="P432" t="str">
        <f t="shared" si="34"/>
        <v>20-07-2024</v>
      </c>
    </row>
    <row r="433" spans="2:16" x14ac:dyDescent="0.3">
      <c r="B433" s="70">
        <v>45493</v>
      </c>
      <c r="C433" s="70">
        <f t="shared" si="31"/>
        <v>45474</v>
      </c>
      <c r="D433" s="94">
        <v>20</v>
      </c>
      <c r="E433" s="94">
        <v>0</v>
      </c>
      <c r="F433" s="92" t="s">
        <v>2963</v>
      </c>
      <c r="G433" s="75"/>
      <c r="H433" s="92" t="s">
        <v>589</v>
      </c>
      <c r="I433" s="92" t="s">
        <v>3892</v>
      </c>
      <c r="K433" s="71" t="s">
        <v>511</v>
      </c>
      <c r="L433" t="s">
        <v>1561</v>
      </c>
      <c r="M433" t="str">
        <f t="shared" si="32"/>
        <v>20</v>
      </c>
      <c r="N433" t="str">
        <f t="shared" si="33"/>
        <v>07</v>
      </c>
      <c r="O433" t="str">
        <f t="shared" si="30"/>
        <v>2024</v>
      </c>
      <c r="P433" t="str">
        <f t="shared" si="34"/>
        <v>20-07-2024</v>
      </c>
    </row>
    <row r="434" spans="2:16" x14ac:dyDescent="0.3">
      <c r="B434" s="70">
        <v>45493</v>
      </c>
      <c r="C434" s="70">
        <f t="shared" si="31"/>
        <v>45474</v>
      </c>
      <c r="D434" s="94">
        <v>500</v>
      </c>
      <c r="E434" s="94">
        <v>0</v>
      </c>
      <c r="F434" s="92" t="s">
        <v>2964</v>
      </c>
      <c r="G434" s="75"/>
      <c r="H434" s="92" t="s">
        <v>589</v>
      </c>
      <c r="I434" s="92" t="s">
        <v>3892</v>
      </c>
      <c r="K434" s="71" t="s">
        <v>511</v>
      </c>
      <c r="L434" t="s">
        <v>1563</v>
      </c>
      <c r="M434" t="str">
        <f t="shared" si="32"/>
        <v>20</v>
      </c>
      <c r="N434" t="str">
        <f t="shared" si="33"/>
        <v>07</v>
      </c>
      <c r="O434" t="str">
        <f t="shared" si="30"/>
        <v>2024</v>
      </c>
      <c r="P434" t="str">
        <f t="shared" si="34"/>
        <v>20-07-2024</v>
      </c>
    </row>
    <row r="435" spans="2:16" x14ac:dyDescent="0.3">
      <c r="B435" s="70">
        <v>45494</v>
      </c>
      <c r="C435" s="70">
        <f t="shared" si="31"/>
        <v>45474</v>
      </c>
      <c r="D435" s="94">
        <v>50</v>
      </c>
      <c r="E435" s="94">
        <v>0</v>
      </c>
      <c r="F435" s="92" t="s">
        <v>2965</v>
      </c>
      <c r="G435" s="75"/>
      <c r="H435" s="92" t="s">
        <v>589</v>
      </c>
      <c r="I435" s="92" t="s">
        <v>3892</v>
      </c>
      <c r="K435" s="71" t="s">
        <v>511</v>
      </c>
      <c r="L435" t="s">
        <v>1565</v>
      </c>
      <c r="M435" t="str">
        <f t="shared" si="32"/>
        <v>21</v>
      </c>
      <c r="N435" t="str">
        <f t="shared" si="33"/>
        <v>07</v>
      </c>
      <c r="O435" t="str">
        <f t="shared" si="30"/>
        <v>2024</v>
      </c>
      <c r="P435" t="str">
        <f t="shared" si="34"/>
        <v>21-07-2024</v>
      </c>
    </row>
    <row r="436" spans="2:16" x14ac:dyDescent="0.3">
      <c r="B436" s="70">
        <v>45494</v>
      </c>
      <c r="C436" s="70">
        <f t="shared" si="31"/>
        <v>45474</v>
      </c>
      <c r="D436" s="94">
        <v>30</v>
      </c>
      <c r="E436" s="94">
        <v>0</v>
      </c>
      <c r="F436" s="92" t="s">
        <v>2966</v>
      </c>
      <c r="G436" s="75"/>
      <c r="H436" s="92" t="s">
        <v>589</v>
      </c>
      <c r="I436" s="92" t="s">
        <v>3892</v>
      </c>
      <c r="K436" s="71" t="s">
        <v>511</v>
      </c>
      <c r="L436" t="s">
        <v>1567</v>
      </c>
      <c r="M436" t="str">
        <f t="shared" si="32"/>
        <v>21</v>
      </c>
      <c r="N436" t="str">
        <f t="shared" si="33"/>
        <v>07</v>
      </c>
      <c r="O436" t="str">
        <f t="shared" si="30"/>
        <v>2024</v>
      </c>
      <c r="P436" t="str">
        <f t="shared" si="34"/>
        <v>21-07-2024</v>
      </c>
    </row>
    <row r="437" spans="2:16" x14ac:dyDescent="0.3">
      <c r="B437" s="70">
        <v>45494</v>
      </c>
      <c r="C437" s="70">
        <f t="shared" si="31"/>
        <v>45474</v>
      </c>
      <c r="D437" s="94">
        <v>20</v>
      </c>
      <c r="E437" s="94">
        <v>0</v>
      </c>
      <c r="F437" s="92" t="s">
        <v>2967</v>
      </c>
      <c r="G437" s="75"/>
      <c r="H437" s="92" t="s">
        <v>589</v>
      </c>
      <c r="I437" s="92" t="s">
        <v>3892</v>
      </c>
      <c r="K437" s="71" t="s">
        <v>511</v>
      </c>
      <c r="L437" t="s">
        <v>1569</v>
      </c>
      <c r="M437" t="str">
        <f t="shared" si="32"/>
        <v>21</v>
      </c>
      <c r="N437" t="str">
        <f t="shared" si="33"/>
        <v>07</v>
      </c>
      <c r="O437" t="str">
        <f t="shared" si="30"/>
        <v>2024</v>
      </c>
      <c r="P437" t="str">
        <f t="shared" si="34"/>
        <v>21-07-2024</v>
      </c>
    </row>
    <row r="438" spans="2:16" x14ac:dyDescent="0.3">
      <c r="B438" s="70">
        <v>45495</v>
      </c>
      <c r="C438" s="70">
        <f t="shared" si="31"/>
        <v>45474</v>
      </c>
      <c r="D438" s="94">
        <v>418.14</v>
      </c>
      <c r="E438" s="94">
        <v>0</v>
      </c>
      <c r="F438" s="92" t="s">
        <v>2968</v>
      </c>
      <c r="G438" s="75"/>
      <c r="H438" s="92" t="s">
        <v>3881</v>
      </c>
      <c r="I438" s="92" t="s">
        <v>3889</v>
      </c>
      <c r="K438" s="71" t="s">
        <v>217</v>
      </c>
      <c r="L438" t="s">
        <v>30</v>
      </c>
      <c r="M438" t="str">
        <f t="shared" si="32"/>
        <v>22</v>
      </c>
      <c r="N438" t="str">
        <f t="shared" si="33"/>
        <v>07</v>
      </c>
      <c r="O438" t="str">
        <f t="shared" si="30"/>
        <v>2024</v>
      </c>
      <c r="P438" t="str">
        <f t="shared" si="34"/>
        <v>22-07-2024</v>
      </c>
    </row>
    <row r="439" spans="2:16" x14ac:dyDescent="0.3">
      <c r="B439" s="70">
        <v>45495</v>
      </c>
      <c r="C439" s="70">
        <f t="shared" si="31"/>
        <v>45474</v>
      </c>
      <c r="D439" s="94">
        <v>100</v>
      </c>
      <c r="E439" s="94">
        <v>0</v>
      </c>
      <c r="F439" s="92" t="s">
        <v>2969</v>
      </c>
      <c r="G439" s="75"/>
      <c r="H439" s="92" t="s">
        <v>589</v>
      </c>
      <c r="I439" s="92" t="s">
        <v>3892</v>
      </c>
      <c r="K439" s="71" t="s">
        <v>511</v>
      </c>
      <c r="L439" t="s">
        <v>1571</v>
      </c>
      <c r="M439" t="str">
        <f t="shared" si="32"/>
        <v>22</v>
      </c>
      <c r="N439" t="str">
        <f t="shared" si="33"/>
        <v>07</v>
      </c>
      <c r="O439" t="str">
        <f t="shared" si="30"/>
        <v>2024</v>
      </c>
      <c r="P439" t="str">
        <f t="shared" si="34"/>
        <v>22-07-2024</v>
      </c>
    </row>
    <row r="440" spans="2:16" x14ac:dyDescent="0.3">
      <c r="B440" s="70">
        <v>45496</v>
      </c>
      <c r="C440" s="70">
        <f t="shared" si="31"/>
        <v>45474</v>
      </c>
      <c r="D440" s="94">
        <v>139.38</v>
      </c>
      <c r="E440" s="94">
        <v>0</v>
      </c>
      <c r="F440" s="92" t="s">
        <v>2970</v>
      </c>
      <c r="G440" s="75"/>
      <c r="H440" s="92" t="s">
        <v>3881</v>
      </c>
      <c r="I440" s="92" t="s">
        <v>3889</v>
      </c>
      <c r="K440" s="71" t="s">
        <v>217</v>
      </c>
      <c r="L440" t="s">
        <v>30</v>
      </c>
      <c r="M440" t="str">
        <f t="shared" si="32"/>
        <v>23</v>
      </c>
      <c r="N440" t="str">
        <f t="shared" si="33"/>
        <v>07</v>
      </c>
      <c r="O440" t="str">
        <f t="shared" si="30"/>
        <v>2024</v>
      </c>
      <c r="P440" t="str">
        <f t="shared" si="34"/>
        <v>23-07-2024</v>
      </c>
    </row>
    <row r="441" spans="2:16" x14ac:dyDescent="0.3">
      <c r="B441" s="70">
        <v>45496</v>
      </c>
      <c r="C441" s="70">
        <f t="shared" si="31"/>
        <v>45474</v>
      </c>
      <c r="D441" s="94">
        <v>85</v>
      </c>
      <c r="E441" s="94">
        <v>0</v>
      </c>
      <c r="F441" s="92" t="s">
        <v>2971</v>
      </c>
      <c r="G441" s="75"/>
      <c r="H441" s="92" t="s">
        <v>589</v>
      </c>
      <c r="I441" s="92" t="s">
        <v>3892</v>
      </c>
      <c r="K441" s="71" t="s">
        <v>511</v>
      </c>
      <c r="L441" t="s">
        <v>1573</v>
      </c>
      <c r="M441" t="str">
        <f t="shared" si="32"/>
        <v>23</v>
      </c>
      <c r="N441" t="str">
        <f t="shared" si="33"/>
        <v>07</v>
      </c>
      <c r="O441" t="str">
        <f t="shared" si="30"/>
        <v>2024</v>
      </c>
      <c r="P441" t="str">
        <f t="shared" si="34"/>
        <v>23-07-2024</v>
      </c>
    </row>
    <row r="442" spans="2:16" x14ac:dyDescent="0.3">
      <c r="B442" s="70">
        <v>45496</v>
      </c>
      <c r="C442" s="70">
        <f t="shared" si="31"/>
        <v>45474</v>
      </c>
      <c r="D442" s="94">
        <v>0</v>
      </c>
      <c r="E442" s="94">
        <v>3000</v>
      </c>
      <c r="F442" s="92" t="s">
        <v>2972</v>
      </c>
      <c r="G442" s="75"/>
      <c r="H442" s="92" t="s">
        <v>589</v>
      </c>
      <c r="I442" s="92" t="s">
        <v>3892</v>
      </c>
      <c r="K442" s="71" t="s">
        <v>511</v>
      </c>
      <c r="L442" t="s">
        <v>1575</v>
      </c>
      <c r="M442" t="str">
        <f t="shared" si="32"/>
        <v>23</v>
      </c>
      <c r="N442" t="str">
        <f t="shared" si="33"/>
        <v>07</v>
      </c>
      <c r="O442" t="str">
        <f t="shared" si="30"/>
        <v>2024</v>
      </c>
      <c r="P442" t="str">
        <f t="shared" si="34"/>
        <v>23-07-2024</v>
      </c>
    </row>
    <row r="443" spans="2:16" x14ac:dyDescent="0.3">
      <c r="B443" s="70">
        <v>45496</v>
      </c>
      <c r="C443" s="70">
        <f t="shared" si="31"/>
        <v>45474</v>
      </c>
      <c r="D443" s="94">
        <v>5000</v>
      </c>
      <c r="E443" s="94">
        <v>0</v>
      </c>
      <c r="F443" s="92" t="s">
        <v>2973</v>
      </c>
      <c r="G443" s="75"/>
      <c r="H443" s="92" t="s">
        <v>2538</v>
      </c>
      <c r="I443" s="92" t="s">
        <v>3892</v>
      </c>
      <c r="K443" s="71" t="s">
        <v>219</v>
      </c>
      <c r="L443" t="s">
        <v>318</v>
      </c>
      <c r="M443" t="str">
        <f t="shared" si="32"/>
        <v>23</v>
      </c>
      <c r="N443" t="str">
        <f t="shared" si="33"/>
        <v>07</v>
      </c>
      <c r="O443" t="str">
        <f t="shared" si="30"/>
        <v>2024</v>
      </c>
      <c r="P443" t="str">
        <f t="shared" si="34"/>
        <v>23-07-2024</v>
      </c>
    </row>
    <row r="444" spans="2:16" x14ac:dyDescent="0.3">
      <c r="B444" s="70">
        <v>45496</v>
      </c>
      <c r="C444" s="70">
        <f t="shared" si="31"/>
        <v>45474</v>
      </c>
      <c r="D444" s="94">
        <v>2</v>
      </c>
      <c r="E444" s="94">
        <v>0</v>
      </c>
      <c r="F444" s="92" t="s">
        <v>2974</v>
      </c>
      <c r="G444" s="75"/>
      <c r="H444" s="92" t="s">
        <v>589</v>
      </c>
      <c r="I444" s="92" t="s">
        <v>3892</v>
      </c>
      <c r="K444" s="71" t="s">
        <v>589</v>
      </c>
      <c r="L444" t="s">
        <v>1578</v>
      </c>
      <c r="M444" t="str">
        <f t="shared" si="32"/>
        <v>23</v>
      </c>
      <c r="N444" t="str">
        <f t="shared" si="33"/>
        <v>07</v>
      </c>
      <c r="O444" t="str">
        <f t="shared" si="30"/>
        <v>2024</v>
      </c>
      <c r="P444" t="str">
        <f t="shared" si="34"/>
        <v>23-07-2024</v>
      </c>
    </row>
    <row r="445" spans="2:16" x14ac:dyDescent="0.3">
      <c r="B445" s="70">
        <v>45496</v>
      </c>
      <c r="C445" s="70">
        <f t="shared" si="31"/>
        <v>45474</v>
      </c>
      <c r="D445" s="94">
        <v>100</v>
      </c>
      <c r="E445" s="94">
        <v>0</v>
      </c>
      <c r="F445" s="92" t="s">
        <v>2975</v>
      </c>
      <c r="G445" s="75"/>
      <c r="H445" s="92" t="s">
        <v>589</v>
      </c>
      <c r="I445" s="92" t="s">
        <v>3892</v>
      </c>
      <c r="K445" s="71" t="s">
        <v>511</v>
      </c>
      <c r="L445" t="s">
        <v>1579</v>
      </c>
      <c r="M445" t="str">
        <f t="shared" si="32"/>
        <v>23</v>
      </c>
      <c r="N445" t="str">
        <f t="shared" si="33"/>
        <v>07</v>
      </c>
      <c r="O445" t="str">
        <f t="shared" si="30"/>
        <v>2024</v>
      </c>
      <c r="P445" t="str">
        <f t="shared" si="34"/>
        <v>23-07-2024</v>
      </c>
    </row>
    <row r="446" spans="2:16" x14ac:dyDescent="0.3">
      <c r="B446" s="70">
        <v>45497</v>
      </c>
      <c r="C446" s="70">
        <f t="shared" si="31"/>
        <v>45474</v>
      </c>
      <c r="D446" s="94">
        <v>139.38</v>
      </c>
      <c r="E446" s="94">
        <v>0</v>
      </c>
      <c r="F446" s="92" t="s">
        <v>2976</v>
      </c>
      <c r="G446" s="75"/>
      <c r="H446" s="92" t="s">
        <v>3881</v>
      </c>
      <c r="I446" s="92" t="s">
        <v>3889</v>
      </c>
      <c r="K446" s="71" t="s">
        <v>217</v>
      </c>
      <c r="L446" t="s">
        <v>30</v>
      </c>
      <c r="M446" t="str">
        <f t="shared" si="32"/>
        <v>24</v>
      </c>
      <c r="N446" t="str">
        <f t="shared" si="33"/>
        <v>07</v>
      </c>
      <c r="O446" t="str">
        <f t="shared" si="30"/>
        <v>2024</v>
      </c>
      <c r="P446" t="str">
        <f t="shared" si="34"/>
        <v>24-07-2024</v>
      </c>
    </row>
    <row r="447" spans="2:16" x14ac:dyDescent="0.3">
      <c r="B447" s="70">
        <v>45498</v>
      </c>
      <c r="C447" s="70">
        <f t="shared" si="31"/>
        <v>45474</v>
      </c>
      <c r="D447" s="94">
        <v>139.38</v>
      </c>
      <c r="E447" s="94">
        <v>0</v>
      </c>
      <c r="F447" s="92" t="s">
        <v>2977</v>
      </c>
      <c r="G447" s="75"/>
      <c r="H447" s="92" t="s">
        <v>3881</v>
      </c>
      <c r="I447" s="92" t="s">
        <v>3889</v>
      </c>
      <c r="K447" s="71" t="s">
        <v>217</v>
      </c>
      <c r="L447" t="s">
        <v>30</v>
      </c>
      <c r="M447" t="str">
        <f t="shared" si="32"/>
        <v>25</v>
      </c>
      <c r="N447" t="str">
        <f t="shared" si="33"/>
        <v>07</v>
      </c>
      <c r="O447" t="str">
        <f t="shared" si="30"/>
        <v>2024</v>
      </c>
      <c r="P447" t="str">
        <f t="shared" si="34"/>
        <v>25-07-2024</v>
      </c>
    </row>
    <row r="448" spans="2:16" x14ac:dyDescent="0.3">
      <c r="B448" s="70">
        <v>45498</v>
      </c>
      <c r="C448" s="70">
        <f t="shared" si="31"/>
        <v>45474</v>
      </c>
      <c r="D448" s="94">
        <v>0</v>
      </c>
      <c r="E448" s="94">
        <v>715</v>
      </c>
      <c r="F448" s="92" t="s">
        <v>2978</v>
      </c>
      <c r="G448" s="75" t="s">
        <v>3918</v>
      </c>
      <c r="H448" s="92" t="s">
        <v>218</v>
      </c>
      <c r="I448" s="92" t="s">
        <v>3889</v>
      </c>
      <c r="K448" s="71" t="s">
        <v>218</v>
      </c>
      <c r="L448" t="s">
        <v>862</v>
      </c>
      <c r="M448" t="str">
        <f t="shared" si="32"/>
        <v>25</v>
      </c>
      <c r="N448" t="str">
        <f t="shared" si="33"/>
        <v>07</v>
      </c>
      <c r="O448" t="str">
        <f t="shared" si="30"/>
        <v>2024</v>
      </c>
      <c r="P448" t="str">
        <f t="shared" si="34"/>
        <v>25-07-2024</v>
      </c>
    </row>
    <row r="449" spans="2:16" x14ac:dyDescent="0.3">
      <c r="B449" s="70">
        <v>45499</v>
      </c>
      <c r="C449" s="70">
        <f t="shared" si="31"/>
        <v>45474</v>
      </c>
      <c r="D449" s="94">
        <v>139.38</v>
      </c>
      <c r="E449" s="94">
        <v>0</v>
      </c>
      <c r="F449" s="92" t="s">
        <v>2979</v>
      </c>
      <c r="G449" s="75"/>
      <c r="H449" s="92" t="s">
        <v>3881</v>
      </c>
      <c r="I449" s="92" t="s">
        <v>3889</v>
      </c>
      <c r="K449" s="71" t="s">
        <v>217</v>
      </c>
      <c r="L449" t="s">
        <v>30</v>
      </c>
      <c r="M449" t="str">
        <f t="shared" si="32"/>
        <v>26</v>
      </c>
      <c r="N449" t="str">
        <f t="shared" si="33"/>
        <v>07</v>
      </c>
      <c r="O449" t="str">
        <f t="shared" si="30"/>
        <v>2024</v>
      </c>
      <c r="P449" t="str">
        <f t="shared" si="34"/>
        <v>26-07-2024</v>
      </c>
    </row>
    <row r="450" spans="2:16" x14ac:dyDescent="0.3">
      <c r="B450" s="70">
        <v>45499</v>
      </c>
      <c r="C450" s="70">
        <f t="shared" si="31"/>
        <v>45474</v>
      </c>
      <c r="D450" s="94">
        <v>100</v>
      </c>
      <c r="E450" s="94">
        <v>0</v>
      </c>
      <c r="F450" s="92" t="s">
        <v>2980</v>
      </c>
      <c r="G450" s="75"/>
      <c r="H450" s="92" t="s">
        <v>589</v>
      </c>
      <c r="I450" s="92" t="s">
        <v>3892</v>
      </c>
      <c r="K450" s="71" t="s">
        <v>511</v>
      </c>
      <c r="L450" t="s">
        <v>1581</v>
      </c>
      <c r="M450" t="str">
        <f t="shared" si="32"/>
        <v>26</v>
      </c>
      <c r="N450" t="str">
        <f t="shared" si="33"/>
        <v>07</v>
      </c>
      <c r="O450" t="str">
        <f t="shared" si="30"/>
        <v>2024</v>
      </c>
      <c r="P450" t="str">
        <f t="shared" si="34"/>
        <v>26-07-2024</v>
      </c>
    </row>
    <row r="451" spans="2:16" x14ac:dyDescent="0.3">
      <c r="B451" s="70">
        <v>45500</v>
      </c>
      <c r="C451" s="70">
        <f t="shared" si="31"/>
        <v>45474</v>
      </c>
      <c r="D451" s="94">
        <v>58</v>
      </c>
      <c r="E451" s="94">
        <v>0</v>
      </c>
      <c r="F451" s="92" t="s">
        <v>2981</v>
      </c>
      <c r="G451" s="75"/>
      <c r="H451" s="92" t="s">
        <v>589</v>
      </c>
      <c r="I451" s="92" t="s">
        <v>3892</v>
      </c>
      <c r="K451" s="71" t="s">
        <v>511</v>
      </c>
      <c r="L451" t="s">
        <v>1583</v>
      </c>
      <c r="M451" t="str">
        <f t="shared" si="32"/>
        <v>27</v>
      </c>
      <c r="N451" t="str">
        <f t="shared" si="33"/>
        <v>07</v>
      </c>
      <c r="O451" t="str">
        <f t="shared" ref="O451:O514" si="35">TEXT(B451,"YYYY")</f>
        <v>2024</v>
      </c>
      <c r="P451" t="str">
        <f t="shared" si="34"/>
        <v>27-07-2024</v>
      </c>
    </row>
    <row r="452" spans="2:16" x14ac:dyDescent="0.3">
      <c r="B452" s="70">
        <v>45500</v>
      </c>
      <c r="C452" s="70">
        <f t="shared" ref="C452:C515" si="36">EOMONTH(B452,-1)+1</f>
        <v>45474</v>
      </c>
      <c r="D452" s="94">
        <v>250</v>
      </c>
      <c r="E452" s="94">
        <v>0</v>
      </c>
      <c r="F452" s="92" t="s">
        <v>2982</v>
      </c>
      <c r="G452" s="75"/>
      <c r="H452" s="92" t="s">
        <v>589</v>
      </c>
      <c r="I452" s="92" t="s">
        <v>3892</v>
      </c>
      <c r="K452" s="71" t="s">
        <v>511</v>
      </c>
      <c r="L452" t="s">
        <v>1585</v>
      </c>
      <c r="M452" t="str">
        <f t="shared" ref="M452:M515" si="37">TEXT(B452,"DD")</f>
        <v>27</v>
      </c>
      <c r="N452" t="str">
        <f t="shared" ref="N452:N515" si="38">TEXT(B452,"MM")</f>
        <v>07</v>
      </c>
      <c r="O452" t="str">
        <f t="shared" si="35"/>
        <v>2024</v>
      </c>
      <c r="P452" t="str">
        <f t="shared" ref="P452:P515" si="39">M452&amp;"-"&amp;N452&amp;"-"&amp;O452</f>
        <v>27-07-2024</v>
      </c>
    </row>
    <row r="453" spans="2:16" x14ac:dyDescent="0.3">
      <c r="B453" s="70">
        <v>45501</v>
      </c>
      <c r="C453" s="70">
        <f t="shared" si="36"/>
        <v>45474</v>
      </c>
      <c r="D453" s="94">
        <v>2068.6</v>
      </c>
      <c r="E453" s="94">
        <v>0</v>
      </c>
      <c r="F453" s="92" t="s">
        <v>2983</v>
      </c>
      <c r="G453" s="75"/>
      <c r="H453" s="92" t="s">
        <v>589</v>
      </c>
      <c r="I453" s="92" t="s">
        <v>3892</v>
      </c>
      <c r="K453" s="71" t="s">
        <v>511</v>
      </c>
      <c r="L453" t="s">
        <v>1587</v>
      </c>
      <c r="M453" t="str">
        <f t="shared" si="37"/>
        <v>28</v>
      </c>
      <c r="N453" t="str">
        <f t="shared" si="38"/>
        <v>07</v>
      </c>
      <c r="O453" t="str">
        <f t="shared" si="35"/>
        <v>2024</v>
      </c>
      <c r="P453" t="str">
        <f t="shared" si="39"/>
        <v>28-07-2024</v>
      </c>
    </row>
    <row r="454" spans="2:16" x14ac:dyDescent="0.3">
      <c r="B454" s="70">
        <v>45501</v>
      </c>
      <c r="C454" s="70">
        <f t="shared" si="36"/>
        <v>45474</v>
      </c>
      <c r="D454" s="94">
        <v>0</v>
      </c>
      <c r="E454" s="94">
        <v>10</v>
      </c>
      <c r="F454" s="92" t="s">
        <v>2984</v>
      </c>
      <c r="G454" s="75"/>
      <c r="H454" s="92" t="s">
        <v>589</v>
      </c>
      <c r="I454" s="92" t="s">
        <v>3892</v>
      </c>
      <c r="K454" s="71" t="s">
        <v>511</v>
      </c>
      <c r="L454" t="s">
        <v>1589</v>
      </c>
      <c r="M454" t="str">
        <f t="shared" si="37"/>
        <v>28</v>
      </c>
      <c r="N454" t="str">
        <f t="shared" si="38"/>
        <v>07</v>
      </c>
      <c r="O454" t="str">
        <f t="shared" si="35"/>
        <v>2024</v>
      </c>
      <c r="P454" t="str">
        <f t="shared" si="39"/>
        <v>28-07-2024</v>
      </c>
    </row>
    <row r="455" spans="2:16" x14ac:dyDescent="0.3">
      <c r="B455" s="70">
        <v>45501</v>
      </c>
      <c r="C455" s="70">
        <f t="shared" si="36"/>
        <v>45474</v>
      </c>
      <c r="D455" s="94">
        <v>10</v>
      </c>
      <c r="E455" s="94">
        <v>0</v>
      </c>
      <c r="F455" s="92" t="s">
        <v>2985</v>
      </c>
      <c r="G455" s="75"/>
      <c r="H455" s="92" t="s">
        <v>589</v>
      </c>
      <c r="I455" s="92" t="s">
        <v>3892</v>
      </c>
      <c r="K455" s="71" t="s">
        <v>511</v>
      </c>
      <c r="L455" t="s">
        <v>1591</v>
      </c>
      <c r="M455" t="str">
        <f t="shared" si="37"/>
        <v>28</v>
      </c>
      <c r="N455" t="str">
        <f t="shared" si="38"/>
        <v>07</v>
      </c>
      <c r="O455" t="str">
        <f t="shared" si="35"/>
        <v>2024</v>
      </c>
      <c r="P455" t="str">
        <f t="shared" si="39"/>
        <v>28-07-2024</v>
      </c>
    </row>
    <row r="456" spans="2:16" x14ac:dyDescent="0.3">
      <c r="B456" s="70">
        <v>45501</v>
      </c>
      <c r="C456" s="70">
        <f t="shared" si="36"/>
        <v>45474</v>
      </c>
      <c r="D456" s="94">
        <v>0</v>
      </c>
      <c r="E456" s="94">
        <v>1</v>
      </c>
      <c r="F456" s="92" t="s">
        <v>2986</v>
      </c>
      <c r="G456" s="75"/>
      <c r="H456" s="92" t="s">
        <v>589</v>
      </c>
      <c r="I456" s="92" t="s">
        <v>3892</v>
      </c>
      <c r="K456" s="71" t="s">
        <v>511</v>
      </c>
      <c r="L456" t="s">
        <v>1593</v>
      </c>
      <c r="M456" t="str">
        <f t="shared" si="37"/>
        <v>28</v>
      </c>
      <c r="N456" t="str">
        <f t="shared" si="38"/>
        <v>07</v>
      </c>
      <c r="O456" t="str">
        <f t="shared" si="35"/>
        <v>2024</v>
      </c>
      <c r="P456" t="str">
        <f t="shared" si="39"/>
        <v>28-07-2024</v>
      </c>
    </row>
    <row r="457" spans="2:16" x14ac:dyDescent="0.3">
      <c r="B457" s="70">
        <v>45501</v>
      </c>
      <c r="C457" s="70">
        <f t="shared" si="36"/>
        <v>45474</v>
      </c>
      <c r="D457" s="94">
        <v>1</v>
      </c>
      <c r="E457" s="94">
        <v>0</v>
      </c>
      <c r="F457" s="92" t="s">
        <v>2987</v>
      </c>
      <c r="G457" s="75"/>
      <c r="H457" s="92" t="s">
        <v>589</v>
      </c>
      <c r="I457" s="92" t="s">
        <v>3892</v>
      </c>
      <c r="K457" s="71" t="s">
        <v>511</v>
      </c>
      <c r="L457" t="s">
        <v>1595</v>
      </c>
      <c r="M457" t="str">
        <f t="shared" si="37"/>
        <v>28</v>
      </c>
      <c r="N457" t="str">
        <f t="shared" si="38"/>
        <v>07</v>
      </c>
      <c r="O457" t="str">
        <f t="shared" si="35"/>
        <v>2024</v>
      </c>
      <c r="P457" t="str">
        <f t="shared" si="39"/>
        <v>28-07-2024</v>
      </c>
    </row>
    <row r="458" spans="2:16" x14ac:dyDescent="0.3">
      <c r="B458" s="70">
        <v>45502</v>
      </c>
      <c r="C458" s="70">
        <f t="shared" si="36"/>
        <v>45474</v>
      </c>
      <c r="D458" s="94">
        <v>5000</v>
      </c>
      <c r="E458" s="94">
        <v>0</v>
      </c>
      <c r="F458" s="92" t="s">
        <v>2988</v>
      </c>
      <c r="G458" s="75"/>
      <c r="H458" s="92" t="s">
        <v>2538</v>
      </c>
      <c r="I458" s="92" t="s">
        <v>3889</v>
      </c>
      <c r="K458" s="71" t="s">
        <v>219</v>
      </c>
      <c r="L458" t="s">
        <v>865</v>
      </c>
      <c r="M458" t="str">
        <f t="shared" si="37"/>
        <v>29</v>
      </c>
      <c r="N458" t="str">
        <f t="shared" si="38"/>
        <v>07</v>
      </c>
      <c r="O458" t="str">
        <f t="shared" si="35"/>
        <v>2024</v>
      </c>
      <c r="P458" t="str">
        <f t="shared" si="39"/>
        <v>29-07-2024</v>
      </c>
    </row>
    <row r="459" spans="2:16" x14ac:dyDescent="0.3">
      <c r="B459" s="70">
        <v>45502</v>
      </c>
      <c r="C459" s="70">
        <f t="shared" si="36"/>
        <v>45474</v>
      </c>
      <c r="D459" s="94">
        <v>418.14</v>
      </c>
      <c r="E459" s="94">
        <v>0</v>
      </c>
      <c r="F459" s="92" t="s">
        <v>2989</v>
      </c>
      <c r="G459" s="75"/>
      <c r="H459" s="92" t="s">
        <v>3881</v>
      </c>
      <c r="I459" s="92" t="s">
        <v>3889</v>
      </c>
      <c r="K459" s="71" t="s">
        <v>217</v>
      </c>
      <c r="L459" t="s">
        <v>30</v>
      </c>
      <c r="M459" t="str">
        <f t="shared" si="37"/>
        <v>29</v>
      </c>
      <c r="N459" t="str">
        <f t="shared" si="38"/>
        <v>07</v>
      </c>
      <c r="O459" t="str">
        <f t="shared" si="35"/>
        <v>2024</v>
      </c>
      <c r="P459" t="str">
        <f t="shared" si="39"/>
        <v>29-07-2024</v>
      </c>
    </row>
    <row r="460" spans="2:16" x14ac:dyDescent="0.3">
      <c r="B460" s="70">
        <v>45502</v>
      </c>
      <c r="C460" s="70">
        <f t="shared" si="36"/>
        <v>45474</v>
      </c>
      <c r="D460" s="94">
        <v>35</v>
      </c>
      <c r="E460" s="94">
        <v>0</v>
      </c>
      <c r="F460" s="92" t="s">
        <v>2990</v>
      </c>
      <c r="G460" s="75"/>
      <c r="H460" s="92" t="s">
        <v>589</v>
      </c>
      <c r="I460" s="92" t="s">
        <v>3892</v>
      </c>
      <c r="K460" s="71" t="s">
        <v>511</v>
      </c>
      <c r="L460" t="s">
        <v>1597</v>
      </c>
      <c r="M460" t="str">
        <f t="shared" si="37"/>
        <v>29</v>
      </c>
      <c r="N460" t="str">
        <f t="shared" si="38"/>
        <v>07</v>
      </c>
      <c r="O460" t="str">
        <f t="shared" si="35"/>
        <v>2024</v>
      </c>
      <c r="P460" t="str">
        <f t="shared" si="39"/>
        <v>29-07-2024</v>
      </c>
    </row>
    <row r="461" spans="2:16" x14ac:dyDescent="0.3">
      <c r="B461" s="70">
        <v>45503</v>
      </c>
      <c r="C461" s="70">
        <f t="shared" si="36"/>
        <v>45474</v>
      </c>
      <c r="D461" s="94">
        <v>5000</v>
      </c>
      <c r="E461" s="94">
        <v>0</v>
      </c>
      <c r="F461" s="92" t="s">
        <v>2991</v>
      </c>
      <c r="G461" s="75"/>
      <c r="H461" s="92" t="s">
        <v>2538</v>
      </c>
      <c r="I461" s="92" t="s">
        <v>3889</v>
      </c>
      <c r="K461" s="71" t="s">
        <v>219</v>
      </c>
      <c r="L461" t="s">
        <v>868</v>
      </c>
      <c r="M461" t="str">
        <f t="shared" si="37"/>
        <v>30</v>
      </c>
      <c r="N461" t="str">
        <f t="shared" si="38"/>
        <v>07</v>
      </c>
      <c r="O461" t="str">
        <f t="shared" si="35"/>
        <v>2024</v>
      </c>
      <c r="P461" t="str">
        <f t="shared" si="39"/>
        <v>30-07-2024</v>
      </c>
    </row>
    <row r="462" spans="2:16" x14ac:dyDescent="0.3">
      <c r="B462" s="70">
        <v>45503</v>
      </c>
      <c r="C462" s="70">
        <f t="shared" si="36"/>
        <v>45474</v>
      </c>
      <c r="D462" s="94">
        <v>139.38</v>
      </c>
      <c r="E462" s="94">
        <v>0</v>
      </c>
      <c r="F462" s="92" t="s">
        <v>2992</v>
      </c>
      <c r="G462" s="75"/>
      <c r="H462" s="92" t="s">
        <v>3881</v>
      </c>
      <c r="I462" s="92" t="s">
        <v>3889</v>
      </c>
      <c r="K462" s="71" t="s">
        <v>217</v>
      </c>
      <c r="L462" t="s">
        <v>30</v>
      </c>
      <c r="M462" t="str">
        <f t="shared" si="37"/>
        <v>30</v>
      </c>
      <c r="N462" t="str">
        <f t="shared" si="38"/>
        <v>07</v>
      </c>
      <c r="O462" t="str">
        <f t="shared" si="35"/>
        <v>2024</v>
      </c>
      <c r="P462" t="str">
        <f t="shared" si="39"/>
        <v>30-07-2024</v>
      </c>
    </row>
    <row r="463" spans="2:16" x14ac:dyDescent="0.3">
      <c r="B463" s="70">
        <v>45503</v>
      </c>
      <c r="C463" s="70">
        <f t="shared" si="36"/>
        <v>45474</v>
      </c>
      <c r="D463" s="94">
        <v>0</v>
      </c>
      <c r="E463" s="94">
        <v>150</v>
      </c>
      <c r="F463" s="92" t="s">
        <v>2993</v>
      </c>
      <c r="G463" s="75" t="s">
        <v>3919</v>
      </c>
      <c r="H463" s="92" t="s">
        <v>218</v>
      </c>
      <c r="I463" s="92" t="s">
        <v>3893</v>
      </c>
      <c r="K463" s="71" t="s">
        <v>218</v>
      </c>
      <c r="L463" t="s">
        <v>1424</v>
      </c>
      <c r="M463" t="str">
        <f t="shared" si="37"/>
        <v>30</v>
      </c>
      <c r="N463" t="str">
        <f t="shared" si="38"/>
        <v>07</v>
      </c>
      <c r="O463" t="str">
        <f t="shared" si="35"/>
        <v>2024</v>
      </c>
      <c r="P463" t="str">
        <f t="shared" si="39"/>
        <v>30-07-2024</v>
      </c>
    </row>
    <row r="464" spans="2:16" x14ac:dyDescent="0.3">
      <c r="B464" s="70">
        <v>45504</v>
      </c>
      <c r="C464" s="70">
        <f t="shared" si="36"/>
        <v>45474</v>
      </c>
      <c r="D464" s="94">
        <v>139.38</v>
      </c>
      <c r="E464" s="94">
        <v>0</v>
      </c>
      <c r="F464" s="92" t="s">
        <v>2994</v>
      </c>
      <c r="G464" s="75"/>
      <c r="H464" s="92" t="s">
        <v>3881</v>
      </c>
      <c r="I464" s="92" t="s">
        <v>3889</v>
      </c>
      <c r="K464" s="71" t="s">
        <v>217</v>
      </c>
      <c r="L464" t="s">
        <v>30</v>
      </c>
      <c r="M464" t="str">
        <f t="shared" si="37"/>
        <v>31</v>
      </c>
      <c r="N464" t="str">
        <f t="shared" si="38"/>
        <v>07</v>
      </c>
      <c r="O464" t="str">
        <f t="shared" si="35"/>
        <v>2024</v>
      </c>
      <c r="P464" t="str">
        <f t="shared" si="39"/>
        <v>31-07-2024</v>
      </c>
    </row>
    <row r="465" spans="2:16" x14ac:dyDescent="0.3">
      <c r="B465" s="70">
        <v>45504</v>
      </c>
      <c r="C465" s="70">
        <f t="shared" si="36"/>
        <v>45474</v>
      </c>
      <c r="D465" s="94">
        <v>0</v>
      </c>
      <c r="E465" s="94">
        <v>67921</v>
      </c>
      <c r="F465" s="92" t="s">
        <v>2995</v>
      </c>
      <c r="G465" s="75"/>
      <c r="H465" s="92" t="s">
        <v>507</v>
      </c>
      <c r="I465" s="92" t="s">
        <v>3892</v>
      </c>
      <c r="K465" s="71" t="s">
        <v>507</v>
      </c>
      <c r="L465" t="s">
        <v>358</v>
      </c>
      <c r="M465" t="str">
        <f t="shared" si="37"/>
        <v>31</v>
      </c>
      <c r="N465" t="str">
        <f t="shared" si="38"/>
        <v>07</v>
      </c>
      <c r="O465" t="str">
        <f t="shared" si="35"/>
        <v>2024</v>
      </c>
      <c r="P465" t="str">
        <f t="shared" si="39"/>
        <v>31-07-2024</v>
      </c>
    </row>
    <row r="466" spans="2:16" x14ac:dyDescent="0.3">
      <c r="B466" s="70">
        <v>45504</v>
      </c>
      <c r="C466" s="70">
        <f t="shared" si="36"/>
        <v>45474</v>
      </c>
      <c r="D466" s="94">
        <v>30</v>
      </c>
      <c r="E466" s="94">
        <v>0</v>
      </c>
      <c r="F466" s="92" t="s">
        <v>2996</v>
      </c>
      <c r="G466" s="75"/>
      <c r="H466" s="92" t="s">
        <v>589</v>
      </c>
      <c r="I466" s="92" t="s">
        <v>3892</v>
      </c>
      <c r="K466" s="71" t="s">
        <v>511</v>
      </c>
      <c r="L466" t="s">
        <v>1600</v>
      </c>
      <c r="M466" t="str">
        <f t="shared" si="37"/>
        <v>31</v>
      </c>
      <c r="N466" t="str">
        <f t="shared" si="38"/>
        <v>07</v>
      </c>
      <c r="O466" t="str">
        <f t="shared" si="35"/>
        <v>2024</v>
      </c>
      <c r="P466" t="str">
        <f t="shared" si="39"/>
        <v>31-07-2024</v>
      </c>
    </row>
    <row r="467" spans="2:16" x14ac:dyDescent="0.3">
      <c r="B467" s="70">
        <v>45505</v>
      </c>
      <c r="C467" s="70">
        <f t="shared" si="36"/>
        <v>45505</v>
      </c>
      <c r="D467" s="94">
        <v>139.38</v>
      </c>
      <c r="E467" s="94">
        <v>0</v>
      </c>
      <c r="F467" s="92" t="s">
        <v>2997</v>
      </c>
      <c r="G467" s="75"/>
      <c r="H467" s="92" t="s">
        <v>3881</v>
      </c>
      <c r="I467" s="92" t="s">
        <v>3889</v>
      </c>
      <c r="K467" s="71" t="s">
        <v>217</v>
      </c>
      <c r="L467" t="s">
        <v>30</v>
      </c>
      <c r="M467" t="str">
        <f t="shared" si="37"/>
        <v>01</v>
      </c>
      <c r="N467" t="str">
        <f t="shared" si="38"/>
        <v>08</v>
      </c>
      <c r="O467" t="str">
        <f t="shared" si="35"/>
        <v>2024</v>
      </c>
      <c r="P467" t="str">
        <f t="shared" si="39"/>
        <v>01-08-2024</v>
      </c>
    </row>
    <row r="468" spans="2:16" x14ac:dyDescent="0.3">
      <c r="B468" s="70">
        <v>45505</v>
      </c>
      <c r="C468" s="70">
        <f t="shared" si="36"/>
        <v>45505</v>
      </c>
      <c r="D468" s="94">
        <v>85</v>
      </c>
      <c r="E468" s="94">
        <v>0</v>
      </c>
      <c r="F468" s="92" t="s">
        <v>2998</v>
      </c>
      <c r="G468" s="75"/>
      <c r="H468" s="92" t="s">
        <v>589</v>
      </c>
      <c r="I468" s="92" t="s">
        <v>3892</v>
      </c>
      <c r="K468" s="71" t="s">
        <v>511</v>
      </c>
      <c r="L468" t="s">
        <v>1602</v>
      </c>
      <c r="M468" t="str">
        <f t="shared" si="37"/>
        <v>01</v>
      </c>
      <c r="N468" t="str">
        <f t="shared" si="38"/>
        <v>08</v>
      </c>
      <c r="O468" t="str">
        <f t="shared" si="35"/>
        <v>2024</v>
      </c>
      <c r="P468" t="str">
        <f t="shared" si="39"/>
        <v>01-08-2024</v>
      </c>
    </row>
    <row r="469" spans="2:16" x14ac:dyDescent="0.3">
      <c r="B469" s="70">
        <v>45505</v>
      </c>
      <c r="C469" s="70">
        <f t="shared" si="36"/>
        <v>45505</v>
      </c>
      <c r="D469" s="94">
        <v>0</v>
      </c>
      <c r="E469" s="94">
        <v>1</v>
      </c>
      <c r="F469" s="92" t="s">
        <v>2999</v>
      </c>
      <c r="G469" s="92" t="s">
        <v>2573</v>
      </c>
      <c r="H469" s="92" t="s">
        <v>227</v>
      </c>
      <c r="I469" s="92" t="s">
        <v>3894</v>
      </c>
      <c r="K469" s="71" t="s">
        <v>227</v>
      </c>
      <c r="L469" t="s">
        <v>2564</v>
      </c>
      <c r="M469" t="str">
        <f t="shared" si="37"/>
        <v>01</v>
      </c>
      <c r="N469" t="str">
        <f t="shared" si="38"/>
        <v>08</v>
      </c>
      <c r="O469" t="str">
        <f t="shared" si="35"/>
        <v>2024</v>
      </c>
      <c r="P469" t="str">
        <f t="shared" si="39"/>
        <v>01-08-2024</v>
      </c>
    </row>
    <row r="470" spans="2:16" x14ac:dyDescent="0.3">
      <c r="B470" s="70">
        <v>45506</v>
      </c>
      <c r="C470" s="70">
        <f t="shared" si="36"/>
        <v>45505</v>
      </c>
      <c r="D470" s="94">
        <v>139.38</v>
      </c>
      <c r="E470" s="94">
        <v>0</v>
      </c>
      <c r="F470" s="92" t="s">
        <v>3000</v>
      </c>
      <c r="G470" s="75"/>
      <c r="H470" s="92" t="s">
        <v>3881</v>
      </c>
      <c r="I470" s="92" t="s">
        <v>3889</v>
      </c>
      <c r="K470" s="71" t="s">
        <v>217</v>
      </c>
      <c r="L470" t="s">
        <v>30</v>
      </c>
      <c r="M470" t="str">
        <f t="shared" si="37"/>
        <v>02</v>
      </c>
      <c r="N470" t="str">
        <f t="shared" si="38"/>
        <v>08</v>
      </c>
      <c r="O470" t="str">
        <f t="shared" si="35"/>
        <v>2024</v>
      </c>
      <c r="P470" t="str">
        <f t="shared" si="39"/>
        <v>02-08-2024</v>
      </c>
    </row>
    <row r="471" spans="2:16" x14ac:dyDescent="0.3">
      <c r="B471" s="70">
        <v>45506</v>
      </c>
      <c r="C471" s="70">
        <f t="shared" si="36"/>
        <v>45505</v>
      </c>
      <c r="D471" s="94">
        <v>0</v>
      </c>
      <c r="E471" s="94">
        <v>1582.5</v>
      </c>
      <c r="F471" s="92" t="s">
        <v>3001</v>
      </c>
      <c r="G471" s="75" t="s">
        <v>3902</v>
      </c>
      <c r="H471" s="92" t="s">
        <v>218</v>
      </c>
      <c r="I471" s="92" t="s">
        <v>3889</v>
      </c>
      <c r="K471" s="71" t="s">
        <v>218</v>
      </c>
      <c r="L471" t="s">
        <v>874</v>
      </c>
      <c r="M471" t="str">
        <f t="shared" si="37"/>
        <v>02</v>
      </c>
      <c r="N471" t="str">
        <f t="shared" si="38"/>
        <v>08</v>
      </c>
      <c r="O471" t="str">
        <f t="shared" si="35"/>
        <v>2024</v>
      </c>
      <c r="P471" t="str">
        <f t="shared" si="39"/>
        <v>02-08-2024</v>
      </c>
    </row>
    <row r="472" spans="2:16" x14ac:dyDescent="0.3">
      <c r="B472" s="70">
        <v>45506</v>
      </c>
      <c r="C472" s="70">
        <f t="shared" si="36"/>
        <v>45505</v>
      </c>
      <c r="D472" s="94">
        <v>60</v>
      </c>
      <c r="E472" s="94">
        <v>0</v>
      </c>
      <c r="F472" s="92" t="s">
        <v>3002</v>
      </c>
      <c r="G472" s="75"/>
      <c r="H472" s="92" t="s">
        <v>589</v>
      </c>
      <c r="I472" s="92" t="s">
        <v>3892</v>
      </c>
      <c r="K472" s="71" t="s">
        <v>511</v>
      </c>
      <c r="L472" t="s">
        <v>1604</v>
      </c>
      <c r="M472" t="str">
        <f t="shared" si="37"/>
        <v>02</v>
      </c>
      <c r="N472" t="str">
        <f t="shared" si="38"/>
        <v>08</v>
      </c>
      <c r="O472" t="str">
        <f t="shared" si="35"/>
        <v>2024</v>
      </c>
      <c r="P472" t="str">
        <f t="shared" si="39"/>
        <v>02-08-2024</v>
      </c>
    </row>
    <row r="473" spans="2:16" x14ac:dyDescent="0.3">
      <c r="B473" s="70">
        <v>45507</v>
      </c>
      <c r="C473" s="70">
        <f t="shared" si="36"/>
        <v>45505</v>
      </c>
      <c r="D473" s="94">
        <v>132</v>
      </c>
      <c r="E473" s="94">
        <v>0</v>
      </c>
      <c r="F473" s="92" t="s">
        <v>3003</v>
      </c>
      <c r="G473" s="75"/>
      <c r="H473" s="92" t="s">
        <v>589</v>
      </c>
      <c r="I473" s="92" t="s">
        <v>3892</v>
      </c>
      <c r="K473" s="71" t="s">
        <v>511</v>
      </c>
      <c r="L473" t="s">
        <v>1606</v>
      </c>
      <c r="M473" t="str">
        <f t="shared" si="37"/>
        <v>03</v>
      </c>
      <c r="N473" t="str">
        <f t="shared" si="38"/>
        <v>08</v>
      </c>
      <c r="O473" t="str">
        <f t="shared" si="35"/>
        <v>2024</v>
      </c>
      <c r="P473" t="str">
        <f t="shared" si="39"/>
        <v>03-08-2024</v>
      </c>
    </row>
    <row r="474" spans="2:16" x14ac:dyDescent="0.3">
      <c r="B474" s="70">
        <v>45507</v>
      </c>
      <c r="C474" s="70">
        <f t="shared" si="36"/>
        <v>45505</v>
      </c>
      <c r="D474" s="94">
        <v>7764.15</v>
      </c>
      <c r="E474" s="94">
        <v>0</v>
      </c>
      <c r="F474" s="92" t="s">
        <v>3004</v>
      </c>
      <c r="G474" s="75"/>
      <c r="H474" s="92" t="s">
        <v>589</v>
      </c>
      <c r="I474" s="92" t="s">
        <v>3892</v>
      </c>
      <c r="K474" s="71" t="s">
        <v>511</v>
      </c>
      <c r="L474" t="s">
        <v>1608</v>
      </c>
      <c r="M474" t="str">
        <f t="shared" si="37"/>
        <v>03</v>
      </c>
      <c r="N474" t="str">
        <f t="shared" si="38"/>
        <v>08</v>
      </c>
      <c r="O474" t="str">
        <f t="shared" si="35"/>
        <v>2024</v>
      </c>
      <c r="P474" t="str">
        <f t="shared" si="39"/>
        <v>03-08-2024</v>
      </c>
    </row>
    <row r="475" spans="2:16" x14ac:dyDescent="0.3">
      <c r="B475" s="70">
        <v>45507</v>
      </c>
      <c r="C475" s="70">
        <f t="shared" si="36"/>
        <v>45505</v>
      </c>
      <c r="D475" s="94">
        <v>35</v>
      </c>
      <c r="E475" s="94">
        <v>0</v>
      </c>
      <c r="F475" s="92" t="s">
        <v>3005</v>
      </c>
      <c r="G475" s="75"/>
      <c r="H475" s="92" t="s">
        <v>589</v>
      </c>
      <c r="I475" s="92" t="s">
        <v>3892</v>
      </c>
      <c r="K475" s="71" t="s">
        <v>511</v>
      </c>
      <c r="L475" t="s">
        <v>1610</v>
      </c>
      <c r="M475" t="str">
        <f t="shared" si="37"/>
        <v>03</v>
      </c>
      <c r="N475" t="str">
        <f t="shared" si="38"/>
        <v>08</v>
      </c>
      <c r="O475" t="str">
        <f t="shared" si="35"/>
        <v>2024</v>
      </c>
      <c r="P475" t="str">
        <f t="shared" si="39"/>
        <v>03-08-2024</v>
      </c>
    </row>
    <row r="476" spans="2:16" x14ac:dyDescent="0.3">
      <c r="B476" s="70">
        <v>45508</v>
      </c>
      <c r="C476" s="70">
        <f t="shared" si="36"/>
        <v>45505</v>
      </c>
      <c r="D476" s="94">
        <v>15000</v>
      </c>
      <c r="E476" s="94">
        <v>0</v>
      </c>
      <c r="F476" s="92" t="s">
        <v>3006</v>
      </c>
      <c r="G476" s="75"/>
      <c r="H476" s="92" t="s">
        <v>512</v>
      </c>
      <c r="I476" s="92" t="s">
        <v>3892</v>
      </c>
      <c r="K476" s="71" t="s">
        <v>512</v>
      </c>
      <c r="L476" t="s">
        <v>1612</v>
      </c>
      <c r="M476" t="str">
        <f t="shared" si="37"/>
        <v>04</v>
      </c>
      <c r="N476" t="str">
        <f t="shared" si="38"/>
        <v>08</v>
      </c>
      <c r="O476" t="str">
        <f t="shared" si="35"/>
        <v>2024</v>
      </c>
      <c r="P476" t="str">
        <f t="shared" si="39"/>
        <v>04-08-2024</v>
      </c>
    </row>
    <row r="477" spans="2:16" x14ac:dyDescent="0.3">
      <c r="B477" s="70">
        <v>45509</v>
      </c>
      <c r="C477" s="70">
        <f t="shared" si="36"/>
        <v>45505</v>
      </c>
      <c r="D477" s="94">
        <v>0</v>
      </c>
      <c r="E477" s="94">
        <v>600</v>
      </c>
      <c r="F477" s="92" t="s">
        <v>3007</v>
      </c>
      <c r="G477" s="75" t="s">
        <v>3908</v>
      </c>
      <c r="H477" s="92" t="s">
        <v>218</v>
      </c>
      <c r="I477" s="92" t="s">
        <v>3889</v>
      </c>
      <c r="K477" s="71" t="s">
        <v>218</v>
      </c>
      <c r="L477" t="s">
        <v>876</v>
      </c>
      <c r="M477" t="str">
        <f t="shared" si="37"/>
        <v>05</v>
      </c>
      <c r="N477" t="str">
        <f t="shared" si="38"/>
        <v>08</v>
      </c>
      <c r="O477" t="str">
        <f t="shared" si="35"/>
        <v>2024</v>
      </c>
      <c r="P477" t="str">
        <f t="shared" si="39"/>
        <v>05-08-2024</v>
      </c>
    </row>
    <row r="478" spans="2:16" x14ac:dyDescent="0.3">
      <c r="B478" s="70">
        <v>45509</v>
      </c>
      <c r="C478" s="70">
        <f t="shared" si="36"/>
        <v>45505</v>
      </c>
      <c r="D478" s="94">
        <v>418.14</v>
      </c>
      <c r="E478" s="94">
        <v>0</v>
      </c>
      <c r="F478" s="92" t="s">
        <v>3008</v>
      </c>
      <c r="G478" s="75"/>
      <c r="H478" s="92" t="s">
        <v>3881</v>
      </c>
      <c r="I478" s="92" t="s">
        <v>3889</v>
      </c>
      <c r="K478" s="71" t="s">
        <v>217</v>
      </c>
      <c r="L478" t="s">
        <v>30</v>
      </c>
      <c r="M478" t="str">
        <f t="shared" si="37"/>
        <v>05</v>
      </c>
      <c r="N478" t="str">
        <f t="shared" si="38"/>
        <v>08</v>
      </c>
      <c r="O478" t="str">
        <f t="shared" si="35"/>
        <v>2024</v>
      </c>
      <c r="P478" t="str">
        <f t="shared" si="39"/>
        <v>05-08-2024</v>
      </c>
    </row>
    <row r="479" spans="2:16" x14ac:dyDescent="0.3">
      <c r="B479" s="70">
        <v>45509</v>
      </c>
      <c r="C479" s="70">
        <f t="shared" si="36"/>
        <v>45505</v>
      </c>
      <c r="D479" s="94">
        <v>0</v>
      </c>
      <c r="E479" s="94">
        <v>160</v>
      </c>
      <c r="F479" s="92" t="s">
        <v>3009</v>
      </c>
      <c r="G479" s="75" t="s">
        <v>3904</v>
      </c>
      <c r="H479" s="92" t="s">
        <v>218</v>
      </c>
      <c r="I479" s="92" t="s">
        <v>3889</v>
      </c>
      <c r="K479" s="71" t="s">
        <v>218</v>
      </c>
      <c r="L479" t="s">
        <v>879</v>
      </c>
      <c r="M479" t="str">
        <f t="shared" si="37"/>
        <v>05</v>
      </c>
      <c r="N479" t="str">
        <f t="shared" si="38"/>
        <v>08</v>
      </c>
      <c r="O479" t="str">
        <f t="shared" si="35"/>
        <v>2024</v>
      </c>
      <c r="P479" t="str">
        <f t="shared" si="39"/>
        <v>05-08-2024</v>
      </c>
    </row>
    <row r="480" spans="2:16" x14ac:dyDescent="0.3">
      <c r="B480" s="70">
        <v>45509</v>
      </c>
      <c r="C480" s="70">
        <f t="shared" si="36"/>
        <v>45505</v>
      </c>
      <c r="D480" s="94">
        <v>0</v>
      </c>
      <c r="E480" s="94">
        <v>720</v>
      </c>
      <c r="F480" s="92" t="s">
        <v>3010</v>
      </c>
      <c r="G480" s="75" t="s">
        <v>3899</v>
      </c>
      <c r="H480" s="92" t="s">
        <v>218</v>
      </c>
      <c r="I480" s="92" t="s">
        <v>3889</v>
      </c>
      <c r="K480" s="71" t="s">
        <v>218</v>
      </c>
      <c r="L480" t="s">
        <v>881</v>
      </c>
      <c r="M480" t="str">
        <f t="shared" si="37"/>
        <v>05</v>
      </c>
      <c r="N480" t="str">
        <f t="shared" si="38"/>
        <v>08</v>
      </c>
      <c r="O480" t="str">
        <f t="shared" si="35"/>
        <v>2024</v>
      </c>
      <c r="P480" t="str">
        <f t="shared" si="39"/>
        <v>05-08-2024</v>
      </c>
    </row>
    <row r="481" spans="2:16" x14ac:dyDescent="0.3">
      <c r="B481" s="70">
        <v>45509</v>
      </c>
      <c r="C481" s="70">
        <f t="shared" si="36"/>
        <v>45505</v>
      </c>
      <c r="D481" s="94">
        <v>428</v>
      </c>
      <c r="E481" s="94">
        <v>0</v>
      </c>
      <c r="F481" s="92" t="s">
        <v>3011</v>
      </c>
      <c r="G481" s="75"/>
      <c r="H481" s="92" t="s">
        <v>589</v>
      </c>
      <c r="I481" s="92" t="s">
        <v>3893</v>
      </c>
      <c r="K481" s="71" t="s">
        <v>511</v>
      </c>
      <c r="L481" t="s">
        <v>1425</v>
      </c>
      <c r="M481" t="str">
        <f t="shared" si="37"/>
        <v>05</v>
      </c>
      <c r="N481" t="str">
        <f t="shared" si="38"/>
        <v>08</v>
      </c>
      <c r="O481" t="str">
        <f t="shared" si="35"/>
        <v>2024</v>
      </c>
      <c r="P481" t="str">
        <f t="shared" si="39"/>
        <v>05-08-2024</v>
      </c>
    </row>
    <row r="482" spans="2:16" x14ac:dyDescent="0.3">
      <c r="B482" s="70">
        <v>45509</v>
      </c>
      <c r="C482" s="70">
        <f t="shared" si="36"/>
        <v>45505</v>
      </c>
      <c r="D482" s="94">
        <v>10000</v>
      </c>
      <c r="E482" s="94">
        <v>0</v>
      </c>
      <c r="F482" s="92" t="s">
        <v>3012</v>
      </c>
      <c r="G482" s="75"/>
      <c r="H482" s="92" t="s">
        <v>2538</v>
      </c>
      <c r="I482" s="92" t="s">
        <v>3892</v>
      </c>
      <c r="K482" s="71" t="s">
        <v>2533</v>
      </c>
      <c r="L482" t="s">
        <v>1614</v>
      </c>
      <c r="M482" t="str">
        <f t="shared" si="37"/>
        <v>05</v>
      </c>
      <c r="N482" t="str">
        <f t="shared" si="38"/>
        <v>08</v>
      </c>
      <c r="O482" t="str">
        <f t="shared" si="35"/>
        <v>2024</v>
      </c>
      <c r="P482" t="str">
        <f t="shared" si="39"/>
        <v>05-08-2024</v>
      </c>
    </row>
    <row r="483" spans="2:16" x14ac:dyDescent="0.3">
      <c r="B483" s="70">
        <v>45509</v>
      </c>
      <c r="C483" s="70">
        <f t="shared" si="36"/>
        <v>45505</v>
      </c>
      <c r="D483" s="94">
        <v>85</v>
      </c>
      <c r="E483" s="94">
        <v>0</v>
      </c>
      <c r="F483" s="92" t="s">
        <v>3013</v>
      </c>
      <c r="G483" s="75"/>
      <c r="H483" s="92" t="s">
        <v>589</v>
      </c>
      <c r="I483" s="92" t="s">
        <v>3892</v>
      </c>
      <c r="K483" s="71" t="s">
        <v>511</v>
      </c>
      <c r="L483" t="s">
        <v>1616</v>
      </c>
      <c r="M483" t="str">
        <f t="shared" si="37"/>
        <v>05</v>
      </c>
      <c r="N483" t="str">
        <f t="shared" si="38"/>
        <v>08</v>
      </c>
      <c r="O483" t="str">
        <f t="shared" si="35"/>
        <v>2024</v>
      </c>
      <c r="P483" t="str">
        <f t="shared" si="39"/>
        <v>05-08-2024</v>
      </c>
    </row>
    <row r="484" spans="2:16" x14ac:dyDescent="0.3">
      <c r="B484" s="70">
        <v>45510</v>
      </c>
      <c r="C484" s="70">
        <f t="shared" si="36"/>
        <v>45505</v>
      </c>
      <c r="D484" s="94">
        <v>139.38</v>
      </c>
      <c r="E484" s="94">
        <v>0</v>
      </c>
      <c r="F484" s="92" t="s">
        <v>3014</v>
      </c>
      <c r="G484" s="75"/>
      <c r="H484" s="92" t="s">
        <v>3881</v>
      </c>
      <c r="I484" s="92" t="s">
        <v>3889</v>
      </c>
      <c r="K484" s="71" t="s">
        <v>217</v>
      </c>
      <c r="L484" t="s">
        <v>30</v>
      </c>
      <c r="M484" t="str">
        <f t="shared" si="37"/>
        <v>06</v>
      </c>
      <c r="N484" t="str">
        <f t="shared" si="38"/>
        <v>08</v>
      </c>
      <c r="O484" t="str">
        <f t="shared" si="35"/>
        <v>2024</v>
      </c>
      <c r="P484" t="str">
        <f t="shared" si="39"/>
        <v>06-08-2024</v>
      </c>
    </row>
    <row r="485" spans="2:16" x14ac:dyDescent="0.3">
      <c r="B485" s="70">
        <v>45510</v>
      </c>
      <c r="C485" s="70">
        <f t="shared" si="36"/>
        <v>45505</v>
      </c>
      <c r="D485" s="94">
        <v>0</v>
      </c>
      <c r="E485" s="94">
        <v>22.5</v>
      </c>
      <c r="F485" s="92" t="s">
        <v>3015</v>
      </c>
      <c r="G485" s="75" t="s">
        <v>3920</v>
      </c>
      <c r="H485" s="92" t="s">
        <v>218</v>
      </c>
      <c r="I485" s="92" t="s">
        <v>3893</v>
      </c>
      <c r="K485" s="71" t="s">
        <v>218</v>
      </c>
      <c r="L485" t="s">
        <v>1426</v>
      </c>
      <c r="M485" t="str">
        <f t="shared" si="37"/>
        <v>06</v>
      </c>
      <c r="N485" t="str">
        <f t="shared" si="38"/>
        <v>08</v>
      </c>
      <c r="O485" t="str">
        <f t="shared" si="35"/>
        <v>2024</v>
      </c>
      <c r="P485" t="str">
        <f t="shared" si="39"/>
        <v>06-08-2024</v>
      </c>
    </row>
    <row r="486" spans="2:16" x14ac:dyDescent="0.3">
      <c r="B486" s="70">
        <v>45510</v>
      </c>
      <c r="C486" s="70">
        <f t="shared" si="36"/>
        <v>45505</v>
      </c>
      <c r="D486" s="94">
        <v>100</v>
      </c>
      <c r="E486" s="94">
        <v>0</v>
      </c>
      <c r="F486" s="92" t="s">
        <v>3016</v>
      </c>
      <c r="G486" s="75"/>
      <c r="H486" s="92" t="s">
        <v>589</v>
      </c>
      <c r="I486" s="92" t="s">
        <v>3892</v>
      </c>
      <c r="K486" s="71" t="s">
        <v>511</v>
      </c>
      <c r="L486" t="s">
        <v>1618</v>
      </c>
      <c r="M486" t="str">
        <f t="shared" si="37"/>
        <v>06</v>
      </c>
      <c r="N486" t="str">
        <f t="shared" si="38"/>
        <v>08</v>
      </c>
      <c r="O486" t="str">
        <f t="shared" si="35"/>
        <v>2024</v>
      </c>
      <c r="P486" t="str">
        <f t="shared" si="39"/>
        <v>06-08-2024</v>
      </c>
    </row>
    <row r="487" spans="2:16" x14ac:dyDescent="0.3">
      <c r="B487" s="70">
        <v>45511</v>
      </c>
      <c r="C487" s="70">
        <f t="shared" si="36"/>
        <v>45505</v>
      </c>
      <c r="D487" s="94">
        <v>139.38</v>
      </c>
      <c r="E487" s="94">
        <v>0</v>
      </c>
      <c r="F487" s="92" t="s">
        <v>3017</v>
      </c>
      <c r="G487" s="75"/>
      <c r="H487" s="92" t="s">
        <v>3881</v>
      </c>
      <c r="I487" s="92" t="s">
        <v>3889</v>
      </c>
      <c r="K487" s="71" t="s">
        <v>217</v>
      </c>
      <c r="L487" t="s">
        <v>30</v>
      </c>
      <c r="M487" t="str">
        <f t="shared" si="37"/>
        <v>07</v>
      </c>
      <c r="N487" t="str">
        <f t="shared" si="38"/>
        <v>08</v>
      </c>
      <c r="O487" t="str">
        <f t="shared" si="35"/>
        <v>2024</v>
      </c>
      <c r="P487" t="str">
        <f t="shared" si="39"/>
        <v>07-08-2024</v>
      </c>
    </row>
    <row r="488" spans="2:16" x14ac:dyDescent="0.3">
      <c r="B488" s="70">
        <v>45511</v>
      </c>
      <c r="C488" s="70">
        <f t="shared" si="36"/>
        <v>45505</v>
      </c>
      <c r="D488" s="94">
        <v>0</v>
      </c>
      <c r="E488" s="94">
        <v>1880</v>
      </c>
      <c r="F488" s="92" t="s">
        <v>3018</v>
      </c>
      <c r="G488" s="92" t="s">
        <v>222</v>
      </c>
      <c r="H488" s="92" t="s">
        <v>3876</v>
      </c>
      <c r="I488" s="92" t="s">
        <v>3889</v>
      </c>
      <c r="K488" s="71" t="s">
        <v>222</v>
      </c>
      <c r="L488" t="s">
        <v>885</v>
      </c>
      <c r="M488" t="str">
        <f t="shared" si="37"/>
        <v>07</v>
      </c>
      <c r="N488" t="str">
        <f t="shared" si="38"/>
        <v>08</v>
      </c>
      <c r="O488" t="str">
        <f t="shared" si="35"/>
        <v>2024</v>
      </c>
      <c r="P488" t="str">
        <f t="shared" si="39"/>
        <v>07-08-2024</v>
      </c>
    </row>
    <row r="489" spans="2:16" x14ac:dyDescent="0.3">
      <c r="B489" s="70">
        <v>45511</v>
      </c>
      <c r="C489" s="70">
        <f t="shared" si="36"/>
        <v>45505</v>
      </c>
      <c r="D489" s="94">
        <v>2500</v>
      </c>
      <c r="E489" s="94">
        <v>0</v>
      </c>
      <c r="F489" s="92" t="s">
        <v>3019</v>
      </c>
      <c r="G489" s="75"/>
      <c r="H489" s="92" t="s">
        <v>589</v>
      </c>
      <c r="I489" s="92" t="s">
        <v>3892</v>
      </c>
      <c r="K489" s="71" t="s">
        <v>511</v>
      </c>
      <c r="L489" t="s">
        <v>1620</v>
      </c>
      <c r="M489" t="str">
        <f t="shared" si="37"/>
        <v>07</v>
      </c>
      <c r="N489" t="str">
        <f t="shared" si="38"/>
        <v>08</v>
      </c>
      <c r="O489" t="str">
        <f t="shared" si="35"/>
        <v>2024</v>
      </c>
      <c r="P489" t="str">
        <f t="shared" si="39"/>
        <v>07-08-2024</v>
      </c>
    </row>
    <row r="490" spans="2:16" x14ac:dyDescent="0.3">
      <c r="B490" s="70">
        <v>45511</v>
      </c>
      <c r="C490" s="70">
        <f t="shared" si="36"/>
        <v>45505</v>
      </c>
      <c r="D490" s="94">
        <v>145</v>
      </c>
      <c r="E490" s="94">
        <v>0</v>
      </c>
      <c r="F490" s="92" t="s">
        <v>3020</v>
      </c>
      <c r="G490" s="75"/>
      <c r="H490" s="92" t="s">
        <v>589</v>
      </c>
      <c r="I490" s="92" t="s">
        <v>3892</v>
      </c>
      <c r="K490" s="71" t="s">
        <v>511</v>
      </c>
      <c r="L490" t="s">
        <v>1622</v>
      </c>
      <c r="M490" t="str">
        <f t="shared" si="37"/>
        <v>07</v>
      </c>
      <c r="N490" t="str">
        <f t="shared" si="38"/>
        <v>08</v>
      </c>
      <c r="O490" t="str">
        <f t="shared" si="35"/>
        <v>2024</v>
      </c>
      <c r="P490" t="str">
        <f t="shared" si="39"/>
        <v>07-08-2024</v>
      </c>
    </row>
    <row r="491" spans="2:16" x14ac:dyDescent="0.3">
      <c r="B491" s="70">
        <v>45511</v>
      </c>
      <c r="C491" s="70">
        <f t="shared" si="36"/>
        <v>45505</v>
      </c>
      <c r="D491" s="94">
        <v>1000</v>
      </c>
      <c r="E491" s="94">
        <v>0</v>
      </c>
      <c r="F491" s="92" t="s">
        <v>3021</v>
      </c>
      <c r="G491" s="75"/>
      <c r="H491" s="92" t="s">
        <v>589</v>
      </c>
      <c r="I491" s="92" t="s">
        <v>3892</v>
      </c>
      <c r="K491" s="71" t="s">
        <v>511</v>
      </c>
      <c r="L491" t="s">
        <v>1624</v>
      </c>
      <c r="M491" t="str">
        <f t="shared" si="37"/>
        <v>07</v>
      </c>
      <c r="N491" t="str">
        <f t="shared" si="38"/>
        <v>08</v>
      </c>
      <c r="O491" t="str">
        <f t="shared" si="35"/>
        <v>2024</v>
      </c>
      <c r="P491" t="str">
        <f t="shared" si="39"/>
        <v>07-08-2024</v>
      </c>
    </row>
    <row r="492" spans="2:16" x14ac:dyDescent="0.3">
      <c r="B492" s="70">
        <v>45512</v>
      </c>
      <c r="C492" s="70">
        <f t="shared" si="36"/>
        <v>45505</v>
      </c>
      <c r="D492" s="94">
        <v>139.38</v>
      </c>
      <c r="E492" s="94">
        <v>0</v>
      </c>
      <c r="F492" s="92" t="s">
        <v>3022</v>
      </c>
      <c r="G492" s="75"/>
      <c r="H492" s="92" t="s">
        <v>3881</v>
      </c>
      <c r="I492" s="92" t="s">
        <v>3889</v>
      </c>
      <c r="K492" s="71" t="s">
        <v>217</v>
      </c>
      <c r="L492" t="s">
        <v>30</v>
      </c>
      <c r="M492" t="str">
        <f t="shared" si="37"/>
        <v>08</v>
      </c>
      <c r="N492" t="str">
        <f t="shared" si="38"/>
        <v>08</v>
      </c>
      <c r="O492" t="str">
        <f t="shared" si="35"/>
        <v>2024</v>
      </c>
      <c r="P492" t="str">
        <f t="shared" si="39"/>
        <v>08-08-2024</v>
      </c>
    </row>
    <row r="493" spans="2:16" x14ac:dyDescent="0.3">
      <c r="B493" s="70">
        <v>45512</v>
      </c>
      <c r="C493" s="70">
        <f t="shared" si="36"/>
        <v>45505</v>
      </c>
      <c r="D493" s="94">
        <v>90</v>
      </c>
      <c r="E493" s="94">
        <v>0</v>
      </c>
      <c r="F493" s="92" t="s">
        <v>3023</v>
      </c>
      <c r="G493" s="75"/>
      <c r="H493" s="92" t="s">
        <v>589</v>
      </c>
      <c r="I493" s="92" t="s">
        <v>3892</v>
      </c>
      <c r="K493" s="71" t="s">
        <v>511</v>
      </c>
      <c r="L493" t="s">
        <v>1626</v>
      </c>
      <c r="M493" t="str">
        <f t="shared" si="37"/>
        <v>08</v>
      </c>
      <c r="N493" t="str">
        <f t="shared" si="38"/>
        <v>08</v>
      </c>
      <c r="O493" t="str">
        <f t="shared" si="35"/>
        <v>2024</v>
      </c>
      <c r="P493" t="str">
        <f t="shared" si="39"/>
        <v>08-08-2024</v>
      </c>
    </row>
    <row r="494" spans="2:16" x14ac:dyDescent="0.3">
      <c r="B494" s="70">
        <v>45512</v>
      </c>
      <c r="C494" s="70">
        <f t="shared" si="36"/>
        <v>45505</v>
      </c>
      <c r="D494" s="94">
        <v>75</v>
      </c>
      <c r="E494" s="94">
        <v>0</v>
      </c>
      <c r="F494" s="92" t="s">
        <v>3024</v>
      </c>
      <c r="G494" s="75"/>
      <c r="H494" s="92" t="s">
        <v>589</v>
      </c>
      <c r="I494" s="92" t="s">
        <v>3892</v>
      </c>
      <c r="K494" s="71" t="s">
        <v>511</v>
      </c>
      <c r="L494" t="s">
        <v>1628</v>
      </c>
      <c r="M494" t="str">
        <f t="shared" si="37"/>
        <v>08</v>
      </c>
      <c r="N494" t="str">
        <f t="shared" si="38"/>
        <v>08</v>
      </c>
      <c r="O494" t="str">
        <f t="shared" si="35"/>
        <v>2024</v>
      </c>
      <c r="P494" t="str">
        <f t="shared" si="39"/>
        <v>08-08-2024</v>
      </c>
    </row>
    <row r="495" spans="2:16" x14ac:dyDescent="0.3">
      <c r="B495" s="70">
        <v>45512</v>
      </c>
      <c r="C495" s="70">
        <f t="shared" si="36"/>
        <v>45505</v>
      </c>
      <c r="D495" s="94">
        <v>40</v>
      </c>
      <c r="E495" s="94">
        <v>0</v>
      </c>
      <c r="F495" s="92" t="s">
        <v>3025</v>
      </c>
      <c r="G495" s="75"/>
      <c r="H495" s="92" t="s">
        <v>589</v>
      </c>
      <c r="I495" s="92" t="s">
        <v>3892</v>
      </c>
      <c r="K495" s="71" t="s">
        <v>511</v>
      </c>
      <c r="L495" t="s">
        <v>1630</v>
      </c>
      <c r="M495" t="str">
        <f t="shared" si="37"/>
        <v>08</v>
      </c>
      <c r="N495" t="str">
        <f t="shared" si="38"/>
        <v>08</v>
      </c>
      <c r="O495" t="str">
        <f t="shared" si="35"/>
        <v>2024</v>
      </c>
      <c r="P495" t="str">
        <f t="shared" si="39"/>
        <v>08-08-2024</v>
      </c>
    </row>
    <row r="496" spans="2:16" x14ac:dyDescent="0.3">
      <c r="B496" s="70">
        <v>45513</v>
      </c>
      <c r="C496" s="70">
        <f t="shared" si="36"/>
        <v>45505</v>
      </c>
      <c r="D496" s="94">
        <v>139.38</v>
      </c>
      <c r="E496" s="94">
        <v>0</v>
      </c>
      <c r="F496" s="92" t="s">
        <v>3026</v>
      </c>
      <c r="G496" s="75"/>
      <c r="H496" s="92" t="s">
        <v>3881</v>
      </c>
      <c r="I496" s="92" t="s">
        <v>3889</v>
      </c>
      <c r="K496" s="71" t="s">
        <v>217</v>
      </c>
      <c r="L496" t="s">
        <v>30</v>
      </c>
      <c r="M496" t="str">
        <f t="shared" si="37"/>
        <v>09</v>
      </c>
      <c r="N496" t="str">
        <f t="shared" si="38"/>
        <v>08</v>
      </c>
      <c r="O496" t="str">
        <f t="shared" si="35"/>
        <v>2024</v>
      </c>
      <c r="P496" t="str">
        <f t="shared" si="39"/>
        <v>09-08-2024</v>
      </c>
    </row>
    <row r="497" spans="2:16" x14ac:dyDescent="0.3">
      <c r="B497" s="70">
        <v>45513</v>
      </c>
      <c r="C497" s="70">
        <f t="shared" si="36"/>
        <v>45505</v>
      </c>
      <c r="D497" s="94">
        <v>297.92</v>
      </c>
      <c r="E497" s="94">
        <v>0</v>
      </c>
      <c r="F497" s="92" t="s">
        <v>3027</v>
      </c>
      <c r="G497" s="75"/>
      <c r="H497" s="92" t="s">
        <v>589</v>
      </c>
      <c r="I497" s="92" t="s">
        <v>3892</v>
      </c>
      <c r="K497" s="71" t="s">
        <v>511</v>
      </c>
      <c r="L497" t="s">
        <v>1632</v>
      </c>
      <c r="M497" t="str">
        <f t="shared" si="37"/>
        <v>09</v>
      </c>
      <c r="N497" t="str">
        <f t="shared" si="38"/>
        <v>08</v>
      </c>
      <c r="O497" t="str">
        <f t="shared" si="35"/>
        <v>2024</v>
      </c>
      <c r="P497" t="str">
        <f t="shared" si="39"/>
        <v>09-08-2024</v>
      </c>
    </row>
    <row r="498" spans="2:16" x14ac:dyDescent="0.3">
      <c r="B498" s="70">
        <v>45515</v>
      </c>
      <c r="C498" s="70">
        <f t="shared" si="36"/>
        <v>45505</v>
      </c>
      <c r="D498" s="94">
        <v>604</v>
      </c>
      <c r="E498" s="94">
        <v>0</v>
      </c>
      <c r="F498" s="92" t="s">
        <v>3028</v>
      </c>
      <c r="G498" s="75"/>
      <c r="H498" s="92" t="s">
        <v>589</v>
      </c>
      <c r="I498" s="92" t="s">
        <v>3892</v>
      </c>
      <c r="K498" s="71" t="s">
        <v>511</v>
      </c>
      <c r="L498" t="s">
        <v>1634</v>
      </c>
      <c r="M498" t="str">
        <f t="shared" si="37"/>
        <v>11</v>
      </c>
      <c r="N498" t="str">
        <f t="shared" si="38"/>
        <v>08</v>
      </c>
      <c r="O498" t="str">
        <f t="shared" si="35"/>
        <v>2024</v>
      </c>
      <c r="P498" t="str">
        <f t="shared" si="39"/>
        <v>11-08-2024</v>
      </c>
    </row>
    <row r="499" spans="2:16" x14ac:dyDescent="0.3">
      <c r="B499" s="70">
        <v>45516</v>
      </c>
      <c r="C499" s="70">
        <f t="shared" si="36"/>
        <v>45505</v>
      </c>
      <c r="D499" s="94">
        <v>0</v>
      </c>
      <c r="E499" s="94">
        <v>41907.449999999997</v>
      </c>
      <c r="F499" s="92" t="s">
        <v>3029</v>
      </c>
      <c r="G499" s="75"/>
      <c r="H499" s="92" t="s">
        <v>3881</v>
      </c>
      <c r="I499" s="92" t="s">
        <v>3889</v>
      </c>
      <c r="K499" s="71" t="s">
        <v>217</v>
      </c>
      <c r="L499" t="s">
        <v>34</v>
      </c>
      <c r="M499" t="str">
        <f t="shared" si="37"/>
        <v>12</v>
      </c>
      <c r="N499" t="str">
        <f t="shared" si="38"/>
        <v>08</v>
      </c>
      <c r="O499" t="str">
        <f t="shared" si="35"/>
        <v>2024</v>
      </c>
      <c r="P499" t="str">
        <f t="shared" si="39"/>
        <v>12-08-2024</v>
      </c>
    </row>
    <row r="500" spans="2:16" x14ac:dyDescent="0.3">
      <c r="B500" s="70">
        <v>45516</v>
      </c>
      <c r="C500" s="70">
        <f t="shared" si="36"/>
        <v>45505</v>
      </c>
      <c r="D500" s="94">
        <v>0</v>
      </c>
      <c r="E500" s="94">
        <v>1365</v>
      </c>
      <c r="F500" s="92" t="s">
        <v>3030</v>
      </c>
      <c r="G500" s="75" t="s">
        <v>3900</v>
      </c>
      <c r="H500" s="92" t="s">
        <v>218</v>
      </c>
      <c r="I500" s="92" t="s">
        <v>3889</v>
      </c>
      <c r="K500" s="71" t="s">
        <v>218</v>
      </c>
      <c r="L500" t="s">
        <v>890</v>
      </c>
      <c r="M500" t="str">
        <f t="shared" si="37"/>
        <v>12</v>
      </c>
      <c r="N500" t="str">
        <f t="shared" si="38"/>
        <v>08</v>
      </c>
      <c r="O500" t="str">
        <f t="shared" si="35"/>
        <v>2024</v>
      </c>
      <c r="P500" t="str">
        <f t="shared" si="39"/>
        <v>12-08-2024</v>
      </c>
    </row>
    <row r="501" spans="2:16" x14ac:dyDescent="0.3">
      <c r="B501" s="70">
        <v>45516</v>
      </c>
      <c r="C501" s="70">
        <f t="shared" si="36"/>
        <v>45505</v>
      </c>
      <c r="D501" s="94">
        <v>418.14</v>
      </c>
      <c r="E501" s="94">
        <v>0</v>
      </c>
      <c r="F501" s="92" t="s">
        <v>3031</v>
      </c>
      <c r="G501" s="75"/>
      <c r="H501" s="92" t="s">
        <v>3881</v>
      </c>
      <c r="I501" s="92" t="s">
        <v>3889</v>
      </c>
      <c r="K501" s="71" t="s">
        <v>217</v>
      </c>
      <c r="L501" t="s">
        <v>30</v>
      </c>
      <c r="M501" t="str">
        <f t="shared" si="37"/>
        <v>12</v>
      </c>
      <c r="N501" t="str">
        <f t="shared" si="38"/>
        <v>08</v>
      </c>
      <c r="O501" t="str">
        <f t="shared" si="35"/>
        <v>2024</v>
      </c>
      <c r="P501" t="str">
        <f t="shared" si="39"/>
        <v>12-08-2024</v>
      </c>
    </row>
    <row r="502" spans="2:16" x14ac:dyDescent="0.3">
      <c r="B502" s="70">
        <v>45516</v>
      </c>
      <c r="C502" s="70">
        <f t="shared" si="36"/>
        <v>45505</v>
      </c>
      <c r="D502" s="94">
        <v>177</v>
      </c>
      <c r="E502" s="94">
        <v>0</v>
      </c>
      <c r="F502" s="92" t="s">
        <v>3032</v>
      </c>
      <c r="G502" s="75"/>
      <c r="H502" s="92" t="s">
        <v>220</v>
      </c>
      <c r="I502" s="92" t="s">
        <v>3889</v>
      </c>
      <c r="K502" s="71" t="s">
        <v>220</v>
      </c>
      <c r="L502" t="s">
        <v>893</v>
      </c>
      <c r="M502" t="str">
        <f t="shared" si="37"/>
        <v>12</v>
      </c>
      <c r="N502" t="str">
        <f t="shared" si="38"/>
        <v>08</v>
      </c>
      <c r="O502" t="str">
        <f t="shared" si="35"/>
        <v>2024</v>
      </c>
      <c r="P502" t="str">
        <f t="shared" si="39"/>
        <v>12-08-2024</v>
      </c>
    </row>
    <row r="503" spans="2:16" x14ac:dyDescent="0.3">
      <c r="B503" s="70">
        <v>45516</v>
      </c>
      <c r="C503" s="70">
        <f t="shared" si="36"/>
        <v>45505</v>
      </c>
      <c r="D503" s="94">
        <v>147</v>
      </c>
      <c r="E503" s="94">
        <v>0</v>
      </c>
      <c r="F503" s="92" t="s">
        <v>3033</v>
      </c>
      <c r="G503" s="75"/>
      <c r="H503" s="92" t="s">
        <v>589</v>
      </c>
      <c r="I503" s="92" t="s">
        <v>3892</v>
      </c>
      <c r="K503" s="71" t="s">
        <v>511</v>
      </c>
      <c r="L503" t="s">
        <v>1636</v>
      </c>
      <c r="M503" t="str">
        <f t="shared" si="37"/>
        <v>12</v>
      </c>
      <c r="N503" t="str">
        <f t="shared" si="38"/>
        <v>08</v>
      </c>
      <c r="O503" t="str">
        <f t="shared" si="35"/>
        <v>2024</v>
      </c>
      <c r="P503" t="str">
        <f t="shared" si="39"/>
        <v>12-08-2024</v>
      </c>
    </row>
    <row r="504" spans="2:16" x14ac:dyDescent="0.3">
      <c r="B504" s="70">
        <v>45516</v>
      </c>
      <c r="C504" s="70">
        <f t="shared" si="36"/>
        <v>45505</v>
      </c>
      <c r="D504" s="94">
        <v>5000</v>
      </c>
      <c r="E504" s="94">
        <v>0</v>
      </c>
      <c r="F504" s="92" t="s">
        <v>3034</v>
      </c>
      <c r="G504" s="75"/>
      <c r="H504" s="92" t="s">
        <v>2538</v>
      </c>
      <c r="I504" s="92" t="s">
        <v>3892</v>
      </c>
      <c r="K504" s="71" t="s">
        <v>219</v>
      </c>
      <c r="L504" t="s">
        <v>458</v>
      </c>
      <c r="M504" t="str">
        <f t="shared" si="37"/>
        <v>12</v>
      </c>
      <c r="N504" t="str">
        <f t="shared" si="38"/>
        <v>08</v>
      </c>
      <c r="O504" t="str">
        <f t="shared" si="35"/>
        <v>2024</v>
      </c>
      <c r="P504" t="str">
        <f t="shared" si="39"/>
        <v>12-08-2024</v>
      </c>
    </row>
    <row r="505" spans="2:16" x14ac:dyDescent="0.3">
      <c r="B505" s="70">
        <v>45516</v>
      </c>
      <c r="C505" s="70">
        <f t="shared" si="36"/>
        <v>45505</v>
      </c>
      <c r="D505" s="94">
        <v>80</v>
      </c>
      <c r="E505" s="94">
        <v>0</v>
      </c>
      <c r="F505" s="92" t="s">
        <v>3035</v>
      </c>
      <c r="G505" s="75"/>
      <c r="H505" s="92" t="s">
        <v>589</v>
      </c>
      <c r="I505" s="92" t="s">
        <v>3892</v>
      </c>
      <c r="K505" s="71" t="s">
        <v>511</v>
      </c>
      <c r="L505" t="s">
        <v>1639</v>
      </c>
      <c r="M505" t="str">
        <f t="shared" si="37"/>
        <v>12</v>
      </c>
      <c r="N505" t="str">
        <f t="shared" si="38"/>
        <v>08</v>
      </c>
      <c r="O505" t="str">
        <f t="shared" si="35"/>
        <v>2024</v>
      </c>
      <c r="P505" t="str">
        <f t="shared" si="39"/>
        <v>12-08-2024</v>
      </c>
    </row>
    <row r="506" spans="2:16" x14ac:dyDescent="0.3">
      <c r="B506" s="70">
        <v>45517</v>
      </c>
      <c r="C506" s="70">
        <f t="shared" si="36"/>
        <v>45505</v>
      </c>
      <c r="D506" s="94">
        <v>139.38</v>
      </c>
      <c r="E506" s="94">
        <v>0</v>
      </c>
      <c r="F506" s="92" t="s">
        <v>3036</v>
      </c>
      <c r="G506" s="75"/>
      <c r="H506" s="92" t="s">
        <v>3881</v>
      </c>
      <c r="I506" s="92" t="s">
        <v>3889</v>
      </c>
      <c r="K506" s="71" t="s">
        <v>217</v>
      </c>
      <c r="L506" t="s">
        <v>30</v>
      </c>
      <c r="M506" t="str">
        <f t="shared" si="37"/>
        <v>13</v>
      </c>
      <c r="N506" t="str">
        <f t="shared" si="38"/>
        <v>08</v>
      </c>
      <c r="O506" t="str">
        <f t="shared" si="35"/>
        <v>2024</v>
      </c>
      <c r="P506" t="str">
        <f t="shared" si="39"/>
        <v>13-08-2024</v>
      </c>
    </row>
    <row r="507" spans="2:16" x14ac:dyDescent="0.3">
      <c r="B507" s="70">
        <v>45517</v>
      </c>
      <c r="C507" s="70">
        <f t="shared" si="36"/>
        <v>45505</v>
      </c>
      <c r="D507" s="94">
        <v>85</v>
      </c>
      <c r="E507" s="94">
        <v>0</v>
      </c>
      <c r="F507" s="92" t="s">
        <v>3037</v>
      </c>
      <c r="G507" s="75"/>
      <c r="H507" s="92" t="s">
        <v>589</v>
      </c>
      <c r="I507" s="92" t="s">
        <v>3892</v>
      </c>
      <c r="K507" s="71" t="s">
        <v>511</v>
      </c>
      <c r="L507" t="s">
        <v>1641</v>
      </c>
      <c r="M507" t="str">
        <f t="shared" si="37"/>
        <v>13</v>
      </c>
      <c r="N507" t="str">
        <f t="shared" si="38"/>
        <v>08</v>
      </c>
      <c r="O507" t="str">
        <f t="shared" si="35"/>
        <v>2024</v>
      </c>
      <c r="P507" t="str">
        <f t="shared" si="39"/>
        <v>13-08-2024</v>
      </c>
    </row>
    <row r="508" spans="2:16" x14ac:dyDescent="0.3">
      <c r="B508" s="70">
        <v>45517</v>
      </c>
      <c r="C508" s="70">
        <f t="shared" si="36"/>
        <v>45505</v>
      </c>
      <c r="D508" s="94">
        <v>30</v>
      </c>
      <c r="E508" s="94">
        <v>0</v>
      </c>
      <c r="F508" s="92" t="s">
        <v>3038</v>
      </c>
      <c r="G508" s="75"/>
      <c r="H508" s="92" t="s">
        <v>589</v>
      </c>
      <c r="I508" s="92" t="s">
        <v>3892</v>
      </c>
      <c r="K508" s="71" t="s">
        <v>511</v>
      </c>
      <c r="L508" t="s">
        <v>1643</v>
      </c>
      <c r="M508" t="str">
        <f t="shared" si="37"/>
        <v>13</v>
      </c>
      <c r="N508" t="str">
        <f t="shared" si="38"/>
        <v>08</v>
      </c>
      <c r="O508" t="str">
        <f t="shared" si="35"/>
        <v>2024</v>
      </c>
      <c r="P508" t="str">
        <f t="shared" si="39"/>
        <v>13-08-2024</v>
      </c>
    </row>
    <row r="509" spans="2:16" x14ac:dyDescent="0.3">
      <c r="B509" s="70">
        <v>45518</v>
      </c>
      <c r="C509" s="70">
        <f t="shared" si="36"/>
        <v>45505</v>
      </c>
      <c r="D509" s="94">
        <v>139.38</v>
      </c>
      <c r="E509" s="94">
        <v>0</v>
      </c>
      <c r="F509" s="92" t="s">
        <v>3039</v>
      </c>
      <c r="G509" s="75"/>
      <c r="H509" s="92" t="s">
        <v>3881</v>
      </c>
      <c r="I509" s="92" t="s">
        <v>3889</v>
      </c>
      <c r="K509" s="71" t="s">
        <v>217</v>
      </c>
      <c r="L509" t="s">
        <v>30</v>
      </c>
      <c r="M509" t="str">
        <f t="shared" si="37"/>
        <v>14</v>
      </c>
      <c r="N509" t="str">
        <f t="shared" si="38"/>
        <v>08</v>
      </c>
      <c r="O509" t="str">
        <f t="shared" si="35"/>
        <v>2024</v>
      </c>
      <c r="P509" t="str">
        <f t="shared" si="39"/>
        <v>14-08-2024</v>
      </c>
    </row>
    <row r="510" spans="2:16" x14ac:dyDescent="0.3">
      <c r="B510" s="70">
        <v>45518</v>
      </c>
      <c r="C510" s="70">
        <f t="shared" si="36"/>
        <v>45505</v>
      </c>
      <c r="D510" s="94">
        <v>85</v>
      </c>
      <c r="E510" s="94">
        <v>0</v>
      </c>
      <c r="F510" s="92" t="s">
        <v>3040</v>
      </c>
      <c r="G510" s="75"/>
      <c r="H510" s="92" t="s">
        <v>589</v>
      </c>
      <c r="I510" s="92" t="s">
        <v>3892</v>
      </c>
      <c r="K510" s="71" t="s">
        <v>511</v>
      </c>
      <c r="L510" t="s">
        <v>1645</v>
      </c>
      <c r="M510" t="str">
        <f t="shared" si="37"/>
        <v>14</v>
      </c>
      <c r="N510" t="str">
        <f t="shared" si="38"/>
        <v>08</v>
      </c>
      <c r="O510" t="str">
        <f t="shared" si="35"/>
        <v>2024</v>
      </c>
      <c r="P510" t="str">
        <f t="shared" si="39"/>
        <v>14-08-2024</v>
      </c>
    </row>
    <row r="511" spans="2:16" x14ac:dyDescent="0.3">
      <c r="B511" s="70">
        <v>45518</v>
      </c>
      <c r="C511" s="70">
        <f t="shared" si="36"/>
        <v>45505</v>
      </c>
      <c r="D511" s="94">
        <v>50</v>
      </c>
      <c r="E511" s="94">
        <v>0</v>
      </c>
      <c r="F511" s="92" t="s">
        <v>3041</v>
      </c>
      <c r="G511" s="75"/>
      <c r="H511" s="92" t="s">
        <v>589</v>
      </c>
      <c r="I511" s="92" t="s">
        <v>3892</v>
      </c>
      <c r="K511" s="71" t="s">
        <v>511</v>
      </c>
      <c r="L511" t="s">
        <v>1647</v>
      </c>
      <c r="M511" t="str">
        <f t="shared" si="37"/>
        <v>14</v>
      </c>
      <c r="N511" t="str">
        <f t="shared" si="38"/>
        <v>08</v>
      </c>
      <c r="O511" t="str">
        <f t="shared" si="35"/>
        <v>2024</v>
      </c>
      <c r="P511" t="str">
        <f t="shared" si="39"/>
        <v>14-08-2024</v>
      </c>
    </row>
    <row r="512" spans="2:16" x14ac:dyDescent="0.3">
      <c r="B512" s="70">
        <v>45518</v>
      </c>
      <c r="C512" s="70">
        <f t="shared" si="36"/>
        <v>45505</v>
      </c>
      <c r="D512" s="94">
        <v>323</v>
      </c>
      <c r="E512" s="94">
        <v>0</v>
      </c>
      <c r="F512" s="92" t="s">
        <v>3042</v>
      </c>
      <c r="G512" s="75"/>
      <c r="H512" s="92" t="s">
        <v>589</v>
      </c>
      <c r="I512" s="92" t="s">
        <v>3892</v>
      </c>
      <c r="K512" s="71" t="s">
        <v>511</v>
      </c>
      <c r="L512" t="s">
        <v>1649</v>
      </c>
      <c r="M512" t="str">
        <f t="shared" si="37"/>
        <v>14</v>
      </c>
      <c r="N512" t="str">
        <f t="shared" si="38"/>
        <v>08</v>
      </c>
      <c r="O512" t="str">
        <f t="shared" si="35"/>
        <v>2024</v>
      </c>
      <c r="P512" t="str">
        <f t="shared" si="39"/>
        <v>14-08-2024</v>
      </c>
    </row>
    <row r="513" spans="2:16" x14ac:dyDescent="0.3">
      <c r="B513" s="70">
        <v>45520</v>
      </c>
      <c r="C513" s="70">
        <f t="shared" si="36"/>
        <v>45505</v>
      </c>
      <c r="D513" s="94">
        <v>278.76</v>
      </c>
      <c r="E513" s="94">
        <v>0</v>
      </c>
      <c r="F513" s="92" t="s">
        <v>3043</v>
      </c>
      <c r="G513" s="75"/>
      <c r="H513" s="92" t="s">
        <v>3881</v>
      </c>
      <c r="I513" s="92" t="s">
        <v>3889</v>
      </c>
      <c r="K513" s="71" t="s">
        <v>217</v>
      </c>
      <c r="L513" t="s">
        <v>30</v>
      </c>
      <c r="M513" t="str">
        <f t="shared" si="37"/>
        <v>16</v>
      </c>
      <c r="N513" t="str">
        <f t="shared" si="38"/>
        <v>08</v>
      </c>
      <c r="O513" t="str">
        <f t="shared" si="35"/>
        <v>2024</v>
      </c>
      <c r="P513" t="str">
        <f t="shared" si="39"/>
        <v>16-08-2024</v>
      </c>
    </row>
    <row r="514" spans="2:16" x14ac:dyDescent="0.3">
      <c r="B514" s="70">
        <v>45521</v>
      </c>
      <c r="C514" s="70">
        <f t="shared" si="36"/>
        <v>45505</v>
      </c>
      <c r="D514" s="94">
        <v>295</v>
      </c>
      <c r="E514" s="94">
        <v>0</v>
      </c>
      <c r="F514" s="92" t="s">
        <v>3044</v>
      </c>
      <c r="G514" s="75"/>
      <c r="H514" s="92" t="s">
        <v>221</v>
      </c>
      <c r="I514" s="92" t="s">
        <v>3889</v>
      </c>
      <c r="K514" s="71" t="s">
        <v>221</v>
      </c>
      <c r="L514" t="s">
        <v>897</v>
      </c>
      <c r="M514" t="str">
        <f t="shared" si="37"/>
        <v>17</v>
      </c>
      <c r="N514" t="str">
        <f t="shared" si="38"/>
        <v>08</v>
      </c>
      <c r="O514" t="str">
        <f t="shared" si="35"/>
        <v>2024</v>
      </c>
      <c r="P514" t="str">
        <f t="shared" si="39"/>
        <v>17-08-2024</v>
      </c>
    </row>
    <row r="515" spans="2:16" x14ac:dyDescent="0.3">
      <c r="B515" s="70">
        <v>45521</v>
      </c>
      <c r="C515" s="70">
        <f t="shared" si="36"/>
        <v>45505</v>
      </c>
      <c r="D515" s="94">
        <v>250</v>
      </c>
      <c r="E515" s="94">
        <v>0</v>
      </c>
      <c r="F515" s="92" t="s">
        <v>3045</v>
      </c>
      <c r="G515" s="75"/>
      <c r="H515" s="92" t="s">
        <v>589</v>
      </c>
      <c r="I515" s="92" t="s">
        <v>3892</v>
      </c>
      <c r="K515" s="71" t="s">
        <v>511</v>
      </c>
      <c r="L515" t="s">
        <v>1651</v>
      </c>
      <c r="M515" t="str">
        <f t="shared" si="37"/>
        <v>17</v>
      </c>
      <c r="N515" t="str">
        <f t="shared" si="38"/>
        <v>08</v>
      </c>
      <c r="O515" t="str">
        <f t="shared" ref="O515:O578" si="40">TEXT(B515,"YYYY")</f>
        <v>2024</v>
      </c>
      <c r="P515" t="str">
        <f t="shared" si="39"/>
        <v>17-08-2024</v>
      </c>
    </row>
    <row r="516" spans="2:16" x14ac:dyDescent="0.3">
      <c r="B516" s="70">
        <v>45522</v>
      </c>
      <c r="C516" s="70">
        <f t="shared" ref="C516:C579" si="41">EOMONTH(B516,-1)+1</f>
        <v>45505</v>
      </c>
      <c r="D516" s="94">
        <v>100000</v>
      </c>
      <c r="E516" s="94">
        <v>0</v>
      </c>
      <c r="F516" s="92" t="s">
        <v>3046</v>
      </c>
      <c r="G516" s="75"/>
      <c r="H516" s="92" t="s">
        <v>3885</v>
      </c>
      <c r="I516" s="92" t="s">
        <v>3889</v>
      </c>
      <c r="K516" s="71" t="s">
        <v>2518</v>
      </c>
      <c r="L516" t="s">
        <v>899</v>
      </c>
      <c r="M516" t="str">
        <f t="shared" ref="M516:M579" si="42">TEXT(B516,"DD")</f>
        <v>18</v>
      </c>
      <c r="N516" t="str">
        <f t="shared" ref="N516:N579" si="43">TEXT(B516,"MM")</f>
        <v>08</v>
      </c>
      <c r="O516" t="str">
        <f t="shared" si="40"/>
        <v>2024</v>
      </c>
      <c r="P516" t="str">
        <f t="shared" ref="P516:P579" si="44">M516&amp;"-"&amp;N516&amp;"-"&amp;O516</f>
        <v>18-08-2024</v>
      </c>
    </row>
    <row r="517" spans="2:16" x14ac:dyDescent="0.3">
      <c r="B517" s="70">
        <v>45522</v>
      </c>
      <c r="C517" s="70">
        <f t="shared" si="41"/>
        <v>45505</v>
      </c>
      <c r="D517" s="94">
        <v>20</v>
      </c>
      <c r="E517" s="94">
        <v>0</v>
      </c>
      <c r="F517" s="92" t="s">
        <v>3047</v>
      </c>
      <c r="G517" s="75"/>
      <c r="H517" s="92" t="s">
        <v>589</v>
      </c>
      <c r="I517" s="92" t="s">
        <v>3892</v>
      </c>
      <c r="K517" s="71" t="s">
        <v>511</v>
      </c>
      <c r="L517" t="s">
        <v>1653</v>
      </c>
      <c r="M517" t="str">
        <f t="shared" si="42"/>
        <v>18</v>
      </c>
      <c r="N517" t="str">
        <f t="shared" si="43"/>
        <v>08</v>
      </c>
      <c r="O517" t="str">
        <f t="shared" si="40"/>
        <v>2024</v>
      </c>
      <c r="P517" t="str">
        <f t="shared" si="44"/>
        <v>18-08-2024</v>
      </c>
    </row>
    <row r="518" spans="2:16" x14ac:dyDescent="0.3">
      <c r="B518" s="70">
        <v>45523</v>
      </c>
      <c r="C518" s="70">
        <f t="shared" si="41"/>
        <v>45505</v>
      </c>
      <c r="D518" s="94">
        <v>425.16</v>
      </c>
      <c r="E518" s="94">
        <v>0</v>
      </c>
      <c r="F518" s="92" t="s">
        <v>3048</v>
      </c>
      <c r="G518" s="75"/>
      <c r="H518" s="92" t="s">
        <v>3881</v>
      </c>
      <c r="I518" s="92" t="s">
        <v>3889</v>
      </c>
      <c r="K518" s="71" t="s">
        <v>217</v>
      </c>
      <c r="L518" t="s">
        <v>30</v>
      </c>
      <c r="M518" t="str">
        <f t="shared" si="42"/>
        <v>19</v>
      </c>
      <c r="N518" t="str">
        <f t="shared" si="43"/>
        <v>08</v>
      </c>
      <c r="O518" t="str">
        <f t="shared" si="40"/>
        <v>2024</v>
      </c>
      <c r="P518" t="str">
        <f t="shared" si="44"/>
        <v>19-08-2024</v>
      </c>
    </row>
    <row r="519" spans="2:16" x14ac:dyDescent="0.3">
      <c r="B519" s="70">
        <v>45523</v>
      </c>
      <c r="C519" s="70">
        <f t="shared" si="41"/>
        <v>45505</v>
      </c>
      <c r="D519" s="94">
        <v>90</v>
      </c>
      <c r="E519" s="94">
        <v>0</v>
      </c>
      <c r="F519" s="92" t="s">
        <v>3049</v>
      </c>
      <c r="G519" s="75"/>
      <c r="H519" s="92" t="s">
        <v>589</v>
      </c>
      <c r="I519" s="92" t="s">
        <v>3892</v>
      </c>
      <c r="K519" s="71" t="s">
        <v>511</v>
      </c>
      <c r="L519" t="s">
        <v>1655</v>
      </c>
      <c r="M519" t="str">
        <f t="shared" si="42"/>
        <v>19</v>
      </c>
      <c r="N519" t="str">
        <f t="shared" si="43"/>
        <v>08</v>
      </c>
      <c r="O519" t="str">
        <f t="shared" si="40"/>
        <v>2024</v>
      </c>
      <c r="P519" t="str">
        <f t="shared" si="44"/>
        <v>19-08-2024</v>
      </c>
    </row>
    <row r="520" spans="2:16" x14ac:dyDescent="0.3">
      <c r="B520" s="70">
        <v>45524</v>
      </c>
      <c r="C520" s="70">
        <f t="shared" si="41"/>
        <v>45505</v>
      </c>
      <c r="D520" s="94">
        <v>0</v>
      </c>
      <c r="E520" s="94">
        <v>35671.14</v>
      </c>
      <c r="F520" s="92" t="s">
        <v>3050</v>
      </c>
      <c r="G520" s="75"/>
      <c r="H520" s="92" t="s">
        <v>3881</v>
      </c>
      <c r="I520" s="92" t="s">
        <v>3889</v>
      </c>
      <c r="K520" s="71" t="s">
        <v>217</v>
      </c>
      <c r="L520" t="s">
        <v>34</v>
      </c>
      <c r="M520" t="str">
        <f t="shared" si="42"/>
        <v>20</v>
      </c>
      <c r="N520" t="str">
        <f t="shared" si="43"/>
        <v>08</v>
      </c>
      <c r="O520" t="str">
        <f t="shared" si="40"/>
        <v>2024</v>
      </c>
      <c r="P520" t="str">
        <f t="shared" si="44"/>
        <v>20-08-2024</v>
      </c>
    </row>
    <row r="521" spans="2:16" x14ac:dyDescent="0.3">
      <c r="B521" s="70">
        <v>45524</v>
      </c>
      <c r="C521" s="70">
        <f t="shared" si="41"/>
        <v>45505</v>
      </c>
      <c r="D521" s="94">
        <v>141.72</v>
      </c>
      <c r="E521" s="94">
        <v>0</v>
      </c>
      <c r="F521" s="92" t="s">
        <v>3051</v>
      </c>
      <c r="G521" s="75"/>
      <c r="H521" s="92" t="s">
        <v>3881</v>
      </c>
      <c r="I521" s="92" t="s">
        <v>3889</v>
      </c>
      <c r="K521" s="71" t="s">
        <v>217</v>
      </c>
      <c r="L521" t="s">
        <v>30</v>
      </c>
      <c r="M521" t="str">
        <f t="shared" si="42"/>
        <v>20</v>
      </c>
      <c r="N521" t="str">
        <f t="shared" si="43"/>
        <v>08</v>
      </c>
      <c r="O521" t="str">
        <f t="shared" si="40"/>
        <v>2024</v>
      </c>
      <c r="P521" t="str">
        <f t="shared" si="44"/>
        <v>20-08-2024</v>
      </c>
    </row>
    <row r="522" spans="2:16" x14ac:dyDescent="0.3">
      <c r="B522" s="70">
        <v>45524</v>
      </c>
      <c r="C522" s="70">
        <f t="shared" si="41"/>
        <v>45505</v>
      </c>
      <c r="D522" s="94">
        <v>50</v>
      </c>
      <c r="E522" s="94">
        <v>0</v>
      </c>
      <c r="F522" s="92" t="s">
        <v>3052</v>
      </c>
      <c r="G522" s="75"/>
      <c r="H522" s="92" t="s">
        <v>589</v>
      </c>
      <c r="I522" s="92" t="s">
        <v>3892</v>
      </c>
      <c r="K522" s="71" t="s">
        <v>511</v>
      </c>
      <c r="L522" t="s">
        <v>1657</v>
      </c>
      <c r="M522" t="str">
        <f t="shared" si="42"/>
        <v>20</v>
      </c>
      <c r="N522" t="str">
        <f t="shared" si="43"/>
        <v>08</v>
      </c>
      <c r="O522" t="str">
        <f t="shared" si="40"/>
        <v>2024</v>
      </c>
      <c r="P522" t="str">
        <f t="shared" si="44"/>
        <v>20-08-2024</v>
      </c>
    </row>
    <row r="523" spans="2:16" x14ac:dyDescent="0.3">
      <c r="B523" s="70">
        <v>45524</v>
      </c>
      <c r="C523" s="70">
        <f t="shared" si="41"/>
        <v>45505</v>
      </c>
      <c r="D523" s="94">
        <v>70</v>
      </c>
      <c r="E523" s="94">
        <v>0</v>
      </c>
      <c r="F523" s="92" t="s">
        <v>3053</v>
      </c>
      <c r="G523" s="75"/>
      <c r="H523" s="92" t="s">
        <v>589</v>
      </c>
      <c r="I523" s="92" t="s">
        <v>3892</v>
      </c>
      <c r="K523" s="71" t="s">
        <v>511</v>
      </c>
      <c r="L523" t="s">
        <v>1659</v>
      </c>
      <c r="M523" t="str">
        <f t="shared" si="42"/>
        <v>20</v>
      </c>
      <c r="N523" t="str">
        <f t="shared" si="43"/>
        <v>08</v>
      </c>
      <c r="O523" t="str">
        <f t="shared" si="40"/>
        <v>2024</v>
      </c>
      <c r="P523" t="str">
        <f t="shared" si="44"/>
        <v>20-08-2024</v>
      </c>
    </row>
    <row r="524" spans="2:16" x14ac:dyDescent="0.3">
      <c r="B524" s="70">
        <v>45525</v>
      </c>
      <c r="C524" s="70">
        <f t="shared" si="41"/>
        <v>45505</v>
      </c>
      <c r="D524" s="94">
        <v>141.72</v>
      </c>
      <c r="E524" s="94">
        <v>0</v>
      </c>
      <c r="F524" s="92" t="s">
        <v>3054</v>
      </c>
      <c r="G524" s="75"/>
      <c r="H524" s="92" t="s">
        <v>3881</v>
      </c>
      <c r="I524" s="92" t="s">
        <v>3889</v>
      </c>
      <c r="K524" s="71" t="s">
        <v>217</v>
      </c>
      <c r="L524" t="s">
        <v>30</v>
      </c>
      <c r="M524" t="str">
        <f t="shared" si="42"/>
        <v>21</v>
      </c>
      <c r="N524" t="str">
        <f t="shared" si="43"/>
        <v>08</v>
      </c>
      <c r="O524" t="str">
        <f t="shared" si="40"/>
        <v>2024</v>
      </c>
      <c r="P524" t="str">
        <f t="shared" si="44"/>
        <v>21-08-2024</v>
      </c>
    </row>
    <row r="525" spans="2:16" x14ac:dyDescent="0.3">
      <c r="B525" s="70">
        <v>45525</v>
      </c>
      <c r="C525" s="70">
        <f t="shared" si="41"/>
        <v>45505</v>
      </c>
      <c r="D525" s="94">
        <v>0</v>
      </c>
      <c r="E525" s="94">
        <v>110</v>
      </c>
      <c r="F525" s="92" t="s">
        <v>3055</v>
      </c>
      <c r="G525" s="75" t="s">
        <v>3921</v>
      </c>
      <c r="H525" s="92" t="s">
        <v>218</v>
      </c>
      <c r="I525" s="92" t="s">
        <v>3893</v>
      </c>
      <c r="K525" s="71" t="s">
        <v>218</v>
      </c>
      <c r="L525" t="s">
        <v>1427</v>
      </c>
      <c r="M525" t="str">
        <f t="shared" si="42"/>
        <v>21</v>
      </c>
      <c r="N525" t="str">
        <f t="shared" si="43"/>
        <v>08</v>
      </c>
      <c r="O525" t="str">
        <f t="shared" si="40"/>
        <v>2024</v>
      </c>
      <c r="P525" t="str">
        <f t="shared" si="44"/>
        <v>21-08-2024</v>
      </c>
    </row>
    <row r="526" spans="2:16" x14ac:dyDescent="0.3">
      <c r="B526" s="70">
        <v>45525</v>
      </c>
      <c r="C526" s="70">
        <f t="shared" si="41"/>
        <v>45505</v>
      </c>
      <c r="D526" s="94">
        <v>20</v>
      </c>
      <c r="E526" s="94">
        <v>0</v>
      </c>
      <c r="F526" s="92" t="s">
        <v>3056</v>
      </c>
      <c r="G526" s="75"/>
      <c r="H526" s="92" t="s">
        <v>589</v>
      </c>
      <c r="I526" s="92" t="s">
        <v>3892</v>
      </c>
      <c r="K526" s="71" t="s">
        <v>511</v>
      </c>
      <c r="L526" t="s">
        <v>1661</v>
      </c>
      <c r="M526" t="str">
        <f t="shared" si="42"/>
        <v>21</v>
      </c>
      <c r="N526" t="str">
        <f t="shared" si="43"/>
        <v>08</v>
      </c>
      <c r="O526" t="str">
        <f t="shared" si="40"/>
        <v>2024</v>
      </c>
      <c r="P526" t="str">
        <f t="shared" si="44"/>
        <v>21-08-2024</v>
      </c>
    </row>
    <row r="527" spans="2:16" x14ac:dyDescent="0.3">
      <c r="B527" s="70">
        <v>45526</v>
      </c>
      <c r="C527" s="70">
        <f t="shared" si="41"/>
        <v>45505</v>
      </c>
      <c r="D527" s="94">
        <v>141.72</v>
      </c>
      <c r="E527" s="94">
        <v>0</v>
      </c>
      <c r="F527" s="92" t="s">
        <v>3057</v>
      </c>
      <c r="G527" s="75"/>
      <c r="H527" s="92" t="s">
        <v>3881</v>
      </c>
      <c r="I527" s="92" t="s">
        <v>3889</v>
      </c>
      <c r="K527" s="71" t="s">
        <v>217</v>
      </c>
      <c r="L527" t="s">
        <v>30</v>
      </c>
      <c r="M527" t="str">
        <f t="shared" si="42"/>
        <v>22</v>
      </c>
      <c r="N527" t="str">
        <f t="shared" si="43"/>
        <v>08</v>
      </c>
      <c r="O527" t="str">
        <f t="shared" si="40"/>
        <v>2024</v>
      </c>
      <c r="P527" t="str">
        <f t="shared" si="44"/>
        <v>22-08-2024</v>
      </c>
    </row>
    <row r="528" spans="2:16" x14ac:dyDescent="0.3">
      <c r="B528" s="70">
        <v>45526</v>
      </c>
      <c r="C528" s="70">
        <f t="shared" si="41"/>
        <v>45505</v>
      </c>
      <c r="D528" s="94">
        <v>85</v>
      </c>
      <c r="E528" s="94">
        <v>0</v>
      </c>
      <c r="F528" s="92" t="s">
        <v>3058</v>
      </c>
      <c r="G528" s="75"/>
      <c r="H528" s="92" t="s">
        <v>589</v>
      </c>
      <c r="I528" s="92" t="s">
        <v>3892</v>
      </c>
      <c r="K528" s="71" t="s">
        <v>511</v>
      </c>
      <c r="L528" t="s">
        <v>1663</v>
      </c>
      <c r="M528" t="str">
        <f t="shared" si="42"/>
        <v>22</v>
      </c>
      <c r="N528" t="str">
        <f t="shared" si="43"/>
        <v>08</v>
      </c>
      <c r="O528" t="str">
        <f t="shared" si="40"/>
        <v>2024</v>
      </c>
      <c r="P528" t="str">
        <f t="shared" si="44"/>
        <v>22-08-2024</v>
      </c>
    </row>
    <row r="529" spans="2:16" x14ac:dyDescent="0.3">
      <c r="B529" s="70">
        <v>45526</v>
      </c>
      <c r="C529" s="70">
        <f t="shared" si="41"/>
        <v>45505</v>
      </c>
      <c r="D529" s="94">
        <v>849.05</v>
      </c>
      <c r="E529" s="94">
        <v>0</v>
      </c>
      <c r="F529" s="92" t="s">
        <v>3059</v>
      </c>
      <c r="G529" s="75"/>
      <c r="H529" s="92" t="s">
        <v>589</v>
      </c>
      <c r="I529" s="92" t="s">
        <v>3892</v>
      </c>
      <c r="K529" s="71" t="s">
        <v>511</v>
      </c>
      <c r="L529" t="s">
        <v>1665</v>
      </c>
      <c r="M529" t="str">
        <f t="shared" si="42"/>
        <v>22</v>
      </c>
      <c r="N529" t="str">
        <f t="shared" si="43"/>
        <v>08</v>
      </c>
      <c r="O529" t="str">
        <f t="shared" si="40"/>
        <v>2024</v>
      </c>
      <c r="P529" t="str">
        <f t="shared" si="44"/>
        <v>22-08-2024</v>
      </c>
    </row>
    <row r="530" spans="2:16" x14ac:dyDescent="0.3">
      <c r="B530" s="70">
        <v>45527</v>
      </c>
      <c r="C530" s="70">
        <f t="shared" si="41"/>
        <v>45505</v>
      </c>
      <c r="D530" s="94">
        <v>141.72</v>
      </c>
      <c r="E530" s="94">
        <v>0</v>
      </c>
      <c r="F530" s="92" t="s">
        <v>3060</v>
      </c>
      <c r="G530" s="75"/>
      <c r="H530" s="92" t="s">
        <v>3881</v>
      </c>
      <c r="I530" s="92" t="s">
        <v>3889</v>
      </c>
      <c r="K530" s="71" t="s">
        <v>217</v>
      </c>
      <c r="L530" t="s">
        <v>30</v>
      </c>
      <c r="M530" t="str">
        <f t="shared" si="42"/>
        <v>23</v>
      </c>
      <c r="N530" t="str">
        <f t="shared" si="43"/>
        <v>08</v>
      </c>
      <c r="O530" t="str">
        <f t="shared" si="40"/>
        <v>2024</v>
      </c>
      <c r="P530" t="str">
        <f t="shared" si="44"/>
        <v>23-08-2024</v>
      </c>
    </row>
    <row r="531" spans="2:16" x14ac:dyDescent="0.3">
      <c r="B531" s="70">
        <v>45527</v>
      </c>
      <c r="C531" s="70">
        <f t="shared" si="41"/>
        <v>45505</v>
      </c>
      <c r="D531" s="94">
        <v>0</v>
      </c>
      <c r="E531" s="94">
        <v>231</v>
      </c>
      <c r="F531" s="92" t="s">
        <v>3061</v>
      </c>
      <c r="G531" s="75" t="s">
        <v>3917</v>
      </c>
      <c r="H531" s="92" t="s">
        <v>218</v>
      </c>
      <c r="I531" s="92" t="s">
        <v>3893</v>
      </c>
      <c r="K531" s="71" t="s">
        <v>218</v>
      </c>
      <c r="L531" t="s">
        <v>1428</v>
      </c>
      <c r="M531" t="str">
        <f t="shared" si="42"/>
        <v>23</v>
      </c>
      <c r="N531" t="str">
        <f t="shared" si="43"/>
        <v>08</v>
      </c>
      <c r="O531" t="str">
        <f t="shared" si="40"/>
        <v>2024</v>
      </c>
      <c r="P531" t="str">
        <f t="shared" si="44"/>
        <v>23-08-2024</v>
      </c>
    </row>
    <row r="532" spans="2:16" x14ac:dyDescent="0.3">
      <c r="B532" s="70">
        <v>45527</v>
      </c>
      <c r="C532" s="70">
        <f t="shared" si="41"/>
        <v>45505</v>
      </c>
      <c r="D532" s="94">
        <v>15</v>
      </c>
      <c r="E532" s="94">
        <v>0</v>
      </c>
      <c r="F532" s="92" t="s">
        <v>3062</v>
      </c>
      <c r="G532" s="75"/>
      <c r="H532" s="92" t="s">
        <v>589</v>
      </c>
      <c r="I532" s="92" t="s">
        <v>3892</v>
      </c>
      <c r="K532" s="71" t="s">
        <v>511</v>
      </c>
      <c r="L532" t="s">
        <v>1667</v>
      </c>
      <c r="M532" t="str">
        <f t="shared" si="42"/>
        <v>23</v>
      </c>
      <c r="N532" t="str">
        <f t="shared" si="43"/>
        <v>08</v>
      </c>
      <c r="O532" t="str">
        <f t="shared" si="40"/>
        <v>2024</v>
      </c>
      <c r="P532" t="str">
        <f t="shared" si="44"/>
        <v>23-08-2024</v>
      </c>
    </row>
    <row r="533" spans="2:16" x14ac:dyDescent="0.3">
      <c r="B533" s="70">
        <v>45529</v>
      </c>
      <c r="C533" s="70">
        <f t="shared" si="41"/>
        <v>45505</v>
      </c>
      <c r="D533" s="94">
        <v>793</v>
      </c>
      <c r="E533" s="94">
        <v>0</v>
      </c>
      <c r="F533" s="92" t="s">
        <v>3063</v>
      </c>
      <c r="G533" s="75"/>
      <c r="H533" s="92" t="s">
        <v>589</v>
      </c>
      <c r="I533" s="92" t="s">
        <v>3893</v>
      </c>
      <c r="K533" s="71" t="s">
        <v>511</v>
      </c>
      <c r="L533" t="s">
        <v>1429</v>
      </c>
      <c r="M533" t="str">
        <f t="shared" si="42"/>
        <v>25</v>
      </c>
      <c r="N533" t="str">
        <f t="shared" si="43"/>
        <v>08</v>
      </c>
      <c r="O533" t="str">
        <f t="shared" si="40"/>
        <v>2024</v>
      </c>
      <c r="P533" t="str">
        <f t="shared" si="44"/>
        <v>25-08-2024</v>
      </c>
    </row>
    <row r="534" spans="2:16" x14ac:dyDescent="0.3">
      <c r="B534" s="70">
        <v>45529</v>
      </c>
      <c r="C534" s="70">
        <f t="shared" si="41"/>
        <v>45505</v>
      </c>
      <c r="D534" s="94">
        <v>20</v>
      </c>
      <c r="E534" s="94">
        <v>0</v>
      </c>
      <c r="F534" s="92" t="s">
        <v>3064</v>
      </c>
      <c r="G534" s="75"/>
      <c r="H534" s="92" t="s">
        <v>589</v>
      </c>
      <c r="I534" s="92" t="s">
        <v>3892</v>
      </c>
      <c r="K534" s="71" t="s">
        <v>511</v>
      </c>
      <c r="L534" t="s">
        <v>1669</v>
      </c>
      <c r="M534" t="str">
        <f t="shared" si="42"/>
        <v>25</v>
      </c>
      <c r="N534" t="str">
        <f t="shared" si="43"/>
        <v>08</v>
      </c>
      <c r="O534" t="str">
        <f t="shared" si="40"/>
        <v>2024</v>
      </c>
      <c r="P534" t="str">
        <f t="shared" si="44"/>
        <v>25-08-2024</v>
      </c>
    </row>
    <row r="535" spans="2:16" x14ac:dyDescent="0.3">
      <c r="B535" s="70">
        <v>45529</v>
      </c>
      <c r="C535" s="70">
        <f t="shared" si="41"/>
        <v>45505</v>
      </c>
      <c r="D535" s="94">
        <v>2200</v>
      </c>
      <c r="E535" s="94">
        <v>0</v>
      </c>
      <c r="F535" s="92" t="s">
        <v>3065</v>
      </c>
      <c r="G535" s="75"/>
      <c r="H535" s="92" t="s">
        <v>589</v>
      </c>
      <c r="I535" s="92" t="s">
        <v>3892</v>
      </c>
      <c r="K535" s="71" t="s">
        <v>511</v>
      </c>
      <c r="L535" t="s">
        <v>1671</v>
      </c>
      <c r="M535" t="str">
        <f t="shared" si="42"/>
        <v>25</v>
      </c>
      <c r="N535" t="str">
        <f t="shared" si="43"/>
        <v>08</v>
      </c>
      <c r="O535" t="str">
        <f t="shared" si="40"/>
        <v>2024</v>
      </c>
      <c r="P535" t="str">
        <f t="shared" si="44"/>
        <v>25-08-2024</v>
      </c>
    </row>
    <row r="536" spans="2:16" x14ac:dyDescent="0.3">
      <c r="B536" s="70">
        <v>45529</v>
      </c>
      <c r="C536" s="70">
        <f t="shared" si="41"/>
        <v>45505</v>
      </c>
      <c r="D536" s="94">
        <v>400</v>
      </c>
      <c r="E536" s="94">
        <v>0</v>
      </c>
      <c r="F536" s="92" t="s">
        <v>3066</v>
      </c>
      <c r="G536" s="75"/>
      <c r="H536" s="92" t="s">
        <v>589</v>
      </c>
      <c r="I536" s="92" t="s">
        <v>3892</v>
      </c>
      <c r="K536" s="71" t="s">
        <v>511</v>
      </c>
      <c r="L536" t="s">
        <v>1673</v>
      </c>
      <c r="M536" t="str">
        <f t="shared" si="42"/>
        <v>25</v>
      </c>
      <c r="N536" t="str">
        <f t="shared" si="43"/>
        <v>08</v>
      </c>
      <c r="O536" t="str">
        <f t="shared" si="40"/>
        <v>2024</v>
      </c>
      <c r="P536" t="str">
        <f t="shared" si="44"/>
        <v>25-08-2024</v>
      </c>
    </row>
    <row r="537" spans="2:16" x14ac:dyDescent="0.3">
      <c r="B537" s="70">
        <v>45530</v>
      </c>
      <c r="C537" s="70">
        <f t="shared" si="41"/>
        <v>45505</v>
      </c>
      <c r="D537" s="94">
        <v>425.16</v>
      </c>
      <c r="E537" s="94">
        <v>0</v>
      </c>
      <c r="F537" s="92" t="s">
        <v>3067</v>
      </c>
      <c r="G537" s="75"/>
      <c r="H537" s="92" t="s">
        <v>3881</v>
      </c>
      <c r="I537" s="92" t="s">
        <v>3889</v>
      </c>
      <c r="K537" s="71" t="s">
        <v>217</v>
      </c>
      <c r="L537" t="s">
        <v>30</v>
      </c>
      <c r="M537" t="str">
        <f t="shared" si="42"/>
        <v>26</v>
      </c>
      <c r="N537" t="str">
        <f t="shared" si="43"/>
        <v>08</v>
      </c>
      <c r="O537" t="str">
        <f t="shared" si="40"/>
        <v>2024</v>
      </c>
      <c r="P537" t="str">
        <f t="shared" si="44"/>
        <v>26-08-2024</v>
      </c>
    </row>
    <row r="538" spans="2:16" x14ac:dyDescent="0.3">
      <c r="B538" s="70">
        <v>45531</v>
      </c>
      <c r="C538" s="70">
        <f t="shared" si="41"/>
        <v>45505</v>
      </c>
      <c r="D538" s="94">
        <v>0</v>
      </c>
      <c r="E538" s="94">
        <v>65</v>
      </c>
      <c r="F538" s="92" t="s">
        <v>3068</v>
      </c>
      <c r="G538" s="75" t="s">
        <v>3922</v>
      </c>
      <c r="H538" s="92" t="s">
        <v>218</v>
      </c>
      <c r="I538" s="92" t="s">
        <v>3889</v>
      </c>
      <c r="K538" s="71" t="s">
        <v>218</v>
      </c>
      <c r="L538" t="s">
        <v>908</v>
      </c>
      <c r="M538" t="str">
        <f t="shared" si="42"/>
        <v>27</v>
      </c>
      <c r="N538" t="str">
        <f t="shared" si="43"/>
        <v>08</v>
      </c>
      <c r="O538" t="str">
        <f t="shared" si="40"/>
        <v>2024</v>
      </c>
      <c r="P538" t="str">
        <f t="shared" si="44"/>
        <v>27-08-2024</v>
      </c>
    </row>
    <row r="539" spans="2:16" x14ac:dyDescent="0.3">
      <c r="B539" s="70">
        <v>45531</v>
      </c>
      <c r="C539" s="70">
        <f t="shared" si="41"/>
        <v>45505</v>
      </c>
      <c r="D539" s="94">
        <v>141.72</v>
      </c>
      <c r="E539" s="94">
        <v>0</v>
      </c>
      <c r="F539" s="92" t="s">
        <v>3069</v>
      </c>
      <c r="G539" s="75"/>
      <c r="H539" s="92" t="s">
        <v>3881</v>
      </c>
      <c r="I539" s="92" t="s">
        <v>3889</v>
      </c>
      <c r="K539" s="71" t="s">
        <v>217</v>
      </c>
      <c r="L539" t="s">
        <v>30</v>
      </c>
      <c r="M539" t="str">
        <f t="shared" si="42"/>
        <v>27</v>
      </c>
      <c r="N539" t="str">
        <f t="shared" si="43"/>
        <v>08</v>
      </c>
      <c r="O539" t="str">
        <f t="shared" si="40"/>
        <v>2024</v>
      </c>
      <c r="P539" t="str">
        <f t="shared" si="44"/>
        <v>27-08-2024</v>
      </c>
    </row>
    <row r="540" spans="2:16" x14ac:dyDescent="0.3">
      <c r="B540" s="70">
        <v>45531</v>
      </c>
      <c r="C540" s="70">
        <f t="shared" si="41"/>
        <v>45505</v>
      </c>
      <c r="D540" s="94">
        <v>0</v>
      </c>
      <c r="E540" s="94">
        <v>220</v>
      </c>
      <c r="F540" s="92" t="s">
        <v>3070</v>
      </c>
      <c r="G540" s="75"/>
      <c r="H540" s="92" t="s">
        <v>589</v>
      </c>
      <c r="I540" s="92" t="s">
        <v>3893</v>
      </c>
      <c r="K540" s="71" t="s">
        <v>511</v>
      </c>
      <c r="L540" t="s">
        <v>1430</v>
      </c>
      <c r="M540" t="str">
        <f t="shared" si="42"/>
        <v>27</v>
      </c>
      <c r="N540" t="str">
        <f t="shared" si="43"/>
        <v>08</v>
      </c>
      <c r="O540" t="str">
        <f t="shared" si="40"/>
        <v>2024</v>
      </c>
      <c r="P540" t="str">
        <f t="shared" si="44"/>
        <v>27-08-2024</v>
      </c>
    </row>
    <row r="541" spans="2:16" x14ac:dyDescent="0.3">
      <c r="B541" s="70">
        <v>45531</v>
      </c>
      <c r="C541" s="70">
        <f t="shared" si="41"/>
        <v>45505</v>
      </c>
      <c r="D541" s="94">
        <v>424</v>
      </c>
      <c r="E541" s="94">
        <v>0</v>
      </c>
      <c r="F541" s="92" t="s">
        <v>3071</v>
      </c>
      <c r="G541" s="75"/>
      <c r="H541" s="92" t="s">
        <v>589</v>
      </c>
      <c r="I541" s="92" t="s">
        <v>3892</v>
      </c>
      <c r="K541" s="71" t="s">
        <v>511</v>
      </c>
      <c r="L541" t="s">
        <v>1675</v>
      </c>
      <c r="M541" t="str">
        <f t="shared" si="42"/>
        <v>27</v>
      </c>
      <c r="N541" t="str">
        <f t="shared" si="43"/>
        <v>08</v>
      </c>
      <c r="O541" t="str">
        <f t="shared" si="40"/>
        <v>2024</v>
      </c>
      <c r="P541" t="str">
        <f t="shared" si="44"/>
        <v>27-08-2024</v>
      </c>
    </row>
    <row r="542" spans="2:16" x14ac:dyDescent="0.3">
      <c r="B542" s="70">
        <v>45532</v>
      </c>
      <c r="C542" s="70">
        <f t="shared" si="41"/>
        <v>45505</v>
      </c>
      <c r="D542" s="94">
        <v>0</v>
      </c>
      <c r="E542" s="94">
        <v>9920.6</v>
      </c>
      <c r="F542" s="92" t="s">
        <v>3072</v>
      </c>
      <c r="G542" s="75"/>
      <c r="H542" s="92" t="s">
        <v>3881</v>
      </c>
      <c r="I542" s="92" t="s">
        <v>3889</v>
      </c>
      <c r="K542" s="71" t="s">
        <v>217</v>
      </c>
      <c r="L542" t="s">
        <v>34</v>
      </c>
      <c r="M542" t="str">
        <f t="shared" si="42"/>
        <v>28</v>
      </c>
      <c r="N542" t="str">
        <f t="shared" si="43"/>
        <v>08</v>
      </c>
      <c r="O542" t="str">
        <f t="shared" si="40"/>
        <v>2024</v>
      </c>
      <c r="P542" t="str">
        <f t="shared" si="44"/>
        <v>28-08-2024</v>
      </c>
    </row>
    <row r="543" spans="2:16" x14ac:dyDescent="0.3">
      <c r="B543" s="70">
        <v>45532</v>
      </c>
      <c r="C543" s="70">
        <f t="shared" si="41"/>
        <v>45505</v>
      </c>
      <c r="D543" s="94">
        <v>5000</v>
      </c>
      <c r="E543" s="94">
        <v>0</v>
      </c>
      <c r="F543" s="92" t="s">
        <v>3073</v>
      </c>
      <c r="G543" s="75"/>
      <c r="H543" s="92" t="s">
        <v>2538</v>
      </c>
      <c r="I543" s="92" t="s">
        <v>3889</v>
      </c>
      <c r="K543" s="71" t="s">
        <v>219</v>
      </c>
      <c r="L543" t="s">
        <v>912</v>
      </c>
      <c r="M543" t="str">
        <f t="shared" si="42"/>
        <v>28</v>
      </c>
      <c r="N543" t="str">
        <f t="shared" si="43"/>
        <v>08</v>
      </c>
      <c r="O543" t="str">
        <f t="shared" si="40"/>
        <v>2024</v>
      </c>
      <c r="P543" t="str">
        <f t="shared" si="44"/>
        <v>28-08-2024</v>
      </c>
    </row>
    <row r="544" spans="2:16" x14ac:dyDescent="0.3">
      <c r="B544" s="70">
        <v>45532</v>
      </c>
      <c r="C544" s="70">
        <f t="shared" si="41"/>
        <v>45505</v>
      </c>
      <c r="D544" s="94">
        <v>141.72</v>
      </c>
      <c r="E544" s="94">
        <v>0</v>
      </c>
      <c r="F544" s="92" t="s">
        <v>3074</v>
      </c>
      <c r="G544" s="75"/>
      <c r="H544" s="92" t="s">
        <v>3881</v>
      </c>
      <c r="I544" s="92" t="s">
        <v>3889</v>
      </c>
      <c r="K544" s="71" t="s">
        <v>217</v>
      </c>
      <c r="L544" t="s">
        <v>30</v>
      </c>
      <c r="M544" t="str">
        <f t="shared" si="42"/>
        <v>28</v>
      </c>
      <c r="N544" t="str">
        <f t="shared" si="43"/>
        <v>08</v>
      </c>
      <c r="O544" t="str">
        <f t="shared" si="40"/>
        <v>2024</v>
      </c>
      <c r="P544" t="str">
        <f t="shared" si="44"/>
        <v>28-08-2024</v>
      </c>
    </row>
    <row r="545" spans="2:16" x14ac:dyDescent="0.3">
      <c r="B545" s="70">
        <v>45533</v>
      </c>
      <c r="C545" s="70">
        <f t="shared" si="41"/>
        <v>45505</v>
      </c>
      <c r="D545" s="94">
        <v>0</v>
      </c>
      <c r="E545" s="94">
        <v>230</v>
      </c>
      <c r="F545" s="92" t="s">
        <v>3075</v>
      </c>
      <c r="G545" s="75" t="s">
        <v>3923</v>
      </c>
      <c r="H545" s="92" t="s">
        <v>218</v>
      </c>
      <c r="I545" s="92" t="s">
        <v>3889</v>
      </c>
      <c r="K545" s="71" t="s">
        <v>218</v>
      </c>
      <c r="L545" t="s">
        <v>915</v>
      </c>
      <c r="M545" t="str">
        <f t="shared" si="42"/>
        <v>29</v>
      </c>
      <c r="N545" t="str">
        <f t="shared" si="43"/>
        <v>08</v>
      </c>
      <c r="O545" t="str">
        <f t="shared" si="40"/>
        <v>2024</v>
      </c>
      <c r="P545" t="str">
        <f t="shared" si="44"/>
        <v>29-08-2024</v>
      </c>
    </row>
    <row r="546" spans="2:16" x14ac:dyDescent="0.3">
      <c r="B546" s="70">
        <v>45533</v>
      </c>
      <c r="C546" s="70">
        <f t="shared" si="41"/>
        <v>45505</v>
      </c>
      <c r="D546" s="94">
        <v>128.80000000000001</v>
      </c>
      <c r="E546" s="94">
        <v>0</v>
      </c>
      <c r="F546" s="92" t="s">
        <v>3076</v>
      </c>
      <c r="G546" s="75"/>
      <c r="H546" s="92" t="s">
        <v>3881</v>
      </c>
      <c r="I546" s="92" t="s">
        <v>3889</v>
      </c>
      <c r="K546" s="71" t="s">
        <v>217</v>
      </c>
      <c r="L546" t="s">
        <v>30</v>
      </c>
      <c r="M546" t="str">
        <f t="shared" si="42"/>
        <v>29</v>
      </c>
      <c r="N546" t="str">
        <f t="shared" si="43"/>
        <v>08</v>
      </c>
      <c r="O546" t="str">
        <f t="shared" si="40"/>
        <v>2024</v>
      </c>
      <c r="P546" t="str">
        <f t="shared" si="44"/>
        <v>29-08-2024</v>
      </c>
    </row>
    <row r="547" spans="2:16" x14ac:dyDescent="0.3">
      <c r="B547" s="70">
        <v>45533</v>
      </c>
      <c r="C547" s="70">
        <f t="shared" si="41"/>
        <v>45505</v>
      </c>
      <c r="D547" s="94">
        <v>0</v>
      </c>
      <c r="E547" s="94">
        <v>20</v>
      </c>
      <c r="F547" s="92" t="s">
        <v>3077</v>
      </c>
      <c r="G547" s="75" t="s">
        <v>3924</v>
      </c>
      <c r="H547" s="92" t="s">
        <v>218</v>
      </c>
      <c r="I547" s="92" t="s">
        <v>3889</v>
      </c>
      <c r="K547" s="71" t="s">
        <v>218</v>
      </c>
      <c r="L547" t="s">
        <v>918</v>
      </c>
      <c r="M547" t="str">
        <f t="shared" si="42"/>
        <v>29</v>
      </c>
      <c r="N547" t="str">
        <f t="shared" si="43"/>
        <v>08</v>
      </c>
      <c r="O547" t="str">
        <f t="shared" si="40"/>
        <v>2024</v>
      </c>
      <c r="P547" t="str">
        <f t="shared" si="44"/>
        <v>29-08-2024</v>
      </c>
    </row>
    <row r="548" spans="2:16" x14ac:dyDescent="0.3">
      <c r="B548" s="70">
        <v>45533</v>
      </c>
      <c r="C548" s="70">
        <f t="shared" si="41"/>
        <v>45505</v>
      </c>
      <c r="D548" s="94">
        <v>0</v>
      </c>
      <c r="E548" s="94">
        <v>30</v>
      </c>
      <c r="F548" s="92" t="s">
        <v>3078</v>
      </c>
      <c r="G548" s="75" t="s">
        <v>3924</v>
      </c>
      <c r="H548" s="92" t="s">
        <v>218</v>
      </c>
      <c r="I548" s="92" t="s">
        <v>3893</v>
      </c>
      <c r="K548" s="71" t="s">
        <v>218</v>
      </c>
      <c r="L548" t="s">
        <v>1431</v>
      </c>
      <c r="M548" t="str">
        <f t="shared" si="42"/>
        <v>29</v>
      </c>
      <c r="N548" t="str">
        <f t="shared" si="43"/>
        <v>08</v>
      </c>
      <c r="O548" t="str">
        <f t="shared" si="40"/>
        <v>2024</v>
      </c>
      <c r="P548" t="str">
        <f t="shared" si="44"/>
        <v>29-08-2024</v>
      </c>
    </row>
    <row r="549" spans="2:16" x14ac:dyDescent="0.3">
      <c r="B549" s="70">
        <v>45533</v>
      </c>
      <c r="C549" s="70">
        <f t="shared" si="41"/>
        <v>45505</v>
      </c>
      <c r="D549" s="94">
        <v>85</v>
      </c>
      <c r="E549" s="94">
        <v>0</v>
      </c>
      <c r="F549" s="92" t="s">
        <v>3079</v>
      </c>
      <c r="G549" s="75"/>
      <c r="H549" s="92" t="s">
        <v>589</v>
      </c>
      <c r="I549" s="92" t="s">
        <v>3892</v>
      </c>
      <c r="K549" s="71" t="s">
        <v>511</v>
      </c>
      <c r="L549" t="s">
        <v>1677</v>
      </c>
      <c r="M549" t="str">
        <f t="shared" si="42"/>
        <v>29</v>
      </c>
      <c r="N549" t="str">
        <f t="shared" si="43"/>
        <v>08</v>
      </c>
      <c r="O549" t="str">
        <f t="shared" si="40"/>
        <v>2024</v>
      </c>
      <c r="P549" t="str">
        <f t="shared" si="44"/>
        <v>29-08-2024</v>
      </c>
    </row>
    <row r="550" spans="2:16" x14ac:dyDescent="0.3">
      <c r="B550" s="70">
        <v>45533</v>
      </c>
      <c r="C550" s="70">
        <f t="shared" si="41"/>
        <v>45505</v>
      </c>
      <c r="D550" s="94">
        <v>0</v>
      </c>
      <c r="E550" s="94">
        <v>130</v>
      </c>
      <c r="F550" s="92" t="s">
        <v>3080</v>
      </c>
      <c r="G550" s="75"/>
      <c r="H550" s="92" t="s">
        <v>589</v>
      </c>
      <c r="I550" s="92" t="s">
        <v>3892</v>
      </c>
      <c r="K550" s="71" t="s">
        <v>511</v>
      </c>
      <c r="L550" t="s">
        <v>1679</v>
      </c>
      <c r="M550" t="str">
        <f t="shared" si="42"/>
        <v>29</v>
      </c>
      <c r="N550" t="str">
        <f t="shared" si="43"/>
        <v>08</v>
      </c>
      <c r="O550" t="str">
        <f t="shared" si="40"/>
        <v>2024</v>
      </c>
      <c r="P550" t="str">
        <f t="shared" si="44"/>
        <v>29-08-2024</v>
      </c>
    </row>
    <row r="551" spans="2:16" x14ac:dyDescent="0.3">
      <c r="B551" s="70">
        <v>45534</v>
      </c>
      <c r="C551" s="70">
        <f t="shared" si="41"/>
        <v>45505</v>
      </c>
      <c r="D551" s="94">
        <v>5000</v>
      </c>
      <c r="E551" s="94">
        <v>0</v>
      </c>
      <c r="F551" s="92" t="s">
        <v>3081</v>
      </c>
      <c r="G551" s="75"/>
      <c r="H551" s="92" t="s">
        <v>2538</v>
      </c>
      <c r="I551" s="92" t="s">
        <v>3889</v>
      </c>
      <c r="K551" s="71" t="s">
        <v>219</v>
      </c>
      <c r="L551" t="s">
        <v>920</v>
      </c>
      <c r="M551" t="str">
        <f t="shared" si="42"/>
        <v>30</v>
      </c>
      <c r="N551" t="str">
        <f t="shared" si="43"/>
        <v>08</v>
      </c>
      <c r="O551" t="str">
        <f t="shared" si="40"/>
        <v>2024</v>
      </c>
      <c r="P551" t="str">
        <f t="shared" si="44"/>
        <v>30-08-2024</v>
      </c>
    </row>
    <row r="552" spans="2:16" x14ac:dyDescent="0.3">
      <c r="B552" s="70">
        <v>45534</v>
      </c>
      <c r="C552" s="70">
        <f t="shared" si="41"/>
        <v>45505</v>
      </c>
      <c r="D552" s="94">
        <v>128.80000000000001</v>
      </c>
      <c r="E552" s="94">
        <v>0</v>
      </c>
      <c r="F552" s="92" t="s">
        <v>3082</v>
      </c>
      <c r="G552" s="75"/>
      <c r="H552" s="92" t="s">
        <v>3881</v>
      </c>
      <c r="I552" s="92" t="s">
        <v>3889</v>
      </c>
      <c r="K552" s="71" t="s">
        <v>217</v>
      </c>
      <c r="L552" t="s">
        <v>30</v>
      </c>
      <c r="M552" t="str">
        <f t="shared" si="42"/>
        <v>30</v>
      </c>
      <c r="N552" t="str">
        <f t="shared" si="43"/>
        <v>08</v>
      </c>
      <c r="O552" t="str">
        <f t="shared" si="40"/>
        <v>2024</v>
      </c>
      <c r="P552" t="str">
        <f t="shared" si="44"/>
        <v>30-08-2024</v>
      </c>
    </row>
    <row r="553" spans="2:16" x14ac:dyDescent="0.3">
      <c r="B553" s="70">
        <v>45534</v>
      </c>
      <c r="C553" s="70">
        <f t="shared" si="41"/>
        <v>45505</v>
      </c>
      <c r="D553" s="94">
        <v>0</v>
      </c>
      <c r="E553" s="94">
        <v>26.25</v>
      </c>
      <c r="F553" s="92" t="s">
        <v>3083</v>
      </c>
      <c r="G553" s="75" t="s">
        <v>3925</v>
      </c>
      <c r="H553" s="92" t="s">
        <v>218</v>
      </c>
      <c r="I553" s="92" t="s">
        <v>3889</v>
      </c>
      <c r="K553" s="71" t="s">
        <v>218</v>
      </c>
      <c r="L553" t="s">
        <v>923</v>
      </c>
      <c r="M553" t="str">
        <f t="shared" si="42"/>
        <v>30</v>
      </c>
      <c r="N553" t="str">
        <f t="shared" si="43"/>
        <v>08</v>
      </c>
      <c r="O553" t="str">
        <f t="shared" si="40"/>
        <v>2024</v>
      </c>
      <c r="P553" t="str">
        <f t="shared" si="44"/>
        <v>30-08-2024</v>
      </c>
    </row>
    <row r="554" spans="2:16" x14ac:dyDescent="0.3">
      <c r="B554" s="70">
        <v>45534</v>
      </c>
      <c r="C554" s="70">
        <f t="shared" si="41"/>
        <v>45505</v>
      </c>
      <c r="D554" s="94">
        <v>429</v>
      </c>
      <c r="E554" s="94">
        <v>0</v>
      </c>
      <c r="F554" s="92" t="s">
        <v>3084</v>
      </c>
      <c r="G554" s="75"/>
      <c r="H554" s="92" t="s">
        <v>589</v>
      </c>
      <c r="I554" s="92" t="s">
        <v>3892</v>
      </c>
      <c r="K554" s="71" t="s">
        <v>511</v>
      </c>
      <c r="L554" t="s">
        <v>1681</v>
      </c>
      <c r="M554" t="str">
        <f t="shared" si="42"/>
        <v>30</v>
      </c>
      <c r="N554" t="str">
        <f t="shared" si="43"/>
        <v>08</v>
      </c>
      <c r="O554" t="str">
        <f t="shared" si="40"/>
        <v>2024</v>
      </c>
      <c r="P554" t="str">
        <f t="shared" si="44"/>
        <v>30-08-2024</v>
      </c>
    </row>
    <row r="555" spans="2:16" x14ac:dyDescent="0.3">
      <c r="B555" s="70">
        <v>45534</v>
      </c>
      <c r="C555" s="70">
        <f t="shared" si="41"/>
        <v>45505</v>
      </c>
      <c r="D555" s="94">
        <v>0</v>
      </c>
      <c r="E555" s="94">
        <v>68895</v>
      </c>
      <c r="F555" s="92" t="s">
        <v>3085</v>
      </c>
      <c r="G555" s="75"/>
      <c r="H555" s="92" t="s">
        <v>507</v>
      </c>
      <c r="I555" s="92" t="s">
        <v>3892</v>
      </c>
      <c r="K555" s="71" t="s">
        <v>507</v>
      </c>
      <c r="L555" t="s">
        <v>358</v>
      </c>
      <c r="M555" t="str">
        <f t="shared" si="42"/>
        <v>30</v>
      </c>
      <c r="N555" t="str">
        <f t="shared" si="43"/>
        <v>08</v>
      </c>
      <c r="O555" t="str">
        <f t="shared" si="40"/>
        <v>2024</v>
      </c>
      <c r="P555" t="str">
        <f t="shared" si="44"/>
        <v>30-08-2024</v>
      </c>
    </row>
    <row r="556" spans="2:16" x14ac:dyDescent="0.3">
      <c r="B556" s="70">
        <v>45535</v>
      </c>
      <c r="C556" s="70">
        <f t="shared" si="41"/>
        <v>45505</v>
      </c>
      <c r="D556" s="94">
        <v>151</v>
      </c>
      <c r="E556" s="94">
        <v>0</v>
      </c>
      <c r="F556" s="92" t="s">
        <v>3086</v>
      </c>
      <c r="G556" s="75"/>
      <c r="H556" s="92" t="s">
        <v>589</v>
      </c>
      <c r="I556" s="92" t="s">
        <v>3892</v>
      </c>
      <c r="K556" s="71" t="s">
        <v>511</v>
      </c>
      <c r="L556" t="s">
        <v>1684</v>
      </c>
      <c r="M556" t="str">
        <f t="shared" si="42"/>
        <v>31</v>
      </c>
      <c r="N556" t="str">
        <f t="shared" si="43"/>
        <v>08</v>
      </c>
      <c r="O556" t="str">
        <f t="shared" si="40"/>
        <v>2024</v>
      </c>
      <c r="P556" t="str">
        <f t="shared" si="44"/>
        <v>31-08-2024</v>
      </c>
    </row>
    <row r="557" spans="2:16" x14ac:dyDescent="0.3">
      <c r="B557" s="70">
        <v>45536</v>
      </c>
      <c r="C557" s="70">
        <f t="shared" si="41"/>
        <v>45536</v>
      </c>
      <c r="D557" s="94">
        <v>0</v>
      </c>
      <c r="E557" s="94">
        <v>1</v>
      </c>
      <c r="F557" s="92" t="s">
        <v>3087</v>
      </c>
      <c r="G557" s="92" t="s">
        <v>2573</v>
      </c>
      <c r="H557" s="92" t="s">
        <v>227</v>
      </c>
      <c r="I557" s="92" t="s">
        <v>3894</v>
      </c>
      <c r="K557" s="71" t="s">
        <v>227</v>
      </c>
      <c r="L557" t="s">
        <v>2565</v>
      </c>
      <c r="M557" t="str">
        <f t="shared" si="42"/>
        <v>01</v>
      </c>
      <c r="N557" t="str">
        <f t="shared" si="43"/>
        <v>09</v>
      </c>
      <c r="O557" t="str">
        <f t="shared" si="40"/>
        <v>2024</v>
      </c>
      <c r="P557" t="str">
        <f t="shared" si="44"/>
        <v>01-09-2024</v>
      </c>
    </row>
    <row r="558" spans="2:16" x14ac:dyDescent="0.3">
      <c r="B558" s="70">
        <v>45537</v>
      </c>
      <c r="C558" s="70">
        <f t="shared" si="41"/>
        <v>45536</v>
      </c>
      <c r="D558" s="94">
        <v>0</v>
      </c>
      <c r="E558" s="94">
        <v>550</v>
      </c>
      <c r="F558" s="92" t="s">
        <v>3088</v>
      </c>
      <c r="G558" s="75" t="s">
        <v>3901</v>
      </c>
      <c r="H558" s="92" t="s">
        <v>218</v>
      </c>
      <c r="I558" s="92" t="s">
        <v>3889</v>
      </c>
      <c r="K558" s="71" t="s">
        <v>218</v>
      </c>
      <c r="L558" t="s">
        <v>925</v>
      </c>
      <c r="M558" t="str">
        <f t="shared" si="42"/>
        <v>02</v>
      </c>
      <c r="N558" t="str">
        <f t="shared" si="43"/>
        <v>09</v>
      </c>
      <c r="O558" t="str">
        <f t="shared" si="40"/>
        <v>2024</v>
      </c>
      <c r="P558" t="str">
        <f t="shared" si="44"/>
        <v>02-09-2024</v>
      </c>
    </row>
    <row r="559" spans="2:16" x14ac:dyDescent="0.3">
      <c r="B559" s="70">
        <v>45537</v>
      </c>
      <c r="C559" s="70">
        <f t="shared" si="41"/>
        <v>45536</v>
      </c>
      <c r="D559" s="94">
        <v>386.4</v>
      </c>
      <c r="E559" s="94">
        <v>0</v>
      </c>
      <c r="F559" s="92" t="s">
        <v>3089</v>
      </c>
      <c r="G559" s="75"/>
      <c r="H559" s="92" t="s">
        <v>3881</v>
      </c>
      <c r="I559" s="92" t="s">
        <v>3889</v>
      </c>
      <c r="K559" s="71" t="s">
        <v>217</v>
      </c>
      <c r="L559" t="s">
        <v>30</v>
      </c>
      <c r="M559" t="str">
        <f t="shared" si="42"/>
        <v>02</v>
      </c>
      <c r="N559" t="str">
        <f t="shared" si="43"/>
        <v>09</v>
      </c>
      <c r="O559" t="str">
        <f t="shared" si="40"/>
        <v>2024</v>
      </c>
      <c r="P559" t="str">
        <f t="shared" si="44"/>
        <v>02-09-2024</v>
      </c>
    </row>
    <row r="560" spans="2:16" x14ac:dyDescent="0.3">
      <c r="B560" s="70">
        <v>45537</v>
      </c>
      <c r="C560" s="70">
        <f t="shared" si="41"/>
        <v>45536</v>
      </c>
      <c r="D560" s="94">
        <v>0</v>
      </c>
      <c r="E560" s="94">
        <v>15</v>
      </c>
      <c r="F560" s="92" t="s">
        <v>3090</v>
      </c>
      <c r="G560" s="75" t="s">
        <v>3903</v>
      </c>
      <c r="H560" s="92" t="s">
        <v>218</v>
      </c>
      <c r="I560" s="92" t="s">
        <v>3893</v>
      </c>
      <c r="K560" s="71" t="s">
        <v>218</v>
      </c>
      <c r="L560" t="s">
        <v>1432</v>
      </c>
      <c r="M560" t="str">
        <f t="shared" si="42"/>
        <v>02</v>
      </c>
      <c r="N560" t="str">
        <f t="shared" si="43"/>
        <v>09</v>
      </c>
      <c r="O560" t="str">
        <f t="shared" si="40"/>
        <v>2024</v>
      </c>
      <c r="P560" t="str">
        <f t="shared" si="44"/>
        <v>02-09-2024</v>
      </c>
    </row>
    <row r="561" spans="2:16" x14ac:dyDescent="0.3">
      <c r="B561" s="70">
        <v>45537</v>
      </c>
      <c r="C561" s="70">
        <f t="shared" si="41"/>
        <v>45536</v>
      </c>
      <c r="D561" s="94">
        <v>240</v>
      </c>
      <c r="E561" s="94">
        <v>0</v>
      </c>
      <c r="F561" s="92" t="s">
        <v>3091</v>
      </c>
      <c r="G561" s="75"/>
      <c r="H561" s="92" t="s">
        <v>589</v>
      </c>
      <c r="I561" s="92" t="s">
        <v>3892</v>
      </c>
      <c r="K561" s="71" t="s">
        <v>511</v>
      </c>
      <c r="L561" t="s">
        <v>1686</v>
      </c>
      <c r="M561" t="str">
        <f t="shared" si="42"/>
        <v>02</v>
      </c>
      <c r="N561" t="str">
        <f t="shared" si="43"/>
        <v>09</v>
      </c>
      <c r="O561" t="str">
        <f t="shared" si="40"/>
        <v>2024</v>
      </c>
      <c r="P561" t="str">
        <f t="shared" si="44"/>
        <v>02-09-2024</v>
      </c>
    </row>
    <row r="562" spans="2:16" x14ac:dyDescent="0.3">
      <c r="B562" s="70">
        <v>45537</v>
      </c>
      <c r="C562" s="70">
        <f t="shared" si="41"/>
        <v>45536</v>
      </c>
      <c r="D562" s="94">
        <v>85</v>
      </c>
      <c r="E562" s="94">
        <v>0</v>
      </c>
      <c r="F562" s="92" t="s">
        <v>3092</v>
      </c>
      <c r="G562" s="75"/>
      <c r="H562" s="92" t="s">
        <v>589</v>
      </c>
      <c r="I562" s="92" t="s">
        <v>3892</v>
      </c>
      <c r="K562" s="71" t="s">
        <v>511</v>
      </c>
      <c r="L562" t="s">
        <v>1688</v>
      </c>
      <c r="M562" t="str">
        <f t="shared" si="42"/>
        <v>02</v>
      </c>
      <c r="N562" t="str">
        <f t="shared" si="43"/>
        <v>09</v>
      </c>
      <c r="O562" t="str">
        <f t="shared" si="40"/>
        <v>2024</v>
      </c>
      <c r="P562" t="str">
        <f t="shared" si="44"/>
        <v>02-09-2024</v>
      </c>
    </row>
    <row r="563" spans="2:16" x14ac:dyDescent="0.3">
      <c r="B563" s="70">
        <v>45537</v>
      </c>
      <c r="C563" s="70">
        <f t="shared" si="41"/>
        <v>45536</v>
      </c>
      <c r="D563" s="94">
        <v>339</v>
      </c>
      <c r="E563" s="94">
        <v>0</v>
      </c>
      <c r="F563" s="92" t="s">
        <v>3093</v>
      </c>
      <c r="G563" s="75"/>
      <c r="H563" s="92" t="s">
        <v>589</v>
      </c>
      <c r="I563" s="92" t="s">
        <v>3892</v>
      </c>
      <c r="K563" s="71" t="s">
        <v>511</v>
      </c>
      <c r="L563" t="s">
        <v>1690</v>
      </c>
      <c r="M563" t="str">
        <f t="shared" si="42"/>
        <v>02</v>
      </c>
      <c r="N563" t="str">
        <f t="shared" si="43"/>
        <v>09</v>
      </c>
      <c r="O563" t="str">
        <f t="shared" si="40"/>
        <v>2024</v>
      </c>
      <c r="P563" t="str">
        <f t="shared" si="44"/>
        <v>02-09-2024</v>
      </c>
    </row>
    <row r="564" spans="2:16" x14ac:dyDescent="0.3">
      <c r="B564" s="70">
        <v>45537</v>
      </c>
      <c r="C564" s="70">
        <f t="shared" si="41"/>
        <v>45536</v>
      </c>
      <c r="D564" s="94">
        <v>3000</v>
      </c>
      <c r="E564" s="94">
        <v>0</v>
      </c>
      <c r="F564" s="92" t="s">
        <v>3094</v>
      </c>
      <c r="G564" s="75"/>
      <c r="H564" s="92" t="s">
        <v>589</v>
      </c>
      <c r="I564" s="92" t="s">
        <v>3892</v>
      </c>
      <c r="K564" s="71" t="s">
        <v>589</v>
      </c>
      <c r="L564" t="s">
        <v>1694</v>
      </c>
      <c r="M564" t="str">
        <f t="shared" si="42"/>
        <v>02</v>
      </c>
      <c r="N564" t="str">
        <f t="shared" si="43"/>
        <v>09</v>
      </c>
      <c r="O564" t="str">
        <f t="shared" si="40"/>
        <v>2024</v>
      </c>
      <c r="P564" t="str">
        <f t="shared" si="44"/>
        <v>02-09-2024</v>
      </c>
    </row>
    <row r="565" spans="2:16" x14ac:dyDescent="0.3">
      <c r="B565" s="70">
        <v>45538</v>
      </c>
      <c r="C565" s="70">
        <f t="shared" si="41"/>
        <v>45536</v>
      </c>
      <c r="D565" s="94">
        <v>75000</v>
      </c>
      <c r="E565" s="94">
        <v>0</v>
      </c>
      <c r="F565" s="92" t="s">
        <v>3095</v>
      </c>
      <c r="G565" s="75"/>
      <c r="H565" s="92" t="s">
        <v>3887</v>
      </c>
      <c r="I565" s="92" t="s">
        <v>3889</v>
      </c>
      <c r="K565" s="71" t="s">
        <v>224</v>
      </c>
      <c r="L565" t="s">
        <v>928</v>
      </c>
      <c r="M565" t="str">
        <f t="shared" si="42"/>
        <v>03</v>
      </c>
      <c r="N565" t="str">
        <f t="shared" si="43"/>
        <v>09</v>
      </c>
      <c r="O565" t="str">
        <f t="shared" si="40"/>
        <v>2024</v>
      </c>
      <c r="P565" t="str">
        <f t="shared" si="44"/>
        <v>03-09-2024</v>
      </c>
    </row>
    <row r="566" spans="2:16" x14ac:dyDescent="0.3">
      <c r="B566" s="70">
        <v>45538</v>
      </c>
      <c r="C566" s="70">
        <f t="shared" si="41"/>
        <v>45536</v>
      </c>
      <c r="D566" s="94">
        <v>128.80000000000001</v>
      </c>
      <c r="E566" s="94">
        <v>0</v>
      </c>
      <c r="F566" s="92" t="s">
        <v>3096</v>
      </c>
      <c r="G566" s="75"/>
      <c r="H566" s="92" t="s">
        <v>3881</v>
      </c>
      <c r="I566" s="92" t="s">
        <v>3889</v>
      </c>
      <c r="K566" s="71" t="s">
        <v>217</v>
      </c>
      <c r="L566" t="s">
        <v>30</v>
      </c>
      <c r="M566" t="str">
        <f t="shared" si="42"/>
        <v>03</v>
      </c>
      <c r="N566" t="str">
        <f t="shared" si="43"/>
        <v>09</v>
      </c>
      <c r="O566" t="str">
        <f t="shared" si="40"/>
        <v>2024</v>
      </c>
      <c r="P566" t="str">
        <f t="shared" si="44"/>
        <v>03-09-2024</v>
      </c>
    </row>
    <row r="567" spans="2:16" x14ac:dyDescent="0.3">
      <c r="B567" s="70">
        <v>45538</v>
      </c>
      <c r="C567" s="70">
        <f t="shared" si="41"/>
        <v>45536</v>
      </c>
      <c r="D567" s="94">
        <v>17356.490000000002</v>
      </c>
      <c r="E567" s="94">
        <v>0</v>
      </c>
      <c r="F567" s="92" t="s">
        <v>3097</v>
      </c>
      <c r="G567" s="75"/>
      <c r="H567" s="92" t="s">
        <v>589</v>
      </c>
      <c r="I567" s="92" t="s">
        <v>3892</v>
      </c>
      <c r="K567" s="71" t="s">
        <v>511</v>
      </c>
      <c r="L567" t="s">
        <v>1692</v>
      </c>
      <c r="M567" t="str">
        <f t="shared" si="42"/>
        <v>03</v>
      </c>
      <c r="N567" t="str">
        <f t="shared" si="43"/>
        <v>09</v>
      </c>
      <c r="O567" t="str">
        <f t="shared" si="40"/>
        <v>2024</v>
      </c>
      <c r="P567" t="str">
        <f t="shared" si="44"/>
        <v>03-09-2024</v>
      </c>
    </row>
    <row r="568" spans="2:16" x14ac:dyDescent="0.3">
      <c r="B568" s="70">
        <v>45538</v>
      </c>
      <c r="C568" s="70">
        <f t="shared" si="41"/>
        <v>45536</v>
      </c>
      <c r="D568" s="94">
        <v>90</v>
      </c>
      <c r="E568" s="94">
        <v>0</v>
      </c>
      <c r="F568" s="92" t="s">
        <v>3098</v>
      </c>
      <c r="G568" s="75"/>
      <c r="H568" s="92" t="s">
        <v>589</v>
      </c>
      <c r="I568" s="92" t="s">
        <v>3892</v>
      </c>
      <c r="K568" s="71" t="s">
        <v>511</v>
      </c>
      <c r="L568" t="s">
        <v>1695</v>
      </c>
      <c r="M568" t="str">
        <f t="shared" si="42"/>
        <v>03</v>
      </c>
      <c r="N568" t="str">
        <f t="shared" si="43"/>
        <v>09</v>
      </c>
      <c r="O568" t="str">
        <f t="shared" si="40"/>
        <v>2024</v>
      </c>
      <c r="P568" t="str">
        <f t="shared" si="44"/>
        <v>03-09-2024</v>
      </c>
    </row>
    <row r="569" spans="2:16" x14ac:dyDescent="0.3">
      <c r="B569" s="70">
        <v>45538</v>
      </c>
      <c r="C569" s="70">
        <f t="shared" si="41"/>
        <v>45536</v>
      </c>
      <c r="D569" s="94">
        <v>2250</v>
      </c>
      <c r="E569" s="94">
        <v>0</v>
      </c>
      <c r="F569" s="92" t="s">
        <v>3099</v>
      </c>
      <c r="G569" s="75"/>
      <c r="H569" s="92" t="s">
        <v>589</v>
      </c>
      <c r="I569" s="92" t="s">
        <v>3892</v>
      </c>
      <c r="K569" s="71" t="s">
        <v>511</v>
      </c>
      <c r="L569" t="s">
        <v>1697</v>
      </c>
      <c r="M569" t="str">
        <f t="shared" si="42"/>
        <v>03</v>
      </c>
      <c r="N569" t="str">
        <f t="shared" si="43"/>
        <v>09</v>
      </c>
      <c r="O569" t="str">
        <f t="shared" si="40"/>
        <v>2024</v>
      </c>
      <c r="P569" t="str">
        <f t="shared" si="44"/>
        <v>03-09-2024</v>
      </c>
    </row>
    <row r="570" spans="2:16" x14ac:dyDescent="0.3">
      <c r="B570" s="70">
        <v>45539</v>
      </c>
      <c r="C570" s="70">
        <f t="shared" si="41"/>
        <v>45536</v>
      </c>
      <c r="D570" s="94">
        <v>128.80000000000001</v>
      </c>
      <c r="E570" s="94">
        <v>0</v>
      </c>
      <c r="F570" s="92" t="s">
        <v>3100</v>
      </c>
      <c r="G570" s="75"/>
      <c r="H570" s="92" t="s">
        <v>3881</v>
      </c>
      <c r="I570" s="92" t="s">
        <v>3889</v>
      </c>
      <c r="K570" s="71" t="s">
        <v>217</v>
      </c>
      <c r="L570" t="s">
        <v>30</v>
      </c>
      <c r="M570" t="str">
        <f t="shared" si="42"/>
        <v>04</v>
      </c>
      <c r="N570" t="str">
        <f t="shared" si="43"/>
        <v>09</v>
      </c>
      <c r="O570" t="str">
        <f t="shared" si="40"/>
        <v>2024</v>
      </c>
      <c r="P570" t="str">
        <f t="shared" si="44"/>
        <v>04-09-2024</v>
      </c>
    </row>
    <row r="571" spans="2:16" x14ac:dyDescent="0.3">
      <c r="B571" s="70">
        <v>45539</v>
      </c>
      <c r="C571" s="70">
        <f t="shared" si="41"/>
        <v>45536</v>
      </c>
      <c r="D571" s="94">
        <v>15</v>
      </c>
      <c r="E571" s="94">
        <v>0</v>
      </c>
      <c r="F571" s="92" t="s">
        <v>3101</v>
      </c>
      <c r="G571" s="75"/>
      <c r="H571" s="92" t="s">
        <v>589</v>
      </c>
      <c r="I571" s="92" t="s">
        <v>3892</v>
      </c>
      <c r="K571" s="71" t="s">
        <v>511</v>
      </c>
      <c r="L571" t="s">
        <v>1699</v>
      </c>
      <c r="M571" t="str">
        <f t="shared" si="42"/>
        <v>04</v>
      </c>
      <c r="N571" t="str">
        <f t="shared" si="43"/>
        <v>09</v>
      </c>
      <c r="O571" t="str">
        <f t="shared" si="40"/>
        <v>2024</v>
      </c>
      <c r="P571" t="str">
        <f t="shared" si="44"/>
        <v>04-09-2024</v>
      </c>
    </row>
    <row r="572" spans="2:16" x14ac:dyDescent="0.3">
      <c r="B572" s="70">
        <v>45539</v>
      </c>
      <c r="C572" s="70">
        <f t="shared" si="41"/>
        <v>45536</v>
      </c>
      <c r="D572" s="94">
        <v>170</v>
      </c>
      <c r="E572" s="94">
        <v>0</v>
      </c>
      <c r="F572" s="92" t="s">
        <v>3102</v>
      </c>
      <c r="G572" s="75"/>
      <c r="H572" s="92" t="s">
        <v>589</v>
      </c>
      <c r="I572" s="92" t="s">
        <v>3892</v>
      </c>
      <c r="K572" s="71" t="s">
        <v>511</v>
      </c>
      <c r="L572" t="s">
        <v>1701</v>
      </c>
      <c r="M572" t="str">
        <f t="shared" si="42"/>
        <v>04</v>
      </c>
      <c r="N572" t="str">
        <f t="shared" si="43"/>
        <v>09</v>
      </c>
      <c r="O572" t="str">
        <f t="shared" si="40"/>
        <v>2024</v>
      </c>
      <c r="P572" t="str">
        <f t="shared" si="44"/>
        <v>04-09-2024</v>
      </c>
    </row>
    <row r="573" spans="2:16" x14ac:dyDescent="0.3">
      <c r="B573" s="70">
        <v>45540</v>
      </c>
      <c r="C573" s="70">
        <f t="shared" si="41"/>
        <v>45536</v>
      </c>
      <c r="D573" s="94">
        <v>128.80000000000001</v>
      </c>
      <c r="E573" s="94">
        <v>0</v>
      </c>
      <c r="F573" s="92" t="s">
        <v>3103</v>
      </c>
      <c r="G573" s="75"/>
      <c r="H573" s="92" t="s">
        <v>3881</v>
      </c>
      <c r="I573" s="92" t="s">
        <v>3889</v>
      </c>
      <c r="K573" s="71" t="s">
        <v>217</v>
      </c>
      <c r="L573" t="s">
        <v>30</v>
      </c>
      <c r="M573" t="str">
        <f t="shared" si="42"/>
        <v>05</v>
      </c>
      <c r="N573" t="str">
        <f t="shared" si="43"/>
        <v>09</v>
      </c>
      <c r="O573" t="str">
        <f t="shared" si="40"/>
        <v>2024</v>
      </c>
      <c r="P573" t="str">
        <f t="shared" si="44"/>
        <v>05-09-2024</v>
      </c>
    </row>
    <row r="574" spans="2:16" x14ac:dyDescent="0.3">
      <c r="B574" s="70">
        <v>45540</v>
      </c>
      <c r="C574" s="70">
        <f t="shared" si="41"/>
        <v>45536</v>
      </c>
      <c r="D574" s="94">
        <v>0</v>
      </c>
      <c r="E574" s="94">
        <v>58.5</v>
      </c>
      <c r="F574" s="92" t="s">
        <v>3104</v>
      </c>
      <c r="G574" s="75" t="s">
        <v>3926</v>
      </c>
      <c r="H574" s="92" t="s">
        <v>218</v>
      </c>
      <c r="I574" s="92" t="s">
        <v>3889</v>
      </c>
      <c r="K574" s="71" t="s">
        <v>218</v>
      </c>
      <c r="L574" t="s">
        <v>933</v>
      </c>
      <c r="M574" t="str">
        <f t="shared" si="42"/>
        <v>05</v>
      </c>
      <c r="N574" t="str">
        <f t="shared" si="43"/>
        <v>09</v>
      </c>
      <c r="O574" t="str">
        <f t="shared" si="40"/>
        <v>2024</v>
      </c>
      <c r="P574" t="str">
        <f t="shared" si="44"/>
        <v>05-09-2024</v>
      </c>
    </row>
    <row r="575" spans="2:16" x14ac:dyDescent="0.3">
      <c r="B575" s="70">
        <v>45540</v>
      </c>
      <c r="C575" s="70">
        <f t="shared" si="41"/>
        <v>45536</v>
      </c>
      <c r="D575" s="94">
        <v>0</v>
      </c>
      <c r="E575" s="94">
        <v>311</v>
      </c>
      <c r="F575" s="92" t="s">
        <v>3105</v>
      </c>
      <c r="G575" s="75"/>
      <c r="H575" s="92" t="s">
        <v>589</v>
      </c>
      <c r="I575" s="92" t="s">
        <v>3893</v>
      </c>
      <c r="K575" s="71" t="s">
        <v>511</v>
      </c>
      <c r="L575" t="s">
        <v>1433</v>
      </c>
      <c r="M575" t="str">
        <f t="shared" si="42"/>
        <v>05</v>
      </c>
      <c r="N575" t="str">
        <f t="shared" si="43"/>
        <v>09</v>
      </c>
      <c r="O575" t="str">
        <f t="shared" si="40"/>
        <v>2024</v>
      </c>
      <c r="P575" t="str">
        <f t="shared" si="44"/>
        <v>05-09-2024</v>
      </c>
    </row>
    <row r="576" spans="2:16" x14ac:dyDescent="0.3">
      <c r="B576" s="70">
        <v>45540</v>
      </c>
      <c r="C576" s="70">
        <f t="shared" si="41"/>
        <v>45536</v>
      </c>
      <c r="D576" s="94">
        <v>15000</v>
      </c>
      <c r="E576" s="94">
        <v>0</v>
      </c>
      <c r="F576" s="92" t="s">
        <v>3106</v>
      </c>
      <c r="G576" s="75"/>
      <c r="H576" s="92" t="s">
        <v>512</v>
      </c>
      <c r="I576" s="92" t="s">
        <v>3892</v>
      </c>
      <c r="K576" s="71" t="s">
        <v>512</v>
      </c>
      <c r="L576" t="s">
        <v>1703</v>
      </c>
      <c r="M576" t="str">
        <f t="shared" si="42"/>
        <v>05</v>
      </c>
      <c r="N576" t="str">
        <f t="shared" si="43"/>
        <v>09</v>
      </c>
      <c r="O576" t="str">
        <f t="shared" si="40"/>
        <v>2024</v>
      </c>
      <c r="P576" t="str">
        <f t="shared" si="44"/>
        <v>05-09-2024</v>
      </c>
    </row>
    <row r="577" spans="2:16" x14ac:dyDescent="0.3">
      <c r="B577" s="70">
        <v>45540</v>
      </c>
      <c r="C577" s="70">
        <f t="shared" si="41"/>
        <v>45536</v>
      </c>
      <c r="D577" s="94">
        <v>85</v>
      </c>
      <c r="E577" s="94">
        <v>0</v>
      </c>
      <c r="F577" s="92" t="s">
        <v>3107</v>
      </c>
      <c r="G577" s="75"/>
      <c r="H577" s="92" t="s">
        <v>589</v>
      </c>
      <c r="I577" s="92" t="s">
        <v>3892</v>
      </c>
      <c r="K577" s="71" t="s">
        <v>511</v>
      </c>
      <c r="L577" t="s">
        <v>1705</v>
      </c>
      <c r="M577" t="str">
        <f t="shared" si="42"/>
        <v>05</v>
      </c>
      <c r="N577" t="str">
        <f t="shared" si="43"/>
        <v>09</v>
      </c>
      <c r="O577" t="str">
        <f t="shared" si="40"/>
        <v>2024</v>
      </c>
      <c r="P577" t="str">
        <f t="shared" si="44"/>
        <v>05-09-2024</v>
      </c>
    </row>
    <row r="578" spans="2:16" x14ac:dyDescent="0.3">
      <c r="B578" s="70">
        <v>45541</v>
      </c>
      <c r="C578" s="70">
        <f t="shared" si="41"/>
        <v>45536</v>
      </c>
      <c r="D578" s="94">
        <v>128.80000000000001</v>
      </c>
      <c r="E578" s="94">
        <v>0</v>
      </c>
      <c r="F578" s="92" t="s">
        <v>3108</v>
      </c>
      <c r="G578" s="75"/>
      <c r="H578" s="92" t="s">
        <v>3881</v>
      </c>
      <c r="I578" s="92" t="s">
        <v>3889</v>
      </c>
      <c r="K578" s="71" t="s">
        <v>217</v>
      </c>
      <c r="L578" t="s">
        <v>30</v>
      </c>
      <c r="M578" t="str">
        <f t="shared" si="42"/>
        <v>06</v>
      </c>
      <c r="N578" t="str">
        <f t="shared" si="43"/>
        <v>09</v>
      </c>
      <c r="O578" t="str">
        <f t="shared" si="40"/>
        <v>2024</v>
      </c>
      <c r="P578" t="str">
        <f t="shared" si="44"/>
        <v>06-09-2024</v>
      </c>
    </row>
    <row r="579" spans="2:16" x14ac:dyDescent="0.3">
      <c r="B579" s="70">
        <v>45541</v>
      </c>
      <c r="C579" s="70">
        <f t="shared" si="41"/>
        <v>45536</v>
      </c>
      <c r="D579" s="94">
        <v>0</v>
      </c>
      <c r="E579" s="94">
        <v>150</v>
      </c>
      <c r="F579" s="92" t="s">
        <v>3109</v>
      </c>
      <c r="G579" s="75" t="s">
        <v>3927</v>
      </c>
      <c r="H579" s="92" t="s">
        <v>218</v>
      </c>
      <c r="I579" s="92" t="s">
        <v>3889</v>
      </c>
      <c r="K579" s="71" t="s">
        <v>218</v>
      </c>
      <c r="L579" t="s">
        <v>936</v>
      </c>
      <c r="M579" t="str">
        <f t="shared" si="42"/>
        <v>06</v>
      </c>
      <c r="N579" t="str">
        <f t="shared" si="43"/>
        <v>09</v>
      </c>
      <c r="O579" t="str">
        <f t="shared" ref="O579:O642" si="45">TEXT(B579,"YYYY")</f>
        <v>2024</v>
      </c>
      <c r="P579" t="str">
        <f t="shared" si="44"/>
        <v>06-09-2024</v>
      </c>
    </row>
    <row r="580" spans="2:16" x14ac:dyDescent="0.3">
      <c r="B580" s="70">
        <v>45541</v>
      </c>
      <c r="C580" s="70">
        <f t="shared" ref="C580:C643" si="46">EOMONTH(B580,-1)+1</f>
        <v>45536</v>
      </c>
      <c r="D580" s="94">
        <v>6000</v>
      </c>
      <c r="E580" s="94">
        <v>0</v>
      </c>
      <c r="F580" s="92" t="s">
        <v>3110</v>
      </c>
      <c r="G580" s="75"/>
      <c r="H580" s="92" t="s">
        <v>589</v>
      </c>
      <c r="I580" s="92" t="s">
        <v>3892</v>
      </c>
      <c r="K580" s="71" t="s">
        <v>511</v>
      </c>
      <c r="L580" t="s">
        <v>1707</v>
      </c>
      <c r="M580" t="str">
        <f t="shared" ref="M580:M643" si="47">TEXT(B580,"DD")</f>
        <v>06</v>
      </c>
      <c r="N580" t="str">
        <f t="shared" ref="N580:N643" si="48">TEXT(B580,"MM")</f>
        <v>09</v>
      </c>
      <c r="O580" t="str">
        <f t="shared" si="45"/>
        <v>2024</v>
      </c>
      <c r="P580" t="str">
        <f t="shared" ref="P580:P643" si="49">M580&amp;"-"&amp;N580&amp;"-"&amp;O580</f>
        <v>06-09-2024</v>
      </c>
    </row>
    <row r="581" spans="2:16" x14ac:dyDescent="0.3">
      <c r="B581" s="70">
        <v>45542</v>
      </c>
      <c r="C581" s="70">
        <f t="shared" si="46"/>
        <v>45536</v>
      </c>
      <c r="D581" s="94">
        <v>90</v>
      </c>
      <c r="E581" s="94">
        <v>0</v>
      </c>
      <c r="F581" s="92" t="s">
        <v>3111</v>
      </c>
      <c r="G581" s="75"/>
      <c r="H581" s="92" t="s">
        <v>589</v>
      </c>
      <c r="I581" s="92" t="s">
        <v>3892</v>
      </c>
      <c r="K581" s="71" t="s">
        <v>511</v>
      </c>
      <c r="L581" t="s">
        <v>1709</v>
      </c>
      <c r="M581" t="str">
        <f t="shared" si="47"/>
        <v>07</v>
      </c>
      <c r="N581" t="str">
        <f t="shared" si="48"/>
        <v>09</v>
      </c>
      <c r="O581" t="str">
        <f t="shared" si="45"/>
        <v>2024</v>
      </c>
      <c r="P581" t="str">
        <f t="shared" si="49"/>
        <v>07-09-2024</v>
      </c>
    </row>
    <row r="582" spans="2:16" x14ac:dyDescent="0.3">
      <c r="B582" s="70">
        <v>45542</v>
      </c>
      <c r="C582" s="70">
        <f t="shared" si="46"/>
        <v>45536</v>
      </c>
      <c r="D582" s="94">
        <v>90</v>
      </c>
      <c r="E582" s="94">
        <v>0</v>
      </c>
      <c r="F582" s="92" t="s">
        <v>3112</v>
      </c>
      <c r="G582" s="75"/>
      <c r="H582" s="92" t="s">
        <v>589</v>
      </c>
      <c r="I582" s="92" t="s">
        <v>3892</v>
      </c>
      <c r="K582" s="71" t="s">
        <v>511</v>
      </c>
      <c r="L582" t="s">
        <v>1711</v>
      </c>
      <c r="M582" t="str">
        <f t="shared" si="47"/>
        <v>07</v>
      </c>
      <c r="N582" t="str">
        <f t="shared" si="48"/>
        <v>09</v>
      </c>
      <c r="O582" t="str">
        <f t="shared" si="45"/>
        <v>2024</v>
      </c>
      <c r="P582" t="str">
        <f t="shared" si="49"/>
        <v>07-09-2024</v>
      </c>
    </row>
    <row r="583" spans="2:16" x14ac:dyDescent="0.3">
      <c r="B583" s="70">
        <v>45543</v>
      </c>
      <c r="C583" s="70">
        <f t="shared" si="46"/>
        <v>45536</v>
      </c>
      <c r="D583" s="94">
        <v>0</v>
      </c>
      <c r="E583" s="94">
        <v>450</v>
      </c>
      <c r="F583" s="92" t="s">
        <v>3113</v>
      </c>
      <c r="G583" s="75"/>
      <c r="H583" s="92" t="s">
        <v>589</v>
      </c>
      <c r="I583" s="92" t="s">
        <v>3893</v>
      </c>
      <c r="K583" s="71" t="s">
        <v>511</v>
      </c>
      <c r="L583" t="s">
        <v>1434</v>
      </c>
      <c r="M583" t="str">
        <f t="shared" si="47"/>
        <v>08</v>
      </c>
      <c r="N583" t="str">
        <f t="shared" si="48"/>
        <v>09</v>
      </c>
      <c r="O583" t="str">
        <f t="shared" si="45"/>
        <v>2024</v>
      </c>
      <c r="P583" t="str">
        <f t="shared" si="49"/>
        <v>08-09-2024</v>
      </c>
    </row>
    <row r="584" spans="2:16" x14ac:dyDescent="0.3">
      <c r="B584" s="70">
        <v>45543</v>
      </c>
      <c r="C584" s="70">
        <f t="shared" si="46"/>
        <v>45536</v>
      </c>
      <c r="D584" s="94">
        <v>21</v>
      </c>
      <c r="E584" s="94">
        <v>0</v>
      </c>
      <c r="F584" s="92" t="s">
        <v>3114</v>
      </c>
      <c r="G584" s="75"/>
      <c r="H584" s="92" t="s">
        <v>589</v>
      </c>
      <c r="I584" s="92" t="s">
        <v>3892</v>
      </c>
      <c r="K584" s="71" t="s">
        <v>511</v>
      </c>
      <c r="L584" t="s">
        <v>1713</v>
      </c>
      <c r="M584" t="str">
        <f t="shared" si="47"/>
        <v>08</v>
      </c>
      <c r="N584" t="str">
        <f t="shared" si="48"/>
        <v>09</v>
      </c>
      <c r="O584" t="str">
        <f t="shared" si="45"/>
        <v>2024</v>
      </c>
      <c r="P584" t="str">
        <f t="shared" si="49"/>
        <v>08-09-2024</v>
      </c>
    </row>
    <row r="585" spans="2:16" x14ac:dyDescent="0.3">
      <c r="B585" s="70">
        <v>45543</v>
      </c>
      <c r="C585" s="70">
        <f t="shared" si="46"/>
        <v>45536</v>
      </c>
      <c r="D585" s="94">
        <v>450</v>
      </c>
      <c r="E585" s="94">
        <v>0</v>
      </c>
      <c r="F585" s="92" t="s">
        <v>3115</v>
      </c>
      <c r="G585" s="75"/>
      <c r="H585" s="92" t="s">
        <v>589</v>
      </c>
      <c r="I585" s="92" t="s">
        <v>3892</v>
      </c>
      <c r="K585" s="71" t="s">
        <v>511</v>
      </c>
      <c r="L585" t="s">
        <v>1715</v>
      </c>
      <c r="M585" t="str">
        <f t="shared" si="47"/>
        <v>08</v>
      </c>
      <c r="N585" t="str">
        <f t="shared" si="48"/>
        <v>09</v>
      </c>
      <c r="O585" t="str">
        <f t="shared" si="45"/>
        <v>2024</v>
      </c>
      <c r="P585" t="str">
        <f t="shared" si="49"/>
        <v>08-09-2024</v>
      </c>
    </row>
    <row r="586" spans="2:16" x14ac:dyDescent="0.3">
      <c r="B586" s="70">
        <v>45544</v>
      </c>
      <c r="C586" s="70">
        <f t="shared" si="46"/>
        <v>45536</v>
      </c>
      <c r="D586" s="94">
        <v>386.4</v>
      </c>
      <c r="E586" s="94">
        <v>0</v>
      </c>
      <c r="F586" s="92" t="s">
        <v>3116</v>
      </c>
      <c r="G586" s="75"/>
      <c r="H586" s="92" t="s">
        <v>3881</v>
      </c>
      <c r="I586" s="92" t="s">
        <v>3889</v>
      </c>
      <c r="K586" s="71" t="s">
        <v>217</v>
      </c>
      <c r="L586" t="s">
        <v>30</v>
      </c>
      <c r="M586" t="str">
        <f t="shared" si="47"/>
        <v>09</v>
      </c>
      <c r="N586" t="str">
        <f t="shared" si="48"/>
        <v>09</v>
      </c>
      <c r="O586" t="str">
        <f t="shared" si="45"/>
        <v>2024</v>
      </c>
      <c r="P586" t="str">
        <f t="shared" si="49"/>
        <v>09-09-2024</v>
      </c>
    </row>
    <row r="587" spans="2:16" x14ac:dyDescent="0.3">
      <c r="B587" s="70">
        <v>45544</v>
      </c>
      <c r="C587" s="70">
        <f t="shared" si="46"/>
        <v>45536</v>
      </c>
      <c r="D587" s="94">
        <v>0</v>
      </c>
      <c r="E587" s="94">
        <v>1880</v>
      </c>
      <c r="F587" s="92" t="s">
        <v>3117</v>
      </c>
      <c r="G587" s="92" t="s">
        <v>222</v>
      </c>
      <c r="H587" s="92" t="s">
        <v>3876</v>
      </c>
      <c r="I587" s="92" t="s">
        <v>3889</v>
      </c>
      <c r="K587" s="71" t="s">
        <v>222</v>
      </c>
      <c r="L587" t="s">
        <v>939</v>
      </c>
      <c r="M587" t="str">
        <f t="shared" si="47"/>
        <v>09</v>
      </c>
      <c r="N587" t="str">
        <f t="shared" si="48"/>
        <v>09</v>
      </c>
      <c r="O587" t="str">
        <f t="shared" si="45"/>
        <v>2024</v>
      </c>
      <c r="P587" t="str">
        <f t="shared" si="49"/>
        <v>09-09-2024</v>
      </c>
    </row>
    <row r="588" spans="2:16" x14ac:dyDescent="0.3">
      <c r="B588" s="70">
        <v>45544</v>
      </c>
      <c r="C588" s="70">
        <f t="shared" si="46"/>
        <v>45536</v>
      </c>
      <c r="D588" s="94">
        <v>85</v>
      </c>
      <c r="E588" s="94">
        <v>0</v>
      </c>
      <c r="F588" s="92" t="s">
        <v>3118</v>
      </c>
      <c r="G588" s="75"/>
      <c r="H588" s="92" t="s">
        <v>589</v>
      </c>
      <c r="I588" s="92" t="s">
        <v>3892</v>
      </c>
      <c r="K588" s="71" t="s">
        <v>511</v>
      </c>
      <c r="L588" t="s">
        <v>1717</v>
      </c>
      <c r="M588" t="str">
        <f t="shared" si="47"/>
        <v>09</v>
      </c>
      <c r="N588" t="str">
        <f t="shared" si="48"/>
        <v>09</v>
      </c>
      <c r="O588" t="str">
        <f t="shared" si="45"/>
        <v>2024</v>
      </c>
      <c r="P588" t="str">
        <f t="shared" si="49"/>
        <v>09-09-2024</v>
      </c>
    </row>
    <row r="589" spans="2:16" x14ac:dyDescent="0.3">
      <c r="B589" s="70">
        <v>45544</v>
      </c>
      <c r="C589" s="70">
        <f t="shared" si="46"/>
        <v>45536</v>
      </c>
      <c r="D589" s="94">
        <v>35</v>
      </c>
      <c r="E589" s="94">
        <v>0</v>
      </c>
      <c r="F589" s="92" t="s">
        <v>3119</v>
      </c>
      <c r="G589" s="75"/>
      <c r="H589" s="92" t="s">
        <v>589</v>
      </c>
      <c r="I589" s="92" t="s">
        <v>3892</v>
      </c>
      <c r="K589" s="71" t="s">
        <v>511</v>
      </c>
      <c r="L589" t="s">
        <v>1719</v>
      </c>
      <c r="M589" t="str">
        <f t="shared" si="47"/>
        <v>09</v>
      </c>
      <c r="N589" t="str">
        <f t="shared" si="48"/>
        <v>09</v>
      </c>
      <c r="O589" t="str">
        <f t="shared" si="45"/>
        <v>2024</v>
      </c>
      <c r="P589" t="str">
        <f t="shared" si="49"/>
        <v>09-09-2024</v>
      </c>
    </row>
    <row r="590" spans="2:16" x14ac:dyDescent="0.3">
      <c r="B590" s="70">
        <v>45545</v>
      </c>
      <c r="C590" s="70">
        <f t="shared" si="46"/>
        <v>45536</v>
      </c>
      <c r="D590" s="94">
        <v>128.80000000000001</v>
      </c>
      <c r="E590" s="94">
        <v>0</v>
      </c>
      <c r="F590" s="92" t="s">
        <v>3120</v>
      </c>
      <c r="G590" s="75"/>
      <c r="H590" s="92" t="s">
        <v>3881</v>
      </c>
      <c r="I590" s="92" t="s">
        <v>3889</v>
      </c>
      <c r="K590" s="71" t="s">
        <v>217</v>
      </c>
      <c r="L590" t="s">
        <v>30</v>
      </c>
      <c r="M590" t="str">
        <f t="shared" si="47"/>
        <v>10</v>
      </c>
      <c r="N590" t="str">
        <f t="shared" si="48"/>
        <v>09</v>
      </c>
      <c r="O590" t="str">
        <f t="shared" si="45"/>
        <v>2024</v>
      </c>
      <c r="P590" t="str">
        <f t="shared" si="49"/>
        <v>10-09-2024</v>
      </c>
    </row>
    <row r="591" spans="2:16" x14ac:dyDescent="0.3">
      <c r="B591" s="70">
        <v>45545</v>
      </c>
      <c r="C591" s="70">
        <f t="shared" si="46"/>
        <v>45536</v>
      </c>
      <c r="D591" s="94">
        <v>5000</v>
      </c>
      <c r="E591" s="94">
        <v>0</v>
      </c>
      <c r="F591" s="92" t="s">
        <v>3121</v>
      </c>
      <c r="G591" s="75"/>
      <c r="H591" s="92" t="s">
        <v>2538</v>
      </c>
      <c r="I591" s="92" t="s">
        <v>3892</v>
      </c>
      <c r="K591" s="71" t="s">
        <v>219</v>
      </c>
      <c r="L591" t="s">
        <v>458</v>
      </c>
      <c r="M591" t="str">
        <f t="shared" si="47"/>
        <v>10</v>
      </c>
      <c r="N591" t="str">
        <f t="shared" si="48"/>
        <v>09</v>
      </c>
      <c r="O591" t="str">
        <f t="shared" si="45"/>
        <v>2024</v>
      </c>
      <c r="P591" t="str">
        <f t="shared" si="49"/>
        <v>10-09-2024</v>
      </c>
    </row>
    <row r="592" spans="2:16" x14ac:dyDescent="0.3">
      <c r="B592" s="70">
        <v>45545</v>
      </c>
      <c r="C592" s="70">
        <f t="shared" si="46"/>
        <v>45536</v>
      </c>
      <c r="D592" s="94">
        <v>85</v>
      </c>
      <c r="E592" s="94">
        <v>0</v>
      </c>
      <c r="F592" s="92" t="s">
        <v>3122</v>
      </c>
      <c r="G592" s="75"/>
      <c r="H592" s="92" t="s">
        <v>589</v>
      </c>
      <c r="I592" s="92" t="s">
        <v>3892</v>
      </c>
      <c r="K592" s="71" t="s">
        <v>511</v>
      </c>
      <c r="L592" t="s">
        <v>1722</v>
      </c>
      <c r="M592" t="str">
        <f t="shared" si="47"/>
        <v>10</v>
      </c>
      <c r="N592" t="str">
        <f t="shared" si="48"/>
        <v>09</v>
      </c>
      <c r="O592" t="str">
        <f t="shared" si="45"/>
        <v>2024</v>
      </c>
      <c r="P592" t="str">
        <f t="shared" si="49"/>
        <v>10-09-2024</v>
      </c>
    </row>
    <row r="593" spans="2:16" x14ac:dyDescent="0.3">
      <c r="B593" s="70">
        <v>45546</v>
      </c>
      <c r="C593" s="70">
        <f t="shared" si="46"/>
        <v>45536</v>
      </c>
      <c r="D593" s="94">
        <v>0</v>
      </c>
      <c r="E593" s="94">
        <v>56997.72</v>
      </c>
      <c r="F593" s="92" t="s">
        <v>3123</v>
      </c>
      <c r="G593" s="75"/>
      <c r="H593" s="92" t="s">
        <v>3881</v>
      </c>
      <c r="I593" s="92" t="s">
        <v>3889</v>
      </c>
      <c r="K593" s="71" t="s">
        <v>217</v>
      </c>
      <c r="L593" t="s">
        <v>34</v>
      </c>
      <c r="M593" t="str">
        <f t="shared" si="47"/>
        <v>11</v>
      </c>
      <c r="N593" t="str">
        <f t="shared" si="48"/>
        <v>09</v>
      </c>
      <c r="O593" t="str">
        <f t="shared" si="45"/>
        <v>2024</v>
      </c>
      <c r="P593" t="str">
        <f t="shared" si="49"/>
        <v>11-09-2024</v>
      </c>
    </row>
    <row r="594" spans="2:16" x14ac:dyDescent="0.3">
      <c r="B594" s="70">
        <v>45546</v>
      </c>
      <c r="C594" s="70">
        <f t="shared" si="46"/>
        <v>45536</v>
      </c>
      <c r="D594" s="94">
        <v>128.80000000000001</v>
      </c>
      <c r="E594" s="94">
        <v>0</v>
      </c>
      <c r="F594" s="92" t="s">
        <v>3124</v>
      </c>
      <c r="G594" s="75"/>
      <c r="H594" s="92" t="s">
        <v>3881</v>
      </c>
      <c r="I594" s="92" t="s">
        <v>3889</v>
      </c>
      <c r="K594" s="71" t="s">
        <v>217</v>
      </c>
      <c r="L594" t="s">
        <v>30</v>
      </c>
      <c r="M594" t="str">
        <f t="shared" si="47"/>
        <v>11</v>
      </c>
      <c r="N594" t="str">
        <f t="shared" si="48"/>
        <v>09</v>
      </c>
      <c r="O594" t="str">
        <f t="shared" si="45"/>
        <v>2024</v>
      </c>
      <c r="P594" t="str">
        <f t="shared" si="49"/>
        <v>11-09-2024</v>
      </c>
    </row>
    <row r="595" spans="2:16" x14ac:dyDescent="0.3">
      <c r="B595" s="70">
        <v>45546</v>
      </c>
      <c r="C595" s="70">
        <f t="shared" si="46"/>
        <v>45536</v>
      </c>
      <c r="D595" s="94">
        <v>4000</v>
      </c>
      <c r="E595" s="94">
        <v>0</v>
      </c>
      <c r="F595" s="92" t="s">
        <v>3125</v>
      </c>
      <c r="G595" s="75"/>
      <c r="H595" s="92" t="s">
        <v>2531</v>
      </c>
      <c r="I595" s="92" t="s">
        <v>3892</v>
      </c>
      <c r="K595" s="71" t="s">
        <v>2531</v>
      </c>
      <c r="L595" t="s">
        <v>1724</v>
      </c>
      <c r="M595" t="str">
        <f t="shared" si="47"/>
        <v>11</v>
      </c>
      <c r="N595" t="str">
        <f t="shared" si="48"/>
        <v>09</v>
      </c>
      <c r="O595" t="str">
        <f t="shared" si="45"/>
        <v>2024</v>
      </c>
      <c r="P595" t="str">
        <f t="shared" si="49"/>
        <v>11-09-2024</v>
      </c>
    </row>
    <row r="596" spans="2:16" x14ac:dyDescent="0.3">
      <c r="B596" s="70">
        <v>45546</v>
      </c>
      <c r="C596" s="70">
        <f t="shared" si="46"/>
        <v>45536</v>
      </c>
      <c r="D596" s="94">
        <v>40</v>
      </c>
      <c r="E596" s="94">
        <v>0</v>
      </c>
      <c r="F596" s="92" t="s">
        <v>3126</v>
      </c>
      <c r="G596" s="75"/>
      <c r="H596" s="92" t="s">
        <v>589</v>
      </c>
      <c r="I596" s="92" t="s">
        <v>3892</v>
      </c>
      <c r="K596" s="71" t="s">
        <v>511</v>
      </c>
      <c r="L596" t="s">
        <v>1726</v>
      </c>
      <c r="M596" t="str">
        <f t="shared" si="47"/>
        <v>11</v>
      </c>
      <c r="N596" t="str">
        <f t="shared" si="48"/>
        <v>09</v>
      </c>
      <c r="O596" t="str">
        <f t="shared" si="45"/>
        <v>2024</v>
      </c>
      <c r="P596" t="str">
        <f t="shared" si="49"/>
        <v>11-09-2024</v>
      </c>
    </row>
    <row r="597" spans="2:16" x14ac:dyDescent="0.3">
      <c r="B597" s="70">
        <v>45547</v>
      </c>
      <c r="C597" s="70">
        <f t="shared" si="46"/>
        <v>45536</v>
      </c>
      <c r="D597" s="94">
        <v>128.80000000000001</v>
      </c>
      <c r="E597" s="94">
        <v>0</v>
      </c>
      <c r="F597" s="92" t="s">
        <v>3127</v>
      </c>
      <c r="G597" s="75"/>
      <c r="H597" s="92" t="s">
        <v>3881</v>
      </c>
      <c r="I597" s="92" t="s">
        <v>3889</v>
      </c>
      <c r="K597" s="71" t="s">
        <v>217</v>
      </c>
      <c r="L597" t="s">
        <v>30</v>
      </c>
      <c r="M597" t="str">
        <f t="shared" si="47"/>
        <v>12</v>
      </c>
      <c r="N597" t="str">
        <f t="shared" si="48"/>
        <v>09</v>
      </c>
      <c r="O597" t="str">
        <f t="shared" si="45"/>
        <v>2024</v>
      </c>
      <c r="P597" t="str">
        <f t="shared" si="49"/>
        <v>12-09-2024</v>
      </c>
    </row>
    <row r="598" spans="2:16" x14ac:dyDescent="0.3">
      <c r="B598" s="70">
        <v>45547</v>
      </c>
      <c r="C598" s="70">
        <f t="shared" si="46"/>
        <v>45536</v>
      </c>
      <c r="D598" s="94">
        <v>85</v>
      </c>
      <c r="E598" s="94">
        <v>0</v>
      </c>
      <c r="F598" s="92" t="s">
        <v>3128</v>
      </c>
      <c r="G598" s="75"/>
      <c r="H598" s="92" t="s">
        <v>589</v>
      </c>
      <c r="I598" s="92" t="s">
        <v>3892</v>
      </c>
      <c r="K598" s="71" t="s">
        <v>511</v>
      </c>
      <c r="L598" t="s">
        <v>1728</v>
      </c>
      <c r="M598" t="str">
        <f t="shared" si="47"/>
        <v>12</v>
      </c>
      <c r="N598" t="str">
        <f t="shared" si="48"/>
        <v>09</v>
      </c>
      <c r="O598" t="str">
        <f t="shared" si="45"/>
        <v>2024</v>
      </c>
      <c r="P598" t="str">
        <f t="shared" si="49"/>
        <v>12-09-2024</v>
      </c>
    </row>
    <row r="599" spans="2:16" x14ac:dyDescent="0.3">
      <c r="B599" s="70">
        <v>45548</v>
      </c>
      <c r="C599" s="70">
        <f t="shared" si="46"/>
        <v>45536</v>
      </c>
      <c r="D599" s="94">
        <v>128.80000000000001</v>
      </c>
      <c r="E599" s="94">
        <v>0</v>
      </c>
      <c r="F599" s="92" t="s">
        <v>3129</v>
      </c>
      <c r="G599" s="75"/>
      <c r="H599" s="92" t="s">
        <v>3881</v>
      </c>
      <c r="I599" s="92" t="s">
        <v>3889</v>
      </c>
      <c r="K599" s="71" t="s">
        <v>217</v>
      </c>
      <c r="L599" t="s">
        <v>30</v>
      </c>
      <c r="M599" t="str">
        <f t="shared" si="47"/>
        <v>13</v>
      </c>
      <c r="N599" t="str">
        <f t="shared" si="48"/>
        <v>09</v>
      </c>
      <c r="O599" t="str">
        <f t="shared" si="45"/>
        <v>2024</v>
      </c>
      <c r="P599" t="str">
        <f t="shared" si="49"/>
        <v>13-09-2024</v>
      </c>
    </row>
    <row r="600" spans="2:16" x14ac:dyDescent="0.3">
      <c r="B600" s="70">
        <v>45548</v>
      </c>
      <c r="C600" s="70">
        <f t="shared" si="46"/>
        <v>45536</v>
      </c>
      <c r="D600" s="94">
        <v>0</v>
      </c>
      <c r="E600" s="94">
        <v>45</v>
      </c>
      <c r="F600" s="92" t="s">
        <v>3130</v>
      </c>
      <c r="G600" s="75" t="s">
        <v>3926</v>
      </c>
      <c r="H600" s="92" t="s">
        <v>218</v>
      </c>
      <c r="I600" s="92" t="s">
        <v>3889</v>
      </c>
      <c r="K600" s="71" t="s">
        <v>218</v>
      </c>
      <c r="L600" t="s">
        <v>946</v>
      </c>
      <c r="M600" t="str">
        <f t="shared" si="47"/>
        <v>13</v>
      </c>
      <c r="N600" t="str">
        <f t="shared" si="48"/>
        <v>09</v>
      </c>
      <c r="O600" t="str">
        <f t="shared" si="45"/>
        <v>2024</v>
      </c>
      <c r="P600" t="str">
        <f t="shared" si="49"/>
        <v>13-09-2024</v>
      </c>
    </row>
    <row r="601" spans="2:16" x14ac:dyDescent="0.3">
      <c r="B601" s="70">
        <v>45549</v>
      </c>
      <c r="C601" s="70">
        <f t="shared" si="46"/>
        <v>45536</v>
      </c>
      <c r="D601" s="94">
        <v>383</v>
      </c>
      <c r="E601" s="94">
        <v>0</v>
      </c>
      <c r="F601" s="92" t="s">
        <v>3131</v>
      </c>
      <c r="G601" s="75"/>
      <c r="H601" s="92" t="s">
        <v>589</v>
      </c>
      <c r="I601" s="92" t="s">
        <v>3892</v>
      </c>
      <c r="K601" s="71" t="s">
        <v>511</v>
      </c>
      <c r="L601" t="s">
        <v>1730</v>
      </c>
      <c r="M601" t="str">
        <f t="shared" si="47"/>
        <v>14</v>
      </c>
      <c r="N601" t="str">
        <f t="shared" si="48"/>
        <v>09</v>
      </c>
      <c r="O601" t="str">
        <f t="shared" si="45"/>
        <v>2024</v>
      </c>
      <c r="P601" t="str">
        <f t="shared" si="49"/>
        <v>14-09-2024</v>
      </c>
    </row>
    <row r="602" spans="2:16" x14ac:dyDescent="0.3">
      <c r="B602" s="70">
        <v>45550</v>
      </c>
      <c r="C602" s="70">
        <f t="shared" si="46"/>
        <v>45536</v>
      </c>
      <c r="D602" s="94">
        <v>0</v>
      </c>
      <c r="E602" s="94">
        <v>105000</v>
      </c>
      <c r="F602" s="92" t="s">
        <v>3132</v>
      </c>
      <c r="G602" s="75"/>
      <c r="H602" s="92" t="s">
        <v>3887</v>
      </c>
      <c r="I602" s="92" t="s">
        <v>3889</v>
      </c>
      <c r="K602" s="71" t="s">
        <v>2519</v>
      </c>
      <c r="L602" t="s">
        <v>948</v>
      </c>
      <c r="M602" t="str">
        <f t="shared" si="47"/>
        <v>15</v>
      </c>
      <c r="N602" t="str">
        <f t="shared" si="48"/>
        <v>09</v>
      </c>
      <c r="O602" t="str">
        <f t="shared" si="45"/>
        <v>2024</v>
      </c>
      <c r="P602" t="str">
        <f t="shared" si="49"/>
        <v>15-09-2024</v>
      </c>
    </row>
    <row r="603" spans="2:16" x14ac:dyDescent="0.3">
      <c r="B603" s="70">
        <v>45551</v>
      </c>
      <c r="C603" s="70">
        <f t="shared" si="46"/>
        <v>45536</v>
      </c>
      <c r="D603" s="94">
        <v>386.4</v>
      </c>
      <c r="E603" s="94">
        <v>0</v>
      </c>
      <c r="F603" s="92" t="s">
        <v>3133</v>
      </c>
      <c r="G603" s="75"/>
      <c r="H603" s="92" t="s">
        <v>3881</v>
      </c>
      <c r="I603" s="92" t="s">
        <v>3889</v>
      </c>
      <c r="K603" s="71" t="s">
        <v>217</v>
      </c>
      <c r="L603" t="s">
        <v>30</v>
      </c>
      <c r="M603" t="str">
        <f t="shared" si="47"/>
        <v>16</v>
      </c>
      <c r="N603" t="str">
        <f t="shared" si="48"/>
        <v>09</v>
      </c>
      <c r="O603" t="str">
        <f t="shared" si="45"/>
        <v>2024</v>
      </c>
      <c r="P603" t="str">
        <f t="shared" si="49"/>
        <v>16-09-2024</v>
      </c>
    </row>
    <row r="604" spans="2:16" x14ac:dyDescent="0.3">
      <c r="B604" s="70">
        <v>45551</v>
      </c>
      <c r="C604" s="70">
        <f t="shared" si="46"/>
        <v>45536</v>
      </c>
      <c r="D604" s="94">
        <v>85</v>
      </c>
      <c r="E604" s="94">
        <v>0</v>
      </c>
      <c r="F604" s="92" t="s">
        <v>3134</v>
      </c>
      <c r="G604" s="75"/>
      <c r="H604" s="92" t="s">
        <v>589</v>
      </c>
      <c r="I604" s="92" t="s">
        <v>3892</v>
      </c>
      <c r="K604" s="71" t="s">
        <v>511</v>
      </c>
      <c r="L604" t="s">
        <v>1732</v>
      </c>
      <c r="M604" t="str">
        <f t="shared" si="47"/>
        <v>16</v>
      </c>
      <c r="N604" t="str">
        <f t="shared" si="48"/>
        <v>09</v>
      </c>
      <c r="O604" t="str">
        <f t="shared" si="45"/>
        <v>2024</v>
      </c>
      <c r="P604" t="str">
        <f t="shared" si="49"/>
        <v>16-09-2024</v>
      </c>
    </row>
    <row r="605" spans="2:16" x14ac:dyDescent="0.3">
      <c r="B605" s="70">
        <v>45551</v>
      </c>
      <c r="C605" s="70">
        <f t="shared" si="46"/>
        <v>45536</v>
      </c>
      <c r="D605" s="94">
        <v>70</v>
      </c>
      <c r="E605" s="94">
        <v>0</v>
      </c>
      <c r="F605" s="92" t="s">
        <v>3135</v>
      </c>
      <c r="G605" s="75"/>
      <c r="H605" s="92" t="s">
        <v>589</v>
      </c>
      <c r="I605" s="92" t="s">
        <v>3892</v>
      </c>
      <c r="K605" s="71" t="s">
        <v>511</v>
      </c>
      <c r="L605" t="s">
        <v>1734</v>
      </c>
      <c r="M605" t="str">
        <f t="shared" si="47"/>
        <v>16</v>
      </c>
      <c r="N605" t="str">
        <f t="shared" si="48"/>
        <v>09</v>
      </c>
      <c r="O605" t="str">
        <f t="shared" si="45"/>
        <v>2024</v>
      </c>
      <c r="P605" t="str">
        <f t="shared" si="49"/>
        <v>16-09-2024</v>
      </c>
    </row>
    <row r="606" spans="2:16" x14ac:dyDescent="0.3">
      <c r="B606" s="70">
        <v>45552</v>
      </c>
      <c r="C606" s="70">
        <f t="shared" si="46"/>
        <v>45536</v>
      </c>
      <c r="D606" s="94">
        <v>128.80000000000001</v>
      </c>
      <c r="E606" s="94">
        <v>0</v>
      </c>
      <c r="F606" s="92" t="s">
        <v>3136</v>
      </c>
      <c r="G606" s="75"/>
      <c r="H606" s="92" t="s">
        <v>3881</v>
      </c>
      <c r="I606" s="92" t="s">
        <v>3889</v>
      </c>
      <c r="K606" s="71" t="s">
        <v>217</v>
      </c>
      <c r="L606" t="s">
        <v>30</v>
      </c>
      <c r="M606" t="str">
        <f t="shared" si="47"/>
        <v>17</v>
      </c>
      <c r="N606" t="str">
        <f t="shared" si="48"/>
        <v>09</v>
      </c>
      <c r="O606" t="str">
        <f t="shared" si="45"/>
        <v>2024</v>
      </c>
      <c r="P606" t="str">
        <f t="shared" si="49"/>
        <v>17-09-2024</v>
      </c>
    </row>
    <row r="607" spans="2:16" x14ac:dyDescent="0.3">
      <c r="B607" s="70">
        <v>45552</v>
      </c>
      <c r="C607" s="70">
        <f t="shared" si="46"/>
        <v>45536</v>
      </c>
      <c r="D607" s="94">
        <v>224.2</v>
      </c>
      <c r="E607" s="94">
        <v>0</v>
      </c>
      <c r="F607" s="92" t="s">
        <v>3137</v>
      </c>
      <c r="G607" s="75"/>
      <c r="H607" s="92" t="s">
        <v>220</v>
      </c>
      <c r="I607" s="92" t="s">
        <v>3889</v>
      </c>
      <c r="K607" s="71" t="s">
        <v>220</v>
      </c>
      <c r="L607" t="s">
        <v>952</v>
      </c>
      <c r="M607" t="str">
        <f t="shared" si="47"/>
        <v>17</v>
      </c>
      <c r="N607" t="str">
        <f t="shared" si="48"/>
        <v>09</v>
      </c>
      <c r="O607" t="str">
        <f t="shared" si="45"/>
        <v>2024</v>
      </c>
      <c r="P607" t="str">
        <f t="shared" si="49"/>
        <v>17-09-2024</v>
      </c>
    </row>
    <row r="608" spans="2:16" x14ac:dyDescent="0.3">
      <c r="B608" s="70">
        <v>45552</v>
      </c>
      <c r="C608" s="70">
        <f t="shared" si="46"/>
        <v>45536</v>
      </c>
      <c r="D608" s="94">
        <v>144398.46</v>
      </c>
      <c r="E608" s="94">
        <v>0</v>
      </c>
      <c r="F608" s="92" t="s">
        <v>3136</v>
      </c>
      <c r="G608" s="75"/>
      <c r="H608" s="92" t="s">
        <v>3881</v>
      </c>
      <c r="I608" s="92" t="s">
        <v>3889</v>
      </c>
      <c r="K608" s="71" t="s">
        <v>217</v>
      </c>
      <c r="L608" t="s">
        <v>30</v>
      </c>
      <c r="M608" t="str">
        <f t="shared" si="47"/>
        <v>17</v>
      </c>
      <c r="N608" t="str">
        <f t="shared" si="48"/>
        <v>09</v>
      </c>
      <c r="O608" t="str">
        <f t="shared" si="45"/>
        <v>2024</v>
      </c>
      <c r="P608" t="str">
        <f t="shared" si="49"/>
        <v>17-09-2024</v>
      </c>
    </row>
    <row r="609" spans="2:16" x14ac:dyDescent="0.3">
      <c r="B609" s="70">
        <v>45552</v>
      </c>
      <c r="C609" s="70">
        <f t="shared" si="46"/>
        <v>45536</v>
      </c>
      <c r="D609" s="94">
        <v>50</v>
      </c>
      <c r="E609" s="94">
        <v>0</v>
      </c>
      <c r="F609" s="92" t="s">
        <v>3138</v>
      </c>
      <c r="G609" s="75"/>
      <c r="H609" s="92" t="s">
        <v>589</v>
      </c>
      <c r="I609" s="92" t="s">
        <v>3892</v>
      </c>
      <c r="K609" s="71" t="s">
        <v>511</v>
      </c>
      <c r="L609" t="s">
        <v>1736</v>
      </c>
      <c r="M609" t="str">
        <f t="shared" si="47"/>
        <v>17</v>
      </c>
      <c r="N609" t="str">
        <f t="shared" si="48"/>
        <v>09</v>
      </c>
      <c r="O609" t="str">
        <f t="shared" si="45"/>
        <v>2024</v>
      </c>
      <c r="P609" t="str">
        <f t="shared" si="49"/>
        <v>17-09-2024</v>
      </c>
    </row>
    <row r="610" spans="2:16" x14ac:dyDescent="0.3">
      <c r="B610" s="70">
        <v>45552</v>
      </c>
      <c r="C610" s="70">
        <f t="shared" si="46"/>
        <v>45536</v>
      </c>
      <c r="D610" s="94">
        <v>80</v>
      </c>
      <c r="E610" s="94">
        <v>0</v>
      </c>
      <c r="F610" s="92" t="s">
        <v>3139</v>
      </c>
      <c r="G610" s="75"/>
      <c r="H610" s="92" t="s">
        <v>589</v>
      </c>
      <c r="I610" s="92" t="s">
        <v>3892</v>
      </c>
      <c r="K610" s="71" t="s">
        <v>511</v>
      </c>
      <c r="L610" t="s">
        <v>1738</v>
      </c>
      <c r="M610" t="str">
        <f t="shared" si="47"/>
        <v>17</v>
      </c>
      <c r="N610" t="str">
        <f t="shared" si="48"/>
        <v>09</v>
      </c>
      <c r="O610" t="str">
        <f t="shared" si="45"/>
        <v>2024</v>
      </c>
      <c r="P610" t="str">
        <f t="shared" si="49"/>
        <v>17-09-2024</v>
      </c>
    </row>
    <row r="611" spans="2:16" x14ac:dyDescent="0.3">
      <c r="B611" s="70">
        <v>45552</v>
      </c>
      <c r="C611" s="70">
        <f t="shared" si="46"/>
        <v>45536</v>
      </c>
      <c r="D611" s="94">
        <v>25</v>
      </c>
      <c r="E611" s="94">
        <v>0</v>
      </c>
      <c r="F611" s="92" t="s">
        <v>3140</v>
      </c>
      <c r="G611" s="75"/>
      <c r="H611" s="92" t="s">
        <v>589</v>
      </c>
      <c r="I611" s="92" t="s">
        <v>3892</v>
      </c>
      <c r="K611" s="71" t="s">
        <v>511</v>
      </c>
      <c r="L611" t="s">
        <v>1740</v>
      </c>
      <c r="M611" t="str">
        <f t="shared" si="47"/>
        <v>17</v>
      </c>
      <c r="N611" t="str">
        <f t="shared" si="48"/>
        <v>09</v>
      </c>
      <c r="O611" t="str">
        <f t="shared" si="45"/>
        <v>2024</v>
      </c>
      <c r="P611" t="str">
        <f t="shared" si="49"/>
        <v>17-09-2024</v>
      </c>
    </row>
    <row r="612" spans="2:16" x14ac:dyDescent="0.3">
      <c r="B612" s="70">
        <v>45553</v>
      </c>
      <c r="C612" s="70">
        <f t="shared" si="46"/>
        <v>45536</v>
      </c>
      <c r="D612" s="94">
        <v>77.37</v>
      </c>
      <c r="E612" s="94">
        <v>0</v>
      </c>
      <c r="F612" s="92" t="s">
        <v>3141</v>
      </c>
      <c r="G612" s="75"/>
      <c r="H612" s="92" t="s">
        <v>3881</v>
      </c>
      <c r="I612" s="92" t="s">
        <v>3889</v>
      </c>
      <c r="K612" s="71" t="s">
        <v>217</v>
      </c>
      <c r="L612" t="s">
        <v>30</v>
      </c>
      <c r="M612" t="str">
        <f t="shared" si="47"/>
        <v>18</v>
      </c>
      <c r="N612" t="str">
        <f t="shared" si="48"/>
        <v>09</v>
      </c>
      <c r="O612" t="str">
        <f t="shared" si="45"/>
        <v>2024</v>
      </c>
      <c r="P612" t="str">
        <f t="shared" si="49"/>
        <v>18-09-2024</v>
      </c>
    </row>
    <row r="613" spans="2:16" x14ac:dyDescent="0.3">
      <c r="B613" s="70">
        <v>45553</v>
      </c>
      <c r="C613" s="70">
        <f t="shared" si="46"/>
        <v>45536</v>
      </c>
      <c r="D613" s="94">
        <v>384.41</v>
      </c>
      <c r="E613" s="94">
        <v>0</v>
      </c>
      <c r="F613" s="92" t="s">
        <v>3141</v>
      </c>
      <c r="G613" s="75"/>
      <c r="H613" s="92" t="s">
        <v>3881</v>
      </c>
      <c r="I613" s="92" t="s">
        <v>3889</v>
      </c>
      <c r="K613" s="71" t="s">
        <v>217</v>
      </c>
      <c r="L613" t="s">
        <v>30</v>
      </c>
      <c r="M613" t="str">
        <f t="shared" si="47"/>
        <v>18</v>
      </c>
      <c r="N613" t="str">
        <f t="shared" si="48"/>
        <v>09</v>
      </c>
      <c r="O613" t="str">
        <f t="shared" si="45"/>
        <v>2024</v>
      </c>
      <c r="P613" t="str">
        <f t="shared" si="49"/>
        <v>18-09-2024</v>
      </c>
    </row>
    <row r="614" spans="2:16" x14ac:dyDescent="0.3">
      <c r="B614" s="70">
        <v>45553</v>
      </c>
      <c r="C614" s="70">
        <f t="shared" si="46"/>
        <v>45536</v>
      </c>
      <c r="D614" s="94">
        <v>292</v>
      </c>
      <c r="E614" s="94">
        <v>0</v>
      </c>
      <c r="F614" s="92" t="s">
        <v>3142</v>
      </c>
      <c r="G614" s="75"/>
      <c r="H614" s="92" t="s">
        <v>589</v>
      </c>
      <c r="I614" s="92" t="s">
        <v>3893</v>
      </c>
      <c r="K614" s="71" t="s">
        <v>511</v>
      </c>
      <c r="L614" t="s">
        <v>1435</v>
      </c>
      <c r="M614" t="str">
        <f t="shared" si="47"/>
        <v>18</v>
      </c>
      <c r="N614" t="str">
        <f t="shared" si="48"/>
        <v>09</v>
      </c>
      <c r="O614" t="str">
        <f t="shared" si="45"/>
        <v>2024</v>
      </c>
      <c r="P614" t="str">
        <f t="shared" si="49"/>
        <v>18-09-2024</v>
      </c>
    </row>
    <row r="615" spans="2:16" x14ac:dyDescent="0.3">
      <c r="B615" s="70">
        <v>45553</v>
      </c>
      <c r="C615" s="70">
        <f t="shared" si="46"/>
        <v>45536</v>
      </c>
      <c r="D615" s="94">
        <v>1000</v>
      </c>
      <c r="E615" s="94">
        <v>0</v>
      </c>
      <c r="F615" s="92" t="s">
        <v>3143</v>
      </c>
      <c r="G615" s="75"/>
      <c r="H615" s="92" t="s">
        <v>589</v>
      </c>
      <c r="I615" s="92" t="s">
        <v>3892</v>
      </c>
      <c r="K615" s="71" t="s">
        <v>511</v>
      </c>
      <c r="L615" t="s">
        <v>1742</v>
      </c>
      <c r="M615" t="str">
        <f t="shared" si="47"/>
        <v>18</v>
      </c>
      <c r="N615" t="str">
        <f t="shared" si="48"/>
        <v>09</v>
      </c>
      <c r="O615" t="str">
        <f t="shared" si="45"/>
        <v>2024</v>
      </c>
      <c r="P615" t="str">
        <f t="shared" si="49"/>
        <v>18-09-2024</v>
      </c>
    </row>
    <row r="616" spans="2:16" x14ac:dyDescent="0.3">
      <c r="B616" s="70">
        <v>45554</v>
      </c>
      <c r="C616" s="70">
        <f t="shared" si="46"/>
        <v>45536</v>
      </c>
      <c r="D616" s="94">
        <v>77.239999999999995</v>
      </c>
      <c r="E616" s="94">
        <v>0</v>
      </c>
      <c r="F616" s="92" t="s">
        <v>3144</v>
      </c>
      <c r="G616" s="75"/>
      <c r="H616" s="92" t="s">
        <v>3881</v>
      </c>
      <c r="I616" s="92" t="s">
        <v>3889</v>
      </c>
      <c r="K616" s="71" t="s">
        <v>217</v>
      </c>
      <c r="L616" t="s">
        <v>30</v>
      </c>
      <c r="M616" t="str">
        <f t="shared" si="47"/>
        <v>19</v>
      </c>
      <c r="N616" t="str">
        <f t="shared" si="48"/>
        <v>09</v>
      </c>
      <c r="O616" t="str">
        <f t="shared" si="45"/>
        <v>2024</v>
      </c>
      <c r="P616" t="str">
        <f t="shared" si="49"/>
        <v>19-09-2024</v>
      </c>
    </row>
    <row r="617" spans="2:16" x14ac:dyDescent="0.3">
      <c r="B617" s="70">
        <v>45554</v>
      </c>
      <c r="C617" s="70">
        <f t="shared" si="46"/>
        <v>45536</v>
      </c>
      <c r="D617" s="94">
        <v>1.42</v>
      </c>
      <c r="E617" s="94">
        <v>0</v>
      </c>
      <c r="F617" s="92" t="s">
        <v>3145</v>
      </c>
      <c r="G617" s="75"/>
      <c r="H617" s="92" t="s">
        <v>221</v>
      </c>
      <c r="I617" s="92" t="s">
        <v>3889</v>
      </c>
      <c r="K617" s="71" t="s">
        <v>221</v>
      </c>
      <c r="L617" t="s">
        <v>957</v>
      </c>
      <c r="M617" t="str">
        <f t="shared" si="47"/>
        <v>19</v>
      </c>
      <c r="N617" t="str">
        <f t="shared" si="48"/>
        <v>09</v>
      </c>
      <c r="O617" t="str">
        <f t="shared" si="45"/>
        <v>2024</v>
      </c>
      <c r="P617" t="str">
        <f t="shared" si="49"/>
        <v>19-09-2024</v>
      </c>
    </row>
    <row r="618" spans="2:16" x14ac:dyDescent="0.3">
      <c r="B618" s="70">
        <v>45554</v>
      </c>
      <c r="C618" s="70">
        <f t="shared" si="46"/>
        <v>45536</v>
      </c>
      <c r="D618" s="94">
        <v>25000</v>
      </c>
      <c r="E618" s="94">
        <v>0</v>
      </c>
      <c r="F618" s="92" t="s">
        <v>3146</v>
      </c>
      <c r="G618" s="75"/>
      <c r="H618" s="92" t="s">
        <v>3886</v>
      </c>
      <c r="I618" s="92" t="s">
        <v>3889</v>
      </c>
      <c r="K618" s="71" t="s">
        <v>225</v>
      </c>
      <c r="L618" t="s">
        <v>959</v>
      </c>
      <c r="M618" t="str">
        <f t="shared" si="47"/>
        <v>19</v>
      </c>
      <c r="N618" t="str">
        <f t="shared" si="48"/>
        <v>09</v>
      </c>
      <c r="O618" t="str">
        <f t="shared" si="45"/>
        <v>2024</v>
      </c>
      <c r="P618" t="str">
        <f t="shared" si="49"/>
        <v>19-09-2024</v>
      </c>
    </row>
    <row r="619" spans="2:16" x14ac:dyDescent="0.3">
      <c r="B619" s="70">
        <v>45554</v>
      </c>
      <c r="C619" s="70">
        <f t="shared" si="46"/>
        <v>45536</v>
      </c>
      <c r="D619" s="94">
        <v>7655.07</v>
      </c>
      <c r="E619" s="94">
        <v>0</v>
      </c>
      <c r="F619" s="92" t="s">
        <v>3144</v>
      </c>
      <c r="G619" s="75"/>
      <c r="H619" s="92" t="s">
        <v>3881</v>
      </c>
      <c r="I619" s="92" t="s">
        <v>3889</v>
      </c>
      <c r="K619" s="71" t="s">
        <v>217</v>
      </c>
      <c r="L619" t="s">
        <v>30</v>
      </c>
      <c r="M619" t="str">
        <f t="shared" si="47"/>
        <v>19</v>
      </c>
      <c r="N619" t="str">
        <f t="shared" si="48"/>
        <v>09</v>
      </c>
      <c r="O619" t="str">
        <f t="shared" si="45"/>
        <v>2024</v>
      </c>
      <c r="P619" t="str">
        <f t="shared" si="49"/>
        <v>19-09-2024</v>
      </c>
    </row>
    <row r="620" spans="2:16" x14ac:dyDescent="0.3">
      <c r="B620" s="70">
        <v>45555</v>
      </c>
      <c r="C620" s="70">
        <f t="shared" si="46"/>
        <v>45536</v>
      </c>
      <c r="D620" s="94">
        <v>74.510000000000005</v>
      </c>
      <c r="E620" s="94">
        <v>0</v>
      </c>
      <c r="F620" s="92" t="s">
        <v>3147</v>
      </c>
      <c r="G620" s="75"/>
      <c r="H620" s="92" t="s">
        <v>3881</v>
      </c>
      <c r="I620" s="92" t="s">
        <v>3889</v>
      </c>
      <c r="K620" s="71" t="s">
        <v>217</v>
      </c>
      <c r="L620" t="s">
        <v>30</v>
      </c>
      <c r="M620" t="str">
        <f t="shared" si="47"/>
        <v>20</v>
      </c>
      <c r="N620" t="str">
        <f t="shared" si="48"/>
        <v>09</v>
      </c>
      <c r="O620" t="str">
        <f t="shared" si="45"/>
        <v>2024</v>
      </c>
      <c r="P620" t="str">
        <f t="shared" si="49"/>
        <v>20-09-2024</v>
      </c>
    </row>
    <row r="621" spans="2:16" x14ac:dyDescent="0.3">
      <c r="B621" s="70">
        <v>45555</v>
      </c>
      <c r="C621" s="70">
        <f t="shared" si="46"/>
        <v>45536</v>
      </c>
      <c r="D621" s="94">
        <v>0</v>
      </c>
      <c r="E621" s="94">
        <v>75</v>
      </c>
      <c r="F621" s="92" t="s">
        <v>3148</v>
      </c>
      <c r="G621" s="75" t="s">
        <v>3928</v>
      </c>
      <c r="H621" s="92" t="s">
        <v>218</v>
      </c>
      <c r="I621" s="92" t="s">
        <v>3889</v>
      </c>
      <c r="K621" s="71" t="s">
        <v>218</v>
      </c>
      <c r="L621" t="s">
        <v>963</v>
      </c>
      <c r="M621" t="str">
        <f t="shared" si="47"/>
        <v>20</v>
      </c>
      <c r="N621" t="str">
        <f t="shared" si="48"/>
        <v>09</v>
      </c>
      <c r="O621" t="str">
        <f t="shared" si="45"/>
        <v>2024</v>
      </c>
      <c r="P621" t="str">
        <f t="shared" si="49"/>
        <v>20-09-2024</v>
      </c>
    </row>
    <row r="622" spans="2:16" x14ac:dyDescent="0.3">
      <c r="B622" s="70">
        <v>45555</v>
      </c>
      <c r="C622" s="70">
        <f t="shared" si="46"/>
        <v>45536</v>
      </c>
      <c r="D622" s="94">
        <v>6306.1</v>
      </c>
      <c r="E622" s="94">
        <v>0</v>
      </c>
      <c r="F622" s="92" t="s">
        <v>3147</v>
      </c>
      <c r="G622" s="75"/>
      <c r="H622" s="92" t="s">
        <v>3881</v>
      </c>
      <c r="I622" s="92" t="s">
        <v>3889</v>
      </c>
      <c r="K622" s="71" t="s">
        <v>217</v>
      </c>
      <c r="L622" t="s">
        <v>30</v>
      </c>
      <c r="M622" t="str">
        <f t="shared" si="47"/>
        <v>20</v>
      </c>
      <c r="N622" t="str">
        <f t="shared" si="48"/>
        <v>09</v>
      </c>
      <c r="O622" t="str">
        <f t="shared" si="45"/>
        <v>2024</v>
      </c>
      <c r="P622" t="str">
        <f t="shared" si="49"/>
        <v>20-09-2024</v>
      </c>
    </row>
    <row r="623" spans="2:16" x14ac:dyDescent="0.3">
      <c r="B623" s="70">
        <v>45555</v>
      </c>
      <c r="C623" s="70">
        <f t="shared" si="46"/>
        <v>45536</v>
      </c>
      <c r="D623" s="94">
        <v>20</v>
      </c>
      <c r="E623" s="94">
        <v>0</v>
      </c>
      <c r="F623" s="92" t="s">
        <v>3149</v>
      </c>
      <c r="G623" s="75"/>
      <c r="H623" s="92" t="s">
        <v>589</v>
      </c>
      <c r="I623" s="92" t="s">
        <v>3893</v>
      </c>
      <c r="K623" s="71" t="s">
        <v>511</v>
      </c>
      <c r="L623" t="s">
        <v>1436</v>
      </c>
      <c r="M623" t="str">
        <f t="shared" si="47"/>
        <v>20</v>
      </c>
      <c r="N623" t="str">
        <f t="shared" si="48"/>
        <v>09</v>
      </c>
      <c r="O623" t="str">
        <f t="shared" si="45"/>
        <v>2024</v>
      </c>
      <c r="P623" t="str">
        <f t="shared" si="49"/>
        <v>20-09-2024</v>
      </c>
    </row>
    <row r="624" spans="2:16" x14ac:dyDescent="0.3">
      <c r="B624" s="70">
        <v>45555</v>
      </c>
      <c r="C624" s="70">
        <f t="shared" si="46"/>
        <v>45536</v>
      </c>
      <c r="D624" s="94">
        <v>0</v>
      </c>
      <c r="E624" s="94">
        <v>20</v>
      </c>
      <c r="F624" s="92" t="s">
        <v>3150</v>
      </c>
      <c r="G624" s="75"/>
      <c r="H624" s="92" t="s">
        <v>589</v>
      </c>
      <c r="I624" s="92" t="s">
        <v>3892</v>
      </c>
      <c r="K624" s="71" t="s">
        <v>511</v>
      </c>
      <c r="L624" t="s">
        <v>1744</v>
      </c>
      <c r="M624" t="str">
        <f t="shared" si="47"/>
        <v>20</v>
      </c>
      <c r="N624" t="str">
        <f t="shared" si="48"/>
        <v>09</v>
      </c>
      <c r="O624" t="str">
        <f t="shared" si="45"/>
        <v>2024</v>
      </c>
      <c r="P624" t="str">
        <f t="shared" si="49"/>
        <v>20-09-2024</v>
      </c>
    </row>
    <row r="625" spans="2:16" x14ac:dyDescent="0.3">
      <c r="B625" s="70">
        <v>45555</v>
      </c>
      <c r="C625" s="70">
        <f t="shared" si="46"/>
        <v>45536</v>
      </c>
      <c r="D625" s="94">
        <v>10</v>
      </c>
      <c r="E625" s="94">
        <v>0</v>
      </c>
      <c r="F625" s="92" t="s">
        <v>3151</v>
      </c>
      <c r="G625" s="75"/>
      <c r="H625" s="92" t="s">
        <v>589</v>
      </c>
      <c r="I625" s="92" t="s">
        <v>3892</v>
      </c>
      <c r="K625" s="71" t="s">
        <v>511</v>
      </c>
      <c r="L625" t="s">
        <v>1746</v>
      </c>
      <c r="M625" t="str">
        <f t="shared" si="47"/>
        <v>20</v>
      </c>
      <c r="N625" t="str">
        <f t="shared" si="48"/>
        <v>09</v>
      </c>
      <c r="O625" t="str">
        <f t="shared" si="45"/>
        <v>2024</v>
      </c>
      <c r="P625" t="str">
        <f t="shared" si="49"/>
        <v>20-09-2024</v>
      </c>
    </row>
    <row r="626" spans="2:16" x14ac:dyDescent="0.3">
      <c r="B626" s="70">
        <v>45555</v>
      </c>
      <c r="C626" s="70">
        <f t="shared" si="46"/>
        <v>45536</v>
      </c>
      <c r="D626" s="94">
        <v>0</v>
      </c>
      <c r="E626" s="94">
        <v>1010</v>
      </c>
      <c r="F626" s="92" t="s">
        <v>3152</v>
      </c>
      <c r="G626" s="75"/>
      <c r="H626" s="92" t="s">
        <v>589</v>
      </c>
      <c r="I626" s="92" t="s">
        <v>3892</v>
      </c>
      <c r="K626" s="71" t="s">
        <v>511</v>
      </c>
      <c r="L626" t="s">
        <v>1748</v>
      </c>
      <c r="M626" t="str">
        <f t="shared" si="47"/>
        <v>20</v>
      </c>
      <c r="N626" t="str">
        <f t="shared" si="48"/>
        <v>09</v>
      </c>
      <c r="O626" t="str">
        <f t="shared" si="45"/>
        <v>2024</v>
      </c>
      <c r="P626" t="str">
        <f t="shared" si="49"/>
        <v>20-09-2024</v>
      </c>
    </row>
    <row r="627" spans="2:16" x14ac:dyDescent="0.3">
      <c r="B627" s="70">
        <v>45555</v>
      </c>
      <c r="C627" s="70">
        <f t="shared" si="46"/>
        <v>45536</v>
      </c>
      <c r="D627" s="94">
        <v>399</v>
      </c>
      <c r="E627" s="94">
        <v>0</v>
      </c>
      <c r="F627" s="92" t="s">
        <v>3153</v>
      </c>
      <c r="G627" s="75"/>
      <c r="H627" s="92" t="s">
        <v>589</v>
      </c>
      <c r="I627" s="92" t="s">
        <v>3892</v>
      </c>
      <c r="K627" s="71" t="s">
        <v>511</v>
      </c>
      <c r="L627" t="s">
        <v>1750</v>
      </c>
      <c r="M627" t="str">
        <f t="shared" si="47"/>
        <v>20</v>
      </c>
      <c r="N627" t="str">
        <f t="shared" si="48"/>
        <v>09</v>
      </c>
      <c r="O627" t="str">
        <f t="shared" si="45"/>
        <v>2024</v>
      </c>
      <c r="P627" t="str">
        <f t="shared" si="49"/>
        <v>20-09-2024</v>
      </c>
    </row>
    <row r="628" spans="2:16" x14ac:dyDescent="0.3">
      <c r="B628" s="70">
        <v>45555</v>
      </c>
      <c r="C628" s="70">
        <f t="shared" si="46"/>
        <v>45536</v>
      </c>
      <c r="D628" s="94">
        <v>20</v>
      </c>
      <c r="E628" s="94">
        <v>0</v>
      </c>
      <c r="F628" s="92" t="s">
        <v>3154</v>
      </c>
      <c r="G628" s="75"/>
      <c r="H628" s="92" t="s">
        <v>589</v>
      </c>
      <c r="I628" s="92" t="s">
        <v>3892</v>
      </c>
      <c r="K628" s="71" t="s">
        <v>511</v>
      </c>
      <c r="L628" t="s">
        <v>1752</v>
      </c>
      <c r="M628" t="str">
        <f t="shared" si="47"/>
        <v>20</v>
      </c>
      <c r="N628" t="str">
        <f t="shared" si="48"/>
        <v>09</v>
      </c>
      <c r="O628" t="str">
        <f t="shared" si="45"/>
        <v>2024</v>
      </c>
      <c r="P628" t="str">
        <f t="shared" si="49"/>
        <v>20-09-2024</v>
      </c>
    </row>
    <row r="629" spans="2:16" x14ac:dyDescent="0.3">
      <c r="B629" s="70">
        <v>45555</v>
      </c>
      <c r="C629" s="70">
        <f t="shared" si="46"/>
        <v>45536</v>
      </c>
      <c r="D629" s="94">
        <v>0</v>
      </c>
      <c r="E629" s="94">
        <v>20</v>
      </c>
      <c r="F629" s="92" t="s">
        <v>3155</v>
      </c>
      <c r="G629" s="75"/>
      <c r="H629" s="92" t="s">
        <v>589</v>
      </c>
      <c r="I629" s="92" t="s">
        <v>3892</v>
      </c>
      <c r="K629" s="71" t="s">
        <v>511</v>
      </c>
      <c r="L629" t="s">
        <v>1754</v>
      </c>
      <c r="M629" t="str">
        <f t="shared" si="47"/>
        <v>20</v>
      </c>
      <c r="N629" t="str">
        <f t="shared" si="48"/>
        <v>09</v>
      </c>
      <c r="O629" t="str">
        <f t="shared" si="45"/>
        <v>2024</v>
      </c>
      <c r="P629" t="str">
        <f t="shared" si="49"/>
        <v>20-09-2024</v>
      </c>
    </row>
    <row r="630" spans="2:16" x14ac:dyDescent="0.3">
      <c r="B630" s="70">
        <v>45557</v>
      </c>
      <c r="C630" s="70">
        <f t="shared" si="46"/>
        <v>45536</v>
      </c>
      <c r="D630" s="94">
        <v>0</v>
      </c>
      <c r="E630" s="94">
        <v>25000</v>
      </c>
      <c r="F630" s="92" t="s">
        <v>3156</v>
      </c>
      <c r="G630" s="75"/>
      <c r="H630" s="92" t="s">
        <v>3886</v>
      </c>
      <c r="I630" s="92" t="s">
        <v>3889</v>
      </c>
      <c r="K630" s="71" t="s">
        <v>505</v>
      </c>
      <c r="L630" t="s">
        <v>966</v>
      </c>
      <c r="M630" t="str">
        <f t="shared" si="47"/>
        <v>22</v>
      </c>
      <c r="N630" t="str">
        <f t="shared" si="48"/>
        <v>09</v>
      </c>
      <c r="O630" t="str">
        <f t="shared" si="45"/>
        <v>2024</v>
      </c>
      <c r="P630" t="str">
        <f t="shared" si="49"/>
        <v>22-09-2024</v>
      </c>
    </row>
    <row r="631" spans="2:16" x14ac:dyDescent="0.3">
      <c r="B631" s="70">
        <v>45557</v>
      </c>
      <c r="C631" s="70">
        <f t="shared" si="46"/>
        <v>45536</v>
      </c>
      <c r="D631" s="94">
        <v>1000</v>
      </c>
      <c r="E631" s="94">
        <v>0</v>
      </c>
      <c r="F631" s="92" t="s">
        <v>3157</v>
      </c>
      <c r="G631" s="75"/>
      <c r="H631" s="92" t="s">
        <v>589</v>
      </c>
      <c r="I631" s="92" t="s">
        <v>3893</v>
      </c>
      <c r="K631" s="71" t="s">
        <v>511</v>
      </c>
      <c r="L631" t="s">
        <v>1437</v>
      </c>
      <c r="M631" t="str">
        <f t="shared" si="47"/>
        <v>22</v>
      </c>
      <c r="N631" t="str">
        <f t="shared" si="48"/>
        <v>09</v>
      </c>
      <c r="O631" t="str">
        <f t="shared" si="45"/>
        <v>2024</v>
      </c>
      <c r="P631" t="str">
        <f t="shared" si="49"/>
        <v>22-09-2024</v>
      </c>
    </row>
    <row r="632" spans="2:16" x14ac:dyDescent="0.3">
      <c r="B632" s="70">
        <v>45557</v>
      </c>
      <c r="C632" s="70">
        <f t="shared" si="46"/>
        <v>45536</v>
      </c>
      <c r="D632" s="94">
        <v>1000</v>
      </c>
      <c r="E632" s="94">
        <v>0</v>
      </c>
      <c r="F632" s="92" t="s">
        <v>3158</v>
      </c>
      <c r="G632" s="75"/>
      <c r="H632" s="92" t="s">
        <v>589</v>
      </c>
      <c r="I632" s="92" t="s">
        <v>3892</v>
      </c>
      <c r="K632" s="71" t="s">
        <v>511</v>
      </c>
      <c r="L632" t="s">
        <v>1756</v>
      </c>
      <c r="M632" t="str">
        <f t="shared" si="47"/>
        <v>22</v>
      </c>
      <c r="N632" t="str">
        <f t="shared" si="48"/>
        <v>09</v>
      </c>
      <c r="O632" t="str">
        <f t="shared" si="45"/>
        <v>2024</v>
      </c>
      <c r="P632" t="str">
        <f t="shared" si="49"/>
        <v>22-09-2024</v>
      </c>
    </row>
    <row r="633" spans="2:16" x14ac:dyDescent="0.3">
      <c r="B633" s="70">
        <v>45558</v>
      </c>
      <c r="C633" s="70">
        <f t="shared" si="46"/>
        <v>45536</v>
      </c>
      <c r="D633" s="94">
        <v>233.67</v>
      </c>
      <c r="E633" s="94">
        <v>0</v>
      </c>
      <c r="F633" s="92" t="s">
        <v>3159</v>
      </c>
      <c r="G633" s="75"/>
      <c r="H633" s="92" t="s">
        <v>3881</v>
      </c>
      <c r="I633" s="92" t="s">
        <v>3889</v>
      </c>
      <c r="K633" s="71" t="s">
        <v>217</v>
      </c>
      <c r="L633" t="s">
        <v>30</v>
      </c>
      <c r="M633" t="str">
        <f t="shared" si="47"/>
        <v>23</v>
      </c>
      <c r="N633" t="str">
        <f t="shared" si="48"/>
        <v>09</v>
      </c>
      <c r="O633" t="str">
        <f t="shared" si="45"/>
        <v>2024</v>
      </c>
      <c r="P633" t="str">
        <f t="shared" si="49"/>
        <v>23-09-2024</v>
      </c>
    </row>
    <row r="634" spans="2:16" x14ac:dyDescent="0.3">
      <c r="B634" s="70">
        <v>45558</v>
      </c>
      <c r="C634" s="70">
        <f t="shared" si="46"/>
        <v>45536</v>
      </c>
      <c r="D634" s="94">
        <v>65</v>
      </c>
      <c r="E634" s="94">
        <v>0</v>
      </c>
      <c r="F634" s="92" t="s">
        <v>3160</v>
      </c>
      <c r="G634" s="75"/>
      <c r="H634" s="92" t="s">
        <v>589</v>
      </c>
      <c r="I634" s="92" t="s">
        <v>3892</v>
      </c>
      <c r="K634" s="71" t="s">
        <v>511</v>
      </c>
      <c r="L634" t="s">
        <v>1758</v>
      </c>
      <c r="M634" t="str">
        <f t="shared" si="47"/>
        <v>23</v>
      </c>
      <c r="N634" t="str">
        <f t="shared" si="48"/>
        <v>09</v>
      </c>
      <c r="O634" t="str">
        <f t="shared" si="45"/>
        <v>2024</v>
      </c>
      <c r="P634" t="str">
        <f t="shared" si="49"/>
        <v>23-09-2024</v>
      </c>
    </row>
    <row r="635" spans="2:16" x14ac:dyDescent="0.3">
      <c r="B635" s="70">
        <v>45559</v>
      </c>
      <c r="C635" s="70">
        <f t="shared" si="46"/>
        <v>45536</v>
      </c>
      <c r="D635" s="94">
        <v>0</v>
      </c>
      <c r="E635" s="94">
        <v>6152.22</v>
      </c>
      <c r="F635" s="92" t="s">
        <v>3161</v>
      </c>
      <c r="G635" s="75"/>
      <c r="H635" s="92" t="s">
        <v>3881</v>
      </c>
      <c r="I635" s="92" t="s">
        <v>3889</v>
      </c>
      <c r="K635" s="71" t="s">
        <v>2523</v>
      </c>
      <c r="L635" t="s">
        <v>969</v>
      </c>
      <c r="M635" t="str">
        <f t="shared" si="47"/>
        <v>24</v>
      </c>
      <c r="N635" t="str">
        <f t="shared" si="48"/>
        <v>09</v>
      </c>
      <c r="O635" t="str">
        <f t="shared" si="45"/>
        <v>2024</v>
      </c>
      <c r="P635" t="str">
        <f t="shared" si="49"/>
        <v>24-09-2024</v>
      </c>
    </row>
    <row r="636" spans="2:16" x14ac:dyDescent="0.3">
      <c r="B636" s="70">
        <v>45559</v>
      </c>
      <c r="C636" s="70">
        <f t="shared" si="46"/>
        <v>45536</v>
      </c>
      <c r="D636" s="94">
        <v>0</v>
      </c>
      <c r="E636" s="94">
        <v>8757.74</v>
      </c>
      <c r="F636" s="92" t="s">
        <v>3162</v>
      </c>
      <c r="G636" s="75"/>
      <c r="H636" s="92" t="s">
        <v>3881</v>
      </c>
      <c r="I636" s="92" t="s">
        <v>3889</v>
      </c>
      <c r="K636" s="71" t="s">
        <v>2523</v>
      </c>
      <c r="L636" t="s">
        <v>971</v>
      </c>
      <c r="M636" t="str">
        <f t="shared" si="47"/>
        <v>24</v>
      </c>
      <c r="N636" t="str">
        <f t="shared" si="48"/>
        <v>09</v>
      </c>
      <c r="O636" t="str">
        <f t="shared" si="45"/>
        <v>2024</v>
      </c>
      <c r="P636" t="str">
        <f t="shared" si="49"/>
        <v>24-09-2024</v>
      </c>
    </row>
    <row r="637" spans="2:16" x14ac:dyDescent="0.3">
      <c r="B637" s="70">
        <v>45559</v>
      </c>
      <c r="C637" s="70">
        <f t="shared" si="46"/>
        <v>45536</v>
      </c>
      <c r="D637" s="94">
        <v>85.55</v>
      </c>
      <c r="E637" s="94">
        <v>0</v>
      </c>
      <c r="F637" s="92" t="s">
        <v>3163</v>
      </c>
      <c r="G637" s="75"/>
      <c r="H637" s="92" t="s">
        <v>3881</v>
      </c>
      <c r="I637" s="92" t="s">
        <v>3889</v>
      </c>
      <c r="K637" s="71" t="s">
        <v>217</v>
      </c>
      <c r="L637" t="s">
        <v>30</v>
      </c>
      <c r="M637" t="str">
        <f t="shared" si="47"/>
        <v>24</v>
      </c>
      <c r="N637" t="str">
        <f t="shared" si="48"/>
        <v>09</v>
      </c>
      <c r="O637" t="str">
        <f t="shared" si="45"/>
        <v>2024</v>
      </c>
      <c r="P637" t="str">
        <f t="shared" si="49"/>
        <v>24-09-2024</v>
      </c>
    </row>
    <row r="638" spans="2:16" x14ac:dyDescent="0.3">
      <c r="B638" s="70">
        <v>45559</v>
      </c>
      <c r="C638" s="70">
        <f t="shared" si="46"/>
        <v>45536</v>
      </c>
      <c r="D638" s="94">
        <v>65</v>
      </c>
      <c r="E638" s="94">
        <v>0</v>
      </c>
      <c r="F638" s="92" t="s">
        <v>3164</v>
      </c>
      <c r="G638" s="75"/>
      <c r="H638" s="92" t="s">
        <v>589</v>
      </c>
      <c r="I638" s="92" t="s">
        <v>3892</v>
      </c>
      <c r="K638" s="71" t="s">
        <v>511</v>
      </c>
      <c r="L638" t="s">
        <v>1760</v>
      </c>
      <c r="M638" t="str">
        <f t="shared" si="47"/>
        <v>24</v>
      </c>
      <c r="N638" t="str">
        <f t="shared" si="48"/>
        <v>09</v>
      </c>
      <c r="O638" t="str">
        <f t="shared" si="45"/>
        <v>2024</v>
      </c>
      <c r="P638" t="str">
        <f t="shared" si="49"/>
        <v>24-09-2024</v>
      </c>
    </row>
    <row r="639" spans="2:16" x14ac:dyDescent="0.3">
      <c r="B639" s="70">
        <v>45559</v>
      </c>
      <c r="C639" s="70">
        <f t="shared" si="46"/>
        <v>45536</v>
      </c>
      <c r="D639" s="94">
        <v>60</v>
      </c>
      <c r="E639" s="94">
        <v>0</v>
      </c>
      <c r="F639" s="92" t="s">
        <v>3165</v>
      </c>
      <c r="G639" s="75"/>
      <c r="H639" s="92" t="s">
        <v>589</v>
      </c>
      <c r="I639" s="92" t="s">
        <v>3892</v>
      </c>
      <c r="K639" s="71" t="s">
        <v>511</v>
      </c>
      <c r="L639" t="s">
        <v>1762</v>
      </c>
      <c r="M639" t="str">
        <f t="shared" si="47"/>
        <v>24</v>
      </c>
      <c r="N639" t="str">
        <f t="shared" si="48"/>
        <v>09</v>
      </c>
      <c r="O639" t="str">
        <f t="shared" si="45"/>
        <v>2024</v>
      </c>
      <c r="P639" t="str">
        <f t="shared" si="49"/>
        <v>24-09-2024</v>
      </c>
    </row>
    <row r="640" spans="2:16" x14ac:dyDescent="0.3">
      <c r="B640" s="70">
        <v>45559</v>
      </c>
      <c r="C640" s="70">
        <f t="shared" si="46"/>
        <v>45536</v>
      </c>
      <c r="D640" s="94">
        <v>0</v>
      </c>
      <c r="E640" s="94">
        <v>1000</v>
      </c>
      <c r="F640" s="92" t="s">
        <v>3166</v>
      </c>
      <c r="G640" s="75"/>
      <c r="H640" s="92" t="s">
        <v>589</v>
      </c>
      <c r="I640" s="92" t="s">
        <v>3892</v>
      </c>
      <c r="K640" s="71" t="s">
        <v>511</v>
      </c>
      <c r="L640" t="s">
        <v>1764</v>
      </c>
      <c r="M640" t="str">
        <f t="shared" si="47"/>
        <v>24</v>
      </c>
      <c r="N640" t="str">
        <f t="shared" si="48"/>
        <v>09</v>
      </c>
      <c r="O640" t="str">
        <f t="shared" si="45"/>
        <v>2024</v>
      </c>
      <c r="P640" t="str">
        <f t="shared" si="49"/>
        <v>24-09-2024</v>
      </c>
    </row>
    <row r="641" spans="2:16" x14ac:dyDescent="0.3">
      <c r="B641" s="70">
        <v>45560</v>
      </c>
      <c r="C641" s="70">
        <f t="shared" si="46"/>
        <v>45536</v>
      </c>
      <c r="D641" s="94">
        <v>0</v>
      </c>
      <c r="E641" s="94">
        <v>20.82</v>
      </c>
      <c r="F641" s="92" t="s">
        <v>3167</v>
      </c>
      <c r="G641" s="75"/>
      <c r="H641" s="92" t="s">
        <v>3881</v>
      </c>
      <c r="I641" s="92" t="s">
        <v>3889</v>
      </c>
      <c r="K641" s="71" t="s">
        <v>2523</v>
      </c>
      <c r="L641" t="s">
        <v>974</v>
      </c>
      <c r="M641" t="str">
        <f t="shared" si="47"/>
        <v>25</v>
      </c>
      <c r="N641" t="str">
        <f t="shared" si="48"/>
        <v>09</v>
      </c>
      <c r="O641" t="str">
        <f t="shared" si="45"/>
        <v>2024</v>
      </c>
      <c r="P641" t="str">
        <f t="shared" si="49"/>
        <v>25-09-2024</v>
      </c>
    </row>
    <row r="642" spans="2:16" x14ac:dyDescent="0.3">
      <c r="B642" s="70">
        <v>45560</v>
      </c>
      <c r="C642" s="70">
        <f t="shared" si="46"/>
        <v>45536</v>
      </c>
      <c r="D642" s="94">
        <v>30000</v>
      </c>
      <c r="E642" s="94">
        <v>0</v>
      </c>
      <c r="F642" s="92" t="s">
        <v>3168</v>
      </c>
      <c r="G642" s="75"/>
      <c r="H642" s="92" t="s">
        <v>3886</v>
      </c>
      <c r="I642" s="92" t="s">
        <v>3889</v>
      </c>
      <c r="K642" s="71" t="s">
        <v>225</v>
      </c>
      <c r="L642" t="s">
        <v>976</v>
      </c>
      <c r="M642" t="str">
        <f t="shared" si="47"/>
        <v>25</v>
      </c>
      <c r="N642" t="str">
        <f t="shared" si="48"/>
        <v>09</v>
      </c>
      <c r="O642" t="str">
        <f t="shared" si="45"/>
        <v>2024</v>
      </c>
      <c r="P642" t="str">
        <f t="shared" si="49"/>
        <v>25-09-2024</v>
      </c>
    </row>
    <row r="643" spans="2:16" x14ac:dyDescent="0.3">
      <c r="B643" s="70">
        <v>45560</v>
      </c>
      <c r="C643" s="70">
        <f t="shared" si="46"/>
        <v>45536</v>
      </c>
      <c r="D643" s="94">
        <v>87.74</v>
      </c>
      <c r="E643" s="94">
        <v>0</v>
      </c>
      <c r="F643" s="92" t="s">
        <v>3169</v>
      </c>
      <c r="G643" s="75"/>
      <c r="H643" s="92" t="s">
        <v>3881</v>
      </c>
      <c r="I643" s="92" t="s">
        <v>3889</v>
      </c>
      <c r="K643" s="71" t="s">
        <v>217</v>
      </c>
      <c r="L643" t="s">
        <v>30</v>
      </c>
      <c r="M643" t="str">
        <f t="shared" si="47"/>
        <v>25</v>
      </c>
      <c r="N643" t="str">
        <f t="shared" si="48"/>
        <v>09</v>
      </c>
      <c r="O643" t="str">
        <f t="shared" ref="O643:O706" si="50">TEXT(B643,"YYYY")</f>
        <v>2024</v>
      </c>
      <c r="P643" t="str">
        <f t="shared" si="49"/>
        <v>25-09-2024</v>
      </c>
    </row>
    <row r="644" spans="2:16" x14ac:dyDescent="0.3">
      <c r="B644" s="70">
        <v>45560</v>
      </c>
      <c r="C644" s="70">
        <f t="shared" ref="C644:C707" si="51">EOMONTH(B644,-1)+1</f>
        <v>45536</v>
      </c>
      <c r="D644" s="94">
        <v>998.6</v>
      </c>
      <c r="E644" s="94">
        <v>0</v>
      </c>
      <c r="F644" s="92" t="s">
        <v>3169</v>
      </c>
      <c r="G644" s="75"/>
      <c r="H644" s="92" t="s">
        <v>3881</v>
      </c>
      <c r="I644" s="92" t="s">
        <v>3889</v>
      </c>
      <c r="K644" s="71" t="s">
        <v>217</v>
      </c>
      <c r="L644" t="s">
        <v>30</v>
      </c>
      <c r="M644" t="str">
        <f t="shared" ref="M644:M707" si="52">TEXT(B644,"DD")</f>
        <v>25</v>
      </c>
      <c r="N644" t="str">
        <f t="shared" ref="N644:N707" si="53">TEXT(B644,"MM")</f>
        <v>09</v>
      </c>
      <c r="O644" t="str">
        <f t="shared" si="50"/>
        <v>2024</v>
      </c>
      <c r="P644" t="str">
        <f t="shared" ref="P644:P707" si="54">M644&amp;"-"&amp;N644&amp;"-"&amp;O644</f>
        <v>25-09-2024</v>
      </c>
    </row>
    <row r="645" spans="2:16" x14ac:dyDescent="0.3">
      <c r="B645" s="70">
        <v>45560</v>
      </c>
      <c r="C645" s="70">
        <f t="shared" si="51"/>
        <v>45536</v>
      </c>
      <c r="D645" s="94">
        <v>0</v>
      </c>
      <c r="E645" s="94">
        <v>313</v>
      </c>
      <c r="F645" s="92" t="s">
        <v>3170</v>
      </c>
      <c r="G645" s="92" t="s">
        <v>753</v>
      </c>
      <c r="H645" s="92" t="s">
        <v>227</v>
      </c>
      <c r="I645" s="92" t="s">
        <v>3893</v>
      </c>
      <c r="K645" s="71" t="s">
        <v>227</v>
      </c>
      <c r="L645" t="s">
        <v>586</v>
      </c>
      <c r="M645" t="str">
        <f t="shared" si="52"/>
        <v>25</v>
      </c>
      <c r="N645" t="str">
        <f t="shared" si="53"/>
        <v>09</v>
      </c>
      <c r="O645" t="str">
        <f t="shared" si="50"/>
        <v>2024</v>
      </c>
      <c r="P645" t="str">
        <f t="shared" si="54"/>
        <v>25-09-2024</v>
      </c>
    </row>
    <row r="646" spans="2:16" x14ac:dyDescent="0.3">
      <c r="B646" s="70">
        <v>45560</v>
      </c>
      <c r="C646" s="70">
        <f t="shared" si="51"/>
        <v>45536</v>
      </c>
      <c r="D646" s="94">
        <v>0</v>
      </c>
      <c r="E646" s="94">
        <v>1980</v>
      </c>
      <c r="F646" s="92" t="s">
        <v>3171</v>
      </c>
      <c r="G646" s="75"/>
      <c r="H646" s="92" t="s">
        <v>589</v>
      </c>
      <c r="I646" s="92" t="s">
        <v>3892</v>
      </c>
      <c r="K646" s="71" t="s">
        <v>511</v>
      </c>
      <c r="L646" t="s">
        <v>1766</v>
      </c>
      <c r="M646" t="str">
        <f t="shared" si="52"/>
        <v>25</v>
      </c>
      <c r="N646" t="str">
        <f t="shared" si="53"/>
        <v>09</v>
      </c>
      <c r="O646" t="str">
        <f t="shared" si="50"/>
        <v>2024</v>
      </c>
      <c r="P646" t="str">
        <f t="shared" si="54"/>
        <v>25-09-2024</v>
      </c>
    </row>
    <row r="647" spans="2:16" x14ac:dyDescent="0.3">
      <c r="B647" s="70">
        <v>45560</v>
      </c>
      <c r="C647" s="70">
        <f t="shared" si="51"/>
        <v>45536</v>
      </c>
      <c r="D647" s="94">
        <v>85</v>
      </c>
      <c r="E647" s="94">
        <v>0</v>
      </c>
      <c r="F647" s="92" t="s">
        <v>3172</v>
      </c>
      <c r="G647" s="75"/>
      <c r="H647" s="92" t="s">
        <v>589</v>
      </c>
      <c r="I647" s="92" t="s">
        <v>3892</v>
      </c>
      <c r="K647" s="71" t="s">
        <v>511</v>
      </c>
      <c r="L647" t="s">
        <v>1768</v>
      </c>
      <c r="M647" t="str">
        <f t="shared" si="52"/>
        <v>25</v>
      </c>
      <c r="N647" t="str">
        <f t="shared" si="53"/>
        <v>09</v>
      </c>
      <c r="O647" t="str">
        <f t="shared" si="50"/>
        <v>2024</v>
      </c>
      <c r="P647" t="str">
        <f t="shared" si="54"/>
        <v>25-09-2024</v>
      </c>
    </row>
    <row r="648" spans="2:16" x14ac:dyDescent="0.3">
      <c r="B648" s="70">
        <v>45560</v>
      </c>
      <c r="C648" s="70">
        <f t="shared" si="51"/>
        <v>45536</v>
      </c>
      <c r="D648" s="94">
        <v>45</v>
      </c>
      <c r="E648" s="94">
        <v>0</v>
      </c>
      <c r="F648" s="92" t="s">
        <v>3173</v>
      </c>
      <c r="G648" s="75"/>
      <c r="H648" s="92" t="s">
        <v>589</v>
      </c>
      <c r="I648" s="92" t="s">
        <v>3892</v>
      </c>
      <c r="K648" s="71" t="s">
        <v>511</v>
      </c>
      <c r="L648" t="s">
        <v>1770</v>
      </c>
      <c r="M648" t="str">
        <f t="shared" si="52"/>
        <v>25</v>
      </c>
      <c r="N648" t="str">
        <f t="shared" si="53"/>
        <v>09</v>
      </c>
      <c r="O648" t="str">
        <f t="shared" si="50"/>
        <v>2024</v>
      </c>
      <c r="P648" t="str">
        <f t="shared" si="54"/>
        <v>25-09-2024</v>
      </c>
    </row>
    <row r="649" spans="2:16" x14ac:dyDescent="0.3">
      <c r="B649" s="70">
        <v>45560</v>
      </c>
      <c r="C649" s="70">
        <f t="shared" si="51"/>
        <v>45536</v>
      </c>
      <c r="D649" s="94">
        <v>0</v>
      </c>
      <c r="E649" s="94">
        <v>45</v>
      </c>
      <c r="F649" s="92" t="s">
        <v>3174</v>
      </c>
      <c r="G649" s="75"/>
      <c r="H649" s="92" t="s">
        <v>589</v>
      </c>
      <c r="I649" s="92" t="s">
        <v>3892</v>
      </c>
      <c r="K649" s="71" t="s">
        <v>511</v>
      </c>
      <c r="L649" t="s">
        <v>1772</v>
      </c>
      <c r="M649" t="str">
        <f t="shared" si="52"/>
        <v>25</v>
      </c>
      <c r="N649" t="str">
        <f t="shared" si="53"/>
        <v>09</v>
      </c>
      <c r="O649" t="str">
        <f t="shared" si="50"/>
        <v>2024</v>
      </c>
      <c r="P649" t="str">
        <f t="shared" si="54"/>
        <v>25-09-2024</v>
      </c>
    </row>
    <row r="650" spans="2:16" x14ac:dyDescent="0.3">
      <c r="B650" s="70">
        <v>45560</v>
      </c>
      <c r="C650" s="70">
        <f t="shared" si="51"/>
        <v>45536</v>
      </c>
      <c r="D650" s="94">
        <v>15000</v>
      </c>
      <c r="E650" s="94">
        <v>0</v>
      </c>
      <c r="F650" s="92" t="s">
        <v>3175</v>
      </c>
      <c r="G650" s="75"/>
      <c r="H650" s="92" t="s">
        <v>512</v>
      </c>
      <c r="I650" s="92" t="s">
        <v>3892</v>
      </c>
      <c r="K650" s="71" t="s">
        <v>512</v>
      </c>
      <c r="L650" t="s">
        <v>1774</v>
      </c>
      <c r="M650" t="str">
        <f t="shared" si="52"/>
        <v>25</v>
      </c>
      <c r="N650" t="str">
        <f t="shared" si="53"/>
        <v>09</v>
      </c>
      <c r="O650" t="str">
        <f t="shared" si="50"/>
        <v>2024</v>
      </c>
      <c r="P650" t="str">
        <f t="shared" si="54"/>
        <v>25-09-2024</v>
      </c>
    </row>
    <row r="651" spans="2:16" x14ac:dyDescent="0.3">
      <c r="B651" s="70">
        <v>45560</v>
      </c>
      <c r="C651" s="70">
        <f t="shared" si="51"/>
        <v>45536</v>
      </c>
      <c r="D651" s="94">
        <v>1000</v>
      </c>
      <c r="E651" s="94">
        <v>0</v>
      </c>
      <c r="F651" s="92" t="s">
        <v>3176</v>
      </c>
      <c r="G651" s="75"/>
      <c r="H651" s="92" t="s">
        <v>589</v>
      </c>
      <c r="I651" s="92" t="s">
        <v>3892</v>
      </c>
      <c r="K651" s="71" t="s">
        <v>511</v>
      </c>
      <c r="L651" t="s">
        <v>1776</v>
      </c>
      <c r="M651" t="str">
        <f t="shared" si="52"/>
        <v>25</v>
      </c>
      <c r="N651" t="str">
        <f t="shared" si="53"/>
        <v>09</v>
      </c>
      <c r="O651" t="str">
        <f t="shared" si="50"/>
        <v>2024</v>
      </c>
      <c r="P651" t="str">
        <f t="shared" si="54"/>
        <v>25-09-2024</v>
      </c>
    </row>
    <row r="652" spans="2:16" x14ac:dyDescent="0.3">
      <c r="B652" s="70">
        <v>45561</v>
      </c>
      <c r="C652" s="70">
        <f t="shared" si="51"/>
        <v>45536</v>
      </c>
      <c r="D652" s="94">
        <v>87.39</v>
      </c>
      <c r="E652" s="94">
        <v>0</v>
      </c>
      <c r="F652" s="92" t="s">
        <v>3177</v>
      </c>
      <c r="G652" s="75"/>
      <c r="H652" s="92" t="s">
        <v>3881</v>
      </c>
      <c r="I652" s="92" t="s">
        <v>3889</v>
      </c>
      <c r="K652" s="71" t="s">
        <v>217</v>
      </c>
      <c r="L652" t="s">
        <v>30</v>
      </c>
      <c r="M652" t="str">
        <f t="shared" si="52"/>
        <v>26</v>
      </c>
      <c r="N652" t="str">
        <f t="shared" si="53"/>
        <v>09</v>
      </c>
      <c r="O652" t="str">
        <f t="shared" si="50"/>
        <v>2024</v>
      </c>
      <c r="P652" t="str">
        <f t="shared" si="54"/>
        <v>26-09-2024</v>
      </c>
    </row>
    <row r="653" spans="2:16" x14ac:dyDescent="0.3">
      <c r="B653" s="70">
        <v>45561</v>
      </c>
      <c r="C653" s="70">
        <f t="shared" si="51"/>
        <v>45536</v>
      </c>
      <c r="D653" s="94">
        <v>456.14</v>
      </c>
      <c r="E653" s="94">
        <v>0</v>
      </c>
      <c r="F653" s="92" t="s">
        <v>3177</v>
      </c>
      <c r="G653" s="75"/>
      <c r="H653" s="92" t="s">
        <v>3881</v>
      </c>
      <c r="I653" s="92" t="s">
        <v>3889</v>
      </c>
      <c r="K653" s="71" t="s">
        <v>217</v>
      </c>
      <c r="L653" t="s">
        <v>30</v>
      </c>
      <c r="M653" t="str">
        <f t="shared" si="52"/>
        <v>26</v>
      </c>
      <c r="N653" t="str">
        <f t="shared" si="53"/>
        <v>09</v>
      </c>
      <c r="O653" t="str">
        <f t="shared" si="50"/>
        <v>2024</v>
      </c>
      <c r="P653" t="str">
        <f t="shared" si="54"/>
        <v>26-09-2024</v>
      </c>
    </row>
    <row r="654" spans="2:16" x14ac:dyDescent="0.3">
      <c r="B654" s="70">
        <v>45561</v>
      </c>
      <c r="C654" s="70">
        <f t="shared" si="51"/>
        <v>45536</v>
      </c>
      <c r="D654" s="94">
        <v>65</v>
      </c>
      <c r="E654" s="94">
        <v>0</v>
      </c>
      <c r="F654" s="92" t="s">
        <v>3178</v>
      </c>
      <c r="G654" s="75"/>
      <c r="H654" s="92" t="s">
        <v>589</v>
      </c>
      <c r="I654" s="92" t="s">
        <v>3892</v>
      </c>
      <c r="K654" s="71" t="s">
        <v>511</v>
      </c>
      <c r="L654" t="s">
        <v>1778</v>
      </c>
      <c r="M654" t="str">
        <f t="shared" si="52"/>
        <v>26</v>
      </c>
      <c r="N654" t="str">
        <f t="shared" si="53"/>
        <v>09</v>
      </c>
      <c r="O654" t="str">
        <f t="shared" si="50"/>
        <v>2024</v>
      </c>
      <c r="P654" t="str">
        <f t="shared" si="54"/>
        <v>26-09-2024</v>
      </c>
    </row>
    <row r="655" spans="2:16" x14ac:dyDescent="0.3">
      <c r="B655" s="70">
        <v>45561</v>
      </c>
      <c r="C655" s="70">
        <f t="shared" si="51"/>
        <v>45536</v>
      </c>
      <c r="D655" s="94">
        <v>45</v>
      </c>
      <c r="E655" s="94">
        <v>0</v>
      </c>
      <c r="F655" s="92" t="s">
        <v>3179</v>
      </c>
      <c r="G655" s="75"/>
      <c r="H655" s="92" t="s">
        <v>589</v>
      </c>
      <c r="I655" s="92" t="s">
        <v>3892</v>
      </c>
      <c r="K655" s="71" t="s">
        <v>511</v>
      </c>
      <c r="L655" t="s">
        <v>1780</v>
      </c>
      <c r="M655" t="str">
        <f t="shared" si="52"/>
        <v>26</v>
      </c>
      <c r="N655" t="str">
        <f t="shared" si="53"/>
        <v>09</v>
      </c>
      <c r="O655" t="str">
        <f t="shared" si="50"/>
        <v>2024</v>
      </c>
      <c r="P655" t="str">
        <f t="shared" si="54"/>
        <v>26-09-2024</v>
      </c>
    </row>
    <row r="656" spans="2:16" x14ac:dyDescent="0.3">
      <c r="B656" s="70">
        <v>45561</v>
      </c>
      <c r="C656" s="70">
        <f t="shared" si="51"/>
        <v>45536</v>
      </c>
      <c r="D656" s="94">
        <v>0</v>
      </c>
      <c r="E656" s="94">
        <v>15150</v>
      </c>
      <c r="F656" s="92" t="s">
        <v>3180</v>
      </c>
      <c r="G656" s="75"/>
      <c r="H656" s="92" t="s">
        <v>3882</v>
      </c>
      <c r="I656" s="92" t="s">
        <v>3892</v>
      </c>
      <c r="K656" s="71" t="s">
        <v>2534</v>
      </c>
      <c r="L656" t="s">
        <v>1782</v>
      </c>
      <c r="M656" t="str">
        <f t="shared" si="52"/>
        <v>26</v>
      </c>
      <c r="N656" t="str">
        <f t="shared" si="53"/>
        <v>09</v>
      </c>
      <c r="O656" t="str">
        <f t="shared" si="50"/>
        <v>2024</v>
      </c>
      <c r="P656" t="str">
        <f t="shared" si="54"/>
        <v>26-09-2024</v>
      </c>
    </row>
    <row r="657" spans="2:16" x14ac:dyDescent="0.3">
      <c r="B657" s="70">
        <v>45562</v>
      </c>
      <c r="C657" s="70">
        <f t="shared" si="51"/>
        <v>45536</v>
      </c>
      <c r="D657" s="94">
        <v>87.23</v>
      </c>
      <c r="E657" s="94">
        <v>0</v>
      </c>
      <c r="F657" s="92" t="s">
        <v>3181</v>
      </c>
      <c r="G657" s="75"/>
      <c r="H657" s="92" t="s">
        <v>3881</v>
      </c>
      <c r="I657" s="92" t="s">
        <v>3889</v>
      </c>
      <c r="K657" s="71" t="s">
        <v>217</v>
      </c>
      <c r="L657" t="s">
        <v>30</v>
      </c>
      <c r="M657" t="str">
        <f t="shared" si="52"/>
        <v>27</v>
      </c>
      <c r="N657" t="str">
        <f t="shared" si="53"/>
        <v>09</v>
      </c>
      <c r="O657" t="str">
        <f t="shared" si="50"/>
        <v>2024</v>
      </c>
      <c r="P657" t="str">
        <f t="shared" si="54"/>
        <v>27-09-2024</v>
      </c>
    </row>
    <row r="658" spans="2:16" x14ac:dyDescent="0.3">
      <c r="B658" s="70">
        <v>45562</v>
      </c>
      <c r="C658" s="70">
        <f t="shared" si="51"/>
        <v>45536</v>
      </c>
      <c r="D658" s="94">
        <v>1598.96</v>
      </c>
      <c r="E658" s="94">
        <v>0</v>
      </c>
      <c r="F658" s="92" t="s">
        <v>3181</v>
      </c>
      <c r="G658" s="75"/>
      <c r="H658" s="92" t="s">
        <v>3881</v>
      </c>
      <c r="I658" s="92" t="s">
        <v>3889</v>
      </c>
      <c r="K658" s="71" t="s">
        <v>217</v>
      </c>
      <c r="L658" t="s">
        <v>30</v>
      </c>
      <c r="M658" t="str">
        <f t="shared" si="52"/>
        <v>27</v>
      </c>
      <c r="N658" t="str">
        <f t="shared" si="53"/>
        <v>09</v>
      </c>
      <c r="O658" t="str">
        <f t="shared" si="50"/>
        <v>2024</v>
      </c>
      <c r="P658" t="str">
        <f t="shared" si="54"/>
        <v>27-09-2024</v>
      </c>
    </row>
    <row r="659" spans="2:16" x14ac:dyDescent="0.3">
      <c r="B659" s="70">
        <v>45562</v>
      </c>
      <c r="C659" s="70">
        <f t="shared" si="51"/>
        <v>45536</v>
      </c>
      <c r="D659" s="94">
        <v>312</v>
      </c>
      <c r="E659" s="94">
        <v>0</v>
      </c>
      <c r="F659" s="92" t="s">
        <v>3182</v>
      </c>
      <c r="G659" s="75"/>
      <c r="H659" s="92" t="s">
        <v>589</v>
      </c>
      <c r="I659" s="92" t="s">
        <v>3893</v>
      </c>
      <c r="K659" s="71" t="s">
        <v>511</v>
      </c>
      <c r="L659" t="s">
        <v>1438</v>
      </c>
      <c r="M659" t="str">
        <f t="shared" si="52"/>
        <v>27</v>
      </c>
      <c r="N659" t="str">
        <f t="shared" si="53"/>
        <v>09</v>
      </c>
      <c r="O659" t="str">
        <f t="shared" si="50"/>
        <v>2024</v>
      </c>
      <c r="P659" t="str">
        <f t="shared" si="54"/>
        <v>27-09-2024</v>
      </c>
    </row>
    <row r="660" spans="2:16" x14ac:dyDescent="0.3">
      <c r="B660" s="70">
        <v>45562</v>
      </c>
      <c r="C660" s="70">
        <f t="shared" si="51"/>
        <v>45536</v>
      </c>
      <c r="D660" s="94">
        <v>0</v>
      </c>
      <c r="E660" s="94">
        <v>312</v>
      </c>
      <c r="F660" s="92" t="s">
        <v>3183</v>
      </c>
      <c r="G660" s="75"/>
      <c r="H660" s="92" t="s">
        <v>589</v>
      </c>
      <c r="I660" s="92" t="s">
        <v>3893</v>
      </c>
      <c r="K660" s="71" t="s">
        <v>511</v>
      </c>
      <c r="L660" t="s">
        <v>1439</v>
      </c>
      <c r="M660" t="str">
        <f t="shared" si="52"/>
        <v>27</v>
      </c>
      <c r="N660" t="str">
        <f t="shared" si="53"/>
        <v>09</v>
      </c>
      <c r="O660" t="str">
        <f t="shared" si="50"/>
        <v>2024</v>
      </c>
      <c r="P660" t="str">
        <f t="shared" si="54"/>
        <v>27-09-2024</v>
      </c>
    </row>
    <row r="661" spans="2:16" x14ac:dyDescent="0.3">
      <c r="B661" s="70">
        <v>45562</v>
      </c>
      <c r="C661" s="70">
        <f t="shared" si="51"/>
        <v>45536</v>
      </c>
      <c r="D661" s="94">
        <v>999</v>
      </c>
      <c r="E661" s="94">
        <v>0</v>
      </c>
      <c r="F661" s="92" t="s">
        <v>3184</v>
      </c>
      <c r="G661" s="75"/>
      <c r="H661" s="92" t="s">
        <v>589</v>
      </c>
      <c r="I661" s="92" t="s">
        <v>3892</v>
      </c>
      <c r="K661" s="71" t="s">
        <v>511</v>
      </c>
      <c r="L661" t="s">
        <v>1784</v>
      </c>
      <c r="M661" t="str">
        <f t="shared" si="52"/>
        <v>27</v>
      </c>
      <c r="N661" t="str">
        <f t="shared" si="53"/>
        <v>09</v>
      </c>
      <c r="O661" t="str">
        <f t="shared" si="50"/>
        <v>2024</v>
      </c>
      <c r="P661" t="str">
        <f t="shared" si="54"/>
        <v>27-09-2024</v>
      </c>
    </row>
    <row r="662" spans="2:16" x14ac:dyDescent="0.3">
      <c r="B662" s="70">
        <v>45562</v>
      </c>
      <c r="C662" s="70">
        <f t="shared" si="51"/>
        <v>45536</v>
      </c>
      <c r="D662" s="94">
        <v>0</v>
      </c>
      <c r="E662" s="94">
        <v>68895</v>
      </c>
      <c r="F662" s="92" t="s">
        <v>3185</v>
      </c>
      <c r="G662" s="75"/>
      <c r="H662" s="92" t="s">
        <v>507</v>
      </c>
      <c r="I662" s="92" t="s">
        <v>3892</v>
      </c>
      <c r="K662" s="71" t="s">
        <v>507</v>
      </c>
      <c r="L662" t="s">
        <v>358</v>
      </c>
      <c r="M662" t="str">
        <f t="shared" si="52"/>
        <v>27</v>
      </c>
      <c r="N662" t="str">
        <f t="shared" si="53"/>
        <v>09</v>
      </c>
      <c r="O662" t="str">
        <f t="shared" si="50"/>
        <v>2024</v>
      </c>
      <c r="P662" t="str">
        <f t="shared" si="54"/>
        <v>27-09-2024</v>
      </c>
    </row>
    <row r="663" spans="2:16" x14ac:dyDescent="0.3">
      <c r="B663" s="70">
        <v>45563</v>
      </c>
      <c r="C663" s="70">
        <f t="shared" si="51"/>
        <v>45536</v>
      </c>
      <c r="D663" s="94">
        <v>0</v>
      </c>
      <c r="E663" s="94">
        <v>30000</v>
      </c>
      <c r="F663" s="92" t="s">
        <v>3186</v>
      </c>
      <c r="G663" s="75"/>
      <c r="H663" s="92" t="s">
        <v>3886</v>
      </c>
      <c r="I663" s="92" t="s">
        <v>3889</v>
      </c>
      <c r="K663" s="71" t="s">
        <v>505</v>
      </c>
      <c r="L663" t="s">
        <v>984</v>
      </c>
      <c r="M663" t="str">
        <f t="shared" si="52"/>
        <v>28</v>
      </c>
      <c r="N663" t="str">
        <f t="shared" si="53"/>
        <v>09</v>
      </c>
      <c r="O663" t="str">
        <f t="shared" si="50"/>
        <v>2024</v>
      </c>
      <c r="P663" t="str">
        <f t="shared" si="54"/>
        <v>28-09-2024</v>
      </c>
    </row>
    <row r="664" spans="2:16" x14ac:dyDescent="0.3">
      <c r="B664" s="70">
        <v>45563</v>
      </c>
      <c r="C664" s="70">
        <f t="shared" si="51"/>
        <v>45536</v>
      </c>
      <c r="D664" s="94">
        <v>0</v>
      </c>
      <c r="E664" s="94">
        <v>1000</v>
      </c>
      <c r="F664" s="92" t="s">
        <v>3187</v>
      </c>
      <c r="G664" s="75"/>
      <c r="H664" s="92" t="s">
        <v>589</v>
      </c>
      <c r="I664" s="92" t="s">
        <v>3892</v>
      </c>
      <c r="K664" s="71" t="s">
        <v>511</v>
      </c>
      <c r="L664" t="s">
        <v>1787</v>
      </c>
      <c r="M664" t="str">
        <f t="shared" si="52"/>
        <v>28</v>
      </c>
      <c r="N664" t="str">
        <f t="shared" si="53"/>
        <v>09</v>
      </c>
      <c r="O664" t="str">
        <f t="shared" si="50"/>
        <v>2024</v>
      </c>
      <c r="P664" t="str">
        <f t="shared" si="54"/>
        <v>28-09-2024</v>
      </c>
    </row>
    <row r="665" spans="2:16" x14ac:dyDescent="0.3">
      <c r="B665" s="70">
        <v>45563</v>
      </c>
      <c r="C665" s="70">
        <f t="shared" si="51"/>
        <v>45536</v>
      </c>
      <c r="D665" s="94">
        <v>110</v>
      </c>
      <c r="E665" s="94">
        <v>0</v>
      </c>
      <c r="F665" s="92" t="s">
        <v>3188</v>
      </c>
      <c r="G665" s="75"/>
      <c r="H665" s="92" t="s">
        <v>589</v>
      </c>
      <c r="I665" s="92" t="s">
        <v>3892</v>
      </c>
      <c r="K665" s="71" t="s">
        <v>511</v>
      </c>
      <c r="L665" t="s">
        <v>1789</v>
      </c>
      <c r="M665" t="str">
        <f t="shared" si="52"/>
        <v>28</v>
      </c>
      <c r="N665" t="str">
        <f t="shared" si="53"/>
        <v>09</v>
      </c>
      <c r="O665" t="str">
        <f t="shared" si="50"/>
        <v>2024</v>
      </c>
      <c r="P665" t="str">
        <f t="shared" si="54"/>
        <v>28-09-2024</v>
      </c>
    </row>
    <row r="666" spans="2:16" x14ac:dyDescent="0.3">
      <c r="B666" s="70">
        <v>45565</v>
      </c>
      <c r="C666" s="70">
        <f t="shared" si="51"/>
        <v>45536</v>
      </c>
      <c r="D666" s="94">
        <v>5000</v>
      </c>
      <c r="E666" s="94">
        <v>0</v>
      </c>
      <c r="F666" s="92" t="s">
        <v>3189</v>
      </c>
      <c r="G666" s="75"/>
      <c r="H666" s="92" t="s">
        <v>2538</v>
      </c>
      <c r="I666" s="92" t="s">
        <v>3889</v>
      </c>
      <c r="K666" s="71" t="s">
        <v>219</v>
      </c>
      <c r="L666" t="s">
        <v>986</v>
      </c>
      <c r="M666" t="str">
        <f t="shared" si="52"/>
        <v>30</v>
      </c>
      <c r="N666" t="str">
        <f t="shared" si="53"/>
        <v>09</v>
      </c>
      <c r="O666" t="str">
        <f t="shared" si="50"/>
        <v>2024</v>
      </c>
      <c r="P666" t="str">
        <f t="shared" si="54"/>
        <v>30-09-2024</v>
      </c>
    </row>
    <row r="667" spans="2:16" x14ac:dyDescent="0.3">
      <c r="B667" s="70">
        <v>45565</v>
      </c>
      <c r="C667" s="70">
        <f t="shared" si="51"/>
        <v>45536</v>
      </c>
      <c r="D667" s="94">
        <v>5000</v>
      </c>
      <c r="E667" s="94">
        <v>0</v>
      </c>
      <c r="F667" s="92" t="s">
        <v>3190</v>
      </c>
      <c r="G667" s="75"/>
      <c r="H667" s="92" t="s">
        <v>2538</v>
      </c>
      <c r="I667" s="92" t="s">
        <v>3889</v>
      </c>
      <c r="K667" s="71" t="s">
        <v>219</v>
      </c>
      <c r="L667" t="s">
        <v>988</v>
      </c>
      <c r="M667" t="str">
        <f t="shared" si="52"/>
        <v>30</v>
      </c>
      <c r="N667" t="str">
        <f t="shared" si="53"/>
        <v>09</v>
      </c>
      <c r="O667" t="str">
        <f t="shared" si="50"/>
        <v>2024</v>
      </c>
      <c r="P667" t="str">
        <f t="shared" si="54"/>
        <v>30-09-2024</v>
      </c>
    </row>
    <row r="668" spans="2:16" x14ac:dyDescent="0.3">
      <c r="B668" s="70">
        <v>45565</v>
      </c>
      <c r="C668" s="70">
        <f t="shared" si="51"/>
        <v>45536</v>
      </c>
      <c r="D668" s="94">
        <v>259.98</v>
      </c>
      <c r="E668" s="94">
        <v>0</v>
      </c>
      <c r="F668" s="92" t="s">
        <v>3191</v>
      </c>
      <c r="G668" s="75"/>
      <c r="H668" s="92" t="s">
        <v>3881</v>
      </c>
      <c r="I668" s="92" t="s">
        <v>3889</v>
      </c>
      <c r="K668" s="71" t="s">
        <v>217</v>
      </c>
      <c r="L668" t="s">
        <v>30</v>
      </c>
      <c r="M668" t="str">
        <f t="shared" si="52"/>
        <v>30</v>
      </c>
      <c r="N668" t="str">
        <f t="shared" si="53"/>
        <v>09</v>
      </c>
      <c r="O668" t="str">
        <f t="shared" si="50"/>
        <v>2024</v>
      </c>
      <c r="P668" t="str">
        <f t="shared" si="54"/>
        <v>30-09-2024</v>
      </c>
    </row>
    <row r="669" spans="2:16" x14ac:dyDescent="0.3">
      <c r="B669" s="70">
        <v>45565</v>
      </c>
      <c r="C669" s="70">
        <f t="shared" si="51"/>
        <v>45536</v>
      </c>
      <c r="D669" s="94">
        <v>0</v>
      </c>
      <c r="E669" s="94">
        <v>39</v>
      </c>
      <c r="F669" s="92" t="s">
        <v>3192</v>
      </c>
      <c r="G669" s="75" t="s">
        <v>3929</v>
      </c>
      <c r="H669" s="92" t="s">
        <v>218</v>
      </c>
      <c r="I669" s="92" t="s">
        <v>3889</v>
      </c>
      <c r="K669" s="71" t="s">
        <v>218</v>
      </c>
      <c r="L669" t="s">
        <v>991</v>
      </c>
      <c r="M669" t="str">
        <f t="shared" si="52"/>
        <v>30</v>
      </c>
      <c r="N669" t="str">
        <f t="shared" si="53"/>
        <v>09</v>
      </c>
      <c r="O669" t="str">
        <f t="shared" si="50"/>
        <v>2024</v>
      </c>
      <c r="P669" t="str">
        <f t="shared" si="54"/>
        <v>30-09-2024</v>
      </c>
    </row>
    <row r="670" spans="2:16" x14ac:dyDescent="0.3">
      <c r="B670" s="70">
        <v>45565</v>
      </c>
      <c r="C670" s="70">
        <f t="shared" si="51"/>
        <v>45536</v>
      </c>
      <c r="D670" s="94">
        <v>4068.04</v>
      </c>
      <c r="E670" s="94">
        <v>0</v>
      </c>
      <c r="F670" s="92" t="s">
        <v>3191</v>
      </c>
      <c r="G670" s="75"/>
      <c r="H670" s="92" t="s">
        <v>3881</v>
      </c>
      <c r="I670" s="92" t="s">
        <v>3889</v>
      </c>
      <c r="K670" s="71" t="s">
        <v>217</v>
      </c>
      <c r="L670" t="s">
        <v>30</v>
      </c>
      <c r="M670" t="str">
        <f t="shared" si="52"/>
        <v>30</v>
      </c>
      <c r="N670" t="str">
        <f t="shared" si="53"/>
        <v>09</v>
      </c>
      <c r="O670" t="str">
        <f t="shared" si="50"/>
        <v>2024</v>
      </c>
      <c r="P670" t="str">
        <f t="shared" si="54"/>
        <v>30-09-2024</v>
      </c>
    </row>
    <row r="671" spans="2:16" x14ac:dyDescent="0.3">
      <c r="B671" s="70">
        <v>45565</v>
      </c>
      <c r="C671" s="70">
        <f t="shared" si="51"/>
        <v>45536</v>
      </c>
      <c r="D671" s="94">
        <v>0</v>
      </c>
      <c r="E671" s="94">
        <v>1145</v>
      </c>
      <c r="F671" s="92" t="s">
        <v>3193</v>
      </c>
      <c r="G671" s="92" t="s">
        <v>752</v>
      </c>
      <c r="H671" s="92" t="s">
        <v>227</v>
      </c>
      <c r="I671" s="92" t="s">
        <v>3889</v>
      </c>
      <c r="K671" s="71" t="s">
        <v>227</v>
      </c>
      <c r="L671" t="s">
        <v>994</v>
      </c>
      <c r="M671" t="str">
        <f t="shared" si="52"/>
        <v>30</v>
      </c>
      <c r="N671" t="str">
        <f t="shared" si="53"/>
        <v>09</v>
      </c>
      <c r="O671" t="str">
        <f t="shared" si="50"/>
        <v>2024</v>
      </c>
      <c r="P671" t="str">
        <f t="shared" si="54"/>
        <v>30-09-2024</v>
      </c>
    </row>
    <row r="672" spans="2:16" x14ac:dyDescent="0.3">
      <c r="B672" s="70">
        <v>45565</v>
      </c>
      <c r="C672" s="70">
        <f t="shared" si="51"/>
        <v>45536</v>
      </c>
      <c r="D672" s="94">
        <v>0</v>
      </c>
      <c r="E672" s="94">
        <v>80</v>
      </c>
      <c r="F672" s="92" t="s">
        <v>3194</v>
      </c>
      <c r="G672" s="75"/>
      <c r="H672" s="92" t="s">
        <v>589</v>
      </c>
      <c r="I672" s="92" t="s">
        <v>3893</v>
      </c>
      <c r="K672" s="71" t="s">
        <v>511</v>
      </c>
      <c r="L672" t="s">
        <v>1441</v>
      </c>
      <c r="M672" t="str">
        <f t="shared" si="52"/>
        <v>30</v>
      </c>
      <c r="N672" t="str">
        <f t="shared" si="53"/>
        <v>09</v>
      </c>
      <c r="O672" t="str">
        <f t="shared" si="50"/>
        <v>2024</v>
      </c>
      <c r="P672" t="str">
        <f t="shared" si="54"/>
        <v>30-09-2024</v>
      </c>
    </row>
    <row r="673" spans="2:16" x14ac:dyDescent="0.3">
      <c r="B673" s="70">
        <v>45565</v>
      </c>
      <c r="C673" s="70">
        <f t="shared" si="51"/>
        <v>45536</v>
      </c>
      <c r="D673" s="94">
        <v>15000</v>
      </c>
      <c r="E673" s="94">
        <v>0</v>
      </c>
      <c r="F673" s="92" t="s">
        <v>3195</v>
      </c>
      <c r="G673" s="75"/>
      <c r="H673" s="92" t="s">
        <v>512</v>
      </c>
      <c r="I673" s="92" t="s">
        <v>3892</v>
      </c>
      <c r="K673" s="71" t="s">
        <v>512</v>
      </c>
      <c r="L673" t="s">
        <v>1791</v>
      </c>
      <c r="M673" t="str">
        <f t="shared" si="52"/>
        <v>30</v>
      </c>
      <c r="N673" t="str">
        <f t="shared" si="53"/>
        <v>09</v>
      </c>
      <c r="O673" t="str">
        <f t="shared" si="50"/>
        <v>2024</v>
      </c>
      <c r="P673" t="str">
        <f t="shared" si="54"/>
        <v>30-09-2024</v>
      </c>
    </row>
    <row r="674" spans="2:16" x14ac:dyDescent="0.3">
      <c r="B674" s="70">
        <v>45565</v>
      </c>
      <c r="C674" s="70">
        <f t="shared" si="51"/>
        <v>45536</v>
      </c>
      <c r="D674" s="94">
        <v>100</v>
      </c>
      <c r="E674" s="94">
        <v>0</v>
      </c>
      <c r="F674" s="92" t="s">
        <v>3196</v>
      </c>
      <c r="G674" s="75"/>
      <c r="H674" s="92" t="s">
        <v>589</v>
      </c>
      <c r="I674" s="92" t="s">
        <v>3892</v>
      </c>
      <c r="K674" s="71" t="s">
        <v>511</v>
      </c>
      <c r="L674" t="s">
        <v>1793</v>
      </c>
      <c r="M674" t="str">
        <f t="shared" si="52"/>
        <v>30</v>
      </c>
      <c r="N674" t="str">
        <f t="shared" si="53"/>
        <v>09</v>
      </c>
      <c r="O674" t="str">
        <f t="shared" si="50"/>
        <v>2024</v>
      </c>
      <c r="P674" t="str">
        <f t="shared" si="54"/>
        <v>30-09-2024</v>
      </c>
    </row>
    <row r="675" spans="2:16" x14ac:dyDescent="0.3">
      <c r="B675" s="70">
        <v>45565</v>
      </c>
      <c r="C675" s="70">
        <f t="shared" si="51"/>
        <v>45536</v>
      </c>
      <c r="D675" s="94">
        <v>270</v>
      </c>
      <c r="E675" s="94">
        <v>0</v>
      </c>
      <c r="F675" s="92" t="s">
        <v>3197</v>
      </c>
      <c r="G675" s="75"/>
      <c r="H675" s="92" t="s">
        <v>589</v>
      </c>
      <c r="I675" s="92" t="s">
        <v>3892</v>
      </c>
      <c r="K675" s="71" t="s">
        <v>511</v>
      </c>
      <c r="L675" t="s">
        <v>1795</v>
      </c>
      <c r="M675" t="str">
        <f t="shared" si="52"/>
        <v>30</v>
      </c>
      <c r="N675" t="str">
        <f t="shared" si="53"/>
        <v>09</v>
      </c>
      <c r="O675" t="str">
        <f t="shared" si="50"/>
        <v>2024</v>
      </c>
      <c r="P675" t="str">
        <f t="shared" si="54"/>
        <v>30-09-2024</v>
      </c>
    </row>
    <row r="676" spans="2:16" x14ac:dyDescent="0.3">
      <c r="B676" s="70">
        <v>45565</v>
      </c>
      <c r="C676" s="70">
        <f t="shared" si="51"/>
        <v>45536</v>
      </c>
      <c r="D676" s="94">
        <v>0</v>
      </c>
      <c r="E676" s="94">
        <v>436</v>
      </c>
      <c r="F676" s="92" t="s">
        <v>3198</v>
      </c>
      <c r="G676" s="92" t="s">
        <v>756</v>
      </c>
      <c r="H676" s="92" t="s">
        <v>227</v>
      </c>
      <c r="I676" s="92" t="s">
        <v>3892</v>
      </c>
      <c r="K676" s="71" t="s">
        <v>227</v>
      </c>
      <c r="L676" t="s">
        <v>1797</v>
      </c>
      <c r="M676" t="str">
        <f t="shared" si="52"/>
        <v>30</v>
      </c>
      <c r="N676" t="str">
        <f t="shared" si="53"/>
        <v>09</v>
      </c>
      <c r="O676" t="str">
        <f t="shared" si="50"/>
        <v>2024</v>
      </c>
      <c r="P676" t="str">
        <f t="shared" si="54"/>
        <v>30-09-2024</v>
      </c>
    </row>
    <row r="677" spans="2:16" x14ac:dyDescent="0.3">
      <c r="B677" s="70">
        <v>45566</v>
      </c>
      <c r="C677" s="70">
        <f t="shared" si="51"/>
        <v>45566</v>
      </c>
      <c r="D677" s="94">
        <v>0</v>
      </c>
      <c r="E677" s="94">
        <v>128</v>
      </c>
      <c r="F677" s="92" t="s">
        <v>3199</v>
      </c>
      <c r="G677" s="92" t="s">
        <v>755</v>
      </c>
      <c r="H677" s="92" t="s">
        <v>227</v>
      </c>
      <c r="I677" s="92" t="s">
        <v>3890</v>
      </c>
      <c r="K677" s="71" t="s">
        <v>227</v>
      </c>
      <c r="L677" t="s">
        <v>806</v>
      </c>
      <c r="M677" t="str">
        <f t="shared" si="52"/>
        <v>01</v>
      </c>
      <c r="N677" t="str">
        <f t="shared" si="53"/>
        <v>10</v>
      </c>
      <c r="O677" t="str">
        <f t="shared" si="50"/>
        <v>2024</v>
      </c>
      <c r="P677" t="str">
        <f t="shared" si="54"/>
        <v>01-10-2024</v>
      </c>
    </row>
    <row r="678" spans="2:16" x14ac:dyDescent="0.3">
      <c r="B678" s="70">
        <v>45566</v>
      </c>
      <c r="C678" s="70">
        <f t="shared" si="51"/>
        <v>45566</v>
      </c>
      <c r="D678" s="94">
        <v>85.21</v>
      </c>
      <c r="E678" s="94">
        <v>0</v>
      </c>
      <c r="F678" s="92" t="s">
        <v>3200</v>
      </c>
      <c r="G678" s="75"/>
      <c r="H678" s="92" t="s">
        <v>3881</v>
      </c>
      <c r="I678" s="92" t="s">
        <v>3889</v>
      </c>
      <c r="K678" s="71" t="s">
        <v>217</v>
      </c>
      <c r="L678" t="s">
        <v>30</v>
      </c>
      <c r="M678" t="str">
        <f t="shared" si="52"/>
        <v>01</v>
      </c>
      <c r="N678" t="str">
        <f t="shared" si="53"/>
        <v>10</v>
      </c>
      <c r="O678" t="str">
        <f t="shared" si="50"/>
        <v>2024</v>
      </c>
      <c r="P678" t="str">
        <f t="shared" si="54"/>
        <v>01-10-2024</v>
      </c>
    </row>
    <row r="679" spans="2:16" x14ac:dyDescent="0.3">
      <c r="B679" s="70">
        <v>45566</v>
      </c>
      <c r="C679" s="70">
        <f t="shared" si="51"/>
        <v>45566</v>
      </c>
      <c r="D679" s="94">
        <v>0</v>
      </c>
      <c r="E679" s="94">
        <v>35</v>
      </c>
      <c r="F679" s="92" t="s">
        <v>3201</v>
      </c>
      <c r="G679" s="75"/>
      <c r="H679" s="92" t="s">
        <v>589</v>
      </c>
      <c r="I679" s="92" t="s">
        <v>3893</v>
      </c>
      <c r="K679" s="71" t="s">
        <v>511</v>
      </c>
      <c r="L679" t="s">
        <v>1442</v>
      </c>
      <c r="M679" t="str">
        <f t="shared" si="52"/>
        <v>01</v>
      </c>
      <c r="N679" t="str">
        <f t="shared" si="53"/>
        <v>10</v>
      </c>
      <c r="O679" t="str">
        <f t="shared" si="50"/>
        <v>2024</v>
      </c>
      <c r="P679" t="str">
        <f t="shared" si="54"/>
        <v>01-10-2024</v>
      </c>
    </row>
    <row r="680" spans="2:16" x14ac:dyDescent="0.3">
      <c r="B680" s="70">
        <v>45566</v>
      </c>
      <c r="C680" s="70">
        <f t="shared" si="51"/>
        <v>45566</v>
      </c>
      <c r="D680" s="94">
        <v>90</v>
      </c>
      <c r="E680" s="94">
        <v>0</v>
      </c>
      <c r="F680" s="92" t="s">
        <v>3202</v>
      </c>
      <c r="G680" s="75"/>
      <c r="H680" s="92" t="s">
        <v>589</v>
      </c>
      <c r="I680" s="92" t="s">
        <v>3892</v>
      </c>
      <c r="K680" s="71" t="s">
        <v>511</v>
      </c>
      <c r="L680" t="s">
        <v>1798</v>
      </c>
      <c r="M680" t="str">
        <f t="shared" si="52"/>
        <v>01</v>
      </c>
      <c r="N680" t="str">
        <f t="shared" si="53"/>
        <v>10</v>
      </c>
      <c r="O680" t="str">
        <f t="shared" si="50"/>
        <v>2024</v>
      </c>
      <c r="P680" t="str">
        <f t="shared" si="54"/>
        <v>01-10-2024</v>
      </c>
    </row>
    <row r="681" spans="2:16" x14ac:dyDescent="0.3">
      <c r="B681" s="70">
        <v>45566</v>
      </c>
      <c r="C681" s="70">
        <f t="shared" si="51"/>
        <v>45566</v>
      </c>
      <c r="D681" s="94">
        <v>165</v>
      </c>
      <c r="E681" s="94">
        <v>0</v>
      </c>
      <c r="F681" s="92" t="s">
        <v>3203</v>
      </c>
      <c r="G681" s="75"/>
      <c r="H681" s="92" t="s">
        <v>589</v>
      </c>
      <c r="I681" s="92" t="s">
        <v>3892</v>
      </c>
      <c r="K681" s="71" t="s">
        <v>511</v>
      </c>
      <c r="L681" t="s">
        <v>1800</v>
      </c>
      <c r="M681" t="str">
        <f t="shared" si="52"/>
        <v>01</v>
      </c>
      <c r="N681" t="str">
        <f t="shared" si="53"/>
        <v>10</v>
      </c>
      <c r="O681" t="str">
        <f t="shared" si="50"/>
        <v>2024</v>
      </c>
      <c r="P681" t="str">
        <f t="shared" si="54"/>
        <v>01-10-2024</v>
      </c>
    </row>
    <row r="682" spans="2:16" x14ac:dyDescent="0.3">
      <c r="B682" s="70">
        <v>45566</v>
      </c>
      <c r="C682" s="70">
        <f t="shared" si="51"/>
        <v>45566</v>
      </c>
      <c r="D682" s="94">
        <v>35</v>
      </c>
      <c r="E682" s="94">
        <v>0</v>
      </c>
      <c r="F682" s="92" t="s">
        <v>3204</v>
      </c>
      <c r="G682" s="75"/>
      <c r="H682" s="92" t="s">
        <v>589</v>
      </c>
      <c r="I682" s="92" t="s">
        <v>3892</v>
      </c>
      <c r="K682" s="71" t="s">
        <v>511</v>
      </c>
      <c r="L682" t="s">
        <v>1802</v>
      </c>
      <c r="M682" t="str">
        <f t="shared" si="52"/>
        <v>01</v>
      </c>
      <c r="N682" t="str">
        <f t="shared" si="53"/>
        <v>10</v>
      </c>
      <c r="O682" t="str">
        <f t="shared" si="50"/>
        <v>2024</v>
      </c>
      <c r="P682" t="str">
        <f t="shared" si="54"/>
        <v>01-10-2024</v>
      </c>
    </row>
    <row r="683" spans="2:16" x14ac:dyDescent="0.3">
      <c r="B683" s="70">
        <v>45566</v>
      </c>
      <c r="C683" s="70">
        <f t="shared" si="51"/>
        <v>45566</v>
      </c>
      <c r="D683" s="94">
        <v>0</v>
      </c>
      <c r="E683" s="94">
        <v>1</v>
      </c>
      <c r="F683" s="92" t="s">
        <v>3205</v>
      </c>
      <c r="G683" s="92" t="s">
        <v>2573</v>
      </c>
      <c r="H683" s="92" t="s">
        <v>227</v>
      </c>
      <c r="I683" s="92" t="s">
        <v>3894</v>
      </c>
      <c r="K683" s="71" t="s">
        <v>227</v>
      </c>
      <c r="L683" t="s">
        <v>2566</v>
      </c>
      <c r="M683" t="str">
        <f t="shared" si="52"/>
        <v>01</v>
      </c>
      <c r="N683" t="str">
        <f t="shared" si="53"/>
        <v>10</v>
      </c>
      <c r="O683" t="str">
        <f t="shared" si="50"/>
        <v>2024</v>
      </c>
      <c r="P683" t="str">
        <f t="shared" si="54"/>
        <v>01-10-2024</v>
      </c>
    </row>
    <row r="684" spans="2:16" x14ac:dyDescent="0.3">
      <c r="B684" s="70">
        <v>45567</v>
      </c>
      <c r="C684" s="70">
        <f t="shared" si="51"/>
        <v>45566</v>
      </c>
      <c r="D684" s="94">
        <v>11240</v>
      </c>
      <c r="E684" s="94">
        <v>0</v>
      </c>
      <c r="F684" s="92" t="s">
        <v>3206</v>
      </c>
      <c r="G684" s="75" t="s">
        <v>3880</v>
      </c>
      <c r="H684" s="92" t="s">
        <v>3876</v>
      </c>
      <c r="I684" s="92" t="s">
        <v>3889</v>
      </c>
      <c r="K684" s="71" t="s">
        <v>2526</v>
      </c>
      <c r="L684" t="s">
        <v>996</v>
      </c>
      <c r="M684" t="str">
        <f t="shared" si="52"/>
        <v>02</v>
      </c>
      <c r="N684" t="str">
        <f t="shared" si="53"/>
        <v>10</v>
      </c>
      <c r="O684" t="str">
        <f t="shared" si="50"/>
        <v>2024</v>
      </c>
      <c r="P684" t="str">
        <f t="shared" si="54"/>
        <v>02-10-2024</v>
      </c>
    </row>
    <row r="685" spans="2:16" x14ac:dyDescent="0.3">
      <c r="B685" s="70">
        <v>45567</v>
      </c>
      <c r="C685" s="70">
        <f t="shared" si="51"/>
        <v>45566</v>
      </c>
      <c r="D685" s="94">
        <v>20308.87</v>
      </c>
      <c r="E685" s="94">
        <v>0</v>
      </c>
      <c r="F685" s="92" t="s">
        <v>3207</v>
      </c>
      <c r="G685" s="75"/>
      <c r="H685" s="92" t="s">
        <v>589</v>
      </c>
      <c r="I685" s="92" t="s">
        <v>3892</v>
      </c>
      <c r="K685" s="71" t="s">
        <v>511</v>
      </c>
      <c r="L685" t="s">
        <v>1804</v>
      </c>
      <c r="M685" t="str">
        <f t="shared" si="52"/>
        <v>02</v>
      </c>
      <c r="N685" t="str">
        <f t="shared" si="53"/>
        <v>10</v>
      </c>
      <c r="O685" t="str">
        <f t="shared" si="50"/>
        <v>2024</v>
      </c>
      <c r="P685" t="str">
        <f t="shared" si="54"/>
        <v>02-10-2024</v>
      </c>
    </row>
    <row r="686" spans="2:16" x14ac:dyDescent="0.3">
      <c r="B686" s="70">
        <v>45567</v>
      </c>
      <c r="C686" s="70">
        <f t="shared" si="51"/>
        <v>45566</v>
      </c>
      <c r="D686" s="94">
        <v>187.25</v>
      </c>
      <c r="E686" s="94">
        <v>0</v>
      </c>
      <c r="F686" s="92" t="s">
        <v>3208</v>
      </c>
      <c r="G686" s="75"/>
      <c r="H686" s="92" t="s">
        <v>589</v>
      </c>
      <c r="I686" s="92" t="s">
        <v>3892</v>
      </c>
      <c r="K686" s="71" t="s">
        <v>511</v>
      </c>
      <c r="L686" t="s">
        <v>1806</v>
      </c>
      <c r="M686" t="str">
        <f t="shared" si="52"/>
        <v>02</v>
      </c>
      <c r="N686" t="str">
        <f t="shared" si="53"/>
        <v>10</v>
      </c>
      <c r="O686" t="str">
        <f t="shared" si="50"/>
        <v>2024</v>
      </c>
      <c r="P686" t="str">
        <f t="shared" si="54"/>
        <v>02-10-2024</v>
      </c>
    </row>
    <row r="687" spans="2:16" x14ac:dyDescent="0.3">
      <c r="B687" s="70">
        <v>45568</v>
      </c>
      <c r="C687" s="70">
        <f t="shared" si="51"/>
        <v>45566</v>
      </c>
      <c r="D687" s="94">
        <v>0</v>
      </c>
      <c r="E687" s="94">
        <v>1411.24</v>
      </c>
      <c r="F687" s="92" t="s">
        <v>3209</v>
      </c>
      <c r="G687" s="75"/>
      <c r="H687" s="92" t="s">
        <v>3881</v>
      </c>
      <c r="I687" s="92" t="s">
        <v>3889</v>
      </c>
      <c r="K687" s="71" t="s">
        <v>2523</v>
      </c>
      <c r="L687" t="s">
        <v>998</v>
      </c>
      <c r="M687" t="str">
        <f t="shared" si="52"/>
        <v>03</v>
      </c>
      <c r="N687" t="str">
        <f t="shared" si="53"/>
        <v>10</v>
      </c>
      <c r="O687" t="str">
        <f t="shared" si="50"/>
        <v>2024</v>
      </c>
      <c r="P687" t="str">
        <f t="shared" si="54"/>
        <v>03-10-2024</v>
      </c>
    </row>
    <row r="688" spans="2:16" x14ac:dyDescent="0.3">
      <c r="B688" s="70">
        <v>45568</v>
      </c>
      <c r="C688" s="70">
        <f t="shared" si="51"/>
        <v>45566</v>
      </c>
      <c r="D688" s="94">
        <v>170.42</v>
      </c>
      <c r="E688" s="94">
        <v>0</v>
      </c>
      <c r="F688" s="92" t="s">
        <v>3210</v>
      </c>
      <c r="G688" s="75"/>
      <c r="H688" s="92" t="s">
        <v>3881</v>
      </c>
      <c r="I688" s="92" t="s">
        <v>3889</v>
      </c>
      <c r="K688" s="71" t="s">
        <v>217</v>
      </c>
      <c r="L688" t="s">
        <v>30</v>
      </c>
      <c r="M688" t="str">
        <f t="shared" si="52"/>
        <v>03</v>
      </c>
      <c r="N688" t="str">
        <f t="shared" si="53"/>
        <v>10</v>
      </c>
      <c r="O688" t="str">
        <f t="shared" si="50"/>
        <v>2024</v>
      </c>
      <c r="P688" t="str">
        <f t="shared" si="54"/>
        <v>03-10-2024</v>
      </c>
    </row>
    <row r="689" spans="2:16" x14ac:dyDescent="0.3">
      <c r="B689" s="70">
        <v>45568</v>
      </c>
      <c r="C689" s="70">
        <f t="shared" si="51"/>
        <v>45566</v>
      </c>
      <c r="D689" s="94">
        <v>5000</v>
      </c>
      <c r="E689" s="94">
        <v>0</v>
      </c>
      <c r="F689" s="92" t="s">
        <v>3211</v>
      </c>
      <c r="G689" s="75"/>
      <c r="H689" s="92" t="s">
        <v>589</v>
      </c>
      <c r="I689" s="92" t="s">
        <v>3893</v>
      </c>
      <c r="K689" s="71" t="s">
        <v>511</v>
      </c>
      <c r="L689" t="s">
        <v>1443</v>
      </c>
      <c r="M689" t="str">
        <f t="shared" si="52"/>
        <v>03</v>
      </c>
      <c r="N689" t="str">
        <f t="shared" si="53"/>
        <v>10</v>
      </c>
      <c r="O689" t="str">
        <f t="shared" si="50"/>
        <v>2024</v>
      </c>
      <c r="P689" t="str">
        <f t="shared" si="54"/>
        <v>03-10-2024</v>
      </c>
    </row>
    <row r="690" spans="2:16" x14ac:dyDescent="0.3">
      <c r="B690" s="70">
        <v>45568</v>
      </c>
      <c r="C690" s="70">
        <f t="shared" si="51"/>
        <v>45566</v>
      </c>
      <c r="D690" s="94">
        <v>5000</v>
      </c>
      <c r="E690" s="94">
        <v>0</v>
      </c>
      <c r="F690" s="92" t="s">
        <v>3212</v>
      </c>
      <c r="G690" s="75"/>
      <c r="H690" s="92" t="s">
        <v>589</v>
      </c>
      <c r="I690" s="92" t="s">
        <v>3893</v>
      </c>
      <c r="K690" s="71" t="s">
        <v>511</v>
      </c>
      <c r="L690" t="s">
        <v>1445</v>
      </c>
      <c r="M690" t="str">
        <f t="shared" si="52"/>
        <v>03</v>
      </c>
      <c r="N690" t="str">
        <f t="shared" si="53"/>
        <v>10</v>
      </c>
      <c r="O690" t="str">
        <f t="shared" si="50"/>
        <v>2024</v>
      </c>
      <c r="P690" t="str">
        <f t="shared" si="54"/>
        <v>03-10-2024</v>
      </c>
    </row>
    <row r="691" spans="2:16" x14ac:dyDescent="0.3">
      <c r="B691" s="70">
        <v>45568</v>
      </c>
      <c r="C691" s="70">
        <f t="shared" si="51"/>
        <v>45566</v>
      </c>
      <c r="D691" s="94">
        <v>3000</v>
      </c>
      <c r="E691" s="94">
        <v>0</v>
      </c>
      <c r="F691" s="92" t="s">
        <v>3213</v>
      </c>
      <c r="G691" s="75"/>
      <c r="H691" s="92" t="s">
        <v>589</v>
      </c>
      <c r="I691" s="92" t="s">
        <v>3893</v>
      </c>
      <c r="K691" s="71" t="s">
        <v>511</v>
      </c>
      <c r="L691" t="s">
        <v>1446</v>
      </c>
      <c r="M691" t="str">
        <f t="shared" si="52"/>
        <v>03</v>
      </c>
      <c r="N691" t="str">
        <f t="shared" si="53"/>
        <v>10</v>
      </c>
      <c r="O691" t="str">
        <f t="shared" si="50"/>
        <v>2024</v>
      </c>
      <c r="P691" t="str">
        <f t="shared" si="54"/>
        <v>03-10-2024</v>
      </c>
    </row>
    <row r="692" spans="2:16" x14ac:dyDescent="0.3">
      <c r="B692" s="70">
        <v>45568</v>
      </c>
      <c r="C692" s="70">
        <f t="shared" si="51"/>
        <v>45566</v>
      </c>
      <c r="D692" s="94">
        <v>9000</v>
      </c>
      <c r="E692" s="94">
        <v>0</v>
      </c>
      <c r="F692" s="92" t="s">
        <v>3214</v>
      </c>
      <c r="G692" s="75"/>
      <c r="H692" s="92" t="s">
        <v>589</v>
      </c>
      <c r="I692" s="92" t="s">
        <v>3893</v>
      </c>
      <c r="K692" s="71" t="s">
        <v>511</v>
      </c>
      <c r="L692" t="s">
        <v>1447</v>
      </c>
      <c r="M692" t="str">
        <f t="shared" si="52"/>
        <v>03</v>
      </c>
      <c r="N692" t="str">
        <f t="shared" si="53"/>
        <v>10</v>
      </c>
      <c r="O692" t="str">
        <f t="shared" si="50"/>
        <v>2024</v>
      </c>
      <c r="P692" t="str">
        <f t="shared" si="54"/>
        <v>03-10-2024</v>
      </c>
    </row>
    <row r="693" spans="2:16" x14ac:dyDescent="0.3">
      <c r="B693" s="70">
        <v>45568</v>
      </c>
      <c r="C693" s="70">
        <f t="shared" si="51"/>
        <v>45566</v>
      </c>
      <c r="D693" s="94">
        <v>0</v>
      </c>
      <c r="E693" s="94">
        <v>22000</v>
      </c>
      <c r="F693" s="92" t="s">
        <v>3215</v>
      </c>
      <c r="G693" s="75"/>
      <c r="H693" s="92" t="s">
        <v>589</v>
      </c>
      <c r="I693" s="92" t="s">
        <v>3893</v>
      </c>
      <c r="K693" s="71" t="s">
        <v>511</v>
      </c>
      <c r="L693" t="s">
        <v>1448</v>
      </c>
      <c r="M693" t="str">
        <f t="shared" si="52"/>
        <v>03</v>
      </c>
      <c r="N693" t="str">
        <f t="shared" si="53"/>
        <v>10</v>
      </c>
      <c r="O693" t="str">
        <f t="shared" si="50"/>
        <v>2024</v>
      </c>
      <c r="P693" t="str">
        <f t="shared" si="54"/>
        <v>03-10-2024</v>
      </c>
    </row>
    <row r="694" spans="2:16" x14ac:dyDescent="0.3">
      <c r="B694" s="70">
        <v>45568</v>
      </c>
      <c r="C694" s="70">
        <f t="shared" si="51"/>
        <v>45566</v>
      </c>
      <c r="D694" s="94">
        <v>65</v>
      </c>
      <c r="E694" s="94">
        <v>0</v>
      </c>
      <c r="F694" s="92" t="s">
        <v>3216</v>
      </c>
      <c r="G694" s="75"/>
      <c r="H694" s="92" t="s">
        <v>589</v>
      </c>
      <c r="I694" s="92" t="s">
        <v>3892</v>
      </c>
      <c r="K694" s="71" t="s">
        <v>511</v>
      </c>
      <c r="L694" t="s">
        <v>1808</v>
      </c>
      <c r="M694" t="str">
        <f t="shared" si="52"/>
        <v>03</v>
      </c>
      <c r="N694" t="str">
        <f t="shared" si="53"/>
        <v>10</v>
      </c>
      <c r="O694" t="str">
        <f t="shared" si="50"/>
        <v>2024</v>
      </c>
      <c r="P694" t="str">
        <f t="shared" si="54"/>
        <v>03-10-2024</v>
      </c>
    </row>
    <row r="695" spans="2:16" x14ac:dyDescent="0.3">
      <c r="B695" s="70">
        <v>45569</v>
      </c>
      <c r="C695" s="70">
        <f t="shared" si="51"/>
        <v>45566</v>
      </c>
      <c r="D695" s="94">
        <v>3856.02</v>
      </c>
      <c r="E695" s="94">
        <v>0</v>
      </c>
      <c r="F695" s="92" t="s">
        <v>3217</v>
      </c>
      <c r="G695" s="75"/>
      <c r="H695" s="92" t="s">
        <v>3881</v>
      </c>
      <c r="I695" s="92" t="s">
        <v>3889</v>
      </c>
      <c r="K695" s="71" t="s">
        <v>217</v>
      </c>
      <c r="L695" t="s">
        <v>30</v>
      </c>
      <c r="M695" t="str">
        <f t="shared" si="52"/>
        <v>04</v>
      </c>
      <c r="N695" t="str">
        <f t="shared" si="53"/>
        <v>10</v>
      </c>
      <c r="O695" t="str">
        <f t="shared" si="50"/>
        <v>2024</v>
      </c>
      <c r="P695" t="str">
        <f t="shared" si="54"/>
        <v>04-10-2024</v>
      </c>
    </row>
    <row r="696" spans="2:16" x14ac:dyDescent="0.3">
      <c r="B696" s="70">
        <v>45569</v>
      </c>
      <c r="C696" s="70">
        <f t="shared" si="51"/>
        <v>45566</v>
      </c>
      <c r="D696" s="94">
        <v>84.34</v>
      </c>
      <c r="E696" s="94">
        <v>0</v>
      </c>
      <c r="F696" s="92" t="s">
        <v>3217</v>
      </c>
      <c r="G696" s="75"/>
      <c r="H696" s="92" t="s">
        <v>3881</v>
      </c>
      <c r="I696" s="92" t="s">
        <v>3889</v>
      </c>
      <c r="K696" s="71" t="s">
        <v>217</v>
      </c>
      <c r="L696" t="s">
        <v>30</v>
      </c>
      <c r="M696" t="str">
        <f t="shared" si="52"/>
        <v>04</v>
      </c>
      <c r="N696" t="str">
        <f t="shared" si="53"/>
        <v>10</v>
      </c>
      <c r="O696" t="str">
        <f t="shared" si="50"/>
        <v>2024</v>
      </c>
      <c r="P696" t="str">
        <f t="shared" si="54"/>
        <v>04-10-2024</v>
      </c>
    </row>
    <row r="697" spans="2:16" x14ac:dyDescent="0.3">
      <c r="B697" s="70">
        <v>45569</v>
      </c>
      <c r="C697" s="70">
        <f t="shared" si="51"/>
        <v>45566</v>
      </c>
      <c r="D697" s="94">
        <v>1807.01</v>
      </c>
      <c r="E697" s="94">
        <v>0</v>
      </c>
      <c r="F697" s="92" t="s">
        <v>3217</v>
      </c>
      <c r="G697" s="75"/>
      <c r="H697" s="92" t="s">
        <v>3881</v>
      </c>
      <c r="I697" s="92" t="s">
        <v>3889</v>
      </c>
      <c r="K697" s="71" t="s">
        <v>217</v>
      </c>
      <c r="L697" t="s">
        <v>30</v>
      </c>
      <c r="M697" t="str">
        <f t="shared" si="52"/>
        <v>04</v>
      </c>
      <c r="N697" t="str">
        <f t="shared" si="53"/>
        <v>10</v>
      </c>
      <c r="O697" t="str">
        <f t="shared" si="50"/>
        <v>2024</v>
      </c>
      <c r="P697" t="str">
        <f t="shared" si="54"/>
        <v>04-10-2024</v>
      </c>
    </row>
    <row r="698" spans="2:16" x14ac:dyDescent="0.3">
      <c r="B698" s="70">
        <v>45569</v>
      </c>
      <c r="C698" s="70">
        <f t="shared" si="51"/>
        <v>45566</v>
      </c>
      <c r="D698" s="94">
        <v>22000</v>
      </c>
      <c r="E698" s="94">
        <v>0</v>
      </c>
      <c r="F698" s="92" t="s">
        <v>3218</v>
      </c>
      <c r="G698" s="75"/>
      <c r="H698" s="92" t="s">
        <v>589</v>
      </c>
      <c r="I698" s="92" t="s">
        <v>3892</v>
      </c>
      <c r="K698" s="71" t="s">
        <v>511</v>
      </c>
      <c r="L698" t="s">
        <v>1810</v>
      </c>
      <c r="M698" t="str">
        <f t="shared" si="52"/>
        <v>04</v>
      </c>
      <c r="N698" t="str">
        <f t="shared" si="53"/>
        <v>10</v>
      </c>
      <c r="O698" t="str">
        <f t="shared" si="50"/>
        <v>2024</v>
      </c>
      <c r="P698" t="str">
        <f t="shared" si="54"/>
        <v>04-10-2024</v>
      </c>
    </row>
    <row r="699" spans="2:16" x14ac:dyDescent="0.3">
      <c r="B699" s="70">
        <v>45570</v>
      </c>
      <c r="C699" s="70">
        <f t="shared" si="51"/>
        <v>45566</v>
      </c>
      <c r="D699" s="94">
        <v>0</v>
      </c>
      <c r="E699" s="94">
        <v>3078.82</v>
      </c>
      <c r="F699" s="92" t="s">
        <v>3219</v>
      </c>
      <c r="G699" s="75"/>
      <c r="H699" s="92" t="s">
        <v>3888</v>
      </c>
      <c r="I699" s="92" t="s">
        <v>3893</v>
      </c>
      <c r="K699" s="71" t="s">
        <v>508</v>
      </c>
      <c r="L699" t="s">
        <v>1449</v>
      </c>
      <c r="M699" t="str">
        <f t="shared" si="52"/>
        <v>05</v>
      </c>
      <c r="N699" t="str">
        <f t="shared" si="53"/>
        <v>10</v>
      </c>
      <c r="O699" t="str">
        <f t="shared" si="50"/>
        <v>2024</v>
      </c>
      <c r="P699" t="str">
        <f t="shared" si="54"/>
        <v>05-10-2024</v>
      </c>
    </row>
    <row r="700" spans="2:16" x14ac:dyDescent="0.3">
      <c r="B700" s="70">
        <v>45572</v>
      </c>
      <c r="C700" s="70">
        <f t="shared" si="51"/>
        <v>45566</v>
      </c>
      <c r="D700" s="94">
        <v>0</v>
      </c>
      <c r="E700" s="94">
        <v>48407.81</v>
      </c>
      <c r="F700" s="92" t="s">
        <v>3220</v>
      </c>
      <c r="G700" s="75"/>
      <c r="H700" s="92" t="s">
        <v>3881</v>
      </c>
      <c r="I700" s="92" t="s">
        <v>3889</v>
      </c>
      <c r="K700" s="71" t="s">
        <v>2523</v>
      </c>
      <c r="L700" t="s">
        <v>1004</v>
      </c>
      <c r="M700" t="str">
        <f t="shared" si="52"/>
        <v>07</v>
      </c>
      <c r="N700" t="str">
        <f t="shared" si="53"/>
        <v>10</v>
      </c>
      <c r="O700" t="str">
        <f t="shared" si="50"/>
        <v>2024</v>
      </c>
      <c r="P700" t="str">
        <f t="shared" si="54"/>
        <v>07-10-2024</v>
      </c>
    </row>
    <row r="701" spans="2:16" x14ac:dyDescent="0.3">
      <c r="B701" s="70">
        <v>45572</v>
      </c>
      <c r="C701" s="70">
        <f t="shared" si="51"/>
        <v>45566</v>
      </c>
      <c r="D701" s="94">
        <v>258.57</v>
      </c>
      <c r="E701" s="94">
        <v>0</v>
      </c>
      <c r="F701" s="92" t="s">
        <v>3221</v>
      </c>
      <c r="G701" s="75"/>
      <c r="H701" s="92" t="s">
        <v>3881</v>
      </c>
      <c r="I701" s="92" t="s">
        <v>3889</v>
      </c>
      <c r="K701" s="71" t="s">
        <v>217</v>
      </c>
      <c r="L701" t="s">
        <v>30</v>
      </c>
      <c r="M701" t="str">
        <f t="shared" si="52"/>
        <v>07</v>
      </c>
      <c r="N701" t="str">
        <f t="shared" si="53"/>
        <v>10</v>
      </c>
      <c r="O701" t="str">
        <f t="shared" si="50"/>
        <v>2024</v>
      </c>
      <c r="P701" t="str">
        <f t="shared" si="54"/>
        <v>07-10-2024</v>
      </c>
    </row>
    <row r="702" spans="2:16" x14ac:dyDescent="0.3">
      <c r="B702" s="70">
        <v>45572</v>
      </c>
      <c r="C702" s="70">
        <f t="shared" si="51"/>
        <v>45566</v>
      </c>
      <c r="D702" s="94">
        <v>0</v>
      </c>
      <c r="E702" s="94">
        <v>1880</v>
      </c>
      <c r="F702" s="92" t="s">
        <v>3222</v>
      </c>
      <c r="G702" s="92" t="s">
        <v>222</v>
      </c>
      <c r="H702" s="92" t="s">
        <v>3876</v>
      </c>
      <c r="I702" s="92" t="s">
        <v>3889</v>
      </c>
      <c r="K702" s="71" t="s">
        <v>222</v>
      </c>
      <c r="L702" t="s">
        <v>1007</v>
      </c>
      <c r="M702" t="str">
        <f t="shared" si="52"/>
        <v>07</v>
      </c>
      <c r="N702" t="str">
        <f t="shared" si="53"/>
        <v>10</v>
      </c>
      <c r="O702" t="str">
        <f t="shared" si="50"/>
        <v>2024</v>
      </c>
      <c r="P702" t="str">
        <f t="shared" si="54"/>
        <v>07-10-2024</v>
      </c>
    </row>
    <row r="703" spans="2:16" x14ac:dyDescent="0.3">
      <c r="B703" s="70">
        <v>45572</v>
      </c>
      <c r="C703" s="70">
        <f t="shared" si="51"/>
        <v>45566</v>
      </c>
      <c r="D703" s="94">
        <v>2029.43</v>
      </c>
      <c r="E703" s="94">
        <v>0</v>
      </c>
      <c r="F703" s="92" t="s">
        <v>3221</v>
      </c>
      <c r="G703" s="75"/>
      <c r="H703" s="92" t="s">
        <v>3881</v>
      </c>
      <c r="I703" s="92" t="s">
        <v>3889</v>
      </c>
      <c r="K703" s="71" t="s">
        <v>217</v>
      </c>
      <c r="L703" t="s">
        <v>30</v>
      </c>
      <c r="M703" t="str">
        <f t="shared" si="52"/>
        <v>07</v>
      </c>
      <c r="N703" t="str">
        <f t="shared" si="53"/>
        <v>10</v>
      </c>
      <c r="O703" t="str">
        <f t="shared" si="50"/>
        <v>2024</v>
      </c>
      <c r="P703" t="str">
        <f t="shared" si="54"/>
        <v>07-10-2024</v>
      </c>
    </row>
    <row r="704" spans="2:16" x14ac:dyDescent="0.3">
      <c r="B704" s="70">
        <v>45572</v>
      </c>
      <c r="C704" s="70">
        <f t="shared" si="51"/>
        <v>45566</v>
      </c>
      <c r="D704" s="94">
        <v>5000</v>
      </c>
      <c r="E704" s="94">
        <v>0</v>
      </c>
      <c r="F704" s="92" t="s">
        <v>3223</v>
      </c>
      <c r="G704" s="75"/>
      <c r="H704" s="92" t="s">
        <v>589</v>
      </c>
      <c r="I704" s="92" t="s">
        <v>3893</v>
      </c>
      <c r="K704" s="71" t="s">
        <v>511</v>
      </c>
      <c r="L704" t="s">
        <v>1451</v>
      </c>
      <c r="M704" t="str">
        <f t="shared" si="52"/>
        <v>07</v>
      </c>
      <c r="N704" t="str">
        <f t="shared" si="53"/>
        <v>10</v>
      </c>
      <c r="O704" t="str">
        <f t="shared" si="50"/>
        <v>2024</v>
      </c>
      <c r="P704" t="str">
        <f t="shared" si="54"/>
        <v>07-10-2024</v>
      </c>
    </row>
    <row r="705" spans="2:16" x14ac:dyDescent="0.3">
      <c r="B705" s="70">
        <v>45572</v>
      </c>
      <c r="C705" s="70">
        <f t="shared" si="51"/>
        <v>45566</v>
      </c>
      <c r="D705" s="94">
        <v>220</v>
      </c>
      <c r="E705" s="94">
        <v>0</v>
      </c>
      <c r="F705" s="92" t="s">
        <v>3224</v>
      </c>
      <c r="G705" s="75"/>
      <c r="H705" s="92" t="s">
        <v>589</v>
      </c>
      <c r="I705" s="92" t="s">
        <v>3892</v>
      </c>
      <c r="K705" s="71" t="s">
        <v>511</v>
      </c>
      <c r="L705" t="s">
        <v>1812</v>
      </c>
      <c r="M705" t="str">
        <f t="shared" si="52"/>
        <v>07</v>
      </c>
      <c r="N705" t="str">
        <f t="shared" si="53"/>
        <v>10</v>
      </c>
      <c r="O705" t="str">
        <f t="shared" si="50"/>
        <v>2024</v>
      </c>
      <c r="P705" t="str">
        <f t="shared" si="54"/>
        <v>07-10-2024</v>
      </c>
    </row>
    <row r="706" spans="2:16" x14ac:dyDescent="0.3">
      <c r="B706" s="70">
        <v>45572</v>
      </c>
      <c r="C706" s="70">
        <f t="shared" si="51"/>
        <v>45566</v>
      </c>
      <c r="D706" s="94">
        <v>0</v>
      </c>
      <c r="E706" s="94">
        <v>1</v>
      </c>
      <c r="F706" s="92" t="s">
        <v>3225</v>
      </c>
      <c r="G706" s="75"/>
      <c r="H706" s="92" t="s">
        <v>3888</v>
      </c>
      <c r="I706" s="92" t="s">
        <v>3892</v>
      </c>
      <c r="K706" s="71" t="s">
        <v>508</v>
      </c>
      <c r="L706" t="s">
        <v>1814</v>
      </c>
      <c r="M706" t="str">
        <f t="shared" si="52"/>
        <v>07</v>
      </c>
      <c r="N706" t="str">
        <f t="shared" si="53"/>
        <v>10</v>
      </c>
      <c r="O706" t="str">
        <f t="shared" si="50"/>
        <v>2024</v>
      </c>
      <c r="P706" t="str">
        <f t="shared" si="54"/>
        <v>07-10-2024</v>
      </c>
    </row>
    <row r="707" spans="2:16" x14ac:dyDescent="0.3">
      <c r="B707" s="70">
        <v>45573</v>
      </c>
      <c r="C707" s="70">
        <f t="shared" si="51"/>
        <v>45566</v>
      </c>
      <c r="D707" s="94">
        <v>85.46</v>
      </c>
      <c r="E707" s="94">
        <v>0</v>
      </c>
      <c r="F707" s="92" t="s">
        <v>3226</v>
      </c>
      <c r="G707" s="75"/>
      <c r="H707" s="92" t="s">
        <v>3881</v>
      </c>
      <c r="I707" s="92" t="s">
        <v>3889</v>
      </c>
      <c r="K707" s="71" t="s">
        <v>217</v>
      </c>
      <c r="L707" t="s">
        <v>30</v>
      </c>
      <c r="M707" t="str">
        <f t="shared" si="52"/>
        <v>08</v>
      </c>
      <c r="N707" t="str">
        <f t="shared" si="53"/>
        <v>10</v>
      </c>
      <c r="O707" t="str">
        <f t="shared" ref="O707:O770" si="55">TEXT(B707,"YYYY")</f>
        <v>2024</v>
      </c>
      <c r="P707" t="str">
        <f t="shared" si="54"/>
        <v>08-10-2024</v>
      </c>
    </row>
    <row r="708" spans="2:16" x14ac:dyDescent="0.3">
      <c r="B708" s="70">
        <v>45573</v>
      </c>
      <c r="C708" s="70">
        <f t="shared" ref="C708:C771" si="56">EOMONTH(B708,-1)+1</f>
        <v>45566</v>
      </c>
      <c r="D708" s="94">
        <v>100</v>
      </c>
      <c r="E708" s="94">
        <v>0</v>
      </c>
      <c r="F708" s="92" t="s">
        <v>3227</v>
      </c>
      <c r="G708" s="75"/>
      <c r="H708" s="92" t="s">
        <v>589</v>
      </c>
      <c r="I708" s="92" t="s">
        <v>3892</v>
      </c>
      <c r="K708" s="71" t="s">
        <v>511</v>
      </c>
      <c r="L708" t="s">
        <v>1816</v>
      </c>
      <c r="M708" t="str">
        <f t="shared" ref="M708:M771" si="57">TEXT(B708,"DD")</f>
        <v>08</v>
      </c>
      <c r="N708" t="str">
        <f t="shared" ref="N708:N771" si="58">TEXT(B708,"MM")</f>
        <v>10</v>
      </c>
      <c r="O708" t="str">
        <f t="shared" si="55"/>
        <v>2024</v>
      </c>
      <c r="P708" t="str">
        <f t="shared" ref="P708:P771" si="59">M708&amp;"-"&amp;N708&amp;"-"&amp;O708</f>
        <v>08-10-2024</v>
      </c>
    </row>
    <row r="709" spans="2:16" x14ac:dyDescent="0.3">
      <c r="B709" s="70">
        <v>45573</v>
      </c>
      <c r="C709" s="70">
        <f t="shared" si="56"/>
        <v>45566</v>
      </c>
      <c r="D709" s="94">
        <v>220</v>
      </c>
      <c r="E709" s="94">
        <v>0</v>
      </c>
      <c r="F709" s="92" t="s">
        <v>3228</v>
      </c>
      <c r="G709" s="75"/>
      <c r="H709" s="92" t="s">
        <v>589</v>
      </c>
      <c r="I709" s="92" t="s">
        <v>3892</v>
      </c>
      <c r="K709" s="71" t="s">
        <v>511</v>
      </c>
      <c r="L709" t="s">
        <v>1818</v>
      </c>
      <c r="M709" t="str">
        <f t="shared" si="57"/>
        <v>08</v>
      </c>
      <c r="N709" t="str">
        <f t="shared" si="58"/>
        <v>10</v>
      </c>
      <c r="O709" t="str">
        <f t="shared" si="55"/>
        <v>2024</v>
      </c>
      <c r="P709" t="str">
        <f t="shared" si="59"/>
        <v>08-10-2024</v>
      </c>
    </row>
    <row r="710" spans="2:16" x14ac:dyDescent="0.3">
      <c r="B710" s="70">
        <v>45573</v>
      </c>
      <c r="C710" s="70">
        <f t="shared" si="56"/>
        <v>45566</v>
      </c>
      <c r="D710" s="94">
        <v>35</v>
      </c>
      <c r="E710" s="94">
        <v>0</v>
      </c>
      <c r="F710" s="92" t="s">
        <v>3229</v>
      </c>
      <c r="G710" s="75"/>
      <c r="H710" s="92" t="s">
        <v>589</v>
      </c>
      <c r="I710" s="92" t="s">
        <v>3892</v>
      </c>
      <c r="K710" s="71" t="s">
        <v>511</v>
      </c>
      <c r="L710" t="s">
        <v>1820</v>
      </c>
      <c r="M710" t="str">
        <f t="shared" si="57"/>
        <v>08</v>
      </c>
      <c r="N710" t="str">
        <f t="shared" si="58"/>
        <v>10</v>
      </c>
      <c r="O710" t="str">
        <f t="shared" si="55"/>
        <v>2024</v>
      </c>
      <c r="P710" t="str">
        <f t="shared" si="59"/>
        <v>08-10-2024</v>
      </c>
    </row>
    <row r="711" spans="2:16" x14ac:dyDescent="0.3">
      <c r="B711" s="70">
        <v>45574</v>
      </c>
      <c r="C711" s="70">
        <f t="shared" si="56"/>
        <v>45566</v>
      </c>
      <c r="D711" s="94">
        <v>0</v>
      </c>
      <c r="E711" s="94">
        <v>1680.05</v>
      </c>
      <c r="F711" s="92" t="s">
        <v>3230</v>
      </c>
      <c r="G711" s="75"/>
      <c r="H711" s="92" t="s">
        <v>3881</v>
      </c>
      <c r="I711" s="92" t="s">
        <v>3889</v>
      </c>
      <c r="K711" s="71" t="s">
        <v>2523</v>
      </c>
      <c r="L711" t="s">
        <v>1011</v>
      </c>
      <c r="M711" t="str">
        <f t="shared" si="57"/>
        <v>09</v>
      </c>
      <c r="N711" t="str">
        <f t="shared" si="58"/>
        <v>10</v>
      </c>
      <c r="O711" t="str">
        <f t="shared" si="55"/>
        <v>2024</v>
      </c>
      <c r="P711" t="str">
        <f t="shared" si="59"/>
        <v>09-10-2024</v>
      </c>
    </row>
    <row r="712" spans="2:16" x14ac:dyDescent="0.3">
      <c r="B712" s="70">
        <v>45574</v>
      </c>
      <c r="C712" s="70">
        <f t="shared" si="56"/>
        <v>45566</v>
      </c>
      <c r="D712" s="94">
        <v>85.46</v>
      </c>
      <c r="E712" s="94">
        <v>0</v>
      </c>
      <c r="F712" s="92" t="s">
        <v>3231</v>
      </c>
      <c r="G712" s="75"/>
      <c r="H712" s="92" t="s">
        <v>3881</v>
      </c>
      <c r="I712" s="92" t="s">
        <v>3889</v>
      </c>
      <c r="K712" s="71" t="s">
        <v>217</v>
      </c>
      <c r="L712" t="s">
        <v>30</v>
      </c>
      <c r="M712" t="str">
        <f t="shared" si="57"/>
        <v>09</v>
      </c>
      <c r="N712" t="str">
        <f t="shared" si="58"/>
        <v>10</v>
      </c>
      <c r="O712" t="str">
        <f t="shared" si="55"/>
        <v>2024</v>
      </c>
      <c r="P712" t="str">
        <f t="shared" si="59"/>
        <v>09-10-2024</v>
      </c>
    </row>
    <row r="713" spans="2:16" x14ac:dyDescent="0.3">
      <c r="B713" s="70">
        <v>45574</v>
      </c>
      <c r="C713" s="70">
        <f t="shared" si="56"/>
        <v>45566</v>
      </c>
      <c r="D713" s="94">
        <v>758.62</v>
      </c>
      <c r="E713" s="94">
        <v>0</v>
      </c>
      <c r="F713" s="92" t="s">
        <v>3232</v>
      </c>
      <c r="G713" s="75"/>
      <c r="H713" s="92" t="s">
        <v>589</v>
      </c>
      <c r="I713" s="92" t="s">
        <v>3892</v>
      </c>
      <c r="K713" s="71" t="s">
        <v>589</v>
      </c>
      <c r="L713" t="s">
        <v>1822</v>
      </c>
      <c r="M713" t="str">
        <f t="shared" si="57"/>
        <v>09</v>
      </c>
      <c r="N713" t="str">
        <f t="shared" si="58"/>
        <v>10</v>
      </c>
      <c r="O713" t="str">
        <f t="shared" si="55"/>
        <v>2024</v>
      </c>
      <c r="P713" t="str">
        <f t="shared" si="59"/>
        <v>09-10-2024</v>
      </c>
    </row>
    <row r="714" spans="2:16" x14ac:dyDescent="0.3">
      <c r="B714" s="70">
        <v>45575</v>
      </c>
      <c r="C714" s="70">
        <f t="shared" si="56"/>
        <v>45566</v>
      </c>
      <c r="D714" s="94">
        <v>0</v>
      </c>
      <c r="E714" s="94">
        <v>1108.3499999999999</v>
      </c>
      <c r="F714" s="92" t="s">
        <v>3233</v>
      </c>
      <c r="G714" s="75"/>
      <c r="H714" s="92" t="s">
        <v>3881</v>
      </c>
      <c r="I714" s="92" t="s">
        <v>3889</v>
      </c>
      <c r="K714" s="71" t="s">
        <v>2523</v>
      </c>
      <c r="L714" t="s">
        <v>1014</v>
      </c>
      <c r="M714" t="str">
        <f t="shared" si="57"/>
        <v>10</v>
      </c>
      <c r="N714" t="str">
        <f t="shared" si="58"/>
        <v>10</v>
      </c>
      <c r="O714" t="str">
        <f t="shared" si="55"/>
        <v>2024</v>
      </c>
      <c r="P714" t="str">
        <f t="shared" si="59"/>
        <v>10-10-2024</v>
      </c>
    </row>
    <row r="715" spans="2:16" x14ac:dyDescent="0.3">
      <c r="B715" s="70">
        <v>45575</v>
      </c>
      <c r="C715" s="70">
        <f t="shared" si="56"/>
        <v>45566</v>
      </c>
      <c r="D715" s="94">
        <v>0</v>
      </c>
      <c r="E715" s="94">
        <v>23346.43</v>
      </c>
      <c r="F715" s="92" t="s">
        <v>3234</v>
      </c>
      <c r="G715" s="75"/>
      <c r="H715" s="92" t="s">
        <v>3881</v>
      </c>
      <c r="I715" s="92" t="s">
        <v>3889</v>
      </c>
      <c r="K715" s="71" t="s">
        <v>2523</v>
      </c>
      <c r="L715" t="s">
        <v>1016</v>
      </c>
      <c r="M715" t="str">
        <f t="shared" si="57"/>
        <v>10</v>
      </c>
      <c r="N715" t="str">
        <f t="shared" si="58"/>
        <v>10</v>
      </c>
      <c r="O715" t="str">
        <f t="shared" si="55"/>
        <v>2024</v>
      </c>
      <c r="P715" t="str">
        <f t="shared" si="59"/>
        <v>10-10-2024</v>
      </c>
    </row>
    <row r="716" spans="2:16" x14ac:dyDescent="0.3">
      <c r="B716" s="70">
        <v>45575</v>
      </c>
      <c r="C716" s="70">
        <f t="shared" si="56"/>
        <v>45566</v>
      </c>
      <c r="D716" s="94">
        <v>86.06</v>
      </c>
      <c r="E716" s="94">
        <v>0</v>
      </c>
      <c r="F716" s="92" t="s">
        <v>3235</v>
      </c>
      <c r="G716" s="75"/>
      <c r="H716" s="92" t="s">
        <v>3881</v>
      </c>
      <c r="I716" s="92" t="s">
        <v>3889</v>
      </c>
      <c r="K716" s="71" t="s">
        <v>217</v>
      </c>
      <c r="L716" t="s">
        <v>30</v>
      </c>
      <c r="M716" t="str">
        <f t="shared" si="57"/>
        <v>10</v>
      </c>
      <c r="N716" t="str">
        <f t="shared" si="58"/>
        <v>10</v>
      </c>
      <c r="O716" t="str">
        <f t="shared" si="55"/>
        <v>2024</v>
      </c>
      <c r="P716" t="str">
        <f t="shared" si="59"/>
        <v>10-10-2024</v>
      </c>
    </row>
    <row r="717" spans="2:16" x14ac:dyDescent="0.3">
      <c r="B717" s="70">
        <v>45575</v>
      </c>
      <c r="C717" s="70">
        <f t="shared" si="56"/>
        <v>45566</v>
      </c>
      <c r="D717" s="94">
        <v>0</v>
      </c>
      <c r="E717" s="94">
        <v>20</v>
      </c>
      <c r="F717" s="92" t="s">
        <v>3236</v>
      </c>
      <c r="G717" s="75" t="s">
        <v>3930</v>
      </c>
      <c r="H717" s="92" t="s">
        <v>218</v>
      </c>
      <c r="I717" s="92" t="s">
        <v>3889</v>
      </c>
      <c r="K717" s="71" t="s">
        <v>218</v>
      </c>
      <c r="L717" t="s">
        <v>1019</v>
      </c>
      <c r="M717" t="str">
        <f t="shared" si="57"/>
        <v>10</v>
      </c>
      <c r="N717" t="str">
        <f t="shared" si="58"/>
        <v>10</v>
      </c>
      <c r="O717" t="str">
        <f t="shared" si="55"/>
        <v>2024</v>
      </c>
      <c r="P717" t="str">
        <f t="shared" si="59"/>
        <v>10-10-2024</v>
      </c>
    </row>
    <row r="718" spans="2:16" x14ac:dyDescent="0.3">
      <c r="B718" s="70">
        <v>45575</v>
      </c>
      <c r="C718" s="70">
        <f t="shared" si="56"/>
        <v>45566</v>
      </c>
      <c r="D718" s="94">
        <v>0</v>
      </c>
      <c r="E718" s="94">
        <v>75000</v>
      </c>
      <c r="F718" s="92" t="s">
        <v>3237</v>
      </c>
      <c r="G718" s="75"/>
      <c r="H718" s="92" t="s">
        <v>3886</v>
      </c>
      <c r="I718" s="92" t="s">
        <v>3889</v>
      </c>
      <c r="K718" s="71" t="s">
        <v>505</v>
      </c>
      <c r="L718" t="s">
        <v>1021</v>
      </c>
      <c r="M718" t="str">
        <f t="shared" si="57"/>
        <v>10</v>
      </c>
      <c r="N718" t="str">
        <f t="shared" si="58"/>
        <v>10</v>
      </c>
      <c r="O718" t="str">
        <f t="shared" si="55"/>
        <v>2024</v>
      </c>
      <c r="P718" t="str">
        <f t="shared" si="59"/>
        <v>10-10-2024</v>
      </c>
    </row>
    <row r="719" spans="2:16" x14ac:dyDescent="0.3">
      <c r="B719" s="70">
        <v>45575</v>
      </c>
      <c r="C719" s="70">
        <f t="shared" si="56"/>
        <v>45566</v>
      </c>
      <c r="D719" s="94">
        <v>298.7</v>
      </c>
      <c r="E719" s="94">
        <v>0</v>
      </c>
      <c r="F719" s="92" t="s">
        <v>3235</v>
      </c>
      <c r="G719" s="75"/>
      <c r="H719" s="92" t="s">
        <v>3881</v>
      </c>
      <c r="I719" s="92" t="s">
        <v>3889</v>
      </c>
      <c r="K719" s="71" t="s">
        <v>217</v>
      </c>
      <c r="L719" t="s">
        <v>30</v>
      </c>
      <c r="M719" t="str">
        <f t="shared" si="57"/>
        <v>10</v>
      </c>
      <c r="N719" t="str">
        <f t="shared" si="58"/>
        <v>10</v>
      </c>
      <c r="O719" t="str">
        <f t="shared" si="55"/>
        <v>2024</v>
      </c>
      <c r="P719" t="str">
        <f t="shared" si="59"/>
        <v>10-10-2024</v>
      </c>
    </row>
    <row r="720" spans="2:16" x14ac:dyDescent="0.3">
      <c r="B720" s="70">
        <v>45575</v>
      </c>
      <c r="C720" s="70">
        <f t="shared" si="56"/>
        <v>45566</v>
      </c>
      <c r="D720" s="94">
        <v>338</v>
      </c>
      <c r="E720" s="94">
        <v>0</v>
      </c>
      <c r="F720" s="92" t="s">
        <v>3238</v>
      </c>
      <c r="G720" s="75"/>
      <c r="H720" s="92" t="s">
        <v>589</v>
      </c>
      <c r="I720" s="92" t="s">
        <v>3892</v>
      </c>
      <c r="K720" s="71" t="s">
        <v>511</v>
      </c>
      <c r="L720" t="s">
        <v>1823</v>
      </c>
      <c r="M720" t="str">
        <f t="shared" si="57"/>
        <v>10</v>
      </c>
      <c r="N720" t="str">
        <f t="shared" si="58"/>
        <v>10</v>
      </c>
      <c r="O720" t="str">
        <f t="shared" si="55"/>
        <v>2024</v>
      </c>
      <c r="P720" t="str">
        <f t="shared" si="59"/>
        <v>10-10-2024</v>
      </c>
    </row>
    <row r="721" spans="2:16" x14ac:dyDescent="0.3">
      <c r="B721" s="70">
        <v>45576</v>
      </c>
      <c r="C721" s="70">
        <f t="shared" si="56"/>
        <v>45566</v>
      </c>
      <c r="D721" s="94">
        <v>0</v>
      </c>
      <c r="E721" s="94">
        <v>12020.99</v>
      </c>
      <c r="F721" s="92" t="s">
        <v>3239</v>
      </c>
      <c r="G721" s="75"/>
      <c r="H721" s="92" t="s">
        <v>3881</v>
      </c>
      <c r="I721" s="92" t="s">
        <v>3889</v>
      </c>
      <c r="K721" s="71" t="s">
        <v>2523</v>
      </c>
      <c r="L721" t="s">
        <v>1024</v>
      </c>
      <c r="M721" t="str">
        <f t="shared" si="57"/>
        <v>11</v>
      </c>
      <c r="N721" t="str">
        <f t="shared" si="58"/>
        <v>10</v>
      </c>
      <c r="O721" t="str">
        <f t="shared" si="55"/>
        <v>2024</v>
      </c>
      <c r="P721" t="str">
        <f t="shared" si="59"/>
        <v>11-10-2024</v>
      </c>
    </row>
    <row r="722" spans="2:16" x14ac:dyDescent="0.3">
      <c r="B722" s="70">
        <v>45576</v>
      </c>
      <c r="C722" s="70">
        <f t="shared" si="56"/>
        <v>45566</v>
      </c>
      <c r="D722" s="94">
        <v>86.35</v>
      </c>
      <c r="E722" s="94">
        <v>0</v>
      </c>
      <c r="F722" s="92" t="s">
        <v>3240</v>
      </c>
      <c r="G722" s="75"/>
      <c r="H722" s="92" t="s">
        <v>3881</v>
      </c>
      <c r="I722" s="92" t="s">
        <v>3889</v>
      </c>
      <c r="K722" s="71" t="s">
        <v>217</v>
      </c>
      <c r="L722" t="s">
        <v>30</v>
      </c>
      <c r="M722" t="str">
        <f t="shared" si="57"/>
        <v>11</v>
      </c>
      <c r="N722" t="str">
        <f t="shared" si="58"/>
        <v>10</v>
      </c>
      <c r="O722" t="str">
        <f t="shared" si="55"/>
        <v>2024</v>
      </c>
      <c r="P722" t="str">
        <f t="shared" si="59"/>
        <v>11-10-2024</v>
      </c>
    </row>
    <row r="723" spans="2:16" x14ac:dyDescent="0.3">
      <c r="B723" s="70">
        <v>45576</v>
      </c>
      <c r="C723" s="70">
        <f t="shared" si="56"/>
        <v>45566</v>
      </c>
      <c r="D723" s="94">
        <v>0</v>
      </c>
      <c r="E723" s="94">
        <v>14</v>
      </c>
      <c r="F723" s="92" t="s">
        <v>3241</v>
      </c>
      <c r="G723" s="75" t="s">
        <v>3931</v>
      </c>
      <c r="H723" s="92" t="s">
        <v>218</v>
      </c>
      <c r="I723" s="92" t="s">
        <v>3889</v>
      </c>
      <c r="K723" s="71" t="s">
        <v>218</v>
      </c>
      <c r="L723" t="s">
        <v>1027</v>
      </c>
      <c r="M723" t="str">
        <f t="shared" si="57"/>
        <v>11</v>
      </c>
      <c r="N723" t="str">
        <f t="shared" si="58"/>
        <v>10</v>
      </c>
      <c r="O723" t="str">
        <f t="shared" si="55"/>
        <v>2024</v>
      </c>
      <c r="P723" t="str">
        <f t="shared" si="59"/>
        <v>11-10-2024</v>
      </c>
    </row>
    <row r="724" spans="2:16" x14ac:dyDescent="0.3">
      <c r="B724" s="70">
        <v>45576</v>
      </c>
      <c r="C724" s="70">
        <f t="shared" si="56"/>
        <v>45566</v>
      </c>
      <c r="D724" s="94">
        <v>35</v>
      </c>
      <c r="E724" s="94">
        <v>0</v>
      </c>
      <c r="F724" s="92" t="s">
        <v>3242</v>
      </c>
      <c r="G724" s="75"/>
      <c r="H724" s="92" t="s">
        <v>589</v>
      </c>
      <c r="I724" s="92" t="s">
        <v>3892</v>
      </c>
      <c r="K724" s="71" t="s">
        <v>511</v>
      </c>
      <c r="L724" t="s">
        <v>1825</v>
      </c>
      <c r="M724" t="str">
        <f t="shared" si="57"/>
        <v>11</v>
      </c>
      <c r="N724" t="str">
        <f t="shared" si="58"/>
        <v>10</v>
      </c>
      <c r="O724" t="str">
        <f t="shared" si="55"/>
        <v>2024</v>
      </c>
      <c r="P724" t="str">
        <f t="shared" si="59"/>
        <v>11-10-2024</v>
      </c>
    </row>
    <row r="725" spans="2:16" x14ac:dyDescent="0.3">
      <c r="B725" s="70">
        <v>45576</v>
      </c>
      <c r="C725" s="70">
        <f t="shared" si="56"/>
        <v>45566</v>
      </c>
      <c r="D725" s="94">
        <v>25</v>
      </c>
      <c r="E725" s="94">
        <v>0</v>
      </c>
      <c r="F725" s="92" t="s">
        <v>3243</v>
      </c>
      <c r="G725" s="75"/>
      <c r="H725" s="92" t="s">
        <v>589</v>
      </c>
      <c r="I725" s="92" t="s">
        <v>3892</v>
      </c>
      <c r="K725" s="71" t="s">
        <v>511</v>
      </c>
      <c r="L725" t="s">
        <v>1827</v>
      </c>
      <c r="M725" t="str">
        <f t="shared" si="57"/>
        <v>11</v>
      </c>
      <c r="N725" t="str">
        <f t="shared" si="58"/>
        <v>10</v>
      </c>
      <c r="O725" t="str">
        <f t="shared" si="55"/>
        <v>2024</v>
      </c>
      <c r="P725" t="str">
        <f t="shared" si="59"/>
        <v>11-10-2024</v>
      </c>
    </row>
    <row r="726" spans="2:16" x14ac:dyDescent="0.3">
      <c r="B726" s="70">
        <v>45576</v>
      </c>
      <c r="C726" s="70">
        <f t="shared" si="56"/>
        <v>45566</v>
      </c>
      <c r="D726" s="94">
        <v>15</v>
      </c>
      <c r="E726" s="94">
        <v>0</v>
      </c>
      <c r="F726" s="92" t="s">
        <v>3244</v>
      </c>
      <c r="G726" s="75"/>
      <c r="H726" s="92" t="s">
        <v>589</v>
      </c>
      <c r="I726" s="92" t="s">
        <v>3892</v>
      </c>
      <c r="K726" s="71" t="s">
        <v>511</v>
      </c>
      <c r="L726" t="s">
        <v>1829</v>
      </c>
      <c r="M726" t="str">
        <f t="shared" si="57"/>
        <v>11</v>
      </c>
      <c r="N726" t="str">
        <f t="shared" si="58"/>
        <v>10</v>
      </c>
      <c r="O726" t="str">
        <f t="shared" si="55"/>
        <v>2024</v>
      </c>
      <c r="P726" t="str">
        <f t="shared" si="59"/>
        <v>11-10-2024</v>
      </c>
    </row>
    <row r="727" spans="2:16" x14ac:dyDescent="0.3">
      <c r="B727" s="70">
        <v>45577</v>
      </c>
      <c r="C727" s="70">
        <f t="shared" si="56"/>
        <v>45566</v>
      </c>
      <c r="D727" s="94">
        <v>167</v>
      </c>
      <c r="E727" s="94">
        <v>0</v>
      </c>
      <c r="F727" s="92" t="s">
        <v>3245</v>
      </c>
      <c r="G727" s="75"/>
      <c r="H727" s="92" t="s">
        <v>589</v>
      </c>
      <c r="I727" s="92" t="s">
        <v>3892</v>
      </c>
      <c r="K727" s="71" t="s">
        <v>511</v>
      </c>
      <c r="L727" t="s">
        <v>1831</v>
      </c>
      <c r="M727" t="str">
        <f t="shared" si="57"/>
        <v>12</v>
      </c>
      <c r="N727" t="str">
        <f t="shared" si="58"/>
        <v>10</v>
      </c>
      <c r="O727" t="str">
        <f t="shared" si="55"/>
        <v>2024</v>
      </c>
      <c r="P727" t="str">
        <f t="shared" si="59"/>
        <v>12-10-2024</v>
      </c>
    </row>
    <row r="728" spans="2:16" x14ac:dyDescent="0.3">
      <c r="B728" s="70">
        <v>45577</v>
      </c>
      <c r="C728" s="70">
        <f t="shared" si="56"/>
        <v>45566</v>
      </c>
      <c r="D728" s="94">
        <v>21</v>
      </c>
      <c r="E728" s="94">
        <v>0</v>
      </c>
      <c r="F728" s="92" t="s">
        <v>3246</v>
      </c>
      <c r="G728" s="75"/>
      <c r="H728" s="92" t="s">
        <v>589</v>
      </c>
      <c r="I728" s="92" t="s">
        <v>3892</v>
      </c>
      <c r="K728" s="71" t="s">
        <v>511</v>
      </c>
      <c r="L728" t="s">
        <v>1833</v>
      </c>
      <c r="M728" t="str">
        <f t="shared" si="57"/>
        <v>12</v>
      </c>
      <c r="N728" t="str">
        <f t="shared" si="58"/>
        <v>10</v>
      </c>
      <c r="O728" t="str">
        <f t="shared" si="55"/>
        <v>2024</v>
      </c>
      <c r="P728" t="str">
        <f t="shared" si="59"/>
        <v>12-10-2024</v>
      </c>
    </row>
    <row r="729" spans="2:16" x14ac:dyDescent="0.3">
      <c r="B729" s="70">
        <v>45577</v>
      </c>
      <c r="C729" s="70">
        <f t="shared" si="56"/>
        <v>45566</v>
      </c>
      <c r="D729" s="94">
        <v>21</v>
      </c>
      <c r="E729" s="94">
        <v>0</v>
      </c>
      <c r="F729" s="92" t="s">
        <v>3247</v>
      </c>
      <c r="G729" s="75"/>
      <c r="H729" s="92" t="s">
        <v>589</v>
      </c>
      <c r="I729" s="92" t="s">
        <v>3892</v>
      </c>
      <c r="K729" s="71" t="s">
        <v>511</v>
      </c>
      <c r="L729" t="s">
        <v>1835</v>
      </c>
      <c r="M729" t="str">
        <f t="shared" si="57"/>
        <v>12</v>
      </c>
      <c r="N729" t="str">
        <f t="shared" si="58"/>
        <v>10</v>
      </c>
      <c r="O729" t="str">
        <f t="shared" si="55"/>
        <v>2024</v>
      </c>
      <c r="P729" t="str">
        <f t="shared" si="59"/>
        <v>12-10-2024</v>
      </c>
    </row>
    <row r="730" spans="2:16" x14ac:dyDescent="0.3">
      <c r="B730" s="70">
        <v>45578</v>
      </c>
      <c r="C730" s="70">
        <f t="shared" si="56"/>
        <v>45566</v>
      </c>
      <c r="D730" s="94">
        <v>85</v>
      </c>
      <c r="E730" s="94">
        <v>0</v>
      </c>
      <c r="F730" s="92" t="s">
        <v>3248</v>
      </c>
      <c r="G730" s="75"/>
      <c r="H730" s="92" t="s">
        <v>589</v>
      </c>
      <c r="I730" s="92" t="s">
        <v>3892</v>
      </c>
      <c r="K730" s="71" t="s">
        <v>511</v>
      </c>
      <c r="L730" t="s">
        <v>1837</v>
      </c>
      <c r="M730" t="str">
        <f t="shared" si="57"/>
        <v>13</v>
      </c>
      <c r="N730" t="str">
        <f t="shared" si="58"/>
        <v>10</v>
      </c>
      <c r="O730" t="str">
        <f t="shared" si="55"/>
        <v>2024</v>
      </c>
      <c r="P730" t="str">
        <f t="shared" si="59"/>
        <v>13-10-2024</v>
      </c>
    </row>
    <row r="731" spans="2:16" x14ac:dyDescent="0.3">
      <c r="B731" s="70">
        <v>45579</v>
      </c>
      <c r="C731" s="70">
        <f t="shared" si="56"/>
        <v>45566</v>
      </c>
      <c r="D731" s="94">
        <v>0</v>
      </c>
      <c r="E731" s="94">
        <v>1755.66</v>
      </c>
      <c r="F731" s="92" t="s">
        <v>3249</v>
      </c>
      <c r="G731" s="75"/>
      <c r="H731" s="92" t="s">
        <v>3881</v>
      </c>
      <c r="I731" s="92" t="s">
        <v>3889</v>
      </c>
      <c r="K731" s="71" t="s">
        <v>2523</v>
      </c>
      <c r="L731" t="s">
        <v>1029</v>
      </c>
      <c r="M731" t="str">
        <f t="shared" si="57"/>
        <v>14</v>
      </c>
      <c r="N731" t="str">
        <f t="shared" si="58"/>
        <v>10</v>
      </c>
      <c r="O731" t="str">
        <f t="shared" si="55"/>
        <v>2024</v>
      </c>
      <c r="P731" t="str">
        <f t="shared" si="59"/>
        <v>14-10-2024</v>
      </c>
    </row>
    <row r="732" spans="2:16" x14ac:dyDescent="0.3">
      <c r="B732" s="70">
        <v>45579</v>
      </c>
      <c r="C732" s="70">
        <f t="shared" si="56"/>
        <v>45566</v>
      </c>
      <c r="D732" s="94">
        <v>676.51</v>
      </c>
      <c r="E732" s="94">
        <v>0</v>
      </c>
      <c r="F732" s="92" t="s">
        <v>3250</v>
      </c>
      <c r="G732" s="75"/>
      <c r="H732" s="92" t="s">
        <v>3881</v>
      </c>
      <c r="I732" s="92" t="s">
        <v>3889</v>
      </c>
      <c r="K732" s="71" t="s">
        <v>217</v>
      </c>
      <c r="L732" t="s">
        <v>30</v>
      </c>
      <c r="M732" t="str">
        <f t="shared" si="57"/>
        <v>14</v>
      </c>
      <c r="N732" t="str">
        <f t="shared" si="58"/>
        <v>10</v>
      </c>
      <c r="O732" t="str">
        <f t="shared" si="55"/>
        <v>2024</v>
      </c>
      <c r="P732" t="str">
        <f t="shared" si="59"/>
        <v>14-10-2024</v>
      </c>
    </row>
    <row r="733" spans="2:16" x14ac:dyDescent="0.3">
      <c r="B733" s="70">
        <v>45579</v>
      </c>
      <c r="C733" s="70">
        <f t="shared" si="56"/>
        <v>45566</v>
      </c>
      <c r="D733" s="94">
        <v>65</v>
      </c>
      <c r="E733" s="94">
        <v>0</v>
      </c>
      <c r="F733" s="92" t="s">
        <v>3251</v>
      </c>
      <c r="G733" s="75"/>
      <c r="H733" s="92" t="s">
        <v>589</v>
      </c>
      <c r="I733" s="92" t="s">
        <v>3892</v>
      </c>
      <c r="K733" s="71" t="s">
        <v>511</v>
      </c>
      <c r="L733" t="s">
        <v>1839</v>
      </c>
      <c r="M733" t="str">
        <f t="shared" si="57"/>
        <v>14</v>
      </c>
      <c r="N733" t="str">
        <f t="shared" si="58"/>
        <v>10</v>
      </c>
      <c r="O733" t="str">
        <f t="shared" si="55"/>
        <v>2024</v>
      </c>
      <c r="P733" t="str">
        <f t="shared" si="59"/>
        <v>14-10-2024</v>
      </c>
    </row>
    <row r="734" spans="2:16" x14ac:dyDescent="0.3">
      <c r="B734" s="70">
        <v>45579</v>
      </c>
      <c r="C734" s="70">
        <f t="shared" si="56"/>
        <v>45566</v>
      </c>
      <c r="D734" s="94">
        <v>65</v>
      </c>
      <c r="E734" s="94">
        <v>0</v>
      </c>
      <c r="F734" s="92" t="s">
        <v>3252</v>
      </c>
      <c r="G734" s="75"/>
      <c r="H734" s="92" t="s">
        <v>589</v>
      </c>
      <c r="I734" s="92" t="s">
        <v>3892</v>
      </c>
      <c r="K734" s="71" t="s">
        <v>511</v>
      </c>
      <c r="L734" t="s">
        <v>1841</v>
      </c>
      <c r="M734" t="str">
        <f t="shared" si="57"/>
        <v>14</v>
      </c>
      <c r="N734" t="str">
        <f t="shared" si="58"/>
        <v>10</v>
      </c>
      <c r="O734" t="str">
        <f t="shared" si="55"/>
        <v>2024</v>
      </c>
      <c r="P734" t="str">
        <f t="shared" si="59"/>
        <v>14-10-2024</v>
      </c>
    </row>
    <row r="735" spans="2:16" x14ac:dyDescent="0.3">
      <c r="B735" s="70">
        <v>45579</v>
      </c>
      <c r="C735" s="70">
        <f t="shared" si="56"/>
        <v>45566</v>
      </c>
      <c r="D735" s="94">
        <v>60</v>
      </c>
      <c r="E735" s="94">
        <v>0</v>
      </c>
      <c r="F735" s="92" t="s">
        <v>3253</v>
      </c>
      <c r="G735" s="75"/>
      <c r="H735" s="92" t="s">
        <v>589</v>
      </c>
      <c r="I735" s="92" t="s">
        <v>3892</v>
      </c>
      <c r="K735" s="71" t="s">
        <v>511</v>
      </c>
      <c r="L735" t="s">
        <v>1843</v>
      </c>
      <c r="M735" t="str">
        <f t="shared" si="57"/>
        <v>14</v>
      </c>
      <c r="N735" t="str">
        <f t="shared" si="58"/>
        <v>10</v>
      </c>
      <c r="O735" t="str">
        <f t="shared" si="55"/>
        <v>2024</v>
      </c>
      <c r="P735" t="str">
        <f t="shared" si="59"/>
        <v>14-10-2024</v>
      </c>
    </row>
    <row r="736" spans="2:16" x14ac:dyDescent="0.3">
      <c r="B736" s="70">
        <v>45580</v>
      </c>
      <c r="C736" s="70">
        <f t="shared" si="56"/>
        <v>45566</v>
      </c>
      <c r="D736" s="94">
        <v>224.2</v>
      </c>
      <c r="E736" s="94">
        <v>0</v>
      </c>
      <c r="F736" s="92" t="s">
        <v>3254</v>
      </c>
      <c r="G736" s="75"/>
      <c r="H736" s="92" t="s">
        <v>220</v>
      </c>
      <c r="I736" s="92" t="s">
        <v>3889</v>
      </c>
      <c r="K736" s="71" t="s">
        <v>220</v>
      </c>
      <c r="L736" t="s">
        <v>1032</v>
      </c>
      <c r="M736" t="str">
        <f t="shared" si="57"/>
        <v>15</v>
      </c>
      <c r="N736" t="str">
        <f t="shared" si="58"/>
        <v>10</v>
      </c>
      <c r="O736" t="str">
        <f t="shared" si="55"/>
        <v>2024</v>
      </c>
      <c r="P736" t="str">
        <f t="shared" si="59"/>
        <v>15-10-2024</v>
      </c>
    </row>
    <row r="737" spans="2:16" x14ac:dyDescent="0.3">
      <c r="B737" s="70">
        <v>45580</v>
      </c>
      <c r="C737" s="70">
        <f t="shared" si="56"/>
        <v>45566</v>
      </c>
      <c r="D737" s="94">
        <v>86.83</v>
      </c>
      <c r="E737" s="94">
        <v>0</v>
      </c>
      <c r="F737" s="92" t="s">
        <v>3255</v>
      </c>
      <c r="G737" s="75"/>
      <c r="H737" s="92" t="s">
        <v>3881</v>
      </c>
      <c r="I737" s="92" t="s">
        <v>3889</v>
      </c>
      <c r="K737" s="71" t="s">
        <v>217</v>
      </c>
      <c r="L737" t="s">
        <v>30</v>
      </c>
      <c r="M737" t="str">
        <f t="shared" si="57"/>
        <v>15</v>
      </c>
      <c r="N737" t="str">
        <f t="shared" si="58"/>
        <v>10</v>
      </c>
      <c r="O737" t="str">
        <f t="shared" si="55"/>
        <v>2024</v>
      </c>
      <c r="P737" t="str">
        <f t="shared" si="59"/>
        <v>15-10-2024</v>
      </c>
    </row>
    <row r="738" spans="2:16" x14ac:dyDescent="0.3">
      <c r="B738" s="70">
        <v>45580</v>
      </c>
      <c r="C738" s="70">
        <f t="shared" si="56"/>
        <v>45566</v>
      </c>
      <c r="D738" s="94">
        <v>1954.43</v>
      </c>
      <c r="E738" s="94">
        <v>0</v>
      </c>
      <c r="F738" s="92" t="s">
        <v>3255</v>
      </c>
      <c r="G738" s="75"/>
      <c r="H738" s="92" t="s">
        <v>3881</v>
      </c>
      <c r="I738" s="92" t="s">
        <v>3889</v>
      </c>
      <c r="K738" s="71" t="s">
        <v>217</v>
      </c>
      <c r="L738" t="s">
        <v>30</v>
      </c>
      <c r="M738" t="str">
        <f t="shared" si="57"/>
        <v>15</v>
      </c>
      <c r="N738" t="str">
        <f t="shared" si="58"/>
        <v>10</v>
      </c>
      <c r="O738" t="str">
        <f t="shared" si="55"/>
        <v>2024</v>
      </c>
      <c r="P738" t="str">
        <f t="shared" si="59"/>
        <v>15-10-2024</v>
      </c>
    </row>
    <row r="739" spans="2:16" x14ac:dyDescent="0.3">
      <c r="B739" s="70">
        <v>45580</v>
      </c>
      <c r="C739" s="70">
        <f t="shared" si="56"/>
        <v>45566</v>
      </c>
      <c r="D739" s="94">
        <v>50</v>
      </c>
      <c r="E739" s="94">
        <v>0</v>
      </c>
      <c r="F739" s="92" t="s">
        <v>3256</v>
      </c>
      <c r="G739" s="75"/>
      <c r="H739" s="92" t="s">
        <v>589</v>
      </c>
      <c r="I739" s="92" t="s">
        <v>3892</v>
      </c>
      <c r="K739" s="71" t="s">
        <v>511</v>
      </c>
      <c r="L739" t="s">
        <v>1845</v>
      </c>
      <c r="M739" t="str">
        <f t="shared" si="57"/>
        <v>15</v>
      </c>
      <c r="N739" t="str">
        <f t="shared" si="58"/>
        <v>10</v>
      </c>
      <c r="O739" t="str">
        <f t="shared" si="55"/>
        <v>2024</v>
      </c>
      <c r="P739" t="str">
        <f t="shared" si="59"/>
        <v>15-10-2024</v>
      </c>
    </row>
    <row r="740" spans="2:16" x14ac:dyDescent="0.3">
      <c r="B740" s="70">
        <v>45580</v>
      </c>
      <c r="C740" s="70">
        <f t="shared" si="56"/>
        <v>45566</v>
      </c>
      <c r="D740" s="94">
        <v>60</v>
      </c>
      <c r="E740" s="94">
        <v>0</v>
      </c>
      <c r="F740" s="92" t="s">
        <v>3257</v>
      </c>
      <c r="G740" s="75"/>
      <c r="H740" s="92" t="s">
        <v>589</v>
      </c>
      <c r="I740" s="92" t="s">
        <v>3892</v>
      </c>
      <c r="K740" s="71" t="s">
        <v>511</v>
      </c>
      <c r="L740" t="s">
        <v>1847</v>
      </c>
      <c r="M740" t="str">
        <f t="shared" si="57"/>
        <v>15</v>
      </c>
      <c r="N740" t="str">
        <f t="shared" si="58"/>
        <v>10</v>
      </c>
      <c r="O740" t="str">
        <f t="shared" si="55"/>
        <v>2024</v>
      </c>
      <c r="P740" t="str">
        <f t="shared" si="59"/>
        <v>15-10-2024</v>
      </c>
    </row>
    <row r="741" spans="2:16" x14ac:dyDescent="0.3">
      <c r="B741" s="70">
        <v>45581</v>
      </c>
      <c r="C741" s="70">
        <f t="shared" si="56"/>
        <v>45566</v>
      </c>
      <c r="D741" s="94">
        <v>0</v>
      </c>
      <c r="E741" s="94">
        <v>31768.06</v>
      </c>
      <c r="F741" s="92" t="s">
        <v>3258</v>
      </c>
      <c r="G741" s="75"/>
      <c r="H741" s="92" t="s">
        <v>3881</v>
      </c>
      <c r="I741" s="92" t="s">
        <v>3889</v>
      </c>
      <c r="K741" s="71" t="s">
        <v>2523</v>
      </c>
      <c r="L741" t="s">
        <v>1035</v>
      </c>
      <c r="M741" t="str">
        <f t="shared" si="57"/>
        <v>16</v>
      </c>
      <c r="N741" t="str">
        <f t="shared" si="58"/>
        <v>10</v>
      </c>
      <c r="O741" t="str">
        <f t="shared" si="55"/>
        <v>2024</v>
      </c>
      <c r="P741" t="str">
        <f t="shared" si="59"/>
        <v>16-10-2024</v>
      </c>
    </row>
    <row r="742" spans="2:16" x14ac:dyDescent="0.3">
      <c r="B742" s="70">
        <v>45581</v>
      </c>
      <c r="C742" s="70">
        <f t="shared" si="56"/>
        <v>45566</v>
      </c>
      <c r="D742" s="94">
        <v>86.13</v>
      </c>
      <c r="E742" s="94">
        <v>0</v>
      </c>
      <c r="F742" s="92" t="s">
        <v>3259</v>
      </c>
      <c r="G742" s="75"/>
      <c r="H742" s="92" t="s">
        <v>3881</v>
      </c>
      <c r="I742" s="92" t="s">
        <v>3889</v>
      </c>
      <c r="K742" s="71" t="s">
        <v>217</v>
      </c>
      <c r="L742" t="s">
        <v>30</v>
      </c>
      <c r="M742" t="str">
        <f t="shared" si="57"/>
        <v>16</v>
      </c>
      <c r="N742" t="str">
        <f t="shared" si="58"/>
        <v>10</v>
      </c>
      <c r="O742" t="str">
        <f t="shared" si="55"/>
        <v>2024</v>
      </c>
      <c r="P742" t="str">
        <f t="shared" si="59"/>
        <v>16-10-2024</v>
      </c>
    </row>
    <row r="743" spans="2:16" x14ac:dyDescent="0.3">
      <c r="B743" s="70">
        <v>45581</v>
      </c>
      <c r="C743" s="70">
        <f t="shared" si="56"/>
        <v>45566</v>
      </c>
      <c r="D743" s="94">
        <v>377.15</v>
      </c>
      <c r="E743" s="94">
        <v>0</v>
      </c>
      <c r="F743" s="92" t="s">
        <v>3259</v>
      </c>
      <c r="G743" s="75"/>
      <c r="H743" s="92" t="s">
        <v>3881</v>
      </c>
      <c r="I743" s="92" t="s">
        <v>3889</v>
      </c>
      <c r="K743" s="71" t="s">
        <v>217</v>
      </c>
      <c r="L743" t="s">
        <v>30</v>
      </c>
      <c r="M743" t="str">
        <f t="shared" si="57"/>
        <v>16</v>
      </c>
      <c r="N743" t="str">
        <f t="shared" si="58"/>
        <v>10</v>
      </c>
      <c r="O743" t="str">
        <f t="shared" si="55"/>
        <v>2024</v>
      </c>
      <c r="P743" t="str">
        <f t="shared" si="59"/>
        <v>16-10-2024</v>
      </c>
    </row>
    <row r="744" spans="2:16" x14ac:dyDescent="0.3">
      <c r="B744" s="70">
        <v>45581</v>
      </c>
      <c r="C744" s="70">
        <f t="shared" si="56"/>
        <v>45566</v>
      </c>
      <c r="D744" s="94">
        <v>20</v>
      </c>
      <c r="E744" s="94">
        <v>0</v>
      </c>
      <c r="F744" s="92" t="s">
        <v>3260</v>
      </c>
      <c r="G744" s="75"/>
      <c r="H744" s="92" t="s">
        <v>589</v>
      </c>
      <c r="I744" s="92" t="s">
        <v>3892</v>
      </c>
      <c r="K744" s="71" t="s">
        <v>511</v>
      </c>
      <c r="L744" t="s">
        <v>1849</v>
      </c>
      <c r="M744" t="str">
        <f t="shared" si="57"/>
        <v>16</v>
      </c>
      <c r="N744" t="str">
        <f t="shared" si="58"/>
        <v>10</v>
      </c>
      <c r="O744" t="str">
        <f t="shared" si="55"/>
        <v>2024</v>
      </c>
      <c r="P744" t="str">
        <f t="shared" si="59"/>
        <v>16-10-2024</v>
      </c>
    </row>
    <row r="745" spans="2:16" x14ac:dyDescent="0.3">
      <c r="B745" s="70">
        <v>45581</v>
      </c>
      <c r="C745" s="70">
        <f t="shared" si="56"/>
        <v>45566</v>
      </c>
      <c r="D745" s="94">
        <v>120</v>
      </c>
      <c r="E745" s="94">
        <v>0</v>
      </c>
      <c r="F745" s="92" t="s">
        <v>3261</v>
      </c>
      <c r="G745" s="75"/>
      <c r="H745" s="92" t="s">
        <v>589</v>
      </c>
      <c r="I745" s="92" t="s">
        <v>3892</v>
      </c>
      <c r="K745" s="71" t="s">
        <v>511</v>
      </c>
      <c r="L745" t="s">
        <v>1851</v>
      </c>
      <c r="M745" t="str">
        <f t="shared" si="57"/>
        <v>16</v>
      </c>
      <c r="N745" t="str">
        <f t="shared" si="58"/>
        <v>10</v>
      </c>
      <c r="O745" t="str">
        <f t="shared" si="55"/>
        <v>2024</v>
      </c>
      <c r="P745" t="str">
        <f t="shared" si="59"/>
        <v>16-10-2024</v>
      </c>
    </row>
    <row r="746" spans="2:16" x14ac:dyDescent="0.3">
      <c r="B746" s="70">
        <v>45582</v>
      </c>
      <c r="C746" s="70">
        <f t="shared" si="56"/>
        <v>45566</v>
      </c>
      <c r="D746" s="94">
        <v>86</v>
      </c>
      <c r="E746" s="94">
        <v>0</v>
      </c>
      <c r="F746" s="92" t="s">
        <v>3262</v>
      </c>
      <c r="G746" s="75"/>
      <c r="H746" s="92" t="s">
        <v>3881</v>
      </c>
      <c r="I746" s="92" t="s">
        <v>3889</v>
      </c>
      <c r="K746" s="71" t="s">
        <v>217</v>
      </c>
      <c r="L746" t="s">
        <v>30</v>
      </c>
      <c r="M746" t="str">
        <f t="shared" si="57"/>
        <v>17</v>
      </c>
      <c r="N746" t="str">
        <f t="shared" si="58"/>
        <v>10</v>
      </c>
      <c r="O746" t="str">
        <f t="shared" si="55"/>
        <v>2024</v>
      </c>
      <c r="P746" t="str">
        <f t="shared" si="59"/>
        <v>17-10-2024</v>
      </c>
    </row>
    <row r="747" spans="2:16" x14ac:dyDescent="0.3">
      <c r="B747" s="70">
        <v>45582</v>
      </c>
      <c r="C747" s="70">
        <f t="shared" si="56"/>
        <v>45566</v>
      </c>
      <c r="D747" s="94">
        <v>569.25</v>
      </c>
      <c r="E747" s="94">
        <v>0</v>
      </c>
      <c r="F747" s="92" t="s">
        <v>3262</v>
      </c>
      <c r="G747" s="75"/>
      <c r="H747" s="92" t="s">
        <v>3881</v>
      </c>
      <c r="I747" s="92" t="s">
        <v>3889</v>
      </c>
      <c r="K747" s="71" t="s">
        <v>217</v>
      </c>
      <c r="L747" t="s">
        <v>30</v>
      </c>
      <c r="M747" t="str">
        <f t="shared" si="57"/>
        <v>17</v>
      </c>
      <c r="N747" t="str">
        <f t="shared" si="58"/>
        <v>10</v>
      </c>
      <c r="O747" t="str">
        <f t="shared" si="55"/>
        <v>2024</v>
      </c>
      <c r="P747" t="str">
        <f t="shared" si="59"/>
        <v>17-10-2024</v>
      </c>
    </row>
    <row r="748" spans="2:16" x14ac:dyDescent="0.3">
      <c r="B748" s="70">
        <v>45582</v>
      </c>
      <c r="C748" s="70">
        <f t="shared" si="56"/>
        <v>45566</v>
      </c>
      <c r="D748" s="94">
        <v>200</v>
      </c>
      <c r="E748" s="94">
        <v>0</v>
      </c>
      <c r="F748" s="92" t="s">
        <v>3263</v>
      </c>
      <c r="G748" s="75"/>
      <c r="H748" s="92" t="s">
        <v>589</v>
      </c>
      <c r="I748" s="92" t="s">
        <v>3892</v>
      </c>
      <c r="K748" s="71" t="s">
        <v>511</v>
      </c>
      <c r="L748" t="s">
        <v>1853</v>
      </c>
      <c r="M748" t="str">
        <f t="shared" si="57"/>
        <v>17</v>
      </c>
      <c r="N748" t="str">
        <f t="shared" si="58"/>
        <v>10</v>
      </c>
      <c r="O748" t="str">
        <f t="shared" si="55"/>
        <v>2024</v>
      </c>
      <c r="P748" t="str">
        <f t="shared" si="59"/>
        <v>17-10-2024</v>
      </c>
    </row>
    <row r="749" spans="2:16" x14ac:dyDescent="0.3">
      <c r="B749" s="70">
        <v>45582</v>
      </c>
      <c r="C749" s="70">
        <f t="shared" si="56"/>
        <v>45566</v>
      </c>
      <c r="D749" s="94">
        <v>35</v>
      </c>
      <c r="E749" s="94">
        <v>0</v>
      </c>
      <c r="F749" s="92" t="s">
        <v>3264</v>
      </c>
      <c r="G749" s="75"/>
      <c r="H749" s="92" t="s">
        <v>589</v>
      </c>
      <c r="I749" s="92" t="s">
        <v>3892</v>
      </c>
      <c r="K749" s="71" t="s">
        <v>511</v>
      </c>
      <c r="L749" t="s">
        <v>1855</v>
      </c>
      <c r="M749" t="str">
        <f t="shared" si="57"/>
        <v>17</v>
      </c>
      <c r="N749" t="str">
        <f t="shared" si="58"/>
        <v>10</v>
      </c>
      <c r="O749" t="str">
        <f t="shared" si="55"/>
        <v>2024</v>
      </c>
      <c r="P749" t="str">
        <f t="shared" si="59"/>
        <v>17-10-2024</v>
      </c>
    </row>
    <row r="750" spans="2:16" x14ac:dyDescent="0.3">
      <c r="B750" s="70">
        <v>45582</v>
      </c>
      <c r="C750" s="70">
        <f t="shared" si="56"/>
        <v>45566</v>
      </c>
      <c r="D750" s="94">
        <v>3868.1</v>
      </c>
      <c r="E750" s="94">
        <v>0</v>
      </c>
      <c r="F750" s="92" t="s">
        <v>3265</v>
      </c>
      <c r="G750" s="75"/>
      <c r="H750" s="92" t="s">
        <v>589</v>
      </c>
      <c r="I750" s="92" t="s">
        <v>3892</v>
      </c>
      <c r="K750" s="71" t="s">
        <v>589</v>
      </c>
      <c r="L750" t="s">
        <v>1857</v>
      </c>
      <c r="M750" t="str">
        <f t="shared" si="57"/>
        <v>17</v>
      </c>
      <c r="N750" t="str">
        <f t="shared" si="58"/>
        <v>10</v>
      </c>
      <c r="O750" t="str">
        <f t="shared" si="55"/>
        <v>2024</v>
      </c>
      <c r="P750" t="str">
        <f t="shared" si="59"/>
        <v>17-10-2024</v>
      </c>
    </row>
    <row r="751" spans="2:16" x14ac:dyDescent="0.3">
      <c r="B751" s="70">
        <v>45583</v>
      </c>
      <c r="C751" s="70">
        <f t="shared" si="56"/>
        <v>45566</v>
      </c>
      <c r="D751" s="94">
        <v>85.79</v>
      </c>
      <c r="E751" s="94">
        <v>0</v>
      </c>
      <c r="F751" s="92" t="s">
        <v>3266</v>
      </c>
      <c r="G751" s="75"/>
      <c r="H751" s="92" t="s">
        <v>3881</v>
      </c>
      <c r="I751" s="92" t="s">
        <v>3889</v>
      </c>
      <c r="K751" s="71" t="s">
        <v>217</v>
      </c>
      <c r="L751" t="s">
        <v>30</v>
      </c>
      <c r="M751" t="str">
        <f t="shared" si="57"/>
        <v>18</v>
      </c>
      <c r="N751" t="str">
        <f t="shared" si="58"/>
        <v>10</v>
      </c>
      <c r="O751" t="str">
        <f t="shared" si="55"/>
        <v>2024</v>
      </c>
      <c r="P751" t="str">
        <f t="shared" si="59"/>
        <v>18-10-2024</v>
      </c>
    </row>
    <row r="752" spans="2:16" x14ac:dyDescent="0.3">
      <c r="B752" s="70">
        <v>45583</v>
      </c>
      <c r="C752" s="70">
        <f t="shared" si="56"/>
        <v>45566</v>
      </c>
      <c r="D752" s="94">
        <v>204.48</v>
      </c>
      <c r="E752" s="94">
        <v>0</v>
      </c>
      <c r="F752" s="92" t="s">
        <v>3266</v>
      </c>
      <c r="G752" s="75"/>
      <c r="H752" s="92" t="s">
        <v>3881</v>
      </c>
      <c r="I752" s="92" t="s">
        <v>3889</v>
      </c>
      <c r="K752" s="71" t="s">
        <v>217</v>
      </c>
      <c r="L752" t="s">
        <v>30</v>
      </c>
      <c r="M752" t="str">
        <f t="shared" si="57"/>
        <v>18</v>
      </c>
      <c r="N752" t="str">
        <f t="shared" si="58"/>
        <v>10</v>
      </c>
      <c r="O752" t="str">
        <f t="shared" si="55"/>
        <v>2024</v>
      </c>
      <c r="P752" t="str">
        <f t="shared" si="59"/>
        <v>18-10-2024</v>
      </c>
    </row>
    <row r="753" spans="2:16" x14ac:dyDescent="0.3">
      <c r="B753" s="70">
        <v>45583</v>
      </c>
      <c r="C753" s="70">
        <f t="shared" si="56"/>
        <v>45566</v>
      </c>
      <c r="D753" s="94">
        <v>40</v>
      </c>
      <c r="E753" s="94">
        <v>0</v>
      </c>
      <c r="F753" s="92" t="s">
        <v>3267</v>
      </c>
      <c r="G753" s="75"/>
      <c r="H753" s="92" t="s">
        <v>589</v>
      </c>
      <c r="I753" s="92" t="s">
        <v>3892</v>
      </c>
      <c r="K753" s="71" t="s">
        <v>511</v>
      </c>
      <c r="L753" t="s">
        <v>1859</v>
      </c>
      <c r="M753" t="str">
        <f t="shared" si="57"/>
        <v>18</v>
      </c>
      <c r="N753" t="str">
        <f t="shared" si="58"/>
        <v>10</v>
      </c>
      <c r="O753" t="str">
        <f t="shared" si="55"/>
        <v>2024</v>
      </c>
      <c r="P753" t="str">
        <f t="shared" si="59"/>
        <v>18-10-2024</v>
      </c>
    </row>
    <row r="754" spans="2:16" x14ac:dyDescent="0.3">
      <c r="B754" s="70">
        <v>45583</v>
      </c>
      <c r="C754" s="70">
        <f t="shared" si="56"/>
        <v>45566</v>
      </c>
      <c r="D754" s="94">
        <v>30</v>
      </c>
      <c r="E754" s="94">
        <v>0</v>
      </c>
      <c r="F754" s="92" t="s">
        <v>3268</v>
      </c>
      <c r="G754" s="75"/>
      <c r="H754" s="92" t="s">
        <v>589</v>
      </c>
      <c r="I754" s="92" t="s">
        <v>3892</v>
      </c>
      <c r="K754" s="71" t="s">
        <v>511</v>
      </c>
      <c r="L754" t="s">
        <v>1861</v>
      </c>
      <c r="M754" t="str">
        <f t="shared" si="57"/>
        <v>18</v>
      </c>
      <c r="N754" t="str">
        <f t="shared" si="58"/>
        <v>10</v>
      </c>
      <c r="O754" t="str">
        <f t="shared" si="55"/>
        <v>2024</v>
      </c>
      <c r="P754" t="str">
        <f t="shared" si="59"/>
        <v>18-10-2024</v>
      </c>
    </row>
    <row r="755" spans="2:16" x14ac:dyDescent="0.3">
      <c r="B755" s="70">
        <v>45583</v>
      </c>
      <c r="C755" s="70">
        <f t="shared" si="56"/>
        <v>45566</v>
      </c>
      <c r="D755" s="94">
        <v>20</v>
      </c>
      <c r="E755" s="94">
        <v>0</v>
      </c>
      <c r="F755" s="92" t="s">
        <v>3269</v>
      </c>
      <c r="G755" s="75"/>
      <c r="H755" s="92" t="s">
        <v>589</v>
      </c>
      <c r="I755" s="92" t="s">
        <v>3892</v>
      </c>
      <c r="K755" s="71" t="s">
        <v>511</v>
      </c>
      <c r="L755" t="s">
        <v>1863</v>
      </c>
      <c r="M755" t="str">
        <f t="shared" si="57"/>
        <v>18</v>
      </c>
      <c r="N755" t="str">
        <f t="shared" si="58"/>
        <v>10</v>
      </c>
      <c r="O755" t="str">
        <f t="shared" si="55"/>
        <v>2024</v>
      </c>
      <c r="P755" t="str">
        <f t="shared" si="59"/>
        <v>18-10-2024</v>
      </c>
    </row>
    <row r="756" spans="2:16" x14ac:dyDescent="0.3">
      <c r="B756" s="70">
        <v>45584</v>
      </c>
      <c r="C756" s="70">
        <f t="shared" si="56"/>
        <v>45566</v>
      </c>
      <c r="D756" s="94">
        <v>0</v>
      </c>
      <c r="E756" s="94">
        <v>30</v>
      </c>
      <c r="F756" s="92" t="s">
        <v>3270</v>
      </c>
      <c r="G756" s="75"/>
      <c r="H756" s="92" t="s">
        <v>589</v>
      </c>
      <c r="I756" s="92" t="s">
        <v>3893</v>
      </c>
      <c r="K756" s="71" t="s">
        <v>511</v>
      </c>
      <c r="L756" t="s">
        <v>1452</v>
      </c>
      <c r="M756" t="str">
        <f t="shared" si="57"/>
        <v>19</v>
      </c>
      <c r="N756" t="str">
        <f t="shared" si="58"/>
        <v>10</v>
      </c>
      <c r="O756" t="str">
        <f t="shared" si="55"/>
        <v>2024</v>
      </c>
      <c r="P756" t="str">
        <f t="shared" si="59"/>
        <v>19-10-2024</v>
      </c>
    </row>
    <row r="757" spans="2:16" x14ac:dyDescent="0.3">
      <c r="B757" s="70">
        <v>45584</v>
      </c>
      <c r="C757" s="70">
        <f t="shared" si="56"/>
        <v>45566</v>
      </c>
      <c r="D757" s="94">
        <v>30</v>
      </c>
      <c r="E757" s="94">
        <v>0</v>
      </c>
      <c r="F757" s="92" t="s">
        <v>3271</v>
      </c>
      <c r="G757" s="75"/>
      <c r="H757" s="92" t="s">
        <v>589</v>
      </c>
      <c r="I757" s="92" t="s">
        <v>3892</v>
      </c>
      <c r="K757" s="71" t="s">
        <v>511</v>
      </c>
      <c r="L757" t="s">
        <v>1865</v>
      </c>
      <c r="M757" t="str">
        <f t="shared" si="57"/>
        <v>19</v>
      </c>
      <c r="N757" t="str">
        <f t="shared" si="58"/>
        <v>10</v>
      </c>
      <c r="O757" t="str">
        <f t="shared" si="55"/>
        <v>2024</v>
      </c>
      <c r="P757" t="str">
        <f t="shared" si="59"/>
        <v>19-10-2024</v>
      </c>
    </row>
    <row r="758" spans="2:16" x14ac:dyDescent="0.3">
      <c r="B758" s="70">
        <v>45584</v>
      </c>
      <c r="C758" s="70">
        <f t="shared" si="56"/>
        <v>45566</v>
      </c>
      <c r="D758" s="94">
        <v>30</v>
      </c>
      <c r="E758" s="94">
        <v>0</v>
      </c>
      <c r="F758" s="92" t="s">
        <v>3272</v>
      </c>
      <c r="G758" s="75"/>
      <c r="H758" s="92" t="s">
        <v>589</v>
      </c>
      <c r="I758" s="92" t="s">
        <v>3892</v>
      </c>
      <c r="K758" s="71" t="s">
        <v>511</v>
      </c>
      <c r="L758" t="s">
        <v>1867</v>
      </c>
      <c r="M758" t="str">
        <f t="shared" si="57"/>
        <v>19</v>
      </c>
      <c r="N758" t="str">
        <f t="shared" si="58"/>
        <v>10</v>
      </c>
      <c r="O758" t="str">
        <f t="shared" si="55"/>
        <v>2024</v>
      </c>
      <c r="P758" t="str">
        <f t="shared" si="59"/>
        <v>19-10-2024</v>
      </c>
    </row>
    <row r="759" spans="2:16" x14ac:dyDescent="0.3">
      <c r="B759" s="70">
        <v>45585</v>
      </c>
      <c r="C759" s="70">
        <f t="shared" si="56"/>
        <v>45566</v>
      </c>
      <c r="D759" s="94">
        <v>35</v>
      </c>
      <c r="E759" s="94">
        <v>0</v>
      </c>
      <c r="F759" s="92" t="s">
        <v>3273</v>
      </c>
      <c r="G759" s="75"/>
      <c r="H759" s="92" t="s">
        <v>589</v>
      </c>
      <c r="I759" s="92" t="s">
        <v>3892</v>
      </c>
      <c r="K759" s="71" t="s">
        <v>511</v>
      </c>
      <c r="L759" t="s">
        <v>1869</v>
      </c>
      <c r="M759" t="str">
        <f t="shared" si="57"/>
        <v>20</v>
      </c>
      <c r="N759" t="str">
        <f t="shared" si="58"/>
        <v>10</v>
      </c>
      <c r="O759" t="str">
        <f t="shared" si="55"/>
        <v>2024</v>
      </c>
      <c r="P759" t="str">
        <f t="shared" si="59"/>
        <v>20-10-2024</v>
      </c>
    </row>
    <row r="760" spans="2:16" x14ac:dyDescent="0.3">
      <c r="B760" s="70">
        <v>45585</v>
      </c>
      <c r="C760" s="70">
        <f t="shared" si="56"/>
        <v>45566</v>
      </c>
      <c r="D760" s="94">
        <v>50</v>
      </c>
      <c r="E760" s="94">
        <v>0</v>
      </c>
      <c r="F760" s="92" t="s">
        <v>3274</v>
      </c>
      <c r="G760" s="75"/>
      <c r="H760" s="92" t="s">
        <v>589</v>
      </c>
      <c r="I760" s="92" t="s">
        <v>3892</v>
      </c>
      <c r="K760" s="71" t="s">
        <v>511</v>
      </c>
      <c r="L760" t="s">
        <v>1871</v>
      </c>
      <c r="M760" t="str">
        <f t="shared" si="57"/>
        <v>20</v>
      </c>
      <c r="N760" t="str">
        <f t="shared" si="58"/>
        <v>10</v>
      </c>
      <c r="O760" t="str">
        <f t="shared" si="55"/>
        <v>2024</v>
      </c>
      <c r="P760" t="str">
        <f t="shared" si="59"/>
        <v>20-10-2024</v>
      </c>
    </row>
    <row r="761" spans="2:16" x14ac:dyDescent="0.3">
      <c r="B761" s="70">
        <v>45585</v>
      </c>
      <c r="C761" s="70">
        <f t="shared" si="56"/>
        <v>45566</v>
      </c>
      <c r="D761" s="94">
        <v>20</v>
      </c>
      <c r="E761" s="94">
        <v>0</v>
      </c>
      <c r="F761" s="92" t="s">
        <v>3275</v>
      </c>
      <c r="G761" s="75"/>
      <c r="H761" s="92" t="s">
        <v>589</v>
      </c>
      <c r="I761" s="92" t="s">
        <v>3892</v>
      </c>
      <c r="K761" s="71" t="s">
        <v>511</v>
      </c>
      <c r="L761" t="s">
        <v>1873</v>
      </c>
      <c r="M761" t="str">
        <f t="shared" si="57"/>
        <v>20</v>
      </c>
      <c r="N761" t="str">
        <f t="shared" si="58"/>
        <v>10</v>
      </c>
      <c r="O761" t="str">
        <f t="shared" si="55"/>
        <v>2024</v>
      </c>
      <c r="P761" t="str">
        <f t="shared" si="59"/>
        <v>20-10-2024</v>
      </c>
    </row>
    <row r="762" spans="2:16" x14ac:dyDescent="0.3">
      <c r="B762" s="70">
        <v>45585</v>
      </c>
      <c r="C762" s="70">
        <f t="shared" si="56"/>
        <v>45566</v>
      </c>
      <c r="D762" s="94">
        <v>20</v>
      </c>
      <c r="E762" s="94">
        <v>0</v>
      </c>
      <c r="F762" s="92" t="s">
        <v>3276</v>
      </c>
      <c r="G762" s="75"/>
      <c r="H762" s="92" t="s">
        <v>589</v>
      </c>
      <c r="I762" s="92" t="s">
        <v>3892</v>
      </c>
      <c r="K762" s="71" t="s">
        <v>511</v>
      </c>
      <c r="L762" t="s">
        <v>1875</v>
      </c>
      <c r="M762" t="str">
        <f t="shared" si="57"/>
        <v>20</v>
      </c>
      <c r="N762" t="str">
        <f t="shared" si="58"/>
        <v>10</v>
      </c>
      <c r="O762" t="str">
        <f t="shared" si="55"/>
        <v>2024</v>
      </c>
      <c r="P762" t="str">
        <f t="shared" si="59"/>
        <v>20-10-2024</v>
      </c>
    </row>
    <row r="763" spans="2:16" x14ac:dyDescent="0.3">
      <c r="B763" s="70">
        <v>45586</v>
      </c>
      <c r="C763" s="70">
        <f t="shared" si="56"/>
        <v>45566</v>
      </c>
      <c r="D763" s="94">
        <v>0</v>
      </c>
      <c r="E763" s="94">
        <v>33301.120000000003</v>
      </c>
      <c r="F763" s="92" t="s">
        <v>3277</v>
      </c>
      <c r="G763" s="75"/>
      <c r="H763" s="92" t="s">
        <v>3881</v>
      </c>
      <c r="I763" s="92" t="s">
        <v>3889</v>
      </c>
      <c r="K763" s="71" t="s">
        <v>2523</v>
      </c>
      <c r="L763" t="s">
        <v>1043</v>
      </c>
      <c r="M763" t="str">
        <f t="shared" si="57"/>
        <v>21</v>
      </c>
      <c r="N763" t="str">
        <f t="shared" si="58"/>
        <v>10</v>
      </c>
      <c r="O763" t="str">
        <f t="shared" si="55"/>
        <v>2024</v>
      </c>
      <c r="P763" t="str">
        <f t="shared" si="59"/>
        <v>21-10-2024</v>
      </c>
    </row>
    <row r="764" spans="2:16" x14ac:dyDescent="0.3">
      <c r="B764" s="70">
        <v>45586</v>
      </c>
      <c r="C764" s="70">
        <f t="shared" si="56"/>
        <v>45566</v>
      </c>
      <c r="D764" s="94">
        <v>257.16000000000003</v>
      </c>
      <c r="E764" s="94">
        <v>0</v>
      </c>
      <c r="F764" s="92" t="s">
        <v>3278</v>
      </c>
      <c r="G764" s="75"/>
      <c r="H764" s="92" t="s">
        <v>3881</v>
      </c>
      <c r="I764" s="92" t="s">
        <v>3889</v>
      </c>
      <c r="K764" s="71" t="s">
        <v>217</v>
      </c>
      <c r="L764" t="s">
        <v>30</v>
      </c>
      <c r="M764" t="str">
        <f t="shared" si="57"/>
        <v>21</v>
      </c>
      <c r="N764" t="str">
        <f t="shared" si="58"/>
        <v>10</v>
      </c>
      <c r="O764" t="str">
        <f t="shared" si="55"/>
        <v>2024</v>
      </c>
      <c r="P764" t="str">
        <f t="shared" si="59"/>
        <v>21-10-2024</v>
      </c>
    </row>
    <row r="765" spans="2:16" x14ac:dyDescent="0.3">
      <c r="B765" s="70">
        <v>45586</v>
      </c>
      <c r="C765" s="70">
        <f t="shared" si="56"/>
        <v>45566</v>
      </c>
      <c r="D765" s="94">
        <v>60</v>
      </c>
      <c r="E765" s="94">
        <v>0</v>
      </c>
      <c r="F765" s="92" t="s">
        <v>3279</v>
      </c>
      <c r="G765" s="75"/>
      <c r="H765" s="92" t="s">
        <v>589</v>
      </c>
      <c r="I765" s="92" t="s">
        <v>3892</v>
      </c>
      <c r="K765" s="71" t="s">
        <v>511</v>
      </c>
      <c r="L765" t="s">
        <v>1877</v>
      </c>
      <c r="M765" t="str">
        <f t="shared" si="57"/>
        <v>21</v>
      </c>
      <c r="N765" t="str">
        <f t="shared" si="58"/>
        <v>10</v>
      </c>
      <c r="O765" t="str">
        <f t="shared" si="55"/>
        <v>2024</v>
      </c>
      <c r="P765" t="str">
        <f t="shared" si="59"/>
        <v>21-10-2024</v>
      </c>
    </row>
    <row r="766" spans="2:16" x14ac:dyDescent="0.3">
      <c r="B766" s="70">
        <v>45586</v>
      </c>
      <c r="C766" s="70">
        <f t="shared" si="56"/>
        <v>45566</v>
      </c>
      <c r="D766" s="94">
        <v>20</v>
      </c>
      <c r="E766" s="94">
        <v>0</v>
      </c>
      <c r="F766" s="92" t="s">
        <v>3280</v>
      </c>
      <c r="G766" s="75"/>
      <c r="H766" s="92" t="s">
        <v>589</v>
      </c>
      <c r="I766" s="92" t="s">
        <v>3892</v>
      </c>
      <c r="K766" s="71" t="s">
        <v>511</v>
      </c>
      <c r="L766" t="s">
        <v>1879</v>
      </c>
      <c r="M766" t="str">
        <f t="shared" si="57"/>
        <v>21</v>
      </c>
      <c r="N766" t="str">
        <f t="shared" si="58"/>
        <v>10</v>
      </c>
      <c r="O766" t="str">
        <f t="shared" si="55"/>
        <v>2024</v>
      </c>
      <c r="P766" t="str">
        <f t="shared" si="59"/>
        <v>21-10-2024</v>
      </c>
    </row>
    <row r="767" spans="2:16" x14ac:dyDescent="0.3">
      <c r="B767" s="70">
        <v>45587</v>
      </c>
      <c r="C767" s="70">
        <f t="shared" si="56"/>
        <v>45566</v>
      </c>
      <c r="D767" s="94">
        <v>0</v>
      </c>
      <c r="E767" s="94">
        <v>838.81</v>
      </c>
      <c r="F767" s="92" t="s">
        <v>3281</v>
      </c>
      <c r="G767" s="75"/>
      <c r="H767" s="92" t="s">
        <v>3881</v>
      </c>
      <c r="I767" s="92" t="s">
        <v>3889</v>
      </c>
      <c r="K767" s="71" t="s">
        <v>2523</v>
      </c>
      <c r="L767" t="s">
        <v>1046</v>
      </c>
      <c r="M767" t="str">
        <f t="shared" si="57"/>
        <v>22</v>
      </c>
      <c r="N767" t="str">
        <f t="shared" si="58"/>
        <v>10</v>
      </c>
      <c r="O767" t="str">
        <f t="shared" si="55"/>
        <v>2024</v>
      </c>
      <c r="P767" t="str">
        <f t="shared" si="59"/>
        <v>22-10-2024</v>
      </c>
    </row>
    <row r="768" spans="2:16" x14ac:dyDescent="0.3">
      <c r="B768" s="70">
        <v>45587</v>
      </c>
      <c r="C768" s="70">
        <f t="shared" si="56"/>
        <v>45566</v>
      </c>
      <c r="D768" s="94">
        <v>1.18</v>
      </c>
      <c r="E768" s="94">
        <v>0</v>
      </c>
      <c r="F768" s="92" t="s">
        <v>3282</v>
      </c>
      <c r="G768" s="75"/>
      <c r="H768" s="92" t="s">
        <v>221</v>
      </c>
      <c r="I768" s="92" t="s">
        <v>3889</v>
      </c>
      <c r="K768" s="71" t="s">
        <v>221</v>
      </c>
      <c r="L768" t="s">
        <v>1048</v>
      </c>
      <c r="M768" t="str">
        <f t="shared" si="57"/>
        <v>22</v>
      </c>
      <c r="N768" t="str">
        <f t="shared" si="58"/>
        <v>10</v>
      </c>
      <c r="O768" t="str">
        <f t="shared" si="55"/>
        <v>2024</v>
      </c>
      <c r="P768" t="str">
        <f t="shared" si="59"/>
        <v>22-10-2024</v>
      </c>
    </row>
    <row r="769" spans="2:16" x14ac:dyDescent="0.3">
      <c r="B769" s="70">
        <v>45587</v>
      </c>
      <c r="C769" s="70">
        <f t="shared" si="56"/>
        <v>45566</v>
      </c>
      <c r="D769" s="94">
        <v>85.72</v>
      </c>
      <c r="E769" s="94">
        <v>0</v>
      </c>
      <c r="F769" s="92" t="s">
        <v>3283</v>
      </c>
      <c r="G769" s="75"/>
      <c r="H769" s="92" t="s">
        <v>3881</v>
      </c>
      <c r="I769" s="92" t="s">
        <v>3889</v>
      </c>
      <c r="K769" s="71" t="s">
        <v>217</v>
      </c>
      <c r="L769" t="s">
        <v>30</v>
      </c>
      <c r="M769" t="str">
        <f t="shared" si="57"/>
        <v>22</v>
      </c>
      <c r="N769" t="str">
        <f t="shared" si="58"/>
        <v>10</v>
      </c>
      <c r="O769" t="str">
        <f t="shared" si="55"/>
        <v>2024</v>
      </c>
      <c r="P769" t="str">
        <f t="shared" si="59"/>
        <v>22-10-2024</v>
      </c>
    </row>
    <row r="770" spans="2:16" x14ac:dyDescent="0.3">
      <c r="B770" s="70">
        <v>45587</v>
      </c>
      <c r="C770" s="70">
        <f t="shared" si="56"/>
        <v>45566</v>
      </c>
      <c r="D770" s="94">
        <v>16105.2</v>
      </c>
      <c r="E770" s="94">
        <v>0</v>
      </c>
      <c r="F770" s="92" t="s">
        <v>3283</v>
      </c>
      <c r="G770" s="75"/>
      <c r="H770" s="92" t="s">
        <v>3881</v>
      </c>
      <c r="I770" s="92" t="s">
        <v>3889</v>
      </c>
      <c r="K770" s="71" t="s">
        <v>217</v>
      </c>
      <c r="L770" t="s">
        <v>30</v>
      </c>
      <c r="M770" t="str">
        <f t="shared" si="57"/>
        <v>22</v>
      </c>
      <c r="N770" t="str">
        <f t="shared" si="58"/>
        <v>10</v>
      </c>
      <c r="O770" t="str">
        <f t="shared" si="55"/>
        <v>2024</v>
      </c>
      <c r="P770" t="str">
        <f t="shared" si="59"/>
        <v>22-10-2024</v>
      </c>
    </row>
    <row r="771" spans="2:16" x14ac:dyDescent="0.3">
      <c r="B771" s="70">
        <v>45587</v>
      </c>
      <c r="C771" s="70">
        <f t="shared" si="56"/>
        <v>45566</v>
      </c>
      <c r="D771" s="94">
        <v>0</v>
      </c>
      <c r="E771" s="94">
        <v>50</v>
      </c>
      <c r="F771" s="92" t="s">
        <v>3284</v>
      </c>
      <c r="G771" s="75" t="s">
        <v>3905</v>
      </c>
      <c r="H771" s="92" t="s">
        <v>218</v>
      </c>
      <c r="I771" s="92" t="s">
        <v>3893</v>
      </c>
      <c r="K771" s="71" t="s">
        <v>218</v>
      </c>
      <c r="L771" t="s">
        <v>1453</v>
      </c>
      <c r="M771" t="str">
        <f t="shared" si="57"/>
        <v>22</v>
      </c>
      <c r="N771" t="str">
        <f t="shared" si="58"/>
        <v>10</v>
      </c>
      <c r="O771" t="str">
        <f t="shared" ref="O771:O834" si="60">TEXT(B771,"YYYY")</f>
        <v>2024</v>
      </c>
      <c r="P771" t="str">
        <f t="shared" si="59"/>
        <v>22-10-2024</v>
      </c>
    </row>
    <row r="772" spans="2:16" x14ac:dyDescent="0.3">
      <c r="B772" s="70">
        <v>45587</v>
      </c>
      <c r="C772" s="70">
        <f t="shared" ref="C772:C835" si="61">EOMONTH(B772,-1)+1</f>
        <v>45566</v>
      </c>
      <c r="D772" s="94">
        <v>50</v>
      </c>
      <c r="E772" s="94">
        <v>0</v>
      </c>
      <c r="F772" s="92" t="s">
        <v>3285</v>
      </c>
      <c r="G772" s="75"/>
      <c r="H772" s="92" t="s">
        <v>589</v>
      </c>
      <c r="I772" s="92" t="s">
        <v>3892</v>
      </c>
      <c r="K772" s="71" t="s">
        <v>511</v>
      </c>
      <c r="L772" t="s">
        <v>1881</v>
      </c>
      <c r="M772" t="str">
        <f t="shared" ref="M772:M835" si="62">TEXT(B772,"DD")</f>
        <v>22</v>
      </c>
      <c r="N772" t="str">
        <f t="shared" ref="N772:N835" si="63">TEXT(B772,"MM")</f>
        <v>10</v>
      </c>
      <c r="O772" t="str">
        <f t="shared" si="60"/>
        <v>2024</v>
      </c>
      <c r="P772" t="str">
        <f t="shared" ref="P772:P835" si="64">M772&amp;"-"&amp;N772&amp;"-"&amp;O772</f>
        <v>22-10-2024</v>
      </c>
    </row>
    <row r="773" spans="2:16" x14ac:dyDescent="0.3">
      <c r="B773" s="70">
        <v>45587</v>
      </c>
      <c r="C773" s="70">
        <f t="shared" si="61"/>
        <v>45566</v>
      </c>
      <c r="D773" s="94">
        <v>75</v>
      </c>
      <c r="E773" s="94">
        <v>0</v>
      </c>
      <c r="F773" s="92" t="s">
        <v>3286</v>
      </c>
      <c r="G773" s="75"/>
      <c r="H773" s="92" t="s">
        <v>589</v>
      </c>
      <c r="I773" s="92" t="s">
        <v>3892</v>
      </c>
      <c r="K773" s="71" t="s">
        <v>511</v>
      </c>
      <c r="L773" t="s">
        <v>1883</v>
      </c>
      <c r="M773" t="str">
        <f t="shared" si="62"/>
        <v>22</v>
      </c>
      <c r="N773" t="str">
        <f t="shared" si="63"/>
        <v>10</v>
      </c>
      <c r="O773" t="str">
        <f t="shared" si="60"/>
        <v>2024</v>
      </c>
      <c r="P773" t="str">
        <f t="shared" si="64"/>
        <v>22-10-2024</v>
      </c>
    </row>
    <row r="774" spans="2:16" x14ac:dyDescent="0.3">
      <c r="B774" s="70">
        <v>45587</v>
      </c>
      <c r="C774" s="70">
        <f t="shared" si="61"/>
        <v>45566</v>
      </c>
      <c r="D774" s="94">
        <v>20</v>
      </c>
      <c r="E774" s="94">
        <v>0</v>
      </c>
      <c r="F774" s="92" t="s">
        <v>3287</v>
      </c>
      <c r="G774" s="75"/>
      <c r="H774" s="92" t="s">
        <v>589</v>
      </c>
      <c r="I774" s="92" t="s">
        <v>3892</v>
      </c>
      <c r="K774" s="71" t="s">
        <v>511</v>
      </c>
      <c r="L774" t="s">
        <v>1885</v>
      </c>
      <c r="M774" t="str">
        <f t="shared" si="62"/>
        <v>22</v>
      </c>
      <c r="N774" t="str">
        <f t="shared" si="63"/>
        <v>10</v>
      </c>
      <c r="O774" t="str">
        <f t="shared" si="60"/>
        <v>2024</v>
      </c>
      <c r="P774" t="str">
        <f t="shared" si="64"/>
        <v>22-10-2024</v>
      </c>
    </row>
    <row r="775" spans="2:16" x14ac:dyDescent="0.3">
      <c r="B775" s="70">
        <v>45588</v>
      </c>
      <c r="C775" s="70">
        <f t="shared" si="61"/>
        <v>45566</v>
      </c>
      <c r="D775" s="94">
        <v>80.28</v>
      </c>
      <c r="E775" s="94">
        <v>0</v>
      </c>
      <c r="F775" s="92" t="s">
        <v>3288</v>
      </c>
      <c r="G775" s="75"/>
      <c r="H775" s="92" t="s">
        <v>3881</v>
      </c>
      <c r="I775" s="92" t="s">
        <v>3889</v>
      </c>
      <c r="K775" s="71" t="s">
        <v>217</v>
      </c>
      <c r="L775" t="s">
        <v>30</v>
      </c>
      <c r="M775" t="str">
        <f t="shared" si="62"/>
        <v>23</v>
      </c>
      <c r="N775" t="str">
        <f t="shared" si="63"/>
        <v>10</v>
      </c>
      <c r="O775" t="str">
        <f t="shared" si="60"/>
        <v>2024</v>
      </c>
      <c r="P775" t="str">
        <f t="shared" si="64"/>
        <v>23-10-2024</v>
      </c>
    </row>
    <row r="776" spans="2:16" x14ac:dyDescent="0.3">
      <c r="B776" s="70">
        <v>45588</v>
      </c>
      <c r="C776" s="70">
        <f t="shared" si="61"/>
        <v>45566</v>
      </c>
      <c r="D776" s="94">
        <v>75</v>
      </c>
      <c r="E776" s="94">
        <v>0</v>
      </c>
      <c r="F776" s="92" t="s">
        <v>3289</v>
      </c>
      <c r="G776" s="75"/>
      <c r="H776" s="92" t="s">
        <v>589</v>
      </c>
      <c r="I776" s="92" t="s">
        <v>3892</v>
      </c>
      <c r="K776" s="71" t="s">
        <v>511</v>
      </c>
      <c r="L776" t="s">
        <v>1887</v>
      </c>
      <c r="M776" t="str">
        <f t="shared" si="62"/>
        <v>23</v>
      </c>
      <c r="N776" t="str">
        <f t="shared" si="63"/>
        <v>10</v>
      </c>
      <c r="O776" t="str">
        <f t="shared" si="60"/>
        <v>2024</v>
      </c>
      <c r="P776" t="str">
        <f t="shared" si="64"/>
        <v>23-10-2024</v>
      </c>
    </row>
    <row r="777" spans="2:16" x14ac:dyDescent="0.3">
      <c r="B777" s="70">
        <v>45588</v>
      </c>
      <c r="C777" s="70">
        <f t="shared" si="61"/>
        <v>45566</v>
      </c>
      <c r="D777" s="94">
        <v>70</v>
      </c>
      <c r="E777" s="94">
        <v>0</v>
      </c>
      <c r="F777" s="92" t="s">
        <v>3290</v>
      </c>
      <c r="G777" s="75"/>
      <c r="H777" s="92" t="s">
        <v>589</v>
      </c>
      <c r="I777" s="92" t="s">
        <v>3892</v>
      </c>
      <c r="K777" s="71" t="s">
        <v>511</v>
      </c>
      <c r="L777" t="s">
        <v>1889</v>
      </c>
      <c r="M777" t="str">
        <f t="shared" si="62"/>
        <v>23</v>
      </c>
      <c r="N777" t="str">
        <f t="shared" si="63"/>
        <v>10</v>
      </c>
      <c r="O777" t="str">
        <f t="shared" si="60"/>
        <v>2024</v>
      </c>
      <c r="P777" t="str">
        <f t="shared" si="64"/>
        <v>23-10-2024</v>
      </c>
    </row>
    <row r="778" spans="2:16" x14ac:dyDescent="0.3">
      <c r="B778" s="70">
        <v>45588</v>
      </c>
      <c r="C778" s="70">
        <f t="shared" si="61"/>
        <v>45566</v>
      </c>
      <c r="D778" s="94">
        <v>0</v>
      </c>
      <c r="E778" s="94">
        <v>70</v>
      </c>
      <c r="F778" s="92" t="s">
        <v>3291</v>
      </c>
      <c r="G778" s="75"/>
      <c r="H778" s="92" t="s">
        <v>589</v>
      </c>
      <c r="I778" s="92" t="s">
        <v>3892</v>
      </c>
      <c r="K778" s="71" t="s">
        <v>511</v>
      </c>
      <c r="L778" t="s">
        <v>1891</v>
      </c>
      <c r="M778" t="str">
        <f t="shared" si="62"/>
        <v>23</v>
      </c>
      <c r="N778" t="str">
        <f t="shared" si="63"/>
        <v>10</v>
      </c>
      <c r="O778" t="str">
        <f t="shared" si="60"/>
        <v>2024</v>
      </c>
      <c r="P778" t="str">
        <f t="shared" si="64"/>
        <v>23-10-2024</v>
      </c>
    </row>
    <row r="779" spans="2:16" x14ac:dyDescent="0.3">
      <c r="B779" s="70">
        <v>45589</v>
      </c>
      <c r="C779" s="70">
        <f t="shared" si="61"/>
        <v>45566</v>
      </c>
      <c r="D779" s="94">
        <v>0</v>
      </c>
      <c r="E779" s="94">
        <v>3223.25</v>
      </c>
      <c r="F779" s="92" t="s">
        <v>3292</v>
      </c>
      <c r="G779" s="75"/>
      <c r="H779" s="92" t="s">
        <v>3881</v>
      </c>
      <c r="I779" s="92" t="s">
        <v>3889</v>
      </c>
      <c r="K779" s="71" t="s">
        <v>2523</v>
      </c>
      <c r="L779" t="s">
        <v>1053</v>
      </c>
      <c r="M779" t="str">
        <f t="shared" si="62"/>
        <v>24</v>
      </c>
      <c r="N779" t="str">
        <f t="shared" si="63"/>
        <v>10</v>
      </c>
      <c r="O779" t="str">
        <f t="shared" si="60"/>
        <v>2024</v>
      </c>
      <c r="P779" t="str">
        <f t="shared" si="64"/>
        <v>24-10-2024</v>
      </c>
    </row>
    <row r="780" spans="2:16" x14ac:dyDescent="0.3">
      <c r="B780" s="70">
        <v>45589</v>
      </c>
      <c r="C780" s="70">
        <f t="shared" si="61"/>
        <v>45566</v>
      </c>
      <c r="D780" s="94">
        <v>90.19</v>
      </c>
      <c r="E780" s="94">
        <v>0</v>
      </c>
      <c r="F780" s="92" t="s">
        <v>3293</v>
      </c>
      <c r="G780" s="75"/>
      <c r="H780" s="92" t="s">
        <v>3881</v>
      </c>
      <c r="I780" s="92" t="s">
        <v>3889</v>
      </c>
      <c r="K780" s="71" t="s">
        <v>217</v>
      </c>
      <c r="L780" t="s">
        <v>30</v>
      </c>
      <c r="M780" t="str">
        <f t="shared" si="62"/>
        <v>24</v>
      </c>
      <c r="N780" t="str">
        <f t="shared" si="63"/>
        <v>10</v>
      </c>
      <c r="O780" t="str">
        <f t="shared" si="60"/>
        <v>2024</v>
      </c>
      <c r="P780" t="str">
        <f t="shared" si="64"/>
        <v>24-10-2024</v>
      </c>
    </row>
    <row r="781" spans="2:16" x14ac:dyDescent="0.3">
      <c r="B781" s="70">
        <v>45589</v>
      </c>
      <c r="C781" s="70">
        <f t="shared" si="61"/>
        <v>45566</v>
      </c>
      <c r="D781" s="94">
        <v>0</v>
      </c>
      <c r="E781" s="94">
        <v>400</v>
      </c>
      <c r="F781" s="92" t="s">
        <v>3294</v>
      </c>
      <c r="G781" s="75" t="s">
        <v>3932</v>
      </c>
      <c r="H781" s="92" t="s">
        <v>218</v>
      </c>
      <c r="I781" s="92" t="s">
        <v>3889</v>
      </c>
      <c r="K781" s="71" t="s">
        <v>218</v>
      </c>
      <c r="L781" t="s">
        <v>1056</v>
      </c>
      <c r="M781" t="str">
        <f t="shared" si="62"/>
        <v>24</v>
      </c>
      <c r="N781" t="str">
        <f t="shared" si="63"/>
        <v>10</v>
      </c>
      <c r="O781" t="str">
        <f t="shared" si="60"/>
        <v>2024</v>
      </c>
      <c r="P781" t="str">
        <f t="shared" si="64"/>
        <v>24-10-2024</v>
      </c>
    </row>
    <row r="782" spans="2:16" x14ac:dyDescent="0.3">
      <c r="B782" s="70">
        <v>45589</v>
      </c>
      <c r="C782" s="70">
        <f t="shared" si="61"/>
        <v>45566</v>
      </c>
      <c r="D782" s="94">
        <v>6677.8</v>
      </c>
      <c r="E782" s="94">
        <v>0</v>
      </c>
      <c r="F782" s="92" t="s">
        <v>3293</v>
      </c>
      <c r="G782" s="75"/>
      <c r="H782" s="92" t="s">
        <v>3881</v>
      </c>
      <c r="I782" s="92" t="s">
        <v>3889</v>
      </c>
      <c r="K782" s="71" t="s">
        <v>217</v>
      </c>
      <c r="L782" t="s">
        <v>30</v>
      </c>
      <c r="M782" t="str">
        <f t="shared" si="62"/>
        <v>24</v>
      </c>
      <c r="N782" t="str">
        <f t="shared" si="63"/>
        <v>10</v>
      </c>
      <c r="O782" t="str">
        <f t="shared" si="60"/>
        <v>2024</v>
      </c>
      <c r="P782" t="str">
        <f t="shared" si="64"/>
        <v>24-10-2024</v>
      </c>
    </row>
    <row r="783" spans="2:16" x14ac:dyDescent="0.3">
      <c r="B783" s="70">
        <v>45589</v>
      </c>
      <c r="C783" s="70">
        <f t="shared" si="61"/>
        <v>45566</v>
      </c>
      <c r="D783" s="94">
        <v>75</v>
      </c>
      <c r="E783" s="94">
        <v>0</v>
      </c>
      <c r="F783" s="92" t="s">
        <v>3295</v>
      </c>
      <c r="G783" s="75"/>
      <c r="H783" s="92" t="s">
        <v>589</v>
      </c>
      <c r="I783" s="92" t="s">
        <v>3892</v>
      </c>
      <c r="K783" s="71" t="s">
        <v>511</v>
      </c>
      <c r="L783" t="s">
        <v>1893</v>
      </c>
      <c r="M783" t="str">
        <f t="shared" si="62"/>
        <v>24</v>
      </c>
      <c r="N783" t="str">
        <f t="shared" si="63"/>
        <v>10</v>
      </c>
      <c r="O783" t="str">
        <f t="shared" si="60"/>
        <v>2024</v>
      </c>
      <c r="P783" t="str">
        <f t="shared" si="64"/>
        <v>24-10-2024</v>
      </c>
    </row>
    <row r="784" spans="2:16" x14ac:dyDescent="0.3">
      <c r="B784" s="70">
        <v>45589</v>
      </c>
      <c r="C784" s="70">
        <f t="shared" si="61"/>
        <v>45566</v>
      </c>
      <c r="D784" s="94">
        <v>212.09</v>
      </c>
      <c r="E784" s="94">
        <v>0</v>
      </c>
      <c r="F784" s="92" t="s">
        <v>3296</v>
      </c>
      <c r="G784" s="75"/>
      <c r="H784" s="92" t="s">
        <v>589</v>
      </c>
      <c r="I784" s="92" t="s">
        <v>3892</v>
      </c>
      <c r="K784" s="71" t="s">
        <v>511</v>
      </c>
      <c r="L784" t="s">
        <v>1895</v>
      </c>
      <c r="M784" t="str">
        <f t="shared" si="62"/>
        <v>24</v>
      </c>
      <c r="N784" t="str">
        <f t="shared" si="63"/>
        <v>10</v>
      </c>
      <c r="O784" t="str">
        <f t="shared" si="60"/>
        <v>2024</v>
      </c>
      <c r="P784" t="str">
        <f t="shared" si="64"/>
        <v>24-10-2024</v>
      </c>
    </row>
    <row r="785" spans="2:16" x14ac:dyDescent="0.3">
      <c r="B785" s="70">
        <v>45589</v>
      </c>
      <c r="C785" s="70">
        <f t="shared" si="61"/>
        <v>45566</v>
      </c>
      <c r="D785" s="94">
        <v>20</v>
      </c>
      <c r="E785" s="94">
        <v>0</v>
      </c>
      <c r="F785" s="92" t="s">
        <v>3297</v>
      </c>
      <c r="G785" s="75"/>
      <c r="H785" s="92" t="s">
        <v>589</v>
      </c>
      <c r="I785" s="92" t="s">
        <v>3892</v>
      </c>
      <c r="K785" s="71" t="s">
        <v>511</v>
      </c>
      <c r="L785" t="s">
        <v>1897</v>
      </c>
      <c r="M785" t="str">
        <f t="shared" si="62"/>
        <v>24</v>
      </c>
      <c r="N785" t="str">
        <f t="shared" si="63"/>
        <v>10</v>
      </c>
      <c r="O785" t="str">
        <f t="shared" si="60"/>
        <v>2024</v>
      </c>
      <c r="P785" t="str">
        <f t="shared" si="64"/>
        <v>24-10-2024</v>
      </c>
    </row>
    <row r="786" spans="2:16" x14ac:dyDescent="0.3">
      <c r="B786" s="70">
        <v>45590</v>
      </c>
      <c r="C786" s="70">
        <f t="shared" si="61"/>
        <v>45566</v>
      </c>
      <c r="D786" s="94">
        <v>88.96</v>
      </c>
      <c r="E786" s="94">
        <v>0</v>
      </c>
      <c r="F786" s="92" t="s">
        <v>3298</v>
      </c>
      <c r="G786" s="75"/>
      <c r="H786" s="92" t="s">
        <v>3881</v>
      </c>
      <c r="I786" s="92" t="s">
        <v>3889</v>
      </c>
      <c r="K786" s="71" t="s">
        <v>217</v>
      </c>
      <c r="L786" t="s">
        <v>30</v>
      </c>
      <c r="M786" t="str">
        <f t="shared" si="62"/>
        <v>25</v>
      </c>
      <c r="N786" t="str">
        <f t="shared" si="63"/>
        <v>10</v>
      </c>
      <c r="O786" t="str">
        <f t="shared" si="60"/>
        <v>2024</v>
      </c>
      <c r="P786" t="str">
        <f t="shared" si="64"/>
        <v>25-10-2024</v>
      </c>
    </row>
    <row r="787" spans="2:16" x14ac:dyDescent="0.3">
      <c r="B787" s="70">
        <v>45590</v>
      </c>
      <c r="C787" s="70">
        <f t="shared" si="61"/>
        <v>45566</v>
      </c>
      <c r="D787" s="94">
        <v>75</v>
      </c>
      <c r="E787" s="94">
        <v>0</v>
      </c>
      <c r="F787" s="92" t="s">
        <v>3299</v>
      </c>
      <c r="G787" s="75"/>
      <c r="H787" s="92" t="s">
        <v>589</v>
      </c>
      <c r="I787" s="92" t="s">
        <v>3892</v>
      </c>
      <c r="K787" s="71" t="s">
        <v>511</v>
      </c>
      <c r="L787" t="s">
        <v>1899</v>
      </c>
      <c r="M787" t="str">
        <f t="shared" si="62"/>
        <v>25</v>
      </c>
      <c r="N787" t="str">
        <f t="shared" si="63"/>
        <v>10</v>
      </c>
      <c r="O787" t="str">
        <f t="shared" si="60"/>
        <v>2024</v>
      </c>
      <c r="P787" t="str">
        <f t="shared" si="64"/>
        <v>25-10-2024</v>
      </c>
    </row>
    <row r="788" spans="2:16" x14ac:dyDescent="0.3">
      <c r="B788" s="70">
        <v>45590</v>
      </c>
      <c r="C788" s="70">
        <f t="shared" si="61"/>
        <v>45566</v>
      </c>
      <c r="D788" s="94">
        <v>60</v>
      </c>
      <c r="E788" s="94">
        <v>0</v>
      </c>
      <c r="F788" s="92" t="s">
        <v>3300</v>
      </c>
      <c r="G788" s="75"/>
      <c r="H788" s="92" t="s">
        <v>589</v>
      </c>
      <c r="I788" s="92" t="s">
        <v>3892</v>
      </c>
      <c r="K788" s="71" t="s">
        <v>511</v>
      </c>
      <c r="L788" t="s">
        <v>1901</v>
      </c>
      <c r="M788" t="str">
        <f t="shared" si="62"/>
        <v>25</v>
      </c>
      <c r="N788" t="str">
        <f t="shared" si="63"/>
        <v>10</v>
      </c>
      <c r="O788" t="str">
        <f t="shared" si="60"/>
        <v>2024</v>
      </c>
      <c r="P788" t="str">
        <f t="shared" si="64"/>
        <v>25-10-2024</v>
      </c>
    </row>
    <row r="789" spans="2:16" x14ac:dyDescent="0.3">
      <c r="B789" s="70">
        <v>45590</v>
      </c>
      <c r="C789" s="70">
        <f t="shared" si="61"/>
        <v>45566</v>
      </c>
      <c r="D789" s="94">
        <v>20</v>
      </c>
      <c r="E789" s="94">
        <v>0</v>
      </c>
      <c r="F789" s="92" t="s">
        <v>3301</v>
      </c>
      <c r="G789" s="75"/>
      <c r="H789" s="92" t="s">
        <v>589</v>
      </c>
      <c r="I789" s="92" t="s">
        <v>3892</v>
      </c>
      <c r="K789" s="71" t="s">
        <v>511</v>
      </c>
      <c r="L789" t="s">
        <v>1903</v>
      </c>
      <c r="M789" t="str">
        <f t="shared" si="62"/>
        <v>25</v>
      </c>
      <c r="N789" t="str">
        <f t="shared" si="63"/>
        <v>10</v>
      </c>
      <c r="O789" t="str">
        <f t="shared" si="60"/>
        <v>2024</v>
      </c>
      <c r="P789" t="str">
        <f t="shared" si="64"/>
        <v>25-10-2024</v>
      </c>
    </row>
    <row r="790" spans="2:16" x14ac:dyDescent="0.3">
      <c r="B790" s="70">
        <v>45591</v>
      </c>
      <c r="C790" s="70">
        <f t="shared" si="61"/>
        <v>45566</v>
      </c>
      <c r="D790" s="94">
        <v>5527.85</v>
      </c>
      <c r="E790" s="94">
        <v>0</v>
      </c>
      <c r="F790" s="92" t="s">
        <v>3302</v>
      </c>
      <c r="G790" s="75"/>
      <c r="H790" s="92" t="s">
        <v>3881</v>
      </c>
      <c r="I790" s="92" t="s">
        <v>3889</v>
      </c>
      <c r="K790" s="71" t="s">
        <v>217</v>
      </c>
      <c r="L790" t="s">
        <v>30</v>
      </c>
      <c r="M790" t="str">
        <f t="shared" si="62"/>
        <v>26</v>
      </c>
      <c r="N790" t="str">
        <f t="shared" si="63"/>
        <v>10</v>
      </c>
      <c r="O790" t="str">
        <f t="shared" si="60"/>
        <v>2024</v>
      </c>
      <c r="P790" t="str">
        <f t="shared" si="64"/>
        <v>26-10-2024</v>
      </c>
    </row>
    <row r="791" spans="2:16" x14ac:dyDescent="0.3">
      <c r="B791" s="70">
        <v>45591</v>
      </c>
      <c r="C791" s="70">
        <f t="shared" si="61"/>
        <v>45566</v>
      </c>
      <c r="D791" s="94">
        <v>10000</v>
      </c>
      <c r="E791" s="94">
        <v>0</v>
      </c>
      <c r="F791" s="92" t="s">
        <v>3303</v>
      </c>
      <c r="G791" s="75"/>
      <c r="H791" s="92" t="s">
        <v>589</v>
      </c>
      <c r="I791" s="92" t="s">
        <v>3892</v>
      </c>
      <c r="K791" s="71" t="s">
        <v>511</v>
      </c>
      <c r="L791" t="s">
        <v>1905</v>
      </c>
      <c r="M791" t="str">
        <f t="shared" si="62"/>
        <v>26</v>
      </c>
      <c r="N791" t="str">
        <f t="shared" si="63"/>
        <v>10</v>
      </c>
      <c r="O791" t="str">
        <f t="shared" si="60"/>
        <v>2024</v>
      </c>
      <c r="P791" t="str">
        <f t="shared" si="64"/>
        <v>26-10-2024</v>
      </c>
    </row>
    <row r="792" spans="2:16" x14ac:dyDescent="0.3">
      <c r="B792" s="70">
        <v>45592</v>
      </c>
      <c r="C792" s="70">
        <f t="shared" si="61"/>
        <v>45566</v>
      </c>
      <c r="D792" s="94">
        <v>0</v>
      </c>
      <c r="E792" s="94">
        <v>20000</v>
      </c>
      <c r="F792" s="92" t="s">
        <v>3304</v>
      </c>
      <c r="G792" s="75"/>
      <c r="H792" s="92" t="s">
        <v>3887</v>
      </c>
      <c r="I792" s="92" t="s">
        <v>3889</v>
      </c>
      <c r="K792" s="71" t="s">
        <v>2519</v>
      </c>
      <c r="L792" t="s">
        <v>1061</v>
      </c>
      <c r="M792" t="str">
        <f t="shared" si="62"/>
        <v>27</v>
      </c>
      <c r="N792" t="str">
        <f t="shared" si="63"/>
        <v>10</v>
      </c>
      <c r="O792" t="str">
        <f t="shared" si="60"/>
        <v>2024</v>
      </c>
      <c r="P792" t="str">
        <f t="shared" si="64"/>
        <v>27-10-2024</v>
      </c>
    </row>
    <row r="793" spans="2:16" x14ac:dyDescent="0.3">
      <c r="B793" s="70">
        <v>45593</v>
      </c>
      <c r="C793" s="70">
        <f t="shared" si="61"/>
        <v>45566</v>
      </c>
      <c r="D793" s="94">
        <v>5000</v>
      </c>
      <c r="E793" s="94">
        <v>0</v>
      </c>
      <c r="F793" s="92" t="s">
        <v>3305</v>
      </c>
      <c r="G793" s="75"/>
      <c r="H793" s="92" t="s">
        <v>2538</v>
      </c>
      <c r="I793" s="92" t="s">
        <v>3889</v>
      </c>
      <c r="K793" s="71" t="s">
        <v>219</v>
      </c>
      <c r="L793" t="s">
        <v>1063</v>
      </c>
      <c r="M793" t="str">
        <f t="shared" si="62"/>
        <v>28</v>
      </c>
      <c r="N793" t="str">
        <f t="shared" si="63"/>
        <v>10</v>
      </c>
      <c r="O793" t="str">
        <f t="shared" si="60"/>
        <v>2024</v>
      </c>
      <c r="P793" t="str">
        <f t="shared" si="64"/>
        <v>28-10-2024</v>
      </c>
    </row>
    <row r="794" spans="2:16" x14ac:dyDescent="0.3">
      <c r="B794" s="70">
        <v>45593</v>
      </c>
      <c r="C794" s="70">
        <f t="shared" si="61"/>
        <v>45566</v>
      </c>
      <c r="D794" s="94">
        <v>125244</v>
      </c>
      <c r="E794" s="94">
        <v>0</v>
      </c>
      <c r="F794" s="92" t="s">
        <v>3306</v>
      </c>
      <c r="G794" s="75" t="s">
        <v>3879</v>
      </c>
      <c r="H794" s="92" t="s">
        <v>3876</v>
      </c>
      <c r="I794" s="92" t="s">
        <v>3889</v>
      </c>
      <c r="K794" s="71" t="s">
        <v>2540</v>
      </c>
      <c r="L794" t="s">
        <v>1065</v>
      </c>
      <c r="M794" t="str">
        <f t="shared" si="62"/>
        <v>28</v>
      </c>
      <c r="N794" t="str">
        <f t="shared" si="63"/>
        <v>10</v>
      </c>
      <c r="O794" t="str">
        <f t="shared" si="60"/>
        <v>2024</v>
      </c>
      <c r="P794" t="str">
        <f t="shared" si="64"/>
        <v>28-10-2024</v>
      </c>
    </row>
    <row r="795" spans="2:16" x14ac:dyDescent="0.3">
      <c r="B795" s="70">
        <v>45593</v>
      </c>
      <c r="C795" s="70">
        <f t="shared" si="61"/>
        <v>45566</v>
      </c>
      <c r="D795" s="94">
        <v>128000</v>
      </c>
      <c r="E795" s="94">
        <v>0</v>
      </c>
      <c r="F795" s="92" t="s">
        <v>3307</v>
      </c>
      <c r="G795" s="75" t="s">
        <v>3879</v>
      </c>
      <c r="H795" s="92" t="s">
        <v>3876</v>
      </c>
      <c r="I795" s="92" t="s">
        <v>3889</v>
      </c>
      <c r="K795" s="71" t="s">
        <v>2540</v>
      </c>
      <c r="L795" t="s">
        <v>1067</v>
      </c>
      <c r="M795" t="str">
        <f t="shared" si="62"/>
        <v>28</v>
      </c>
      <c r="N795" t="str">
        <f t="shared" si="63"/>
        <v>10</v>
      </c>
      <c r="O795" t="str">
        <f t="shared" si="60"/>
        <v>2024</v>
      </c>
      <c r="P795" t="str">
        <f t="shared" si="64"/>
        <v>28-10-2024</v>
      </c>
    </row>
    <row r="796" spans="2:16" x14ac:dyDescent="0.3">
      <c r="B796" s="70">
        <v>45593</v>
      </c>
      <c r="C796" s="70">
        <f t="shared" si="61"/>
        <v>45566</v>
      </c>
      <c r="D796" s="94">
        <v>282.93</v>
      </c>
      <c r="E796" s="94">
        <v>0</v>
      </c>
      <c r="F796" s="92" t="s">
        <v>3308</v>
      </c>
      <c r="G796" s="75"/>
      <c r="H796" s="92" t="s">
        <v>3881</v>
      </c>
      <c r="I796" s="92" t="s">
        <v>3889</v>
      </c>
      <c r="K796" s="71" t="s">
        <v>217</v>
      </c>
      <c r="L796" t="s">
        <v>30</v>
      </c>
      <c r="M796" t="str">
        <f t="shared" si="62"/>
        <v>28</v>
      </c>
      <c r="N796" t="str">
        <f t="shared" si="63"/>
        <v>10</v>
      </c>
      <c r="O796" t="str">
        <f t="shared" si="60"/>
        <v>2024</v>
      </c>
      <c r="P796" t="str">
        <f t="shared" si="64"/>
        <v>28-10-2024</v>
      </c>
    </row>
    <row r="797" spans="2:16" x14ac:dyDescent="0.3">
      <c r="B797" s="70">
        <v>45593</v>
      </c>
      <c r="C797" s="70">
        <f t="shared" si="61"/>
        <v>45566</v>
      </c>
      <c r="D797" s="94">
        <v>60</v>
      </c>
      <c r="E797" s="94">
        <v>0</v>
      </c>
      <c r="F797" s="92" t="s">
        <v>3309</v>
      </c>
      <c r="G797" s="75"/>
      <c r="H797" s="92" t="s">
        <v>589</v>
      </c>
      <c r="I797" s="92" t="s">
        <v>3892</v>
      </c>
      <c r="K797" s="71" t="s">
        <v>511</v>
      </c>
      <c r="L797" t="s">
        <v>1907</v>
      </c>
      <c r="M797" t="str">
        <f t="shared" si="62"/>
        <v>28</v>
      </c>
      <c r="N797" t="str">
        <f t="shared" si="63"/>
        <v>10</v>
      </c>
      <c r="O797" t="str">
        <f t="shared" si="60"/>
        <v>2024</v>
      </c>
      <c r="P797" t="str">
        <f t="shared" si="64"/>
        <v>28-10-2024</v>
      </c>
    </row>
    <row r="798" spans="2:16" x14ac:dyDescent="0.3">
      <c r="B798" s="70">
        <v>45593</v>
      </c>
      <c r="C798" s="70">
        <f t="shared" si="61"/>
        <v>45566</v>
      </c>
      <c r="D798" s="94">
        <v>4000</v>
      </c>
      <c r="E798" s="94">
        <v>0</v>
      </c>
      <c r="F798" s="92" t="s">
        <v>3310</v>
      </c>
      <c r="G798" s="75"/>
      <c r="H798" s="92" t="s">
        <v>589</v>
      </c>
      <c r="I798" s="92" t="s">
        <v>3892</v>
      </c>
      <c r="K798" s="71" t="s">
        <v>511</v>
      </c>
      <c r="L798" t="s">
        <v>1909</v>
      </c>
      <c r="M798" t="str">
        <f t="shared" si="62"/>
        <v>28</v>
      </c>
      <c r="N798" t="str">
        <f t="shared" si="63"/>
        <v>10</v>
      </c>
      <c r="O798" t="str">
        <f t="shared" si="60"/>
        <v>2024</v>
      </c>
      <c r="P798" t="str">
        <f t="shared" si="64"/>
        <v>28-10-2024</v>
      </c>
    </row>
    <row r="799" spans="2:16" x14ac:dyDescent="0.3">
      <c r="B799" s="70">
        <v>45594</v>
      </c>
      <c r="C799" s="70">
        <f t="shared" si="61"/>
        <v>45566</v>
      </c>
      <c r="D799" s="94">
        <v>0</v>
      </c>
      <c r="E799" s="94">
        <v>1841.7</v>
      </c>
      <c r="F799" s="92" t="s">
        <v>3311</v>
      </c>
      <c r="G799" s="75"/>
      <c r="H799" s="92" t="s">
        <v>3881</v>
      </c>
      <c r="I799" s="92" t="s">
        <v>3889</v>
      </c>
      <c r="K799" s="71" t="s">
        <v>2523</v>
      </c>
      <c r="L799" t="s">
        <v>1070</v>
      </c>
      <c r="M799" t="str">
        <f t="shared" si="62"/>
        <v>29</v>
      </c>
      <c r="N799" t="str">
        <f t="shared" si="63"/>
        <v>10</v>
      </c>
      <c r="O799" t="str">
        <f t="shared" si="60"/>
        <v>2024</v>
      </c>
      <c r="P799" t="str">
        <f t="shared" si="64"/>
        <v>29-10-2024</v>
      </c>
    </row>
    <row r="800" spans="2:16" x14ac:dyDescent="0.3">
      <c r="B800" s="70">
        <v>45594</v>
      </c>
      <c r="C800" s="70">
        <f t="shared" si="61"/>
        <v>45566</v>
      </c>
      <c r="D800" s="94">
        <v>97.06</v>
      </c>
      <c r="E800" s="94">
        <v>0</v>
      </c>
      <c r="F800" s="92" t="s">
        <v>3312</v>
      </c>
      <c r="G800" s="75"/>
      <c r="H800" s="92" t="s">
        <v>3881</v>
      </c>
      <c r="I800" s="92" t="s">
        <v>3889</v>
      </c>
      <c r="K800" s="71" t="s">
        <v>217</v>
      </c>
      <c r="L800" t="s">
        <v>30</v>
      </c>
      <c r="M800" t="str">
        <f t="shared" si="62"/>
        <v>29</v>
      </c>
      <c r="N800" t="str">
        <f t="shared" si="63"/>
        <v>10</v>
      </c>
      <c r="O800" t="str">
        <f t="shared" si="60"/>
        <v>2024</v>
      </c>
      <c r="P800" t="str">
        <f t="shared" si="64"/>
        <v>29-10-2024</v>
      </c>
    </row>
    <row r="801" spans="2:16" x14ac:dyDescent="0.3">
      <c r="B801" s="70">
        <v>45594</v>
      </c>
      <c r="C801" s="70">
        <f t="shared" si="61"/>
        <v>45566</v>
      </c>
      <c r="D801" s="94">
        <v>3247.27</v>
      </c>
      <c r="E801" s="94">
        <v>0</v>
      </c>
      <c r="F801" s="92" t="s">
        <v>3312</v>
      </c>
      <c r="G801" s="75"/>
      <c r="H801" s="92" t="s">
        <v>3881</v>
      </c>
      <c r="I801" s="92" t="s">
        <v>3889</v>
      </c>
      <c r="K801" s="71" t="s">
        <v>217</v>
      </c>
      <c r="L801" t="s">
        <v>30</v>
      </c>
      <c r="M801" t="str">
        <f t="shared" si="62"/>
        <v>29</v>
      </c>
      <c r="N801" t="str">
        <f t="shared" si="63"/>
        <v>10</v>
      </c>
      <c r="O801" t="str">
        <f t="shared" si="60"/>
        <v>2024</v>
      </c>
      <c r="P801" t="str">
        <f t="shared" si="64"/>
        <v>29-10-2024</v>
      </c>
    </row>
    <row r="802" spans="2:16" x14ac:dyDescent="0.3">
      <c r="B802" s="70">
        <v>45594</v>
      </c>
      <c r="C802" s="70">
        <f t="shared" si="61"/>
        <v>45566</v>
      </c>
      <c r="D802" s="94">
        <v>0</v>
      </c>
      <c r="E802" s="94">
        <v>68895</v>
      </c>
      <c r="F802" s="92" t="s">
        <v>3313</v>
      </c>
      <c r="G802" s="75"/>
      <c r="H802" s="92" t="s">
        <v>507</v>
      </c>
      <c r="I802" s="92" t="s">
        <v>3892</v>
      </c>
      <c r="K802" s="71" t="s">
        <v>507</v>
      </c>
      <c r="L802" t="s">
        <v>358</v>
      </c>
      <c r="M802" t="str">
        <f t="shared" si="62"/>
        <v>29</v>
      </c>
      <c r="N802" t="str">
        <f t="shared" si="63"/>
        <v>10</v>
      </c>
      <c r="O802" t="str">
        <f t="shared" si="60"/>
        <v>2024</v>
      </c>
      <c r="P802" t="str">
        <f t="shared" si="64"/>
        <v>29-10-2024</v>
      </c>
    </row>
    <row r="803" spans="2:16" x14ac:dyDescent="0.3">
      <c r="B803" s="70">
        <v>45594</v>
      </c>
      <c r="C803" s="70">
        <f t="shared" si="61"/>
        <v>45566</v>
      </c>
      <c r="D803" s="94">
        <v>0</v>
      </c>
      <c r="E803" s="94">
        <v>100</v>
      </c>
      <c r="F803" s="92" t="s">
        <v>3314</v>
      </c>
      <c r="G803" s="75"/>
      <c r="H803" s="92" t="s">
        <v>589</v>
      </c>
      <c r="I803" s="92" t="s">
        <v>3892</v>
      </c>
      <c r="K803" s="71" t="s">
        <v>511</v>
      </c>
      <c r="L803" t="s">
        <v>1912</v>
      </c>
      <c r="M803" t="str">
        <f t="shared" si="62"/>
        <v>29</v>
      </c>
      <c r="N803" t="str">
        <f t="shared" si="63"/>
        <v>10</v>
      </c>
      <c r="O803" t="str">
        <f t="shared" si="60"/>
        <v>2024</v>
      </c>
      <c r="P803" t="str">
        <f t="shared" si="64"/>
        <v>29-10-2024</v>
      </c>
    </row>
    <row r="804" spans="2:16" x14ac:dyDescent="0.3">
      <c r="B804" s="70">
        <v>45594</v>
      </c>
      <c r="C804" s="70">
        <f t="shared" si="61"/>
        <v>45566</v>
      </c>
      <c r="D804" s="94">
        <v>100</v>
      </c>
      <c r="E804" s="94">
        <v>0</v>
      </c>
      <c r="F804" s="92" t="s">
        <v>3315</v>
      </c>
      <c r="G804" s="75"/>
      <c r="H804" s="92" t="s">
        <v>589</v>
      </c>
      <c r="I804" s="92" t="s">
        <v>3892</v>
      </c>
      <c r="K804" s="71" t="s">
        <v>511</v>
      </c>
      <c r="L804" t="s">
        <v>1914</v>
      </c>
      <c r="M804" t="str">
        <f t="shared" si="62"/>
        <v>29</v>
      </c>
      <c r="N804" t="str">
        <f t="shared" si="63"/>
        <v>10</v>
      </c>
      <c r="O804" t="str">
        <f t="shared" si="60"/>
        <v>2024</v>
      </c>
      <c r="P804" t="str">
        <f t="shared" si="64"/>
        <v>29-10-2024</v>
      </c>
    </row>
    <row r="805" spans="2:16" x14ac:dyDescent="0.3">
      <c r="B805" s="70">
        <v>45594</v>
      </c>
      <c r="C805" s="70">
        <f t="shared" si="61"/>
        <v>45566</v>
      </c>
      <c r="D805" s="94">
        <v>10</v>
      </c>
      <c r="E805" s="94">
        <v>0</v>
      </c>
      <c r="F805" s="92" t="s">
        <v>3316</v>
      </c>
      <c r="G805" s="75"/>
      <c r="H805" s="92" t="s">
        <v>589</v>
      </c>
      <c r="I805" s="92" t="s">
        <v>3892</v>
      </c>
      <c r="K805" s="71" t="s">
        <v>511</v>
      </c>
      <c r="L805" t="s">
        <v>1916</v>
      </c>
      <c r="M805" t="str">
        <f t="shared" si="62"/>
        <v>29</v>
      </c>
      <c r="N805" t="str">
        <f t="shared" si="63"/>
        <v>10</v>
      </c>
      <c r="O805" t="str">
        <f t="shared" si="60"/>
        <v>2024</v>
      </c>
      <c r="P805" t="str">
        <f t="shared" si="64"/>
        <v>29-10-2024</v>
      </c>
    </row>
    <row r="806" spans="2:16" x14ac:dyDescent="0.3">
      <c r="B806" s="70">
        <v>45594</v>
      </c>
      <c r="C806" s="70">
        <f t="shared" si="61"/>
        <v>45566</v>
      </c>
      <c r="D806" s="94">
        <v>0</v>
      </c>
      <c r="E806" s="94">
        <v>5</v>
      </c>
      <c r="F806" s="92" t="s">
        <v>3317</v>
      </c>
      <c r="G806" s="75"/>
      <c r="H806" s="92" t="s">
        <v>589</v>
      </c>
      <c r="I806" s="92" t="s">
        <v>3892</v>
      </c>
      <c r="K806" s="71" t="s">
        <v>511</v>
      </c>
      <c r="L806" t="s">
        <v>1918</v>
      </c>
      <c r="M806" t="str">
        <f t="shared" si="62"/>
        <v>29</v>
      </c>
      <c r="N806" t="str">
        <f t="shared" si="63"/>
        <v>10</v>
      </c>
      <c r="O806" t="str">
        <f t="shared" si="60"/>
        <v>2024</v>
      </c>
      <c r="P806" t="str">
        <f t="shared" si="64"/>
        <v>29-10-2024</v>
      </c>
    </row>
    <row r="807" spans="2:16" x14ac:dyDescent="0.3">
      <c r="B807" s="70">
        <v>45594</v>
      </c>
      <c r="C807" s="70">
        <f t="shared" si="61"/>
        <v>45566</v>
      </c>
      <c r="D807" s="94">
        <v>0</v>
      </c>
      <c r="E807" s="94">
        <v>10</v>
      </c>
      <c r="F807" s="92" t="s">
        <v>3318</v>
      </c>
      <c r="G807" s="75"/>
      <c r="H807" s="92" t="s">
        <v>589</v>
      </c>
      <c r="I807" s="92" t="s">
        <v>3892</v>
      </c>
      <c r="K807" s="71" t="s">
        <v>511</v>
      </c>
      <c r="L807" t="s">
        <v>1920</v>
      </c>
      <c r="M807" t="str">
        <f t="shared" si="62"/>
        <v>29</v>
      </c>
      <c r="N807" t="str">
        <f t="shared" si="63"/>
        <v>10</v>
      </c>
      <c r="O807" t="str">
        <f t="shared" si="60"/>
        <v>2024</v>
      </c>
      <c r="P807" t="str">
        <f t="shared" si="64"/>
        <v>29-10-2024</v>
      </c>
    </row>
    <row r="808" spans="2:16" x14ac:dyDescent="0.3">
      <c r="B808" s="70">
        <v>45595</v>
      </c>
      <c r="C808" s="70">
        <f t="shared" si="61"/>
        <v>45566</v>
      </c>
      <c r="D808" s="94">
        <v>5000</v>
      </c>
      <c r="E808" s="94">
        <v>0</v>
      </c>
      <c r="F808" s="92" t="s">
        <v>3319</v>
      </c>
      <c r="G808" s="75"/>
      <c r="H808" s="92" t="s">
        <v>2538</v>
      </c>
      <c r="I808" s="92" t="s">
        <v>3889</v>
      </c>
      <c r="K808" s="71" t="s">
        <v>219</v>
      </c>
      <c r="L808" t="s">
        <v>1074</v>
      </c>
      <c r="M808" t="str">
        <f t="shared" si="62"/>
        <v>30</v>
      </c>
      <c r="N808" t="str">
        <f t="shared" si="63"/>
        <v>10</v>
      </c>
      <c r="O808" t="str">
        <f t="shared" si="60"/>
        <v>2024</v>
      </c>
      <c r="P808" t="str">
        <f t="shared" si="64"/>
        <v>30-10-2024</v>
      </c>
    </row>
    <row r="809" spans="2:16" x14ac:dyDescent="0.3">
      <c r="B809" s="70">
        <v>45595</v>
      </c>
      <c r="C809" s="70">
        <f t="shared" si="61"/>
        <v>45566</v>
      </c>
      <c r="D809" s="94">
        <v>96.56</v>
      </c>
      <c r="E809" s="94">
        <v>0</v>
      </c>
      <c r="F809" s="92" t="s">
        <v>3320</v>
      </c>
      <c r="G809" s="75"/>
      <c r="H809" s="92" t="s">
        <v>3881</v>
      </c>
      <c r="I809" s="92" t="s">
        <v>3889</v>
      </c>
      <c r="K809" s="71" t="s">
        <v>217</v>
      </c>
      <c r="L809" t="s">
        <v>30</v>
      </c>
      <c r="M809" t="str">
        <f t="shared" si="62"/>
        <v>30</v>
      </c>
      <c r="N809" t="str">
        <f t="shared" si="63"/>
        <v>10</v>
      </c>
      <c r="O809" t="str">
        <f t="shared" si="60"/>
        <v>2024</v>
      </c>
      <c r="P809" t="str">
        <f t="shared" si="64"/>
        <v>30-10-2024</v>
      </c>
    </row>
    <row r="810" spans="2:16" x14ac:dyDescent="0.3">
      <c r="B810" s="70">
        <v>45595</v>
      </c>
      <c r="C810" s="70">
        <f t="shared" si="61"/>
        <v>45566</v>
      </c>
      <c r="D810" s="94">
        <v>49.8</v>
      </c>
      <c r="E810" s="94">
        <v>0</v>
      </c>
      <c r="F810" s="92" t="s">
        <v>3320</v>
      </c>
      <c r="G810" s="75"/>
      <c r="H810" s="92" t="s">
        <v>3881</v>
      </c>
      <c r="I810" s="92" t="s">
        <v>3889</v>
      </c>
      <c r="K810" s="71" t="s">
        <v>217</v>
      </c>
      <c r="L810" t="s">
        <v>30</v>
      </c>
      <c r="M810" t="str">
        <f t="shared" si="62"/>
        <v>30</v>
      </c>
      <c r="N810" t="str">
        <f t="shared" si="63"/>
        <v>10</v>
      </c>
      <c r="O810" t="str">
        <f t="shared" si="60"/>
        <v>2024</v>
      </c>
      <c r="P810" t="str">
        <f t="shared" si="64"/>
        <v>30-10-2024</v>
      </c>
    </row>
    <row r="811" spans="2:16" x14ac:dyDescent="0.3">
      <c r="B811" s="70">
        <v>45595</v>
      </c>
      <c r="C811" s="70">
        <f t="shared" si="61"/>
        <v>45566</v>
      </c>
      <c r="D811" s="94">
        <v>5000</v>
      </c>
      <c r="E811" s="94">
        <v>0</v>
      </c>
      <c r="F811" s="92" t="s">
        <v>3321</v>
      </c>
      <c r="G811" s="75"/>
      <c r="H811" s="92" t="s">
        <v>589</v>
      </c>
      <c r="I811" s="92" t="s">
        <v>3892</v>
      </c>
      <c r="K811" s="71" t="s">
        <v>511</v>
      </c>
      <c r="L811" t="s">
        <v>1922</v>
      </c>
      <c r="M811" t="str">
        <f t="shared" si="62"/>
        <v>30</v>
      </c>
      <c r="N811" t="str">
        <f t="shared" si="63"/>
        <v>10</v>
      </c>
      <c r="O811" t="str">
        <f t="shared" si="60"/>
        <v>2024</v>
      </c>
      <c r="P811" t="str">
        <f t="shared" si="64"/>
        <v>30-10-2024</v>
      </c>
    </row>
    <row r="812" spans="2:16" x14ac:dyDescent="0.3">
      <c r="B812" s="70">
        <v>45596</v>
      </c>
      <c r="C812" s="70">
        <f t="shared" si="61"/>
        <v>45566</v>
      </c>
      <c r="D812" s="94">
        <v>100.02</v>
      </c>
      <c r="E812" s="94">
        <v>0</v>
      </c>
      <c r="F812" s="92" t="s">
        <v>3322</v>
      </c>
      <c r="G812" s="75"/>
      <c r="H812" s="92" t="s">
        <v>3881</v>
      </c>
      <c r="I812" s="92" t="s">
        <v>3889</v>
      </c>
      <c r="K812" s="71" t="s">
        <v>217</v>
      </c>
      <c r="L812" t="s">
        <v>30</v>
      </c>
      <c r="M812" t="str">
        <f t="shared" si="62"/>
        <v>31</v>
      </c>
      <c r="N812" t="str">
        <f t="shared" si="63"/>
        <v>10</v>
      </c>
      <c r="O812" t="str">
        <f t="shared" si="60"/>
        <v>2024</v>
      </c>
      <c r="P812" t="str">
        <f t="shared" si="64"/>
        <v>31-10-2024</v>
      </c>
    </row>
    <row r="813" spans="2:16" x14ac:dyDescent="0.3">
      <c r="B813" s="70">
        <v>45596</v>
      </c>
      <c r="C813" s="70">
        <f t="shared" si="61"/>
        <v>45566</v>
      </c>
      <c r="D813" s="94">
        <v>17700.419999999998</v>
      </c>
      <c r="E813" s="94">
        <v>0</v>
      </c>
      <c r="F813" s="92" t="s">
        <v>3322</v>
      </c>
      <c r="G813" s="75"/>
      <c r="H813" s="92" t="s">
        <v>3881</v>
      </c>
      <c r="I813" s="92" t="s">
        <v>3889</v>
      </c>
      <c r="K813" s="71" t="s">
        <v>217</v>
      </c>
      <c r="L813" t="s">
        <v>30</v>
      </c>
      <c r="M813" t="str">
        <f t="shared" si="62"/>
        <v>31</v>
      </c>
      <c r="N813" t="str">
        <f t="shared" si="63"/>
        <v>10</v>
      </c>
      <c r="O813" t="str">
        <f t="shared" si="60"/>
        <v>2024</v>
      </c>
      <c r="P813" t="str">
        <f t="shared" si="64"/>
        <v>31-10-2024</v>
      </c>
    </row>
    <row r="814" spans="2:16" x14ac:dyDescent="0.3">
      <c r="B814" s="70">
        <v>45596</v>
      </c>
      <c r="C814" s="70">
        <f t="shared" si="61"/>
        <v>45566</v>
      </c>
      <c r="D814" s="94">
        <v>488.32</v>
      </c>
      <c r="E814" s="94">
        <v>0</v>
      </c>
      <c r="F814" s="92" t="s">
        <v>3322</v>
      </c>
      <c r="G814" s="75"/>
      <c r="H814" s="92" t="s">
        <v>3881</v>
      </c>
      <c r="I814" s="92" t="s">
        <v>3889</v>
      </c>
      <c r="K814" s="71" t="s">
        <v>217</v>
      </c>
      <c r="L814" t="s">
        <v>30</v>
      </c>
      <c r="M814" t="str">
        <f t="shared" si="62"/>
        <v>31</v>
      </c>
      <c r="N814" t="str">
        <f t="shared" si="63"/>
        <v>10</v>
      </c>
      <c r="O814" t="str">
        <f t="shared" si="60"/>
        <v>2024</v>
      </c>
      <c r="P814" t="str">
        <f t="shared" si="64"/>
        <v>31-10-2024</v>
      </c>
    </row>
    <row r="815" spans="2:16" x14ac:dyDescent="0.3">
      <c r="B815" s="70">
        <v>45596</v>
      </c>
      <c r="C815" s="70">
        <f t="shared" si="61"/>
        <v>45566</v>
      </c>
      <c r="D815" s="94">
        <v>2000</v>
      </c>
      <c r="E815" s="94">
        <v>0</v>
      </c>
      <c r="F815" s="92" t="s">
        <v>3323</v>
      </c>
      <c r="G815" s="75"/>
      <c r="H815" s="92" t="s">
        <v>589</v>
      </c>
      <c r="I815" s="92" t="s">
        <v>3892</v>
      </c>
      <c r="K815" s="71" t="s">
        <v>511</v>
      </c>
      <c r="L815" t="s">
        <v>1924</v>
      </c>
      <c r="M815" t="str">
        <f t="shared" si="62"/>
        <v>31</v>
      </c>
      <c r="N815" t="str">
        <f t="shared" si="63"/>
        <v>10</v>
      </c>
      <c r="O815" t="str">
        <f t="shared" si="60"/>
        <v>2024</v>
      </c>
      <c r="P815" t="str">
        <f t="shared" si="64"/>
        <v>31-10-2024</v>
      </c>
    </row>
    <row r="816" spans="2:16" x14ac:dyDescent="0.3">
      <c r="B816" s="70">
        <v>45596</v>
      </c>
      <c r="C816" s="70">
        <f t="shared" si="61"/>
        <v>45566</v>
      </c>
      <c r="D816" s="94">
        <v>0</v>
      </c>
      <c r="E816" s="94">
        <v>77.11</v>
      </c>
      <c r="F816" s="92" t="s">
        <v>3324</v>
      </c>
      <c r="G816" s="75"/>
      <c r="H816" s="92" t="s">
        <v>589</v>
      </c>
      <c r="I816" s="92" t="s">
        <v>3892</v>
      </c>
      <c r="K816" s="71" t="s">
        <v>511</v>
      </c>
      <c r="L816" t="s">
        <v>1926</v>
      </c>
      <c r="M816" t="str">
        <f t="shared" si="62"/>
        <v>31</v>
      </c>
      <c r="N816" t="str">
        <f t="shared" si="63"/>
        <v>10</v>
      </c>
      <c r="O816" t="str">
        <f t="shared" si="60"/>
        <v>2024</v>
      </c>
      <c r="P816" t="str">
        <f t="shared" si="64"/>
        <v>31-10-2024</v>
      </c>
    </row>
    <row r="817" spans="2:16" x14ac:dyDescent="0.3">
      <c r="B817" s="70">
        <v>45596</v>
      </c>
      <c r="C817" s="70">
        <f t="shared" si="61"/>
        <v>45566</v>
      </c>
      <c r="D817" s="94">
        <v>7000</v>
      </c>
      <c r="E817" s="94">
        <v>0</v>
      </c>
      <c r="F817" s="92" t="s">
        <v>3325</v>
      </c>
      <c r="G817" s="75"/>
      <c r="H817" s="92" t="s">
        <v>589</v>
      </c>
      <c r="I817" s="92" t="s">
        <v>3892</v>
      </c>
      <c r="K817" s="71" t="s">
        <v>511</v>
      </c>
      <c r="L817" t="s">
        <v>1928</v>
      </c>
      <c r="M817" t="str">
        <f t="shared" si="62"/>
        <v>31</v>
      </c>
      <c r="N817" t="str">
        <f t="shared" si="63"/>
        <v>10</v>
      </c>
      <c r="O817" t="str">
        <f t="shared" si="60"/>
        <v>2024</v>
      </c>
      <c r="P817" t="str">
        <f t="shared" si="64"/>
        <v>31-10-2024</v>
      </c>
    </row>
    <row r="818" spans="2:16" x14ac:dyDescent="0.3">
      <c r="B818" s="70">
        <v>45596</v>
      </c>
      <c r="C818" s="70">
        <f t="shared" si="61"/>
        <v>45566</v>
      </c>
      <c r="D818" s="94">
        <v>16000</v>
      </c>
      <c r="E818" s="94">
        <v>0</v>
      </c>
      <c r="F818" s="92" t="s">
        <v>3326</v>
      </c>
      <c r="G818" s="75"/>
      <c r="H818" s="92" t="s">
        <v>589</v>
      </c>
      <c r="I818" s="92" t="s">
        <v>3892</v>
      </c>
      <c r="K818" s="71" t="s">
        <v>511</v>
      </c>
      <c r="L818" t="s">
        <v>1930</v>
      </c>
      <c r="M818" t="str">
        <f t="shared" si="62"/>
        <v>31</v>
      </c>
      <c r="N818" t="str">
        <f t="shared" si="63"/>
        <v>10</v>
      </c>
      <c r="O818" t="str">
        <f t="shared" si="60"/>
        <v>2024</v>
      </c>
      <c r="P818" t="str">
        <f t="shared" si="64"/>
        <v>31-10-2024</v>
      </c>
    </row>
    <row r="819" spans="2:16" x14ac:dyDescent="0.3">
      <c r="B819" s="70">
        <v>45597</v>
      </c>
      <c r="C819" s="70">
        <f t="shared" si="61"/>
        <v>45597</v>
      </c>
      <c r="D819" s="94">
        <v>2</v>
      </c>
      <c r="E819" s="94">
        <v>0</v>
      </c>
      <c r="F819" s="92" t="s">
        <v>3327</v>
      </c>
      <c r="G819" s="75"/>
      <c r="H819" s="92" t="s">
        <v>589</v>
      </c>
      <c r="I819" s="92" t="s">
        <v>3892</v>
      </c>
      <c r="K819" s="71" t="s">
        <v>589</v>
      </c>
      <c r="L819" t="s">
        <v>1932</v>
      </c>
      <c r="M819" t="str">
        <f t="shared" si="62"/>
        <v>01</v>
      </c>
      <c r="N819" t="str">
        <f t="shared" si="63"/>
        <v>11</v>
      </c>
      <c r="O819" t="str">
        <f t="shared" si="60"/>
        <v>2024</v>
      </c>
      <c r="P819" t="str">
        <f t="shared" si="64"/>
        <v>01-11-2024</v>
      </c>
    </row>
    <row r="820" spans="2:16" x14ac:dyDescent="0.3">
      <c r="B820" s="70">
        <v>45597</v>
      </c>
      <c r="C820" s="70">
        <f t="shared" si="61"/>
        <v>45597</v>
      </c>
      <c r="D820" s="94">
        <v>1000</v>
      </c>
      <c r="E820" s="94">
        <v>0</v>
      </c>
      <c r="F820" s="92" t="s">
        <v>3328</v>
      </c>
      <c r="G820" s="75"/>
      <c r="H820" s="92" t="s">
        <v>589</v>
      </c>
      <c r="I820" s="92" t="s">
        <v>3892</v>
      </c>
      <c r="K820" s="71" t="s">
        <v>511</v>
      </c>
      <c r="L820" t="s">
        <v>1933</v>
      </c>
      <c r="M820" t="str">
        <f t="shared" si="62"/>
        <v>01</v>
      </c>
      <c r="N820" t="str">
        <f t="shared" si="63"/>
        <v>11</v>
      </c>
      <c r="O820" t="str">
        <f t="shared" si="60"/>
        <v>2024</v>
      </c>
      <c r="P820" t="str">
        <f t="shared" si="64"/>
        <v>01-11-2024</v>
      </c>
    </row>
    <row r="821" spans="2:16" x14ac:dyDescent="0.3">
      <c r="B821" s="70">
        <v>45597</v>
      </c>
      <c r="C821" s="70">
        <f t="shared" si="61"/>
        <v>45597</v>
      </c>
      <c r="D821" s="94">
        <v>3000</v>
      </c>
      <c r="E821" s="94">
        <v>0</v>
      </c>
      <c r="F821" s="92" t="s">
        <v>3329</v>
      </c>
      <c r="G821" s="75"/>
      <c r="H821" s="92" t="s">
        <v>589</v>
      </c>
      <c r="I821" s="92" t="s">
        <v>3892</v>
      </c>
      <c r="K821" s="71" t="s">
        <v>511</v>
      </c>
      <c r="L821" t="s">
        <v>1935</v>
      </c>
      <c r="M821" t="str">
        <f t="shared" si="62"/>
        <v>01</v>
      </c>
      <c r="N821" t="str">
        <f t="shared" si="63"/>
        <v>11</v>
      </c>
      <c r="O821" t="str">
        <f t="shared" si="60"/>
        <v>2024</v>
      </c>
      <c r="P821" t="str">
        <f t="shared" si="64"/>
        <v>01-11-2024</v>
      </c>
    </row>
    <row r="822" spans="2:16" x14ac:dyDescent="0.3">
      <c r="B822" s="70">
        <v>45597</v>
      </c>
      <c r="C822" s="70">
        <f t="shared" si="61"/>
        <v>45597</v>
      </c>
      <c r="D822" s="94">
        <v>0</v>
      </c>
      <c r="E822" s="94">
        <v>1</v>
      </c>
      <c r="F822" s="92" t="s">
        <v>3330</v>
      </c>
      <c r="G822" s="92" t="s">
        <v>2573</v>
      </c>
      <c r="H822" s="92" t="s">
        <v>227</v>
      </c>
      <c r="I822" s="92" t="s">
        <v>3894</v>
      </c>
      <c r="K822" s="71" t="s">
        <v>227</v>
      </c>
      <c r="L822" t="s">
        <v>2567</v>
      </c>
      <c r="M822" t="str">
        <f t="shared" si="62"/>
        <v>01</v>
      </c>
      <c r="N822" t="str">
        <f t="shared" si="63"/>
        <v>11</v>
      </c>
      <c r="O822" t="str">
        <f t="shared" si="60"/>
        <v>2024</v>
      </c>
      <c r="P822" t="str">
        <f t="shared" si="64"/>
        <v>01-11-2024</v>
      </c>
    </row>
    <row r="823" spans="2:16" x14ac:dyDescent="0.3">
      <c r="B823" s="70">
        <v>45598</v>
      </c>
      <c r="C823" s="70">
        <f t="shared" si="61"/>
        <v>45597</v>
      </c>
      <c r="D823" s="94">
        <v>1100</v>
      </c>
      <c r="E823" s="94">
        <v>0</v>
      </c>
      <c r="F823" s="92" t="s">
        <v>3331</v>
      </c>
      <c r="G823" s="75"/>
      <c r="H823" s="92" t="s">
        <v>589</v>
      </c>
      <c r="I823" s="92" t="s">
        <v>3892</v>
      </c>
      <c r="K823" s="71" t="s">
        <v>511</v>
      </c>
      <c r="L823" t="s">
        <v>1937</v>
      </c>
      <c r="M823" t="str">
        <f t="shared" si="62"/>
        <v>02</v>
      </c>
      <c r="N823" t="str">
        <f t="shared" si="63"/>
        <v>11</v>
      </c>
      <c r="O823" t="str">
        <f t="shared" si="60"/>
        <v>2024</v>
      </c>
      <c r="P823" t="str">
        <f t="shared" si="64"/>
        <v>02-11-2024</v>
      </c>
    </row>
    <row r="824" spans="2:16" x14ac:dyDescent="0.3">
      <c r="B824" s="70">
        <v>45598</v>
      </c>
      <c r="C824" s="70">
        <f t="shared" si="61"/>
        <v>45597</v>
      </c>
      <c r="D824" s="94">
        <v>2000</v>
      </c>
      <c r="E824" s="94">
        <v>0</v>
      </c>
      <c r="F824" s="92" t="s">
        <v>3332</v>
      </c>
      <c r="G824" s="75"/>
      <c r="H824" s="92" t="s">
        <v>589</v>
      </c>
      <c r="I824" s="92" t="s">
        <v>3892</v>
      </c>
      <c r="K824" s="71" t="s">
        <v>511</v>
      </c>
      <c r="L824" t="s">
        <v>1939</v>
      </c>
      <c r="M824" t="str">
        <f t="shared" si="62"/>
        <v>02</v>
      </c>
      <c r="N824" t="str">
        <f t="shared" si="63"/>
        <v>11</v>
      </c>
      <c r="O824" t="str">
        <f t="shared" si="60"/>
        <v>2024</v>
      </c>
      <c r="P824" t="str">
        <f t="shared" si="64"/>
        <v>02-11-2024</v>
      </c>
    </row>
    <row r="825" spans="2:16" x14ac:dyDescent="0.3">
      <c r="B825" s="70">
        <v>45599</v>
      </c>
      <c r="C825" s="70">
        <f t="shared" si="61"/>
        <v>45597</v>
      </c>
      <c r="D825" s="94">
        <v>1500</v>
      </c>
      <c r="E825" s="94">
        <v>0</v>
      </c>
      <c r="F825" s="92" t="s">
        <v>3333</v>
      </c>
      <c r="G825" s="75"/>
      <c r="H825" s="92" t="s">
        <v>589</v>
      </c>
      <c r="I825" s="92" t="s">
        <v>3892</v>
      </c>
      <c r="K825" s="71" t="s">
        <v>511</v>
      </c>
      <c r="L825" t="s">
        <v>1941</v>
      </c>
      <c r="M825" t="str">
        <f t="shared" si="62"/>
        <v>03</v>
      </c>
      <c r="N825" t="str">
        <f t="shared" si="63"/>
        <v>11</v>
      </c>
      <c r="O825" t="str">
        <f t="shared" si="60"/>
        <v>2024</v>
      </c>
      <c r="P825" t="str">
        <f t="shared" si="64"/>
        <v>03-11-2024</v>
      </c>
    </row>
    <row r="826" spans="2:16" x14ac:dyDescent="0.3">
      <c r="B826" s="70">
        <v>45600</v>
      </c>
      <c r="C826" s="70">
        <f t="shared" si="61"/>
        <v>45597</v>
      </c>
      <c r="D826" s="94">
        <v>0</v>
      </c>
      <c r="E826" s="94">
        <v>15574.31</v>
      </c>
      <c r="F826" s="92" t="s">
        <v>3334</v>
      </c>
      <c r="G826" s="75"/>
      <c r="H826" s="92" t="s">
        <v>3881</v>
      </c>
      <c r="I826" s="92" t="s">
        <v>3889</v>
      </c>
      <c r="K826" s="71" t="s">
        <v>2523</v>
      </c>
      <c r="L826" t="s">
        <v>1081</v>
      </c>
      <c r="M826" t="str">
        <f t="shared" si="62"/>
        <v>04</v>
      </c>
      <c r="N826" t="str">
        <f t="shared" si="63"/>
        <v>11</v>
      </c>
      <c r="O826" t="str">
        <f t="shared" si="60"/>
        <v>2024</v>
      </c>
      <c r="P826" t="str">
        <f t="shared" si="64"/>
        <v>04-11-2024</v>
      </c>
    </row>
    <row r="827" spans="2:16" x14ac:dyDescent="0.3">
      <c r="B827" s="70">
        <v>45600</v>
      </c>
      <c r="C827" s="70">
        <f t="shared" si="61"/>
        <v>45597</v>
      </c>
      <c r="D827" s="94">
        <v>0</v>
      </c>
      <c r="E827" s="94">
        <v>9289.3799999999992</v>
      </c>
      <c r="F827" s="92" t="s">
        <v>3335</v>
      </c>
      <c r="G827" s="75"/>
      <c r="H827" s="92" t="s">
        <v>3881</v>
      </c>
      <c r="I827" s="92" t="s">
        <v>3889</v>
      </c>
      <c r="K827" s="71" t="s">
        <v>2523</v>
      </c>
      <c r="L827" t="s">
        <v>1083</v>
      </c>
      <c r="M827" t="str">
        <f t="shared" si="62"/>
        <v>04</v>
      </c>
      <c r="N827" t="str">
        <f t="shared" si="63"/>
        <v>11</v>
      </c>
      <c r="O827" t="str">
        <f t="shared" si="60"/>
        <v>2024</v>
      </c>
      <c r="P827" t="str">
        <f t="shared" si="64"/>
        <v>04-11-2024</v>
      </c>
    </row>
    <row r="828" spans="2:16" x14ac:dyDescent="0.3">
      <c r="B828" s="70">
        <v>45600</v>
      </c>
      <c r="C828" s="70">
        <f t="shared" si="61"/>
        <v>45597</v>
      </c>
      <c r="D828" s="94">
        <v>399.4</v>
      </c>
      <c r="E828" s="94">
        <v>0</v>
      </c>
      <c r="F828" s="92" t="s">
        <v>3336</v>
      </c>
      <c r="G828" s="75"/>
      <c r="H828" s="92" t="s">
        <v>3881</v>
      </c>
      <c r="I828" s="92" t="s">
        <v>3889</v>
      </c>
      <c r="K828" s="71" t="s">
        <v>217</v>
      </c>
      <c r="L828" t="s">
        <v>30</v>
      </c>
      <c r="M828" t="str">
        <f t="shared" si="62"/>
        <v>04</v>
      </c>
      <c r="N828" t="str">
        <f t="shared" si="63"/>
        <v>11</v>
      </c>
      <c r="O828" t="str">
        <f t="shared" si="60"/>
        <v>2024</v>
      </c>
      <c r="P828" t="str">
        <f t="shared" si="64"/>
        <v>04-11-2024</v>
      </c>
    </row>
    <row r="829" spans="2:16" x14ac:dyDescent="0.3">
      <c r="B829" s="70">
        <v>45600</v>
      </c>
      <c r="C829" s="70">
        <f t="shared" si="61"/>
        <v>45597</v>
      </c>
      <c r="D829" s="94">
        <v>1291.04</v>
      </c>
      <c r="E829" s="94">
        <v>0</v>
      </c>
      <c r="F829" s="92" t="s">
        <v>3336</v>
      </c>
      <c r="G829" s="75"/>
      <c r="H829" s="92" t="s">
        <v>3881</v>
      </c>
      <c r="I829" s="92" t="s">
        <v>3889</v>
      </c>
      <c r="K829" s="71" t="s">
        <v>217</v>
      </c>
      <c r="L829" t="s">
        <v>30</v>
      </c>
      <c r="M829" t="str">
        <f t="shared" si="62"/>
        <v>04</v>
      </c>
      <c r="N829" t="str">
        <f t="shared" si="63"/>
        <v>11</v>
      </c>
      <c r="O829" t="str">
        <f t="shared" si="60"/>
        <v>2024</v>
      </c>
      <c r="P829" t="str">
        <f t="shared" si="64"/>
        <v>04-11-2024</v>
      </c>
    </row>
    <row r="830" spans="2:16" x14ac:dyDescent="0.3">
      <c r="B830" s="70">
        <v>45600</v>
      </c>
      <c r="C830" s="70">
        <f t="shared" si="61"/>
        <v>45597</v>
      </c>
      <c r="D830" s="94">
        <v>1000</v>
      </c>
      <c r="E830" s="94">
        <v>0</v>
      </c>
      <c r="F830" s="92" t="s">
        <v>3337</v>
      </c>
      <c r="G830" s="75"/>
      <c r="H830" s="92" t="s">
        <v>589</v>
      </c>
      <c r="I830" s="92" t="s">
        <v>3892</v>
      </c>
      <c r="K830" s="71" t="s">
        <v>511</v>
      </c>
      <c r="L830" t="s">
        <v>1943</v>
      </c>
      <c r="M830" t="str">
        <f t="shared" si="62"/>
        <v>04</v>
      </c>
      <c r="N830" t="str">
        <f t="shared" si="63"/>
        <v>11</v>
      </c>
      <c r="O830" t="str">
        <f t="shared" si="60"/>
        <v>2024</v>
      </c>
      <c r="P830" t="str">
        <f t="shared" si="64"/>
        <v>04-11-2024</v>
      </c>
    </row>
    <row r="831" spans="2:16" x14ac:dyDescent="0.3">
      <c r="B831" s="70">
        <v>45601</v>
      </c>
      <c r="C831" s="70">
        <f t="shared" si="61"/>
        <v>45597</v>
      </c>
      <c r="D831" s="94">
        <v>90.03</v>
      </c>
      <c r="E831" s="94">
        <v>0</v>
      </c>
      <c r="F831" s="92" t="s">
        <v>3338</v>
      </c>
      <c r="G831" s="75"/>
      <c r="H831" s="92" t="s">
        <v>3881</v>
      </c>
      <c r="I831" s="92" t="s">
        <v>3889</v>
      </c>
      <c r="K831" s="71" t="s">
        <v>217</v>
      </c>
      <c r="L831" t="s">
        <v>30</v>
      </c>
      <c r="M831" t="str">
        <f t="shared" si="62"/>
        <v>05</v>
      </c>
      <c r="N831" t="str">
        <f t="shared" si="63"/>
        <v>11</v>
      </c>
      <c r="O831" t="str">
        <f t="shared" si="60"/>
        <v>2024</v>
      </c>
      <c r="P831" t="str">
        <f t="shared" si="64"/>
        <v>05-11-2024</v>
      </c>
    </row>
    <row r="832" spans="2:16" x14ac:dyDescent="0.3">
      <c r="B832" s="70">
        <v>45601</v>
      </c>
      <c r="C832" s="70">
        <f t="shared" si="61"/>
        <v>45597</v>
      </c>
      <c r="D832" s="94">
        <v>0</v>
      </c>
      <c r="E832" s="94">
        <v>130</v>
      </c>
      <c r="F832" s="92" t="s">
        <v>3339</v>
      </c>
      <c r="G832" s="75" t="s">
        <v>3904</v>
      </c>
      <c r="H832" s="92" t="s">
        <v>218</v>
      </c>
      <c r="I832" s="92" t="s">
        <v>3889</v>
      </c>
      <c r="K832" s="71" t="s">
        <v>218</v>
      </c>
      <c r="L832" t="s">
        <v>1088</v>
      </c>
      <c r="M832" t="str">
        <f t="shared" si="62"/>
        <v>05</v>
      </c>
      <c r="N832" t="str">
        <f t="shared" si="63"/>
        <v>11</v>
      </c>
      <c r="O832" t="str">
        <f t="shared" si="60"/>
        <v>2024</v>
      </c>
      <c r="P832" t="str">
        <f t="shared" si="64"/>
        <v>05-11-2024</v>
      </c>
    </row>
    <row r="833" spans="2:16" x14ac:dyDescent="0.3">
      <c r="B833" s="70">
        <v>45601</v>
      </c>
      <c r="C833" s="70">
        <f t="shared" si="61"/>
        <v>45597</v>
      </c>
      <c r="D833" s="94">
        <v>1500</v>
      </c>
      <c r="E833" s="94">
        <v>0</v>
      </c>
      <c r="F833" s="92" t="s">
        <v>3340</v>
      </c>
      <c r="G833" s="75"/>
      <c r="H833" s="92" t="s">
        <v>589</v>
      </c>
      <c r="I833" s="92" t="s">
        <v>3892</v>
      </c>
      <c r="K833" s="71" t="s">
        <v>511</v>
      </c>
      <c r="L833" t="s">
        <v>1945</v>
      </c>
      <c r="M833" t="str">
        <f t="shared" si="62"/>
        <v>05</v>
      </c>
      <c r="N833" t="str">
        <f t="shared" si="63"/>
        <v>11</v>
      </c>
      <c r="O833" t="str">
        <f t="shared" si="60"/>
        <v>2024</v>
      </c>
      <c r="P833" t="str">
        <f t="shared" si="64"/>
        <v>05-11-2024</v>
      </c>
    </row>
    <row r="834" spans="2:16" x14ac:dyDescent="0.3">
      <c r="B834" s="70">
        <v>45602</v>
      </c>
      <c r="C834" s="70">
        <f t="shared" si="61"/>
        <v>45597</v>
      </c>
      <c r="D834" s="94">
        <v>0</v>
      </c>
      <c r="E834" s="94">
        <v>491.22</v>
      </c>
      <c r="F834" s="92" t="s">
        <v>3341</v>
      </c>
      <c r="G834" s="75"/>
      <c r="H834" s="92" t="s">
        <v>3881</v>
      </c>
      <c r="I834" s="92" t="s">
        <v>3889</v>
      </c>
      <c r="K834" s="71" t="s">
        <v>2523</v>
      </c>
      <c r="L834" t="s">
        <v>1090</v>
      </c>
      <c r="M834" t="str">
        <f t="shared" si="62"/>
        <v>06</v>
      </c>
      <c r="N834" t="str">
        <f t="shared" si="63"/>
        <v>11</v>
      </c>
      <c r="O834" t="str">
        <f t="shared" si="60"/>
        <v>2024</v>
      </c>
      <c r="P834" t="str">
        <f t="shared" si="64"/>
        <v>06-11-2024</v>
      </c>
    </row>
    <row r="835" spans="2:16" x14ac:dyDescent="0.3">
      <c r="B835" s="70">
        <v>45602</v>
      </c>
      <c r="C835" s="70">
        <f t="shared" si="61"/>
        <v>45597</v>
      </c>
      <c r="D835" s="94">
        <v>90.03</v>
      </c>
      <c r="E835" s="94">
        <v>0</v>
      </c>
      <c r="F835" s="92" t="s">
        <v>3342</v>
      </c>
      <c r="G835" s="75"/>
      <c r="H835" s="92" t="s">
        <v>3881</v>
      </c>
      <c r="I835" s="92" t="s">
        <v>3889</v>
      </c>
      <c r="K835" s="71" t="s">
        <v>217</v>
      </c>
      <c r="L835" t="s">
        <v>30</v>
      </c>
      <c r="M835" t="str">
        <f t="shared" si="62"/>
        <v>06</v>
      </c>
      <c r="N835" t="str">
        <f t="shared" si="63"/>
        <v>11</v>
      </c>
      <c r="O835" t="str">
        <f t="shared" ref="O835:O898" si="65">TEXT(B835,"YYYY")</f>
        <v>2024</v>
      </c>
      <c r="P835" t="str">
        <f t="shared" si="64"/>
        <v>06-11-2024</v>
      </c>
    </row>
    <row r="836" spans="2:16" x14ac:dyDescent="0.3">
      <c r="B836" s="70">
        <v>45602</v>
      </c>
      <c r="C836" s="70">
        <f t="shared" ref="C836:C899" si="66">EOMONTH(B836,-1)+1</f>
        <v>45597</v>
      </c>
      <c r="D836" s="94">
        <v>1048.3</v>
      </c>
      <c r="E836" s="94">
        <v>0</v>
      </c>
      <c r="F836" s="92" t="s">
        <v>3343</v>
      </c>
      <c r="G836" s="75"/>
      <c r="H836" s="92" t="s">
        <v>589</v>
      </c>
      <c r="I836" s="92" t="s">
        <v>3892</v>
      </c>
      <c r="K836" s="71" t="s">
        <v>511</v>
      </c>
      <c r="L836" t="s">
        <v>1947</v>
      </c>
      <c r="M836" t="str">
        <f t="shared" ref="M836:M899" si="67">TEXT(B836,"DD")</f>
        <v>06</v>
      </c>
      <c r="N836" t="str">
        <f t="shared" ref="N836:N899" si="68">TEXT(B836,"MM")</f>
        <v>11</v>
      </c>
      <c r="O836" t="str">
        <f t="shared" si="65"/>
        <v>2024</v>
      </c>
      <c r="P836" t="str">
        <f t="shared" ref="P836:P899" si="69">M836&amp;"-"&amp;N836&amp;"-"&amp;O836</f>
        <v>06-11-2024</v>
      </c>
    </row>
    <row r="837" spans="2:16" x14ac:dyDescent="0.3">
      <c r="B837" s="70">
        <v>45603</v>
      </c>
      <c r="C837" s="70">
        <f t="shared" si="66"/>
        <v>45597</v>
      </c>
      <c r="D837" s="94">
        <v>0</v>
      </c>
      <c r="E837" s="94">
        <v>2671.04</v>
      </c>
      <c r="F837" s="92" t="s">
        <v>3344</v>
      </c>
      <c r="G837" s="75"/>
      <c r="H837" s="92" t="s">
        <v>3881</v>
      </c>
      <c r="I837" s="92" t="s">
        <v>3889</v>
      </c>
      <c r="K837" s="71" t="s">
        <v>2523</v>
      </c>
      <c r="L837" t="s">
        <v>1093</v>
      </c>
      <c r="M837" t="str">
        <f t="shared" si="67"/>
        <v>07</v>
      </c>
      <c r="N837" t="str">
        <f t="shared" si="68"/>
        <v>11</v>
      </c>
      <c r="O837" t="str">
        <f t="shared" si="65"/>
        <v>2024</v>
      </c>
      <c r="P837" t="str">
        <f t="shared" si="69"/>
        <v>07-11-2024</v>
      </c>
    </row>
    <row r="838" spans="2:16" x14ac:dyDescent="0.3">
      <c r="B838" s="70">
        <v>45603</v>
      </c>
      <c r="C838" s="70">
        <f t="shared" si="66"/>
        <v>45597</v>
      </c>
      <c r="D838" s="94">
        <v>90.2</v>
      </c>
      <c r="E838" s="94">
        <v>0</v>
      </c>
      <c r="F838" s="92" t="s">
        <v>3345</v>
      </c>
      <c r="G838" s="75"/>
      <c r="H838" s="92" t="s">
        <v>3881</v>
      </c>
      <c r="I838" s="92" t="s">
        <v>3889</v>
      </c>
      <c r="K838" s="71" t="s">
        <v>217</v>
      </c>
      <c r="L838" t="s">
        <v>30</v>
      </c>
      <c r="M838" t="str">
        <f t="shared" si="67"/>
        <v>07</v>
      </c>
      <c r="N838" t="str">
        <f t="shared" si="68"/>
        <v>11</v>
      </c>
      <c r="O838" t="str">
        <f t="shared" si="65"/>
        <v>2024</v>
      </c>
      <c r="P838" t="str">
        <f t="shared" si="69"/>
        <v>07-11-2024</v>
      </c>
    </row>
    <row r="839" spans="2:16" x14ac:dyDescent="0.3">
      <c r="B839" s="70">
        <v>45603</v>
      </c>
      <c r="C839" s="70">
        <f t="shared" si="66"/>
        <v>45597</v>
      </c>
      <c r="D839" s="94">
        <v>0</v>
      </c>
      <c r="E839" s="94">
        <v>620</v>
      </c>
      <c r="F839" s="92" t="s">
        <v>3346</v>
      </c>
      <c r="G839" s="75" t="s">
        <v>3910</v>
      </c>
      <c r="H839" s="92" t="s">
        <v>218</v>
      </c>
      <c r="I839" s="92" t="s">
        <v>3889</v>
      </c>
      <c r="K839" s="71" t="s">
        <v>218</v>
      </c>
      <c r="L839" t="s">
        <v>1096</v>
      </c>
      <c r="M839" t="str">
        <f t="shared" si="67"/>
        <v>07</v>
      </c>
      <c r="N839" t="str">
        <f t="shared" si="68"/>
        <v>11</v>
      </c>
      <c r="O839" t="str">
        <f t="shared" si="65"/>
        <v>2024</v>
      </c>
      <c r="P839" t="str">
        <f t="shared" si="69"/>
        <v>07-11-2024</v>
      </c>
    </row>
    <row r="840" spans="2:16" x14ac:dyDescent="0.3">
      <c r="B840" s="70">
        <v>45603</v>
      </c>
      <c r="C840" s="70">
        <f t="shared" si="66"/>
        <v>45597</v>
      </c>
      <c r="D840" s="94">
        <v>0</v>
      </c>
      <c r="E840" s="94">
        <v>1880</v>
      </c>
      <c r="F840" s="92" t="s">
        <v>3347</v>
      </c>
      <c r="G840" s="92" t="s">
        <v>222</v>
      </c>
      <c r="H840" s="92" t="s">
        <v>3876</v>
      </c>
      <c r="I840" s="92" t="s">
        <v>3889</v>
      </c>
      <c r="K840" s="71" t="s">
        <v>222</v>
      </c>
      <c r="L840" t="s">
        <v>1098</v>
      </c>
      <c r="M840" t="str">
        <f t="shared" si="67"/>
        <v>07</v>
      </c>
      <c r="N840" t="str">
        <f t="shared" si="68"/>
        <v>11</v>
      </c>
      <c r="O840" t="str">
        <f t="shared" si="65"/>
        <v>2024</v>
      </c>
      <c r="P840" t="str">
        <f t="shared" si="69"/>
        <v>07-11-2024</v>
      </c>
    </row>
    <row r="841" spans="2:16" x14ac:dyDescent="0.3">
      <c r="B841" s="70">
        <v>45603</v>
      </c>
      <c r="C841" s="70">
        <f t="shared" si="66"/>
        <v>45597</v>
      </c>
      <c r="D841" s="94">
        <v>1010.28</v>
      </c>
      <c r="E841" s="94">
        <v>0</v>
      </c>
      <c r="F841" s="92" t="s">
        <v>3345</v>
      </c>
      <c r="G841" s="75"/>
      <c r="H841" s="92" t="s">
        <v>3881</v>
      </c>
      <c r="I841" s="92" t="s">
        <v>3889</v>
      </c>
      <c r="K841" s="71" t="s">
        <v>217</v>
      </c>
      <c r="L841" t="s">
        <v>30</v>
      </c>
      <c r="M841" t="str">
        <f t="shared" si="67"/>
        <v>07</v>
      </c>
      <c r="N841" t="str">
        <f t="shared" si="68"/>
        <v>11</v>
      </c>
      <c r="O841" t="str">
        <f t="shared" si="65"/>
        <v>2024</v>
      </c>
      <c r="P841" t="str">
        <f t="shared" si="69"/>
        <v>07-11-2024</v>
      </c>
    </row>
    <row r="842" spans="2:16" x14ac:dyDescent="0.3">
      <c r="B842" s="70">
        <v>45604</v>
      </c>
      <c r="C842" s="70">
        <f t="shared" si="66"/>
        <v>45597</v>
      </c>
      <c r="D842" s="94">
        <v>90.79</v>
      </c>
      <c r="E842" s="94">
        <v>0</v>
      </c>
      <c r="F842" s="92" t="s">
        <v>3348</v>
      </c>
      <c r="G842" s="75"/>
      <c r="H842" s="92" t="s">
        <v>3881</v>
      </c>
      <c r="I842" s="92" t="s">
        <v>3889</v>
      </c>
      <c r="K842" s="71" t="s">
        <v>217</v>
      </c>
      <c r="L842" t="s">
        <v>30</v>
      </c>
      <c r="M842" t="str">
        <f t="shared" si="67"/>
        <v>08</v>
      </c>
      <c r="N842" t="str">
        <f t="shared" si="68"/>
        <v>11</v>
      </c>
      <c r="O842" t="str">
        <f t="shared" si="65"/>
        <v>2024</v>
      </c>
      <c r="P842" t="str">
        <f t="shared" si="69"/>
        <v>08-11-2024</v>
      </c>
    </row>
    <row r="843" spans="2:16" x14ac:dyDescent="0.3">
      <c r="B843" s="70">
        <v>45604</v>
      </c>
      <c r="C843" s="70">
        <f t="shared" si="66"/>
        <v>45597</v>
      </c>
      <c r="D843" s="94">
        <v>984.27</v>
      </c>
      <c r="E843" s="94">
        <v>0</v>
      </c>
      <c r="F843" s="92" t="s">
        <v>3348</v>
      </c>
      <c r="G843" s="75"/>
      <c r="H843" s="92" t="s">
        <v>3881</v>
      </c>
      <c r="I843" s="92" t="s">
        <v>3889</v>
      </c>
      <c r="K843" s="71" t="s">
        <v>217</v>
      </c>
      <c r="L843" t="s">
        <v>30</v>
      </c>
      <c r="M843" t="str">
        <f t="shared" si="67"/>
        <v>08</v>
      </c>
      <c r="N843" t="str">
        <f t="shared" si="68"/>
        <v>11</v>
      </c>
      <c r="O843" t="str">
        <f t="shared" si="65"/>
        <v>2024</v>
      </c>
      <c r="P843" t="str">
        <f t="shared" si="69"/>
        <v>08-11-2024</v>
      </c>
    </row>
    <row r="844" spans="2:16" x14ac:dyDescent="0.3">
      <c r="B844" s="70">
        <v>45604</v>
      </c>
      <c r="C844" s="70">
        <f t="shared" si="66"/>
        <v>45597</v>
      </c>
      <c r="D844" s="94">
        <v>15000</v>
      </c>
      <c r="E844" s="94">
        <v>0</v>
      </c>
      <c r="F844" s="92" t="s">
        <v>3349</v>
      </c>
      <c r="G844" s="75"/>
      <c r="H844" s="92" t="s">
        <v>512</v>
      </c>
      <c r="I844" s="92" t="s">
        <v>3892</v>
      </c>
      <c r="K844" s="71" t="s">
        <v>512</v>
      </c>
      <c r="L844" t="s">
        <v>1949</v>
      </c>
      <c r="M844" t="str">
        <f t="shared" si="67"/>
        <v>08</v>
      </c>
      <c r="N844" t="str">
        <f t="shared" si="68"/>
        <v>11</v>
      </c>
      <c r="O844" t="str">
        <f t="shared" si="65"/>
        <v>2024</v>
      </c>
      <c r="P844" t="str">
        <f t="shared" si="69"/>
        <v>08-11-2024</v>
      </c>
    </row>
    <row r="845" spans="2:16" x14ac:dyDescent="0.3">
      <c r="B845" s="70">
        <v>45604</v>
      </c>
      <c r="C845" s="70">
        <f t="shared" si="66"/>
        <v>45597</v>
      </c>
      <c r="D845" s="94">
        <v>0</v>
      </c>
      <c r="E845" s="94">
        <v>15000</v>
      </c>
      <c r="F845" s="92" t="s">
        <v>3350</v>
      </c>
      <c r="G845" s="75"/>
      <c r="H845" s="92" t="s">
        <v>512</v>
      </c>
      <c r="I845" s="92" t="s">
        <v>3892</v>
      </c>
      <c r="K845" s="71" t="s">
        <v>512</v>
      </c>
      <c r="L845" t="s">
        <v>1951</v>
      </c>
      <c r="M845" t="str">
        <f t="shared" si="67"/>
        <v>08</v>
      </c>
      <c r="N845" t="str">
        <f t="shared" si="68"/>
        <v>11</v>
      </c>
      <c r="O845" t="str">
        <f t="shared" si="65"/>
        <v>2024</v>
      </c>
      <c r="P845" t="str">
        <f t="shared" si="69"/>
        <v>08-11-2024</v>
      </c>
    </row>
    <row r="846" spans="2:16" x14ac:dyDescent="0.3">
      <c r="B846" s="70">
        <v>45604</v>
      </c>
      <c r="C846" s="70">
        <f t="shared" si="66"/>
        <v>45597</v>
      </c>
      <c r="D846" s="94">
        <v>15000</v>
      </c>
      <c r="E846" s="94">
        <v>0</v>
      </c>
      <c r="F846" s="92" t="s">
        <v>3351</v>
      </c>
      <c r="G846" s="75"/>
      <c r="H846" s="92" t="s">
        <v>512</v>
      </c>
      <c r="I846" s="92" t="s">
        <v>3892</v>
      </c>
      <c r="K846" s="71" t="s">
        <v>512</v>
      </c>
      <c r="L846" t="s">
        <v>1952</v>
      </c>
      <c r="M846" t="str">
        <f t="shared" si="67"/>
        <v>08</v>
      </c>
      <c r="N846" t="str">
        <f t="shared" si="68"/>
        <v>11</v>
      </c>
      <c r="O846" t="str">
        <f t="shared" si="65"/>
        <v>2024</v>
      </c>
      <c r="P846" t="str">
        <f t="shared" si="69"/>
        <v>08-11-2024</v>
      </c>
    </row>
    <row r="847" spans="2:16" x14ac:dyDescent="0.3">
      <c r="B847" s="70">
        <v>45604</v>
      </c>
      <c r="C847" s="70">
        <f t="shared" si="66"/>
        <v>45597</v>
      </c>
      <c r="D847" s="94">
        <v>0</v>
      </c>
      <c r="E847" s="94">
        <v>15000</v>
      </c>
      <c r="F847" s="92" t="s">
        <v>3352</v>
      </c>
      <c r="G847" s="75"/>
      <c r="H847" s="92" t="s">
        <v>512</v>
      </c>
      <c r="I847" s="92" t="s">
        <v>3892</v>
      </c>
      <c r="K847" s="71" t="s">
        <v>512</v>
      </c>
      <c r="L847" t="s">
        <v>1954</v>
      </c>
      <c r="M847" t="str">
        <f t="shared" si="67"/>
        <v>08</v>
      </c>
      <c r="N847" t="str">
        <f t="shared" si="68"/>
        <v>11</v>
      </c>
      <c r="O847" t="str">
        <f t="shared" si="65"/>
        <v>2024</v>
      </c>
      <c r="P847" t="str">
        <f t="shared" si="69"/>
        <v>08-11-2024</v>
      </c>
    </row>
    <row r="848" spans="2:16" x14ac:dyDescent="0.3">
      <c r="B848" s="70">
        <v>45604</v>
      </c>
      <c r="C848" s="70">
        <f t="shared" si="66"/>
        <v>45597</v>
      </c>
      <c r="D848" s="94">
        <v>15000</v>
      </c>
      <c r="E848" s="94">
        <v>0</v>
      </c>
      <c r="F848" s="92" t="s">
        <v>3353</v>
      </c>
      <c r="G848" s="75"/>
      <c r="H848" s="92" t="s">
        <v>512</v>
      </c>
      <c r="I848" s="92" t="s">
        <v>3892</v>
      </c>
      <c r="K848" s="71" t="s">
        <v>512</v>
      </c>
      <c r="L848" t="s">
        <v>1955</v>
      </c>
      <c r="M848" t="str">
        <f t="shared" si="67"/>
        <v>08</v>
      </c>
      <c r="N848" t="str">
        <f t="shared" si="68"/>
        <v>11</v>
      </c>
      <c r="O848" t="str">
        <f t="shared" si="65"/>
        <v>2024</v>
      </c>
      <c r="P848" t="str">
        <f t="shared" si="69"/>
        <v>08-11-2024</v>
      </c>
    </row>
    <row r="849" spans="2:16" x14ac:dyDescent="0.3">
      <c r="B849" s="70">
        <v>45604</v>
      </c>
      <c r="C849" s="70">
        <f t="shared" si="66"/>
        <v>45597</v>
      </c>
      <c r="D849" s="94">
        <v>170</v>
      </c>
      <c r="E849" s="94">
        <v>0</v>
      </c>
      <c r="F849" s="92" t="s">
        <v>3354</v>
      </c>
      <c r="G849" s="75"/>
      <c r="H849" s="92" t="s">
        <v>589</v>
      </c>
      <c r="I849" s="92" t="s">
        <v>3892</v>
      </c>
      <c r="K849" s="71" t="s">
        <v>511</v>
      </c>
      <c r="L849" t="s">
        <v>1957</v>
      </c>
      <c r="M849" t="str">
        <f t="shared" si="67"/>
        <v>08</v>
      </c>
      <c r="N849" t="str">
        <f t="shared" si="68"/>
        <v>11</v>
      </c>
      <c r="O849" t="str">
        <f t="shared" si="65"/>
        <v>2024</v>
      </c>
      <c r="P849" t="str">
        <f t="shared" si="69"/>
        <v>08-11-2024</v>
      </c>
    </row>
    <row r="850" spans="2:16" x14ac:dyDescent="0.3">
      <c r="B850" s="70">
        <v>45607</v>
      </c>
      <c r="C850" s="70">
        <f t="shared" si="66"/>
        <v>45597</v>
      </c>
      <c r="D850" s="94">
        <v>271.32</v>
      </c>
      <c r="E850" s="94">
        <v>0</v>
      </c>
      <c r="F850" s="92" t="s">
        <v>3355</v>
      </c>
      <c r="G850" s="75"/>
      <c r="H850" s="92" t="s">
        <v>3881</v>
      </c>
      <c r="I850" s="92" t="s">
        <v>3889</v>
      </c>
      <c r="K850" s="71" t="s">
        <v>217</v>
      </c>
      <c r="L850" t="s">
        <v>30</v>
      </c>
      <c r="M850" t="str">
        <f t="shared" si="67"/>
        <v>11</v>
      </c>
      <c r="N850" t="str">
        <f t="shared" si="68"/>
        <v>11</v>
      </c>
      <c r="O850" t="str">
        <f t="shared" si="65"/>
        <v>2024</v>
      </c>
      <c r="P850" t="str">
        <f t="shared" si="69"/>
        <v>11-11-2024</v>
      </c>
    </row>
    <row r="851" spans="2:16" x14ac:dyDescent="0.3">
      <c r="B851" s="70">
        <v>45608</v>
      </c>
      <c r="C851" s="70">
        <f t="shared" si="66"/>
        <v>45597</v>
      </c>
      <c r="D851" s="94">
        <v>150.01</v>
      </c>
      <c r="E851" s="94">
        <v>0</v>
      </c>
      <c r="F851" s="92" t="s">
        <v>3356</v>
      </c>
      <c r="G851" s="75"/>
      <c r="H851" s="92" t="s">
        <v>3881</v>
      </c>
      <c r="I851" s="92" t="s">
        <v>3889</v>
      </c>
      <c r="K851" s="71" t="s">
        <v>217</v>
      </c>
      <c r="L851" t="s">
        <v>30</v>
      </c>
      <c r="M851" t="str">
        <f t="shared" si="67"/>
        <v>12</v>
      </c>
      <c r="N851" t="str">
        <f t="shared" si="68"/>
        <v>11</v>
      </c>
      <c r="O851" t="str">
        <f t="shared" si="65"/>
        <v>2024</v>
      </c>
      <c r="P851" t="str">
        <f t="shared" si="69"/>
        <v>12-11-2024</v>
      </c>
    </row>
    <row r="852" spans="2:16" x14ac:dyDescent="0.3">
      <c r="B852" s="70">
        <v>45608</v>
      </c>
      <c r="C852" s="70">
        <f t="shared" si="66"/>
        <v>45597</v>
      </c>
      <c r="D852" s="94">
        <v>90.39</v>
      </c>
      <c r="E852" s="94">
        <v>0</v>
      </c>
      <c r="F852" s="92" t="s">
        <v>3356</v>
      </c>
      <c r="G852" s="75"/>
      <c r="H852" s="92" t="s">
        <v>3881</v>
      </c>
      <c r="I852" s="92" t="s">
        <v>3889</v>
      </c>
      <c r="K852" s="71" t="s">
        <v>217</v>
      </c>
      <c r="L852" t="s">
        <v>30</v>
      </c>
      <c r="M852" t="str">
        <f t="shared" si="67"/>
        <v>12</v>
      </c>
      <c r="N852" t="str">
        <f t="shared" si="68"/>
        <v>11</v>
      </c>
      <c r="O852" t="str">
        <f t="shared" si="65"/>
        <v>2024</v>
      </c>
      <c r="P852" t="str">
        <f t="shared" si="69"/>
        <v>12-11-2024</v>
      </c>
    </row>
    <row r="853" spans="2:16" x14ac:dyDescent="0.3">
      <c r="B853" s="70">
        <v>45608</v>
      </c>
      <c r="C853" s="70">
        <f t="shared" si="66"/>
        <v>45597</v>
      </c>
      <c r="D853" s="94">
        <v>1818.18</v>
      </c>
      <c r="E853" s="94">
        <v>0</v>
      </c>
      <c r="F853" s="92" t="s">
        <v>3356</v>
      </c>
      <c r="G853" s="75"/>
      <c r="H853" s="92" t="s">
        <v>3881</v>
      </c>
      <c r="I853" s="92" t="s">
        <v>3889</v>
      </c>
      <c r="K853" s="71" t="s">
        <v>217</v>
      </c>
      <c r="L853" t="s">
        <v>30</v>
      </c>
      <c r="M853" t="str">
        <f t="shared" si="67"/>
        <v>12</v>
      </c>
      <c r="N853" t="str">
        <f t="shared" si="68"/>
        <v>11</v>
      </c>
      <c r="O853" t="str">
        <f t="shared" si="65"/>
        <v>2024</v>
      </c>
      <c r="P853" t="str">
        <f t="shared" si="69"/>
        <v>12-11-2024</v>
      </c>
    </row>
    <row r="854" spans="2:16" x14ac:dyDescent="0.3">
      <c r="B854" s="70">
        <v>45608</v>
      </c>
      <c r="C854" s="70">
        <f t="shared" si="66"/>
        <v>45597</v>
      </c>
      <c r="D854" s="94">
        <v>271.8</v>
      </c>
      <c r="E854" s="94">
        <v>0</v>
      </c>
      <c r="F854" s="92" t="s">
        <v>3357</v>
      </c>
      <c r="G854" s="75"/>
      <c r="H854" s="92" t="s">
        <v>589</v>
      </c>
      <c r="I854" s="92" t="s">
        <v>3892</v>
      </c>
      <c r="K854" s="71" t="s">
        <v>511</v>
      </c>
      <c r="L854" t="s">
        <v>1959</v>
      </c>
      <c r="M854" t="str">
        <f t="shared" si="67"/>
        <v>12</v>
      </c>
      <c r="N854" t="str">
        <f t="shared" si="68"/>
        <v>11</v>
      </c>
      <c r="O854" t="str">
        <f t="shared" si="65"/>
        <v>2024</v>
      </c>
      <c r="P854" t="str">
        <f t="shared" si="69"/>
        <v>12-11-2024</v>
      </c>
    </row>
    <row r="855" spans="2:16" x14ac:dyDescent="0.3">
      <c r="B855" s="70">
        <v>45609</v>
      </c>
      <c r="C855" s="70">
        <f t="shared" si="66"/>
        <v>45597</v>
      </c>
      <c r="D855" s="94">
        <v>0</v>
      </c>
      <c r="E855" s="94">
        <v>437.5</v>
      </c>
      <c r="F855" s="92" t="s">
        <v>3358</v>
      </c>
      <c r="G855" s="75" t="s">
        <v>3908</v>
      </c>
      <c r="H855" s="92" t="s">
        <v>218</v>
      </c>
      <c r="I855" s="92" t="s">
        <v>3889</v>
      </c>
      <c r="K855" s="71" t="s">
        <v>218</v>
      </c>
      <c r="L855" t="s">
        <v>1107</v>
      </c>
      <c r="M855" t="str">
        <f t="shared" si="67"/>
        <v>13</v>
      </c>
      <c r="N855" t="str">
        <f t="shared" si="68"/>
        <v>11</v>
      </c>
      <c r="O855" t="str">
        <f t="shared" si="65"/>
        <v>2024</v>
      </c>
      <c r="P855" t="str">
        <f t="shared" si="69"/>
        <v>13-11-2024</v>
      </c>
    </row>
    <row r="856" spans="2:16" x14ac:dyDescent="0.3">
      <c r="B856" s="70">
        <v>45609</v>
      </c>
      <c r="C856" s="70">
        <f t="shared" si="66"/>
        <v>45597</v>
      </c>
      <c r="D856" s="94">
        <v>1227.2</v>
      </c>
      <c r="E856" s="94">
        <v>0</v>
      </c>
      <c r="F856" s="92" t="s">
        <v>3359</v>
      </c>
      <c r="G856" s="75"/>
      <c r="H856" s="92" t="s">
        <v>220</v>
      </c>
      <c r="I856" s="92" t="s">
        <v>3889</v>
      </c>
      <c r="K856" s="71" t="s">
        <v>220</v>
      </c>
      <c r="L856" t="s">
        <v>1109</v>
      </c>
      <c r="M856" t="str">
        <f t="shared" si="67"/>
        <v>13</v>
      </c>
      <c r="N856" t="str">
        <f t="shared" si="68"/>
        <v>11</v>
      </c>
      <c r="O856" t="str">
        <f t="shared" si="65"/>
        <v>2024</v>
      </c>
      <c r="P856" t="str">
        <f t="shared" si="69"/>
        <v>13-11-2024</v>
      </c>
    </row>
    <row r="857" spans="2:16" x14ac:dyDescent="0.3">
      <c r="B857" s="70">
        <v>45609</v>
      </c>
      <c r="C857" s="70">
        <f t="shared" si="66"/>
        <v>45597</v>
      </c>
      <c r="D857" s="94">
        <v>89.74</v>
      </c>
      <c r="E857" s="94">
        <v>0</v>
      </c>
      <c r="F857" s="92" t="s">
        <v>3360</v>
      </c>
      <c r="G857" s="75"/>
      <c r="H857" s="92" t="s">
        <v>3881</v>
      </c>
      <c r="I857" s="92" t="s">
        <v>3889</v>
      </c>
      <c r="K857" s="71" t="s">
        <v>217</v>
      </c>
      <c r="L857" t="s">
        <v>30</v>
      </c>
      <c r="M857" t="str">
        <f t="shared" si="67"/>
        <v>13</v>
      </c>
      <c r="N857" t="str">
        <f t="shared" si="68"/>
        <v>11</v>
      </c>
      <c r="O857" t="str">
        <f t="shared" si="65"/>
        <v>2024</v>
      </c>
      <c r="P857" t="str">
        <f t="shared" si="69"/>
        <v>13-11-2024</v>
      </c>
    </row>
    <row r="858" spans="2:16" x14ac:dyDescent="0.3">
      <c r="B858" s="70">
        <v>45609</v>
      </c>
      <c r="C858" s="70">
        <f t="shared" si="66"/>
        <v>45597</v>
      </c>
      <c r="D858" s="94">
        <v>3724.48</v>
      </c>
      <c r="E858" s="94">
        <v>0</v>
      </c>
      <c r="F858" s="92" t="s">
        <v>3360</v>
      </c>
      <c r="G858" s="75"/>
      <c r="H858" s="92" t="s">
        <v>3881</v>
      </c>
      <c r="I858" s="92" t="s">
        <v>3889</v>
      </c>
      <c r="K858" s="71" t="s">
        <v>217</v>
      </c>
      <c r="L858" t="s">
        <v>30</v>
      </c>
      <c r="M858" t="str">
        <f t="shared" si="67"/>
        <v>13</v>
      </c>
      <c r="N858" t="str">
        <f t="shared" si="68"/>
        <v>11</v>
      </c>
      <c r="O858" t="str">
        <f t="shared" si="65"/>
        <v>2024</v>
      </c>
      <c r="P858" t="str">
        <f t="shared" si="69"/>
        <v>13-11-2024</v>
      </c>
    </row>
    <row r="859" spans="2:16" x14ac:dyDescent="0.3">
      <c r="B859" s="70">
        <v>45609</v>
      </c>
      <c r="C859" s="70">
        <f t="shared" si="66"/>
        <v>45597</v>
      </c>
      <c r="D859" s="94">
        <v>35</v>
      </c>
      <c r="E859" s="94">
        <v>0</v>
      </c>
      <c r="F859" s="92" t="s">
        <v>3361</v>
      </c>
      <c r="G859" s="75"/>
      <c r="H859" s="92" t="s">
        <v>589</v>
      </c>
      <c r="I859" s="92" t="s">
        <v>3892</v>
      </c>
      <c r="K859" s="71" t="s">
        <v>511</v>
      </c>
      <c r="L859" t="s">
        <v>1961</v>
      </c>
      <c r="M859" t="str">
        <f t="shared" si="67"/>
        <v>13</v>
      </c>
      <c r="N859" t="str">
        <f t="shared" si="68"/>
        <v>11</v>
      </c>
      <c r="O859" t="str">
        <f t="shared" si="65"/>
        <v>2024</v>
      </c>
      <c r="P859" t="str">
        <f t="shared" si="69"/>
        <v>13-11-2024</v>
      </c>
    </row>
    <row r="860" spans="2:16" x14ac:dyDescent="0.3">
      <c r="B860" s="70">
        <v>45609</v>
      </c>
      <c r="C860" s="70">
        <f t="shared" si="66"/>
        <v>45597</v>
      </c>
      <c r="D860" s="94">
        <v>1500</v>
      </c>
      <c r="E860" s="94">
        <v>0</v>
      </c>
      <c r="F860" s="92" t="s">
        <v>3362</v>
      </c>
      <c r="G860" s="75"/>
      <c r="H860" s="92" t="s">
        <v>589</v>
      </c>
      <c r="I860" s="92" t="s">
        <v>3892</v>
      </c>
      <c r="K860" s="71" t="s">
        <v>511</v>
      </c>
      <c r="L860" t="s">
        <v>1963</v>
      </c>
      <c r="M860" t="str">
        <f t="shared" si="67"/>
        <v>13</v>
      </c>
      <c r="N860" t="str">
        <f t="shared" si="68"/>
        <v>11</v>
      </c>
      <c r="O860" t="str">
        <f t="shared" si="65"/>
        <v>2024</v>
      </c>
      <c r="P860" t="str">
        <f t="shared" si="69"/>
        <v>13-11-2024</v>
      </c>
    </row>
    <row r="861" spans="2:16" x14ac:dyDescent="0.3">
      <c r="B861" s="70">
        <v>45610</v>
      </c>
      <c r="C861" s="70">
        <f t="shared" si="66"/>
        <v>45597</v>
      </c>
      <c r="D861" s="94">
        <v>88.42</v>
      </c>
      <c r="E861" s="94">
        <v>0</v>
      </c>
      <c r="F861" s="92" t="s">
        <v>3363</v>
      </c>
      <c r="G861" s="75"/>
      <c r="H861" s="92" t="s">
        <v>3881</v>
      </c>
      <c r="I861" s="92" t="s">
        <v>3889</v>
      </c>
      <c r="K861" s="71" t="s">
        <v>217</v>
      </c>
      <c r="L861" t="s">
        <v>30</v>
      </c>
      <c r="M861" t="str">
        <f t="shared" si="67"/>
        <v>14</v>
      </c>
      <c r="N861" t="str">
        <f t="shared" si="68"/>
        <v>11</v>
      </c>
      <c r="O861" t="str">
        <f t="shared" si="65"/>
        <v>2024</v>
      </c>
      <c r="P861" t="str">
        <f t="shared" si="69"/>
        <v>14-11-2024</v>
      </c>
    </row>
    <row r="862" spans="2:16" x14ac:dyDescent="0.3">
      <c r="B862" s="70">
        <v>45610</v>
      </c>
      <c r="C862" s="70">
        <f t="shared" si="66"/>
        <v>45597</v>
      </c>
      <c r="D862" s="94">
        <v>321.52</v>
      </c>
      <c r="E862" s="94">
        <v>0</v>
      </c>
      <c r="F862" s="92" t="s">
        <v>3363</v>
      </c>
      <c r="G862" s="75"/>
      <c r="H862" s="92" t="s">
        <v>3881</v>
      </c>
      <c r="I862" s="92" t="s">
        <v>3889</v>
      </c>
      <c r="K862" s="71" t="s">
        <v>217</v>
      </c>
      <c r="L862" t="s">
        <v>30</v>
      </c>
      <c r="M862" t="str">
        <f t="shared" si="67"/>
        <v>14</v>
      </c>
      <c r="N862" t="str">
        <f t="shared" si="68"/>
        <v>11</v>
      </c>
      <c r="O862" t="str">
        <f t="shared" si="65"/>
        <v>2024</v>
      </c>
      <c r="P862" t="str">
        <f t="shared" si="69"/>
        <v>14-11-2024</v>
      </c>
    </row>
    <row r="863" spans="2:16" x14ac:dyDescent="0.3">
      <c r="B863" s="70">
        <v>45610</v>
      </c>
      <c r="C863" s="70">
        <f t="shared" si="66"/>
        <v>45597</v>
      </c>
      <c r="D863" s="94">
        <v>2000</v>
      </c>
      <c r="E863" s="94">
        <v>0</v>
      </c>
      <c r="F863" s="92" t="s">
        <v>3364</v>
      </c>
      <c r="G863" s="75"/>
      <c r="H863" s="92" t="s">
        <v>589</v>
      </c>
      <c r="I863" s="92" t="s">
        <v>3892</v>
      </c>
      <c r="K863" s="71" t="s">
        <v>511</v>
      </c>
      <c r="L863" t="s">
        <v>1965</v>
      </c>
      <c r="M863" t="str">
        <f t="shared" si="67"/>
        <v>14</v>
      </c>
      <c r="N863" t="str">
        <f t="shared" si="68"/>
        <v>11</v>
      </c>
      <c r="O863" t="str">
        <f t="shared" si="65"/>
        <v>2024</v>
      </c>
      <c r="P863" t="str">
        <f t="shared" si="69"/>
        <v>14-11-2024</v>
      </c>
    </row>
    <row r="864" spans="2:16" x14ac:dyDescent="0.3">
      <c r="B864" s="70">
        <v>45612</v>
      </c>
      <c r="C864" s="70">
        <f t="shared" si="66"/>
        <v>45597</v>
      </c>
      <c r="D864" s="94">
        <v>120</v>
      </c>
      <c r="E864" s="94">
        <v>0</v>
      </c>
      <c r="F864" s="92" t="s">
        <v>3365</v>
      </c>
      <c r="G864" s="75"/>
      <c r="H864" s="92" t="s">
        <v>589</v>
      </c>
      <c r="I864" s="92" t="s">
        <v>3892</v>
      </c>
      <c r="K864" s="71" t="s">
        <v>511</v>
      </c>
      <c r="L864" t="s">
        <v>1967</v>
      </c>
      <c r="M864" t="str">
        <f t="shared" si="67"/>
        <v>16</v>
      </c>
      <c r="N864" t="str">
        <f t="shared" si="68"/>
        <v>11</v>
      </c>
      <c r="O864" t="str">
        <f t="shared" si="65"/>
        <v>2024</v>
      </c>
      <c r="P864" t="str">
        <f t="shared" si="69"/>
        <v>16-11-2024</v>
      </c>
    </row>
    <row r="865" spans="2:16" x14ac:dyDescent="0.3">
      <c r="B865" s="70">
        <v>45612</v>
      </c>
      <c r="C865" s="70">
        <f t="shared" si="66"/>
        <v>45597</v>
      </c>
      <c r="D865" s="94">
        <v>125</v>
      </c>
      <c r="E865" s="94">
        <v>0</v>
      </c>
      <c r="F865" s="92" t="s">
        <v>3366</v>
      </c>
      <c r="G865" s="75"/>
      <c r="H865" s="92" t="s">
        <v>589</v>
      </c>
      <c r="I865" s="92" t="s">
        <v>3892</v>
      </c>
      <c r="K865" s="71" t="s">
        <v>511</v>
      </c>
      <c r="L865" t="s">
        <v>1969</v>
      </c>
      <c r="M865" t="str">
        <f t="shared" si="67"/>
        <v>16</v>
      </c>
      <c r="N865" t="str">
        <f t="shared" si="68"/>
        <v>11</v>
      </c>
      <c r="O865" t="str">
        <f t="shared" si="65"/>
        <v>2024</v>
      </c>
      <c r="P865" t="str">
        <f t="shared" si="69"/>
        <v>16-11-2024</v>
      </c>
    </row>
    <row r="866" spans="2:16" x14ac:dyDescent="0.3">
      <c r="B866" s="70">
        <v>45612</v>
      </c>
      <c r="C866" s="70">
        <f t="shared" si="66"/>
        <v>45597</v>
      </c>
      <c r="D866" s="94">
        <v>437.25</v>
      </c>
      <c r="E866" s="94">
        <v>0</v>
      </c>
      <c r="F866" s="92" t="s">
        <v>3367</v>
      </c>
      <c r="G866" s="75"/>
      <c r="H866" s="92" t="s">
        <v>589</v>
      </c>
      <c r="I866" s="92" t="s">
        <v>3892</v>
      </c>
      <c r="K866" s="71" t="s">
        <v>511</v>
      </c>
      <c r="L866" t="s">
        <v>1971</v>
      </c>
      <c r="M866" t="str">
        <f t="shared" si="67"/>
        <v>16</v>
      </c>
      <c r="N866" t="str">
        <f t="shared" si="68"/>
        <v>11</v>
      </c>
      <c r="O866" t="str">
        <f t="shared" si="65"/>
        <v>2024</v>
      </c>
      <c r="P866" t="str">
        <f t="shared" si="69"/>
        <v>16-11-2024</v>
      </c>
    </row>
    <row r="867" spans="2:16" x14ac:dyDescent="0.3">
      <c r="B867" s="70">
        <v>45612</v>
      </c>
      <c r="C867" s="70">
        <f t="shared" si="66"/>
        <v>45597</v>
      </c>
      <c r="D867" s="94">
        <v>0</v>
      </c>
      <c r="E867" s="94">
        <v>200</v>
      </c>
      <c r="F867" s="92" t="s">
        <v>3368</v>
      </c>
      <c r="G867" s="75"/>
      <c r="H867" s="92" t="s">
        <v>589</v>
      </c>
      <c r="I867" s="92" t="s">
        <v>3892</v>
      </c>
      <c r="K867" s="71" t="s">
        <v>511</v>
      </c>
      <c r="L867" t="s">
        <v>1973</v>
      </c>
      <c r="M867" t="str">
        <f t="shared" si="67"/>
        <v>16</v>
      </c>
      <c r="N867" t="str">
        <f t="shared" si="68"/>
        <v>11</v>
      </c>
      <c r="O867" t="str">
        <f t="shared" si="65"/>
        <v>2024</v>
      </c>
      <c r="P867" t="str">
        <f t="shared" si="69"/>
        <v>16-11-2024</v>
      </c>
    </row>
    <row r="868" spans="2:16" x14ac:dyDescent="0.3">
      <c r="B868" s="70">
        <v>45613</v>
      </c>
      <c r="C868" s="70">
        <f t="shared" si="66"/>
        <v>45597</v>
      </c>
      <c r="D868" s="94">
        <v>250</v>
      </c>
      <c r="E868" s="94">
        <v>0</v>
      </c>
      <c r="F868" s="92" t="s">
        <v>3369</v>
      </c>
      <c r="G868" s="75"/>
      <c r="H868" s="92" t="s">
        <v>589</v>
      </c>
      <c r="I868" s="92" t="s">
        <v>3892</v>
      </c>
      <c r="K868" s="71" t="s">
        <v>511</v>
      </c>
      <c r="L868" t="s">
        <v>1975</v>
      </c>
      <c r="M868" t="str">
        <f t="shared" si="67"/>
        <v>17</v>
      </c>
      <c r="N868" t="str">
        <f t="shared" si="68"/>
        <v>11</v>
      </c>
      <c r="O868" t="str">
        <f t="shared" si="65"/>
        <v>2024</v>
      </c>
      <c r="P868" t="str">
        <f t="shared" si="69"/>
        <v>17-11-2024</v>
      </c>
    </row>
    <row r="869" spans="2:16" x14ac:dyDescent="0.3">
      <c r="B869" s="70">
        <v>45613</v>
      </c>
      <c r="C869" s="70">
        <f t="shared" si="66"/>
        <v>45597</v>
      </c>
      <c r="D869" s="94">
        <v>50</v>
      </c>
      <c r="E869" s="94">
        <v>0</v>
      </c>
      <c r="F869" s="92" t="s">
        <v>3370</v>
      </c>
      <c r="G869" s="75"/>
      <c r="H869" s="92" t="s">
        <v>589</v>
      </c>
      <c r="I869" s="92" t="s">
        <v>3892</v>
      </c>
      <c r="K869" s="71" t="s">
        <v>511</v>
      </c>
      <c r="L869" t="s">
        <v>1977</v>
      </c>
      <c r="M869" t="str">
        <f t="shared" si="67"/>
        <v>17</v>
      </c>
      <c r="N869" t="str">
        <f t="shared" si="68"/>
        <v>11</v>
      </c>
      <c r="O869" t="str">
        <f t="shared" si="65"/>
        <v>2024</v>
      </c>
      <c r="P869" t="str">
        <f t="shared" si="69"/>
        <v>17-11-2024</v>
      </c>
    </row>
    <row r="870" spans="2:16" x14ac:dyDescent="0.3">
      <c r="B870" s="70">
        <v>45613</v>
      </c>
      <c r="C870" s="70">
        <f t="shared" si="66"/>
        <v>45597</v>
      </c>
      <c r="D870" s="94">
        <v>110</v>
      </c>
      <c r="E870" s="94">
        <v>0</v>
      </c>
      <c r="F870" s="92" t="s">
        <v>3371</v>
      </c>
      <c r="G870" s="75"/>
      <c r="H870" s="92" t="s">
        <v>589</v>
      </c>
      <c r="I870" s="92" t="s">
        <v>3892</v>
      </c>
      <c r="K870" s="71" t="s">
        <v>511</v>
      </c>
      <c r="L870" t="s">
        <v>1979</v>
      </c>
      <c r="M870" t="str">
        <f t="shared" si="67"/>
        <v>17</v>
      </c>
      <c r="N870" t="str">
        <f t="shared" si="68"/>
        <v>11</v>
      </c>
      <c r="O870" t="str">
        <f t="shared" si="65"/>
        <v>2024</v>
      </c>
      <c r="P870" t="str">
        <f t="shared" si="69"/>
        <v>17-11-2024</v>
      </c>
    </row>
    <row r="871" spans="2:16" x14ac:dyDescent="0.3">
      <c r="B871" s="70">
        <v>45614</v>
      </c>
      <c r="C871" s="70">
        <f t="shared" si="66"/>
        <v>45597</v>
      </c>
      <c r="D871" s="94">
        <v>353.2</v>
      </c>
      <c r="E871" s="94">
        <v>0</v>
      </c>
      <c r="F871" s="92" t="s">
        <v>3372</v>
      </c>
      <c r="G871" s="75"/>
      <c r="H871" s="92" t="s">
        <v>3881</v>
      </c>
      <c r="I871" s="92" t="s">
        <v>3889</v>
      </c>
      <c r="K871" s="71" t="s">
        <v>217</v>
      </c>
      <c r="L871" t="s">
        <v>30</v>
      </c>
      <c r="M871" t="str">
        <f t="shared" si="67"/>
        <v>18</v>
      </c>
      <c r="N871" t="str">
        <f t="shared" si="68"/>
        <v>11</v>
      </c>
      <c r="O871" t="str">
        <f t="shared" si="65"/>
        <v>2024</v>
      </c>
      <c r="P871" t="str">
        <f t="shared" si="69"/>
        <v>18-11-2024</v>
      </c>
    </row>
    <row r="872" spans="2:16" x14ac:dyDescent="0.3">
      <c r="B872" s="70">
        <v>45614</v>
      </c>
      <c r="C872" s="70">
        <f t="shared" si="66"/>
        <v>45597</v>
      </c>
      <c r="D872" s="94">
        <v>481.35</v>
      </c>
      <c r="E872" s="94">
        <v>0</v>
      </c>
      <c r="F872" s="92" t="s">
        <v>3372</v>
      </c>
      <c r="G872" s="75"/>
      <c r="H872" s="92" t="s">
        <v>3881</v>
      </c>
      <c r="I872" s="92" t="s">
        <v>3889</v>
      </c>
      <c r="K872" s="71" t="s">
        <v>217</v>
      </c>
      <c r="L872" t="s">
        <v>30</v>
      </c>
      <c r="M872" t="str">
        <f t="shared" si="67"/>
        <v>18</v>
      </c>
      <c r="N872" t="str">
        <f t="shared" si="68"/>
        <v>11</v>
      </c>
      <c r="O872" t="str">
        <f t="shared" si="65"/>
        <v>2024</v>
      </c>
      <c r="P872" t="str">
        <f t="shared" si="69"/>
        <v>18-11-2024</v>
      </c>
    </row>
    <row r="873" spans="2:16" x14ac:dyDescent="0.3">
      <c r="B873" s="70">
        <v>45614</v>
      </c>
      <c r="C873" s="70">
        <f t="shared" si="66"/>
        <v>45597</v>
      </c>
      <c r="D873" s="94">
        <v>87</v>
      </c>
      <c r="E873" s="94">
        <v>0</v>
      </c>
      <c r="F873" s="92" t="s">
        <v>3373</v>
      </c>
      <c r="G873" s="75"/>
      <c r="H873" s="92" t="s">
        <v>589</v>
      </c>
      <c r="I873" s="92" t="s">
        <v>3892</v>
      </c>
      <c r="K873" s="71" t="s">
        <v>511</v>
      </c>
      <c r="L873" t="s">
        <v>1981</v>
      </c>
      <c r="M873" t="str">
        <f t="shared" si="67"/>
        <v>18</v>
      </c>
      <c r="N873" t="str">
        <f t="shared" si="68"/>
        <v>11</v>
      </c>
      <c r="O873" t="str">
        <f t="shared" si="65"/>
        <v>2024</v>
      </c>
      <c r="P873" t="str">
        <f t="shared" si="69"/>
        <v>18-11-2024</v>
      </c>
    </row>
    <row r="874" spans="2:16" x14ac:dyDescent="0.3">
      <c r="B874" s="70">
        <v>45614</v>
      </c>
      <c r="C874" s="70">
        <f t="shared" si="66"/>
        <v>45597</v>
      </c>
      <c r="D874" s="94">
        <v>0</v>
      </c>
      <c r="E874" s="94">
        <v>2.5</v>
      </c>
      <c r="F874" s="92" t="s">
        <v>3374</v>
      </c>
      <c r="G874" s="75" t="s">
        <v>3933</v>
      </c>
      <c r="H874" s="92" t="s">
        <v>218</v>
      </c>
      <c r="I874" s="92" t="s">
        <v>3892</v>
      </c>
      <c r="K874" s="71" t="s">
        <v>218</v>
      </c>
      <c r="L874" t="s">
        <v>1983</v>
      </c>
      <c r="M874" t="str">
        <f t="shared" si="67"/>
        <v>18</v>
      </c>
      <c r="N874" t="str">
        <f t="shared" si="68"/>
        <v>11</v>
      </c>
      <c r="O874" t="str">
        <f t="shared" si="65"/>
        <v>2024</v>
      </c>
      <c r="P874" t="str">
        <f t="shared" si="69"/>
        <v>18-11-2024</v>
      </c>
    </row>
    <row r="875" spans="2:16" x14ac:dyDescent="0.3">
      <c r="B875" s="70">
        <v>45615</v>
      </c>
      <c r="C875" s="70">
        <f t="shared" si="66"/>
        <v>45597</v>
      </c>
      <c r="D875" s="94">
        <v>88.13</v>
      </c>
      <c r="E875" s="94">
        <v>0</v>
      </c>
      <c r="F875" s="92" t="s">
        <v>3375</v>
      </c>
      <c r="G875" s="75"/>
      <c r="H875" s="92" t="s">
        <v>3881</v>
      </c>
      <c r="I875" s="92" t="s">
        <v>3889</v>
      </c>
      <c r="K875" s="71" t="s">
        <v>217</v>
      </c>
      <c r="L875" t="s">
        <v>30</v>
      </c>
      <c r="M875" t="str">
        <f t="shared" si="67"/>
        <v>19</v>
      </c>
      <c r="N875" t="str">
        <f t="shared" si="68"/>
        <v>11</v>
      </c>
      <c r="O875" t="str">
        <f t="shared" si="65"/>
        <v>2024</v>
      </c>
      <c r="P875" t="str">
        <f t="shared" si="69"/>
        <v>19-11-2024</v>
      </c>
    </row>
    <row r="876" spans="2:16" x14ac:dyDescent="0.3">
      <c r="B876" s="70">
        <v>45615</v>
      </c>
      <c r="C876" s="70">
        <f t="shared" si="66"/>
        <v>45597</v>
      </c>
      <c r="D876" s="94">
        <v>999.68</v>
      </c>
      <c r="E876" s="94">
        <v>0</v>
      </c>
      <c r="F876" s="92" t="s">
        <v>3375</v>
      </c>
      <c r="G876" s="75"/>
      <c r="H876" s="92" t="s">
        <v>3881</v>
      </c>
      <c r="I876" s="92" t="s">
        <v>3889</v>
      </c>
      <c r="K876" s="71" t="s">
        <v>217</v>
      </c>
      <c r="L876" t="s">
        <v>30</v>
      </c>
      <c r="M876" t="str">
        <f t="shared" si="67"/>
        <v>19</v>
      </c>
      <c r="N876" t="str">
        <f t="shared" si="68"/>
        <v>11</v>
      </c>
      <c r="O876" t="str">
        <f t="shared" si="65"/>
        <v>2024</v>
      </c>
      <c r="P876" t="str">
        <f t="shared" si="69"/>
        <v>19-11-2024</v>
      </c>
    </row>
    <row r="877" spans="2:16" x14ac:dyDescent="0.3">
      <c r="B877" s="70">
        <v>45615</v>
      </c>
      <c r="C877" s="70">
        <f t="shared" si="66"/>
        <v>45597</v>
      </c>
      <c r="D877" s="94">
        <v>0</v>
      </c>
      <c r="E877" s="94">
        <v>475</v>
      </c>
      <c r="F877" s="92" t="s">
        <v>3376</v>
      </c>
      <c r="G877" s="75" t="s">
        <v>3917</v>
      </c>
      <c r="H877" s="92" t="s">
        <v>218</v>
      </c>
      <c r="I877" s="92" t="s">
        <v>3892</v>
      </c>
      <c r="K877" s="71" t="s">
        <v>218</v>
      </c>
      <c r="L877" t="s">
        <v>1985</v>
      </c>
      <c r="M877" t="str">
        <f t="shared" si="67"/>
        <v>19</v>
      </c>
      <c r="N877" t="str">
        <f t="shared" si="68"/>
        <v>11</v>
      </c>
      <c r="O877" t="str">
        <f t="shared" si="65"/>
        <v>2024</v>
      </c>
      <c r="P877" t="str">
        <f t="shared" si="69"/>
        <v>19-11-2024</v>
      </c>
    </row>
    <row r="878" spans="2:16" x14ac:dyDescent="0.3">
      <c r="B878" s="70">
        <v>45615</v>
      </c>
      <c r="C878" s="70">
        <f t="shared" si="66"/>
        <v>45597</v>
      </c>
      <c r="D878" s="94">
        <v>2000</v>
      </c>
      <c r="E878" s="94">
        <v>0</v>
      </c>
      <c r="F878" s="92" t="s">
        <v>3377</v>
      </c>
      <c r="G878" s="75"/>
      <c r="H878" s="92" t="s">
        <v>589</v>
      </c>
      <c r="I878" s="92" t="s">
        <v>3892</v>
      </c>
      <c r="K878" s="71" t="s">
        <v>511</v>
      </c>
      <c r="L878" t="s">
        <v>1987</v>
      </c>
      <c r="M878" t="str">
        <f t="shared" si="67"/>
        <v>19</v>
      </c>
      <c r="N878" t="str">
        <f t="shared" si="68"/>
        <v>11</v>
      </c>
      <c r="O878" t="str">
        <f t="shared" si="65"/>
        <v>2024</v>
      </c>
      <c r="P878" t="str">
        <f t="shared" si="69"/>
        <v>19-11-2024</v>
      </c>
    </row>
    <row r="879" spans="2:16" x14ac:dyDescent="0.3">
      <c r="B879" s="70">
        <v>45616</v>
      </c>
      <c r="C879" s="70">
        <f t="shared" si="66"/>
        <v>45597</v>
      </c>
      <c r="D879" s="94">
        <v>1000</v>
      </c>
      <c r="E879" s="94">
        <v>0</v>
      </c>
      <c r="F879" s="92" t="s">
        <v>3378</v>
      </c>
      <c r="G879" s="75"/>
      <c r="H879" s="92" t="s">
        <v>589</v>
      </c>
      <c r="I879" s="92" t="s">
        <v>3892</v>
      </c>
      <c r="K879" s="71" t="s">
        <v>511</v>
      </c>
      <c r="L879" t="s">
        <v>1989</v>
      </c>
      <c r="M879" t="str">
        <f t="shared" si="67"/>
        <v>20</v>
      </c>
      <c r="N879" t="str">
        <f t="shared" si="68"/>
        <v>11</v>
      </c>
      <c r="O879" t="str">
        <f t="shared" si="65"/>
        <v>2024</v>
      </c>
      <c r="P879" t="str">
        <f t="shared" si="69"/>
        <v>20-11-2024</v>
      </c>
    </row>
    <row r="880" spans="2:16" x14ac:dyDescent="0.3">
      <c r="B880" s="70">
        <v>45617</v>
      </c>
      <c r="C880" s="70">
        <f t="shared" si="66"/>
        <v>45597</v>
      </c>
      <c r="D880" s="94">
        <v>175.54</v>
      </c>
      <c r="E880" s="94">
        <v>0</v>
      </c>
      <c r="F880" s="92" t="s">
        <v>3379</v>
      </c>
      <c r="G880" s="75"/>
      <c r="H880" s="92" t="s">
        <v>3881</v>
      </c>
      <c r="I880" s="92" t="s">
        <v>3889</v>
      </c>
      <c r="K880" s="71" t="s">
        <v>217</v>
      </c>
      <c r="L880" t="s">
        <v>30</v>
      </c>
      <c r="M880" t="str">
        <f t="shared" si="67"/>
        <v>21</v>
      </c>
      <c r="N880" t="str">
        <f t="shared" si="68"/>
        <v>11</v>
      </c>
      <c r="O880" t="str">
        <f t="shared" si="65"/>
        <v>2024</v>
      </c>
      <c r="P880" t="str">
        <f t="shared" si="69"/>
        <v>21-11-2024</v>
      </c>
    </row>
    <row r="881" spans="2:16" x14ac:dyDescent="0.3">
      <c r="B881" s="70">
        <v>45617</v>
      </c>
      <c r="C881" s="70">
        <f t="shared" si="66"/>
        <v>45597</v>
      </c>
      <c r="D881" s="94">
        <v>0</v>
      </c>
      <c r="E881" s="94">
        <v>600</v>
      </c>
      <c r="F881" s="92" t="s">
        <v>3380</v>
      </c>
      <c r="G881" s="75" t="s">
        <v>3915</v>
      </c>
      <c r="H881" s="92" t="s">
        <v>218</v>
      </c>
      <c r="I881" s="92" t="s">
        <v>3889</v>
      </c>
      <c r="K881" s="71" t="s">
        <v>218</v>
      </c>
      <c r="L881" t="s">
        <v>1119</v>
      </c>
      <c r="M881" t="str">
        <f t="shared" si="67"/>
        <v>21</v>
      </c>
      <c r="N881" t="str">
        <f t="shared" si="68"/>
        <v>11</v>
      </c>
      <c r="O881" t="str">
        <f t="shared" si="65"/>
        <v>2024</v>
      </c>
      <c r="P881" t="str">
        <f t="shared" si="69"/>
        <v>21-11-2024</v>
      </c>
    </row>
    <row r="882" spans="2:16" x14ac:dyDescent="0.3">
      <c r="B882" s="70">
        <v>45617</v>
      </c>
      <c r="C882" s="70">
        <f t="shared" si="66"/>
        <v>45597</v>
      </c>
      <c r="D882" s="94">
        <v>3164.36</v>
      </c>
      <c r="E882" s="94">
        <v>0</v>
      </c>
      <c r="F882" s="92" t="s">
        <v>3379</v>
      </c>
      <c r="G882" s="75"/>
      <c r="H882" s="92" t="s">
        <v>3881</v>
      </c>
      <c r="I882" s="92" t="s">
        <v>3889</v>
      </c>
      <c r="K882" s="71" t="s">
        <v>217</v>
      </c>
      <c r="L882" t="s">
        <v>30</v>
      </c>
      <c r="M882" t="str">
        <f t="shared" si="67"/>
        <v>21</v>
      </c>
      <c r="N882" t="str">
        <f t="shared" si="68"/>
        <v>11</v>
      </c>
      <c r="O882" t="str">
        <f t="shared" si="65"/>
        <v>2024</v>
      </c>
      <c r="P882" t="str">
        <f t="shared" si="69"/>
        <v>21-11-2024</v>
      </c>
    </row>
    <row r="883" spans="2:16" x14ac:dyDescent="0.3">
      <c r="B883" s="70">
        <v>45617</v>
      </c>
      <c r="C883" s="70">
        <f t="shared" si="66"/>
        <v>45597</v>
      </c>
      <c r="D883" s="94">
        <v>0</v>
      </c>
      <c r="E883" s="94">
        <v>120</v>
      </c>
      <c r="F883" s="92" t="s">
        <v>3381</v>
      </c>
      <c r="G883" s="75"/>
      <c r="H883" s="92" t="s">
        <v>589</v>
      </c>
      <c r="I883" s="92" t="s">
        <v>3893</v>
      </c>
      <c r="K883" s="71" t="s">
        <v>511</v>
      </c>
      <c r="L883" t="s">
        <v>1454</v>
      </c>
      <c r="M883" t="str">
        <f t="shared" si="67"/>
        <v>21</v>
      </c>
      <c r="N883" t="str">
        <f t="shared" si="68"/>
        <v>11</v>
      </c>
      <c r="O883" t="str">
        <f t="shared" si="65"/>
        <v>2024</v>
      </c>
      <c r="P883" t="str">
        <f t="shared" si="69"/>
        <v>21-11-2024</v>
      </c>
    </row>
    <row r="884" spans="2:16" x14ac:dyDescent="0.3">
      <c r="B884" s="70">
        <v>45617</v>
      </c>
      <c r="C884" s="70">
        <f t="shared" si="66"/>
        <v>45597</v>
      </c>
      <c r="D884" s="94">
        <v>1000</v>
      </c>
      <c r="E884" s="94">
        <v>0</v>
      </c>
      <c r="F884" s="92" t="s">
        <v>3382</v>
      </c>
      <c r="G884" s="75"/>
      <c r="H884" s="92" t="s">
        <v>589</v>
      </c>
      <c r="I884" s="92" t="s">
        <v>3892</v>
      </c>
      <c r="K884" s="71" t="s">
        <v>511</v>
      </c>
      <c r="L884" t="s">
        <v>1991</v>
      </c>
      <c r="M884" t="str">
        <f t="shared" si="67"/>
        <v>21</v>
      </c>
      <c r="N884" t="str">
        <f t="shared" si="68"/>
        <v>11</v>
      </c>
      <c r="O884" t="str">
        <f t="shared" si="65"/>
        <v>2024</v>
      </c>
      <c r="P884" t="str">
        <f t="shared" si="69"/>
        <v>21-11-2024</v>
      </c>
    </row>
    <row r="885" spans="2:16" x14ac:dyDescent="0.3">
      <c r="B885" s="70">
        <v>45618</v>
      </c>
      <c r="C885" s="70">
        <f t="shared" si="66"/>
        <v>45597</v>
      </c>
      <c r="D885" s="94">
        <v>86.65</v>
      </c>
      <c r="E885" s="94">
        <v>0</v>
      </c>
      <c r="F885" s="92" t="s">
        <v>3383</v>
      </c>
      <c r="G885" s="75"/>
      <c r="H885" s="92" t="s">
        <v>3881</v>
      </c>
      <c r="I885" s="92" t="s">
        <v>3889</v>
      </c>
      <c r="K885" s="71" t="s">
        <v>217</v>
      </c>
      <c r="L885" t="s">
        <v>30</v>
      </c>
      <c r="M885" t="str">
        <f t="shared" si="67"/>
        <v>22</v>
      </c>
      <c r="N885" t="str">
        <f t="shared" si="68"/>
        <v>11</v>
      </c>
      <c r="O885" t="str">
        <f t="shared" si="65"/>
        <v>2024</v>
      </c>
      <c r="P885" t="str">
        <f t="shared" si="69"/>
        <v>22-11-2024</v>
      </c>
    </row>
    <row r="886" spans="2:16" x14ac:dyDescent="0.3">
      <c r="B886" s="70">
        <v>45618</v>
      </c>
      <c r="C886" s="70">
        <f t="shared" si="66"/>
        <v>45597</v>
      </c>
      <c r="D886" s="94">
        <v>1000</v>
      </c>
      <c r="E886" s="94">
        <v>0</v>
      </c>
      <c r="F886" s="92" t="s">
        <v>3384</v>
      </c>
      <c r="G886" s="75"/>
      <c r="H886" s="92" t="s">
        <v>589</v>
      </c>
      <c r="I886" s="92" t="s">
        <v>3892</v>
      </c>
      <c r="K886" s="71" t="s">
        <v>511</v>
      </c>
      <c r="L886" t="s">
        <v>1993</v>
      </c>
      <c r="M886" t="str">
        <f t="shared" si="67"/>
        <v>22</v>
      </c>
      <c r="N886" t="str">
        <f t="shared" si="68"/>
        <v>11</v>
      </c>
      <c r="O886" t="str">
        <f t="shared" si="65"/>
        <v>2024</v>
      </c>
      <c r="P886" t="str">
        <f t="shared" si="69"/>
        <v>22-11-2024</v>
      </c>
    </row>
    <row r="887" spans="2:16" x14ac:dyDescent="0.3">
      <c r="B887" s="70">
        <v>45619</v>
      </c>
      <c r="C887" s="70">
        <f t="shared" si="66"/>
        <v>45597</v>
      </c>
      <c r="D887" s="94">
        <v>1000</v>
      </c>
      <c r="E887" s="94">
        <v>0</v>
      </c>
      <c r="F887" s="92" t="s">
        <v>3385</v>
      </c>
      <c r="G887" s="75"/>
      <c r="H887" s="92" t="s">
        <v>589</v>
      </c>
      <c r="I887" s="92" t="s">
        <v>3892</v>
      </c>
      <c r="K887" s="71" t="s">
        <v>511</v>
      </c>
      <c r="L887" t="s">
        <v>1995</v>
      </c>
      <c r="M887" t="str">
        <f t="shared" si="67"/>
        <v>23</v>
      </c>
      <c r="N887" t="str">
        <f t="shared" si="68"/>
        <v>11</v>
      </c>
      <c r="O887" t="str">
        <f t="shared" si="65"/>
        <v>2024</v>
      </c>
      <c r="P887" t="str">
        <f t="shared" si="69"/>
        <v>23-11-2024</v>
      </c>
    </row>
    <row r="888" spans="2:16" x14ac:dyDescent="0.3">
      <c r="B888" s="70">
        <v>45620</v>
      </c>
      <c r="C888" s="70">
        <f t="shared" si="66"/>
        <v>45597</v>
      </c>
      <c r="D888" s="94">
        <v>323</v>
      </c>
      <c r="E888" s="94">
        <v>0</v>
      </c>
      <c r="F888" s="92" t="s">
        <v>3386</v>
      </c>
      <c r="G888" s="75"/>
      <c r="H888" s="92" t="s">
        <v>589</v>
      </c>
      <c r="I888" s="92" t="s">
        <v>3892</v>
      </c>
      <c r="K888" s="71" t="s">
        <v>511</v>
      </c>
      <c r="L888" t="s">
        <v>1997</v>
      </c>
      <c r="M888" t="str">
        <f t="shared" si="67"/>
        <v>24</v>
      </c>
      <c r="N888" t="str">
        <f t="shared" si="68"/>
        <v>11</v>
      </c>
      <c r="O888" t="str">
        <f t="shared" si="65"/>
        <v>2024</v>
      </c>
      <c r="P888" t="str">
        <f t="shared" si="69"/>
        <v>24-11-2024</v>
      </c>
    </row>
    <row r="889" spans="2:16" x14ac:dyDescent="0.3">
      <c r="B889" s="70">
        <v>45620</v>
      </c>
      <c r="C889" s="70">
        <f t="shared" si="66"/>
        <v>45597</v>
      </c>
      <c r="D889" s="94">
        <v>1000</v>
      </c>
      <c r="E889" s="94">
        <v>0</v>
      </c>
      <c r="F889" s="92" t="s">
        <v>3387</v>
      </c>
      <c r="G889" s="75"/>
      <c r="H889" s="92" t="s">
        <v>589</v>
      </c>
      <c r="I889" s="92" t="s">
        <v>3892</v>
      </c>
      <c r="K889" s="71" t="s">
        <v>511</v>
      </c>
      <c r="L889" t="s">
        <v>1999</v>
      </c>
      <c r="M889" t="str">
        <f t="shared" si="67"/>
        <v>24</v>
      </c>
      <c r="N889" t="str">
        <f t="shared" si="68"/>
        <v>11</v>
      </c>
      <c r="O889" t="str">
        <f t="shared" si="65"/>
        <v>2024</v>
      </c>
      <c r="P889" t="str">
        <f t="shared" si="69"/>
        <v>24-11-2024</v>
      </c>
    </row>
    <row r="890" spans="2:16" x14ac:dyDescent="0.3">
      <c r="B890" s="70">
        <v>45621</v>
      </c>
      <c r="C890" s="70">
        <f t="shared" si="66"/>
        <v>45597</v>
      </c>
      <c r="D890" s="94">
        <v>0</v>
      </c>
      <c r="E890" s="94">
        <v>3399.23</v>
      </c>
      <c r="F890" s="92" t="s">
        <v>3388</v>
      </c>
      <c r="G890" s="75"/>
      <c r="H890" s="92" t="s">
        <v>3881</v>
      </c>
      <c r="I890" s="92" t="s">
        <v>3889</v>
      </c>
      <c r="K890" s="71" t="s">
        <v>2523</v>
      </c>
      <c r="L890" t="s">
        <v>1123</v>
      </c>
      <c r="M890" t="str">
        <f t="shared" si="67"/>
        <v>25</v>
      </c>
      <c r="N890" t="str">
        <f t="shared" si="68"/>
        <v>11</v>
      </c>
      <c r="O890" t="str">
        <f t="shared" si="65"/>
        <v>2024</v>
      </c>
      <c r="P890" t="str">
        <f t="shared" si="69"/>
        <v>25-11-2024</v>
      </c>
    </row>
    <row r="891" spans="2:16" x14ac:dyDescent="0.3">
      <c r="B891" s="70">
        <v>45621</v>
      </c>
      <c r="C891" s="70">
        <f t="shared" si="66"/>
        <v>45597</v>
      </c>
      <c r="D891" s="94">
        <v>259.95</v>
      </c>
      <c r="E891" s="94">
        <v>0</v>
      </c>
      <c r="F891" s="92" t="s">
        <v>3389</v>
      </c>
      <c r="G891" s="75"/>
      <c r="H891" s="92" t="s">
        <v>3881</v>
      </c>
      <c r="I891" s="92" t="s">
        <v>3889</v>
      </c>
      <c r="K891" s="71" t="s">
        <v>217</v>
      </c>
      <c r="L891" t="s">
        <v>30</v>
      </c>
      <c r="M891" t="str">
        <f t="shared" si="67"/>
        <v>25</v>
      </c>
      <c r="N891" t="str">
        <f t="shared" si="68"/>
        <v>11</v>
      </c>
      <c r="O891" t="str">
        <f t="shared" si="65"/>
        <v>2024</v>
      </c>
      <c r="P891" t="str">
        <f t="shared" si="69"/>
        <v>25-11-2024</v>
      </c>
    </row>
    <row r="892" spans="2:16" x14ac:dyDescent="0.3">
      <c r="B892" s="70">
        <v>45621</v>
      </c>
      <c r="C892" s="70">
        <f t="shared" si="66"/>
        <v>45597</v>
      </c>
      <c r="D892" s="94">
        <v>500</v>
      </c>
      <c r="E892" s="94">
        <v>0</v>
      </c>
      <c r="F892" s="92" t="s">
        <v>3390</v>
      </c>
      <c r="G892" s="75"/>
      <c r="H892" s="92" t="s">
        <v>589</v>
      </c>
      <c r="I892" s="92" t="s">
        <v>3892</v>
      </c>
      <c r="K892" s="71" t="s">
        <v>511</v>
      </c>
      <c r="L892" t="s">
        <v>2001</v>
      </c>
      <c r="M892" t="str">
        <f t="shared" si="67"/>
        <v>25</v>
      </c>
      <c r="N892" t="str">
        <f t="shared" si="68"/>
        <v>11</v>
      </c>
      <c r="O892" t="str">
        <f t="shared" si="65"/>
        <v>2024</v>
      </c>
      <c r="P892" t="str">
        <f t="shared" si="69"/>
        <v>25-11-2024</v>
      </c>
    </row>
    <row r="893" spans="2:16" x14ac:dyDescent="0.3">
      <c r="B893" s="70">
        <v>45622</v>
      </c>
      <c r="C893" s="70">
        <f t="shared" si="66"/>
        <v>45597</v>
      </c>
      <c r="D893" s="94">
        <v>0</v>
      </c>
      <c r="E893" s="94">
        <v>4446.21</v>
      </c>
      <c r="F893" s="92" t="s">
        <v>3391</v>
      </c>
      <c r="G893" s="75"/>
      <c r="H893" s="92" t="s">
        <v>3881</v>
      </c>
      <c r="I893" s="92" t="s">
        <v>3889</v>
      </c>
      <c r="K893" s="71" t="s">
        <v>2523</v>
      </c>
      <c r="L893" t="s">
        <v>1126</v>
      </c>
      <c r="M893" t="str">
        <f t="shared" si="67"/>
        <v>26</v>
      </c>
      <c r="N893" t="str">
        <f t="shared" si="68"/>
        <v>11</v>
      </c>
      <c r="O893" t="str">
        <f t="shared" si="65"/>
        <v>2024</v>
      </c>
      <c r="P893" t="str">
        <f t="shared" si="69"/>
        <v>26-11-2024</v>
      </c>
    </row>
    <row r="894" spans="2:16" x14ac:dyDescent="0.3">
      <c r="B894" s="70">
        <v>45622</v>
      </c>
      <c r="C894" s="70">
        <f t="shared" si="66"/>
        <v>45597</v>
      </c>
      <c r="D894" s="94">
        <v>0</v>
      </c>
      <c r="E894" s="94">
        <v>44662.98</v>
      </c>
      <c r="F894" s="92" t="s">
        <v>3392</v>
      </c>
      <c r="G894" s="75"/>
      <c r="H894" s="92" t="s">
        <v>3881</v>
      </c>
      <c r="I894" s="92" t="s">
        <v>3889</v>
      </c>
      <c r="K894" s="71" t="s">
        <v>2523</v>
      </c>
      <c r="L894" t="s">
        <v>1128</v>
      </c>
      <c r="M894" t="str">
        <f t="shared" si="67"/>
        <v>26</v>
      </c>
      <c r="N894" t="str">
        <f t="shared" si="68"/>
        <v>11</v>
      </c>
      <c r="O894" t="str">
        <f t="shared" si="65"/>
        <v>2024</v>
      </c>
      <c r="P894" t="str">
        <f t="shared" si="69"/>
        <v>26-11-2024</v>
      </c>
    </row>
    <row r="895" spans="2:16" x14ac:dyDescent="0.3">
      <c r="B895" s="70">
        <v>45622</v>
      </c>
      <c r="C895" s="70">
        <f t="shared" si="66"/>
        <v>45597</v>
      </c>
      <c r="D895" s="94">
        <v>87.86</v>
      </c>
      <c r="E895" s="94">
        <v>0</v>
      </c>
      <c r="F895" s="92" t="s">
        <v>3393</v>
      </c>
      <c r="G895" s="75"/>
      <c r="H895" s="92" t="s">
        <v>3881</v>
      </c>
      <c r="I895" s="92" t="s">
        <v>3889</v>
      </c>
      <c r="K895" s="71" t="s">
        <v>217</v>
      </c>
      <c r="L895" t="s">
        <v>30</v>
      </c>
      <c r="M895" t="str">
        <f t="shared" si="67"/>
        <v>26</v>
      </c>
      <c r="N895" t="str">
        <f t="shared" si="68"/>
        <v>11</v>
      </c>
      <c r="O895" t="str">
        <f t="shared" si="65"/>
        <v>2024</v>
      </c>
      <c r="P895" t="str">
        <f t="shared" si="69"/>
        <v>26-11-2024</v>
      </c>
    </row>
    <row r="896" spans="2:16" x14ac:dyDescent="0.3">
      <c r="B896" s="70">
        <v>45622</v>
      </c>
      <c r="C896" s="70">
        <f t="shared" si="66"/>
        <v>45597</v>
      </c>
      <c r="D896" s="94">
        <v>1101</v>
      </c>
      <c r="E896" s="94">
        <v>0</v>
      </c>
      <c r="F896" s="92" t="s">
        <v>3394</v>
      </c>
      <c r="G896" s="75"/>
      <c r="H896" s="92" t="s">
        <v>589</v>
      </c>
      <c r="I896" s="92" t="s">
        <v>3892</v>
      </c>
      <c r="K896" s="71" t="s">
        <v>511</v>
      </c>
      <c r="L896" t="s">
        <v>2003</v>
      </c>
      <c r="M896" t="str">
        <f t="shared" si="67"/>
        <v>26</v>
      </c>
      <c r="N896" t="str">
        <f t="shared" si="68"/>
        <v>11</v>
      </c>
      <c r="O896" t="str">
        <f t="shared" si="65"/>
        <v>2024</v>
      </c>
      <c r="P896" t="str">
        <f t="shared" si="69"/>
        <v>26-11-2024</v>
      </c>
    </row>
    <row r="897" spans="2:16" x14ac:dyDescent="0.3">
      <c r="B897" s="70">
        <v>45622</v>
      </c>
      <c r="C897" s="70">
        <f t="shared" si="66"/>
        <v>45597</v>
      </c>
      <c r="D897" s="94">
        <v>529.04999999999995</v>
      </c>
      <c r="E897" s="94">
        <v>0</v>
      </c>
      <c r="F897" s="92" t="s">
        <v>3395</v>
      </c>
      <c r="G897" s="75"/>
      <c r="H897" s="92" t="s">
        <v>589</v>
      </c>
      <c r="I897" s="92" t="s">
        <v>3892</v>
      </c>
      <c r="K897" s="71" t="s">
        <v>511</v>
      </c>
      <c r="L897" t="s">
        <v>2005</v>
      </c>
      <c r="M897" t="str">
        <f t="shared" si="67"/>
        <v>26</v>
      </c>
      <c r="N897" t="str">
        <f t="shared" si="68"/>
        <v>11</v>
      </c>
      <c r="O897" t="str">
        <f t="shared" si="65"/>
        <v>2024</v>
      </c>
      <c r="P897" t="str">
        <f t="shared" si="69"/>
        <v>26-11-2024</v>
      </c>
    </row>
    <row r="898" spans="2:16" x14ac:dyDescent="0.3">
      <c r="B898" s="70">
        <v>45622</v>
      </c>
      <c r="C898" s="70">
        <f t="shared" si="66"/>
        <v>45597</v>
      </c>
      <c r="D898" s="94">
        <v>50</v>
      </c>
      <c r="E898" s="94">
        <v>0</v>
      </c>
      <c r="F898" s="92" t="s">
        <v>3396</v>
      </c>
      <c r="G898" s="75"/>
      <c r="H898" s="92" t="s">
        <v>589</v>
      </c>
      <c r="I898" s="92" t="s">
        <v>3892</v>
      </c>
      <c r="K898" s="71" t="s">
        <v>511</v>
      </c>
      <c r="L898" t="s">
        <v>2007</v>
      </c>
      <c r="M898" t="str">
        <f t="shared" si="67"/>
        <v>26</v>
      </c>
      <c r="N898" t="str">
        <f t="shared" si="68"/>
        <v>11</v>
      </c>
      <c r="O898" t="str">
        <f t="shared" si="65"/>
        <v>2024</v>
      </c>
      <c r="P898" t="str">
        <f t="shared" si="69"/>
        <v>26-11-2024</v>
      </c>
    </row>
    <row r="899" spans="2:16" x14ac:dyDescent="0.3">
      <c r="B899" s="70">
        <v>45622</v>
      </c>
      <c r="C899" s="70">
        <f t="shared" si="66"/>
        <v>45597</v>
      </c>
      <c r="D899" s="94">
        <v>0</v>
      </c>
      <c r="E899" s="94">
        <v>55.36</v>
      </c>
      <c r="F899" s="92" t="s">
        <v>3397</v>
      </c>
      <c r="G899" s="75"/>
      <c r="H899" s="92" t="s">
        <v>589</v>
      </c>
      <c r="I899" s="92" t="s">
        <v>3892</v>
      </c>
      <c r="K899" s="71" t="s">
        <v>511</v>
      </c>
      <c r="L899" t="s">
        <v>2009</v>
      </c>
      <c r="M899" t="str">
        <f t="shared" si="67"/>
        <v>26</v>
      </c>
      <c r="N899" t="str">
        <f t="shared" si="68"/>
        <v>11</v>
      </c>
      <c r="O899" t="str">
        <f t="shared" ref="O899:O962" si="70">TEXT(B899,"YYYY")</f>
        <v>2024</v>
      </c>
      <c r="P899" t="str">
        <f t="shared" si="69"/>
        <v>26-11-2024</v>
      </c>
    </row>
    <row r="900" spans="2:16" x14ac:dyDescent="0.3">
      <c r="B900" s="70">
        <v>45622</v>
      </c>
      <c r="C900" s="70">
        <f t="shared" ref="C900:C963" si="71">EOMONTH(B900,-1)+1</f>
        <v>45597</v>
      </c>
      <c r="D900" s="94">
        <v>40</v>
      </c>
      <c r="E900" s="94">
        <v>0</v>
      </c>
      <c r="F900" s="92" t="s">
        <v>3398</v>
      </c>
      <c r="G900" s="75"/>
      <c r="H900" s="92" t="s">
        <v>589</v>
      </c>
      <c r="I900" s="92" t="s">
        <v>3892</v>
      </c>
      <c r="K900" s="71" t="s">
        <v>511</v>
      </c>
      <c r="L900" t="s">
        <v>2011</v>
      </c>
      <c r="M900" t="str">
        <f t="shared" ref="M900:M963" si="72">TEXT(B900,"DD")</f>
        <v>26</v>
      </c>
      <c r="N900" t="str">
        <f t="shared" ref="N900:N963" si="73">TEXT(B900,"MM")</f>
        <v>11</v>
      </c>
      <c r="O900" t="str">
        <f t="shared" si="70"/>
        <v>2024</v>
      </c>
      <c r="P900" t="str">
        <f t="shared" ref="P900:P963" si="74">M900&amp;"-"&amp;N900&amp;"-"&amp;O900</f>
        <v>26-11-2024</v>
      </c>
    </row>
    <row r="901" spans="2:16" x14ac:dyDescent="0.3">
      <c r="B901" s="70">
        <v>45623</v>
      </c>
      <c r="C901" s="70">
        <f t="shared" si="71"/>
        <v>45597</v>
      </c>
      <c r="D901" s="94">
        <v>0</v>
      </c>
      <c r="E901" s="94">
        <v>894.1</v>
      </c>
      <c r="F901" s="92" t="s">
        <v>3399</v>
      </c>
      <c r="G901" s="75"/>
      <c r="H901" s="92" t="s">
        <v>3881</v>
      </c>
      <c r="I901" s="92" t="s">
        <v>3889</v>
      </c>
      <c r="K901" s="71" t="s">
        <v>2523</v>
      </c>
      <c r="L901" t="s">
        <v>1131</v>
      </c>
      <c r="M901" t="str">
        <f t="shared" si="72"/>
        <v>27</v>
      </c>
      <c r="N901" t="str">
        <f t="shared" si="73"/>
        <v>11</v>
      </c>
      <c r="O901" t="str">
        <f t="shared" si="70"/>
        <v>2024</v>
      </c>
      <c r="P901" t="str">
        <f t="shared" si="74"/>
        <v>27-11-2024</v>
      </c>
    </row>
    <row r="902" spans="2:16" x14ac:dyDescent="0.3">
      <c r="B902" s="70">
        <v>45623</v>
      </c>
      <c r="C902" s="70">
        <f t="shared" si="71"/>
        <v>45597</v>
      </c>
      <c r="D902" s="94">
        <v>89.44</v>
      </c>
      <c r="E902" s="94">
        <v>0</v>
      </c>
      <c r="F902" s="92" t="s">
        <v>3400</v>
      </c>
      <c r="G902" s="75"/>
      <c r="H902" s="92" t="s">
        <v>3881</v>
      </c>
      <c r="I902" s="92" t="s">
        <v>3889</v>
      </c>
      <c r="K902" s="71" t="s">
        <v>217</v>
      </c>
      <c r="L902" t="s">
        <v>30</v>
      </c>
      <c r="M902" t="str">
        <f t="shared" si="72"/>
        <v>27</v>
      </c>
      <c r="N902" t="str">
        <f t="shared" si="73"/>
        <v>11</v>
      </c>
      <c r="O902" t="str">
        <f t="shared" si="70"/>
        <v>2024</v>
      </c>
      <c r="P902" t="str">
        <f t="shared" si="74"/>
        <v>27-11-2024</v>
      </c>
    </row>
    <row r="903" spans="2:16" x14ac:dyDescent="0.3">
      <c r="B903" s="70">
        <v>45623</v>
      </c>
      <c r="C903" s="70">
        <f t="shared" si="71"/>
        <v>45597</v>
      </c>
      <c r="D903" s="94">
        <v>1000</v>
      </c>
      <c r="E903" s="94">
        <v>0</v>
      </c>
      <c r="F903" s="92" t="s">
        <v>3401</v>
      </c>
      <c r="G903" s="75"/>
      <c r="H903" s="92" t="s">
        <v>589</v>
      </c>
      <c r="I903" s="92" t="s">
        <v>3892</v>
      </c>
      <c r="K903" s="71" t="s">
        <v>511</v>
      </c>
      <c r="L903" t="s">
        <v>2013</v>
      </c>
      <c r="M903" t="str">
        <f t="shared" si="72"/>
        <v>27</v>
      </c>
      <c r="N903" t="str">
        <f t="shared" si="73"/>
        <v>11</v>
      </c>
      <c r="O903" t="str">
        <f t="shared" si="70"/>
        <v>2024</v>
      </c>
      <c r="P903" t="str">
        <f t="shared" si="74"/>
        <v>27-11-2024</v>
      </c>
    </row>
    <row r="904" spans="2:16" x14ac:dyDescent="0.3">
      <c r="B904" s="70">
        <v>45624</v>
      </c>
      <c r="C904" s="70">
        <f t="shared" si="71"/>
        <v>45597</v>
      </c>
      <c r="D904" s="94">
        <v>0</v>
      </c>
      <c r="E904" s="94">
        <v>2212</v>
      </c>
      <c r="F904" s="92" t="s">
        <v>3402</v>
      </c>
      <c r="G904" s="75"/>
      <c r="H904" s="92" t="s">
        <v>3881</v>
      </c>
      <c r="I904" s="92" t="s">
        <v>3889</v>
      </c>
      <c r="K904" s="71" t="s">
        <v>2523</v>
      </c>
      <c r="L904" t="s">
        <v>1134</v>
      </c>
      <c r="M904" t="str">
        <f t="shared" si="72"/>
        <v>28</v>
      </c>
      <c r="N904" t="str">
        <f t="shared" si="73"/>
        <v>11</v>
      </c>
      <c r="O904" t="str">
        <f t="shared" si="70"/>
        <v>2024</v>
      </c>
      <c r="P904" t="str">
        <f t="shared" si="74"/>
        <v>28-11-2024</v>
      </c>
    </row>
    <row r="905" spans="2:16" x14ac:dyDescent="0.3">
      <c r="B905" s="70">
        <v>45624</v>
      </c>
      <c r="C905" s="70">
        <f t="shared" si="71"/>
        <v>45597</v>
      </c>
      <c r="D905" s="94">
        <v>5000</v>
      </c>
      <c r="E905" s="94">
        <v>0</v>
      </c>
      <c r="F905" s="92" t="s">
        <v>3403</v>
      </c>
      <c r="G905" s="75"/>
      <c r="H905" s="92" t="s">
        <v>2538</v>
      </c>
      <c r="I905" s="92" t="s">
        <v>3889</v>
      </c>
      <c r="K905" s="71" t="s">
        <v>219</v>
      </c>
      <c r="L905" t="s">
        <v>1136</v>
      </c>
      <c r="M905" t="str">
        <f t="shared" si="72"/>
        <v>28</v>
      </c>
      <c r="N905" t="str">
        <f t="shared" si="73"/>
        <v>11</v>
      </c>
      <c r="O905" t="str">
        <f t="shared" si="70"/>
        <v>2024</v>
      </c>
      <c r="P905" t="str">
        <f t="shared" si="74"/>
        <v>28-11-2024</v>
      </c>
    </row>
    <row r="906" spans="2:16" x14ac:dyDescent="0.3">
      <c r="B906" s="70">
        <v>45624</v>
      </c>
      <c r="C906" s="70">
        <f t="shared" si="71"/>
        <v>45597</v>
      </c>
      <c r="D906" s="94">
        <v>89.76</v>
      </c>
      <c r="E906" s="94">
        <v>0</v>
      </c>
      <c r="F906" s="92" t="s">
        <v>3404</v>
      </c>
      <c r="G906" s="75"/>
      <c r="H906" s="92" t="s">
        <v>3881</v>
      </c>
      <c r="I906" s="92" t="s">
        <v>3889</v>
      </c>
      <c r="K906" s="71" t="s">
        <v>217</v>
      </c>
      <c r="L906" t="s">
        <v>30</v>
      </c>
      <c r="M906" t="str">
        <f t="shared" si="72"/>
        <v>28</v>
      </c>
      <c r="N906" t="str">
        <f t="shared" si="73"/>
        <v>11</v>
      </c>
      <c r="O906" t="str">
        <f t="shared" si="70"/>
        <v>2024</v>
      </c>
      <c r="P906" t="str">
        <f t="shared" si="74"/>
        <v>28-11-2024</v>
      </c>
    </row>
    <row r="907" spans="2:16" x14ac:dyDescent="0.3">
      <c r="B907" s="70">
        <v>45624</v>
      </c>
      <c r="C907" s="70">
        <f t="shared" si="71"/>
        <v>45597</v>
      </c>
      <c r="D907" s="94">
        <v>1652.41</v>
      </c>
      <c r="E907" s="94">
        <v>0</v>
      </c>
      <c r="F907" s="92" t="s">
        <v>3405</v>
      </c>
      <c r="G907" s="75"/>
      <c r="H907" s="92" t="s">
        <v>589</v>
      </c>
      <c r="I907" s="92" t="s">
        <v>3892</v>
      </c>
      <c r="K907" s="71" t="s">
        <v>511</v>
      </c>
      <c r="L907" t="s">
        <v>2015</v>
      </c>
      <c r="M907" t="str">
        <f t="shared" si="72"/>
        <v>28</v>
      </c>
      <c r="N907" t="str">
        <f t="shared" si="73"/>
        <v>11</v>
      </c>
      <c r="O907" t="str">
        <f t="shared" si="70"/>
        <v>2024</v>
      </c>
      <c r="P907" t="str">
        <f t="shared" si="74"/>
        <v>28-11-2024</v>
      </c>
    </row>
    <row r="908" spans="2:16" x14ac:dyDescent="0.3">
      <c r="B908" s="70">
        <v>45624</v>
      </c>
      <c r="C908" s="70">
        <f t="shared" si="71"/>
        <v>45597</v>
      </c>
      <c r="D908" s="94">
        <v>7000</v>
      </c>
      <c r="E908" s="94">
        <v>0</v>
      </c>
      <c r="F908" s="92" t="s">
        <v>3406</v>
      </c>
      <c r="G908" s="75"/>
      <c r="H908" s="92" t="s">
        <v>2538</v>
      </c>
      <c r="I908" s="92" t="s">
        <v>3892</v>
      </c>
      <c r="K908" s="71" t="s">
        <v>2532</v>
      </c>
      <c r="L908" t="s">
        <v>2017</v>
      </c>
      <c r="M908" t="str">
        <f t="shared" si="72"/>
        <v>28</v>
      </c>
      <c r="N908" t="str">
        <f t="shared" si="73"/>
        <v>11</v>
      </c>
      <c r="O908" t="str">
        <f t="shared" si="70"/>
        <v>2024</v>
      </c>
      <c r="P908" t="str">
        <f t="shared" si="74"/>
        <v>28-11-2024</v>
      </c>
    </row>
    <row r="909" spans="2:16" x14ac:dyDescent="0.3">
      <c r="B909" s="70">
        <v>45624</v>
      </c>
      <c r="C909" s="70">
        <f t="shared" si="71"/>
        <v>45597</v>
      </c>
      <c r="D909" s="94">
        <v>50</v>
      </c>
      <c r="E909" s="94">
        <v>0</v>
      </c>
      <c r="F909" s="92" t="s">
        <v>3407</v>
      </c>
      <c r="G909" s="75"/>
      <c r="H909" s="92" t="s">
        <v>589</v>
      </c>
      <c r="I909" s="92" t="s">
        <v>3892</v>
      </c>
      <c r="K909" s="71" t="s">
        <v>511</v>
      </c>
      <c r="L909" t="s">
        <v>2019</v>
      </c>
      <c r="M909" t="str">
        <f t="shared" si="72"/>
        <v>28</v>
      </c>
      <c r="N909" t="str">
        <f t="shared" si="73"/>
        <v>11</v>
      </c>
      <c r="O909" t="str">
        <f t="shared" si="70"/>
        <v>2024</v>
      </c>
      <c r="P909" t="str">
        <f t="shared" si="74"/>
        <v>28-11-2024</v>
      </c>
    </row>
    <row r="910" spans="2:16" x14ac:dyDescent="0.3">
      <c r="B910" s="70">
        <v>45624</v>
      </c>
      <c r="C910" s="70">
        <f t="shared" si="71"/>
        <v>45597</v>
      </c>
      <c r="D910" s="94">
        <v>0</v>
      </c>
      <c r="E910" s="94">
        <v>68895</v>
      </c>
      <c r="F910" s="92" t="s">
        <v>3408</v>
      </c>
      <c r="G910" s="75"/>
      <c r="H910" s="92" t="s">
        <v>507</v>
      </c>
      <c r="I910" s="92" t="s">
        <v>3892</v>
      </c>
      <c r="K910" s="71" t="s">
        <v>507</v>
      </c>
      <c r="L910" t="s">
        <v>358</v>
      </c>
      <c r="M910" t="str">
        <f t="shared" si="72"/>
        <v>28</v>
      </c>
      <c r="N910" t="str">
        <f t="shared" si="73"/>
        <v>11</v>
      </c>
      <c r="O910" t="str">
        <f t="shared" si="70"/>
        <v>2024</v>
      </c>
      <c r="P910" t="str">
        <f t="shared" si="74"/>
        <v>28-11-2024</v>
      </c>
    </row>
    <row r="911" spans="2:16" x14ac:dyDescent="0.3">
      <c r="B911" s="70">
        <v>45624</v>
      </c>
      <c r="C911" s="70">
        <f t="shared" si="71"/>
        <v>45597</v>
      </c>
      <c r="D911" s="94">
        <v>20</v>
      </c>
      <c r="E911" s="94">
        <v>0</v>
      </c>
      <c r="F911" s="92" t="s">
        <v>3409</v>
      </c>
      <c r="G911" s="75"/>
      <c r="H911" s="92" t="s">
        <v>589</v>
      </c>
      <c r="I911" s="92" t="s">
        <v>3892</v>
      </c>
      <c r="K911" s="71" t="s">
        <v>511</v>
      </c>
      <c r="L911" t="s">
        <v>2022</v>
      </c>
      <c r="M911" t="str">
        <f t="shared" si="72"/>
        <v>28</v>
      </c>
      <c r="N911" t="str">
        <f t="shared" si="73"/>
        <v>11</v>
      </c>
      <c r="O911" t="str">
        <f t="shared" si="70"/>
        <v>2024</v>
      </c>
      <c r="P911" t="str">
        <f t="shared" si="74"/>
        <v>28-11-2024</v>
      </c>
    </row>
    <row r="912" spans="2:16" x14ac:dyDescent="0.3">
      <c r="B912" s="70">
        <v>45625</v>
      </c>
      <c r="C912" s="70">
        <f t="shared" si="71"/>
        <v>45597</v>
      </c>
      <c r="D912" s="94">
        <v>812.57</v>
      </c>
      <c r="E912" s="94">
        <v>0</v>
      </c>
      <c r="F912" s="92" t="s">
        <v>3410</v>
      </c>
      <c r="G912" s="75"/>
      <c r="H912" s="92" t="s">
        <v>3881</v>
      </c>
      <c r="I912" s="92" t="s">
        <v>3889</v>
      </c>
      <c r="K912" s="71" t="s">
        <v>217</v>
      </c>
      <c r="L912" t="s">
        <v>30</v>
      </c>
      <c r="M912" t="str">
        <f t="shared" si="72"/>
        <v>29</v>
      </c>
      <c r="N912" t="str">
        <f t="shared" si="73"/>
        <v>11</v>
      </c>
      <c r="O912" t="str">
        <f t="shared" si="70"/>
        <v>2024</v>
      </c>
      <c r="P912" t="str">
        <f t="shared" si="74"/>
        <v>29-11-2024</v>
      </c>
    </row>
    <row r="913" spans="2:16" x14ac:dyDescent="0.3">
      <c r="B913" s="70">
        <v>45625</v>
      </c>
      <c r="C913" s="70">
        <f t="shared" si="71"/>
        <v>45597</v>
      </c>
      <c r="D913" s="94">
        <v>90.26</v>
      </c>
      <c r="E913" s="94">
        <v>0</v>
      </c>
      <c r="F913" s="92" t="s">
        <v>3410</v>
      </c>
      <c r="G913" s="75"/>
      <c r="H913" s="92" t="s">
        <v>3881</v>
      </c>
      <c r="I913" s="92" t="s">
        <v>3889</v>
      </c>
      <c r="K913" s="71" t="s">
        <v>217</v>
      </c>
      <c r="L913" t="s">
        <v>30</v>
      </c>
      <c r="M913" t="str">
        <f t="shared" si="72"/>
        <v>29</v>
      </c>
      <c r="N913" t="str">
        <f t="shared" si="73"/>
        <v>11</v>
      </c>
      <c r="O913" t="str">
        <f t="shared" si="70"/>
        <v>2024</v>
      </c>
      <c r="P913" t="str">
        <f t="shared" si="74"/>
        <v>29-11-2024</v>
      </c>
    </row>
    <row r="914" spans="2:16" x14ac:dyDescent="0.3">
      <c r="B914" s="70">
        <v>45625</v>
      </c>
      <c r="C914" s="70">
        <f t="shared" si="71"/>
        <v>45597</v>
      </c>
      <c r="D914" s="94">
        <v>50</v>
      </c>
      <c r="E914" s="94">
        <v>0</v>
      </c>
      <c r="F914" s="92" t="s">
        <v>3411</v>
      </c>
      <c r="G914" s="75"/>
      <c r="H914" s="92" t="s">
        <v>589</v>
      </c>
      <c r="I914" s="92" t="s">
        <v>3892</v>
      </c>
      <c r="K914" s="71" t="s">
        <v>511</v>
      </c>
      <c r="L914" t="s">
        <v>2024</v>
      </c>
      <c r="M914" t="str">
        <f t="shared" si="72"/>
        <v>29</v>
      </c>
      <c r="N914" t="str">
        <f t="shared" si="73"/>
        <v>11</v>
      </c>
      <c r="O914" t="str">
        <f t="shared" si="70"/>
        <v>2024</v>
      </c>
      <c r="P914" t="str">
        <f t="shared" si="74"/>
        <v>29-11-2024</v>
      </c>
    </row>
    <row r="915" spans="2:16" x14ac:dyDescent="0.3">
      <c r="B915" s="70">
        <v>45626</v>
      </c>
      <c r="C915" s="70">
        <f t="shared" si="71"/>
        <v>45597</v>
      </c>
      <c r="D915" s="94">
        <v>13601.67</v>
      </c>
      <c r="E915" s="94">
        <v>0</v>
      </c>
      <c r="F915" s="92" t="s">
        <v>3412</v>
      </c>
      <c r="G915" s="75"/>
      <c r="H915" s="92" t="s">
        <v>3881</v>
      </c>
      <c r="I915" s="92" t="s">
        <v>3889</v>
      </c>
      <c r="K915" s="71" t="s">
        <v>217</v>
      </c>
      <c r="L915" t="s">
        <v>30</v>
      </c>
      <c r="M915" t="str">
        <f t="shared" si="72"/>
        <v>30</v>
      </c>
      <c r="N915" t="str">
        <f t="shared" si="73"/>
        <v>11</v>
      </c>
      <c r="O915" t="str">
        <f t="shared" si="70"/>
        <v>2024</v>
      </c>
      <c r="P915" t="str">
        <f t="shared" si="74"/>
        <v>30-11-2024</v>
      </c>
    </row>
    <row r="916" spans="2:16" x14ac:dyDescent="0.3">
      <c r="B916" s="70">
        <v>45626</v>
      </c>
      <c r="C916" s="70">
        <f t="shared" si="71"/>
        <v>45597</v>
      </c>
      <c r="D916" s="94">
        <v>60</v>
      </c>
      <c r="E916" s="94">
        <v>0</v>
      </c>
      <c r="F916" s="92" t="s">
        <v>3413</v>
      </c>
      <c r="G916" s="75"/>
      <c r="H916" s="92" t="s">
        <v>589</v>
      </c>
      <c r="I916" s="92" t="s">
        <v>3892</v>
      </c>
      <c r="K916" s="71" t="s">
        <v>511</v>
      </c>
      <c r="L916" t="s">
        <v>2026</v>
      </c>
      <c r="M916" t="str">
        <f t="shared" si="72"/>
        <v>30</v>
      </c>
      <c r="N916" t="str">
        <f t="shared" si="73"/>
        <v>11</v>
      </c>
      <c r="O916" t="str">
        <f t="shared" si="70"/>
        <v>2024</v>
      </c>
      <c r="P916" t="str">
        <f t="shared" si="74"/>
        <v>30-11-2024</v>
      </c>
    </row>
    <row r="917" spans="2:16" x14ac:dyDescent="0.3">
      <c r="B917" s="70">
        <v>45627</v>
      </c>
      <c r="C917" s="70">
        <f t="shared" si="71"/>
        <v>45627</v>
      </c>
      <c r="D917" s="94">
        <v>0</v>
      </c>
      <c r="E917" s="94">
        <v>1</v>
      </c>
      <c r="F917" s="92" t="s">
        <v>3414</v>
      </c>
      <c r="G917" s="92" t="s">
        <v>2573</v>
      </c>
      <c r="H917" s="92" t="s">
        <v>227</v>
      </c>
      <c r="I917" s="92" t="s">
        <v>3894</v>
      </c>
      <c r="K917" s="71" t="s">
        <v>227</v>
      </c>
      <c r="L917" t="s">
        <v>2568</v>
      </c>
      <c r="M917" t="str">
        <f t="shared" si="72"/>
        <v>01</v>
      </c>
      <c r="N917" t="str">
        <f t="shared" si="73"/>
        <v>12</v>
      </c>
      <c r="O917" t="str">
        <f t="shared" si="70"/>
        <v>2024</v>
      </c>
      <c r="P917" t="str">
        <f t="shared" si="74"/>
        <v>01-12-2024</v>
      </c>
    </row>
    <row r="918" spans="2:16" x14ac:dyDescent="0.3">
      <c r="B918" s="70">
        <v>45628</v>
      </c>
      <c r="C918" s="70">
        <f t="shared" si="71"/>
        <v>45627</v>
      </c>
      <c r="D918" s="94">
        <v>5000</v>
      </c>
      <c r="E918" s="94">
        <v>0</v>
      </c>
      <c r="F918" s="92" t="s">
        <v>3415</v>
      </c>
      <c r="G918" s="75"/>
      <c r="H918" s="92" t="s">
        <v>2538</v>
      </c>
      <c r="I918" s="92" t="s">
        <v>3889</v>
      </c>
      <c r="K918" s="71" t="s">
        <v>219</v>
      </c>
      <c r="L918" t="s">
        <v>1142</v>
      </c>
      <c r="M918" t="str">
        <f t="shared" si="72"/>
        <v>02</v>
      </c>
      <c r="N918" t="str">
        <f t="shared" si="73"/>
        <v>12</v>
      </c>
      <c r="O918" t="str">
        <f t="shared" si="70"/>
        <v>2024</v>
      </c>
      <c r="P918" t="str">
        <f t="shared" si="74"/>
        <v>02-12-2024</v>
      </c>
    </row>
    <row r="919" spans="2:16" x14ac:dyDescent="0.3">
      <c r="B919" s="70">
        <v>45628</v>
      </c>
      <c r="C919" s="70">
        <f t="shared" si="71"/>
        <v>45627</v>
      </c>
      <c r="D919" s="94">
        <v>256.23</v>
      </c>
      <c r="E919" s="94">
        <v>0</v>
      </c>
      <c r="F919" s="92" t="s">
        <v>3416</v>
      </c>
      <c r="G919" s="75"/>
      <c r="H919" s="92" t="s">
        <v>3881</v>
      </c>
      <c r="I919" s="92" t="s">
        <v>3889</v>
      </c>
      <c r="K919" s="71" t="s">
        <v>217</v>
      </c>
      <c r="L919" t="s">
        <v>30</v>
      </c>
      <c r="M919" t="str">
        <f t="shared" si="72"/>
        <v>02</v>
      </c>
      <c r="N919" t="str">
        <f t="shared" si="73"/>
        <v>12</v>
      </c>
      <c r="O919" t="str">
        <f t="shared" si="70"/>
        <v>2024</v>
      </c>
      <c r="P919" t="str">
        <f t="shared" si="74"/>
        <v>02-12-2024</v>
      </c>
    </row>
    <row r="920" spans="2:16" x14ac:dyDescent="0.3">
      <c r="B920" s="70">
        <v>45628</v>
      </c>
      <c r="C920" s="70">
        <f t="shared" si="71"/>
        <v>45627</v>
      </c>
      <c r="D920" s="94">
        <v>838.51</v>
      </c>
      <c r="E920" s="94">
        <v>0</v>
      </c>
      <c r="F920" s="92" t="s">
        <v>3416</v>
      </c>
      <c r="G920" s="75"/>
      <c r="H920" s="92" t="s">
        <v>3881</v>
      </c>
      <c r="I920" s="92" t="s">
        <v>3889</v>
      </c>
      <c r="K920" s="71" t="s">
        <v>217</v>
      </c>
      <c r="L920" t="s">
        <v>30</v>
      </c>
      <c r="M920" t="str">
        <f t="shared" si="72"/>
        <v>02</v>
      </c>
      <c r="N920" t="str">
        <f t="shared" si="73"/>
        <v>12</v>
      </c>
      <c r="O920" t="str">
        <f t="shared" si="70"/>
        <v>2024</v>
      </c>
      <c r="P920" t="str">
        <f t="shared" si="74"/>
        <v>02-12-2024</v>
      </c>
    </row>
    <row r="921" spans="2:16" x14ac:dyDescent="0.3">
      <c r="B921" s="70">
        <v>45628</v>
      </c>
      <c r="C921" s="70">
        <f t="shared" si="71"/>
        <v>45627</v>
      </c>
      <c r="D921" s="94">
        <v>395</v>
      </c>
      <c r="E921" s="94">
        <v>0</v>
      </c>
      <c r="F921" s="92" t="s">
        <v>3417</v>
      </c>
      <c r="G921" s="75"/>
      <c r="H921" s="92" t="s">
        <v>589</v>
      </c>
      <c r="I921" s="92" t="s">
        <v>3892</v>
      </c>
      <c r="K921" s="71" t="s">
        <v>511</v>
      </c>
      <c r="L921" t="s">
        <v>2028</v>
      </c>
      <c r="M921" t="str">
        <f t="shared" si="72"/>
        <v>02</v>
      </c>
      <c r="N921" t="str">
        <f t="shared" si="73"/>
        <v>12</v>
      </c>
      <c r="O921" t="str">
        <f t="shared" si="70"/>
        <v>2024</v>
      </c>
      <c r="P921" t="str">
        <f t="shared" si="74"/>
        <v>02-12-2024</v>
      </c>
    </row>
    <row r="922" spans="2:16" x14ac:dyDescent="0.3">
      <c r="B922" s="70">
        <v>45628</v>
      </c>
      <c r="C922" s="70">
        <f t="shared" si="71"/>
        <v>45627</v>
      </c>
      <c r="D922" s="94">
        <v>120</v>
      </c>
      <c r="E922" s="94">
        <v>0</v>
      </c>
      <c r="F922" s="92" t="s">
        <v>3418</v>
      </c>
      <c r="G922" s="75"/>
      <c r="H922" s="92" t="s">
        <v>589</v>
      </c>
      <c r="I922" s="92" t="s">
        <v>3892</v>
      </c>
      <c r="K922" s="71" t="s">
        <v>511</v>
      </c>
      <c r="L922" t="s">
        <v>2030</v>
      </c>
      <c r="M922" t="str">
        <f t="shared" si="72"/>
        <v>02</v>
      </c>
      <c r="N922" t="str">
        <f t="shared" si="73"/>
        <v>12</v>
      </c>
      <c r="O922" t="str">
        <f t="shared" si="70"/>
        <v>2024</v>
      </c>
      <c r="P922" t="str">
        <f t="shared" si="74"/>
        <v>02-12-2024</v>
      </c>
    </row>
    <row r="923" spans="2:16" x14ac:dyDescent="0.3">
      <c r="B923" s="70">
        <v>45629</v>
      </c>
      <c r="C923" s="70">
        <f t="shared" si="71"/>
        <v>45627</v>
      </c>
      <c r="D923" s="94">
        <v>98.26</v>
      </c>
      <c r="E923" s="94">
        <v>0</v>
      </c>
      <c r="F923" s="92" t="s">
        <v>3419</v>
      </c>
      <c r="G923" s="75"/>
      <c r="H923" s="92" t="s">
        <v>3881</v>
      </c>
      <c r="I923" s="92" t="s">
        <v>3889</v>
      </c>
      <c r="K923" s="71" t="s">
        <v>217</v>
      </c>
      <c r="L923" t="s">
        <v>30</v>
      </c>
      <c r="M923" t="str">
        <f t="shared" si="72"/>
        <v>03</v>
      </c>
      <c r="N923" t="str">
        <f t="shared" si="73"/>
        <v>12</v>
      </c>
      <c r="O923" t="str">
        <f t="shared" si="70"/>
        <v>2024</v>
      </c>
      <c r="P923" t="str">
        <f t="shared" si="74"/>
        <v>03-12-2024</v>
      </c>
    </row>
    <row r="924" spans="2:16" x14ac:dyDescent="0.3">
      <c r="B924" s="70">
        <v>45629</v>
      </c>
      <c r="C924" s="70">
        <f t="shared" si="71"/>
        <v>45627</v>
      </c>
      <c r="D924" s="94">
        <v>12308.55</v>
      </c>
      <c r="E924" s="94">
        <v>0</v>
      </c>
      <c r="F924" s="92" t="s">
        <v>3419</v>
      </c>
      <c r="G924" s="75"/>
      <c r="H924" s="92" t="s">
        <v>3881</v>
      </c>
      <c r="I924" s="92" t="s">
        <v>3889</v>
      </c>
      <c r="K924" s="71" t="s">
        <v>217</v>
      </c>
      <c r="L924" t="s">
        <v>30</v>
      </c>
      <c r="M924" t="str">
        <f t="shared" si="72"/>
        <v>03</v>
      </c>
      <c r="N924" t="str">
        <f t="shared" si="73"/>
        <v>12</v>
      </c>
      <c r="O924" t="str">
        <f t="shared" si="70"/>
        <v>2024</v>
      </c>
      <c r="P924" t="str">
        <f t="shared" si="74"/>
        <v>03-12-2024</v>
      </c>
    </row>
    <row r="925" spans="2:16" x14ac:dyDescent="0.3">
      <c r="B925" s="70">
        <v>45629</v>
      </c>
      <c r="C925" s="70">
        <f t="shared" si="71"/>
        <v>45627</v>
      </c>
      <c r="D925" s="94">
        <v>50</v>
      </c>
      <c r="E925" s="94">
        <v>0</v>
      </c>
      <c r="F925" s="92" t="s">
        <v>3420</v>
      </c>
      <c r="G925" s="75"/>
      <c r="H925" s="92" t="s">
        <v>589</v>
      </c>
      <c r="I925" s="92" t="s">
        <v>3892</v>
      </c>
      <c r="K925" s="71" t="s">
        <v>511</v>
      </c>
      <c r="L925" t="s">
        <v>2032</v>
      </c>
      <c r="M925" t="str">
        <f t="shared" si="72"/>
        <v>03</v>
      </c>
      <c r="N925" t="str">
        <f t="shared" si="73"/>
        <v>12</v>
      </c>
      <c r="O925" t="str">
        <f t="shared" si="70"/>
        <v>2024</v>
      </c>
      <c r="P925" t="str">
        <f t="shared" si="74"/>
        <v>03-12-2024</v>
      </c>
    </row>
    <row r="926" spans="2:16" x14ac:dyDescent="0.3">
      <c r="B926" s="70">
        <v>45629</v>
      </c>
      <c r="C926" s="70">
        <f t="shared" si="71"/>
        <v>45627</v>
      </c>
      <c r="D926" s="94">
        <v>60</v>
      </c>
      <c r="E926" s="94">
        <v>0</v>
      </c>
      <c r="F926" s="92" t="s">
        <v>3421</v>
      </c>
      <c r="G926" s="75"/>
      <c r="H926" s="92" t="s">
        <v>589</v>
      </c>
      <c r="I926" s="92" t="s">
        <v>3892</v>
      </c>
      <c r="K926" s="71" t="s">
        <v>511</v>
      </c>
      <c r="L926" t="s">
        <v>2034</v>
      </c>
      <c r="M926" t="str">
        <f t="shared" si="72"/>
        <v>03</v>
      </c>
      <c r="N926" t="str">
        <f t="shared" si="73"/>
        <v>12</v>
      </c>
      <c r="O926" t="str">
        <f t="shared" si="70"/>
        <v>2024</v>
      </c>
      <c r="P926" t="str">
        <f t="shared" si="74"/>
        <v>03-12-2024</v>
      </c>
    </row>
    <row r="927" spans="2:16" x14ac:dyDescent="0.3">
      <c r="B927" s="70">
        <v>45629</v>
      </c>
      <c r="C927" s="70">
        <f t="shared" si="71"/>
        <v>45627</v>
      </c>
      <c r="D927" s="94">
        <v>0</v>
      </c>
      <c r="E927" s="94">
        <v>25</v>
      </c>
      <c r="F927" s="92" t="s">
        <v>3422</v>
      </c>
      <c r="G927" s="75" t="s">
        <v>3903</v>
      </c>
      <c r="H927" s="92" t="s">
        <v>218</v>
      </c>
      <c r="I927" s="92" t="s">
        <v>3892</v>
      </c>
      <c r="K927" s="71" t="s">
        <v>218</v>
      </c>
      <c r="L927" t="s">
        <v>2036</v>
      </c>
      <c r="M927" t="str">
        <f t="shared" si="72"/>
        <v>03</v>
      </c>
      <c r="N927" t="str">
        <f t="shared" si="73"/>
        <v>12</v>
      </c>
      <c r="O927" t="str">
        <f t="shared" si="70"/>
        <v>2024</v>
      </c>
      <c r="P927" t="str">
        <f t="shared" si="74"/>
        <v>03-12-2024</v>
      </c>
    </row>
    <row r="928" spans="2:16" x14ac:dyDescent="0.3">
      <c r="B928" s="70">
        <v>45629</v>
      </c>
      <c r="C928" s="70">
        <f t="shared" si="71"/>
        <v>45627</v>
      </c>
      <c r="D928" s="94">
        <v>15000</v>
      </c>
      <c r="E928" s="94">
        <v>0</v>
      </c>
      <c r="F928" s="92" t="s">
        <v>3423</v>
      </c>
      <c r="G928" s="75"/>
      <c r="H928" s="92" t="s">
        <v>512</v>
      </c>
      <c r="I928" s="92" t="s">
        <v>3892</v>
      </c>
      <c r="K928" s="71" t="s">
        <v>512</v>
      </c>
      <c r="L928" t="s">
        <v>2038</v>
      </c>
      <c r="M928" t="str">
        <f t="shared" si="72"/>
        <v>03</v>
      </c>
      <c r="N928" t="str">
        <f t="shared" si="73"/>
        <v>12</v>
      </c>
      <c r="O928" t="str">
        <f t="shared" si="70"/>
        <v>2024</v>
      </c>
      <c r="P928" t="str">
        <f t="shared" si="74"/>
        <v>03-12-2024</v>
      </c>
    </row>
    <row r="929" spans="2:16" x14ac:dyDescent="0.3">
      <c r="B929" s="70">
        <v>45630</v>
      </c>
      <c r="C929" s="70">
        <f t="shared" si="71"/>
        <v>45627</v>
      </c>
      <c r="D929" s="94">
        <v>93.88</v>
      </c>
      <c r="E929" s="94">
        <v>0</v>
      </c>
      <c r="F929" s="92" t="s">
        <v>3424</v>
      </c>
      <c r="G929" s="75"/>
      <c r="H929" s="92" t="s">
        <v>3881</v>
      </c>
      <c r="I929" s="92" t="s">
        <v>3889</v>
      </c>
      <c r="K929" s="71" t="s">
        <v>217</v>
      </c>
      <c r="L929" t="s">
        <v>30</v>
      </c>
      <c r="M929" t="str">
        <f t="shared" si="72"/>
        <v>04</v>
      </c>
      <c r="N929" t="str">
        <f t="shared" si="73"/>
        <v>12</v>
      </c>
      <c r="O929" t="str">
        <f t="shared" si="70"/>
        <v>2024</v>
      </c>
      <c r="P929" t="str">
        <f t="shared" si="74"/>
        <v>04-12-2024</v>
      </c>
    </row>
    <row r="930" spans="2:16" x14ac:dyDescent="0.3">
      <c r="B930" s="70">
        <v>45630</v>
      </c>
      <c r="C930" s="70">
        <f t="shared" si="71"/>
        <v>45627</v>
      </c>
      <c r="D930" s="94">
        <v>4796.38</v>
      </c>
      <c r="E930" s="94">
        <v>0</v>
      </c>
      <c r="F930" s="92" t="s">
        <v>3424</v>
      </c>
      <c r="G930" s="75"/>
      <c r="H930" s="92" t="s">
        <v>3881</v>
      </c>
      <c r="I930" s="92" t="s">
        <v>3889</v>
      </c>
      <c r="K930" s="71" t="s">
        <v>217</v>
      </c>
      <c r="L930" t="s">
        <v>30</v>
      </c>
      <c r="M930" t="str">
        <f t="shared" si="72"/>
        <v>04</v>
      </c>
      <c r="N930" t="str">
        <f t="shared" si="73"/>
        <v>12</v>
      </c>
      <c r="O930" t="str">
        <f t="shared" si="70"/>
        <v>2024</v>
      </c>
      <c r="P930" t="str">
        <f t="shared" si="74"/>
        <v>04-12-2024</v>
      </c>
    </row>
    <row r="931" spans="2:16" x14ac:dyDescent="0.3">
      <c r="B931" s="70">
        <v>45631</v>
      </c>
      <c r="C931" s="70">
        <f t="shared" si="71"/>
        <v>45627</v>
      </c>
      <c r="D931" s="94">
        <v>104.72</v>
      </c>
      <c r="E931" s="94">
        <v>0</v>
      </c>
      <c r="F931" s="92" t="s">
        <v>3425</v>
      </c>
      <c r="G931" s="75"/>
      <c r="H931" s="92" t="s">
        <v>3881</v>
      </c>
      <c r="I931" s="92" t="s">
        <v>3889</v>
      </c>
      <c r="K931" s="71" t="s">
        <v>217</v>
      </c>
      <c r="L931" t="s">
        <v>30</v>
      </c>
      <c r="M931" t="str">
        <f t="shared" si="72"/>
        <v>05</v>
      </c>
      <c r="N931" t="str">
        <f t="shared" si="73"/>
        <v>12</v>
      </c>
      <c r="O931" t="str">
        <f t="shared" si="70"/>
        <v>2024</v>
      </c>
      <c r="P931" t="str">
        <f t="shared" si="74"/>
        <v>05-12-2024</v>
      </c>
    </row>
    <row r="932" spans="2:16" x14ac:dyDescent="0.3">
      <c r="B932" s="70">
        <v>45631</v>
      </c>
      <c r="C932" s="70">
        <f t="shared" si="71"/>
        <v>45627</v>
      </c>
      <c r="D932" s="94">
        <v>254.4</v>
      </c>
      <c r="E932" s="94">
        <v>0</v>
      </c>
      <c r="F932" s="92" t="s">
        <v>3425</v>
      </c>
      <c r="G932" s="75"/>
      <c r="H932" s="92" t="s">
        <v>3881</v>
      </c>
      <c r="I932" s="92" t="s">
        <v>3889</v>
      </c>
      <c r="K932" s="71" t="s">
        <v>217</v>
      </c>
      <c r="L932" t="s">
        <v>30</v>
      </c>
      <c r="M932" t="str">
        <f t="shared" si="72"/>
        <v>05</v>
      </c>
      <c r="N932" t="str">
        <f t="shared" si="73"/>
        <v>12</v>
      </c>
      <c r="O932" t="str">
        <f t="shared" si="70"/>
        <v>2024</v>
      </c>
      <c r="P932" t="str">
        <f t="shared" si="74"/>
        <v>05-12-2024</v>
      </c>
    </row>
    <row r="933" spans="2:16" x14ac:dyDescent="0.3">
      <c r="B933" s="70">
        <v>45631</v>
      </c>
      <c r="C933" s="70">
        <f t="shared" si="71"/>
        <v>45627</v>
      </c>
      <c r="D933" s="94">
        <v>45</v>
      </c>
      <c r="E933" s="94">
        <v>0</v>
      </c>
      <c r="F933" s="92" t="s">
        <v>3426</v>
      </c>
      <c r="G933" s="75"/>
      <c r="H933" s="92" t="s">
        <v>589</v>
      </c>
      <c r="I933" s="92" t="s">
        <v>3892</v>
      </c>
      <c r="K933" s="71" t="s">
        <v>511</v>
      </c>
      <c r="L933" t="s">
        <v>2040</v>
      </c>
      <c r="M933" t="str">
        <f t="shared" si="72"/>
        <v>05</v>
      </c>
      <c r="N933" t="str">
        <f t="shared" si="73"/>
        <v>12</v>
      </c>
      <c r="O933" t="str">
        <f t="shared" si="70"/>
        <v>2024</v>
      </c>
      <c r="P933" t="str">
        <f t="shared" si="74"/>
        <v>05-12-2024</v>
      </c>
    </row>
    <row r="934" spans="2:16" x14ac:dyDescent="0.3">
      <c r="B934" s="70">
        <v>45632</v>
      </c>
      <c r="C934" s="70">
        <f t="shared" si="71"/>
        <v>45627</v>
      </c>
      <c r="D934" s="94">
        <v>109.03</v>
      </c>
      <c r="E934" s="94">
        <v>0</v>
      </c>
      <c r="F934" s="92" t="s">
        <v>3427</v>
      </c>
      <c r="G934" s="75"/>
      <c r="H934" s="92" t="s">
        <v>3881</v>
      </c>
      <c r="I934" s="92" t="s">
        <v>3889</v>
      </c>
      <c r="K934" s="71" t="s">
        <v>217</v>
      </c>
      <c r="L934" t="s">
        <v>30</v>
      </c>
      <c r="M934" t="str">
        <f t="shared" si="72"/>
        <v>06</v>
      </c>
      <c r="N934" t="str">
        <f t="shared" si="73"/>
        <v>12</v>
      </c>
      <c r="O934" t="str">
        <f t="shared" si="70"/>
        <v>2024</v>
      </c>
      <c r="P934" t="str">
        <f t="shared" si="74"/>
        <v>06-12-2024</v>
      </c>
    </row>
    <row r="935" spans="2:16" x14ac:dyDescent="0.3">
      <c r="B935" s="70">
        <v>45632</v>
      </c>
      <c r="C935" s="70">
        <f t="shared" si="71"/>
        <v>45627</v>
      </c>
      <c r="D935" s="94">
        <v>0</v>
      </c>
      <c r="E935" s="94">
        <v>584.53</v>
      </c>
      <c r="F935" s="92" t="s">
        <v>3428</v>
      </c>
      <c r="G935" s="75"/>
      <c r="H935" s="92" t="s">
        <v>3881</v>
      </c>
      <c r="I935" s="92" t="s">
        <v>3889</v>
      </c>
      <c r="K935" s="71" t="s">
        <v>217</v>
      </c>
      <c r="L935" t="s">
        <v>34</v>
      </c>
      <c r="M935" t="str">
        <f t="shared" si="72"/>
        <v>06</v>
      </c>
      <c r="N935" t="str">
        <f t="shared" si="73"/>
        <v>12</v>
      </c>
      <c r="O935" t="str">
        <f t="shared" si="70"/>
        <v>2024</v>
      </c>
      <c r="P935" t="str">
        <f t="shared" si="74"/>
        <v>06-12-2024</v>
      </c>
    </row>
    <row r="936" spans="2:16" x14ac:dyDescent="0.3">
      <c r="B936" s="70">
        <v>45633</v>
      </c>
      <c r="C936" s="70">
        <f t="shared" si="71"/>
        <v>45627</v>
      </c>
      <c r="D936" s="94">
        <v>0</v>
      </c>
      <c r="E936" s="94">
        <v>1880</v>
      </c>
      <c r="F936" s="92" t="s">
        <v>3429</v>
      </c>
      <c r="G936" s="92" t="s">
        <v>222</v>
      </c>
      <c r="H936" s="92" t="s">
        <v>3876</v>
      </c>
      <c r="I936" s="92" t="s">
        <v>3889</v>
      </c>
      <c r="K936" s="71" t="s">
        <v>222</v>
      </c>
      <c r="L936" t="s">
        <v>1154</v>
      </c>
      <c r="M936" t="str">
        <f t="shared" si="72"/>
        <v>07</v>
      </c>
      <c r="N936" t="str">
        <f t="shared" si="73"/>
        <v>12</v>
      </c>
      <c r="O936" t="str">
        <f t="shared" si="70"/>
        <v>2024</v>
      </c>
      <c r="P936" t="str">
        <f t="shared" si="74"/>
        <v>07-12-2024</v>
      </c>
    </row>
    <row r="937" spans="2:16" x14ac:dyDescent="0.3">
      <c r="B937" s="70">
        <v>45633</v>
      </c>
      <c r="C937" s="70">
        <f t="shared" si="71"/>
        <v>45627</v>
      </c>
      <c r="D937" s="94">
        <v>50</v>
      </c>
      <c r="E937" s="94">
        <v>0</v>
      </c>
      <c r="F937" s="92" t="s">
        <v>3430</v>
      </c>
      <c r="G937" s="75"/>
      <c r="H937" s="92" t="s">
        <v>589</v>
      </c>
      <c r="I937" s="92" t="s">
        <v>3892</v>
      </c>
      <c r="K937" s="71" t="s">
        <v>511</v>
      </c>
      <c r="L937" t="s">
        <v>2042</v>
      </c>
      <c r="M937" t="str">
        <f t="shared" si="72"/>
        <v>07</v>
      </c>
      <c r="N937" t="str">
        <f t="shared" si="73"/>
        <v>12</v>
      </c>
      <c r="O937" t="str">
        <f t="shared" si="70"/>
        <v>2024</v>
      </c>
      <c r="P937" t="str">
        <f t="shared" si="74"/>
        <v>07-12-2024</v>
      </c>
    </row>
    <row r="938" spans="2:16" x14ac:dyDescent="0.3">
      <c r="B938" s="70">
        <v>45633</v>
      </c>
      <c r="C938" s="70">
        <f t="shared" si="71"/>
        <v>45627</v>
      </c>
      <c r="D938" s="94">
        <v>129</v>
      </c>
      <c r="E938" s="94">
        <v>0</v>
      </c>
      <c r="F938" s="92" t="s">
        <v>3431</v>
      </c>
      <c r="G938" s="75"/>
      <c r="H938" s="92" t="s">
        <v>589</v>
      </c>
      <c r="I938" s="92" t="s">
        <v>3892</v>
      </c>
      <c r="K938" s="71" t="s">
        <v>511</v>
      </c>
      <c r="L938" t="s">
        <v>2044</v>
      </c>
      <c r="M938" t="str">
        <f t="shared" si="72"/>
        <v>07</v>
      </c>
      <c r="N938" t="str">
        <f t="shared" si="73"/>
        <v>12</v>
      </c>
      <c r="O938" t="str">
        <f t="shared" si="70"/>
        <v>2024</v>
      </c>
      <c r="P938" t="str">
        <f t="shared" si="74"/>
        <v>07-12-2024</v>
      </c>
    </row>
    <row r="939" spans="2:16" x14ac:dyDescent="0.3">
      <c r="B939" s="70">
        <v>45633</v>
      </c>
      <c r="C939" s="70">
        <f t="shared" si="71"/>
        <v>45627</v>
      </c>
      <c r="D939" s="94">
        <v>127</v>
      </c>
      <c r="E939" s="94">
        <v>0</v>
      </c>
      <c r="F939" s="92" t="s">
        <v>3432</v>
      </c>
      <c r="G939" s="75"/>
      <c r="H939" s="92" t="s">
        <v>589</v>
      </c>
      <c r="I939" s="92" t="s">
        <v>3892</v>
      </c>
      <c r="K939" s="71" t="s">
        <v>511</v>
      </c>
      <c r="L939" t="s">
        <v>2046</v>
      </c>
      <c r="M939" t="str">
        <f t="shared" si="72"/>
        <v>07</v>
      </c>
      <c r="N939" t="str">
        <f t="shared" si="73"/>
        <v>12</v>
      </c>
      <c r="O939" t="str">
        <f t="shared" si="70"/>
        <v>2024</v>
      </c>
      <c r="P939" t="str">
        <f t="shared" si="74"/>
        <v>07-12-2024</v>
      </c>
    </row>
    <row r="940" spans="2:16" x14ac:dyDescent="0.3">
      <c r="B940" s="70">
        <v>45633</v>
      </c>
      <c r="C940" s="70">
        <f t="shared" si="71"/>
        <v>45627</v>
      </c>
      <c r="D940" s="94">
        <v>105</v>
      </c>
      <c r="E940" s="94">
        <v>0</v>
      </c>
      <c r="F940" s="92" t="s">
        <v>3433</v>
      </c>
      <c r="G940" s="75"/>
      <c r="H940" s="92" t="s">
        <v>589</v>
      </c>
      <c r="I940" s="92" t="s">
        <v>3892</v>
      </c>
      <c r="K940" s="71" t="s">
        <v>511</v>
      </c>
      <c r="L940" t="s">
        <v>2048</v>
      </c>
      <c r="M940" t="str">
        <f t="shared" si="72"/>
        <v>07</v>
      </c>
      <c r="N940" t="str">
        <f t="shared" si="73"/>
        <v>12</v>
      </c>
      <c r="O940" t="str">
        <f t="shared" si="70"/>
        <v>2024</v>
      </c>
      <c r="P940" t="str">
        <f t="shared" si="74"/>
        <v>07-12-2024</v>
      </c>
    </row>
    <row r="941" spans="2:16" x14ac:dyDescent="0.3">
      <c r="B941" s="70">
        <v>45634</v>
      </c>
      <c r="C941" s="70">
        <f t="shared" si="71"/>
        <v>45627</v>
      </c>
      <c r="D941" s="94">
        <v>111</v>
      </c>
      <c r="E941" s="94">
        <v>0</v>
      </c>
      <c r="F941" s="92" t="s">
        <v>3434</v>
      </c>
      <c r="G941" s="75"/>
      <c r="H941" s="92" t="s">
        <v>589</v>
      </c>
      <c r="I941" s="92" t="s">
        <v>3892</v>
      </c>
      <c r="K941" s="71" t="s">
        <v>511</v>
      </c>
      <c r="L941" t="s">
        <v>2050</v>
      </c>
      <c r="M941" t="str">
        <f t="shared" si="72"/>
        <v>08</v>
      </c>
      <c r="N941" t="str">
        <f t="shared" si="73"/>
        <v>12</v>
      </c>
      <c r="O941" t="str">
        <f t="shared" si="70"/>
        <v>2024</v>
      </c>
      <c r="P941" t="str">
        <f t="shared" si="74"/>
        <v>08-12-2024</v>
      </c>
    </row>
    <row r="942" spans="2:16" x14ac:dyDescent="0.3">
      <c r="B942" s="70">
        <v>45634</v>
      </c>
      <c r="C942" s="70">
        <f t="shared" si="71"/>
        <v>45627</v>
      </c>
      <c r="D942" s="94">
        <v>820</v>
      </c>
      <c r="E942" s="94">
        <v>0</v>
      </c>
      <c r="F942" s="92" t="s">
        <v>3435</v>
      </c>
      <c r="G942" s="75"/>
      <c r="H942" s="92" t="s">
        <v>589</v>
      </c>
      <c r="I942" s="92" t="s">
        <v>3892</v>
      </c>
      <c r="K942" s="71" t="s">
        <v>511</v>
      </c>
      <c r="L942" t="s">
        <v>2052</v>
      </c>
      <c r="M942" t="str">
        <f t="shared" si="72"/>
        <v>08</v>
      </c>
      <c r="N942" t="str">
        <f t="shared" si="73"/>
        <v>12</v>
      </c>
      <c r="O942" t="str">
        <f t="shared" si="70"/>
        <v>2024</v>
      </c>
      <c r="P942" t="str">
        <f t="shared" si="74"/>
        <v>08-12-2024</v>
      </c>
    </row>
    <row r="943" spans="2:16" x14ac:dyDescent="0.3">
      <c r="B943" s="70">
        <v>45634</v>
      </c>
      <c r="C943" s="70">
        <f t="shared" si="71"/>
        <v>45627</v>
      </c>
      <c r="D943" s="94">
        <v>20000</v>
      </c>
      <c r="E943" s="94">
        <v>0</v>
      </c>
      <c r="F943" s="92" t="s">
        <v>3436</v>
      </c>
      <c r="G943" s="75"/>
      <c r="H943" s="92" t="s">
        <v>589</v>
      </c>
      <c r="I943" s="92" t="s">
        <v>3892</v>
      </c>
      <c r="K943" s="71" t="s">
        <v>511</v>
      </c>
      <c r="L943" t="s">
        <v>2054</v>
      </c>
      <c r="M943" t="str">
        <f t="shared" si="72"/>
        <v>08</v>
      </c>
      <c r="N943" t="str">
        <f t="shared" si="73"/>
        <v>12</v>
      </c>
      <c r="O943" t="str">
        <f t="shared" si="70"/>
        <v>2024</v>
      </c>
      <c r="P943" t="str">
        <f t="shared" si="74"/>
        <v>08-12-2024</v>
      </c>
    </row>
    <row r="944" spans="2:16" x14ac:dyDescent="0.3">
      <c r="B944" s="70">
        <v>45635</v>
      </c>
      <c r="C944" s="70">
        <f t="shared" si="71"/>
        <v>45627</v>
      </c>
      <c r="D944" s="94">
        <v>327.72</v>
      </c>
      <c r="E944" s="94">
        <v>0</v>
      </c>
      <c r="F944" s="92" t="s">
        <v>3437</v>
      </c>
      <c r="G944" s="75"/>
      <c r="H944" s="92" t="s">
        <v>3881</v>
      </c>
      <c r="I944" s="92" t="s">
        <v>3889</v>
      </c>
      <c r="K944" s="71" t="s">
        <v>217</v>
      </c>
      <c r="L944" t="s">
        <v>30</v>
      </c>
      <c r="M944" t="str">
        <f t="shared" si="72"/>
        <v>09</v>
      </c>
      <c r="N944" t="str">
        <f t="shared" si="73"/>
        <v>12</v>
      </c>
      <c r="O944" t="str">
        <f t="shared" si="70"/>
        <v>2024</v>
      </c>
      <c r="P944" t="str">
        <f t="shared" si="74"/>
        <v>09-12-2024</v>
      </c>
    </row>
    <row r="945" spans="2:16" x14ac:dyDescent="0.3">
      <c r="B945" s="70">
        <v>45635</v>
      </c>
      <c r="C945" s="70">
        <f t="shared" si="71"/>
        <v>45627</v>
      </c>
      <c r="D945" s="94">
        <v>152.9</v>
      </c>
      <c r="E945" s="94">
        <v>0</v>
      </c>
      <c r="F945" s="92" t="s">
        <v>3437</v>
      </c>
      <c r="G945" s="75"/>
      <c r="H945" s="92" t="s">
        <v>3881</v>
      </c>
      <c r="I945" s="92" t="s">
        <v>3889</v>
      </c>
      <c r="K945" s="71" t="s">
        <v>217</v>
      </c>
      <c r="L945" t="s">
        <v>30</v>
      </c>
      <c r="M945" t="str">
        <f t="shared" si="72"/>
        <v>09</v>
      </c>
      <c r="N945" t="str">
        <f t="shared" si="73"/>
        <v>12</v>
      </c>
      <c r="O945" t="str">
        <f t="shared" si="70"/>
        <v>2024</v>
      </c>
      <c r="P945" t="str">
        <f t="shared" si="74"/>
        <v>09-12-2024</v>
      </c>
    </row>
    <row r="946" spans="2:16" x14ac:dyDescent="0.3">
      <c r="B946" s="70">
        <v>45635</v>
      </c>
      <c r="C946" s="70">
        <f t="shared" si="71"/>
        <v>45627</v>
      </c>
      <c r="D946" s="94">
        <v>0</v>
      </c>
      <c r="E946" s="94">
        <v>20</v>
      </c>
      <c r="F946" s="92" t="s">
        <v>3438</v>
      </c>
      <c r="G946" s="75"/>
      <c r="H946" s="92" t="s">
        <v>589</v>
      </c>
      <c r="I946" s="92" t="s">
        <v>3893</v>
      </c>
      <c r="K946" s="71" t="s">
        <v>511</v>
      </c>
      <c r="L946" t="s">
        <v>1455</v>
      </c>
      <c r="M946" t="str">
        <f t="shared" si="72"/>
        <v>09</v>
      </c>
      <c r="N946" t="str">
        <f t="shared" si="73"/>
        <v>12</v>
      </c>
      <c r="O946" t="str">
        <f t="shared" si="70"/>
        <v>2024</v>
      </c>
      <c r="P946" t="str">
        <f t="shared" si="74"/>
        <v>09-12-2024</v>
      </c>
    </row>
    <row r="947" spans="2:16" x14ac:dyDescent="0.3">
      <c r="B947" s="70">
        <v>45635</v>
      </c>
      <c r="C947" s="70">
        <f t="shared" si="71"/>
        <v>45627</v>
      </c>
      <c r="D947" s="94">
        <v>0</v>
      </c>
      <c r="E947" s="94">
        <v>122.22</v>
      </c>
      <c r="F947" s="92" t="s">
        <v>3439</v>
      </c>
      <c r="G947" s="75"/>
      <c r="H947" s="92" t="s">
        <v>3875</v>
      </c>
      <c r="I947" s="92" t="s">
        <v>3892</v>
      </c>
      <c r="K947" s="71" t="s">
        <v>2535</v>
      </c>
      <c r="L947" t="s">
        <v>2056</v>
      </c>
      <c r="M947" t="str">
        <f t="shared" si="72"/>
        <v>09</v>
      </c>
      <c r="N947" t="str">
        <f t="shared" si="73"/>
        <v>12</v>
      </c>
      <c r="O947" t="str">
        <f t="shared" si="70"/>
        <v>2024</v>
      </c>
      <c r="P947" t="str">
        <f t="shared" si="74"/>
        <v>09-12-2024</v>
      </c>
    </row>
    <row r="948" spans="2:16" x14ac:dyDescent="0.3">
      <c r="B948" s="70">
        <v>45635</v>
      </c>
      <c r="C948" s="70">
        <f t="shared" si="71"/>
        <v>45627</v>
      </c>
      <c r="D948" s="94">
        <v>0</v>
      </c>
      <c r="E948" s="94">
        <v>18</v>
      </c>
      <c r="F948" s="92" t="s">
        <v>3440</v>
      </c>
      <c r="G948" s="75"/>
      <c r="H948" s="92" t="s">
        <v>589</v>
      </c>
      <c r="I948" s="92" t="s">
        <v>3892</v>
      </c>
      <c r="K948" s="71" t="s">
        <v>511</v>
      </c>
      <c r="L948" t="s">
        <v>2058</v>
      </c>
      <c r="M948" t="str">
        <f t="shared" si="72"/>
        <v>09</v>
      </c>
      <c r="N948" t="str">
        <f t="shared" si="73"/>
        <v>12</v>
      </c>
      <c r="O948" t="str">
        <f t="shared" si="70"/>
        <v>2024</v>
      </c>
      <c r="P948" t="str">
        <f t="shared" si="74"/>
        <v>09-12-2024</v>
      </c>
    </row>
    <row r="949" spans="2:16" x14ac:dyDescent="0.3">
      <c r="B949" s="70">
        <v>45636</v>
      </c>
      <c r="C949" s="70">
        <f t="shared" si="71"/>
        <v>45627</v>
      </c>
      <c r="D949" s="94">
        <v>109.18</v>
      </c>
      <c r="E949" s="94">
        <v>0</v>
      </c>
      <c r="F949" s="92" t="s">
        <v>3441</v>
      </c>
      <c r="G949" s="75"/>
      <c r="H949" s="92" t="s">
        <v>3881</v>
      </c>
      <c r="I949" s="92" t="s">
        <v>3889</v>
      </c>
      <c r="K949" s="71" t="s">
        <v>217</v>
      </c>
      <c r="L949" t="s">
        <v>30</v>
      </c>
      <c r="M949" t="str">
        <f t="shared" si="72"/>
        <v>10</v>
      </c>
      <c r="N949" t="str">
        <f t="shared" si="73"/>
        <v>12</v>
      </c>
      <c r="O949" t="str">
        <f t="shared" si="70"/>
        <v>2024</v>
      </c>
      <c r="P949" t="str">
        <f t="shared" si="74"/>
        <v>10-12-2024</v>
      </c>
    </row>
    <row r="950" spans="2:16" x14ac:dyDescent="0.3">
      <c r="B950" s="70">
        <v>45636</v>
      </c>
      <c r="C950" s="70">
        <f t="shared" si="71"/>
        <v>45627</v>
      </c>
      <c r="D950" s="94">
        <v>0</v>
      </c>
      <c r="E950" s="94">
        <v>2084.2600000000002</v>
      </c>
      <c r="F950" s="92" t="s">
        <v>3442</v>
      </c>
      <c r="G950" s="75"/>
      <c r="H950" s="92" t="s">
        <v>3935</v>
      </c>
      <c r="I950" s="92" t="s">
        <v>3893</v>
      </c>
      <c r="K950" s="71" t="s">
        <v>2530</v>
      </c>
      <c r="L950" t="s">
        <v>1456</v>
      </c>
      <c r="M950" t="str">
        <f t="shared" si="72"/>
        <v>10</v>
      </c>
      <c r="N950" t="str">
        <f t="shared" si="73"/>
        <v>12</v>
      </c>
      <c r="O950" t="str">
        <f t="shared" si="70"/>
        <v>2024</v>
      </c>
      <c r="P950" t="str">
        <f t="shared" si="74"/>
        <v>10-12-2024</v>
      </c>
    </row>
    <row r="951" spans="2:16" x14ac:dyDescent="0.3">
      <c r="B951" s="70">
        <v>45636</v>
      </c>
      <c r="C951" s="70">
        <f t="shared" si="71"/>
        <v>45627</v>
      </c>
      <c r="D951" s="94">
        <v>50</v>
      </c>
      <c r="E951" s="94">
        <v>0</v>
      </c>
      <c r="F951" s="92" t="s">
        <v>3443</v>
      </c>
      <c r="G951" s="75"/>
      <c r="H951" s="92" t="s">
        <v>589</v>
      </c>
      <c r="I951" s="92" t="s">
        <v>3892</v>
      </c>
      <c r="K951" s="71" t="s">
        <v>511</v>
      </c>
      <c r="L951" t="s">
        <v>2060</v>
      </c>
      <c r="M951" t="str">
        <f t="shared" si="72"/>
        <v>10</v>
      </c>
      <c r="N951" t="str">
        <f t="shared" si="73"/>
        <v>12</v>
      </c>
      <c r="O951" t="str">
        <f t="shared" si="70"/>
        <v>2024</v>
      </c>
      <c r="P951" t="str">
        <f t="shared" si="74"/>
        <v>10-12-2024</v>
      </c>
    </row>
    <row r="952" spans="2:16" x14ac:dyDescent="0.3">
      <c r="B952" s="70">
        <v>45637</v>
      </c>
      <c r="C952" s="70">
        <f t="shared" si="71"/>
        <v>45627</v>
      </c>
      <c r="D952" s="94">
        <v>0</v>
      </c>
      <c r="E952" s="94">
        <v>3068.94</v>
      </c>
      <c r="F952" s="92" t="s">
        <v>3444</v>
      </c>
      <c r="G952" s="75"/>
      <c r="H952" s="92" t="s">
        <v>3881</v>
      </c>
      <c r="I952" s="92" t="s">
        <v>3889</v>
      </c>
      <c r="K952" s="71" t="s">
        <v>2523</v>
      </c>
      <c r="L952" t="s">
        <v>1159</v>
      </c>
      <c r="M952" t="str">
        <f t="shared" si="72"/>
        <v>11</v>
      </c>
      <c r="N952" t="str">
        <f t="shared" si="73"/>
        <v>12</v>
      </c>
      <c r="O952" t="str">
        <f t="shared" si="70"/>
        <v>2024</v>
      </c>
      <c r="P952" t="str">
        <f t="shared" si="74"/>
        <v>11-12-2024</v>
      </c>
    </row>
    <row r="953" spans="2:16" x14ac:dyDescent="0.3">
      <c r="B953" s="70">
        <v>45637</v>
      </c>
      <c r="C953" s="70">
        <f t="shared" si="71"/>
        <v>45627</v>
      </c>
      <c r="D953" s="94">
        <v>109.18</v>
      </c>
      <c r="E953" s="94">
        <v>0</v>
      </c>
      <c r="F953" s="92" t="s">
        <v>3445</v>
      </c>
      <c r="G953" s="75"/>
      <c r="H953" s="92" t="s">
        <v>3881</v>
      </c>
      <c r="I953" s="92" t="s">
        <v>3889</v>
      </c>
      <c r="K953" s="71" t="s">
        <v>217</v>
      </c>
      <c r="L953" t="s">
        <v>30</v>
      </c>
      <c r="M953" t="str">
        <f t="shared" si="72"/>
        <v>11</v>
      </c>
      <c r="N953" t="str">
        <f t="shared" si="73"/>
        <v>12</v>
      </c>
      <c r="O953" t="str">
        <f t="shared" si="70"/>
        <v>2024</v>
      </c>
      <c r="P953" t="str">
        <f t="shared" si="74"/>
        <v>11-12-2024</v>
      </c>
    </row>
    <row r="954" spans="2:16" x14ac:dyDescent="0.3">
      <c r="B954" s="70">
        <v>45637</v>
      </c>
      <c r="C954" s="70">
        <f t="shared" si="71"/>
        <v>45627</v>
      </c>
      <c r="D954" s="94">
        <v>0</v>
      </c>
      <c r="E954" s="94">
        <v>800</v>
      </c>
      <c r="F954" s="92" t="s">
        <v>3446</v>
      </c>
      <c r="G954" s="75" t="s">
        <v>3932</v>
      </c>
      <c r="H954" s="92" t="s">
        <v>218</v>
      </c>
      <c r="I954" s="92" t="s">
        <v>3889</v>
      </c>
      <c r="K954" s="71" t="s">
        <v>218</v>
      </c>
      <c r="L954" t="s">
        <v>1162</v>
      </c>
      <c r="M954" t="str">
        <f t="shared" si="72"/>
        <v>11</v>
      </c>
      <c r="N954" t="str">
        <f t="shared" si="73"/>
        <v>12</v>
      </c>
      <c r="O954" t="str">
        <f t="shared" si="70"/>
        <v>2024</v>
      </c>
      <c r="P954" t="str">
        <f t="shared" si="74"/>
        <v>11-12-2024</v>
      </c>
    </row>
    <row r="955" spans="2:16" x14ac:dyDescent="0.3">
      <c r="B955" s="70">
        <v>45637</v>
      </c>
      <c r="C955" s="70">
        <f t="shared" si="71"/>
        <v>45627</v>
      </c>
      <c r="D955" s="94">
        <v>67.39</v>
      </c>
      <c r="E955" s="94">
        <v>0</v>
      </c>
      <c r="F955" s="92" t="s">
        <v>3445</v>
      </c>
      <c r="G955" s="75"/>
      <c r="H955" s="92" t="s">
        <v>3881</v>
      </c>
      <c r="I955" s="92" t="s">
        <v>3889</v>
      </c>
      <c r="K955" s="71" t="s">
        <v>217</v>
      </c>
      <c r="L955" t="s">
        <v>30</v>
      </c>
      <c r="M955" t="str">
        <f t="shared" si="72"/>
        <v>11</v>
      </c>
      <c r="N955" t="str">
        <f t="shared" si="73"/>
        <v>12</v>
      </c>
      <c r="O955" t="str">
        <f t="shared" si="70"/>
        <v>2024</v>
      </c>
      <c r="P955" t="str">
        <f t="shared" si="74"/>
        <v>11-12-2024</v>
      </c>
    </row>
    <row r="956" spans="2:16" x14ac:dyDescent="0.3">
      <c r="B956" s="70">
        <v>45638</v>
      </c>
      <c r="C956" s="70">
        <f t="shared" si="71"/>
        <v>45627</v>
      </c>
      <c r="D956" s="94">
        <v>110.25</v>
      </c>
      <c r="E956" s="94">
        <v>0</v>
      </c>
      <c r="F956" s="92" t="s">
        <v>3447</v>
      </c>
      <c r="G956" s="75"/>
      <c r="H956" s="92" t="s">
        <v>3881</v>
      </c>
      <c r="I956" s="92" t="s">
        <v>3889</v>
      </c>
      <c r="K956" s="71" t="s">
        <v>217</v>
      </c>
      <c r="L956" t="s">
        <v>30</v>
      </c>
      <c r="M956" t="str">
        <f t="shared" si="72"/>
        <v>12</v>
      </c>
      <c r="N956" t="str">
        <f t="shared" si="73"/>
        <v>12</v>
      </c>
      <c r="O956" t="str">
        <f t="shared" si="70"/>
        <v>2024</v>
      </c>
      <c r="P956" t="str">
        <f t="shared" si="74"/>
        <v>12-12-2024</v>
      </c>
    </row>
    <row r="957" spans="2:16" x14ac:dyDescent="0.3">
      <c r="B957" s="70">
        <v>45638</v>
      </c>
      <c r="C957" s="70">
        <f t="shared" si="71"/>
        <v>45627</v>
      </c>
      <c r="D957" s="94">
        <v>1276.49</v>
      </c>
      <c r="E957" s="94">
        <v>0</v>
      </c>
      <c r="F957" s="92" t="s">
        <v>3447</v>
      </c>
      <c r="G957" s="75"/>
      <c r="H957" s="92" t="s">
        <v>3881</v>
      </c>
      <c r="I957" s="92" t="s">
        <v>3889</v>
      </c>
      <c r="K957" s="71" t="s">
        <v>217</v>
      </c>
      <c r="L957" t="s">
        <v>30</v>
      </c>
      <c r="M957" t="str">
        <f t="shared" si="72"/>
        <v>12</v>
      </c>
      <c r="N957" t="str">
        <f t="shared" si="73"/>
        <v>12</v>
      </c>
      <c r="O957" t="str">
        <f t="shared" si="70"/>
        <v>2024</v>
      </c>
      <c r="P957" t="str">
        <f t="shared" si="74"/>
        <v>12-12-2024</v>
      </c>
    </row>
    <row r="958" spans="2:16" x14ac:dyDescent="0.3">
      <c r="B958" s="70">
        <v>45639</v>
      </c>
      <c r="C958" s="70">
        <f t="shared" si="71"/>
        <v>45627</v>
      </c>
      <c r="D958" s="94">
        <v>109.8</v>
      </c>
      <c r="E958" s="94">
        <v>0</v>
      </c>
      <c r="F958" s="92" t="s">
        <v>3448</v>
      </c>
      <c r="G958" s="75"/>
      <c r="H958" s="92" t="s">
        <v>3881</v>
      </c>
      <c r="I958" s="92" t="s">
        <v>3889</v>
      </c>
      <c r="K958" s="71" t="s">
        <v>217</v>
      </c>
      <c r="L958" t="s">
        <v>30</v>
      </c>
      <c r="M958" t="str">
        <f t="shared" si="72"/>
        <v>13</v>
      </c>
      <c r="N958" t="str">
        <f t="shared" si="73"/>
        <v>12</v>
      </c>
      <c r="O958" t="str">
        <f t="shared" si="70"/>
        <v>2024</v>
      </c>
      <c r="P958" t="str">
        <f t="shared" si="74"/>
        <v>13-12-2024</v>
      </c>
    </row>
    <row r="959" spans="2:16" x14ac:dyDescent="0.3">
      <c r="B959" s="70">
        <v>45639</v>
      </c>
      <c r="C959" s="70">
        <f t="shared" si="71"/>
        <v>45627</v>
      </c>
      <c r="D959" s="94">
        <v>100.77</v>
      </c>
      <c r="E959" s="94">
        <v>0</v>
      </c>
      <c r="F959" s="92" t="s">
        <v>3448</v>
      </c>
      <c r="G959" s="75"/>
      <c r="H959" s="92" t="s">
        <v>3881</v>
      </c>
      <c r="I959" s="92" t="s">
        <v>3889</v>
      </c>
      <c r="K959" s="71" t="s">
        <v>217</v>
      </c>
      <c r="L959" t="s">
        <v>30</v>
      </c>
      <c r="M959" t="str">
        <f t="shared" si="72"/>
        <v>13</v>
      </c>
      <c r="N959" t="str">
        <f t="shared" si="73"/>
        <v>12</v>
      </c>
      <c r="O959" t="str">
        <f t="shared" si="70"/>
        <v>2024</v>
      </c>
      <c r="P959" t="str">
        <f t="shared" si="74"/>
        <v>13-12-2024</v>
      </c>
    </row>
    <row r="960" spans="2:16" x14ac:dyDescent="0.3">
      <c r="B960" s="70">
        <v>45640</v>
      </c>
      <c r="C960" s="70">
        <f t="shared" si="71"/>
        <v>45627</v>
      </c>
      <c r="D960" s="94">
        <v>60</v>
      </c>
      <c r="E960" s="94">
        <v>0</v>
      </c>
      <c r="F960" s="92" t="s">
        <v>3449</v>
      </c>
      <c r="G960" s="75"/>
      <c r="H960" s="92" t="s">
        <v>589</v>
      </c>
      <c r="I960" s="92" t="s">
        <v>3892</v>
      </c>
      <c r="K960" s="71" t="s">
        <v>511</v>
      </c>
      <c r="L960" t="s">
        <v>2062</v>
      </c>
      <c r="M960" t="str">
        <f t="shared" si="72"/>
        <v>14</v>
      </c>
      <c r="N960" t="str">
        <f t="shared" si="73"/>
        <v>12</v>
      </c>
      <c r="O960" t="str">
        <f t="shared" si="70"/>
        <v>2024</v>
      </c>
      <c r="P960" t="str">
        <f t="shared" si="74"/>
        <v>14-12-2024</v>
      </c>
    </row>
    <row r="961" spans="2:16" x14ac:dyDescent="0.3">
      <c r="B961" s="70">
        <v>45640</v>
      </c>
      <c r="C961" s="70">
        <f t="shared" si="71"/>
        <v>45627</v>
      </c>
      <c r="D961" s="94">
        <v>25</v>
      </c>
      <c r="E961" s="94">
        <v>0</v>
      </c>
      <c r="F961" s="92" t="s">
        <v>3450</v>
      </c>
      <c r="G961" s="75"/>
      <c r="H961" s="92" t="s">
        <v>589</v>
      </c>
      <c r="I961" s="92" t="s">
        <v>3892</v>
      </c>
      <c r="K961" s="71" t="s">
        <v>511</v>
      </c>
      <c r="L961" t="s">
        <v>2064</v>
      </c>
      <c r="M961" t="str">
        <f t="shared" si="72"/>
        <v>14</v>
      </c>
      <c r="N961" t="str">
        <f t="shared" si="73"/>
        <v>12</v>
      </c>
      <c r="O961" t="str">
        <f t="shared" si="70"/>
        <v>2024</v>
      </c>
      <c r="P961" t="str">
        <f t="shared" si="74"/>
        <v>14-12-2024</v>
      </c>
    </row>
    <row r="962" spans="2:16" x14ac:dyDescent="0.3">
      <c r="B962" s="70">
        <v>45640</v>
      </c>
      <c r="C962" s="70">
        <f t="shared" si="71"/>
        <v>45627</v>
      </c>
      <c r="D962" s="94">
        <v>97</v>
      </c>
      <c r="E962" s="94">
        <v>0</v>
      </c>
      <c r="F962" s="92" t="s">
        <v>3451</v>
      </c>
      <c r="G962" s="75"/>
      <c r="H962" s="92" t="s">
        <v>589</v>
      </c>
      <c r="I962" s="92" t="s">
        <v>3892</v>
      </c>
      <c r="K962" s="71" t="s">
        <v>511</v>
      </c>
      <c r="L962" t="s">
        <v>2066</v>
      </c>
      <c r="M962" t="str">
        <f t="shared" si="72"/>
        <v>14</v>
      </c>
      <c r="N962" t="str">
        <f t="shared" si="73"/>
        <v>12</v>
      </c>
      <c r="O962" t="str">
        <f t="shared" si="70"/>
        <v>2024</v>
      </c>
      <c r="P962" t="str">
        <f t="shared" si="74"/>
        <v>14-12-2024</v>
      </c>
    </row>
    <row r="963" spans="2:16" x14ac:dyDescent="0.3">
      <c r="B963" s="70">
        <v>45640</v>
      </c>
      <c r="C963" s="70">
        <f t="shared" si="71"/>
        <v>45627</v>
      </c>
      <c r="D963" s="94">
        <v>1500</v>
      </c>
      <c r="E963" s="94">
        <v>0</v>
      </c>
      <c r="F963" s="92" t="s">
        <v>3452</v>
      </c>
      <c r="G963" s="75"/>
      <c r="H963" s="92" t="s">
        <v>589</v>
      </c>
      <c r="I963" s="92" t="s">
        <v>3892</v>
      </c>
      <c r="K963" s="71" t="s">
        <v>511</v>
      </c>
      <c r="L963" t="s">
        <v>2068</v>
      </c>
      <c r="M963" t="str">
        <f t="shared" si="72"/>
        <v>14</v>
      </c>
      <c r="N963" t="str">
        <f t="shared" si="73"/>
        <v>12</v>
      </c>
      <c r="O963" t="str">
        <f t="shared" ref="O963:O1026" si="75">TEXT(B963,"YYYY")</f>
        <v>2024</v>
      </c>
      <c r="P963" t="str">
        <f t="shared" si="74"/>
        <v>14-12-2024</v>
      </c>
    </row>
    <row r="964" spans="2:16" x14ac:dyDescent="0.3">
      <c r="B964" s="70">
        <v>45641</v>
      </c>
      <c r="C964" s="70">
        <f t="shared" ref="C964:C1027" si="76">EOMONTH(B964,-1)+1</f>
        <v>45627</v>
      </c>
      <c r="D964" s="94">
        <v>1500</v>
      </c>
      <c r="E964" s="94">
        <v>0</v>
      </c>
      <c r="F964" s="92" t="s">
        <v>3453</v>
      </c>
      <c r="G964" s="75"/>
      <c r="H964" s="92" t="s">
        <v>589</v>
      </c>
      <c r="I964" s="92" t="s">
        <v>3892</v>
      </c>
      <c r="K964" s="71" t="s">
        <v>511</v>
      </c>
      <c r="L964" t="s">
        <v>2070</v>
      </c>
      <c r="M964" t="str">
        <f t="shared" ref="M964:M1027" si="77">TEXT(B964,"DD")</f>
        <v>15</v>
      </c>
      <c r="N964" t="str">
        <f t="shared" ref="N964:N1027" si="78">TEXT(B964,"MM")</f>
        <v>12</v>
      </c>
      <c r="O964" t="str">
        <f t="shared" si="75"/>
        <v>2024</v>
      </c>
      <c r="P964" t="str">
        <f t="shared" ref="P964:P1027" si="79">M964&amp;"-"&amp;N964&amp;"-"&amp;O964</f>
        <v>15-12-2024</v>
      </c>
    </row>
    <row r="965" spans="2:16" x14ac:dyDescent="0.3">
      <c r="B965" s="70">
        <v>45641</v>
      </c>
      <c r="C965" s="70">
        <f t="shared" si="76"/>
        <v>45627</v>
      </c>
      <c r="D965" s="94">
        <v>102</v>
      </c>
      <c r="E965" s="94">
        <v>0</v>
      </c>
      <c r="F965" s="92" t="s">
        <v>3454</v>
      </c>
      <c r="G965" s="75"/>
      <c r="H965" s="92" t="s">
        <v>589</v>
      </c>
      <c r="I965" s="92" t="s">
        <v>3892</v>
      </c>
      <c r="K965" s="71" t="s">
        <v>511</v>
      </c>
      <c r="L965" t="s">
        <v>2072</v>
      </c>
      <c r="M965" t="str">
        <f t="shared" si="77"/>
        <v>15</v>
      </c>
      <c r="N965" t="str">
        <f t="shared" si="78"/>
        <v>12</v>
      </c>
      <c r="O965" t="str">
        <f t="shared" si="75"/>
        <v>2024</v>
      </c>
      <c r="P965" t="str">
        <f t="shared" si="79"/>
        <v>15-12-2024</v>
      </c>
    </row>
    <row r="966" spans="2:16" x14ac:dyDescent="0.3">
      <c r="B966" s="70">
        <v>45641</v>
      </c>
      <c r="C966" s="70">
        <f t="shared" si="76"/>
        <v>45627</v>
      </c>
      <c r="D966" s="94">
        <v>198</v>
      </c>
      <c r="E966" s="94">
        <v>0</v>
      </c>
      <c r="F966" s="92" t="s">
        <v>3455</v>
      </c>
      <c r="G966" s="75"/>
      <c r="H966" s="92" t="s">
        <v>589</v>
      </c>
      <c r="I966" s="92" t="s">
        <v>3892</v>
      </c>
      <c r="K966" s="71" t="s">
        <v>511</v>
      </c>
      <c r="L966" t="s">
        <v>2074</v>
      </c>
      <c r="M966" t="str">
        <f t="shared" si="77"/>
        <v>15</v>
      </c>
      <c r="N966" t="str">
        <f t="shared" si="78"/>
        <v>12</v>
      </c>
      <c r="O966" t="str">
        <f t="shared" si="75"/>
        <v>2024</v>
      </c>
      <c r="P966" t="str">
        <f t="shared" si="79"/>
        <v>15-12-2024</v>
      </c>
    </row>
    <row r="967" spans="2:16" x14ac:dyDescent="0.3">
      <c r="B967" s="70">
        <v>45641</v>
      </c>
      <c r="C967" s="70">
        <f t="shared" si="76"/>
        <v>45627</v>
      </c>
      <c r="D967" s="94">
        <v>0</v>
      </c>
      <c r="E967" s="94">
        <v>430</v>
      </c>
      <c r="F967" s="92" t="s">
        <v>3456</v>
      </c>
      <c r="G967" s="75"/>
      <c r="H967" s="92" t="s">
        <v>589</v>
      </c>
      <c r="I967" s="92" t="s">
        <v>3892</v>
      </c>
      <c r="K967" s="71" t="s">
        <v>511</v>
      </c>
      <c r="L967" t="s">
        <v>2076</v>
      </c>
      <c r="M967" t="str">
        <f t="shared" si="77"/>
        <v>15</v>
      </c>
      <c r="N967" t="str">
        <f t="shared" si="78"/>
        <v>12</v>
      </c>
      <c r="O967" t="str">
        <f t="shared" si="75"/>
        <v>2024</v>
      </c>
      <c r="P967" t="str">
        <f t="shared" si="79"/>
        <v>15-12-2024</v>
      </c>
    </row>
    <row r="968" spans="2:16" x14ac:dyDescent="0.3">
      <c r="B968" s="70">
        <v>45642</v>
      </c>
      <c r="C968" s="70">
        <f t="shared" si="76"/>
        <v>45627</v>
      </c>
      <c r="D968" s="94">
        <v>329.28</v>
      </c>
      <c r="E968" s="94">
        <v>0</v>
      </c>
      <c r="F968" s="92" t="s">
        <v>3457</v>
      </c>
      <c r="G968" s="75"/>
      <c r="H968" s="92" t="s">
        <v>3881</v>
      </c>
      <c r="I968" s="92" t="s">
        <v>3889</v>
      </c>
      <c r="K968" s="71" t="s">
        <v>217</v>
      </c>
      <c r="L968" t="s">
        <v>30</v>
      </c>
      <c r="M968" t="str">
        <f t="shared" si="77"/>
        <v>16</v>
      </c>
      <c r="N968" t="str">
        <f t="shared" si="78"/>
        <v>12</v>
      </c>
      <c r="O968" t="str">
        <f t="shared" si="75"/>
        <v>2024</v>
      </c>
      <c r="P968" t="str">
        <f t="shared" si="79"/>
        <v>16-12-2024</v>
      </c>
    </row>
    <row r="969" spans="2:16" x14ac:dyDescent="0.3">
      <c r="B969" s="70">
        <v>45642</v>
      </c>
      <c r="C969" s="70">
        <f t="shared" si="76"/>
        <v>45627</v>
      </c>
      <c r="D969" s="94">
        <v>1500</v>
      </c>
      <c r="E969" s="94">
        <v>0</v>
      </c>
      <c r="F969" s="92" t="s">
        <v>3458</v>
      </c>
      <c r="G969" s="75"/>
      <c r="H969" s="92" t="s">
        <v>589</v>
      </c>
      <c r="I969" s="92" t="s">
        <v>3892</v>
      </c>
      <c r="K969" s="71" t="s">
        <v>511</v>
      </c>
      <c r="L969" t="s">
        <v>2078</v>
      </c>
      <c r="M969" t="str">
        <f t="shared" si="77"/>
        <v>16</v>
      </c>
      <c r="N969" t="str">
        <f t="shared" si="78"/>
        <v>12</v>
      </c>
      <c r="O969" t="str">
        <f t="shared" si="75"/>
        <v>2024</v>
      </c>
      <c r="P969" t="str">
        <f t="shared" si="79"/>
        <v>16-12-2024</v>
      </c>
    </row>
    <row r="970" spans="2:16" x14ac:dyDescent="0.3">
      <c r="B970" s="70">
        <v>45642</v>
      </c>
      <c r="C970" s="70">
        <f t="shared" si="76"/>
        <v>45627</v>
      </c>
      <c r="D970" s="94">
        <v>99</v>
      </c>
      <c r="E970" s="94">
        <v>0</v>
      </c>
      <c r="F970" s="92" t="s">
        <v>3459</v>
      </c>
      <c r="G970" s="75"/>
      <c r="H970" s="92" t="s">
        <v>589</v>
      </c>
      <c r="I970" s="92" t="s">
        <v>3892</v>
      </c>
      <c r="K970" s="71" t="s">
        <v>511</v>
      </c>
      <c r="L970" t="s">
        <v>2080</v>
      </c>
      <c r="M970" t="str">
        <f t="shared" si="77"/>
        <v>16</v>
      </c>
      <c r="N970" t="str">
        <f t="shared" si="78"/>
        <v>12</v>
      </c>
      <c r="O970" t="str">
        <f t="shared" si="75"/>
        <v>2024</v>
      </c>
      <c r="P970" t="str">
        <f t="shared" si="79"/>
        <v>16-12-2024</v>
      </c>
    </row>
    <row r="971" spans="2:16" x14ac:dyDescent="0.3">
      <c r="B971" s="70">
        <v>45643</v>
      </c>
      <c r="C971" s="70">
        <f t="shared" si="76"/>
        <v>45627</v>
      </c>
      <c r="D971" s="94">
        <v>0</v>
      </c>
      <c r="E971" s="94">
        <v>40.29</v>
      </c>
      <c r="F971" s="92" t="s">
        <v>3460</v>
      </c>
      <c r="G971" s="75"/>
      <c r="H971" s="92" t="s">
        <v>3881</v>
      </c>
      <c r="I971" s="92" t="s">
        <v>3889</v>
      </c>
      <c r="K971" s="71" t="s">
        <v>2523</v>
      </c>
      <c r="L971" t="s">
        <v>1170</v>
      </c>
      <c r="M971" t="str">
        <f t="shared" si="77"/>
        <v>17</v>
      </c>
      <c r="N971" t="str">
        <f t="shared" si="78"/>
        <v>12</v>
      </c>
      <c r="O971" t="str">
        <f t="shared" si="75"/>
        <v>2024</v>
      </c>
      <c r="P971" t="str">
        <f t="shared" si="79"/>
        <v>17-12-2024</v>
      </c>
    </row>
    <row r="972" spans="2:16" x14ac:dyDescent="0.3">
      <c r="B972" s="70">
        <v>45643</v>
      </c>
      <c r="C972" s="70">
        <f t="shared" si="76"/>
        <v>45627</v>
      </c>
      <c r="D972" s="94">
        <v>109.76</v>
      </c>
      <c r="E972" s="94">
        <v>0</v>
      </c>
      <c r="F972" s="92" t="s">
        <v>3461</v>
      </c>
      <c r="G972" s="75"/>
      <c r="H972" s="92" t="s">
        <v>3881</v>
      </c>
      <c r="I972" s="92" t="s">
        <v>3889</v>
      </c>
      <c r="K972" s="71" t="s">
        <v>217</v>
      </c>
      <c r="L972" t="s">
        <v>30</v>
      </c>
      <c r="M972" t="str">
        <f t="shared" si="77"/>
        <v>17</v>
      </c>
      <c r="N972" t="str">
        <f t="shared" si="78"/>
        <v>12</v>
      </c>
      <c r="O972" t="str">
        <f t="shared" si="75"/>
        <v>2024</v>
      </c>
      <c r="P972" t="str">
        <f t="shared" si="79"/>
        <v>17-12-2024</v>
      </c>
    </row>
    <row r="973" spans="2:16" x14ac:dyDescent="0.3">
      <c r="B973" s="70">
        <v>45643</v>
      </c>
      <c r="C973" s="70">
        <f t="shared" si="76"/>
        <v>45627</v>
      </c>
      <c r="D973" s="94">
        <v>153.4</v>
      </c>
      <c r="E973" s="94">
        <v>0</v>
      </c>
      <c r="F973" s="92" t="s">
        <v>3462</v>
      </c>
      <c r="G973" s="75"/>
      <c r="H973" s="92" t="s">
        <v>220</v>
      </c>
      <c r="I973" s="92" t="s">
        <v>3889</v>
      </c>
      <c r="K973" s="71" t="s">
        <v>220</v>
      </c>
      <c r="L973" t="s">
        <v>1173</v>
      </c>
      <c r="M973" t="str">
        <f t="shared" si="77"/>
        <v>17</v>
      </c>
      <c r="N973" t="str">
        <f t="shared" si="78"/>
        <v>12</v>
      </c>
      <c r="O973" t="str">
        <f t="shared" si="75"/>
        <v>2024</v>
      </c>
      <c r="P973" t="str">
        <f t="shared" si="79"/>
        <v>17-12-2024</v>
      </c>
    </row>
    <row r="974" spans="2:16" x14ac:dyDescent="0.3">
      <c r="B974" s="70">
        <v>45643</v>
      </c>
      <c r="C974" s="70">
        <f t="shared" si="76"/>
        <v>45627</v>
      </c>
      <c r="D974" s="94">
        <v>921.59</v>
      </c>
      <c r="E974" s="94">
        <v>0</v>
      </c>
      <c r="F974" s="92" t="s">
        <v>3461</v>
      </c>
      <c r="G974" s="75"/>
      <c r="H974" s="92" t="s">
        <v>3881</v>
      </c>
      <c r="I974" s="92" t="s">
        <v>3889</v>
      </c>
      <c r="K974" s="71" t="s">
        <v>217</v>
      </c>
      <c r="L974" t="s">
        <v>30</v>
      </c>
      <c r="M974" t="str">
        <f t="shared" si="77"/>
        <v>17</v>
      </c>
      <c r="N974" t="str">
        <f t="shared" si="78"/>
        <v>12</v>
      </c>
      <c r="O974" t="str">
        <f t="shared" si="75"/>
        <v>2024</v>
      </c>
      <c r="P974" t="str">
        <f t="shared" si="79"/>
        <v>17-12-2024</v>
      </c>
    </row>
    <row r="975" spans="2:16" x14ac:dyDescent="0.3">
      <c r="B975" s="70">
        <v>45643</v>
      </c>
      <c r="C975" s="70">
        <f t="shared" si="76"/>
        <v>45627</v>
      </c>
      <c r="D975" s="94">
        <v>50</v>
      </c>
      <c r="E975" s="94">
        <v>0</v>
      </c>
      <c r="F975" s="92" t="s">
        <v>3463</v>
      </c>
      <c r="G975" s="75"/>
      <c r="H975" s="92" t="s">
        <v>589</v>
      </c>
      <c r="I975" s="92" t="s">
        <v>3892</v>
      </c>
      <c r="K975" s="71" t="s">
        <v>511</v>
      </c>
      <c r="L975" t="s">
        <v>2082</v>
      </c>
      <c r="M975" t="str">
        <f t="shared" si="77"/>
        <v>17</v>
      </c>
      <c r="N975" t="str">
        <f t="shared" si="78"/>
        <v>12</v>
      </c>
      <c r="O975" t="str">
        <f t="shared" si="75"/>
        <v>2024</v>
      </c>
      <c r="P975" t="str">
        <f t="shared" si="79"/>
        <v>17-12-2024</v>
      </c>
    </row>
    <row r="976" spans="2:16" x14ac:dyDescent="0.3">
      <c r="B976" s="70">
        <v>45643</v>
      </c>
      <c r="C976" s="70">
        <f t="shared" si="76"/>
        <v>45627</v>
      </c>
      <c r="D976" s="94">
        <v>70</v>
      </c>
      <c r="E976" s="94">
        <v>0</v>
      </c>
      <c r="F976" s="92" t="s">
        <v>3464</v>
      </c>
      <c r="G976" s="75"/>
      <c r="H976" s="92" t="s">
        <v>589</v>
      </c>
      <c r="I976" s="92" t="s">
        <v>3892</v>
      </c>
      <c r="K976" s="71" t="s">
        <v>511</v>
      </c>
      <c r="L976" t="s">
        <v>2084</v>
      </c>
      <c r="M976" t="str">
        <f t="shared" si="77"/>
        <v>17</v>
      </c>
      <c r="N976" t="str">
        <f t="shared" si="78"/>
        <v>12</v>
      </c>
      <c r="O976" t="str">
        <f t="shared" si="75"/>
        <v>2024</v>
      </c>
      <c r="P976" t="str">
        <f t="shared" si="79"/>
        <v>17-12-2024</v>
      </c>
    </row>
    <row r="977" spans="2:16" x14ac:dyDescent="0.3">
      <c r="B977" s="70">
        <v>45643</v>
      </c>
      <c r="C977" s="70">
        <f t="shared" si="76"/>
        <v>45627</v>
      </c>
      <c r="D977" s="94">
        <v>5000</v>
      </c>
      <c r="E977" s="94">
        <v>0</v>
      </c>
      <c r="F977" s="92" t="s">
        <v>3465</v>
      </c>
      <c r="G977" s="75"/>
      <c r="H977" s="92" t="s">
        <v>3878</v>
      </c>
      <c r="I977" s="92" t="s">
        <v>3892</v>
      </c>
      <c r="K977" s="71" t="s">
        <v>2550</v>
      </c>
      <c r="L977" t="s">
        <v>2086</v>
      </c>
      <c r="M977" t="str">
        <f t="shared" si="77"/>
        <v>17</v>
      </c>
      <c r="N977" t="str">
        <f t="shared" si="78"/>
        <v>12</v>
      </c>
      <c r="O977" t="str">
        <f t="shared" si="75"/>
        <v>2024</v>
      </c>
      <c r="P977" t="str">
        <f t="shared" si="79"/>
        <v>17-12-2024</v>
      </c>
    </row>
    <row r="978" spans="2:16" x14ac:dyDescent="0.3">
      <c r="B978" s="70">
        <v>45644</v>
      </c>
      <c r="C978" s="70">
        <f t="shared" si="76"/>
        <v>45627</v>
      </c>
      <c r="D978" s="94">
        <v>109.45</v>
      </c>
      <c r="E978" s="94">
        <v>0</v>
      </c>
      <c r="F978" s="92" t="s">
        <v>3466</v>
      </c>
      <c r="G978" s="75"/>
      <c r="H978" s="92" t="s">
        <v>3881</v>
      </c>
      <c r="I978" s="92" t="s">
        <v>3889</v>
      </c>
      <c r="K978" s="71" t="s">
        <v>217</v>
      </c>
      <c r="L978" t="s">
        <v>30</v>
      </c>
      <c r="M978" t="str">
        <f t="shared" si="77"/>
        <v>18</v>
      </c>
      <c r="N978" t="str">
        <f t="shared" si="78"/>
        <v>12</v>
      </c>
      <c r="O978" t="str">
        <f t="shared" si="75"/>
        <v>2024</v>
      </c>
      <c r="P978" t="str">
        <f t="shared" si="79"/>
        <v>18-12-2024</v>
      </c>
    </row>
    <row r="979" spans="2:16" x14ac:dyDescent="0.3">
      <c r="B979" s="70">
        <v>45644</v>
      </c>
      <c r="C979" s="70">
        <f t="shared" si="76"/>
        <v>45627</v>
      </c>
      <c r="D979" s="94">
        <v>3188.14</v>
      </c>
      <c r="E979" s="94">
        <v>0</v>
      </c>
      <c r="F979" s="92" t="s">
        <v>3466</v>
      </c>
      <c r="G979" s="75"/>
      <c r="H979" s="92" t="s">
        <v>3881</v>
      </c>
      <c r="I979" s="92" t="s">
        <v>3889</v>
      </c>
      <c r="K979" s="71" t="s">
        <v>217</v>
      </c>
      <c r="L979" t="s">
        <v>30</v>
      </c>
      <c r="M979" t="str">
        <f t="shared" si="77"/>
        <v>18</v>
      </c>
      <c r="N979" t="str">
        <f t="shared" si="78"/>
        <v>12</v>
      </c>
      <c r="O979" t="str">
        <f t="shared" si="75"/>
        <v>2024</v>
      </c>
      <c r="P979" t="str">
        <f t="shared" si="79"/>
        <v>18-12-2024</v>
      </c>
    </row>
    <row r="980" spans="2:16" x14ac:dyDescent="0.3">
      <c r="B980" s="70">
        <v>45644</v>
      </c>
      <c r="C980" s="70">
        <f t="shared" si="76"/>
        <v>45627</v>
      </c>
      <c r="D980" s="94">
        <v>72</v>
      </c>
      <c r="E980" s="94">
        <v>0</v>
      </c>
      <c r="F980" s="92" t="s">
        <v>3467</v>
      </c>
      <c r="G980" s="75"/>
      <c r="H980" s="92" t="s">
        <v>589</v>
      </c>
      <c r="I980" s="92" t="s">
        <v>3892</v>
      </c>
      <c r="K980" s="71" t="s">
        <v>511</v>
      </c>
      <c r="L980" t="s">
        <v>2088</v>
      </c>
      <c r="M980" t="str">
        <f t="shared" si="77"/>
        <v>18</v>
      </c>
      <c r="N980" t="str">
        <f t="shared" si="78"/>
        <v>12</v>
      </c>
      <c r="O980" t="str">
        <f t="shared" si="75"/>
        <v>2024</v>
      </c>
      <c r="P980" t="str">
        <f t="shared" si="79"/>
        <v>18-12-2024</v>
      </c>
    </row>
    <row r="981" spans="2:16" x14ac:dyDescent="0.3">
      <c r="B981" s="70">
        <v>45644</v>
      </c>
      <c r="C981" s="70">
        <f t="shared" si="76"/>
        <v>45627</v>
      </c>
      <c r="D981" s="94">
        <v>1500</v>
      </c>
      <c r="E981" s="94">
        <v>0</v>
      </c>
      <c r="F981" s="92" t="s">
        <v>3468</v>
      </c>
      <c r="G981" s="75"/>
      <c r="H981" s="92" t="s">
        <v>589</v>
      </c>
      <c r="I981" s="92" t="s">
        <v>3892</v>
      </c>
      <c r="K981" s="71" t="s">
        <v>511</v>
      </c>
      <c r="L981" t="s">
        <v>2090</v>
      </c>
      <c r="M981" t="str">
        <f t="shared" si="77"/>
        <v>18</v>
      </c>
      <c r="N981" t="str">
        <f t="shared" si="78"/>
        <v>12</v>
      </c>
      <c r="O981" t="str">
        <f t="shared" si="75"/>
        <v>2024</v>
      </c>
      <c r="P981" t="str">
        <f t="shared" si="79"/>
        <v>18-12-2024</v>
      </c>
    </row>
    <row r="982" spans="2:16" x14ac:dyDescent="0.3">
      <c r="B982" s="70">
        <v>45644</v>
      </c>
      <c r="C982" s="70">
        <f t="shared" si="76"/>
        <v>45627</v>
      </c>
      <c r="D982" s="94">
        <v>75</v>
      </c>
      <c r="E982" s="94">
        <v>0</v>
      </c>
      <c r="F982" s="92" t="s">
        <v>3469</v>
      </c>
      <c r="G982" s="75"/>
      <c r="H982" s="92" t="s">
        <v>589</v>
      </c>
      <c r="I982" s="92" t="s">
        <v>3892</v>
      </c>
      <c r="K982" s="71" t="s">
        <v>511</v>
      </c>
      <c r="L982" t="s">
        <v>2092</v>
      </c>
      <c r="M982" t="str">
        <f t="shared" si="77"/>
        <v>18</v>
      </c>
      <c r="N982" t="str">
        <f t="shared" si="78"/>
        <v>12</v>
      </c>
      <c r="O982" t="str">
        <f t="shared" si="75"/>
        <v>2024</v>
      </c>
      <c r="P982" t="str">
        <f t="shared" si="79"/>
        <v>18-12-2024</v>
      </c>
    </row>
    <row r="983" spans="2:16" x14ac:dyDescent="0.3">
      <c r="B983" s="70">
        <v>45644</v>
      </c>
      <c r="C983" s="70">
        <f t="shared" si="76"/>
        <v>45627</v>
      </c>
      <c r="D983" s="94">
        <v>1</v>
      </c>
      <c r="E983" s="94">
        <v>0</v>
      </c>
      <c r="F983" s="92" t="s">
        <v>3470</v>
      </c>
      <c r="G983" s="75"/>
      <c r="H983" s="92" t="s">
        <v>3878</v>
      </c>
      <c r="I983" s="92" t="s">
        <v>3892</v>
      </c>
      <c r="K983" s="71" t="s">
        <v>2550</v>
      </c>
      <c r="L983" t="s">
        <v>2094</v>
      </c>
      <c r="M983" t="str">
        <f t="shared" si="77"/>
        <v>18</v>
      </c>
      <c r="N983" t="str">
        <f t="shared" si="78"/>
        <v>12</v>
      </c>
      <c r="O983" t="str">
        <f t="shared" si="75"/>
        <v>2024</v>
      </c>
      <c r="P983" t="str">
        <f t="shared" si="79"/>
        <v>18-12-2024</v>
      </c>
    </row>
    <row r="984" spans="2:16" x14ac:dyDescent="0.3">
      <c r="B984" s="70">
        <v>45644</v>
      </c>
      <c r="C984" s="70">
        <f t="shared" si="76"/>
        <v>45627</v>
      </c>
      <c r="D984" s="94">
        <v>4999</v>
      </c>
      <c r="E984" s="94">
        <v>0</v>
      </c>
      <c r="F984" s="92" t="s">
        <v>3471</v>
      </c>
      <c r="G984" s="75"/>
      <c r="H984" s="92" t="s">
        <v>3878</v>
      </c>
      <c r="I984" s="92" t="s">
        <v>3892</v>
      </c>
      <c r="K984" s="71" t="s">
        <v>2550</v>
      </c>
      <c r="L984" t="s">
        <v>2096</v>
      </c>
      <c r="M984" t="str">
        <f t="shared" si="77"/>
        <v>18</v>
      </c>
      <c r="N984" t="str">
        <f t="shared" si="78"/>
        <v>12</v>
      </c>
      <c r="O984" t="str">
        <f t="shared" si="75"/>
        <v>2024</v>
      </c>
      <c r="P984" t="str">
        <f t="shared" si="79"/>
        <v>18-12-2024</v>
      </c>
    </row>
    <row r="985" spans="2:16" x14ac:dyDescent="0.3">
      <c r="B985" s="70">
        <v>45645</v>
      </c>
      <c r="C985" s="70">
        <f t="shared" si="76"/>
        <v>45627</v>
      </c>
      <c r="D985" s="94">
        <v>2.36</v>
      </c>
      <c r="E985" s="94">
        <v>0</v>
      </c>
      <c r="F985" s="92" t="s">
        <v>3472</v>
      </c>
      <c r="G985" s="75"/>
      <c r="H985" s="92" t="s">
        <v>221</v>
      </c>
      <c r="I985" s="92" t="s">
        <v>3889</v>
      </c>
      <c r="K985" s="71" t="s">
        <v>221</v>
      </c>
      <c r="L985" t="s">
        <v>1177</v>
      </c>
      <c r="M985" t="str">
        <f t="shared" si="77"/>
        <v>19</v>
      </c>
      <c r="N985" t="str">
        <f t="shared" si="78"/>
        <v>12</v>
      </c>
      <c r="O985" t="str">
        <f t="shared" si="75"/>
        <v>2024</v>
      </c>
      <c r="P985" t="str">
        <f t="shared" si="79"/>
        <v>19-12-2024</v>
      </c>
    </row>
    <row r="986" spans="2:16" x14ac:dyDescent="0.3">
      <c r="B986" s="70">
        <v>45645</v>
      </c>
      <c r="C986" s="70">
        <f t="shared" si="76"/>
        <v>45627</v>
      </c>
      <c r="D986" s="94">
        <v>108.31</v>
      </c>
      <c r="E986" s="94">
        <v>0</v>
      </c>
      <c r="F986" s="92" t="s">
        <v>3473</v>
      </c>
      <c r="G986" s="75"/>
      <c r="H986" s="92" t="s">
        <v>3881</v>
      </c>
      <c r="I986" s="92" t="s">
        <v>3889</v>
      </c>
      <c r="K986" s="71" t="s">
        <v>217</v>
      </c>
      <c r="L986" t="s">
        <v>30</v>
      </c>
      <c r="M986" t="str">
        <f t="shared" si="77"/>
        <v>19</v>
      </c>
      <c r="N986" t="str">
        <f t="shared" si="78"/>
        <v>12</v>
      </c>
      <c r="O986" t="str">
        <f t="shared" si="75"/>
        <v>2024</v>
      </c>
      <c r="P986" t="str">
        <f t="shared" si="79"/>
        <v>19-12-2024</v>
      </c>
    </row>
    <row r="987" spans="2:16" x14ac:dyDescent="0.3">
      <c r="B987" s="70">
        <v>45645</v>
      </c>
      <c r="C987" s="70">
        <f t="shared" si="76"/>
        <v>45627</v>
      </c>
      <c r="D987" s="94">
        <v>1010.87</v>
      </c>
      <c r="E987" s="94">
        <v>0</v>
      </c>
      <c r="F987" s="92" t="s">
        <v>3473</v>
      </c>
      <c r="G987" s="75"/>
      <c r="H987" s="92" t="s">
        <v>3881</v>
      </c>
      <c r="I987" s="92" t="s">
        <v>3889</v>
      </c>
      <c r="K987" s="71" t="s">
        <v>217</v>
      </c>
      <c r="L987" t="s">
        <v>30</v>
      </c>
      <c r="M987" t="str">
        <f t="shared" si="77"/>
        <v>19</v>
      </c>
      <c r="N987" t="str">
        <f t="shared" si="78"/>
        <v>12</v>
      </c>
      <c r="O987" t="str">
        <f t="shared" si="75"/>
        <v>2024</v>
      </c>
      <c r="P987" t="str">
        <f t="shared" si="79"/>
        <v>19-12-2024</v>
      </c>
    </row>
    <row r="988" spans="2:16" x14ac:dyDescent="0.3">
      <c r="B988" s="70">
        <v>45645</v>
      </c>
      <c r="C988" s="70">
        <f t="shared" si="76"/>
        <v>45627</v>
      </c>
      <c r="D988" s="94">
        <v>45</v>
      </c>
      <c r="E988" s="94">
        <v>0</v>
      </c>
      <c r="F988" s="92" t="s">
        <v>3474</v>
      </c>
      <c r="G988" s="75"/>
      <c r="H988" s="92" t="s">
        <v>589</v>
      </c>
      <c r="I988" s="92" t="s">
        <v>3892</v>
      </c>
      <c r="K988" s="71" t="s">
        <v>511</v>
      </c>
      <c r="L988" t="s">
        <v>2098</v>
      </c>
      <c r="M988" t="str">
        <f t="shared" si="77"/>
        <v>19</v>
      </c>
      <c r="N988" t="str">
        <f t="shared" si="78"/>
        <v>12</v>
      </c>
      <c r="O988" t="str">
        <f t="shared" si="75"/>
        <v>2024</v>
      </c>
      <c r="P988" t="str">
        <f t="shared" si="79"/>
        <v>19-12-2024</v>
      </c>
    </row>
    <row r="989" spans="2:16" x14ac:dyDescent="0.3">
      <c r="B989" s="70">
        <v>45646</v>
      </c>
      <c r="C989" s="70">
        <f t="shared" si="76"/>
        <v>45627</v>
      </c>
      <c r="D989" s="94">
        <v>110.12</v>
      </c>
      <c r="E989" s="94">
        <v>0</v>
      </c>
      <c r="F989" s="92" t="s">
        <v>3475</v>
      </c>
      <c r="G989" s="75"/>
      <c r="H989" s="92" t="s">
        <v>3881</v>
      </c>
      <c r="I989" s="92" t="s">
        <v>3889</v>
      </c>
      <c r="K989" s="71" t="s">
        <v>217</v>
      </c>
      <c r="L989" t="s">
        <v>30</v>
      </c>
      <c r="M989" t="str">
        <f t="shared" si="77"/>
        <v>20</v>
      </c>
      <c r="N989" t="str">
        <f t="shared" si="78"/>
        <v>12</v>
      </c>
      <c r="O989" t="str">
        <f t="shared" si="75"/>
        <v>2024</v>
      </c>
      <c r="P989" t="str">
        <f t="shared" si="79"/>
        <v>20-12-2024</v>
      </c>
    </row>
    <row r="990" spans="2:16" x14ac:dyDescent="0.3">
      <c r="B990" s="70">
        <v>45646</v>
      </c>
      <c r="C990" s="70">
        <f t="shared" si="76"/>
        <v>45627</v>
      </c>
      <c r="D990" s="94">
        <v>1898.9</v>
      </c>
      <c r="E990" s="94">
        <v>0</v>
      </c>
      <c r="F990" s="92" t="s">
        <v>3475</v>
      </c>
      <c r="G990" s="75"/>
      <c r="H990" s="92" t="s">
        <v>3881</v>
      </c>
      <c r="I990" s="92" t="s">
        <v>3889</v>
      </c>
      <c r="K990" s="71" t="s">
        <v>217</v>
      </c>
      <c r="L990" t="s">
        <v>30</v>
      </c>
      <c r="M990" t="str">
        <f t="shared" si="77"/>
        <v>20</v>
      </c>
      <c r="N990" t="str">
        <f t="shared" si="78"/>
        <v>12</v>
      </c>
      <c r="O990" t="str">
        <f t="shared" si="75"/>
        <v>2024</v>
      </c>
      <c r="P990" t="str">
        <f t="shared" si="79"/>
        <v>20-12-2024</v>
      </c>
    </row>
    <row r="991" spans="2:16" x14ac:dyDescent="0.3">
      <c r="B991" s="70">
        <v>45646</v>
      </c>
      <c r="C991" s="70">
        <f t="shared" si="76"/>
        <v>45627</v>
      </c>
      <c r="D991" s="94">
        <v>1500</v>
      </c>
      <c r="E991" s="94">
        <v>0</v>
      </c>
      <c r="F991" s="92" t="s">
        <v>3476</v>
      </c>
      <c r="G991" s="75"/>
      <c r="H991" s="92" t="s">
        <v>589</v>
      </c>
      <c r="I991" s="92" t="s">
        <v>3892</v>
      </c>
      <c r="K991" s="71" t="s">
        <v>511</v>
      </c>
      <c r="L991" t="s">
        <v>2100</v>
      </c>
      <c r="M991" t="str">
        <f t="shared" si="77"/>
        <v>20</v>
      </c>
      <c r="N991" t="str">
        <f t="shared" si="78"/>
        <v>12</v>
      </c>
      <c r="O991" t="str">
        <f t="shared" si="75"/>
        <v>2024</v>
      </c>
      <c r="P991" t="str">
        <f t="shared" si="79"/>
        <v>20-12-2024</v>
      </c>
    </row>
    <row r="992" spans="2:16" x14ac:dyDescent="0.3">
      <c r="B992" s="70">
        <v>45646</v>
      </c>
      <c r="C992" s="70">
        <f t="shared" si="76"/>
        <v>45627</v>
      </c>
      <c r="D992" s="94">
        <v>80</v>
      </c>
      <c r="E992" s="94">
        <v>0</v>
      </c>
      <c r="F992" s="92" t="s">
        <v>3477</v>
      </c>
      <c r="G992" s="75"/>
      <c r="H992" s="92" t="s">
        <v>589</v>
      </c>
      <c r="I992" s="92" t="s">
        <v>3892</v>
      </c>
      <c r="K992" s="71" t="s">
        <v>511</v>
      </c>
      <c r="L992" t="s">
        <v>2102</v>
      </c>
      <c r="M992" t="str">
        <f t="shared" si="77"/>
        <v>20</v>
      </c>
      <c r="N992" t="str">
        <f t="shared" si="78"/>
        <v>12</v>
      </c>
      <c r="O992" t="str">
        <f t="shared" si="75"/>
        <v>2024</v>
      </c>
      <c r="P992" t="str">
        <f t="shared" si="79"/>
        <v>20-12-2024</v>
      </c>
    </row>
    <row r="993" spans="2:16" x14ac:dyDescent="0.3">
      <c r="B993" s="70">
        <v>45647</v>
      </c>
      <c r="C993" s="70">
        <f t="shared" si="76"/>
        <v>45627</v>
      </c>
      <c r="D993" s="94">
        <v>1500</v>
      </c>
      <c r="E993" s="94">
        <v>0</v>
      </c>
      <c r="F993" s="92" t="s">
        <v>3478</v>
      </c>
      <c r="G993" s="75"/>
      <c r="H993" s="92" t="s">
        <v>589</v>
      </c>
      <c r="I993" s="92" t="s">
        <v>3892</v>
      </c>
      <c r="K993" s="71" t="s">
        <v>511</v>
      </c>
      <c r="L993" t="s">
        <v>2104</v>
      </c>
      <c r="M993" t="str">
        <f t="shared" si="77"/>
        <v>21</v>
      </c>
      <c r="N993" t="str">
        <f t="shared" si="78"/>
        <v>12</v>
      </c>
      <c r="O993" t="str">
        <f t="shared" si="75"/>
        <v>2024</v>
      </c>
      <c r="P993" t="str">
        <f t="shared" si="79"/>
        <v>21-12-2024</v>
      </c>
    </row>
    <row r="994" spans="2:16" x14ac:dyDescent="0.3">
      <c r="B994" s="70">
        <v>45647</v>
      </c>
      <c r="C994" s="70">
        <f t="shared" si="76"/>
        <v>45627</v>
      </c>
      <c r="D994" s="94">
        <v>300</v>
      </c>
      <c r="E994" s="94">
        <v>0</v>
      </c>
      <c r="F994" s="92" t="s">
        <v>3479</v>
      </c>
      <c r="G994" s="75"/>
      <c r="H994" s="92" t="s">
        <v>589</v>
      </c>
      <c r="I994" s="92" t="s">
        <v>3892</v>
      </c>
      <c r="K994" s="71" t="s">
        <v>511</v>
      </c>
      <c r="L994" t="s">
        <v>2106</v>
      </c>
      <c r="M994" t="str">
        <f t="shared" si="77"/>
        <v>21</v>
      </c>
      <c r="N994" t="str">
        <f t="shared" si="78"/>
        <v>12</v>
      </c>
      <c r="O994" t="str">
        <f t="shared" si="75"/>
        <v>2024</v>
      </c>
      <c r="P994" t="str">
        <f t="shared" si="79"/>
        <v>21-12-2024</v>
      </c>
    </row>
    <row r="995" spans="2:16" x14ac:dyDescent="0.3">
      <c r="B995" s="70">
        <v>45647</v>
      </c>
      <c r="C995" s="70">
        <f t="shared" si="76"/>
        <v>45627</v>
      </c>
      <c r="D995" s="94">
        <v>40</v>
      </c>
      <c r="E995" s="94">
        <v>0</v>
      </c>
      <c r="F995" s="92" t="s">
        <v>3480</v>
      </c>
      <c r="G995" s="75"/>
      <c r="H995" s="92" t="s">
        <v>589</v>
      </c>
      <c r="I995" s="92" t="s">
        <v>3892</v>
      </c>
      <c r="K995" s="71" t="s">
        <v>511</v>
      </c>
      <c r="L995" t="s">
        <v>2108</v>
      </c>
      <c r="M995" t="str">
        <f t="shared" si="77"/>
        <v>21</v>
      </c>
      <c r="N995" t="str">
        <f t="shared" si="78"/>
        <v>12</v>
      </c>
      <c r="O995" t="str">
        <f t="shared" si="75"/>
        <v>2024</v>
      </c>
      <c r="P995" t="str">
        <f t="shared" si="79"/>
        <v>21-12-2024</v>
      </c>
    </row>
    <row r="996" spans="2:16" x14ac:dyDescent="0.3">
      <c r="B996" s="70">
        <v>45648</v>
      </c>
      <c r="C996" s="70">
        <f t="shared" si="76"/>
        <v>45627</v>
      </c>
      <c r="D996" s="94">
        <v>1500</v>
      </c>
      <c r="E996" s="94">
        <v>0</v>
      </c>
      <c r="F996" s="92" t="s">
        <v>3481</v>
      </c>
      <c r="G996" s="75"/>
      <c r="H996" s="92" t="s">
        <v>589</v>
      </c>
      <c r="I996" s="92" t="s">
        <v>3892</v>
      </c>
      <c r="K996" s="71" t="s">
        <v>511</v>
      </c>
      <c r="L996" t="s">
        <v>2110</v>
      </c>
      <c r="M996" t="str">
        <f t="shared" si="77"/>
        <v>22</v>
      </c>
      <c r="N996" t="str">
        <f t="shared" si="78"/>
        <v>12</v>
      </c>
      <c r="O996" t="str">
        <f t="shared" si="75"/>
        <v>2024</v>
      </c>
      <c r="P996" t="str">
        <f t="shared" si="79"/>
        <v>22-12-2024</v>
      </c>
    </row>
    <row r="997" spans="2:16" x14ac:dyDescent="0.3">
      <c r="B997" s="70">
        <v>45648</v>
      </c>
      <c r="C997" s="70">
        <f t="shared" si="76"/>
        <v>45627</v>
      </c>
      <c r="D997" s="94">
        <v>2397</v>
      </c>
      <c r="E997" s="94">
        <v>0</v>
      </c>
      <c r="F997" s="92" t="s">
        <v>3482</v>
      </c>
      <c r="G997" s="75"/>
      <c r="H997" s="92" t="s">
        <v>589</v>
      </c>
      <c r="I997" s="92" t="s">
        <v>3892</v>
      </c>
      <c r="K997" s="71" t="s">
        <v>511</v>
      </c>
      <c r="L997" t="s">
        <v>2112</v>
      </c>
      <c r="M997" t="str">
        <f t="shared" si="77"/>
        <v>22</v>
      </c>
      <c r="N997" t="str">
        <f t="shared" si="78"/>
        <v>12</v>
      </c>
      <c r="O997" t="str">
        <f t="shared" si="75"/>
        <v>2024</v>
      </c>
      <c r="P997" t="str">
        <f t="shared" si="79"/>
        <v>22-12-2024</v>
      </c>
    </row>
    <row r="998" spans="2:16" x14ac:dyDescent="0.3">
      <c r="B998" s="70">
        <v>45648</v>
      </c>
      <c r="C998" s="70">
        <f t="shared" si="76"/>
        <v>45627</v>
      </c>
      <c r="D998" s="94">
        <v>7200</v>
      </c>
      <c r="E998" s="94">
        <v>0</v>
      </c>
      <c r="F998" s="92" t="s">
        <v>3483</v>
      </c>
      <c r="G998" s="75"/>
      <c r="H998" s="92" t="s">
        <v>589</v>
      </c>
      <c r="I998" s="92" t="s">
        <v>3892</v>
      </c>
      <c r="K998" s="71" t="s">
        <v>511</v>
      </c>
      <c r="L998" t="s">
        <v>2114</v>
      </c>
      <c r="M998" t="str">
        <f t="shared" si="77"/>
        <v>22</v>
      </c>
      <c r="N998" t="str">
        <f t="shared" si="78"/>
        <v>12</v>
      </c>
      <c r="O998" t="str">
        <f t="shared" si="75"/>
        <v>2024</v>
      </c>
      <c r="P998" t="str">
        <f t="shared" si="79"/>
        <v>22-12-2024</v>
      </c>
    </row>
    <row r="999" spans="2:16" x14ac:dyDescent="0.3">
      <c r="B999" s="70">
        <v>45649</v>
      </c>
      <c r="C999" s="70">
        <f t="shared" si="76"/>
        <v>45627</v>
      </c>
      <c r="D999" s="94">
        <v>328.35</v>
      </c>
      <c r="E999" s="94">
        <v>0</v>
      </c>
      <c r="F999" s="92" t="s">
        <v>3484</v>
      </c>
      <c r="G999" s="75"/>
      <c r="H999" s="92" t="s">
        <v>3881</v>
      </c>
      <c r="I999" s="92" t="s">
        <v>3889</v>
      </c>
      <c r="K999" s="71" t="s">
        <v>217</v>
      </c>
      <c r="L999" t="s">
        <v>30</v>
      </c>
      <c r="M999" t="str">
        <f t="shared" si="77"/>
        <v>23</v>
      </c>
      <c r="N999" t="str">
        <f t="shared" si="78"/>
        <v>12</v>
      </c>
      <c r="O999" t="str">
        <f t="shared" si="75"/>
        <v>2024</v>
      </c>
      <c r="P999" t="str">
        <f t="shared" si="79"/>
        <v>23-12-2024</v>
      </c>
    </row>
    <row r="1000" spans="2:16" x14ac:dyDescent="0.3">
      <c r="B1000" s="70">
        <v>45649</v>
      </c>
      <c r="C1000" s="70">
        <f t="shared" si="76"/>
        <v>45627</v>
      </c>
      <c r="D1000" s="94">
        <v>15512.44</v>
      </c>
      <c r="E1000" s="94">
        <v>0</v>
      </c>
      <c r="F1000" s="92" t="s">
        <v>3484</v>
      </c>
      <c r="G1000" s="75"/>
      <c r="H1000" s="92" t="s">
        <v>3881</v>
      </c>
      <c r="I1000" s="92" t="s">
        <v>3889</v>
      </c>
      <c r="K1000" s="71" t="s">
        <v>217</v>
      </c>
      <c r="L1000" t="s">
        <v>30</v>
      </c>
      <c r="M1000" t="str">
        <f t="shared" si="77"/>
        <v>23</v>
      </c>
      <c r="N1000" t="str">
        <f t="shared" si="78"/>
        <v>12</v>
      </c>
      <c r="O1000" t="str">
        <f t="shared" si="75"/>
        <v>2024</v>
      </c>
      <c r="P1000" t="str">
        <f t="shared" si="79"/>
        <v>23-12-2024</v>
      </c>
    </row>
    <row r="1001" spans="2:16" x14ac:dyDescent="0.3">
      <c r="B1001" s="70">
        <v>45649</v>
      </c>
      <c r="C1001" s="70">
        <f t="shared" si="76"/>
        <v>45627</v>
      </c>
      <c r="D1001" s="94">
        <v>1500</v>
      </c>
      <c r="E1001" s="94">
        <v>0</v>
      </c>
      <c r="F1001" s="92" t="s">
        <v>3485</v>
      </c>
      <c r="G1001" s="75"/>
      <c r="H1001" s="92" t="s">
        <v>589</v>
      </c>
      <c r="I1001" s="92" t="s">
        <v>3892</v>
      </c>
      <c r="K1001" s="71" t="s">
        <v>511</v>
      </c>
      <c r="L1001" t="s">
        <v>2116</v>
      </c>
      <c r="M1001" t="str">
        <f t="shared" si="77"/>
        <v>23</v>
      </c>
      <c r="N1001" t="str">
        <f t="shared" si="78"/>
        <v>12</v>
      </c>
      <c r="O1001" t="str">
        <f t="shared" si="75"/>
        <v>2024</v>
      </c>
      <c r="P1001" t="str">
        <f t="shared" si="79"/>
        <v>23-12-2024</v>
      </c>
    </row>
    <row r="1002" spans="2:16" x14ac:dyDescent="0.3">
      <c r="B1002" s="70">
        <v>45649</v>
      </c>
      <c r="C1002" s="70">
        <f t="shared" si="76"/>
        <v>45627</v>
      </c>
      <c r="D1002" s="94">
        <v>50</v>
      </c>
      <c r="E1002" s="94">
        <v>0</v>
      </c>
      <c r="F1002" s="92" t="s">
        <v>3486</v>
      </c>
      <c r="G1002" s="75"/>
      <c r="H1002" s="92" t="s">
        <v>589</v>
      </c>
      <c r="I1002" s="92" t="s">
        <v>3892</v>
      </c>
      <c r="K1002" s="71" t="s">
        <v>511</v>
      </c>
      <c r="L1002" t="s">
        <v>2118</v>
      </c>
      <c r="M1002" t="str">
        <f t="shared" si="77"/>
        <v>23</v>
      </c>
      <c r="N1002" t="str">
        <f t="shared" si="78"/>
        <v>12</v>
      </c>
      <c r="O1002" t="str">
        <f t="shared" si="75"/>
        <v>2024</v>
      </c>
      <c r="P1002" t="str">
        <f t="shared" si="79"/>
        <v>23-12-2024</v>
      </c>
    </row>
    <row r="1003" spans="2:16" x14ac:dyDescent="0.3">
      <c r="B1003" s="70">
        <v>45649</v>
      </c>
      <c r="C1003" s="70">
        <f t="shared" si="76"/>
        <v>45627</v>
      </c>
      <c r="D1003" s="94">
        <v>10157</v>
      </c>
      <c r="E1003" s="94">
        <v>0</v>
      </c>
      <c r="F1003" s="92" t="s">
        <v>3487</v>
      </c>
      <c r="G1003" s="75"/>
      <c r="H1003" s="92" t="s">
        <v>589</v>
      </c>
      <c r="I1003" s="92" t="s">
        <v>3892</v>
      </c>
      <c r="K1003" s="71" t="s">
        <v>511</v>
      </c>
      <c r="L1003" t="s">
        <v>2120</v>
      </c>
      <c r="M1003" t="str">
        <f t="shared" si="77"/>
        <v>23</v>
      </c>
      <c r="N1003" t="str">
        <f t="shared" si="78"/>
        <v>12</v>
      </c>
      <c r="O1003" t="str">
        <f t="shared" si="75"/>
        <v>2024</v>
      </c>
      <c r="P1003" t="str">
        <f t="shared" si="79"/>
        <v>23-12-2024</v>
      </c>
    </row>
    <row r="1004" spans="2:16" x14ac:dyDescent="0.3">
      <c r="B1004" s="70">
        <v>45650</v>
      </c>
      <c r="C1004" s="70">
        <f t="shared" si="76"/>
        <v>45627</v>
      </c>
      <c r="D1004" s="94">
        <v>103.92</v>
      </c>
      <c r="E1004" s="94">
        <v>0</v>
      </c>
      <c r="F1004" s="92" t="s">
        <v>3488</v>
      </c>
      <c r="G1004" s="75"/>
      <c r="H1004" s="92" t="s">
        <v>3881</v>
      </c>
      <c r="I1004" s="92" t="s">
        <v>3889</v>
      </c>
      <c r="K1004" s="71" t="s">
        <v>217</v>
      </c>
      <c r="L1004" t="s">
        <v>30</v>
      </c>
      <c r="M1004" t="str">
        <f t="shared" si="77"/>
        <v>24</v>
      </c>
      <c r="N1004" t="str">
        <f t="shared" si="78"/>
        <v>12</v>
      </c>
      <c r="O1004" t="str">
        <f t="shared" si="75"/>
        <v>2024</v>
      </c>
      <c r="P1004" t="str">
        <f t="shared" si="79"/>
        <v>24-12-2024</v>
      </c>
    </row>
    <row r="1005" spans="2:16" x14ac:dyDescent="0.3">
      <c r="B1005" s="70">
        <v>45650</v>
      </c>
      <c r="C1005" s="70">
        <f t="shared" si="76"/>
        <v>45627</v>
      </c>
      <c r="D1005" s="94">
        <v>1446.19</v>
      </c>
      <c r="E1005" s="94">
        <v>0</v>
      </c>
      <c r="F1005" s="92" t="s">
        <v>3489</v>
      </c>
      <c r="G1005" s="75"/>
      <c r="H1005" s="92" t="s">
        <v>589</v>
      </c>
      <c r="I1005" s="92" t="s">
        <v>3892</v>
      </c>
      <c r="K1005" s="71" t="s">
        <v>511</v>
      </c>
      <c r="L1005" t="s">
        <v>2122</v>
      </c>
      <c r="M1005" t="str">
        <f t="shared" si="77"/>
        <v>24</v>
      </c>
      <c r="N1005" t="str">
        <f t="shared" si="78"/>
        <v>12</v>
      </c>
      <c r="O1005" t="str">
        <f t="shared" si="75"/>
        <v>2024</v>
      </c>
      <c r="P1005" t="str">
        <f t="shared" si="79"/>
        <v>24-12-2024</v>
      </c>
    </row>
    <row r="1006" spans="2:16" x14ac:dyDescent="0.3">
      <c r="B1006" s="70">
        <v>45650</v>
      </c>
      <c r="C1006" s="70">
        <f t="shared" si="76"/>
        <v>45627</v>
      </c>
      <c r="D1006" s="94">
        <v>50</v>
      </c>
      <c r="E1006" s="94">
        <v>0</v>
      </c>
      <c r="F1006" s="92" t="s">
        <v>3490</v>
      </c>
      <c r="G1006" s="75"/>
      <c r="H1006" s="92" t="s">
        <v>589</v>
      </c>
      <c r="I1006" s="92" t="s">
        <v>3892</v>
      </c>
      <c r="K1006" s="71" t="s">
        <v>511</v>
      </c>
      <c r="L1006" t="s">
        <v>2124</v>
      </c>
      <c r="M1006" t="str">
        <f t="shared" si="77"/>
        <v>24</v>
      </c>
      <c r="N1006" t="str">
        <f t="shared" si="78"/>
        <v>12</v>
      </c>
      <c r="O1006" t="str">
        <f t="shared" si="75"/>
        <v>2024</v>
      </c>
      <c r="P1006" t="str">
        <f t="shared" si="79"/>
        <v>24-12-2024</v>
      </c>
    </row>
    <row r="1007" spans="2:16" x14ac:dyDescent="0.3">
      <c r="B1007" s="70">
        <v>45650</v>
      </c>
      <c r="C1007" s="70">
        <f t="shared" si="76"/>
        <v>45627</v>
      </c>
      <c r="D1007" s="94">
        <v>62</v>
      </c>
      <c r="E1007" s="94">
        <v>0</v>
      </c>
      <c r="F1007" s="92" t="s">
        <v>3491</v>
      </c>
      <c r="G1007" s="75"/>
      <c r="H1007" s="92" t="s">
        <v>589</v>
      </c>
      <c r="I1007" s="92" t="s">
        <v>3892</v>
      </c>
      <c r="K1007" s="71" t="s">
        <v>511</v>
      </c>
      <c r="L1007" t="s">
        <v>2126</v>
      </c>
      <c r="M1007" t="str">
        <f t="shared" si="77"/>
        <v>24</v>
      </c>
      <c r="N1007" t="str">
        <f t="shared" si="78"/>
        <v>12</v>
      </c>
      <c r="O1007" t="str">
        <f t="shared" si="75"/>
        <v>2024</v>
      </c>
      <c r="P1007" t="str">
        <f t="shared" si="79"/>
        <v>24-12-2024</v>
      </c>
    </row>
    <row r="1008" spans="2:16" x14ac:dyDescent="0.3">
      <c r="B1008" s="70">
        <v>45650</v>
      </c>
      <c r="C1008" s="70">
        <f t="shared" si="76"/>
        <v>45627</v>
      </c>
      <c r="D1008" s="94">
        <v>0</v>
      </c>
      <c r="E1008" s="94">
        <v>1273</v>
      </c>
      <c r="F1008" s="92" t="s">
        <v>3492</v>
      </c>
      <c r="G1008" s="75"/>
      <c r="H1008" s="92" t="s">
        <v>589</v>
      </c>
      <c r="I1008" s="92" t="s">
        <v>3892</v>
      </c>
      <c r="K1008" s="71" t="s">
        <v>511</v>
      </c>
      <c r="L1008" t="s">
        <v>2128</v>
      </c>
      <c r="M1008" t="str">
        <f t="shared" si="77"/>
        <v>24</v>
      </c>
      <c r="N1008" t="str">
        <f t="shared" si="78"/>
        <v>12</v>
      </c>
      <c r="O1008" t="str">
        <f t="shared" si="75"/>
        <v>2024</v>
      </c>
      <c r="P1008" t="str">
        <f t="shared" si="79"/>
        <v>24-12-2024</v>
      </c>
    </row>
    <row r="1009" spans="2:16" x14ac:dyDescent="0.3">
      <c r="B1009" s="70">
        <v>45651</v>
      </c>
      <c r="C1009" s="70">
        <f t="shared" si="76"/>
        <v>45627</v>
      </c>
      <c r="D1009" s="94">
        <v>0</v>
      </c>
      <c r="E1009" s="94">
        <v>296</v>
      </c>
      <c r="F1009" s="92" t="s">
        <v>3493</v>
      </c>
      <c r="G1009" s="92" t="s">
        <v>753</v>
      </c>
      <c r="H1009" s="92" t="s">
        <v>227</v>
      </c>
      <c r="I1009" s="92" t="s">
        <v>3893</v>
      </c>
      <c r="K1009" s="71" t="s">
        <v>227</v>
      </c>
      <c r="L1009" t="s">
        <v>586</v>
      </c>
      <c r="M1009" t="str">
        <f t="shared" si="77"/>
        <v>25</v>
      </c>
      <c r="N1009" t="str">
        <f t="shared" si="78"/>
        <v>12</v>
      </c>
      <c r="O1009" t="str">
        <f t="shared" si="75"/>
        <v>2024</v>
      </c>
      <c r="P1009" t="str">
        <f t="shared" si="79"/>
        <v>25-12-2024</v>
      </c>
    </row>
    <row r="1010" spans="2:16" x14ac:dyDescent="0.3">
      <c r="B1010" s="70">
        <v>45651</v>
      </c>
      <c r="C1010" s="70">
        <f t="shared" si="76"/>
        <v>45627</v>
      </c>
      <c r="D1010" s="94">
        <v>0</v>
      </c>
      <c r="E1010" s="94">
        <v>88.3</v>
      </c>
      <c r="F1010" s="92" t="s">
        <v>3494</v>
      </c>
      <c r="G1010" s="75"/>
      <c r="H1010" s="92" t="s">
        <v>589</v>
      </c>
      <c r="I1010" s="92" t="s">
        <v>3892</v>
      </c>
      <c r="K1010" s="71" t="s">
        <v>511</v>
      </c>
      <c r="L1010" t="s">
        <v>2130</v>
      </c>
      <c r="M1010" t="str">
        <f t="shared" si="77"/>
        <v>25</v>
      </c>
      <c r="N1010" t="str">
        <f t="shared" si="78"/>
        <v>12</v>
      </c>
      <c r="O1010" t="str">
        <f t="shared" si="75"/>
        <v>2024</v>
      </c>
      <c r="P1010" t="str">
        <f t="shared" si="79"/>
        <v>25-12-2024</v>
      </c>
    </row>
    <row r="1011" spans="2:16" x14ac:dyDescent="0.3">
      <c r="B1011" s="70">
        <v>45651</v>
      </c>
      <c r="C1011" s="70">
        <f t="shared" si="76"/>
        <v>45627</v>
      </c>
      <c r="D1011" s="94">
        <v>99</v>
      </c>
      <c r="E1011" s="94">
        <v>0</v>
      </c>
      <c r="F1011" s="92" t="s">
        <v>3495</v>
      </c>
      <c r="G1011" s="75"/>
      <c r="H1011" s="92" t="s">
        <v>589</v>
      </c>
      <c r="I1011" s="92" t="s">
        <v>3892</v>
      </c>
      <c r="K1011" s="71" t="s">
        <v>511</v>
      </c>
      <c r="L1011" t="s">
        <v>2132</v>
      </c>
      <c r="M1011" t="str">
        <f t="shared" si="77"/>
        <v>25</v>
      </c>
      <c r="N1011" t="str">
        <f t="shared" si="78"/>
        <v>12</v>
      </c>
      <c r="O1011" t="str">
        <f t="shared" si="75"/>
        <v>2024</v>
      </c>
      <c r="P1011" t="str">
        <f t="shared" si="79"/>
        <v>25-12-2024</v>
      </c>
    </row>
    <row r="1012" spans="2:16" x14ac:dyDescent="0.3">
      <c r="B1012" s="70">
        <v>45651</v>
      </c>
      <c r="C1012" s="70">
        <f t="shared" si="76"/>
        <v>45627</v>
      </c>
      <c r="D1012" s="94">
        <v>45</v>
      </c>
      <c r="E1012" s="94">
        <v>0</v>
      </c>
      <c r="F1012" s="92" t="s">
        <v>3496</v>
      </c>
      <c r="G1012" s="75"/>
      <c r="H1012" s="92" t="s">
        <v>589</v>
      </c>
      <c r="I1012" s="92" t="s">
        <v>3892</v>
      </c>
      <c r="K1012" s="71" t="s">
        <v>511</v>
      </c>
      <c r="L1012" t="s">
        <v>2134</v>
      </c>
      <c r="M1012" t="str">
        <f t="shared" si="77"/>
        <v>25</v>
      </c>
      <c r="N1012" t="str">
        <f t="shared" si="78"/>
        <v>12</v>
      </c>
      <c r="O1012" t="str">
        <f t="shared" si="75"/>
        <v>2024</v>
      </c>
      <c r="P1012" t="str">
        <f t="shared" si="79"/>
        <v>25-12-2024</v>
      </c>
    </row>
    <row r="1013" spans="2:16" x14ac:dyDescent="0.3">
      <c r="B1013" s="70">
        <v>45652</v>
      </c>
      <c r="C1013" s="70">
        <f t="shared" si="76"/>
        <v>45627</v>
      </c>
      <c r="D1013" s="94">
        <v>0</v>
      </c>
      <c r="E1013" s="94">
        <v>138.88999999999999</v>
      </c>
      <c r="F1013" s="92" t="s">
        <v>3497</v>
      </c>
      <c r="G1013" s="75"/>
      <c r="H1013" s="92" t="s">
        <v>3881</v>
      </c>
      <c r="I1013" s="92" t="s">
        <v>3889</v>
      </c>
      <c r="K1013" s="71" t="s">
        <v>2523</v>
      </c>
      <c r="L1013" t="s">
        <v>1186</v>
      </c>
      <c r="M1013" t="str">
        <f t="shared" si="77"/>
        <v>26</v>
      </c>
      <c r="N1013" t="str">
        <f t="shared" si="78"/>
        <v>12</v>
      </c>
      <c r="O1013" t="str">
        <f t="shared" si="75"/>
        <v>2024</v>
      </c>
      <c r="P1013" t="str">
        <f t="shared" si="79"/>
        <v>26-12-2024</v>
      </c>
    </row>
    <row r="1014" spans="2:16" x14ac:dyDescent="0.3">
      <c r="B1014" s="70">
        <v>45652</v>
      </c>
      <c r="C1014" s="70">
        <f t="shared" si="76"/>
        <v>45627</v>
      </c>
      <c r="D1014" s="94">
        <v>203.7</v>
      </c>
      <c r="E1014" s="94">
        <v>0</v>
      </c>
      <c r="F1014" s="92" t="s">
        <v>3498</v>
      </c>
      <c r="G1014" s="75"/>
      <c r="H1014" s="92" t="s">
        <v>3881</v>
      </c>
      <c r="I1014" s="92" t="s">
        <v>3889</v>
      </c>
      <c r="K1014" s="71" t="s">
        <v>217</v>
      </c>
      <c r="L1014" t="s">
        <v>30</v>
      </c>
      <c r="M1014" t="str">
        <f t="shared" si="77"/>
        <v>26</v>
      </c>
      <c r="N1014" t="str">
        <f t="shared" si="78"/>
        <v>12</v>
      </c>
      <c r="O1014" t="str">
        <f t="shared" si="75"/>
        <v>2024</v>
      </c>
      <c r="P1014" t="str">
        <f t="shared" si="79"/>
        <v>26-12-2024</v>
      </c>
    </row>
    <row r="1015" spans="2:16" x14ac:dyDescent="0.3">
      <c r="B1015" s="70">
        <v>45652</v>
      </c>
      <c r="C1015" s="70">
        <f t="shared" si="76"/>
        <v>45627</v>
      </c>
      <c r="D1015" s="94">
        <v>718.11</v>
      </c>
      <c r="E1015" s="94">
        <v>0</v>
      </c>
      <c r="F1015" s="92" t="s">
        <v>3498</v>
      </c>
      <c r="G1015" s="75"/>
      <c r="H1015" s="92" t="s">
        <v>3881</v>
      </c>
      <c r="I1015" s="92" t="s">
        <v>3889</v>
      </c>
      <c r="K1015" s="71" t="s">
        <v>217</v>
      </c>
      <c r="L1015" t="s">
        <v>30</v>
      </c>
      <c r="M1015" t="str">
        <f t="shared" si="77"/>
        <v>26</v>
      </c>
      <c r="N1015" t="str">
        <f t="shared" si="78"/>
        <v>12</v>
      </c>
      <c r="O1015" t="str">
        <f t="shared" si="75"/>
        <v>2024</v>
      </c>
      <c r="P1015" t="str">
        <f t="shared" si="79"/>
        <v>26-12-2024</v>
      </c>
    </row>
    <row r="1016" spans="2:16" x14ac:dyDescent="0.3">
      <c r="B1016" s="70">
        <v>45652</v>
      </c>
      <c r="C1016" s="70">
        <f t="shared" si="76"/>
        <v>45627</v>
      </c>
      <c r="D1016" s="94">
        <v>99</v>
      </c>
      <c r="E1016" s="94">
        <v>0</v>
      </c>
      <c r="F1016" s="92" t="s">
        <v>3499</v>
      </c>
      <c r="G1016" s="75"/>
      <c r="H1016" s="92" t="s">
        <v>589</v>
      </c>
      <c r="I1016" s="92" t="s">
        <v>3892</v>
      </c>
      <c r="K1016" s="71" t="s">
        <v>511</v>
      </c>
      <c r="L1016" t="s">
        <v>2136</v>
      </c>
      <c r="M1016" t="str">
        <f t="shared" si="77"/>
        <v>26</v>
      </c>
      <c r="N1016" t="str">
        <f t="shared" si="78"/>
        <v>12</v>
      </c>
      <c r="O1016" t="str">
        <f t="shared" si="75"/>
        <v>2024</v>
      </c>
      <c r="P1016" t="str">
        <f t="shared" si="79"/>
        <v>26-12-2024</v>
      </c>
    </row>
    <row r="1017" spans="2:16" x14ac:dyDescent="0.3">
      <c r="B1017" s="70">
        <v>45652</v>
      </c>
      <c r="C1017" s="70">
        <f t="shared" si="76"/>
        <v>45627</v>
      </c>
      <c r="D1017" s="94">
        <v>0</v>
      </c>
      <c r="E1017" s="94">
        <v>10000</v>
      </c>
      <c r="F1017" s="92" t="s">
        <v>3500</v>
      </c>
      <c r="G1017" s="75"/>
      <c r="H1017" s="92" t="s">
        <v>3888</v>
      </c>
      <c r="I1017" s="92" t="s">
        <v>3892</v>
      </c>
      <c r="K1017" s="71" t="s">
        <v>508</v>
      </c>
      <c r="L1017" t="s">
        <v>2138</v>
      </c>
      <c r="M1017" t="str">
        <f t="shared" si="77"/>
        <v>26</v>
      </c>
      <c r="N1017" t="str">
        <f t="shared" si="78"/>
        <v>12</v>
      </c>
      <c r="O1017" t="str">
        <f t="shared" si="75"/>
        <v>2024</v>
      </c>
      <c r="P1017" t="str">
        <f t="shared" si="79"/>
        <v>26-12-2024</v>
      </c>
    </row>
    <row r="1018" spans="2:16" x14ac:dyDescent="0.3">
      <c r="B1018" s="70">
        <v>45652</v>
      </c>
      <c r="C1018" s="70">
        <f t="shared" si="76"/>
        <v>45627</v>
      </c>
      <c r="D1018" s="94">
        <v>147</v>
      </c>
      <c r="E1018" s="94">
        <v>0</v>
      </c>
      <c r="F1018" s="92" t="s">
        <v>3501</v>
      </c>
      <c r="G1018" s="75"/>
      <c r="H1018" s="92" t="s">
        <v>589</v>
      </c>
      <c r="I1018" s="92" t="s">
        <v>3892</v>
      </c>
      <c r="K1018" s="71" t="s">
        <v>511</v>
      </c>
      <c r="L1018" t="s">
        <v>2140</v>
      </c>
      <c r="M1018" t="str">
        <f t="shared" si="77"/>
        <v>26</v>
      </c>
      <c r="N1018" t="str">
        <f t="shared" si="78"/>
        <v>12</v>
      </c>
      <c r="O1018" t="str">
        <f t="shared" si="75"/>
        <v>2024</v>
      </c>
      <c r="P1018" t="str">
        <f t="shared" si="79"/>
        <v>26-12-2024</v>
      </c>
    </row>
    <row r="1019" spans="2:16" x14ac:dyDescent="0.3">
      <c r="B1019" s="70">
        <v>45652</v>
      </c>
      <c r="C1019" s="70">
        <f t="shared" si="76"/>
        <v>45627</v>
      </c>
      <c r="D1019" s="94">
        <v>26</v>
      </c>
      <c r="E1019" s="94">
        <v>0</v>
      </c>
      <c r="F1019" s="92" t="s">
        <v>3502</v>
      </c>
      <c r="G1019" s="75"/>
      <c r="H1019" s="92" t="s">
        <v>589</v>
      </c>
      <c r="I1019" s="92" t="s">
        <v>3892</v>
      </c>
      <c r="K1019" s="71" t="s">
        <v>511</v>
      </c>
      <c r="L1019" t="s">
        <v>2142</v>
      </c>
      <c r="M1019" t="str">
        <f t="shared" si="77"/>
        <v>26</v>
      </c>
      <c r="N1019" t="str">
        <f t="shared" si="78"/>
        <v>12</v>
      </c>
      <c r="O1019" t="str">
        <f t="shared" si="75"/>
        <v>2024</v>
      </c>
      <c r="P1019" t="str">
        <f t="shared" si="79"/>
        <v>26-12-2024</v>
      </c>
    </row>
    <row r="1020" spans="2:16" x14ac:dyDescent="0.3">
      <c r="B1020" s="70">
        <v>45653</v>
      </c>
      <c r="C1020" s="70">
        <f t="shared" si="76"/>
        <v>45627</v>
      </c>
      <c r="D1020" s="94">
        <v>101.64</v>
      </c>
      <c r="E1020" s="94">
        <v>0</v>
      </c>
      <c r="F1020" s="92" t="s">
        <v>3503</v>
      </c>
      <c r="G1020" s="75"/>
      <c r="H1020" s="92" t="s">
        <v>3881</v>
      </c>
      <c r="I1020" s="92" t="s">
        <v>3889</v>
      </c>
      <c r="K1020" s="71" t="s">
        <v>217</v>
      </c>
      <c r="L1020" t="s">
        <v>30</v>
      </c>
      <c r="M1020" t="str">
        <f t="shared" si="77"/>
        <v>27</v>
      </c>
      <c r="N1020" t="str">
        <f t="shared" si="78"/>
        <v>12</v>
      </c>
      <c r="O1020" t="str">
        <f t="shared" si="75"/>
        <v>2024</v>
      </c>
      <c r="P1020" t="str">
        <f t="shared" si="79"/>
        <v>27-12-2024</v>
      </c>
    </row>
    <row r="1021" spans="2:16" x14ac:dyDescent="0.3">
      <c r="B1021" s="70">
        <v>45653</v>
      </c>
      <c r="C1021" s="70">
        <f t="shared" si="76"/>
        <v>45627</v>
      </c>
      <c r="D1021" s="94">
        <v>17.440000000000001</v>
      </c>
      <c r="E1021" s="94">
        <v>0</v>
      </c>
      <c r="F1021" s="92" t="s">
        <v>3503</v>
      </c>
      <c r="G1021" s="75"/>
      <c r="H1021" s="92" t="s">
        <v>3881</v>
      </c>
      <c r="I1021" s="92" t="s">
        <v>3889</v>
      </c>
      <c r="K1021" s="71" t="s">
        <v>217</v>
      </c>
      <c r="L1021" t="s">
        <v>30</v>
      </c>
      <c r="M1021" t="str">
        <f t="shared" si="77"/>
        <v>27</v>
      </c>
      <c r="N1021" t="str">
        <f t="shared" si="78"/>
        <v>12</v>
      </c>
      <c r="O1021" t="str">
        <f t="shared" si="75"/>
        <v>2024</v>
      </c>
      <c r="P1021" t="str">
        <f t="shared" si="79"/>
        <v>27-12-2024</v>
      </c>
    </row>
    <row r="1022" spans="2:16" x14ac:dyDescent="0.3">
      <c r="B1022" s="70">
        <v>45653</v>
      </c>
      <c r="C1022" s="70">
        <f t="shared" si="76"/>
        <v>45627</v>
      </c>
      <c r="D1022" s="94">
        <v>25</v>
      </c>
      <c r="E1022" s="94">
        <v>0</v>
      </c>
      <c r="F1022" s="92" t="s">
        <v>3504</v>
      </c>
      <c r="G1022" s="75"/>
      <c r="H1022" s="92" t="s">
        <v>589</v>
      </c>
      <c r="I1022" s="92" t="s">
        <v>3892</v>
      </c>
      <c r="K1022" s="71" t="s">
        <v>511</v>
      </c>
      <c r="L1022" t="s">
        <v>2144</v>
      </c>
      <c r="M1022" t="str">
        <f t="shared" si="77"/>
        <v>27</v>
      </c>
      <c r="N1022" t="str">
        <f t="shared" si="78"/>
        <v>12</v>
      </c>
      <c r="O1022" t="str">
        <f t="shared" si="75"/>
        <v>2024</v>
      </c>
      <c r="P1022" t="str">
        <f t="shared" si="79"/>
        <v>27-12-2024</v>
      </c>
    </row>
    <row r="1023" spans="2:16" x14ac:dyDescent="0.3">
      <c r="B1023" s="70">
        <v>45653</v>
      </c>
      <c r="C1023" s="70">
        <f t="shared" si="76"/>
        <v>45627</v>
      </c>
      <c r="D1023" s="94">
        <v>90</v>
      </c>
      <c r="E1023" s="94">
        <v>0</v>
      </c>
      <c r="F1023" s="92" t="s">
        <v>3505</v>
      </c>
      <c r="G1023" s="75"/>
      <c r="H1023" s="92" t="s">
        <v>589</v>
      </c>
      <c r="I1023" s="92" t="s">
        <v>3892</v>
      </c>
      <c r="K1023" s="71" t="s">
        <v>511</v>
      </c>
      <c r="L1023" t="s">
        <v>2146</v>
      </c>
      <c r="M1023" t="str">
        <f t="shared" si="77"/>
        <v>27</v>
      </c>
      <c r="N1023" t="str">
        <f t="shared" si="78"/>
        <v>12</v>
      </c>
      <c r="O1023" t="str">
        <f t="shared" si="75"/>
        <v>2024</v>
      </c>
      <c r="P1023" t="str">
        <f t="shared" si="79"/>
        <v>27-12-2024</v>
      </c>
    </row>
    <row r="1024" spans="2:16" x14ac:dyDescent="0.3">
      <c r="B1024" s="70">
        <v>45653</v>
      </c>
      <c r="C1024" s="70">
        <f t="shared" si="76"/>
        <v>45627</v>
      </c>
      <c r="D1024" s="94">
        <v>1250</v>
      </c>
      <c r="E1024" s="94">
        <v>0</v>
      </c>
      <c r="F1024" s="92" t="s">
        <v>3506</v>
      </c>
      <c r="G1024" s="75"/>
      <c r="H1024" s="92" t="s">
        <v>589</v>
      </c>
      <c r="I1024" s="92" t="s">
        <v>3892</v>
      </c>
      <c r="K1024" s="71" t="s">
        <v>511</v>
      </c>
      <c r="L1024" t="s">
        <v>2148</v>
      </c>
      <c r="M1024" t="str">
        <f t="shared" si="77"/>
        <v>27</v>
      </c>
      <c r="N1024" t="str">
        <f t="shared" si="78"/>
        <v>12</v>
      </c>
      <c r="O1024" t="str">
        <f t="shared" si="75"/>
        <v>2024</v>
      </c>
      <c r="P1024" t="str">
        <f t="shared" si="79"/>
        <v>27-12-2024</v>
      </c>
    </row>
    <row r="1025" spans="2:16" x14ac:dyDescent="0.3">
      <c r="B1025" s="70">
        <v>45654</v>
      </c>
      <c r="C1025" s="70">
        <f t="shared" si="76"/>
        <v>45627</v>
      </c>
      <c r="D1025" s="94">
        <v>7000</v>
      </c>
      <c r="E1025" s="94">
        <v>0</v>
      </c>
      <c r="F1025" s="92" t="s">
        <v>3507</v>
      </c>
      <c r="G1025" s="75"/>
      <c r="H1025" s="92" t="s">
        <v>2538</v>
      </c>
      <c r="I1025" s="92" t="s">
        <v>3892</v>
      </c>
      <c r="K1025" s="71" t="s">
        <v>2532</v>
      </c>
      <c r="L1025" t="s">
        <v>2150</v>
      </c>
      <c r="M1025" t="str">
        <f t="shared" si="77"/>
        <v>28</v>
      </c>
      <c r="N1025" t="str">
        <f t="shared" si="78"/>
        <v>12</v>
      </c>
      <c r="O1025" t="str">
        <f t="shared" si="75"/>
        <v>2024</v>
      </c>
      <c r="P1025" t="str">
        <f t="shared" si="79"/>
        <v>28-12-2024</v>
      </c>
    </row>
    <row r="1026" spans="2:16" x14ac:dyDescent="0.3">
      <c r="B1026" s="70">
        <v>45654</v>
      </c>
      <c r="C1026" s="70">
        <f t="shared" si="76"/>
        <v>45627</v>
      </c>
      <c r="D1026" s="94">
        <v>0</v>
      </c>
      <c r="E1026" s="94">
        <v>10000</v>
      </c>
      <c r="F1026" s="92" t="s">
        <v>3508</v>
      </c>
      <c r="G1026" s="75"/>
      <c r="H1026" s="92" t="s">
        <v>589</v>
      </c>
      <c r="I1026" s="92" t="s">
        <v>3892</v>
      </c>
      <c r="K1026" s="71" t="s">
        <v>511</v>
      </c>
      <c r="L1026" t="s">
        <v>2152</v>
      </c>
      <c r="M1026" t="str">
        <f t="shared" si="77"/>
        <v>28</v>
      </c>
      <c r="N1026" t="str">
        <f t="shared" si="78"/>
        <v>12</v>
      </c>
      <c r="O1026" t="str">
        <f t="shared" si="75"/>
        <v>2024</v>
      </c>
      <c r="P1026" t="str">
        <f t="shared" si="79"/>
        <v>28-12-2024</v>
      </c>
    </row>
    <row r="1027" spans="2:16" x14ac:dyDescent="0.3">
      <c r="B1027" s="70">
        <v>45654</v>
      </c>
      <c r="C1027" s="70">
        <f t="shared" si="76"/>
        <v>45627</v>
      </c>
      <c r="D1027" s="94">
        <v>0</v>
      </c>
      <c r="E1027" s="94">
        <v>1</v>
      </c>
      <c r="F1027" s="92" t="s">
        <v>3509</v>
      </c>
      <c r="G1027" s="75"/>
      <c r="H1027" s="92" t="s">
        <v>589</v>
      </c>
      <c r="I1027" s="92" t="s">
        <v>3892</v>
      </c>
      <c r="K1027" s="71" t="s">
        <v>511</v>
      </c>
      <c r="L1027" t="s">
        <v>2154</v>
      </c>
      <c r="M1027" t="str">
        <f t="shared" si="77"/>
        <v>28</v>
      </c>
      <c r="N1027" t="str">
        <f t="shared" si="78"/>
        <v>12</v>
      </c>
      <c r="O1027" t="str">
        <f t="shared" ref="O1027:O1090" si="80">TEXT(B1027,"YYYY")</f>
        <v>2024</v>
      </c>
      <c r="P1027" t="str">
        <f t="shared" si="79"/>
        <v>28-12-2024</v>
      </c>
    </row>
    <row r="1028" spans="2:16" x14ac:dyDescent="0.3">
      <c r="B1028" s="70">
        <v>45654</v>
      </c>
      <c r="C1028" s="70">
        <f t="shared" ref="C1028:C1091" si="81">EOMONTH(B1028,-1)+1</f>
        <v>45627</v>
      </c>
      <c r="D1028" s="94">
        <v>10000</v>
      </c>
      <c r="E1028" s="94">
        <v>0</v>
      </c>
      <c r="F1028" s="92" t="s">
        <v>3510</v>
      </c>
      <c r="G1028" s="75"/>
      <c r="H1028" s="92" t="s">
        <v>3878</v>
      </c>
      <c r="I1028" s="92" t="s">
        <v>3892</v>
      </c>
      <c r="K1028" s="71" t="s">
        <v>2550</v>
      </c>
      <c r="L1028" t="s">
        <v>2156</v>
      </c>
      <c r="M1028" t="str">
        <f t="shared" ref="M1028:M1091" si="82">TEXT(B1028,"DD")</f>
        <v>28</v>
      </c>
      <c r="N1028" t="str">
        <f t="shared" ref="N1028:N1091" si="83">TEXT(B1028,"MM")</f>
        <v>12</v>
      </c>
      <c r="O1028" t="str">
        <f t="shared" si="80"/>
        <v>2024</v>
      </c>
      <c r="P1028" t="str">
        <f t="shared" ref="P1028:P1091" si="84">M1028&amp;"-"&amp;N1028&amp;"-"&amp;O1028</f>
        <v>28-12-2024</v>
      </c>
    </row>
    <row r="1029" spans="2:16" x14ac:dyDescent="0.3">
      <c r="B1029" s="70">
        <v>45654</v>
      </c>
      <c r="C1029" s="70">
        <f t="shared" si="81"/>
        <v>45627</v>
      </c>
      <c r="D1029" s="94">
        <v>35</v>
      </c>
      <c r="E1029" s="94">
        <v>0</v>
      </c>
      <c r="F1029" s="92" t="s">
        <v>3511</v>
      </c>
      <c r="G1029" s="75"/>
      <c r="H1029" s="92" t="s">
        <v>589</v>
      </c>
      <c r="I1029" s="92" t="s">
        <v>3892</v>
      </c>
      <c r="K1029" s="71" t="s">
        <v>511</v>
      </c>
      <c r="L1029" t="s">
        <v>2158</v>
      </c>
      <c r="M1029" t="str">
        <f t="shared" si="82"/>
        <v>28</v>
      </c>
      <c r="N1029" t="str">
        <f t="shared" si="83"/>
        <v>12</v>
      </c>
      <c r="O1029" t="str">
        <f t="shared" si="80"/>
        <v>2024</v>
      </c>
      <c r="P1029" t="str">
        <f t="shared" si="84"/>
        <v>28-12-2024</v>
      </c>
    </row>
    <row r="1030" spans="2:16" x14ac:dyDescent="0.3">
      <c r="B1030" s="70">
        <v>45655</v>
      </c>
      <c r="C1030" s="70">
        <f t="shared" si="81"/>
        <v>45627</v>
      </c>
      <c r="D1030" s="94">
        <v>10000</v>
      </c>
      <c r="E1030" s="94">
        <v>0</v>
      </c>
      <c r="F1030" s="92" t="s">
        <v>3512</v>
      </c>
      <c r="G1030" s="75"/>
      <c r="H1030" s="92" t="s">
        <v>3878</v>
      </c>
      <c r="I1030" s="92" t="s">
        <v>3892</v>
      </c>
      <c r="K1030" s="71" t="s">
        <v>2550</v>
      </c>
      <c r="L1030" t="s">
        <v>2160</v>
      </c>
      <c r="M1030" t="str">
        <f t="shared" si="82"/>
        <v>29</v>
      </c>
      <c r="N1030" t="str">
        <f t="shared" si="83"/>
        <v>12</v>
      </c>
      <c r="O1030" t="str">
        <f t="shared" si="80"/>
        <v>2024</v>
      </c>
      <c r="P1030" t="str">
        <f t="shared" si="84"/>
        <v>29-12-2024</v>
      </c>
    </row>
    <row r="1031" spans="2:16" x14ac:dyDescent="0.3">
      <c r="B1031" s="70">
        <v>45655</v>
      </c>
      <c r="C1031" s="70">
        <f t="shared" si="81"/>
        <v>45627</v>
      </c>
      <c r="D1031" s="94">
        <v>27</v>
      </c>
      <c r="E1031" s="94">
        <v>0</v>
      </c>
      <c r="F1031" s="92" t="s">
        <v>3513</v>
      </c>
      <c r="G1031" s="75"/>
      <c r="H1031" s="92" t="s">
        <v>589</v>
      </c>
      <c r="I1031" s="92" t="s">
        <v>3892</v>
      </c>
      <c r="K1031" s="71" t="s">
        <v>511</v>
      </c>
      <c r="L1031" t="s">
        <v>2162</v>
      </c>
      <c r="M1031" t="str">
        <f t="shared" si="82"/>
        <v>29</v>
      </c>
      <c r="N1031" t="str">
        <f t="shared" si="83"/>
        <v>12</v>
      </c>
      <c r="O1031" t="str">
        <f t="shared" si="80"/>
        <v>2024</v>
      </c>
      <c r="P1031" t="str">
        <f t="shared" si="84"/>
        <v>29-12-2024</v>
      </c>
    </row>
    <row r="1032" spans="2:16" x14ac:dyDescent="0.3">
      <c r="B1032" s="70">
        <v>45655</v>
      </c>
      <c r="C1032" s="70">
        <f t="shared" si="81"/>
        <v>45627</v>
      </c>
      <c r="D1032" s="94">
        <v>15</v>
      </c>
      <c r="E1032" s="94">
        <v>0</v>
      </c>
      <c r="F1032" s="92" t="s">
        <v>3514</v>
      </c>
      <c r="G1032" s="75"/>
      <c r="H1032" s="92" t="s">
        <v>589</v>
      </c>
      <c r="I1032" s="92" t="s">
        <v>3892</v>
      </c>
      <c r="K1032" s="71" t="s">
        <v>511</v>
      </c>
      <c r="L1032" t="s">
        <v>2164</v>
      </c>
      <c r="M1032" t="str">
        <f t="shared" si="82"/>
        <v>29</v>
      </c>
      <c r="N1032" t="str">
        <f t="shared" si="83"/>
        <v>12</v>
      </c>
      <c r="O1032" t="str">
        <f t="shared" si="80"/>
        <v>2024</v>
      </c>
      <c r="P1032" t="str">
        <f t="shared" si="84"/>
        <v>29-12-2024</v>
      </c>
    </row>
    <row r="1033" spans="2:16" x14ac:dyDescent="0.3">
      <c r="B1033" s="70">
        <v>45656</v>
      </c>
      <c r="C1033" s="70">
        <f t="shared" si="81"/>
        <v>45627</v>
      </c>
      <c r="D1033" s="94">
        <v>5000</v>
      </c>
      <c r="E1033" s="94">
        <v>0</v>
      </c>
      <c r="F1033" s="92" t="s">
        <v>3515</v>
      </c>
      <c r="G1033" s="75"/>
      <c r="H1033" s="92" t="s">
        <v>2538</v>
      </c>
      <c r="I1033" s="92" t="s">
        <v>3889</v>
      </c>
      <c r="K1033" s="71" t="s">
        <v>219</v>
      </c>
      <c r="L1033" t="s">
        <v>1192</v>
      </c>
      <c r="M1033" t="str">
        <f t="shared" si="82"/>
        <v>30</v>
      </c>
      <c r="N1033" t="str">
        <f t="shared" si="83"/>
        <v>12</v>
      </c>
      <c r="O1033" t="str">
        <f t="shared" si="80"/>
        <v>2024</v>
      </c>
      <c r="P1033" t="str">
        <f t="shared" si="84"/>
        <v>30-12-2024</v>
      </c>
    </row>
    <row r="1034" spans="2:16" x14ac:dyDescent="0.3">
      <c r="B1034" s="70">
        <v>45656</v>
      </c>
      <c r="C1034" s="70">
        <f t="shared" si="81"/>
        <v>45627</v>
      </c>
      <c r="D1034" s="94">
        <v>5000</v>
      </c>
      <c r="E1034" s="94">
        <v>0</v>
      </c>
      <c r="F1034" s="92" t="s">
        <v>3516</v>
      </c>
      <c r="G1034" s="75"/>
      <c r="H1034" s="92" t="s">
        <v>2538</v>
      </c>
      <c r="I1034" s="92" t="s">
        <v>3889</v>
      </c>
      <c r="K1034" s="71" t="s">
        <v>219</v>
      </c>
      <c r="L1034" t="s">
        <v>1194</v>
      </c>
      <c r="M1034" t="str">
        <f t="shared" si="82"/>
        <v>30</v>
      </c>
      <c r="N1034" t="str">
        <f t="shared" si="83"/>
        <v>12</v>
      </c>
      <c r="O1034" t="str">
        <f t="shared" si="80"/>
        <v>2024</v>
      </c>
      <c r="P1034" t="str">
        <f t="shared" si="84"/>
        <v>30-12-2024</v>
      </c>
    </row>
    <row r="1035" spans="2:16" x14ac:dyDescent="0.3">
      <c r="B1035" s="70">
        <v>45656</v>
      </c>
      <c r="C1035" s="70">
        <f t="shared" si="81"/>
        <v>45627</v>
      </c>
      <c r="D1035" s="94">
        <v>304.92</v>
      </c>
      <c r="E1035" s="94">
        <v>0</v>
      </c>
      <c r="F1035" s="92" t="s">
        <v>3517</v>
      </c>
      <c r="G1035" s="75"/>
      <c r="H1035" s="92" t="s">
        <v>3881</v>
      </c>
      <c r="I1035" s="92" t="s">
        <v>3889</v>
      </c>
      <c r="K1035" s="71" t="s">
        <v>217</v>
      </c>
      <c r="L1035" t="s">
        <v>30</v>
      </c>
      <c r="M1035" t="str">
        <f t="shared" si="82"/>
        <v>30</v>
      </c>
      <c r="N1035" t="str">
        <f t="shared" si="83"/>
        <v>12</v>
      </c>
      <c r="O1035" t="str">
        <f t="shared" si="80"/>
        <v>2024</v>
      </c>
      <c r="P1035" t="str">
        <f t="shared" si="84"/>
        <v>30-12-2024</v>
      </c>
    </row>
    <row r="1036" spans="2:16" x14ac:dyDescent="0.3">
      <c r="B1036" s="70">
        <v>45656</v>
      </c>
      <c r="C1036" s="70">
        <f t="shared" si="81"/>
        <v>45627</v>
      </c>
      <c r="D1036" s="94">
        <v>0</v>
      </c>
      <c r="E1036" s="94">
        <v>1018.6</v>
      </c>
      <c r="F1036" s="92" t="s">
        <v>3518</v>
      </c>
      <c r="G1036" s="75"/>
      <c r="H1036" s="92" t="s">
        <v>3883</v>
      </c>
      <c r="I1036" s="92" t="s">
        <v>3892</v>
      </c>
      <c r="K1036" s="71" t="s">
        <v>2539</v>
      </c>
      <c r="L1036" t="s">
        <v>2166</v>
      </c>
      <c r="M1036" t="str">
        <f t="shared" si="82"/>
        <v>30</v>
      </c>
      <c r="N1036" t="str">
        <f t="shared" si="83"/>
        <v>12</v>
      </c>
      <c r="O1036" t="str">
        <f t="shared" si="80"/>
        <v>2024</v>
      </c>
      <c r="P1036" t="str">
        <f t="shared" si="84"/>
        <v>30-12-2024</v>
      </c>
    </row>
    <row r="1037" spans="2:16" x14ac:dyDescent="0.3">
      <c r="B1037" s="70">
        <v>45656</v>
      </c>
      <c r="C1037" s="70">
        <f t="shared" si="81"/>
        <v>45627</v>
      </c>
      <c r="D1037" s="94">
        <v>0</v>
      </c>
      <c r="E1037" s="94">
        <v>68846</v>
      </c>
      <c r="F1037" s="92" t="s">
        <v>3519</v>
      </c>
      <c r="G1037" s="75"/>
      <c r="H1037" s="92" t="s">
        <v>507</v>
      </c>
      <c r="I1037" s="92" t="s">
        <v>3892</v>
      </c>
      <c r="K1037" s="71" t="s">
        <v>507</v>
      </c>
      <c r="L1037" t="s">
        <v>358</v>
      </c>
      <c r="M1037" t="str">
        <f t="shared" si="82"/>
        <v>30</v>
      </c>
      <c r="N1037" t="str">
        <f t="shared" si="83"/>
        <v>12</v>
      </c>
      <c r="O1037" t="str">
        <f t="shared" si="80"/>
        <v>2024</v>
      </c>
      <c r="P1037" t="str">
        <f t="shared" si="84"/>
        <v>30-12-2024</v>
      </c>
    </row>
    <row r="1038" spans="2:16" x14ac:dyDescent="0.3">
      <c r="B1038" s="70">
        <v>45656</v>
      </c>
      <c r="C1038" s="70">
        <f t="shared" si="81"/>
        <v>45627</v>
      </c>
      <c r="D1038" s="94">
        <v>0</v>
      </c>
      <c r="E1038" s="94">
        <v>40000</v>
      </c>
      <c r="F1038" s="92" t="s">
        <v>3520</v>
      </c>
      <c r="G1038" s="75"/>
      <c r="H1038" s="92" t="s">
        <v>3888</v>
      </c>
      <c r="I1038" s="92" t="s">
        <v>3892</v>
      </c>
      <c r="K1038" s="71" t="s">
        <v>508</v>
      </c>
      <c r="L1038" t="s">
        <v>2169</v>
      </c>
      <c r="M1038" t="str">
        <f t="shared" si="82"/>
        <v>30</v>
      </c>
      <c r="N1038" t="str">
        <f t="shared" si="83"/>
        <v>12</v>
      </c>
      <c r="O1038" t="str">
        <f t="shared" si="80"/>
        <v>2024</v>
      </c>
      <c r="P1038" t="str">
        <f t="shared" si="84"/>
        <v>30-12-2024</v>
      </c>
    </row>
    <row r="1039" spans="2:16" x14ac:dyDescent="0.3">
      <c r="B1039" s="70">
        <v>45657</v>
      </c>
      <c r="C1039" s="70">
        <f t="shared" si="81"/>
        <v>45627</v>
      </c>
      <c r="D1039" s="94">
        <v>0</v>
      </c>
      <c r="E1039" s="94">
        <v>318.27</v>
      </c>
      <c r="F1039" s="92" t="s">
        <v>3521</v>
      </c>
      <c r="G1039" s="75"/>
      <c r="H1039" s="92" t="s">
        <v>3881</v>
      </c>
      <c r="I1039" s="92" t="s">
        <v>3889</v>
      </c>
      <c r="K1039" s="71" t="s">
        <v>2523</v>
      </c>
      <c r="L1039" t="s">
        <v>1197</v>
      </c>
      <c r="M1039" t="str">
        <f t="shared" si="82"/>
        <v>31</v>
      </c>
      <c r="N1039" t="str">
        <f t="shared" si="83"/>
        <v>12</v>
      </c>
      <c r="O1039" t="str">
        <f t="shared" si="80"/>
        <v>2024</v>
      </c>
      <c r="P1039" t="str">
        <f t="shared" si="84"/>
        <v>31-12-2024</v>
      </c>
    </row>
    <row r="1040" spans="2:16" x14ac:dyDescent="0.3">
      <c r="B1040" s="70">
        <v>45657</v>
      </c>
      <c r="C1040" s="70">
        <f t="shared" si="81"/>
        <v>45627</v>
      </c>
      <c r="D1040" s="94">
        <v>101.64</v>
      </c>
      <c r="E1040" s="94">
        <v>0</v>
      </c>
      <c r="F1040" s="92" t="s">
        <v>3522</v>
      </c>
      <c r="G1040" s="75"/>
      <c r="H1040" s="92" t="s">
        <v>3881</v>
      </c>
      <c r="I1040" s="92" t="s">
        <v>3889</v>
      </c>
      <c r="K1040" s="71" t="s">
        <v>217</v>
      </c>
      <c r="L1040" t="s">
        <v>30</v>
      </c>
      <c r="M1040" t="str">
        <f t="shared" si="82"/>
        <v>31</v>
      </c>
      <c r="N1040" t="str">
        <f t="shared" si="83"/>
        <v>12</v>
      </c>
      <c r="O1040" t="str">
        <f t="shared" si="80"/>
        <v>2024</v>
      </c>
      <c r="P1040" t="str">
        <f t="shared" si="84"/>
        <v>31-12-2024</v>
      </c>
    </row>
    <row r="1041" spans="2:16" x14ac:dyDescent="0.3">
      <c r="B1041" s="70">
        <v>45657</v>
      </c>
      <c r="C1041" s="70">
        <f t="shared" si="81"/>
        <v>45627</v>
      </c>
      <c r="D1041" s="94">
        <v>527.37</v>
      </c>
      <c r="E1041" s="94">
        <v>0</v>
      </c>
      <c r="F1041" s="92" t="s">
        <v>3522</v>
      </c>
      <c r="G1041" s="75"/>
      <c r="H1041" s="92" t="s">
        <v>3881</v>
      </c>
      <c r="I1041" s="92" t="s">
        <v>3889</v>
      </c>
      <c r="K1041" s="71" t="s">
        <v>217</v>
      </c>
      <c r="L1041" t="s">
        <v>30</v>
      </c>
      <c r="M1041" t="str">
        <f t="shared" si="82"/>
        <v>31</v>
      </c>
      <c r="N1041" t="str">
        <f t="shared" si="83"/>
        <v>12</v>
      </c>
      <c r="O1041" t="str">
        <f t="shared" si="80"/>
        <v>2024</v>
      </c>
      <c r="P1041" t="str">
        <f t="shared" si="84"/>
        <v>31-12-2024</v>
      </c>
    </row>
    <row r="1042" spans="2:16" x14ac:dyDescent="0.3">
      <c r="B1042" s="70">
        <v>45657</v>
      </c>
      <c r="C1042" s="70">
        <f t="shared" si="81"/>
        <v>45627</v>
      </c>
      <c r="D1042" s="94">
        <v>0</v>
      </c>
      <c r="E1042" s="94">
        <v>642</v>
      </c>
      <c r="F1042" s="92" t="s">
        <v>3523</v>
      </c>
      <c r="G1042" s="92" t="s">
        <v>752</v>
      </c>
      <c r="H1042" s="92" t="s">
        <v>227</v>
      </c>
      <c r="I1042" s="92" t="s">
        <v>3889</v>
      </c>
      <c r="K1042" s="71" t="s">
        <v>227</v>
      </c>
      <c r="L1042" t="s">
        <v>1201</v>
      </c>
      <c r="M1042" t="str">
        <f t="shared" si="82"/>
        <v>31</v>
      </c>
      <c r="N1042" t="str">
        <f t="shared" si="83"/>
        <v>12</v>
      </c>
      <c r="O1042" t="str">
        <f t="shared" si="80"/>
        <v>2024</v>
      </c>
      <c r="P1042" t="str">
        <f t="shared" si="84"/>
        <v>31-12-2024</v>
      </c>
    </row>
    <row r="1043" spans="2:16" x14ac:dyDescent="0.3">
      <c r="B1043" s="70">
        <v>45657</v>
      </c>
      <c r="C1043" s="70">
        <f t="shared" si="81"/>
        <v>45627</v>
      </c>
      <c r="D1043" s="94">
        <v>5000</v>
      </c>
      <c r="E1043" s="94">
        <v>0</v>
      </c>
      <c r="F1043" s="92" t="s">
        <v>3524</v>
      </c>
      <c r="G1043" s="75"/>
      <c r="H1043" s="92" t="s">
        <v>3878</v>
      </c>
      <c r="I1043" s="92" t="s">
        <v>3892</v>
      </c>
      <c r="K1043" s="71" t="s">
        <v>2550</v>
      </c>
      <c r="L1043" t="s">
        <v>2171</v>
      </c>
      <c r="M1043" t="str">
        <f t="shared" si="82"/>
        <v>31</v>
      </c>
      <c r="N1043" t="str">
        <f t="shared" si="83"/>
        <v>12</v>
      </c>
      <c r="O1043" t="str">
        <f t="shared" si="80"/>
        <v>2024</v>
      </c>
      <c r="P1043" t="str">
        <f t="shared" si="84"/>
        <v>31-12-2024</v>
      </c>
    </row>
    <row r="1044" spans="2:16" x14ac:dyDescent="0.3">
      <c r="B1044" s="70">
        <v>45657</v>
      </c>
      <c r="C1044" s="70">
        <f t="shared" si="81"/>
        <v>45627</v>
      </c>
      <c r="D1044" s="94">
        <v>200</v>
      </c>
      <c r="E1044" s="94">
        <v>0</v>
      </c>
      <c r="F1044" s="92" t="s">
        <v>3525</v>
      </c>
      <c r="G1044" s="75"/>
      <c r="H1044" s="92" t="s">
        <v>589</v>
      </c>
      <c r="I1044" s="92" t="s">
        <v>3892</v>
      </c>
      <c r="K1044" s="71" t="s">
        <v>511</v>
      </c>
      <c r="L1044" t="s">
        <v>2173</v>
      </c>
      <c r="M1044" t="str">
        <f t="shared" si="82"/>
        <v>31</v>
      </c>
      <c r="N1044" t="str">
        <f t="shared" si="83"/>
        <v>12</v>
      </c>
      <c r="O1044" t="str">
        <f t="shared" si="80"/>
        <v>2024</v>
      </c>
      <c r="P1044" t="str">
        <f t="shared" si="84"/>
        <v>31-12-2024</v>
      </c>
    </row>
    <row r="1045" spans="2:16" x14ac:dyDescent="0.3">
      <c r="B1045" s="70">
        <v>45657</v>
      </c>
      <c r="C1045" s="70">
        <f t="shared" si="81"/>
        <v>45627</v>
      </c>
      <c r="D1045" s="94">
        <v>0</v>
      </c>
      <c r="E1045" s="94">
        <v>431</v>
      </c>
      <c r="F1045" s="92" t="s">
        <v>3526</v>
      </c>
      <c r="G1045" s="92" t="s">
        <v>756</v>
      </c>
      <c r="H1045" s="92" t="s">
        <v>227</v>
      </c>
      <c r="I1045" s="92" t="s">
        <v>3892</v>
      </c>
      <c r="K1045" s="71" t="s">
        <v>227</v>
      </c>
      <c r="L1045" t="s">
        <v>2175</v>
      </c>
      <c r="M1045" t="str">
        <f t="shared" si="82"/>
        <v>31</v>
      </c>
      <c r="N1045" t="str">
        <f t="shared" si="83"/>
        <v>12</v>
      </c>
      <c r="O1045" t="str">
        <f t="shared" si="80"/>
        <v>2024</v>
      </c>
      <c r="P1045" t="str">
        <f t="shared" si="84"/>
        <v>31-12-2024</v>
      </c>
    </row>
    <row r="1046" spans="2:16" x14ac:dyDescent="0.3">
      <c r="B1046" s="70">
        <v>45658</v>
      </c>
      <c r="C1046" s="70">
        <f t="shared" si="81"/>
        <v>45658</v>
      </c>
      <c r="D1046" s="94">
        <v>0</v>
      </c>
      <c r="E1046" s="94">
        <v>129</v>
      </c>
      <c r="F1046" s="92" t="s">
        <v>3527</v>
      </c>
      <c r="G1046" s="92" t="s">
        <v>755</v>
      </c>
      <c r="H1046" s="92" t="s">
        <v>227</v>
      </c>
      <c r="I1046" s="92" t="s">
        <v>3890</v>
      </c>
      <c r="K1046" s="71" t="s">
        <v>227</v>
      </c>
      <c r="L1046" t="s">
        <v>807</v>
      </c>
      <c r="M1046" t="str">
        <f t="shared" si="82"/>
        <v>01</v>
      </c>
      <c r="N1046" t="str">
        <f t="shared" si="83"/>
        <v>01</v>
      </c>
      <c r="O1046" t="str">
        <f t="shared" si="80"/>
        <v>2025</v>
      </c>
      <c r="P1046" t="str">
        <f t="shared" si="84"/>
        <v>01-01-2025</v>
      </c>
    </row>
    <row r="1047" spans="2:16" x14ac:dyDescent="0.3">
      <c r="B1047" s="70">
        <v>45658</v>
      </c>
      <c r="C1047" s="70">
        <f t="shared" si="81"/>
        <v>45658</v>
      </c>
      <c r="D1047" s="94">
        <v>101.56</v>
      </c>
      <c r="E1047" s="94">
        <v>0</v>
      </c>
      <c r="F1047" s="92" t="s">
        <v>3528</v>
      </c>
      <c r="G1047" s="75"/>
      <c r="H1047" s="92" t="s">
        <v>3881</v>
      </c>
      <c r="I1047" s="92" t="s">
        <v>3889</v>
      </c>
      <c r="K1047" s="71" t="s">
        <v>217</v>
      </c>
      <c r="L1047" t="s">
        <v>30</v>
      </c>
      <c r="M1047" t="str">
        <f t="shared" si="82"/>
        <v>01</v>
      </c>
      <c r="N1047" t="str">
        <f t="shared" si="83"/>
        <v>01</v>
      </c>
      <c r="O1047" t="str">
        <f t="shared" si="80"/>
        <v>2025</v>
      </c>
      <c r="P1047" t="str">
        <f t="shared" si="84"/>
        <v>01-01-2025</v>
      </c>
    </row>
    <row r="1048" spans="2:16" x14ac:dyDescent="0.3">
      <c r="B1048" s="70">
        <v>45658</v>
      </c>
      <c r="C1048" s="70">
        <f t="shared" si="81"/>
        <v>45658</v>
      </c>
      <c r="D1048" s="94">
        <v>120</v>
      </c>
      <c r="E1048" s="94">
        <v>0</v>
      </c>
      <c r="F1048" s="92" t="s">
        <v>3529</v>
      </c>
      <c r="G1048" s="75"/>
      <c r="H1048" s="92" t="s">
        <v>589</v>
      </c>
      <c r="I1048" s="92" t="s">
        <v>3892</v>
      </c>
      <c r="K1048" s="71" t="s">
        <v>511</v>
      </c>
      <c r="L1048" t="s">
        <v>2176</v>
      </c>
      <c r="M1048" t="str">
        <f t="shared" si="82"/>
        <v>01</v>
      </c>
      <c r="N1048" t="str">
        <f t="shared" si="83"/>
        <v>01</v>
      </c>
      <c r="O1048" t="str">
        <f t="shared" si="80"/>
        <v>2025</v>
      </c>
      <c r="P1048" t="str">
        <f t="shared" si="84"/>
        <v>01-01-2025</v>
      </c>
    </row>
    <row r="1049" spans="2:16" x14ac:dyDescent="0.3">
      <c r="B1049" s="70">
        <v>45658</v>
      </c>
      <c r="C1049" s="70">
        <f t="shared" si="81"/>
        <v>45658</v>
      </c>
      <c r="D1049" s="94">
        <v>1005</v>
      </c>
      <c r="E1049" s="94">
        <v>0</v>
      </c>
      <c r="F1049" s="92" t="s">
        <v>3530</v>
      </c>
      <c r="G1049" s="75"/>
      <c r="H1049" s="92" t="s">
        <v>589</v>
      </c>
      <c r="I1049" s="92" t="s">
        <v>3892</v>
      </c>
      <c r="K1049" s="71" t="s">
        <v>511</v>
      </c>
      <c r="L1049" t="s">
        <v>2178</v>
      </c>
      <c r="M1049" t="str">
        <f t="shared" si="82"/>
        <v>01</v>
      </c>
      <c r="N1049" t="str">
        <f t="shared" si="83"/>
        <v>01</v>
      </c>
      <c r="O1049" t="str">
        <f t="shared" si="80"/>
        <v>2025</v>
      </c>
      <c r="P1049" t="str">
        <f t="shared" si="84"/>
        <v>01-01-2025</v>
      </c>
    </row>
    <row r="1050" spans="2:16" x14ac:dyDescent="0.3">
      <c r="B1050" s="70">
        <v>45658</v>
      </c>
      <c r="C1050" s="70">
        <f t="shared" si="81"/>
        <v>45658</v>
      </c>
      <c r="D1050" s="94">
        <v>1200</v>
      </c>
      <c r="E1050" s="94">
        <v>0</v>
      </c>
      <c r="F1050" s="92" t="s">
        <v>3531</v>
      </c>
      <c r="G1050" s="75"/>
      <c r="H1050" s="92" t="s">
        <v>589</v>
      </c>
      <c r="I1050" s="92" t="s">
        <v>3892</v>
      </c>
      <c r="K1050" s="71" t="s">
        <v>511</v>
      </c>
      <c r="L1050" t="s">
        <v>2180</v>
      </c>
      <c r="M1050" t="str">
        <f t="shared" si="82"/>
        <v>01</v>
      </c>
      <c r="N1050" t="str">
        <f t="shared" si="83"/>
        <v>01</v>
      </c>
      <c r="O1050" t="str">
        <f t="shared" si="80"/>
        <v>2025</v>
      </c>
      <c r="P1050" t="str">
        <f t="shared" si="84"/>
        <v>01-01-2025</v>
      </c>
    </row>
    <row r="1051" spans="2:16" x14ac:dyDescent="0.3">
      <c r="B1051" s="70">
        <v>45658</v>
      </c>
      <c r="C1051" s="70">
        <f t="shared" si="81"/>
        <v>45658</v>
      </c>
      <c r="D1051" s="94">
        <v>3000</v>
      </c>
      <c r="E1051" s="94">
        <v>0</v>
      </c>
      <c r="F1051" s="92" t="s">
        <v>3532</v>
      </c>
      <c r="G1051" s="75"/>
      <c r="H1051" s="92" t="s">
        <v>3878</v>
      </c>
      <c r="I1051" s="92" t="s">
        <v>3892</v>
      </c>
      <c r="K1051" s="71" t="s">
        <v>2550</v>
      </c>
      <c r="L1051" t="s">
        <v>2182</v>
      </c>
      <c r="M1051" t="str">
        <f t="shared" si="82"/>
        <v>01</v>
      </c>
      <c r="N1051" t="str">
        <f t="shared" si="83"/>
        <v>01</v>
      </c>
      <c r="O1051" t="str">
        <f t="shared" si="80"/>
        <v>2025</v>
      </c>
      <c r="P1051" t="str">
        <f t="shared" si="84"/>
        <v>01-01-2025</v>
      </c>
    </row>
    <row r="1052" spans="2:16" x14ac:dyDescent="0.3">
      <c r="B1052" s="70">
        <v>45658</v>
      </c>
      <c r="C1052" s="70">
        <f t="shared" si="81"/>
        <v>45658</v>
      </c>
      <c r="D1052" s="94">
        <v>37000</v>
      </c>
      <c r="E1052" s="94">
        <v>0</v>
      </c>
      <c r="F1052" s="92" t="s">
        <v>3533</v>
      </c>
      <c r="G1052" s="75"/>
      <c r="H1052" s="92" t="s">
        <v>3878</v>
      </c>
      <c r="I1052" s="92" t="s">
        <v>3892</v>
      </c>
      <c r="K1052" s="71" t="s">
        <v>2550</v>
      </c>
      <c r="L1052" t="s">
        <v>2184</v>
      </c>
      <c r="M1052" t="str">
        <f t="shared" si="82"/>
        <v>01</v>
      </c>
      <c r="N1052" t="str">
        <f t="shared" si="83"/>
        <v>01</v>
      </c>
      <c r="O1052" t="str">
        <f t="shared" si="80"/>
        <v>2025</v>
      </c>
      <c r="P1052" t="str">
        <f t="shared" si="84"/>
        <v>01-01-2025</v>
      </c>
    </row>
    <row r="1053" spans="2:16" x14ac:dyDescent="0.3">
      <c r="B1053" s="70">
        <v>45658</v>
      </c>
      <c r="C1053" s="70">
        <f t="shared" si="81"/>
        <v>45658</v>
      </c>
      <c r="D1053" s="94">
        <v>80</v>
      </c>
      <c r="E1053" s="94">
        <v>0</v>
      </c>
      <c r="F1053" s="92" t="s">
        <v>3534</v>
      </c>
      <c r="G1053" s="75"/>
      <c r="H1053" s="92" t="s">
        <v>589</v>
      </c>
      <c r="I1053" s="92" t="s">
        <v>3892</v>
      </c>
      <c r="K1053" s="71" t="s">
        <v>511</v>
      </c>
      <c r="L1053" t="s">
        <v>2186</v>
      </c>
      <c r="M1053" t="str">
        <f t="shared" si="82"/>
        <v>01</v>
      </c>
      <c r="N1053" t="str">
        <f t="shared" si="83"/>
        <v>01</v>
      </c>
      <c r="O1053" t="str">
        <f t="shared" si="80"/>
        <v>2025</v>
      </c>
      <c r="P1053" t="str">
        <f t="shared" si="84"/>
        <v>01-01-2025</v>
      </c>
    </row>
    <row r="1054" spans="2:16" x14ac:dyDescent="0.3">
      <c r="B1054" s="70">
        <v>45658</v>
      </c>
      <c r="C1054" s="70">
        <f t="shared" si="81"/>
        <v>45658</v>
      </c>
      <c r="D1054" s="94">
        <v>140</v>
      </c>
      <c r="E1054" s="94">
        <v>0</v>
      </c>
      <c r="F1054" s="92" t="s">
        <v>3535</v>
      </c>
      <c r="G1054" s="75"/>
      <c r="H1054" s="92" t="s">
        <v>589</v>
      </c>
      <c r="I1054" s="92" t="s">
        <v>3892</v>
      </c>
      <c r="K1054" s="71" t="s">
        <v>511</v>
      </c>
      <c r="L1054" t="s">
        <v>2188</v>
      </c>
      <c r="M1054" t="str">
        <f t="shared" si="82"/>
        <v>01</v>
      </c>
      <c r="N1054" t="str">
        <f t="shared" si="83"/>
        <v>01</v>
      </c>
      <c r="O1054" t="str">
        <f t="shared" si="80"/>
        <v>2025</v>
      </c>
      <c r="P1054" t="str">
        <f t="shared" si="84"/>
        <v>01-01-2025</v>
      </c>
    </row>
    <row r="1055" spans="2:16" x14ac:dyDescent="0.3">
      <c r="B1055" s="70">
        <v>45658</v>
      </c>
      <c r="C1055" s="70">
        <f t="shared" si="81"/>
        <v>45658</v>
      </c>
      <c r="D1055" s="94">
        <v>0</v>
      </c>
      <c r="E1055" s="94">
        <v>1</v>
      </c>
      <c r="F1055" s="92" t="s">
        <v>3536</v>
      </c>
      <c r="G1055" s="92" t="s">
        <v>2573</v>
      </c>
      <c r="H1055" s="92" t="s">
        <v>227</v>
      </c>
      <c r="I1055" s="92" t="s">
        <v>3894</v>
      </c>
      <c r="K1055" s="71" t="s">
        <v>227</v>
      </c>
      <c r="L1055" t="s">
        <v>2569</v>
      </c>
      <c r="M1055" t="str">
        <f t="shared" si="82"/>
        <v>01</v>
      </c>
      <c r="N1055" t="str">
        <f t="shared" si="83"/>
        <v>01</v>
      </c>
      <c r="O1055" t="str">
        <f t="shared" si="80"/>
        <v>2025</v>
      </c>
      <c r="P1055" t="str">
        <f t="shared" si="84"/>
        <v>01-01-2025</v>
      </c>
    </row>
    <row r="1056" spans="2:16" x14ac:dyDescent="0.3">
      <c r="B1056" s="70">
        <v>45659</v>
      </c>
      <c r="C1056" s="70">
        <f t="shared" si="81"/>
        <v>45658</v>
      </c>
      <c r="D1056" s="94">
        <v>0</v>
      </c>
      <c r="E1056" s="94">
        <v>19857.53</v>
      </c>
      <c r="F1056" s="92" t="s">
        <v>3537</v>
      </c>
      <c r="G1056" s="75"/>
      <c r="H1056" s="92" t="s">
        <v>3881</v>
      </c>
      <c r="I1056" s="92" t="s">
        <v>3889</v>
      </c>
      <c r="K1056" s="71" t="s">
        <v>2523</v>
      </c>
      <c r="L1056" t="s">
        <v>1203</v>
      </c>
      <c r="M1056" t="str">
        <f t="shared" si="82"/>
        <v>02</v>
      </c>
      <c r="N1056" t="str">
        <f t="shared" si="83"/>
        <v>01</v>
      </c>
      <c r="O1056" t="str">
        <f t="shared" si="80"/>
        <v>2025</v>
      </c>
      <c r="P1056" t="str">
        <f t="shared" si="84"/>
        <v>02-01-2025</v>
      </c>
    </row>
    <row r="1057" spans="2:16" x14ac:dyDescent="0.3">
      <c r="B1057" s="70">
        <v>45659</v>
      </c>
      <c r="C1057" s="70">
        <f t="shared" si="81"/>
        <v>45658</v>
      </c>
      <c r="D1057" s="94">
        <v>0</v>
      </c>
      <c r="E1057" s="94">
        <v>100000</v>
      </c>
      <c r="F1057" s="92" t="s">
        <v>3538</v>
      </c>
      <c r="G1057" s="75"/>
      <c r="H1057" s="92" t="s">
        <v>3885</v>
      </c>
      <c r="I1057" s="92" t="s">
        <v>3889</v>
      </c>
      <c r="K1057" s="71" t="s">
        <v>2520</v>
      </c>
      <c r="L1057" t="s">
        <v>1205</v>
      </c>
      <c r="M1057" t="str">
        <f t="shared" si="82"/>
        <v>02</v>
      </c>
      <c r="N1057" t="str">
        <f t="shared" si="83"/>
        <v>01</v>
      </c>
      <c r="O1057" t="str">
        <f t="shared" si="80"/>
        <v>2025</v>
      </c>
      <c r="P1057" t="str">
        <f t="shared" si="84"/>
        <v>02-01-2025</v>
      </c>
    </row>
    <row r="1058" spans="2:16" x14ac:dyDescent="0.3">
      <c r="B1058" s="70">
        <v>45659</v>
      </c>
      <c r="C1058" s="70">
        <f t="shared" si="81"/>
        <v>45658</v>
      </c>
      <c r="D1058" s="94">
        <v>101.56</v>
      </c>
      <c r="E1058" s="94">
        <v>0</v>
      </c>
      <c r="F1058" s="92" t="s">
        <v>3539</v>
      </c>
      <c r="G1058" s="75"/>
      <c r="H1058" s="92" t="s">
        <v>3881</v>
      </c>
      <c r="I1058" s="92" t="s">
        <v>3889</v>
      </c>
      <c r="K1058" s="71" t="s">
        <v>217</v>
      </c>
      <c r="L1058" t="s">
        <v>30</v>
      </c>
      <c r="M1058" t="str">
        <f t="shared" si="82"/>
        <v>02</v>
      </c>
      <c r="N1058" t="str">
        <f t="shared" si="83"/>
        <v>01</v>
      </c>
      <c r="O1058" t="str">
        <f t="shared" si="80"/>
        <v>2025</v>
      </c>
      <c r="P1058" t="str">
        <f t="shared" si="84"/>
        <v>02-01-2025</v>
      </c>
    </row>
    <row r="1059" spans="2:16" x14ac:dyDescent="0.3">
      <c r="B1059" s="70">
        <v>45659</v>
      </c>
      <c r="C1059" s="70">
        <f t="shared" si="81"/>
        <v>45658</v>
      </c>
      <c r="D1059" s="94">
        <v>32529.78</v>
      </c>
      <c r="E1059" s="94">
        <v>0</v>
      </c>
      <c r="F1059" s="92" t="s">
        <v>3539</v>
      </c>
      <c r="G1059" s="75"/>
      <c r="H1059" s="92" t="s">
        <v>3881</v>
      </c>
      <c r="I1059" s="92" t="s">
        <v>3889</v>
      </c>
      <c r="K1059" s="71" t="s">
        <v>217</v>
      </c>
      <c r="L1059" t="s">
        <v>30</v>
      </c>
      <c r="M1059" t="str">
        <f t="shared" si="82"/>
        <v>02</v>
      </c>
      <c r="N1059" t="str">
        <f t="shared" si="83"/>
        <v>01</v>
      </c>
      <c r="O1059" t="str">
        <f t="shared" si="80"/>
        <v>2025</v>
      </c>
      <c r="P1059" t="str">
        <f t="shared" si="84"/>
        <v>02-01-2025</v>
      </c>
    </row>
    <row r="1060" spans="2:16" x14ac:dyDescent="0.3">
      <c r="B1060" s="70">
        <v>45659</v>
      </c>
      <c r="C1060" s="70">
        <f t="shared" si="81"/>
        <v>45658</v>
      </c>
      <c r="D1060" s="94">
        <v>5548.07</v>
      </c>
      <c r="E1060" s="94">
        <v>0</v>
      </c>
      <c r="F1060" s="92" t="s">
        <v>3539</v>
      </c>
      <c r="G1060" s="75"/>
      <c r="H1060" s="92" t="s">
        <v>3881</v>
      </c>
      <c r="I1060" s="92" t="s">
        <v>3889</v>
      </c>
      <c r="K1060" s="71" t="s">
        <v>217</v>
      </c>
      <c r="L1060" t="s">
        <v>30</v>
      </c>
      <c r="M1060" t="str">
        <f t="shared" si="82"/>
        <v>02</v>
      </c>
      <c r="N1060" t="str">
        <f t="shared" si="83"/>
        <v>01</v>
      </c>
      <c r="O1060" t="str">
        <f t="shared" si="80"/>
        <v>2025</v>
      </c>
      <c r="P1060" t="str">
        <f t="shared" si="84"/>
        <v>02-01-2025</v>
      </c>
    </row>
    <row r="1061" spans="2:16" x14ac:dyDescent="0.3">
      <c r="B1061" s="70">
        <v>45659</v>
      </c>
      <c r="C1061" s="70">
        <f t="shared" si="81"/>
        <v>45658</v>
      </c>
      <c r="D1061" s="94">
        <v>50</v>
      </c>
      <c r="E1061" s="94">
        <v>0</v>
      </c>
      <c r="F1061" s="92" t="s">
        <v>3540</v>
      </c>
      <c r="G1061" s="75"/>
      <c r="H1061" s="92" t="s">
        <v>589</v>
      </c>
      <c r="I1061" s="92" t="s">
        <v>3892</v>
      </c>
      <c r="K1061" s="71" t="s">
        <v>511</v>
      </c>
      <c r="L1061" t="s">
        <v>2190</v>
      </c>
      <c r="M1061" t="str">
        <f t="shared" si="82"/>
        <v>02</v>
      </c>
      <c r="N1061" t="str">
        <f t="shared" si="83"/>
        <v>01</v>
      </c>
      <c r="O1061" t="str">
        <f t="shared" si="80"/>
        <v>2025</v>
      </c>
      <c r="P1061" t="str">
        <f t="shared" si="84"/>
        <v>02-01-2025</v>
      </c>
    </row>
    <row r="1062" spans="2:16" x14ac:dyDescent="0.3">
      <c r="B1062" s="70">
        <v>45659</v>
      </c>
      <c r="C1062" s="70">
        <f t="shared" si="81"/>
        <v>45658</v>
      </c>
      <c r="D1062" s="94">
        <v>3500</v>
      </c>
      <c r="E1062" s="94">
        <v>0</v>
      </c>
      <c r="F1062" s="92" t="s">
        <v>3541</v>
      </c>
      <c r="G1062" s="75"/>
      <c r="H1062" s="92" t="s">
        <v>589</v>
      </c>
      <c r="I1062" s="92" t="s">
        <v>3892</v>
      </c>
      <c r="K1062" s="71" t="s">
        <v>511</v>
      </c>
      <c r="L1062" t="s">
        <v>2192</v>
      </c>
      <c r="M1062" t="str">
        <f t="shared" si="82"/>
        <v>02</v>
      </c>
      <c r="N1062" t="str">
        <f t="shared" si="83"/>
        <v>01</v>
      </c>
      <c r="O1062" t="str">
        <f t="shared" si="80"/>
        <v>2025</v>
      </c>
      <c r="P1062" t="str">
        <f t="shared" si="84"/>
        <v>02-01-2025</v>
      </c>
    </row>
    <row r="1063" spans="2:16" x14ac:dyDescent="0.3">
      <c r="B1063" s="70">
        <v>45659</v>
      </c>
      <c r="C1063" s="70">
        <f t="shared" si="81"/>
        <v>45658</v>
      </c>
      <c r="D1063" s="94">
        <v>114</v>
      </c>
      <c r="E1063" s="94">
        <v>0</v>
      </c>
      <c r="F1063" s="92" t="s">
        <v>3542</v>
      </c>
      <c r="G1063" s="75"/>
      <c r="H1063" s="92" t="s">
        <v>589</v>
      </c>
      <c r="I1063" s="92" t="s">
        <v>3892</v>
      </c>
      <c r="K1063" s="71" t="s">
        <v>511</v>
      </c>
      <c r="L1063" t="s">
        <v>2194</v>
      </c>
      <c r="M1063" t="str">
        <f t="shared" si="82"/>
        <v>02</v>
      </c>
      <c r="N1063" t="str">
        <f t="shared" si="83"/>
        <v>01</v>
      </c>
      <c r="O1063" t="str">
        <f t="shared" si="80"/>
        <v>2025</v>
      </c>
      <c r="P1063" t="str">
        <f t="shared" si="84"/>
        <v>02-01-2025</v>
      </c>
    </row>
    <row r="1064" spans="2:16" x14ac:dyDescent="0.3">
      <c r="B1064" s="70">
        <v>45660</v>
      </c>
      <c r="C1064" s="70">
        <f t="shared" si="81"/>
        <v>45658</v>
      </c>
      <c r="D1064" s="94">
        <v>90.12</v>
      </c>
      <c r="E1064" s="94">
        <v>0</v>
      </c>
      <c r="F1064" s="92" t="s">
        <v>3543</v>
      </c>
      <c r="G1064" s="75"/>
      <c r="H1064" s="92" t="s">
        <v>3881</v>
      </c>
      <c r="I1064" s="92" t="s">
        <v>3889</v>
      </c>
      <c r="K1064" s="71" t="s">
        <v>217</v>
      </c>
      <c r="L1064" t="s">
        <v>30</v>
      </c>
      <c r="M1064" t="str">
        <f t="shared" si="82"/>
        <v>03</v>
      </c>
      <c r="N1064" t="str">
        <f t="shared" si="83"/>
        <v>01</v>
      </c>
      <c r="O1064" t="str">
        <f t="shared" si="80"/>
        <v>2025</v>
      </c>
      <c r="P1064" t="str">
        <f t="shared" si="84"/>
        <v>03-01-2025</v>
      </c>
    </row>
    <row r="1065" spans="2:16" x14ac:dyDescent="0.3">
      <c r="B1065" s="70">
        <v>45660</v>
      </c>
      <c r="C1065" s="70">
        <f t="shared" si="81"/>
        <v>45658</v>
      </c>
      <c r="D1065" s="94">
        <v>24679.84</v>
      </c>
      <c r="E1065" s="94">
        <v>0</v>
      </c>
      <c r="F1065" s="92" t="s">
        <v>3543</v>
      </c>
      <c r="G1065" s="75"/>
      <c r="H1065" s="92" t="s">
        <v>3881</v>
      </c>
      <c r="I1065" s="92" t="s">
        <v>3889</v>
      </c>
      <c r="K1065" s="71" t="s">
        <v>217</v>
      </c>
      <c r="L1065" t="s">
        <v>30</v>
      </c>
      <c r="M1065" t="str">
        <f t="shared" si="82"/>
        <v>03</v>
      </c>
      <c r="N1065" t="str">
        <f t="shared" si="83"/>
        <v>01</v>
      </c>
      <c r="O1065" t="str">
        <f t="shared" si="80"/>
        <v>2025</v>
      </c>
      <c r="P1065" t="str">
        <f t="shared" si="84"/>
        <v>03-01-2025</v>
      </c>
    </row>
    <row r="1066" spans="2:16" x14ac:dyDescent="0.3">
      <c r="B1066" s="70">
        <v>45660</v>
      </c>
      <c r="C1066" s="70">
        <f t="shared" si="81"/>
        <v>45658</v>
      </c>
      <c r="D1066" s="94">
        <v>1100</v>
      </c>
      <c r="E1066" s="94">
        <v>0</v>
      </c>
      <c r="F1066" s="92" t="s">
        <v>3544</v>
      </c>
      <c r="G1066" s="75"/>
      <c r="H1066" s="92" t="s">
        <v>589</v>
      </c>
      <c r="I1066" s="92" t="s">
        <v>3892</v>
      </c>
      <c r="K1066" s="71" t="s">
        <v>511</v>
      </c>
      <c r="L1066" t="s">
        <v>2196</v>
      </c>
      <c r="M1066" t="str">
        <f t="shared" si="82"/>
        <v>03</v>
      </c>
      <c r="N1066" t="str">
        <f t="shared" si="83"/>
        <v>01</v>
      </c>
      <c r="O1066" t="str">
        <f t="shared" si="80"/>
        <v>2025</v>
      </c>
      <c r="P1066" t="str">
        <f t="shared" si="84"/>
        <v>03-01-2025</v>
      </c>
    </row>
    <row r="1067" spans="2:16" x14ac:dyDescent="0.3">
      <c r="B1067" s="70">
        <v>45660</v>
      </c>
      <c r="C1067" s="70">
        <f t="shared" si="81"/>
        <v>45658</v>
      </c>
      <c r="D1067" s="94">
        <v>10000</v>
      </c>
      <c r="E1067" s="94">
        <v>0</v>
      </c>
      <c r="F1067" s="92" t="s">
        <v>3545</v>
      </c>
      <c r="G1067" s="75"/>
      <c r="H1067" s="92" t="s">
        <v>3878</v>
      </c>
      <c r="I1067" s="92" t="s">
        <v>3892</v>
      </c>
      <c r="K1067" s="71" t="s">
        <v>2550</v>
      </c>
      <c r="L1067" t="s">
        <v>2198</v>
      </c>
      <c r="M1067" t="str">
        <f t="shared" si="82"/>
        <v>03</v>
      </c>
      <c r="N1067" t="str">
        <f t="shared" si="83"/>
        <v>01</v>
      </c>
      <c r="O1067" t="str">
        <f t="shared" si="80"/>
        <v>2025</v>
      </c>
      <c r="P1067" t="str">
        <f t="shared" si="84"/>
        <v>03-01-2025</v>
      </c>
    </row>
    <row r="1068" spans="2:16" x14ac:dyDescent="0.3">
      <c r="B1068" s="70">
        <v>45660</v>
      </c>
      <c r="C1068" s="70">
        <f t="shared" si="81"/>
        <v>45658</v>
      </c>
      <c r="D1068" s="94">
        <v>0</v>
      </c>
      <c r="E1068" s="94">
        <v>3614.03</v>
      </c>
      <c r="F1068" s="92" t="s">
        <v>3546</v>
      </c>
      <c r="G1068" s="75"/>
      <c r="H1068" s="92" t="s">
        <v>3883</v>
      </c>
      <c r="I1068" s="92" t="s">
        <v>3892</v>
      </c>
      <c r="K1068" s="71" t="s">
        <v>2539</v>
      </c>
      <c r="L1068" t="s">
        <v>2200</v>
      </c>
      <c r="M1068" t="str">
        <f t="shared" si="82"/>
        <v>03</v>
      </c>
      <c r="N1068" t="str">
        <f t="shared" si="83"/>
        <v>01</v>
      </c>
      <c r="O1068" t="str">
        <f t="shared" si="80"/>
        <v>2025</v>
      </c>
      <c r="P1068" t="str">
        <f t="shared" si="84"/>
        <v>03-01-2025</v>
      </c>
    </row>
    <row r="1069" spans="2:16" x14ac:dyDescent="0.3">
      <c r="B1069" s="70">
        <v>45660</v>
      </c>
      <c r="C1069" s="70">
        <f t="shared" si="81"/>
        <v>45658</v>
      </c>
      <c r="D1069" s="94">
        <v>50</v>
      </c>
      <c r="E1069" s="94">
        <v>0</v>
      </c>
      <c r="F1069" s="92" t="s">
        <v>3547</v>
      </c>
      <c r="G1069" s="75"/>
      <c r="H1069" s="92" t="s">
        <v>589</v>
      </c>
      <c r="I1069" s="92" t="s">
        <v>3892</v>
      </c>
      <c r="K1069" s="71" t="s">
        <v>511</v>
      </c>
      <c r="L1069" t="s">
        <v>2202</v>
      </c>
      <c r="M1069" t="str">
        <f t="shared" si="82"/>
        <v>03</v>
      </c>
      <c r="N1069" t="str">
        <f t="shared" si="83"/>
        <v>01</v>
      </c>
      <c r="O1069" t="str">
        <f t="shared" si="80"/>
        <v>2025</v>
      </c>
      <c r="P1069" t="str">
        <f t="shared" si="84"/>
        <v>03-01-2025</v>
      </c>
    </row>
    <row r="1070" spans="2:16" x14ac:dyDescent="0.3">
      <c r="B1070" s="70">
        <v>45660</v>
      </c>
      <c r="C1070" s="70">
        <f t="shared" si="81"/>
        <v>45658</v>
      </c>
      <c r="D1070" s="94">
        <v>19000</v>
      </c>
      <c r="E1070" s="94">
        <v>0</v>
      </c>
      <c r="F1070" s="92" t="s">
        <v>3548</v>
      </c>
      <c r="G1070" s="75"/>
      <c r="H1070" s="92" t="s">
        <v>3884</v>
      </c>
      <c r="I1070" s="92" t="s">
        <v>3892</v>
      </c>
      <c r="K1070" s="71" t="s">
        <v>2549</v>
      </c>
      <c r="L1070" t="s">
        <v>2204</v>
      </c>
      <c r="M1070" t="str">
        <f t="shared" si="82"/>
        <v>03</v>
      </c>
      <c r="N1070" t="str">
        <f t="shared" si="83"/>
        <v>01</v>
      </c>
      <c r="O1070" t="str">
        <f t="shared" si="80"/>
        <v>2025</v>
      </c>
      <c r="P1070" t="str">
        <f t="shared" si="84"/>
        <v>03-01-2025</v>
      </c>
    </row>
    <row r="1071" spans="2:16" x14ac:dyDescent="0.3">
      <c r="B1071" s="70">
        <v>45660</v>
      </c>
      <c r="C1071" s="70">
        <f t="shared" si="81"/>
        <v>45658</v>
      </c>
      <c r="D1071" s="94">
        <v>0</v>
      </c>
      <c r="E1071" s="94">
        <v>19000</v>
      </c>
      <c r="F1071" s="92" t="s">
        <v>3549</v>
      </c>
      <c r="G1071" s="75"/>
      <c r="H1071" s="92" t="s">
        <v>3884</v>
      </c>
      <c r="I1071" s="92" t="s">
        <v>3892</v>
      </c>
      <c r="K1071" s="71" t="s">
        <v>2549</v>
      </c>
      <c r="L1071" t="s">
        <v>2206</v>
      </c>
      <c r="M1071" t="str">
        <f t="shared" si="82"/>
        <v>03</v>
      </c>
      <c r="N1071" t="str">
        <f t="shared" si="83"/>
        <v>01</v>
      </c>
      <c r="O1071" t="str">
        <f t="shared" si="80"/>
        <v>2025</v>
      </c>
      <c r="P1071" t="str">
        <f t="shared" si="84"/>
        <v>03-01-2025</v>
      </c>
    </row>
    <row r="1072" spans="2:16" x14ac:dyDescent="0.3">
      <c r="B1072" s="70">
        <v>45660</v>
      </c>
      <c r="C1072" s="70">
        <f t="shared" si="81"/>
        <v>45658</v>
      </c>
      <c r="D1072" s="94">
        <v>19000</v>
      </c>
      <c r="E1072" s="94">
        <v>0</v>
      </c>
      <c r="F1072" s="92" t="s">
        <v>3550</v>
      </c>
      <c r="G1072" s="75"/>
      <c r="H1072" s="92" t="s">
        <v>3884</v>
      </c>
      <c r="I1072" s="92" t="s">
        <v>3892</v>
      </c>
      <c r="K1072" s="71" t="s">
        <v>2549</v>
      </c>
      <c r="L1072" t="s">
        <v>2208</v>
      </c>
      <c r="M1072" t="str">
        <f t="shared" si="82"/>
        <v>03</v>
      </c>
      <c r="N1072" t="str">
        <f t="shared" si="83"/>
        <v>01</v>
      </c>
      <c r="O1072" t="str">
        <f t="shared" si="80"/>
        <v>2025</v>
      </c>
      <c r="P1072" t="str">
        <f t="shared" si="84"/>
        <v>03-01-2025</v>
      </c>
    </row>
    <row r="1073" spans="2:16" x14ac:dyDescent="0.3">
      <c r="B1073" s="70">
        <v>45660</v>
      </c>
      <c r="C1073" s="70">
        <f t="shared" si="81"/>
        <v>45658</v>
      </c>
      <c r="D1073" s="94">
        <v>0</v>
      </c>
      <c r="E1073" s="94">
        <v>19000</v>
      </c>
      <c r="F1073" s="92" t="s">
        <v>3551</v>
      </c>
      <c r="G1073" s="75"/>
      <c r="H1073" s="92" t="s">
        <v>3884</v>
      </c>
      <c r="I1073" s="92" t="s">
        <v>3892</v>
      </c>
      <c r="K1073" s="71" t="s">
        <v>2549</v>
      </c>
      <c r="L1073" t="s">
        <v>2210</v>
      </c>
      <c r="M1073" t="str">
        <f t="shared" si="82"/>
        <v>03</v>
      </c>
      <c r="N1073" t="str">
        <f t="shared" si="83"/>
        <v>01</v>
      </c>
      <c r="O1073" t="str">
        <f t="shared" si="80"/>
        <v>2025</v>
      </c>
      <c r="P1073" t="str">
        <f t="shared" si="84"/>
        <v>03-01-2025</v>
      </c>
    </row>
    <row r="1074" spans="2:16" x14ac:dyDescent="0.3">
      <c r="B1074" s="70">
        <v>45660</v>
      </c>
      <c r="C1074" s="70">
        <f t="shared" si="81"/>
        <v>45658</v>
      </c>
      <c r="D1074" s="94">
        <v>19000</v>
      </c>
      <c r="E1074" s="94">
        <v>0</v>
      </c>
      <c r="F1074" s="92" t="s">
        <v>3552</v>
      </c>
      <c r="G1074" s="75"/>
      <c r="H1074" s="92" t="s">
        <v>3884</v>
      </c>
      <c r="I1074" s="92" t="s">
        <v>3892</v>
      </c>
      <c r="K1074" s="71" t="s">
        <v>2549</v>
      </c>
      <c r="L1074" t="s">
        <v>2212</v>
      </c>
      <c r="M1074" t="str">
        <f t="shared" si="82"/>
        <v>03</v>
      </c>
      <c r="N1074" t="str">
        <f t="shared" si="83"/>
        <v>01</v>
      </c>
      <c r="O1074" t="str">
        <f t="shared" si="80"/>
        <v>2025</v>
      </c>
      <c r="P1074" t="str">
        <f t="shared" si="84"/>
        <v>03-01-2025</v>
      </c>
    </row>
    <row r="1075" spans="2:16" x14ac:dyDescent="0.3">
      <c r="B1075" s="70">
        <v>45660</v>
      </c>
      <c r="C1075" s="70">
        <f t="shared" si="81"/>
        <v>45658</v>
      </c>
      <c r="D1075" s="94">
        <v>0</v>
      </c>
      <c r="E1075" s="94">
        <v>19000</v>
      </c>
      <c r="F1075" s="92" t="s">
        <v>3553</v>
      </c>
      <c r="G1075" s="75"/>
      <c r="H1075" s="92" t="s">
        <v>3884</v>
      </c>
      <c r="I1075" s="92" t="s">
        <v>3892</v>
      </c>
      <c r="K1075" s="71" t="s">
        <v>2549</v>
      </c>
      <c r="L1075" t="s">
        <v>2214</v>
      </c>
      <c r="M1075" t="str">
        <f t="shared" si="82"/>
        <v>03</v>
      </c>
      <c r="N1075" t="str">
        <f t="shared" si="83"/>
        <v>01</v>
      </c>
      <c r="O1075" t="str">
        <f t="shared" si="80"/>
        <v>2025</v>
      </c>
      <c r="P1075" t="str">
        <f t="shared" si="84"/>
        <v>03-01-2025</v>
      </c>
    </row>
    <row r="1076" spans="2:16" x14ac:dyDescent="0.3">
      <c r="B1076" s="70">
        <v>45660</v>
      </c>
      <c r="C1076" s="70">
        <f t="shared" si="81"/>
        <v>45658</v>
      </c>
      <c r="D1076" s="94">
        <v>19000</v>
      </c>
      <c r="E1076" s="94">
        <v>0</v>
      </c>
      <c r="F1076" s="92" t="s">
        <v>3554</v>
      </c>
      <c r="G1076" s="75"/>
      <c r="H1076" s="92" t="s">
        <v>3878</v>
      </c>
      <c r="I1076" s="92" t="s">
        <v>3892</v>
      </c>
      <c r="K1076" s="71" t="s">
        <v>2550</v>
      </c>
      <c r="L1076" t="s">
        <v>2215</v>
      </c>
      <c r="M1076" t="str">
        <f t="shared" si="82"/>
        <v>03</v>
      </c>
      <c r="N1076" t="str">
        <f t="shared" si="83"/>
        <v>01</v>
      </c>
      <c r="O1076" t="str">
        <f t="shared" si="80"/>
        <v>2025</v>
      </c>
      <c r="P1076" t="str">
        <f t="shared" si="84"/>
        <v>03-01-2025</v>
      </c>
    </row>
    <row r="1077" spans="2:16" x14ac:dyDescent="0.3">
      <c r="B1077" s="70">
        <v>45660</v>
      </c>
      <c r="C1077" s="70">
        <f t="shared" si="81"/>
        <v>45658</v>
      </c>
      <c r="D1077" s="94">
        <v>262.7</v>
      </c>
      <c r="E1077" s="94">
        <v>0</v>
      </c>
      <c r="F1077" s="92" t="s">
        <v>3555</v>
      </c>
      <c r="G1077" s="75"/>
      <c r="H1077" s="92" t="s">
        <v>589</v>
      </c>
      <c r="I1077" s="92" t="s">
        <v>3892</v>
      </c>
      <c r="K1077" s="71" t="s">
        <v>511</v>
      </c>
      <c r="L1077" t="s">
        <v>2217</v>
      </c>
      <c r="M1077" t="str">
        <f t="shared" si="82"/>
        <v>03</v>
      </c>
      <c r="N1077" t="str">
        <f t="shared" si="83"/>
        <v>01</v>
      </c>
      <c r="O1077" t="str">
        <f t="shared" si="80"/>
        <v>2025</v>
      </c>
      <c r="P1077" t="str">
        <f t="shared" si="84"/>
        <v>03-01-2025</v>
      </c>
    </row>
    <row r="1078" spans="2:16" x14ac:dyDescent="0.3">
      <c r="B1078" s="70">
        <v>45661</v>
      </c>
      <c r="C1078" s="70">
        <f t="shared" si="81"/>
        <v>45658</v>
      </c>
      <c r="D1078" s="94">
        <v>0</v>
      </c>
      <c r="E1078" s="94">
        <v>1283.68</v>
      </c>
      <c r="F1078" s="92" t="s">
        <v>3556</v>
      </c>
      <c r="G1078" s="75"/>
      <c r="H1078" s="92" t="s">
        <v>3888</v>
      </c>
      <c r="I1078" s="92" t="s">
        <v>3892</v>
      </c>
      <c r="K1078" s="71" t="s">
        <v>508</v>
      </c>
      <c r="L1078" t="s">
        <v>2219</v>
      </c>
      <c r="M1078" t="str">
        <f t="shared" si="82"/>
        <v>04</v>
      </c>
      <c r="N1078" t="str">
        <f t="shared" si="83"/>
        <v>01</v>
      </c>
      <c r="O1078" t="str">
        <f t="shared" si="80"/>
        <v>2025</v>
      </c>
      <c r="P1078" t="str">
        <f t="shared" si="84"/>
        <v>04-01-2025</v>
      </c>
    </row>
    <row r="1079" spans="2:16" x14ac:dyDescent="0.3">
      <c r="B1079" s="70">
        <v>45661</v>
      </c>
      <c r="C1079" s="70">
        <f t="shared" si="81"/>
        <v>45658</v>
      </c>
      <c r="D1079" s="94">
        <v>180</v>
      </c>
      <c r="E1079" s="94">
        <v>0</v>
      </c>
      <c r="F1079" s="92" t="s">
        <v>3557</v>
      </c>
      <c r="G1079" s="75"/>
      <c r="H1079" s="92" t="s">
        <v>589</v>
      </c>
      <c r="I1079" s="92" t="s">
        <v>3892</v>
      </c>
      <c r="K1079" s="71" t="s">
        <v>511</v>
      </c>
      <c r="L1079" t="s">
        <v>2221</v>
      </c>
      <c r="M1079" t="str">
        <f t="shared" si="82"/>
        <v>04</v>
      </c>
      <c r="N1079" t="str">
        <f t="shared" si="83"/>
        <v>01</v>
      </c>
      <c r="O1079" t="str">
        <f t="shared" si="80"/>
        <v>2025</v>
      </c>
      <c r="P1079" t="str">
        <f t="shared" si="84"/>
        <v>04-01-2025</v>
      </c>
    </row>
    <row r="1080" spans="2:16" x14ac:dyDescent="0.3">
      <c r="B1080" s="70">
        <v>45661</v>
      </c>
      <c r="C1080" s="70">
        <f t="shared" si="81"/>
        <v>45658</v>
      </c>
      <c r="D1080" s="94">
        <v>60</v>
      </c>
      <c r="E1080" s="94">
        <v>0</v>
      </c>
      <c r="F1080" s="92" t="s">
        <v>3558</v>
      </c>
      <c r="G1080" s="75"/>
      <c r="H1080" s="92" t="s">
        <v>589</v>
      </c>
      <c r="I1080" s="92" t="s">
        <v>3892</v>
      </c>
      <c r="K1080" s="71" t="s">
        <v>511</v>
      </c>
      <c r="L1080" t="s">
        <v>2223</v>
      </c>
      <c r="M1080" t="str">
        <f t="shared" si="82"/>
        <v>04</v>
      </c>
      <c r="N1080" t="str">
        <f t="shared" si="83"/>
        <v>01</v>
      </c>
      <c r="O1080" t="str">
        <f t="shared" si="80"/>
        <v>2025</v>
      </c>
      <c r="P1080" t="str">
        <f t="shared" si="84"/>
        <v>04-01-2025</v>
      </c>
    </row>
    <row r="1081" spans="2:16" x14ac:dyDescent="0.3">
      <c r="B1081" s="70">
        <v>45661</v>
      </c>
      <c r="C1081" s="70">
        <f t="shared" si="81"/>
        <v>45658</v>
      </c>
      <c r="D1081" s="94">
        <v>70</v>
      </c>
      <c r="E1081" s="94">
        <v>0</v>
      </c>
      <c r="F1081" s="92" t="s">
        <v>3559</v>
      </c>
      <c r="G1081" s="75"/>
      <c r="H1081" s="92" t="s">
        <v>589</v>
      </c>
      <c r="I1081" s="92" t="s">
        <v>3892</v>
      </c>
      <c r="K1081" s="71" t="s">
        <v>511</v>
      </c>
      <c r="L1081" t="s">
        <v>2225</v>
      </c>
      <c r="M1081" t="str">
        <f t="shared" si="82"/>
        <v>04</v>
      </c>
      <c r="N1081" t="str">
        <f t="shared" si="83"/>
        <v>01</v>
      </c>
      <c r="O1081" t="str">
        <f t="shared" si="80"/>
        <v>2025</v>
      </c>
      <c r="P1081" t="str">
        <f t="shared" si="84"/>
        <v>04-01-2025</v>
      </c>
    </row>
    <row r="1082" spans="2:16" x14ac:dyDescent="0.3">
      <c r="B1082" s="70">
        <v>45661</v>
      </c>
      <c r="C1082" s="70">
        <f t="shared" si="81"/>
        <v>45658</v>
      </c>
      <c r="D1082" s="94">
        <v>400</v>
      </c>
      <c r="E1082" s="94">
        <v>0</v>
      </c>
      <c r="F1082" s="92" t="s">
        <v>3560</v>
      </c>
      <c r="G1082" s="75"/>
      <c r="H1082" s="92" t="s">
        <v>589</v>
      </c>
      <c r="I1082" s="92" t="s">
        <v>3892</v>
      </c>
      <c r="K1082" s="71" t="s">
        <v>511</v>
      </c>
      <c r="L1082" t="s">
        <v>2227</v>
      </c>
      <c r="M1082" t="str">
        <f t="shared" si="82"/>
        <v>04</v>
      </c>
      <c r="N1082" t="str">
        <f t="shared" si="83"/>
        <v>01</v>
      </c>
      <c r="O1082" t="str">
        <f t="shared" si="80"/>
        <v>2025</v>
      </c>
      <c r="P1082" t="str">
        <f t="shared" si="84"/>
        <v>04-01-2025</v>
      </c>
    </row>
    <row r="1083" spans="2:16" x14ac:dyDescent="0.3">
      <c r="B1083" s="70">
        <v>45661</v>
      </c>
      <c r="C1083" s="70">
        <f t="shared" si="81"/>
        <v>45658</v>
      </c>
      <c r="D1083" s="94">
        <v>210</v>
      </c>
      <c r="E1083" s="94">
        <v>0</v>
      </c>
      <c r="F1083" s="92" t="s">
        <v>3561</v>
      </c>
      <c r="G1083" s="75"/>
      <c r="H1083" s="92" t="s">
        <v>589</v>
      </c>
      <c r="I1083" s="92" t="s">
        <v>3892</v>
      </c>
      <c r="K1083" s="71" t="s">
        <v>511</v>
      </c>
      <c r="L1083" t="s">
        <v>2229</v>
      </c>
      <c r="M1083" t="str">
        <f t="shared" si="82"/>
        <v>04</v>
      </c>
      <c r="N1083" t="str">
        <f t="shared" si="83"/>
        <v>01</v>
      </c>
      <c r="O1083" t="str">
        <f t="shared" si="80"/>
        <v>2025</v>
      </c>
      <c r="P1083" t="str">
        <f t="shared" si="84"/>
        <v>04-01-2025</v>
      </c>
    </row>
    <row r="1084" spans="2:16" x14ac:dyDescent="0.3">
      <c r="B1084" s="70">
        <v>45661</v>
      </c>
      <c r="C1084" s="70">
        <f t="shared" si="81"/>
        <v>45658</v>
      </c>
      <c r="D1084" s="94">
        <v>20</v>
      </c>
      <c r="E1084" s="94">
        <v>0</v>
      </c>
      <c r="F1084" s="92" t="s">
        <v>3562</v>
      </c>
      <c r="G1084" s="75"/>
      <c r="H1084" s="92" t="s">
        <v>589</v>
      </c>
      <c r="I1084" s="92" t="s">
        <v>3892</v>
      </c>
      <c r="K1084" s="71" t="s">
        <v>511</v>
      </c>
      <c r="L1084" t="s">
        <v>2231</v>
      </c>
      <c r="M1084" t="str">
        <f t="shared" si="82"/>
        <v>04</v>
      </c>
      <c r="N1084" t="str">
        <f t="shared" si="83"/>
        <v>01</v>
      </c>
      <c r="O1084" t="str">
        <f t="shared" si="80"/>
        <v>2025</v>
      </c>
      <c r="P1084" t="str">
        <f t="shared" si="84"/>
        <v>04-01-2025</v>
      </c>
    </row>
    <row r="1085" spans="2:16" x14ac:dyDescent="0.3">
      <c r="B1085" s="70">
        <v>45661</v>
      </c>
      <c r="C1085" s="70">
        <f t="shared" si="81"/>
        <v>45658</v>
      </c>
      <c r="D1085" s="94">
        <v>12</v>
      </c>
      <c r="E1085" s="94">
        <v>0</v>
      </c>
      <c r="F1085" s="92" t="s">
        <v>3563</v>
      </c>
      <c r="G1085" s="75"/>
      <c r="H1085" s="92" t="s">
        <v>589</v>
      </c>
      <c r="I1085" s="92" t="s">
        <v>3892</v>
      </c>
      <c r="K1085" s="71" t="s">
        <v>511</v>
      </c>
      <c r="L1085" t="s">
        <v>2233</v>
      </c>
      <c r="M1085" t="str">
        <f t="shared" si="82"/>
        <v>04</v>
      </c>
      <c r="N1085" t="str">
        <f t="shared" si="83"/>
        <v>01</v>
      </c>
      <c r="O1085" t="str">
        <f t="shared" si="80"/>
        <v>2025</v>
      </c>
      <c r="P1085" t="str">
        <f t="shared" si="84"/>
        <v>04-01-2025</v>
      </c>
    </row>
    <row r="1086" spans="2:16" x14ac:dyDescent="0.3">
      <c r="B1086" s="70">
        <v>45662</v>
      </c>
      <c r="C1086" s="70">
        <f t="shared" si="81"/>
        <v>45658</v>
      </c>
      <c r="D1086" s="94">
        <v>75</v>
      </c>
      <c r="E1086" s="94">
        <v>0</v>
      </c>
      <c r="F1086" s="92" t="s">
        <v>3564</v>
      </c>
      <c r="G1086" s="75"/>
      <c r="H1086" s="92" t="s">
        <v>589</v>
      </c>
      <c r="I1086" s="92" t="s">
        <v>3892</v>
      </c>
      <c r="K1086" s="71" t="s">
        <v>511</v>
      </c>
      <c r="L1086" t="s">
        <v>2235</v>
      </c>
      <c r="M1086" t="str">
        <f t="shared" si="82"/>
        <v>05</v>
      </c>
      <c r="N1086" t="str">
        <f t="shared" si="83"/>
        <v>01</v>
      </c>
      <c r="O1086" t="str">
        <f t="shared" si="80"/>
        <v>2025</v>
      </c>
      <c r="P1086" t="str">
        <f t="shared" si="84"/>
        <v>05-01-2025</v>
      </c>
    </row>
    <row r="1087" spans="2:16" x14ac:dyDescent="0.3">
      <c r="B1087" s="70">
        <v>45662</v>
      </c>
      <c r="C1087" s="70">
        <f t="shared" si="81"/>
        <v>45658</v>
      </c>
      <c r="D1087" s="94">
        <v>0</v>
      </c>
      <c r="E1087" s="94">
        <v>7000</v>
      </c>
      <c r="F1087" s="92" t="s">
        <v>3565</v>
      </c>
      <c r="G1087" s="75"/>
      <c r="H1087" s="92" t="s">
        <v>589</v>
      </c>
      <c r="I1087" s="92" t="s">
        <v>3892</v>
      </c>
      <c r="K1087" s="71" t="s">
        <v>511</v>
      </c>
      <c r="L1087" t="s">
        <v>2237</v>
      </c>
      <c r="M1087" t="str">
        <f t="shared" si="82"/>
        <v>05</v>
      </c>
      <c r="N1087" t="str">
        <f t="shared" si="83"/>
        <v>01</v>
      </c>
      <c r="O1087" t="str">
        <f t="shared" si="80"/>
        <v>2025</v>
      </c>
      <c r="P1087" t="str">
        <f t="shared" si="84"/>
        <v>05-01-2025</v>
      </c>
    </row>
    <row r="1088" spans="2:16" x14ac:dyDescent="0.3">
      <c r="B1088" s="70">
        <v>45662</v>
      </c>
      <c r="C1088" s="70">
        <f t="shared" si="81"/>
        <v>45658</v>
      </c>
      <c r="D1088" s="94">
        <v>1900</v>
      </c>
      <c r="E1088" s="94">
        <v>0</v>
      </c>
      <c r="F1088" s="92" t="s">
        <v>3566</v>
      </c>
      <c r="G1088" s="75"/>
      <c r="H1088" s="92" t="s">
        <v>589</v>
      </c>
      <c r="I1088" s="92" t="s">
        <v>3892</v>
      </c>
      <c r="K1088" s="71" t="s">
        <v>511</v>
      </c>
      <c r="L1088" t="s">
        <v>2239</v>
      </c>
      <c r="M1088" t="str">
        <f t="shared" si="82"/>
        <v>05</v>
      </c>
      <c r="N1088" t="str">
        <f t="shared" si="83"/>
        <v>01</v>
      </c>
      <c r="O1088" t="str">
        <f t="shared" si="80"/>
        <v>2025</v>
      </c>
      <c r="P1088" t="str">
        <f t="shared" si="84"/>
        <v>05-01-2025</v>
      </c>
    </row>
    <row r="1089" spans="2:16" x14ac:dyDescent="0.3">
      <c r="B1089" s="70">
        <v>45662</v>
      </c>
      <c r="C1089" s="70">
        <f t="shared" si="81"/>
        <v>45658</v>
      </c>
      <c r="D1089" s="94">
        <v>0</v>
      </c>
      <c r="E1089" s="94">
        <v>1900</v>
      </c>
      <c r="F1089" s="92" t="s">
        <v>3567</v>
      </c>
      <c r="G1089" s="75"/>
      <c r="H1089" s="92" t="s">
        <v>589</v>
      </c>
      <c r="I1089" s="92" t="s">
        <v>3892</v>
      </c>
      <c r="K1089" s="71" t="s">
        <v>511</v>
      </c>
      <c r="L1089" t="s">
        <v>2241</v>
      </c>
      <c r="M1089" t="str">
        <f t="shared" si="82"/>
        <v>05</v>
      </c>
      <c r="N1089" t="str">
        <f t="shared" si="83"/>
        <v>01</v>
      </c>
      <c r="O1089" t="str">
        <f t="shared" si="80"/>
        <v>2025</v>
      </c>
      <c r="P1089" t="str">
        <f t="shared" si="84"/>
        <v>05-01-2025</v>
      </c>
    </row>
    <row r="1090" spans="2:16" x14ac:dyDescent="0.3">
      <c r="B1090" s="70">
        <v>45663</v>
      </c>
      <c r="C1090" s="70">
        <f t="shared" si="81"/>
        <v>45658</v>
      </c>
      <c r="D1090" s="94">
        <v>259.89</v>
      </c>
      <c r="E1090" s="94">
        <v>0</v>
      </c>
      <c r="F1090" s="92" t="s">
        <v>3568</v>
      </c>
      <c r="G1090" s="75"/>
      <c r="H1090" s="92" t="s">
        <v>3881</v>
      </c>
      <c r="I1090" s="92" t="s">
        <v>3889</v>
      </c>
      <c r="K1090" s="71" t="s">
        <v>217</v>
      </c>
      <c r="L1090" t="s">
        <v>30</v>
      </c>
      <c r="M1090" t="str">
        <f t="shared" si="82"/>
        <v>06</v>
      </c>
      <c r="N1090" t="str">
        <f t="shared" si="83"/>
        <v>01</v>
      </c>
      <c r="O1090" t="str">
        <f t="shared" si="80"/>
        <v>2025</v>
      </c>
      <c r="P1090" t="str">
        <f t="shared" si="84"/>
        <v>06-01-2025</v>
      </c>
    </row>
    <row r="1091" spans="2:16" x14ac:dyDescent="0.3">
      <c r="B1091" s="70">
        <v>45663</v>
      </c>
      <c r="C1091" s="70">
        <f t="shared" si="81"/>
        <v>45658</v>
      </c>
      <c r="D1091" s="94">
        <v>7402.78</v>
      </c>
      <c r="E1091" s="94">
        <v>0</v>
      </c>
      <c r="F1091" s="92" t="s">
        <v>3568</v>
      </c>
      <c r="G1091" s="75"/>
      <c r="H1091" s="92" t="s">
        <v>3881</v>
      </c>
      <c r="I1091" s="92" t="s">
        <v>3889</v>
      </c>
      <c r="K1091" s="71" t="s">
        <v>217</v>
      </c>
      <c r="L1091" t="s">
        <v>30</v>
      </c>
      <c r="M1091" t="str">
        <f t="shared" si="82"/>
        <v>06</v>
      </c>
      <c r="N1091" t="str">
        <f t="shared" si="83"/>
        <v>01</v>
      </c>
      <c r="O1091" t="str">
        <f t="shared" ref="O1091:O1154" si="85">TEXT(B1091,"YYYY")</f>
        <v>2025</v>
      </c>
      <c r="P1091" t="str">
        <f t="shared" si="84"/>
        <v>06-01-2025</v>
      </c>
    </row>
    <row r="1092" spans="2:16" x14ac:dyDescent="0.3">
      <c r="B1092" s="70">
        <v>45663</v>
      </c>
      <c r="C1092" s="70">
        <f t="shared" ref="C1092:C1155" si="86">EOMONTH(B1092,-1)+1</f>
        <v>45658</v>
      </c>
      <c r="D1092" s="94">
        <v>50</v>
      </c>
      <c r="E1092" s="94">
        <v>0</v>
      </c>
      <c r="F1092" s="92" t="s">
        <v>3569</v>
      </c>
      <c r="G1092" s="75"/>
      <c r="H1092" s="92" t="s">
        <v>589</v>
      </c>
      <c r="I1092" s="92" t="s">
        <v>3892</v>
      </c>
      <c r="K1092" s="71" t="s">
        <v>511</v>
      </c>
      <c r="L1092" t="s">
        <v>2243</v>
      </c>
      <c r="M1092" t="str">
        <f t="shared" ref="M1092:M1155" si="87">TEXT(B1092,"DD")</f>
        <v>06</v>
      </c>
      <c r="N1092" t="str">
        <f t="shared" ref="N1092:N1155" si="88">TEXT(B1092,"MM")</f>
        <v>01</v>
      </c>
      <c r="O1092" t="str">
        <f t="shared" si="85"/>
        <v>2025</v>
      </c>
      <c r="P1092" t="str">
        <f t="shared" ref="P1092:P1155" si="89">M1092&amp;"-"&amp;N1092&amp;"-"&amp;O1092</f>
        <v>06-01-2025</v>
      </c>
    </row>
    <row r="1093" spans="2:16" x14ac:dyDescent="0.3">
      <c r="B1093" s="70">
        <v>45663</v>
      </c>
      <c r="C1093" s="70">
        <f t="shared" si="86"/>
        <v>45658</v>
      </c>
      <c r="D1093" s="94">
        <v>104</v>
      </c>
      <c r="E1093" s="94">
        <v>0</v>
      </c>
      <c r="F1093" s="92" t="s">
        <v>3570</v>
      </c>
      <c r="G1093" s="75"/>
      <c r="H1093" s="92" t="s">
        <v>589</v>
      </c>
      <c r="I1093" s="92" t="s">
        <v>3892</v>
      </c>
      <c r="K1093" s="71" t="s">
        <v>511</v>
      </c>
      <c r="L1093" t="s">
        <v>2245</v>
      </c>
      <c r="M1093" t="str">
        <f t="shared" si="87"/>
        <v>06</v>
      </c>
      <c r="N1093" t="str">
        <f t="shared" si="88"/>
        <v>01</v>
      </c>
      <c r="O1093" t="str">
        <f t="shared" si="85"/>
        <v>2025</v>
      </c>
      <c r="P1093" t="str">
        <f t="shared" si="89"/>
        <v>06-01-2025</v>
      </c>
    </row>
    <row r="1094" spans="2:16" x14ac:dyDescent="0.3">
      <c r="B1094" s="70">
        <v>45663</v>
      </c>
      <c r="C1094" s="70">
        <f t="shared" si="86"/>
        <v>45658</v>
      </c>
      <c r="D1094" s="94">
        <v>50</v>
      </c>
      <c r="E1094" s="94">
        <v>0</v>
      </c>
      <c r="F1094" s="92" t="s">
        <v>3571</v>
      </c>
      <c r="G1094" s="75"/>
      <c r="H1094" s="92" t="s">
        <v>589</v>
      </c>
      <c r="I1094" s="92" t="s">
        <v>3892</v>
      </c>
      <c r="K1094" s="71" t="s">
        <v>511</v>
      </c>
      <c r="L1094" t="s">
        <v>2247</v>
      </c>
      <c r="M1094" t="str">
        <f t="shared" si="87"/>
        <v>06</v>
      </c>
      <c r="N1094" t="str">
        <f t="shared" si="88"/>
        <v>01</v>
      </c>
      <c r="O1094" t="str">
        <f t="shared" si="85"/>
        <v>2025</v>
      </c>
      <c r="P1094" t="str">
        <f t="shared" si="89"/>
        <v>06-01-2025</v>
      </c>
    </row>
    <row r="1095" spans="2:16" x14ac:dyDescent="0.3">
      <c r="B1095" s="70">
        <v>45663</v>
      </c>
      <c r="C1095" s="70">
        <f t="shared" si="86"/>
        <v>45658</v>
      </c>
      <c r="D1095" s="94">
        <v>80</v>
      </c>
      <c r="E1095" s="94">
        <v>0</v>
      </c>
      <c r="F1095" s="92" t="s">
        <v>3572</v>
      </c>
      <c r="G1095" s="75"/>
      <c r="H1095" s="92" t="s">
        <v>589</v>
      </c>
      <c r="I1095" s="92" t="s">
        <v>3892</v>
      </c>
      <c r="K1095" s="71" t="s">
        <v>511</v>
      </c>
      <c r="L1095" t="s">
        <v>2249</v>
      </c>
      <c r="M1095" t="str">
        <f t="shared" si="87"/>
        <v>06</v>
      </c>
      <c r="N1095" t="str">
        <f t="shared" si="88"/>
        <v>01</v>
      </c>
      <c r="O1095" t="str">
        <f t="shared" si="85"/>
        <v>2025</v>
      </c>
      <c r="P1095" t="str">
        <f t="shared" si="89"/>
        <v>06-01-2025</v>
      </c>
    </row>
    <row r="1096" spans="2:16" x14ac:dyDescent="0.3">
      <c r="B1096" s="70">
        <v>45664</v>
      </c>
      <c r="C1096" s="70">
        <f t="shared" si="86"/>
        <v>45658</v>
      </c>
      <c r="D1096" s="94">
        <v>84</v>
      </c>
      <c r="E1096" s="94">
        <v>0</v>
      </c>
      <c r="F1096" s="92" t="s">
        <v>3573</v>
      </c>
      <c r="G1096" s="75"/>
      <c r="H1096" s="92" t="s">
        <v>3881</v>
      </c>
      <c r="I1096" s="92" t="s">
        <v>3889</v>
      </c>
      <c r="K1096" s="71" t="s">
        <v>217</v>
      </c>
      <c r="L1096" t="s">
        <v>30</v>
      </c>
      <c r="M1096" t="str">
        <f t="shared" si="87"/>
        <v>07</v>
      </c>
      <c r="N1096" t="str">
        <f t="shared" si="88"/>
        <v>01</v>
      </c>
      <c r="O1096" t="str">
        <f t="shared" si="85"/>
        <v>2025</v>
      </c>
      <c r="P1096" t="str">
        <f t="shared" si="89"/>
        <v>07-01-2025</v>
      </c>
    </row>
    <row r="1097" spans="2:16" x14ac:dyDescent="0.3">
      <c r="B1097" s="70">
        <v>45664</v>
      </c>
      <c r="C1097" s="70">
        <f t="shared" si="86"/>
        <v>45658</v>
      </c>
      <c r="D1097" s="94">
        <v>0</v>
      </c>
      <c r="E1097" s="94">
        <v>1880</v>
      </c>
      <c r="F1097" s="92" t="s">
        <v>3574</v>
      </c>
      <c r="G1097" s="92" t="s">
        <v>222</v>
      </c>
      <c r="H1097" s="92" t="s">
        <v>3876</v>
      </c>
      <c r="I1097" s="92" t="s">
        <v>3889</v>
      </c>
      <c r="K1097" s="71" t="s">
        <v>222</v>
      </c>
      <c r="L1097" t="s">
        <v>1215</v>
      </c>
      <c r="M1097" t="str">
        <f t="shared" si="87"/>
        <v>07</v>
      </c>
      <c r="N1097" t="str">
        <f t="shared" si="88"/>
        <v>01</v>
      </c>
      <c r="O1097" t="str">
        <f t="shared" si="85"/>
        <v>2025</v>
      </c>
      <c r="P1097" t="str">
        <f t="shared" si="89"/>
        <v>07-01-2025</v>
      </c>
    </row>
    <row r="1098" spans="2:16" x14ac:dyDescent="0.3">
      <c r="B1098" s="70">
        <v>45664</v>
      </c>
      <c r="C1098" s="70">
        <f t="shared" si="86"/>
        <v>45658</v>
      </c>
      <c r="D1098" s="94">
        <v>50</v>
      </c>
      <c r="E1098" s="94">
        <v>0</v>
      </c>
      <c r="F1098" s="92" t="s">
        <v>3575</v>
      </c>
      <c r="G1098" s="75"/>
      <c r="H1098" s="92" t="s">
        <v>589</v>
      </c>
      <c r="I1098" s="92" t="s">
        <v>3892</v>
      </c>
      <c r="K1098" s="71" t="s">
        <v>511</v>
      </c>
      <c r="L1098" t="s">
        <v>2251</v>
      </c>
      <c r="M1098" t="str">
        <f t="shared" si="87"/>
        <v>07</v>
      </c>
      <c r="N1098" t="str">
        <f t="shared" si="88"/>
        <v>01</v>
      </c>
      <c r="O1098" t="str">
        <f t="shared" si="85"/>
        <v>2025</v>
      </c>
      <c r="P1098" t="str">
        <f t="shared" si="89"/>
        <v>07-01-2025</v>
      </c>
    </row>
    <row r="1099" spans="2:16" x14ac:dyDescent="0.3">
      <c r="B1099" s="70">
        <v>45664</v>
      </c>
      <c r="C1099" s="70">
        <f t="shared" si="86"/>
        <v>45658</v>
      </c>
      <c r="D1099" s="94">
        <v>114</v>
      </c>
      <c r="E1099" s="94">
        <v>0</v>
      </c>
      <c r="F1099" s="92" t="s">
        <v>3576</v>
      </c>
      <c r="G1099" s="75"/>
      <c r="H1099" s="92" t="s">
        <v>589</v>
      </c>
      <c r="I1099" s="92" t="s">
        <v>3892</v>
      </c>
      <c r="K1099" s="71" t="s">
        <v>511</v>
      </c>
      <c r="L1099" t="s">
        <v>2253</v>
      </c>
      <c r="M1099" t="str">
        <f t="shared" si="87"/>
        <v>07</v>
      </c>
      <c r="N1099" t="str">
        <f t="shared" si="88"/>
        <v>01</v>
      </c>
      <c r="O1099" t="str">
        <f t="shared" si="85"/>
        <v>2025</v>
      </c>
      <c r="P1099" t="str">
        <f t="shared" si="89"/>
        <v>07-01-2025</v>
      </c>
    </row>
    <row r="1100" spans="2:16" x14ac:dyDescent="0.3">
      <c r="B1100" s="70">
        <v>45665</v>
      </c>
      <c r="C1100" s="70">
        <f t="shared" si="86"/>
        <v>45658</v>
      </c>
      <c r="D1100" s="94">
        <v>0</v>
      </c>
      <c r="E1100" s="94">
        <v>1633.99</v>
      </c>
      <c r="F1100" s="92" t="s">
        <v>3577</v>
      </c>
      <c r="G1100" s="75"/>
      <c r="H1100" s="92" t="s">
        <v>3881</v>
      </c>
      <c r="I1100" s="92" t="s">
        <v>3889</v>
      </c>
      <c r="K1100" s="71" t="s">
        <v>2523</v>
      </c>
      <c r="L1100" t="s">
        <v>1217</v>
      </c>
      <c r="M1100" t="str">
        <f t="shared" si="87"/>
        <v>08</v>
      </c>
      <c r="N1100" t="str">
        <f t="shared" si="88"/>
        <v>01</v>
      </c>
      <c r="O1100" t="str">
        <f t="shared" si="85"/>
        <v>2025</v>
      </c>
      <c r="P1100" t="str">
        <f t="shared" si="89"/>
        <v>08-01-2025</v>
      </c>
    </row>
    <row r="1101" spans="2:16" x14ac:dyDescent="0.3">
      <c r="B1101" s="70">
        <v>45665</v>
      </c>
      <c r="C1101" s="70">
        <f t="shared" si="86"/>
        <v>45658</v>
      </c>
      <c r="D1101" s="94">
        <v>0</v>
      </c>
      <c r="E1101" s="94">
        <v>51991.49</v>
      </c>
      <c r="F1101" s="92" t="s">
        <v>3578</v>
      </c>
      <c r="G1101" s="75"/>
      <c r="H1101" s="92" t="s">
        <v>3883</v>
      </c>
      <c r="I1101" s="92" t="s">
        <v>3889</v>
      </c>
      <c r="K1101" s="71" t="s">
        <v>2539</v>
      </c>
      <c r="L1101" t="s">
        <v>1219</v>
      </c>
      <c r="M1101" t="str">
        <f t="shared" si="87"/>
        <v>08</v>
      </c>
      <c r="N1101" t="str">
        <f t="shared" si="88"/>
        <v>01</v>
      </c>
      <c r="O1101" t="str">
        <f t="shared" si="85"/>
        <v>2025</v>
      </c>
      <c r="P1101" t="str">
        <f t="shared" si="89"/>
        <v>08-01-2025</v>
      </c>
    </row>
    <row r="1102" spans="2:16" x14ac:dyDescent="0.3">
      <c r="B1102" s="70">
        <v>45665</v>
      </c>
      <c r="C1102" s="70">
        <f t="shared" si="86"/>
        <v>45658</v>
      </c>
      <c r="D1102" s="94">
        <v>84</v>
      </c>
      <c r="E1102" s="94">
        <v>0</v>
      </c>
      <c r="F1102" s="92" t="s">
        <v>3579</v>
      </c>
      <c r="G1102" s="75"/>
      <c r="H1102" s="92" t="s">
        <v>3881</v>
      </c>
      <c r="I1102" s="92" t="s">
        <v>3889</v>
      </c>
      <c r="K1102" s="71" t="s">
        <v>217</v>
      </c>
      <c r="L1102" t="s">
        <v>30</v>
      </c>
      <c r="M1102" t="str">
        <f t="shared" si="87"/>
        <v>08</v>
      </c>
      <c r="N1102" t="str">
        <f t="shared" si="88"/>
        <v>01</v>
      </c>
      <c r="O1102" t="str">
        <f t="shared" si="85"/>
        <v>2025</v>
      </c>
      <c r="P1102" t="str">
        <f t="shared" si="89"/>
        <v>08-01-2025</v>
      </c>
    </row>
    <row r="1103" spans="2:16" x14ac:dyDescent="0.3">
      <c r="B1103" s="70">
        <v>45665</v>
      </c>
      <c r="C1103" s="70">
        <f t="shared" si="86"/>
        <v>45658</v>
      </c>
      <c r="D1103" s="94">
        <v>160.37</v>
      </c>
      <c r="E1103" s="94">
        <v>0</v>
      </c>
      <c r="F1103" s="92" t="s">
        <v>3579</v>
      </c>
      <c r="G1103" s="75"/>
      <c r="H1103" s="92" t="s">
        <v>3881</v>
      </c>
      <c r="I1103" s="92" t="s">
        <v>3889</v>
      </c>
      <c r="K1103" s="71" t="s">
        <v>217</v>
      </c>
      <c r="L1103" t="s">
        <v>30</v>
      </c>
      <c r="M1103" t="str">
        <f t="shared" si="87"/>
        <v>08</v>
      </c>
      <c r="N1103" t="str">
        <f t="shared" si="88"/>
        <v>01</v>
      </c>
      <c r="O1103" t="str">
        <f t="shared" si="85"/>
        <v>2025</v>
      </c>
      <c r="P1103" t="str">
        <f t="shared" si="89"/>
        <v>08-01-2025</v>
      </c>
    </row>
    <row r="1104" spans="2:16" x14ac:dyDescent="0.3">
      <c r="B1104" s="70">
        <v>45665</v>
      </c>
      <c r="C1104" s="70">
        <f t="shared" si="86"/>
        <v>45658</v>
      </c>
      <c r="D1104" s="94">
        <v>50</v>
      </c>
      <c r="E1104" s="94">
        <v>0</v>
      </c>
      <c r="F1104" s="92" t="s">
        <v>3580</v>
      </c>
      <c r="G1104" s="75"/>
      <c r="H1104" s="92" t="s">
        <v>589</v>
      </c>
      <c r="I1104" s="92" t="s">
        <v>3892</v>
      </c>
      <c r="K1104" s="71" t="s">
        <v>511</v>
      </c>
      <c r="L1104" t="s">
        <v>2255</v>
      </c>
      <c r="M1104" t="str">
        <f t="shared" si="87"/>
        <v>08</v>
      </c>
      <c r="N1104" t="str">
        <f t="shared" si="88"/>
        <v>01</v>
      </c>
      <c r="O1104" t="str">
        <f t="shared" si="85"/>
        <v>2025</v>
      </c>
      <c r="P1104" t="str">
        <f t="shared" si="89"/>
        <v>08-01-2025</v>
      </c>
    </row>
    <row r="1105" spans="2:16" x14ac:dyDescent="0.3">
      <c r="B1105" s="70">
        <v>45665</v>
      </c>
      <c r="C1105" s="70">
        <f t="shared" si="86"/>
        <v>45658</v>
      </c>
      <c r="D1105" s="94">
        <v>0</v>
      </c>
      <c r="E1105" s="94">
        <v>30309.34</v>
      </c>
      <c r="F1105" s="92" t="s">
        <v>3581</v>
      </c>
      <c r="G1105" s="75"/>
      <c r="H1105" s="92" t="s">
        <v>3883</v>
      </c>
      <c r="I1105" s="92" t="s">
        <v>3892</v>
      </c>
      <c r="K1105" s="71" t="s">
        <v>2539</v>
      </c>
      <c r="L1105" t="s">
        <v>2257</v>
      </c>
      <c r="M1105" t="str">
        <f t="shared" si="87"/>
        <v>08</v>
      </c>
      <c r="N1105" t="str">
        <f t="shared" si="88"/>
        <v>01</v>
      </c>
      <c r="O1105" t="str">
        <f t="shared" si="85"/>
        <v>2025</v>
      </c>
      <c r="P1105" t="str">
        <f t="shared" si="89"/>
        <v>08-01-2025</v>
      </c>
    </row>
    <row r="1106" spans="2:16" x14ac:dyDescent="0.3">
      <c r="B1106" s="70">
        <v>45665</v>
      </c>
      <c r="C1106" s="70">
        <f t="shared" si="86"/>
        <v>45658</v>
      </c>
      <c r="D1106" s="94">
        <v>50</v>
      </c>
      <c r="E1106" s="94">
        <v>0</v>
      </c>
      <c r="F1106" s="92" t="s">
        <v>3582</v>
      </c>
      <c r="G1106" s="75"/>
      <c r="H1106" s="92" t="s">
        <v>589</v>
      </c>
      <c r="I1106" s="92" t="s">
        <v>3892</v>
      </c>
      <c r="K1106" s="71" t="s">
        <v>511</v>
      </c>
      <c r="L1106" t="s">
        <v>2259</v>
      </c>
      <c r="M1106" t="str">
        <f t="shared" si="87"/>
        <v>08</v>
      </c>
      <c r="N1106" t="str">
        <f t="shared" si="88"/>
        <v>01</v>
      </c>
      <c r="O1106" t="str">
        <f t="shared" si="85"/>
        <v>2025</v>
      </c>
      <c r="P1106" t="str">
        <f t="shared" si="89"/>
        <v>08-01-2025</v>
      </c>
    </row>
    <row r="1107" spans="2:16" x14ac:dyDescent="0.3">
      <c r="B1107" s="70">
        <v>45665</v>
      </c>
      <c r="C1107" s="70">
        <f t="shared" si="86"/>
        <v>45658</v>
      </c>
      <c r="D1107" s="94">
        <v>100</v>
      </c>
      <c r="E1107" s="94">
        <v>0</v>
      </c>
      <c r="F1107" s="92" t="s">
        <v>3583</v>
      </c>
      <c r="G1107" s="75"/>
      <c r="H1107" s="92" t="s">
        <v>589</v>
      </c>
      <c r="I1107" s="92" t="s">
        <v>3892</v>
      </c>
      <c r="K1107" s="71" t="s">
        <v>511</v>
      </c>
      <c r="L1107" t="s">
        <v>2261</v>
      </c>
      <c r="M1107" t="str">
        <f t="shared" si="87"/>
        <v>08</v>
      </c>
      <c r="N1107" t="str">
        <f t="shared" si="88"/>
        <v>01</v>
      </c>
      <c r="O1107" t="str">
        <f t="shared" si="85"/>
        <v>2025</v>
      </c>
      <c r="P1107" t="str">
        <f t="shared" si="89"/>
        <v>08-01-2025</v>
      </c>
    </row>
    <row r="1108" spans="2:16" x14ac:dyDescent="0.3">
      <c r="B1108" s="70">
        <v>45665</v>
      </c>
      <c r="C1108" s="70">
        <f t="shared" si="86"/>
        <v>45658</v>
      </c>
      <c r="D1108" s="94">
        <v>126</v>
      </c>
      <c r="E1108" s="94">
        <v>0</v>
      </c>
      <c r="F1108" s="92" t="s">
        <v>3584</v>
      </c>
      <c r="G1108" s="75"/>
      <c r="H1108" s="92" t="s">
        <v>589</v>
      </c>
      <c r="I1108" s="92" t="s">
        <v>3892</v>
      </c>
      <c r="K1108" s="71" t="s">
        <v>511</v>
      </c>
      <c r="L1108" t="s">
        <v>2263</v>
      </c>
      <c r="M1108" t="str">
        <f t="shared" si="87"/>
        <v>08</v>
      </c>
      <c r="N1108" t="str">
        <f t="shared" si="88"/>
        <v>01</v>
      </c>
      <c r="O1108" t="str">
        <f t="shared" si="85"/>
        <v>2025</v>
      </c>
      <c r="P1108" t="str">
        <f t="shared" si="89"/>
        <v>08-01-2025</v>
      </c>
    </row>
    <row r="1109" spans="2:16" x14ac:dyDescent="0.3">
      <c r="B1109" s="70">
        <v>45666</v>
      </c>
      <c r="C1109" s="70">
        <f t="shared" si="86"/>
        <v>45658</v>
      </c>
      <c r="D1109" s="94">
        <v>84.52</v>
      </c>
      <c r="E1109" s="94">
        <v>0</v>
      </c>
      <c r="F1109" s="92" t="s">
        <v>3585</v>
      </c>
      <c r="G1109" s="75"/>
      <c r="H1109" s="92" t="s">
        <v>3881</v>
      </c>
      <c r="I1109" s="92" t="s">
        <v>3889</v>
      </c>
      <c r="K1109" s="71" t="s">
        <v>217</v>
      </c>
      <c r="L1109" t="s">
        <v>30</v>
      </c>
      <c r="M1109" t="str">
        <f t="shared" si="87"/>
        <v>09</v>
      </c>
      <c r="N1109" t="str">
        <f t="shared" si="88"/>
        <v>01</v>
      </c>
      <c r="O1109" t="str">
        <f t="shared" si="85"/>
        <v>2025</v>
      </c>
      <c r="P1109" t="str">
        <f t="shared" si="89"/>
        <v>09-01-2025</v>
      </c>
    </row>
    <row r="1110" spans="2:16" x14ac:dyDescent="0.3">
      <c r="B1110" s="70">
        <v>45666</v>
      </c>
      <c r="C1110" s="70">
        <f t="shared" si="86"/>
        <v>45658</v>
      </c>
      <c r="D1110" s="94">
        <v>1427.42</v>
      </c>
      <c r="E1110" s="94">
        <v>0</v>
      </c>
      <c r="F1110" s="92" t="s">
        <v>3585</v>
      </c>
      <c r="G1110" s="75"/>
      <c r="H1110" s="92" t="s">
        <v>3881</v>
      </c>
      <c r="I1110" s="92" t="s">
        <v>3889</v>
      </c>
      <c r="K1110" s="71" t="s">
        <v>217</v>
      </c>
      <c r="L1110" t="s">
        <v>30</v>
      </c>
      <c r="M1110" t="str">
        <f t="shared" si="87"/>
        <v>09</v>
      </c>
      <c r="N1110" t="str">
        <f t="shared" si="88"/>
        <v>01</v>
      </c>
      <c r="O1110" t="str">
        <f t="shared" si="85"/>
        <v>2025</v>
      </c>
      <c r="P1110" t="str">
        <f t="shared" si="89"/>
        <v>09-01-2025</v>
      </c>
    </row>
    <row r="1111" spans="2:16" x14ac:dyDescent="0.3">
      <c r="B1111" s="70">
        <v>45666</v>
      </c>
      <c r="C1111" s="70">
        <f t="shared" si="86"/>
        <v>45658</v>
      </c>
      <c r="D1111" s="94">
        <v>200</v>
      </c>
      <c r="E1111" s="94">
        <v>0</v>
      </c>
      <c r="F1111" s="92" t="s">
        <v>3586</v>
      </c>
      <c r="G1111" s="75"/>
      <c r="H1111" s="92" t="s">
        <v>589</v>
      </c>
      <c r="I1111" s="92" t="s">
        <v>3892</v>
      </c>
      <c r="K1111" s="71" t="s">
        <v>511</v>
      </c>
      <c r="L1111" t="s">
        <v>2265</v>
      </c>
      <c r="M1111" t="str">
        <f t="shared" si="87"/>
        <v>09</v>
      </c>
      <c r="N1111" t="str">
        <f t="shared" si="88"/>
        <v>01</v>
      </c>
      <c r="O1111" t="str">
        <f t="shared" si="85"/>
        <v>2025</v>
      </c>
      <c r="P1111" t="str">
        <f t="shared" si="89"/>
        <v>09-01-2025</v>
      </c>
    </row>
    <row r="1112" spans="2:16" x14ac:dyDescent="0.3">
      <c r="B1112" s="70">
        <v>45666</v>
      </c>
      <c r="C1112" s="70">
        <f t="shared" si="86"/>
        <v>45658</v>
      </c>
      <c r="D1112" s="94">
        <v>104</v>
      </c>
      <c r="E1112" s="94">
        <v>0</v>
      </c>
      <c r="F1112" s="92" t="s">
        <v>3587</v>
      </c>
      <c r="G1112" s="75"/>
      <c r="H1112" s="92" t="s">
        <v>589</v>
      </c>
      <c r="I1112" s="92" t="s">
        <v>3892</v>
      </c>
      <c r="K1112" s="71" t="s">
        <v>511</v>
      </c>
      <c r="L1112" t="s">
        <v>2267</v>
      </c>
      <c r="M1112" t="str">
        <f t="shared" si="87"/>
        <v>09</v>
      </c>
      <c r="N1112" t="str">
        <f t="shared" si="88"/>
        <v>01</v>
      </c>
      <c r="O1112" t="str">
        <f t="shared" si="85"/>
        <v>2025</v>
      </c>
      <c r="P1112" t="str">
        <f t="shared" si="89"/>
        <v>09-01-2025</v>
      </c>
    </row>
    <row r="1113" spans="2:16" x14ac:dyDescent="0.3">
      <c r="B1113" s="70">
        <v>45666</v>
      </c>
      <c r="C1113" s="70">
        <f t="shared" si="86"/>
        <v>45658</v>
      </c>
      <c r="D1113" s="94">
        <v>45</v>
      </c>
      <c r="E1113" s="94">
        <v>0</v>
      </c>
      <c r="F1113" s="92" t="s">
        <v>3588</v>
      </c>
      <c r="G1113" s="75"/>
      <c r="H1113" s="92" t="s">
        <v>589</v>
      </c>
      <c r="I1113" s="92" t="s">
        <v>3892</v>
      </c>
      <c r="K1113" s="71" t="s">
        <v>511</v>
      </c>
      <c r="L1113" t="s">
        <v>2269</v>
      </c>
      <c r="M1113" t="str">
        <f t="shared" si="87"/>
        <v>09</v>
      </c>
      <c r="N1113" t="str">
        <f t="shared" si="88"/>
        <v>01</v>
      </c>
      <c r="O1113" t="str">
        <f t="shared" si="85"/>
        <v>2025</v>
      </c>
      <c r="P1113" t="str">
        <f t="shared" si="89"/>
        <v>09-01-2025</v>
      </c>
    </row>
    <row r="1114" spans="2:16" x14ac:dyDescent="0.3">
      <c r="B1114" s="70">
        <v>45666</v>
      </c>
      <c r="C1114" s="70">
        <f t="shared" si="86"/>
        <v>45658</v>
      </c>
      <c r="D1114" s="94">
        <v>2</v>
      </c>
      <c r="E1114" s="94">
        <v>0</v>
      </c>
      <c r="F1114" s="92" t="s">
        <v>3589</v>
      </c>
      <c r="G1114" s="75"/>
      <c r="H1114" s="92" t="s">
        <v>589</v>
      </c>
      <c r="I1114" s="92" t="s">
        <v>3892</v>
      </c>
      <c r="K1114" s="71" t="s">
        <v>589</v>
      </c>
      <c r="L1114" t="s">
        <v>2271</v>
      </c>
      <c r="M1114" t="str">
        <f t="shared" si="87"/>
        <v>09</v>
      </c>
      <c r="N1114" t="str">
        <f t="shared" si="88"/>
        <v>01</v>
      </c>
      <c r="O1114" t="str">
        <f t="shared" si="85"/>
        <v>2025</v>
      </c>
      <c r="P1114" t="str">
        <f t="shared" si="89"/>
        <v>09-01-2025</v>
      </c>
    </row>
    <row r="1115" spans="2:16" x14ac:dyDescent="0.3">
      <c r="B1115" s="70">
        <v>45666</v>
      </c>
      <c r="C1115" s="70">
        <f t="shared" si="86"/>
        <v>45658</v>
      </c>
      <c r="D1115" s="94">
        <v>393</v>
      </c>
      <c r="E1115" s="94">
        <v>0</v>
      </c>
      <c r="F1115" s="92" t="s">
        <v>3590</v>
      </c>
      <c r="G1115" s="75"/>
      <c r="H1115" s="92" t="s">
        <v>589</v>
      </c>
      <c r="I1115" s="92" t="s">
        <v>3892</v>
      </c>
      <c r="K1115" s="71" t="s">
        <v>511</v>
      </c>
      <c r="L1115" t="s">
        <v>2272</v>
      </c>
      <c r="M1115" t="str">
        <f t="shared" si="87"/>
        <v>09</v>
      </c>
      <c r="N1115" t="str">
        <f t="shared" si="88"/>
        <v>01</v>
      </c>
      <c r="O1115" t="str">
        <f t="shared" si="85"/>
        <v>2025</v>
      </c>
      <c r="P1115" t="str">
        <f t="shared" si="89"/>
        <v>09-01-2025</v>
      </c>
    </row>
    <row r="1116" spans="2:16" x14ac:dyDescent="0.3">
      <c r="B1116" s="70">
        <v>45667</v>
      </c>
      <c r="C1116" s="70">
        <f t="shared" si="86"/>
        <v>45658</v>
      </c>
      <c r="D1116" s="94">
        <v>84.01</v>
      </c>
      <c r="E1116" s="94">
        <v>0</v>
      </c>
      <c r="F1116" s="92" t="s">
        <v>3591</v>
      </c>
      <c r="G1116" s="75"/>
      <c r="H1116" s="92" t="s">
        <v>3881</v>
      </c>
      <c r="I1116" s="92" t="s">
        <v>3889</v>
      </c>
      <c r="K1116" s="71" t="s">
        <v>217</v>
      </c>
      <c r="L1116" t="s">
        <v>30</v>
      </c>
      <c r="M1116" t="str">
        <f t="shared" si="87"/>
        <v>10</v>
      </c>
      <c r="N1116" t="str">
        <f t="shared" si="88"/>
        <v>01</v>
      </c>
      <c r="O1116" t="str">
        <f t="shared" si="85"/>
        <v>2025</v>
      </c>
      <c r="P1116" t="str">
        <f t="shared" si="89"/>
        <v>10-01-2025</v>
      </c>
    </row>
    <row r="1117" spans="2:16" x14ac:dyDescent="0.3">
      <c r="B1117" s="70">
        <v>45667</v>
      </c>
      <c r="C1117" s="70">
        <f t="shared" si="86"/>
        <v>45658</v>
      </c>
      <c r="D1117" s="94">
        <v>4522.53</v>
      </c>
      <c r="E1117" s="94">
        <v>0</v>
      </c>
      <c r="F1117" s="92" t="s">
        <v>3591</v>
      </c>
      <c r="G1117" s="75"/>
      <c r="H1117" s="92" t="s">
        <v>3881</v>
      </c>
      <c r="I1117" s="92" t="s">
        <v>3889</v>
      </c>
      <c r="K1117" s="71" t="s">
        <v>217</v>
      </c>
      <c r="L1117" t="s">
        <v>30</v>
      </c>
      <c r="M1117" t="str">
        <f t="shared" si="87"/>
        <v>10</v>
      </c>
      <c r="N1117" t="str">
        <f t="shared" si="88"/>
        <v>01</v>
      </c>
      <c r="O1117" t="str">
        <f t="shared" si="85"/>
        <v>2025</v>
      </c>
      <c r="P1117" t="str">
        <f t="shared" si="89"/>
        <v>10-01-2025</v>
      </c>
    </row>
    <row r="1118" spans="2:16" x14ac:dyDescent="0.3">
      <c r="B1118" s="70">
        <v>45667</v>
      </c>
      <c r="C1118" s="70">
        <f t="shared" si="86"/>
        <v>45658</v>
      </c>
      <c r="D1118" s="94">
        <v>1</v>
      </c>
      <c r="E1118" s="94">
        <v>0</v>
      </c>
      <c r="F1118" s="92" t="s">
        <v>3592</v>
      </c>
      <c r="G1118" s="75"/>
      <c r="H1118" s="92" t="s">
        <v>589</v>
      </c>
      <c r="I1118" s="92" t="s">
        <v>3892</v>
      </c>
      <c r="K1118" s="71" t="s">
        <v>511</v>
      </c>
      <c r="L1118" t="s">
        <v>2274</v>
      </c>
      <c r="M1118" t="str">
        <f t="shared" si="87"/>
        <v>10</v>
      </c>
      <c r="N1118" t="str">
        <f t="shared" si="88"/>
        <v>01</v>
      </c>
      <c r="O1118" t="str">
        <f t="shared" si="85"/>
        <v>2025</v>
      </c>
      <c r="P1118" t="str">
        <f t="shared" si="89"/>
        <v>10-01-2025</v>
      </c>
    </row>
    <row r="1119" spans="2:16" x14ac:dyDescent="0.3">
      <c r="B1119" s="70">
        <v>45667</v>
      </c>
      <c r="C1119" s="70">
        <f t="shared" si="86"/>
        <v>45658</v>
      </c>
      <c r="D1119" s="94">
        <v>0</v>
      </c>
      <c r="E1119" s="94">
        <v>501</v>
      </c>
      <c r="F1119" s="92" t="s">
        <v>3593</v>
      </c>
      <c r="G1119" s="75"/>
      <c r="H1119" s="92" t="s">
        <v>3883</v>
      </c>
      <c r="I1119" s="92" t="s">
        <v>3892</v>
      </c>
      <c r="K1119" s="71" t="s">
        <v>2539</v>
      </c>
      <c r="L1119" t="s">
        <v>2276</v>
      </c>
      <c r="M1119" t="str">
        <f t="shared" si="87"/>
        <v>10</v>
      </c>
      <c r="N1119" t="str">
        <f t="shared" si="88"/>
        <v>01</v>
      </c>
      <c r="O1119" t="str">
        <f t="shared" si="85"/>
        <v>2025</v>
      </c>
      <c r="P1119" t="str">
        <f t="shared" si="89"/>
        <v>10-01-2025</v>
      </c>
    </row>
    <row r="1120" spans="2:16" x14ac:dyDescent="0.3">
      <c r="B1120" s="70">
        <v>45667</v>
      </c>
      <c r="C1120" s="70">
        <f t="shared" si="86"/>
        <v>45658</v>
      </c>
      <c r="D1120" s="94">
        <v>0</v>
      </c>
      <c r="E1120" s="94">
        <v>1</v>
      </c>
      <c r="F1120" s="92" t="s">
        <v>3594</v>
      </c>
      <c r="G1120" s="75"/>
      <c r="H1120" s="92" t="s">
        <v>589</v>
      </c>
      <c r="I1120" s="92" t="s">
        <v>3892</v>
      </c>
      <c r="K1120" s="71" t="s">
        <v>511</v>
      </c>
      <c r="L1120" t="s">
        <v>2278</v>
      </c>
      <c r="M1120" t="str">
        <f t="shared" si="87"/>
        <v>10</v>
      </c>
      <c r="N1120" t="str">
        <f t="shared" si="88"/>
        <v>01</v>
      </c>
      <c r="O1120" t="str">
        <f t="shared" si="85"/>
        <v>2025</v>
      </c>
      <c r="P1120" t="str">
        <f t="shared" si="89"/>
        <v>10-01-2025</v>
      </c>
    </row>
    <row r="1121" spans="2:16" x14ac:dyDescent="0.3">
      <c r="B1121" s="70">
        <v>45668</v>
      </c>
      <c r="C1121" s="70">
        <f t="shared" si="86"/>
        <v>45658</v>
      </c>
      <c r="D1121" s="94">
        <v>350</v>
      </c>
      <c r="E1121" s="94">
        <v>0</v>
      </c>
      <c r="F1121" s="92" t="s">
        <v>3595</v>
      </c>
      <c r="G1121" s="75"/>
      <c r="H1121" s="92" t="s">
        <v>589</v>
      </c>
      <c r="I1121" s="92" t="s">
        <v>3892</v>
      </c>
      <c r="K1121" s="71" t="s">
        <v>511</v>
      </c>
      <c r="L1121" t="s">
        <v>2280</v>
      </c>
      <c r="M1121" t="str">
        <f t="shared" si="87"/>
        <v>11</v>
      </c>
      <c r="N1121" t="str">
        <f t="shared" si="88"/>
        <v>01</v>
      </c>
      <c r="O1121" t="str">
        <f t="shared" si="85"/>
        <v>2025</v>
      </c>
      <c r="P1121" t="str">
        <f t="shared" si="89"/>
        <v>11-01-2025</v>
      </c>
    </row>
    <row r="1122" spans="2:16" x14ac:dyDescent="0.3">
      <c r="B1122" s="70">
        <v>45668</v>
      </c>
      <c r="C1122" s="70">
        <f t="shared" si="86"/>
        <v>45658</v>
      </c>
      <c r="D1122" s="94">
        <v>50</v>
      </c>
      <c r="E1122" s="94">
        <v>0</v>
      </c>
      <c r="F1122" s="92" t="s">
        <v>3596</v>
      </c>
      <c r="G1122" s="75"/>
      <c r="H1122" s="92" t="s">
        <v>589</v>
      </c>
      <c r="I1122" s="92" t="s">
        <v>3892</v>
      </c>
      <c r="K1122" s="71" t="s">
        <v>511</v>
      </c>
      <c r="L1122" t="s">
        <v>2282</v>
      </c>
      <c r="M1122" t="str">
        <f t="shared" si="87"/>
        <v>11</v>
      </c>
      <c r="N1122" t="str">
        <f t="shared" si="88"/>
        <v>01</v>
      </c>
      <c r="O1122" t="str">
        <f t="shared" si="85"/>
        <v>2025</v>
      </c>
      <c r="P1122" t="str">
        <f t="shared" si="89"/>
        <v>11-01-2025</v>
      </c>
    </row>
    <row r="1123" spans="2:16" x14ac:dyDescent="0.3">
      <c r="B1123" s="70">
        <v>45670</v>
      </c>
      <c r="C1123" s="70">
        <f t="shared" si="86"/>
        <v>45658</v>
      </c>
      <c r="D1123" s="94">
        <v>247.2</v>
      </c>
      <c r="E1123" s="94">
        <v>0</v>
      </c>
      <c r="F1123" s="92" t="s">
        <v>3597</v>
      </c>
      <c r="G1123" s="75"/>
      <c r="H1123" s="92" t="s">
        <v>3881</v>
      </c>
      <c r="I1123" s="92" t="s">
        <v>3889</v>
      </c>
      <c r="K1123" s="71" t="s">
        <v>217</v>
      </c>
      <c r="L1123" t="s">
        <v>30</v>
      </c>
      <c r="M1123" t="str">
        <f t="shared" si="87"/>
        <v>13</v>
      </c>
      <c r="N1123" t="str">
        <f t="shared" si="88"/>
        <v>01</v>
      </c>
      <c r="O1123" t="str">
        <f t="shared" si="85"/>
        <v>2025</v>
      </c>
      <c r="P1123" t="str">
        <f t="shared" si="89"/>
        <v>13-01-2025</v>
      </c>
    </row>
    <row r="1124" spans="2:16" x14ac:dyDescent="0.3">
      <c r="B1124" s="70">
        <v>45670</v>
      </c>
      <c r="C1124" s="70">
        <f t="shared" si="86"/>
        <v>45658</v>
      </c>
      <c r="D1124" s="94">
        <v>200.6</v>
      </c>
      <c r="E1124" s="94">
        <v>0</v>
      </c>
      <c r="F1124" s="92" t="s">
        <v>3598</v>
      </c>
      <c r="G1124" s="75"/>
      <c r="H1124" s="92" t="s">
        <v>220</v>
      </c>
      <c r="I1124" s="92" t="s">
        <v>3889</v>
      </c>
      <c r="K1124" s="71" t="s">
        <v>220</v>
      </c>
      <c r="L1124" t="s">
        <v>1228</v>
      </c>
      <c r="M1124" t="str">
        <f t="shared" si="87"/>
        <v>13</v>
      </c>
      <c r="N1124" t="str">
        <f t="shared" si="88"/>
        <v>01</v>
      </c>
      <c r="O1124" t="str">
        <f t="shared" si="85"/>
        <v>2025</v>
      </c>
      <c r="P1124" t="str">
        <f t="shared" si="89"/>
        <v>13-01-2025</v>
      </c>
    </row>
    <row r="1125" spans="2:16" x14ac:dyDescent="0.3">
      <c r="B1125" s="70">
        <v>45670</v>
      </c>
      <c r="C1125" s="70">
        <f t="shared" si="86"/>
        <v>45658</v>
      </c>
      <c r="D1125" s="94">
        <v>7864.69</v>
      </c>
      <c r="E1125" s="94">
        <v>0</v>
      </c>
      <c r="F1125" s="92" t="s">
        <v>3597</v>
      </c>
      <c r="G1125" s="75"/>
      <c r="H1125" s="92" t="s">
        <v>3881</v>
      </c>
      <c r="I1125" s="92" t="s">
        <v>3889</v>
      </c>
      <c r="K1125" s="71" t="s">
        <v>217</v>
      </c>
      <c r="L1125" t="s">
        <v>30</v>
      </c>
      <c r="M1125" t="str">
        <f t="shared" si="87"/>
        <v>13</v>
      </c>
      <c r="N1125" t="str">
        <f t="shared" si="88"/>
        <v>01</v>
      </c>
      <c r="O1125" t="str">
        <f t="shared" si="85"/>
        <v>2025</v>
      </c>
      <c r="P1125" t="str">
        <f t="shared" si="89"/>
        <v>13-01-2025</v>
      </c>
    </row>
    <row r="1126" spans="2:16" x14ac:dyDescent="0.3">
      <c r="B1126" s="70">
        <v>45670</v>
      </c>
      <c r="C1126" s="70">
        <f t="shared" si="86"/>
        <v>45658</v>
      </c>
      <c r="D1126" s="94">
        <v>0</v>
      </c>
      <c r="E1126" s="94">
        <v>72.77</v>
      </c>
      <c r="F1126" s="92" t="s">
        <v>3599</v>
      </c>
      <c r="G1126" s="75"/>
      <c r="H1126" s="92" t="s">
        <v>589</v>
      </c>
      <c r="I1126" s="92" t="s">
        <v>3892</v>
      </c>
      <c r="K1126" s="71" t="s">
        <v>511</v>
      </c>
      <c r="L1126" t="s">
        <v>2284</v>
      </c>
      <c r="M1126" t="str">
        <f t="shared" si="87"/>
        <v>13</v>
      </c>
      <c r="N1126" t="str">
        <f t="shared" si="88"/>
        <v>01</v>
      </c>
      <c r="O1126" t="str">
        <f t="shared" si="85"/>
        <v>2025</v>
      </c>
      <c r="P1126" t="str">
        <f t="shared" si="89"/>
        <v>13-01-2025</v>
      </c>
    </row>
    <row r="1127" spans="2:16" x14ac:dyDescent="0.3">
      <c r="B1127" s="70">
        <v>45670</v>
      </c>
      <c r="C1127" s="70">
        <f t="shared" si="86"/>
        <v>45658</v>
      </c>
      <c r="D1127" s="94">
        <v>0</v>
      </c>
      <c r="E1127" s="94">
        <v>1100</v>
      </c>
      <c r="F1127" s="92" t="s">
        <v>3600</v>
      </c>
      <c r="G1127" s="75"/>
      <c r="H1127" s="92" t="s">
        <v>3875</v>
      </c>
      <c r="I1127" s="92" t="s">
        <v>3892</v>
      </c>
      <c r="K1127" s="71" t="s">
        <v>228</v>
      </c>
      <c r="L1127" t="s">
        <v>2286</v>
      </c>
      <c r="M1127" t="str">
        <f t="shared" si="87"/>
        <v>13</v>
      </c>
      <c r="N1127" t="str">
        <f t="shared" si="88"/>
        <v>01</v>
      </c>
      <c r="O1127" t="str">
        <f t="shared" si="85"/>
        <v>2025</v>
      </c>
      <c r="P1127" t="str">
        <f t="shared" si="89"/>
        <v>13-01-2025</v>
      </c>
    </row>
    <row r="1128" spans="2:16" x14ac:dyDescent="0.3">
      <c r="B1128" s="70">
        <v>45671</v>
      </c>
      <c r="C1128" s="70">
        <f t="shared" si="86"/>
        <v>45658</v>
      </c>
      <c r="D1128" s="94">
        <v>79.599999999999994</v>
      </c>
      <c r="E1128" s="94">
        <v>0</v>
      </c>
      <c r="F1128" s="92" t="s">
        <v>3601</v>
      </c>
      <c r="G1128" s="75"/>
      <c r="H1128" s="92" t="s">
        <v>3881</v>
      </c>
      <c r="I1128" s="92" t="s">
        <v>3889</v>
      </c>
      <c r="K1128" s="71" t="s">
        <v>217</v>
      </c>
      <c r="L1128" t="s">
        <v>30</v>
      </c>
      <c r="M1128" t="str">
        <f t="shared" si="87"/>
        <v>14</v>
      </c>
      <c r="N1128" t="str">
        <f t="shared" si="88"/>
        <v>01</v>
      </c>
      <c r="O1128" t="str">
        <f t="shared" si="85"/>
        <v>2025</v>
      </c>
      <c r="P1128" t="str">
        <f t="shared" si="89"/>
        <v>14-01-2025</v>
      </c>
    </row>
    <row r="1129" spans="2:16" x14ac:dyDescent="0.3">
      <c r="B1129" s="70">
        <v>45671</v>
      </c>
      <c r="C1129" s="70">
        <f t="shared" si="86"/>
        <v>45658</v>
      </c>
      <c r="D1129" s="94">
        <v>150</v>
      </c>
      <c r="E1129" s="94">
        <v>0</v>
      </c>
      <c r="F1129" s="92" t="s">
        <v>3602</v>
      </c>
      <c r="G1129" s="75"/>
      <c r="H1129" s="92" t="s">
        <v>589</v>
      </c>
      <c r="I1129" s="92" t="s">
        <v>3892</v>
      </c>
      <c r="K1129" s="71" t="s">
        <v>511</v>
      </c>
      <c r="L1129" t="s">
        <v>2288</v>
      </c>
      <c r="M1129" t="str">
        <f t="shared" si="87"/>
        <v>14</v>
      </c>
      <c r="N1129" t="str">
        <f t="shared" si="88"/>
        <v>01</v>
      </c>
      <c r="O1129" t="str">
        <f t="shared" si="85"/>
        <v>2025</v>
      </c>
      <c r="P1129" t="str">
        <f t="shared" si="89"/>
        <v>14-01-2025</v>
      </c>
    </row>
    <row r="1130" spans="2:16" x14ac:dyDescent="0.3">
      <c r="B1130" s="70">
        <v>45672</v>
      </c>
      <c r="C1130" s="70">
        <f t="shared" si="86"/>
        <v>45658</v>
      </c>
      <c r="D1130" s="94">
        <v>0</v>
      </c>
      <c r="E1130" s="94">
        <v>6345.12</v>
      </c>
      <c r="F1130" s="92" t="s">
        <v>3603</v>
      </c>
      <c r="G1130" s="75"/>
      <c r="H1130" s="92" t="s">
        <v>3881</v>
      </c>
      <c r="I1130" s="92" t="s">
        <v>3889</v>
      </c>
      <c r="K1130" s="71" t="s">
        <v>2523</v>
      </c>
      <c r="L1130" t="s">
        <v>1231</v>
      </c>
      <c r="M1130" t="str">
        <f t="shared" si="87"/>
        <v>15</v>
      </c>
      <c r="N1130" t="str">
        <f t="shared" si="88"/>
        <v>01</v>
      </c>
      <c r="O1130" t="str">
        <f t="shared" si="85"/>
        <v>2025</v>
      </c>
      <c r="P1130" t="str">
        <f t="shared" si="89"/>
        <v>15-01-2025</v>
      </c>
    </row>
    <row r="1131" spans="2:16" x14ac:dyDescent="0.3">
      <c r="B1131" s="70">
        <v>45672</v>
      </c>
      <c r="C1131" s="70">
        <f t="shared" si="86"/>
        <v>45658</v>
      </c>
      <c r="D1131" s="94">
        <v>79.599999999999994</v>
      </c>
      <c r="E1131" s="94">
        <v>0</v>
      </c>
      <c r="F1131" s="92" t="s">
        <v>3604</v>
      </c>
      <c r="G1131" s="75"/>
      <c r="H1131" s="92" t="s">
        <v>3881</v>
      </c>
      <c r="I1131" s="92" t="s">
        <v>3889</v>
      </c>
      <c r="K1131" s="71" t="s">
        <v>217</v>
      </c>
      <c r="L1131" t="s">
        <v>30</v>
      </c>
      <c r="M1131" t="str">
        <f t="shared" si="87"/>
        <v>15</v>
      </c>
      <c r="N1131" t="str">
        <f t="shared" si="88"/>
        <v>01</v>
      </c>
      <c r="O1131" t="str">
        <f t="shared" si="85"/>
        <v>2025</v>
      </c>
      <c r="P1131" t="str">
        <f t="shared" si="89"/>
        <v>15-01-2025</v>
      </c>
    </row>
    <row r="1132" spans="2:16" x14ac:dyDescent="0.3">
      <c r="B1132" s="70">
        <v>45672</v>
      </c>
      <c r="C1132" s="70">
        <f t="shared" si="86"/>
        <v>45658</v>
      </c>
      <c r="D1132" s="94">
        <v>1375.4</v>
      </c>
      <c r="E1132" s="94">
        <v>0</v>
      </c>
      <c r="F1132" s="92" t="s">
        <v>3604</v>
      </c>
      <c r="G1132" s="75"/>
      <c r="H1132" s="92" t="s">
        <v>3881</v>
      </c>
      <c r="I1132" s="92" t="s">
        <v>3889</v>
      </c>
      <c r="K1132" s="71" t="s">
        <v>217</v>
      </c>
      <c r="L1132" t="s">
        <v>30</v>
      </c>
      <c r="M1132" t="str">
        <f t="shared" si="87"/>
        <v>15</v>
      </c>
      <c r="N1132" t="str">
        <f t="shared" si="88"/>
        <v>01</v>
      </c>
      <c r="O1132" t="str">
        <f t="shared" si="85"/>
        <v>2025</v>
      </c>
      <c r="P1132" t="str">
        <f t="shared" si="89"/>
        <v>15-01-2025</v>
      </c>
    </row>
    <row r="1133" spans="2:16" x14ac:dyDescent="0.3">
      <c r="B1133" s="70">
        <v>45673</v>
      </c>
      <c r="C1133" s="70">
        <f t="shared" si="86"/>
        <v>45658</v>
      </c>
      <c r="D1133" s="94">
        <v>81.37</v>
      </c>
      <c r="E1133" s="94">
        <v>0</v>
      </c>
      <c r="F1133" s="92" t="s">
        <v>3605</v>
      </c>
      <c r="G1133" s="75"/>
      <c r="H1133" s="92" t="s">
        <v>3881</v>
      </c>
      <c r="I1133" s="92" t="s">
        <v>3889</v>
      </c>
      <c r="K1133" s="71" t="s">
        <v>217</v>
      </c>
      <c r="L1133" t="s">
        <v>30</v>
      </c>
      <c r="M1133" t="str">
        <f t="shared" si="87"/>
        <v>16</v>
      </c>
      <c r="N1133" t="str">
        <f t="shared" si="88"/>
        <v>01</v>
      </c>
      <c r="O1133" t="str">
        <f t="shared" si="85"/>
        <v>2025</v>
      </c>
      <c r="P1133" t="str">
        <f t="shared" si="89"/>
        <v>16-01-2025</v>
      </c>
    </row>
    <row r="1134" spans="2:16" x14ac:dyDescent="0.3">
      <c r="B1134" s="70">
        <v>45673</v>
      </c>
      <c r="C1134" s="70">
        <f t="shared" si="86"/>
        <v>45658</v>
      </c>
      <c r="D1134" s="94">
        <v>2000</v>
      </c>
      <c r="E1134" s="94">
        <v>0</v>
      </c>
      <c r="F1134" s="92" t="s">
        <v>3606</v>
      </c>
      <c r="G1134" s="75"/>
      <c r="H1134" s="92" t="s">
        <v>589</v>
      </c>
      <c r="I1134" s="92" t="s">
        <v>3892</v>
      </c>
      <c r="K1134" s="71" t="s">
        <v>511</v>
      </c>
      <c r="L1134" t="s">
        <v>2290</v>
      </c>
      <c r="M1134" t="str">
        <f t="shared" si="87"/>
        <v>16</v>
      </c>
      <c r="N1134" t="str">
        <f t="shared" si="88"/>
        <v>01</v>
      </c>
      <c r="O1134" t="str">
        <f t="shared" si="85"/>
        <v>2025</v>
      </c>
      <c r="P1134" t="str">
        <f t="shared" si="89"/>
        <v>16-01-2025</v>
      </c>
    </row>
    <row r="1135" spans="2:16" x14ac:dyDescent="0.3">
      <c r="B1135" s="70">
        <v>45674</v>
      </c>
      <c r="C1135" s="70">
        <f t="shared" si="86"/>
        <v>45658</v>
      </c>
      <c r="D1135" s="94">
        <v>0</v>
      </c>
      <c r="E1135" s="94">
        <v>3353.16</v>
      </c>
      <c r="F1135" s="92" t="s">
        <v>3607</v>
      </c>
      <c r="G1135" s="75"/>
      <c r="H1135" s="92" t="s">
        <v>3881</v>
      </c>
      <c r="I1135" s="92" t="s">
        <v>3889</v>
      </c>
      <c r="K1135" s="71" t="s">
        <v>2523</v>
      </c>
      <c r="L1135" t="s">
        <v>1236</v>
      </c>
      <c r="M1135" t="str">
        <f t="shared" si="87"/>
        <v>17</v>
      </c>
      <c r="N1135" t="str">
        <f t="shared" si="88"/>
        <v>01</v>
      </c>
      <c r="O1135" t="str">
        <f t="shared" si="85"/>
        <v>2025</v>
      </c>
      <c r="P1135" t="str">
        <f t="shared" si="89"/>
        <v>17-01-2025</v>
      </c>
    </row>
    <row r="1136" spans="2:16" x14ac:dyDescent="0.3">
      <c r="B1136" s="70">
        <v>45674</v>
      </c>
      <c r="C1136" s="70">
        <f t="shared" si="86"/>
        <v>45658</v>
      </c>
      <c r="D1136" s="94">
        <v>81.37</v>
      </c>
      <c r="E1136" s="94">
        <v>0</v>
      </c>
      <c r="F1136" s="92" t="s">
        <v>3608</v>
      </c>
      <c r="G1136" s="75"/>
      <c r="H1136" s="92" t="s">
        <v>3881</v>
      </c>
      <c r="I1136" s="92" t="s">
        <v>3889</v>
      </c>
      <c r="K1136" s="71" t="s">
        <v>217</v>
      </c>
      <c r="L1136" t="s">
        <v>30</v>
      </c>
      <c r="M1136" t="str">
        <f t="shared" si="87"/>
        <v>17</v>
      </c>
      <c r="N1136" t="str">
        <f t="shared" si="88"/>
        <v>01</v>
      </c>
      <c r="O1136" t="str">
        <f t="shared" si="85"/>
        <v>2025</v>
      </c>
      <c r="P1136" t="str">
        <f t="shared" si="89"/>
        <v>17-01-2025</v>
      </c>
    </row>
    <row r="1137" spans="2:16" x14ac:dyDescent="0.3">
      <c r="B1137" s="70">
        <v>45674</v>
      </c>
      <c r="C1137" s="70">
        <f t="shared" si="86"/>
        <v>45658</v>
      </c>
      <c r="D1137" s="94">
        <v>691.59</v>
      </c>
      <c r="E1137" s="94">
        <v>0</v>
      </c>
      <c r="F1137" s="92" t="s">
        <v>3608</v>
      </c>
      <c r="G1137" s="75"/>
      <c r="H1137" s="92" t="s">
        <v>3881</v>
      </c>
      <c r="I1137" s="92" t="s">
        <v>3889</v>
      </c>
      <c r="K1137" s="71" t="s">
        <v>217</v>
      </c>
      <c r="L1137" t="s">
        <v>30</v>
      </c>
      <c r="M1137" t="str">
        <f t="shared" si="87"/>
        <v>17</v>
      </c>
      <c r="N1137" t="str">
        <f t="shared" si="88"/>
        <v>01</v>
      </c>
      <c r="O1137" t="str">
        <f t="shared" si="85"/>
        <v>2025</v>
      </c>
      <c r="P1137" t="str">
        <f t="shared" si="89"/>
        <v>17-01-2025</v>
      </c>
    </row>
    <row r="1138" spans="2:16" x14ac:dyDescent="0.3">
      <c r="B1138" s="70">
        <v>45675</v>
      </c>
      <c r="C1138" s="70">
        <f t="shared" si="86"/>
        <v>45658</v>
      </c>
      <c r="D1138" s="94">
        <v>894</v>
      </c>
      <c r="E1138" s="94">
        <v>0</v>
      </c>
      <c r="F1138" s="92" t="s">
        <v>3609</v>
      </c>
      <c r="G1138" s="75"/>
      <c r="H1138" s="92" t="s">
        <v>589</v>
      </c>
      <c r="I1138" s="92" t="s">
        <v>3892</v>
      </c>
      <c r="K1138" s="71" t="s">
        <v>511</v>
      </c>
      <c r="L1138" t="s">
        <v>2292</v>
      </c>
      <c r="M1138" t="str">
        <f t="shared" si="87"/>
        <v>18</v>
      </c>
      <c r="N1138" t="str">
        <f t="shared" si="88"/>
        <v>01</v>
      </c>
      <c r="O1138" t="str">
        <f t="shared" si="85"/>
        <v>2025</v>
      </c>
      <c r="P1138" t="str">
        <f t="shared" si="89"/>
        <v>18-01-2025</v>
      </c>
    </row>
    <row r="1139" spans="2:16" x14ac:dyDescent="0.3">
      <c r="B1139" s="70">
        <v>45676</v>
      </c>
      <c r="C1139" s="70">
        <f t="shared" si="86"/>
        <v>45658</v>
      </c>
      <c r="D1139" s="94">
        <v>20000</v>
      </c>
      <c r="E1139" s="94">
        <v>0</v>
      </c>
      <c r="F1139" s="92" t="s">
        <v>3610</v>
      </c>
      <c r="G1139" s="75"/>
      <c r="H1139" s="92" t="s">
        <v>589</v>
      </c>
      <c r="I1139" s="92" t="s">
        <v>3892</v>
      </c>
      <c r="K1139" s="71" t="s">
        <v>511</v>
      </c>
      <c r="L1139" t="s">
        <v>2294</v>
      </c>
      <c r="M1139" t="str">
        <f t="shared" si="87"/>
        <v>19</v>
      </c>
      <c r="N1139" t="str">
        <f t="shared" si="88"/>
        <v>01</v>
      </c>
      <c r="O1139" t="str">
        <f t="shared" si="85"/>
        <v>2025</v>
      </c>
      <c r="P1139" t="str">
        <f t="shared" si="89"/>
        <v>19-01-2025</v>
      </c>
    </row>
    <row r="1140" spans="2:16" x14ac:dyDescent="0.3">
      <c r="B1140" s="70">
        <v>45676</v>
      </c>
      <c r="C1140" s="70">
        <f t="shared" si="86"/>
        <v>45658</v>
      </c>
      <c r="D1140" s="94">
        <v>30000</v>
      </c>
      <c r="E1140" s="94">
        <v>0</v>
      </c>
      <c r="F1140" s="92" t="s">
        <v>3611</v>
      </c>
      <c r="G1140" s="75"/>
      <c r="H1140" s="92" t="s">
        <v>589</v>
      </c>
      <c r="I1140" s="92" t="s">
        <v>3892</v>
      </c>
      <c r="K1140" s="71" t="s">
        <v>511</v>
      </c>
      <c r="L1140" t="s">
        <v>2296</v>
      </c>
      <c r="M1140" t="str">
        <f t="shared" si="87"/>
        <v>19</v>
      </c>
      <c r="N1140" t="str">
        <f t="shared" si="88"/>
        <v>01</v>
      </c>
      <c r="O1140" t="str">
        <f t="shared" si="85"/>
        <v>2025</v>
      </c>
      <c r="P1140" t="str">
        <f t="shared" si="89"/>
        <v>19-01-2025</v>
      </c>
    </row>
    <row r="1141" spans="2:16" x14ac:dyDescent="0.3">
      <c r="B1141" s="70">
        <v>45676</v>
      </c>
      <c r="C1141" s="70">
        <f t="shared" si="86"/>
        <v>45658</v>
      </c>
      <c r="D1141" s="94">
        <v>500</v>
      </c>
      <c r="E1141" s="94">
        <v>0</v>
      </c>
      <c r="F1141" s="92" t="s">
        <v>3612</v>
      </c>
      <c r="G1141" s="75"/>
      <c r="H1141" s="92" t="s">
        <v>589</v>
      </c>
      <c r="I1141" s="92" t="s">
        <v>3892</v>
      </c>
      <c r="K1141" s="71" t="s">
        <v>511</v>
      </c>
      <c r="L1141" t="s">
        <v>2298</v>
      </c>
      <c r="M1141" t="str">
        <f t="shared" si="87"/>
        <v>19</v>
      </c>
      <c r="N1141" t="str">
        <f t="shared" si="88"/>
        <v>01</v>
      </c>
      <c r="O1141" t="str">
        <f t="shared" si="85"/>
        <v>2025</v>
      </c>
      <c r="P1141" t="str">
        <f t="shared" si="89"/>
        <v>19-01-2025</v>
      </c>
    </row>
    <row r="1142" spans="2:16" x14ac:dyDescent="0.3">
      <c r="B1142" s="70">
        <v>45677</v>
      </c>
      <c r="C1142" s="70">
        <f t="shared" si="86"/>
        <v>45658</v>
      </c>
      <c r="D1142" s="94">
        <v>246.96</v>
      </c>
      <c r="E1142" s="94">
        <v>0</v>
      </c>
      <c r="F1142" s="92" t="s">
        <v>3613</v>
      </c>
      <c r="G1142" s="75"/>
      <c r="H1142" s="92" t="s">
        <v>3881</v>
      </c>
      <c r="I1142" s="92" t="s">
        <v>3889</v>
      </c>
      <c r="K1142" s="71" t="s">
        <v>217</v>
      </c>
      <c r="L1142" t="s">
        <v>30</v>
      </c>
      <c r="M1142" t="str">
        <f t="shared" si="87"/>
        <v>20</v>
      </c>
      <c r="N1142" t="str">
        <f t="shared" si="88"/>
        <v>01</v>
      </c>
      <c r="O1142" t="str">
        <f t="shared" si="85"/>
        <v>2025</v>
      </c>
      <c r="P1142" t="str">
        <f t="shared" si="89"/>
        <v>20-01-2025</v>
      </c>
    </row>
    <row r="1143" spans="2:16" x14ac:dyDescent="0.3">
      <c r="B1143" s="70">
        <v>45678</v>
      </c>
      <c r="C1143" s="70">
        <f t="shared" si="86"/>
        <v>45658</v>
      </c>
      <c r="D1143" s="94">
        <v>0</v>
      </c>
      <c r="E1143" s="94">
        <v>2129.64</v>
      </c>
      <c r="F1143" s="92" t="s">
        <v>3614</v>
      </c>
      <c r="G1143" s="75"/>
      <c r="H1143" s="92" t="s">
        <v>3881</v>
      </c>
      <c r="I1143" s="92" t="s">
        <v>3889</v>
      </c>
      <c r="K1143" s="71" t="s">
        <v>2523</v>
      </c>
      <c r="L1143" t="s">
        <v>1241</v>
      </c>
      <c r="M1143" t="str">
        <f t="shared" si="87"/>
        <v>21</v>
      </c>
      <c r="N1143" t="str">
        <f t="shared" si="88"/>
        <v>01</v>
      </c>
      <c r="O1143" t="str">
        <f t="shared" si="85"/>
        <v>2025</v>
      </c>
      <c r="P1143" t="str">
        <f t="shared" si="89"/>
        <v>21-01-2025</v>
      </c>
    </row>
    <row r="1144" spans="2:16" x14ac:dyDescent="0.3">
      <c r="B1144" s="70">
        <v>45678</v>
      </c>
      <c r="C1144" s="70">
        <f t="shared" si="86"/>
        <v>45658</v>
      </c>
      <c r="D1144" s="94">
        <v>82.32</v>
      </c>
      <c r="E1144" s="94">
        <v>0</v>
      </c>
      <c r="F1144" s="92" t="s">
        <v>3615</v>
      </c>
      <c r="G1144" s="75"/>
      <c r="H1144" s="92" t="s">
        <v>3881</v>
      </c>
      <c r="I1144" s="92" t="s">
        <v>3889</v>
      </c>
      <c r="K1144" s="71" t="s">
        <v>217</v>
      </c>
      <c r="L1144" t="s">
        <v>30</v>
      </c>
      <c r="M1144" t="str">
        <f t="shared" si="87"/>
        <v>21</v>
      </c>
      <c r="N1144" t="str">
        <f t="shared" si="88"/>
        <v>01</v>
      </c>
      <c r="O1144" t="str">
        <f t="shared" si="85"/>
        <v>2025</v>
      </c>
      <c r="P1144" t="str">
        <f t="shared" si="89"/>
        <v>21-01-2025</v>
      </c>
    </row>
    <row r="1145" spans="2:16" x14ac:dyDescent="0.3">
      <c r="B1145" s="70">
        <v>45678</v>
      </c>
      <c r="C1145" s="70">
        <f t="shared" si="86"/>
        <v>45658</v>
      </c>
      <c r="D1145" s="94">
        <v>2642.04</v>
      </c>
      <c r="E1145" s="94">
        <v>0</v>
      </c>
      <c r="F1145" s="92" t="s">
        <v>3615</v>
      </c>
      <c r="G1145" s="75"/>
      <c r="H1145" s="92" t="s">
        <v>3881</v>
      </c>
      <c r="I1145" s="92" t="s">
        <v>3889</v>
      </c>
      <c r="K1145" s="71" t="s">
        <v>217</v>
      </c>
      <c r="L1145" t="s">
        <v>30</v>
      </c>
      <c r="M1145" t="str">
        <f t="shared" si="87"/>
        <v>21</v>
      </c>
      <c r="N1145" t="str">
        <f t="shared" si="88"/>
        <v>01</v>
      </c>
      <c r="O1145" t="str">
        <f t="shared" si="85"/>
        <v>2025</v>
      </c>
      <c r="P1145" t="str">
        <f t="shared" si="89"/>
        <v>21-01-2025</v>
      </c>
    </row>
    <row r="1146" spans="2:16" x14ac:dyDescent="0.3">
      <c r="B1146" s="70">
        <v>45678</v>
      </c>
      <c r="C1146" s="70">
        <f t="shared" si="86"/>
        <v>45658</v>
      </c>
      <c r="D1146" s="94">
        <v>2000</v>
      </c>
      <c r="E1146" s="94">
        <v>0</v>
      </c>
      <c r="F1146" s="92" t="s">
        <v>3616</v>
      </c>
      <c r="G1146" s="75"/>
      <c r="H1146" s="92" t="s">
        <v>589</v>
      </c>
      <c r="I1146" s="92" t="s">
        <v>3892</v>
      </c>
      <c r="K1146" s="71" t="s">
        <v>511</v>
      </c>
      <c r="L1146" t="s">
        <v>2300</v>
      </c>
      <c r="M1146" t="str">
        <f t="shared" si="87"/>
        <v>21</v>
      </c>
      <c r="N1146" t="str">
        <f t="shared" si="88"/>
        <v>01</v>
      </c>
      <c r="O1146" t="str">
        <f t="shared" si="85"/>
        <v>2025</v>
      </c>
      <c r="P1146" t="str">
        <f t="shared" si="89"/>
        <v>21-01-2025</v>
      </c>
    </row>
    <row r="1147" spans="2:16" x14ac:dyDescent="0.3">
      <c r="B1147" s="70">
        <v>45679</v>
      </c>
      <c r="C1147" s="70">
        <f t="shared" si="86"/>
        <v>45658</v>
      </c>
      <c r="D1147" s="94">
        <v>82.14</v>
      </c>
      <c r="E1147" s="94">
        <v>0</v>
      </c>
      <c r="F1147" s="92" t="s">
        <v>3617</v>
      </c>
      <c r="G1147" s="75"/>
      <c r="H1147" s="92" t="s">
        <v>3881</v>
      </c>
      <c r="I1147" s="92" t="s">
        <v>3889</v>
      </c>
      <c r="K1147" s="71" t="s">
        <v>217</v>
      </c>
      <c r="L1147" t="s">
        <v>30</v>
      </c>
      <c r="M1147" t="str">
        <f t="shared" si="87"/>
        <v>22</v>
      </c>
      <c r="N1147" t="str">
        <f t="shared" si="88"/>
        <v>01</v>
      </c>
      <c r="O1147" t="str">
        <f t="shared" si="85"/>
        <v>2025</v>
      </c>
      <c r="P1147" t="str">
        <f t="shared" si="89"/>
        <v>22-01-2025</v>
      </c>
    </row>
    <row r="1148" spans="2:16" x14ac:dyDescent="0.3">
      <c r="B1148" s="70">
        <v>45679</v>
      </c>
      <c r="C1148" s="70">
        <f t="shared" si="86"/>
        <v>45658</v>
      </c>
      <c r="D1148" s="94">
        <v>365.35</v>
      </c>
      <c r="E1148" s="94">
        <v>0</v>
      </c>
      <c r="F1148" s="92" t="s">
        <v>3617</v>
      </c>
      <c r="G1148" s="75"/>
      <c r="H1148" s="92" t="s">
        <v>3881</v>
      </c>
      <c r="I1148" s="92" t="s">
        <v>3889</v>
      </c>
      <c r="K1148" s="71" t="s">
        <v>217</v>
      </c>
      <c r="L1148" t="s">
        <v>30</v>
      </c>
      <c r="M1148" t="str">
        <f t="shared" si="87"/>
        <v>22</v>
      </c>
      <c r="N1148" t="str">
        <f t="shared" si="88"/>
        <v>01</v>
      </c>
      <c r="O1148" t="str">
        <f t="shared" si="85"/>
        <v>2025</v>
      </c>
      <c r="P1148" t="str">
        <f t="shared" si="89"/>
        <v>22-01-2025</v>
      </c>
    </row>
    <row r="1149" spans="2:16" x14ac:dyDescent="0.3">
      <c r="B1149" s="70">
        <v>45679</v>
      </c>
      <c r="C1149" s="70">
        <f t="shared" si="86"/>
        <v>45658</v>
      </c>
      <c r="D1149" s="94">
        <v>1500</v>
      </c>
      <c r="E1149" s="94">
        <v>0</v>
      </c>
      <c r="F1149" s="92" t="s">
        <v>3618</v>
      </c>
      <c r="G1149" s="75"/>
      <c r="H1149" s="92" t="s">
        <v>589</v>
      </c>
      <c r="I1149" s="92" t="s">
        <v>3892</v>
      </c>
      <c r="K1149" s="71" t="s">
        <v>511</v>
      </c>
      <c r="L1149" t="s">
        <v>2302</v>
      </c>
      <c r="M1149" t="str">
        <f t="shared" si="87"/>
        <v>22</v>
      </c>
      <c r="N1149" t="str">
        <f t="shared" si="88"/>
        <v>01</v>
      </c>
      <c r="O1149" t="str">
        <f t="shared" si="85"/>
        <v>2025</v>
      </c>
      <c r="P1149" t="str">
        <f t="shared" si="89"/>
        <v>22-01-2025</v>
      </c>
    </row>
    <row r="1150" spans="2:16" x14ac:dyDescent="0.3">
      <c r="B1150" s="70">
        <v>45680</v>
      </c>
      <c r="C1150" s="70">
        <f t="shared" si="86"/>
        <v>45658</v>
      </c>
      <c r="D1150" s="94">
        <v>82.01</v>
      </c>
      <c r="E1150" s="94">
        <v>0</v>
      </c>
      <c r="F1150" s="92" t="s">
        <v>3619</v>
      </c>
      <c r="G1150" s="75"/>
      <c r="H1150" s="92" t="s">
        <v>3881</v>
      </c>
      <c r="I1150" s="92" t="s">
        <v>3889</v>
      </c>
      <c r="K1150" s="71" t="s">
        <v>217</v>
      </c>
      <c r="L1150" t="s">
        <v>30</v>
      </c>
      <c r="M1150" t="str">
        <f t="shared" si="87"/>
        <v>23</v>
      </c>
      <c r="N1150" t="str">
        <f t="shared" si="88"/>
        <v>01</v>
      </c>
      <c r="O1150" t="str">
        <f t="shared" si="85"/>
        <v>2025</v>
      </c>
      <c r="P1150" t="str">
        <f t="shared" si="89"/>
        <v>23-01-2025</v>
      </c>
    </row>
    <row r="1151" spans="2:16" x14ac:dyDescent="0.3">
      <c r="B1151" s="70">
        <v>45680</v>
      </c>
      <c r="C1151" s="70">
        <f t="shared" si="86"/>
        <v>45658</v>
      </c>
      <c r="D1151" s="94">
        <v>22709.88</v>
      </c>
      <c r="E1151" s="94">
        <v>0</v>
      </c>
      <c r="F1151" s="92" t="s">
        <v>3619</v>
      </c>
      <c r="G1151" s="75"/>
      <c r="H1151" s="92" t="s">
        <v>3881</v>
      </c>
      <c r="I1151" s="92" t="s">
        <v>3889</v>
      </c>
      <c r="K1151" s="71" t="s">
        <v>217</v>
      </c>
      <c r="L1151" t="s">
        <v>30</v>
      </c>
      <c r="M1151" t="str">
        <f t="shared" si="87"/>
        <v>23</v>
      </c>
      <c r="N1151" t="str">
        <f t="shared" si="88"/>
        <v>01</v>
      </c>
      <c r="O1151" t="str">
        <f t="shared" si="85"/>
        <v>2025</v>
      </c>
      <c r="P1151" t="str">
        <f t="shared" si="89"/>
        <v>23-01-2025</v>
      </c>
    </row>
    <row r="1152" spans="2:16" x14ac:dyDescent="0.3">
      <c r="B1152" s="70">
        <v>45680</v>
      </c>
      <c r="C1152" s="70">
        <f t="shared" si="86"/>
        <v>45658</v>
      </c>
      <c r="D1152" s="94">
        <v>1500</v>
      </c>
      <c r="E1152" s="94">
        <v>0</v>
      </c>
      <c r="F1152" s="92" t="s">
        <v>3620</v>
      </c>
      <c r="G1152" s="75"/>
      <c r="H1152" s="92" t="s">
        <v>589</v>
      </c>
      <c r="I1152" s="92" t="s">
        <v>3892</v>
      </c>
      <c r="K1152" s="71" t="s">
        <v>511</v>
      </c>
      <c r="L1152" t="s">
        <v>2304</v>
      </c>
      <c r="M1152" t="str">
        <f t="shared" si="87"/>
        <v>23</v>
      </c>
      <c r="N1152" t="str">
        <f t="shared" si="88"/>
        <v>01</v>
      </c>
      <c r="O1152" t="str">
        <f t="shared" si="85"/>
        <v>2025</v>
      </c>
      <c r="P1152" t="str">
        <f t="shared" si="89"/>
        <v>23-01-2025</v>
      </c>
    </row>
    <row r="1153" spans="2:16" x14ac:dyDescent="0.3">
      <c r="B1153" s="70">
        <v>45681</v>
      </c>
      <c r="C1153" s="70">
        <f t="shared" si="86"/>
        <v>45658</v>
      </c>
      <c r="D1153" s="94">
        <v>0</v>
      </c>
      <c r="E1153" s="94">
        <v>2421.16</v>
      </c>
      <c r="F1153" s="92" t="s">
        <v>3621</v>
      </c>
      <c r="G1153" s="75"/>
      <c r="H1153" s="92" t="s">
        <v>3881</v>
      </c>
      <c r="I1153" s="92" t="s">
        <v>3889</v>
      </c>
      <c r="K1153" s="71" t="s">
        <v>2523</v>
      </c>
      <c r="L1153" t="s">
        <v>1249</v>
      </c>
      <c r="M1153" t="str">
        <f t="shared" si="87"/>
        <v>24</v>
      </c>
      <c r="N1153" t="str">
        <f t="shared" si="88"/>
        <v>01</v>
      </c>
      <c r="O1153" t="str">
        <f t="shared" si="85"/>
        <v>2025</v>
      </c>
      <c r="P1153" t="str">
        <f t="shared" si="89"/>
        <v>24-01-2025</v>
      </c>
    </row>
    <row r="1154" spans="2:16" x14ac:dyDescent="0.3">
      <c r="B1154" s="70">
        <v>45681</v>
      </c>
      <c r="C1154" s="70">
        <f t="shared" si="86"/>
        <v>45658</v>
      </c>
      <c r="D1154" s="94">
        <v>82.01</v>
      </c>
      <c r="E1154" s="94">
        <v>0</v>
      </c>
      <c r="F1154" s="92" t="s">
        <v>3622</v>
      </c>
      <c r="G1154" s="75"/>
      <c r="H1154" s="92" t="s">
        <v>3881</v>
      </c>
      <c r="I1154" s="92" t="s">
        <v>3889</v>
      </c>
      <c r="K1154" s="71" t="s">
        <v>217</v>
      </c>
      <c r="L1154" t="s">
        <v>30</v>
      </c>
      <c r="M1154" t="str">
        <f t="shared" si="87"/>
        <v>24</v>
      </c>
      <c r="N1154" t="str">
        <f t="shared" si="88"/>
        <v>01</v>
      </c>
      <c r="O1154" t="str">
        <f t="shared" si="85"/>
        <v>2025</v>
      </c>
      <c r="P1154" t="str">
        <f t="shared" si="89"/>
        <v>24-01-2025</v>
      </c>
    </row>
    <row r="1155" spans="2:16" x14ac:dyDescent="0.3">
      <c r="B1155" s="70">
        <v>45681</v>
      </c>
      <c r="C1155" s="70">
        <f t="shared" si="86"/>
        <v>45658</v>
      </c>
      <c r="D1155" s="94">
        <v>9112.92</v>
      </c>
      <c r="E1155" s="94">
        <v>0</v>
      </c>
      <c r="F1155" s="92" t="s">
        <v>3622</v>
      </c>
      <c r="G1155" s="75"/>
      <c r="H1155" s="92" t="s">
        <v>3881</v>
      </c>
      <c r="I1155" s="92" t="s">
        <v>3889</v>
      </c>
      <c r="K1155" s="71" t="s">
        <v>217</v>
      </c>
      <c r="L1155" t="s">
        <v>30</v>
      </c>
      <c r="M1155" t="str">
        <f t="shared" si="87"/>
        <v>24</v>
      </c>
      <c r="N1155" t="str">
        <f t="shared" si="88"/>
        <v>01</v>
      </c>
      <c r="O1155" t="str">
        <f t="shared" ref="O1155:O1218" si="90">TEXT(B1155,"YYYY")</f>
        <v>2025</v>
      </c>
      <c r="P1155" t="str">
        <f t="shared" si="89"/>
        <v>24-01-2025</v>
      </c>
    </row>
    <row r="1156" spans="2:16" x14ac:dyDescent="0.3">
      <c r="B1156" s="70">
        <v>45682</v>
      </c>
      <c r="C1156" s="70">
        <f t="shared" ref="C1156:C1219" si="91">EOMONTH(B1156,-1)+1</f>
        <v>45658</v>
      </c>
      <c r="D1156" s="94">
        <v>5000</v>
      </c>
      <c r="E1156" s="94">
        <v>0</v>
      </c>
      <c r="F1156" s="92" t="s">
        <v>3623</v>
      </c>
      <c r="G1156" s="75"/>
      <c r="H1156" s="92" t="s">
        <v>589</v>
      </c>
      <c r="I1156" s="92" t="s">
        <v>3893</v>
      </c>
      <c r="K1156" s="71" t="s">
        <v>511</v>
      </c>
      <c r="L1156" t="s">
        <v>1458</v>
      </c>
      <c r="M1156" t="str">
        <f t="shared" ref="M1156:M1219" si="92">TEXT(B1156,"DD")</f>
        <v>25</v>
      </c>
      <c r="N1156" t="str">
        <f t="shared" ref="N1156:N1219" si="93">TEXT(B1156,"MM")</f>
        <v>01</v>
      </c>
      <c r="O1156" t="str">
        <f t="shared" si="90"/>
        <v>2025</v>
      </c>
      <c r="P1156" t="str">
        <f t="shared" ref="P1156:P1219" si="94">M1156&amp;"-"&amp;N1156&amp;"-"&amp;O1156</f>
        <v>25-01-2025</v>
      </c>
    </row>
    <row r="1157" spans="2:16" x14ac:dyDescent="0.3">
      <c r="B1157" s="70">
        <v>45682</v>
      </c>
      <c r="C1157" s="70">
        <f t="shared" si="91"/>
        <v>45658</v>
      </c>
      <c r="D1157" s="94">
        <v>1500</v>
      </c>
      <c r="E1157" s="94">
        <v>0</v>
      </c>
      <c r="F1157" s="92" t="s">
        <v>3624</v>
      </c>
      <c r="G1157" s="75"/>
      <c r="H1157" s="92" t="s">
        <v>589</v>
      </c>
      <c r="I1157" s="92" t="s">
        <v>3892</v>
      </c>
      <c r="K1157" s="71" t="s">
        <v>511</v>
      </c>
      <c r="L1157" t="s">
        <v>2306</v>
      </c>
      <c r="M1157" t="str">
        <f t="shared" si="92"/>
        <v>25</v>
      </c>
      <c r="N1157" t="str">
        <f t="shared" si="93"/>
        <v>01</v>
      </c>
      <c r="O1157" t="str">
        <f t="shared" si="90"/>
        <v>2025</v>
      </c>
      <c r="P1157" t="str">
        <f t="shared" si="94"/>
        <v>25-01-2025</v>
      </c>
    </row>
    <row r="1158" spans="2:16" x14ac:dyDescent="0.3">
      <c r="B1158" s="70">
        <v>45682</v>
      </c>
      <c r="C1158" s="70">
        <f t="shared" si="91"/>
        <v>45658</v>
      </c>
      <c r="D1158" s="94">
        <v>0</v>
      </c>
      <c r="E1158" s="94">
        <v>5000</v>
      </c>
      <c r="F1158" s="92" t="s">
        <v>3625</v>
      </c>
      <c r="G1158" s="75"/>
      <c r="H1158" s="92" t="s">
        <v>589</v>
      </c>
      <c r="I1158" s="92" t="s">
        <v>3892</v>
      </c>
      <c r="K1158" s="71" t="s">
        <v>511</v>
      </c>
      <c r="L1158" t="s">
        <v>2308</v>
      </c>
      <c r="M1158" t="str">
        <f t="shared" si="92"/>
        <v>25</v>
      </c>
      <c r="N1158" t="str">
        <f t="shared" si="93"/>
        <v>01</v>
      </c>
      <c r="O1158" t="str">
        <f t="shared" si="90"/>
        <v>2025</v>
      </c>
      <c r="P1158" t="str">
        <f t="shared" si="94"/>
        <v>25-01-2025</v>
      </c>
    </row>
    <row r="1159" spans="2:16" x14ac:dyDescent="0.3">
      <c r="B1159" s="70">
        <v>45684</v>
      </c>
      <c r="C1159" s="70">
        <f t="shared" si="91"/>
        <v>45658</v>
      </c>
      <c r="D1159" s="94">
        <v>238.86</v>
      </c>
      <c r="E1159" s="94">
        <v>0</v>
      </c>
      <c r="F1159" s="92" t="s">
        <v>3626</v>
      </c>
      <c r="G1159" s="75"/>
      <c r="H1159" s="92" t="s">
        <v>3881</v>
      </c>
      <c r="I1159" s="92" t="s">
        <v>3889</v>
      </c>
      <c r="K1159" s="71" t="s">
        <v>217</v>
      </c>
      <c r="L1159" t="s">
        <v>30</v>
      </c>
      <c r="M1159" t="str">
        <f t="shared" si="92"/>
        <v>27</v>
      </c>
      <c r="N1159" t="str">
        <f t="shared" si="93"/>
        <v>01</v>
      </c>
      <c r="O1159" t="str">
        <f t="shared" si="90"/>
        <v>2025</v>
      </c>
      <c r="P1159" t="str">
        <f t="shared" si="94"/>
        <v>27-01-2025</v>
      </c>
    </row>
    <row r="1160" spans="2:16" x14ac:dyDescent="0.3">
      <c r="B1160" s="70">
        <v>45684</v>
      </c>
      <c r="C1160" s="70">
        <f t="shared" si="91"/>
        <v>45658</v>
      </c>
      <c r="D1160" s="94">
        <v>4938.5200000000004</v>
      </c>
      <c r="E1160" s="94">
        <v>0</v>
      </c>
      <c r="F1160" s="92" t="s">
        <v>3626</v>
      </c>
      <c r="G1160" s="75"/>
      <c r="H1160" s="92" t="s">
        <v>3881</v>
      </c>
      <c r="I1160" s="92" t="s">
        <v>3889</v>
      </c>
      <c r="K1160" s="71" t="s">
        <v>217</v>
      </c>
      <c r="L1160" t="s">
        <v>30</v>
      </c>
      <c r="M1160" t="str">
        <f t="shared" si="92"/>
        <v>27</v>
      </c>
      <c r="N1160" t="str">
        <f t="shared" si="93"/>
        <v>01</v>
      </c>
      <c r="O1160" t="str">
        <f t="shared" si="90"/>
        <v>2025</v>
      </c>
      <c r="P1160" t="str">
        <f t="shared" si="94"/>
        <v>27-01-2025</v>
      </c>
    </row>
    <row r="1161" spans="2:16" x14ac:dyDescent="0.3">
      <c r="B1161" s="70">
        <v>45684</v>
      </c>
      <c r="C1161" s="70">
        <f t="shared" si="91"/>
        <v>45658</v>
      </c>
      <c r="D1161" s="94">
        <v>1500</v>
      </c>
      <c r="E1161" s="94">
        <v>0</v>
      </c>
      <c r="F1161" s="92" t="s">
        <v>3627</v>
      </c>
      <c r="G1161" s="75"/>
      <c r="H1161" s="92" t="s">
        <v>589</v>
      </c>
      <c r="I1161" s="92" t="s">
        <v>3892</v>
      </c>
      <c r="K1161" s="71" t="s">
        <v>511</v>
      </c>
      <c r="L1161" t="s">
        <v>2310</v>
      </c>
      <c r="M1161" t="str">
        <f t="shared" si="92"/>
        <v>27</v>
      </c>
      <c r="N1161" t="str">
        <f t="shared" si="93"/>
        <v>01</v>
      </c>
      <c r="O1161" t="str">
        <f t="shared" si="90"/>
        <v>2025</v>
      </c>
      <c r="P1161" t="str">
        <f t="shared" si="94"/>
        <v>27-01-2025</v>
      </c>
    </row>
    <row r="1162" spans="2:16" x14ac:dyDescent="0.3">
      <c r="B1162" s="70">
        <v>45685</v>
      </c>
      <c r="C1162" s="70">
        <f t="shared" si="91"/>
        <v>45658</v>
      </c>
      <c r="D1162" s="94">
        <v>5000</v>
      </c>
      <c r="E1162" s="94">
        <v>0</v>
      </c>
      <c r="F1162" s="92" t="s">
        <v>3628</v>
      </c>
      <c r="G1162" s="75"/>
      <c r="H1162" s="92" t="s">
        <v>2538</v>
      </c>
      <c r="I1162" s="92" t="s">
        <v>3889</v>
      </c>
      <c r="K1162" s="71" t="s">
        <v>219</v>
      </c>
      <c r="L1162" t="s">
        <v>1255</v>
      </c>
      <c r="M1162" t="str">
        <f t="shared" si="92"/>
        <v>28</v>
      </c>
      <c r="N1162" t="str">
        <f t="shared" si="93"/>
        <v>01</v>
      </c>
      <c r="O1162" t="str">
        <f t="shared" si="90"/>
        <v>2025</v>
      </c>
      <c r="P1162" t="str">
        <f t="shared" si="94"/>
        <v>28-01-2025</v>
      </c>
    </row>
    <row r="1163" spans="2:16" x14ac:dyDescent="0.3">
      <c r="B1163" s="70">
        <v>45685</v>
      </c>
      <c r="C1163" s="70">
        <f t="shared" si="91"/>
        <v>45658</v>
      </c>
      <c r="D1163" s="94">
        <v>77.87</v>
      </c>
      <c r="E1163" s="94">
        <v>0</v>
      </c>
      <c r="F1163" s="92" t="s">
        <v>3629</v>
      </c>
      <c r="G1163" s="75"/>
      <c r="H1163" s="92" t="s">
        <v>3881</v>
      </c>
      <c r="I1163" s="92" t="s">
        <v>3889</v>
      </c>
      <c r="K1163" s="71" t="s">
        <v>217</v>
      </c>
      <c r="L1163" t="s">
        <v>30</v>
      </c>
      <c r="M1163" t="str">
        <f t="shared" si="92"/>
        <v>28</v>
      </c>
      <c r="N1163" t="str">
        <f t="shared" si="93"/>
        <v>01</v>
      </c>
      <c r="O1163" t="str">
        <f t="shared" si="90"/>
        <v>2025</v>
      </c>
      <c r="P1163" t="str">
        <f t="shared" si="94"/>
        <v>28-01-2025</v>
      </c>
    </row>
    <row r="1164" spans="2:16" x14ac:dyDescent="0.3">
      <c r="B1164" s="70">
        <v>45685</v>
      </c>
      <c r="C1164" s="70">
        <f t="shared" si="91"/>
        <v>45658</v>
      </c>
      <c r="D1164" s="94">
        <v>0</v>
      </c>
      <c r="E1164" s="94">
        <v>127000</v>
      </c>
      <c r="F1164" s="92" t="s">
        <v>3630</v>
      </c>
      <c r="G1164" s="75"/>
      <c r="H1164" s="92" t="s">
        <v>3877</v>
      </c>
      <c r="I1164" s="92" t="s">
        <v>3889</v>
      </c>
      <c r="K1164" s="71" t="s">
        <v>2521</v>
      </c>
      <c r="L1164" t="s">
        <v>1258</v>
      </c>
      <c r="M1164" t="str">
        <f t="shared" si="92"/>
        <v>28</v>
      </c>
      <c r="N1164" t="str">
        <f t="shared" si="93"/>
        <v>01</v>
      </c>
      <c r="O1164" t="str">
        <f t="shared" si="90"/>
        <v>2025</v>
      </c>
      <c r="P1164" t="str">
        <f t="shared" si="94"/>
        <v>28-01-2025</v>
      </c>
    </row>
    <row r="1165" spans="2:16" x14ac:dyDescent="0.3">
      <c r="B1165" s="70">
        <v>45685</v>
      </c>
      <c r="C1165" s="70">
        <f t="shared" si="91"/>
        <v>45658</v>
      </c>
      <c r="D1165" s="94">
        <v>1074.56</v>
      </c>
      <c r="E1165" s="94">
        <v>0</v>
      </c>
      <c r="F1165" s="92" t="s">
        <v>3629</v>
      </c>
      <c r="G1165" s="75"/>
      <c r="H1165" s="92" t="s">
        <v>3881</v>
      </c>
      <c r="I1165" s="92" t="s">
        <v>3889</v>
      </c>
      <c r="K1165" s="71" t="s">
        <v>217</v>
      </c>
      <c r="L1165" t="s">
        <v>30</v>
      </c>
      <c r="M1165" t="str">
        <f t="shared" si="92"/>
        <v>28</v>
      </c>
      <c r="N1165" t="str">
        <f t="shared" si="93"/>
        <v>01</v>
      </c>
      <c r="O1165" t="str">
        <f t="shared" si="90"/>
        <v>2025</v>
      </c>
      <c r="P1165" t="str">
        <f t="shared" si="94"/>
        <v>28-01-2025</v>
      </c>
    </row>
    <row r="1166" spans="2:16" x14ac:dyDescent="0.3">
      <c r="B1166" s="70">
        <v>45685</v>
      </c>
      <c r="C1166" s="70">
        <f t="shared" si="91"/>
        <v>45658</v>
      </c>
      <c r="D1166" s="94">
        <v>7000</v>
      </c>
      <c r="E1166" s="94">
        <v>0</v>
      </c>
      <c r="F1166" s="92" t="s">
        <v>3631</v>
      </c>
      <c r="G1166" s="75"/>
      <c r="H1166" s="92" t="s">
        <v>2538</v>
      </c>
      <c r="I1166" s="92" t="s">
        <v>3892</v>
      </c>
      <c r="K1166" s="71" t="s">
        <v>2532</v>
      </c>
      <c r="L1166" t="s">
        <v>2312</v>
      </c>
      <c r="M1166" t="str">
        <f t="shared" si="92"/>
        <v>28</v>
      </c>
      <c r="N1166" t="str">
        <f t="shared" si="93"/>
        <v>01</v>
      </c>
      <c r="O1166" t="str">
        <f t="shared" si="90"/>
        <v>2025</v>
      </c>
      <c r="P1166" t="str">
        <f t="shared" si="94"/>
        <v>28-01-2025</v>
      </c>
    </row>
    <row r="1167" spans="2:16" x14ac:dyDescent="0.3">
      <c r="B1167" s="70">
        <v>45685</v>
      </c>
      <c r="C1167" s="70">
        <f t="shared" si="91"/>
        <v>45658</v>
      </c>
      <c r="D1167" s="94">
        <v>1500</v>
      </c>
      <c r="E1167" s="94">
        <v>0</v>
      </c>
      <c r="F1167" s="92" t="s">
        <v>3632</v>
      </c>
      <c r="G1167" s="75"/>
      <c r="H1167" s="92" t="s">
        <v>589</v>
      </c>
      <c r="I1167" s="92" t="s">
        <v>3892</v>
      </c>
      <c r="K1167" s="71" t="s">
        <v>511</v>
      </c>
      <c r="L1167" t="s">
        <v>2314</v>
      </c>
      <c r="M1167" t="str">
        <f t="shared" si="92"/>
        <v>28</v>
      </c>
      <c r="N1167" t="str">
        <f t="shared" si="93"/>
        <v>01</v>
      </c>
      <c r="O1167" t="str">
        <f t="shared" si="90"/>
        <v>2025</v>
      </c>
      <c r="P1167" t="str">
        <f t="shared" si="94"/>
        <v>28-01-2025</v>
      </c>
    </row>
    <row r="1168" spans="2:16" x14ac:dyDescent="0.3">
      <c r="B1168" s="70">
        <v>45686</v>
      </c>
      <c r="C1168" s="70">
        <f t="shared" si="91"/>
        <v>45658</v>
      </c>
      <c r="D1168" s="94">
        <v>5.9</v>
      </c>
      <c r="E1168" s="94">
        <v>0</v>
      </c>
      <c r="F1168" s="92" t="s">
        <v>3633</v>
      </c>
      <c r="G1168" s="75"/>
      <c r="H1168" s="92" t="s">
        <v>221</v>
      </c>
      <c r="I1168" s="92" t="s">
        <v>3889</v>
      </c>
      <c r="K1168" s="71" t="s">
        <v>221</v>
      </c>
      <c r="L1168" t="s">
        <v>1260</v>
      </c>
      <c r="M1168" t="str">
        <f t="shared" si="92"/>
        <v>29</v>
      </c>
      <c r="N1168" t="str">
        <f t="shared" si="93"/>
        <v>01</v>
      </c>
      <c r="O1168" t="str">
        <f t="shared" si="90"/>
        <v>2025</v>
      </c>
      <c r="P1168" t="str">
        <f t="shared" si="94"/>
        <v>29-01-2025</v>
      </c>
    </row>
    <row r="1169" spans="2:16" x14ac:dyDescent="0.3">
      <c r="B1169" s="70">
        <v>45686</v>
      </c>
      <c r="C1169" s="70">
        <f t="shared" si="91"/>
        <v>45658</v>
      </c>
      <c r="D1169" s="94">
        <v>77.48</v>
      </c>
      <c r="E1169" s="94">
        <v>0</v>
      </c>
      <c r="F1169" s="92" t="s">
        <v>3634</v>
      </c>
      <c r="G1169" s="75"/>
      <c r="H1169" s="92" t="s">
        <v>3881</v>
      </c>
      <c r="I1169" s="92" t="s">
        <v>3889</v>
      </c>
      <c r="K1169" s="71" t="s">
        <v>217</v>
      </c>
      <c r="L1169" t="s">
        <v>30</v>
      </c>
      <c r="M1169" t="str">
        <f t="shared" si="92"/>
        <v>29</v>
      </c>
      <c r="N1169" t="str">
        <f t="shared" si="93"/>
        <v>01</v>
      </c>
      <c r="O1169" t="str">
        <f t="shared" si="90"/>
        <v>2025</v>
      </c>
      <c r="P1169" t="str">
        <f t="shared" si="94"/>
        <v>29-01-2025</v>
      </c>
    </row>
    <row r="1170" spans="2:16" x14ac:dyDescent="0.3">
      <c r="B1170" s="70">
        <v>45686</v>
      </c>
      <c r="C1170" s="70">
        <f t="shared" si="91"/>
        <v>45658</v>
      </c>
      <c r="D1170" s="94">
        <v>1500</v>
      </c>
      <c r="E1170" s="94">
        <v>0</v>
      </c>
      <c r="F1170" s="92" t="s">
        <v>3635</v>
      </c>
      <c r="G1170" s="75"/>
      <c r="H1170" s="92" t="s">
        <v>589</v>
      </c>
      <c r="I1170" s="92" t="s">
        <v>3892</v>
      </c>
      <c r="K1170" s="71" t="s">
        <v>511</v>
      </c>
      <c r="L1170" t="s">
        <v>2316</v>
      </c>
      <c r="M1170" t="str">
        <f t="shared" si="92"/>
        <v>29</v>
      </c>
      <c r="N1170" t="str">
        <f t="shared" si="93"/>
        <v>01</v>
      </c>
      <c r="O1170" t="str">
        <f t="shared" si="90"/>
        <v>2025</v>
      </c>
      <c r="P1170" t="str">
        <f t="shared" si="94"/>
        <v>29-01-2025</v>
      </c>
    </row>
    <row r="1171" spans="2:16" x14ac:dyDescent="0.3">
      <c r="B1171" s="70">
        <v>45687</v>
      </c>
      <c r="C1171" s="70">
        <f t="shared" si="91"/>
        <v>45658</v>
      </c>
      <c r="D1171" s="94">
        <v>0</v>
      </c>
      <c r="E1171" s="94">
        <v>5823.56</v>
      </c>
      <c r="F1171" s="92" t="s">
        <v>3636</v>
      </c>
      <c r="G1171" s="75"/>
      <c r="H1171" s="92" t="s">
        <v>3881</v>
      </c>
      <c r="I1171" s="92" t="s">
        <v>3889</v>
      </c>
      <c r="K1171" s="71" t="s">
        <v>2523</v>
      </c>
      <c r="L1171" t="s">
        <v>1263</v>
      </c>
      <c r="M1171" t="str">
        <f t="shared" si="92"/>
        <v>30</v>
      </c>
      <c r="N1171" t="str">
        <f t="shared" si="93"/>
        <v>01</v>
      </c>
      <c r="O1171" t="str">
        <f t="shared" si="90"/>
        <v>2025</v>
      </c>
      <c r="P1171" t="str">
        <f t="shared" si="94"/>
        <v>30-01-2025</v>
      </c>
    </row>
    <row r="1172" spans="2:16" x14ac:dyDescent="0.3">
      <c r="B1172" s="70">
        <v>45687</v>
      </c>
      <c r="C1172" s="70">
        <f t="shared" si="91"/>
        <v>45658</v>
      </c>
      <c r="D1172" s="94">
        <v>5000</v>
      </c>
      <c r="E1172" s="94">
        <v>0</v>
      </c>
      <c r="F1172" s="92" t="s">
        <v>3637</v>
      </c>
      <c r="G1172" s="75"/>
      <c r="H1172" s="92" t="s">
        <v>2538</v>
      </c>
      <c r="I1172" s="92" t="s">
        <v>3889</v>
      </c>
      <c r="K1172" s="71" t="s">
        <v>219</v>
      </c>
      <c r="L1172" t="s">
        <v>1265</v>
      </c>
      <c r="M1172" t="str">
        <f t="shared" si="92"/>
        <v>30</v>
      </c>
      <c r="N1172" t="str">
        <f t="shared" si="93"/>
        <v>01</v>
      </c>
      <c r="O1172" t="str">
        <f t="shared" si="90"/>
        <v>2025</v>
      </c>
      <c r="P1172" t="str">
        <f t="shared" si="94"/>
        <v>30-01-2025</v>
      </c>
    </row>
    <row r="1173" spans="2:16" x14ac:dyDescent="0.3">
      <c r="B1173" s="70">
        <v>45687</v>
      </c>
      <c r="C1173" s="70">
        <f t="shared" si="91"/>
        <v>45658</v>
      </c>
      <c r="D1173" s="94">
        <v>77.48</v>
      </c>
      <c r="E1173" s="94">
        <v>0</v>
      </c>
      <c r="F1173" s="92" t="s">
        <v>3638</v>
      </c>
      <c r="G1173" s="75"/>
      <c r="H1173" s="92" t="s">
        <v>3881</v>
      </c>
      <c r="I1173" s="92" t="s">
        <v>3889</v>
      </c>
      <c r="K1173" s="71" t="s">
        <v>217</v>
      </c>
      <c r="L1173" t="s">
        <v>30</v>
      </c>
      <c r="M1173" t="str">
        <f t="shared" si="92"/>
        <v>30</v>
      </c>
      <c r="N1173" t="str">
        <f t="shared" si="93"/>
        <v>01</v>
      </c>
      <c r="O1173" t="str">
        <f t="shared" si="90"/>
        <v>2025</v>
      </c>
      <c r="P1173" t="str">
        <f t="shared" si="94"/>
        <v>30-01-2025</v>
      </c>
    </row>
    <row r="1174" spans="2:16" x14ac:dyDescent="0.3">
      <c r="B1174" s="70">
        <v>45687</v>
      </c>
      <c r="C1174" s="70">
        <f t="shared" si="91"/>
        <v>45658</v>
      </c>
      <c r="D1174" s="94">
        <v>1679.68</v>
      </c>
      <c r="E1174" s="94">
        <v>0</v>
      </c>
      <c r="F1174" s="92" t="s">
        <v>3639</v>
      </c>
      <c r="G1174" s="75"/>
      <c r="H1174" s="92" t="s">
        <v>589</v>
      </c>
      <c r="I1174" s="92" t="s">
        <v>3892</v>
      </c>
      <c r="K1174" s="71" t="s">
        <v>511</v>
      </c>
      <c r="L1174" t="s">
        <v>2318</v>
      </c>
      <c r="M1174" t="str">
        <f t="shared" si="92"/>
        <v>30</v>
      </c>
      <c r="N1174" t="str">
        <f t="shared" si="93"/>
        <v>01</v>
      </c>
      <c r="O1174" t="str">
        <f t="shared" si="90"/>
        <v>2025</v>
      </c>
      <c r="P1174" t="str">
        <f t="shared" si="94"/>
        <v>30-01-2025</v>
      </c>
    </row>
    <row r="1175" spans="2:16" x14ac:dyDescent="0.3">
      <c r="B1175" s="70">
        <v>45687</v>
      </c>
      <c r="C1175" s="70">
        <f t="shared" si="91"/>
        <v>45658</v>
      </c>
      <c r="D1175" s="94">
        <v>0</v>
      </c>
      <c r="E1175" s="94">
        <v>68924</v>
      </c>
      <c r="F1175" s="92" t="s">
        <v>3640</v>
      </c>
      <c r="G1175" s="75"/>
      <c r="H1175" s="92" t="s">
        <v>507</v>
      </c>
      <c r="I1175" s="92" t="s">
        <v>3892</v>
      </c>
      <c r="K1175" s="71" t="s">
        <v>507</v>
      </c>
      <c r="L1175" t="s">
        <v>358</v>
      </c>
      <c r="M1175" t="str">
        <f t="shared" si="92"/>
        <v>30</v>
      </c>
      <c r="N1175" t="str">
        <f t="shared" si="93"/>
        <v>01</v>
      </c>
      <c r="O1175" t="str">
        <f t="shared" si="90"/>
        <v>2025</v>
      </c>
      <c r="P1175" t="str">
        <f t="shared" si="94"/>
        <v>30-01-2025</v>
      </c>
    </row>
    <row r="1176" spans="2:16" x14ac:dyDescent="0.3">
      <c r="B1176" s="70">
        <v>45688</v>
      </c>
      <c r="C1176" s="70">
        <f t="shared" si="91"/>
        <v>45658</v>
      </c>
      <c r="D1176" s="94">
        <v>0</v>
      </c>
      <c r="E1176" s="94">
        <v>3231.94</v>
      </c>
      <c r="F1176" s="92" t="s">
        <v>3641</v>
      </c>
      <c r="G1176" s="75"/>
      <c r="H1176" s="92" t="s">
        <v>3881</v>
      </c>
      <c r="I1176" s="92" t="s">
        <v>3889</v>
      </c>
      <c r="K1176" s="71" t="s">
        <v>2523</v>
      </c>
      <c r="L1176" t="s">
        <v>1268</v>
      </c>
      <c r="M1176" t="str">
        <f t="shared" si="92"/>
        <v>31</v>
      </c>
      <c r="N1176" t="str">
        <f t="shared" si="93"/>
        <v>01</v>
      </c>
      <c r="O1176" t="str">
        <f t="shared" si="90"/>
        <v>2025</v>
      </c>
      <c r="P1176" t="str">
        <f t="shared" si="94"/>
        <v>31-01-2025</v>
      </c>
    </row>
    <row r="1177" spans="2:16" x14ac:dyDescent="0.3">
      <c r="B1177" s="70">
        <v>45688</v>
      </c>
      <c r="C1177" s="70">
        <f t="shared" si="91"/>
        <v>45658</v>
      </c>
      <c r="D1177" s="94">
        <v>79.56</v>
      </c>
      <c r="E1177" s="94">
        <v>0</v>
      </c>
      <c r="F1177" s="92" t="s">
        <v>3642</v>
      </c>
      <c r="G1177" s="75"/>
      <c r="H1177" s="92" t="s">
        <v>3881</v>
      </c>
      <c r="I1177" s="92" t="s">
        <v>3889</v>
      </c>
      <c r="K1177" s="71" t="s">
        <v>217</v>
      </c>
      <c r="L1177" t="s">
        <v>30</v>
      </c>
      <c r="M1177" t="str">
        <f t="shared" si="92"/>
        <v>31</v>
      </c>
      <c r="N1177" t="str">
        <f t="shared" si="93"/>
        <v>01</v>
      </c>
      <c r="O1177" t="str">
        <f t="shared" si="90"/>
        <v>2025</v>
      </c>
      <c r="P1177" t="str">
        <f t="shared" si="94"/>
        <v>31-01-2025</v>
      </c>
    </row>
    <row r="1178" spans="2:16" x14ac:dyDescent="0.3">
      <c r="B1178" s="70">
        <v>45688</v>
      </c>
      <c r="C1178" s="70">
        <f t="shared" si="91"/>
        <v>45658</v>
      </c>
      <c r="D1178" s="94">
        <v>3200</v>
      </c>
      <c r="E1178" s="94">
        <v>0</v>
      </c>
      <c r="F1178" s="92" t="s">
        <v>3643</v>
      </c>
      <c r="G1178" s="75"/>
      <c r="H1178" s="92" t="s">
        <v>589</v>
      </c>
      <c r="I1178" s="92" t="s">
        <v>3892</v>
      </c>
      <c r="K1178" s="71" t="s">
        <v>511</v>
      </c>
      <c r="L1178" t="s">
        <v>2321</v>
      </c>
      <c r="M1178" t="str">
        <f t="shared" si="92"/>
        <v>31</v>
      </c>
      <c r="N1178" t="str">
        <f t="shared" si="93"/>
        <v>01</v>
      </c>
      <c r="O1178" t="str">
        <f t="shared" si="90"/>
        <v>2025</v>
      </c>
      <c r="P1178" t="str">
        <f t="shared" si="94"/>
        <v>31-01-2025</v>
      </c>
    </row>
    <row r="1179" spans="2:16" x14ac:dyDescent="0.3">
      <c r="B1179" s="70">
        <v>45689</v>
      </c>
      <c r="C1179" s="70">
        <f t="shared" si="91"/>
        <v>45689</v>
      </c>
      <c r="D1179" s="94">
        <v>45</v>
      </c>
      <c r="E1179" s="94">
        <v>0</v>
      </c>
      <c r="F1179" s="92" t="s">
        <v>3644</v>
      </c>
      <c r="G1179" s="75"/>
      <c r="H1179" s="92" t="s">
        <v>589</v>
      </c>
      <c r="I1179" s="92" t="s">
        <v>3892</v>
      </c>
      <c r="K1179" s="71" t="s">
        <v>511</v>
      </c>
      <c r="L1179" t="s">
        <v>2323</v>
      </c>
      <c r="M1179" t="str">
        <f t="shared" si="92"/>
        <v>01</v>
      </c>
      <c r="N1179" t="str">
        <f t="shared" si="93"/>
        <v>02</v>
      </c>
      <c r="O1179" t="str">
        <f t="shared" si="90"/>
        <v>2025</v>
      </c>
      <c r="P1179" t="str">
        <f t="shared" si="94"/>
        <v>01-02-2025</v>
      </c>
    </row>
    <row r="1180" spans="2:16" x14ac:dyDescent="0.3">
      <c r="B1180" s="70">
        <v>45689</v>
      </c>
      <c r="C1180" s="70">
        <f t="shared" si="91"/>
        <v>45689</v>
      </c>
      <c r="D1180" s="94">
        <v>0</v>
      </c>
      <c r="E1180" s="94">
        <v>1</v>
      </c>
      <c r="F1180" s="92" t="s">
        <v>3645</v>
      </c>
      <c r="G1180" s="92" t="s">
        <v>2573</v>
      </c>
      <c r="H1180" s="92" t="s">
        <v>227</v>
      </c>
      <c r="I1180" s="92" t="s">
        <v>3894</v>
      </c>
      <c r="K1180" s="71" t="s">
        <v>227</v>
      </c>
      <c r="L1180" t="s">
        <v>2570</v>
      </c>
      <c r="M1180" t="str">
        <f t="shared" si="92"/>
        <v>01</v>
      </c>
      <c r="N1180" t="str">
        <f t="shared" si="93"/>
        <v>02</v>
      </c>
      <c r="O1180" t="str">
        <f t="shared" si="90"/>
        <v>2025</v>
      </c>
      <c r="P1180" t="str">
        <f t="shared" si="94"/>
        <v>01-02-2025</v>
      </c>
    </row>
    <row r="1181" spans="2:16" x14ac:dyDescent="0.3">
      <c r="B1181" s="70">
        <v>45690</v>
      </c>
      <c r="C1181" s="70">
        <f t="shared" si="91"/>
        <v>45689</v>
      </c>
      <c r="D1181" s="94">
        <v>374.05</v>
      </c>
      <c r="E1181" s="94">
        <v>0</v>
      </c>
      <c r="F1181" s="92" t="s">
        <v>3646</v>
      </c>
      <c r="G1181" s="75"/>
      <c r="H1181" s="92" t="s">
        <v>3881</v>
      </c>
      <c r="I1181" s="92" t="s">
        <v>3889</v>
      </c>
      <c r="K1181" s="71" t="s">
        <v>217</v>
      </c>
      <c r="L1181" t="s">
        <v>30</v>
      </c>
      <c r="M1181" t="str">
        <f t="shared" si="92"/>
        <v>02</v>
      </c>
      <c r="N1181" t="str">
        <f t="shared" si="93"/>
        <v>02</v>
      </c>
      <c r="O1181" t="str">
        <f t="shared" si="90"/>
        <v>2025</v>
      </c>
      <c r="P1181" t="str">
        <f t="shared" si="94"/>
        <v>02-02-2025</v>
      </c>
    </row>
    <row r="1182" spans="2:16" x14ac:dyDescent="0.3">
      <c r="B1182" s="70">
        <v>45690</v>
      </c>
      <c r="C1182" s="70">
        <f t="shared" si="91"/>
        <v>45689</v>
      </c>
      <c r="D1182" s="94">
        <v>40</v>
      </c>
      <c r="E1182" s="94">
        <v>0</v>
      </c>
      <c r="F1182" s="92" t="s">
        <v>3647</v>
      </c>
      <c r="G1182" s="75"/>
      <c r="H1182" s="92" t="s">
        <v>589</v>
      </c>
      <c r="I1182" s="92" t="s">
        <v>3892</v>
      </c>
      <c r="K1182" s="71" t="s">
        <v>511</v>
      </c>
      <c r="L1182" t="s">
        <v>2325</v>
      </c>
      <c r="M1182" t="str">
        <f t="shared" si="92"/>
        <v>02</v>
      </c>
      <c r="N1182" t="str">
        <f t="shared" si="93"/>
        <v>02</v>
      </c>
      <c r="O1182" t="str">
        <f t="shared" si="90"/>
        <v>2025</v>
      </c>
      <c r="P1182" t="str">
        <f t="shared" si="94"/>
        <v>02-02-2025</v>
      </c>
    </row>
    <row r="1183" spans="2:16" x14ac:dyDescent="0.3">
      <c r="B1183" s="70">
        <v>45690</v>
      </c>
      <c r="C1183" s="70">
        <f t="shared" si="91"/>
        <v>45689</v>
      </c>
      <c r="D1183" s="94">
        <v>350</v>
      </c>
      <c r="E1183" s="94">
        <v>0</v>
      </c>
      <c r="F1183" s="92" t="s">
        <v>3648</v>
      </c>
      <c r="G1183" s="75"/>
      <c r="H1183" s="92" t="s">
        <v>589</v>
      </c>
      <c r="I1183" s="92" t="s">
        <v>3892</v>
      </c>
      <c r="K1183" s="71" t="s">
        <v>511</v>
      </c>
      <c r="L1183" t="s">
        <v>2327</v>
      </c>
      <c r="M1183" t="str">
        <f t="shared" si="92"/>
        <v>02</v>
      </c>
      <c r="N1183" t="str">
        <f t="shared" si="93"/>
        <v>02</v>
      </c>
      <c r="O1183" t="str">
        <f t="shared" si="90"/>
        <v>2025</v>
      </c>
      <c r="P1183" t="str">
        <f t="shared" si="94"/>
        <v>02-02-2025</v>
      </c>
    </row>
    <row r="1184" spans="2:16" x14ac:dyDescent="0.3">
      <c r="B1184" s="70">
        <v>45690</v>
      </c>
      <c r="C1184" s="70">
        <f t="shared" si="91"/>
        <v>45689</v>
      </c>
      <c r="D1184" s="94">
        <v>70</v>
      </c>
      <c r="E1184" s="94">
        <v>0</v>
      </c>
      <c r="F1184" s="92" t="s">
        <v>3649</v>
      </c>
      <c r="G1184" s="75"/>
      <c r="H1184" s="92" t="s">
        <v>589</v>
      </c>
      <c r="I1184" s="92" t="s">
        <v>3892</v>
      </c>
      <c r="K1184" s="71" t="s">
        <v>511</v>
      </c>
      <c r="L1184" t="s">
        <v>2329</v>
      </c>
      <c r="M1184" t="str">
        <f t="shared" si="92"/>
        <v>02</v>
      </c>
      <c r="N1184" t="str">
        <f t="shared" si="93"/>
        <v>02</v>
      </c>
      <c r="O1184" t="str">
        <f t="shared" si="90"/>
        <v>2025</v>
      </c>
      <c r="P1184" t="str">
        <f t="shared" si="94"/>
        <v>02-02-2025</v>
      </c>
    </row>
    <row r="1185" spans="2:16" x14ac:dyDescent="0.3">
      <c r="B1185" s="70">
        <v>45691</v>
      </c>
      <c r="C1185" s="70">
        <f t="shared" si="91"/>
        <v>45689</v>
      </c>
      <c r="D1185" s="94">
        <v>0</v>
      </c>
      <c r="E1185" s="94">
        <v>988</v>
      </c>
      <c r="F1185" s="92" t="s">
        <v>3650</v>
      </c>
      <c r="G1185" s="75" t="s">
        <v>3904</v>
      </c>
      <c r="H1185" s="92" t="s">
        <v>218</v>
      </c>
      <c r="I1185" s="92" t="s">
        <v>3889</v>
      </c>
      <c r="K1185" s="71" t="s">
        <v>218</v>
      </c>
      <c r="L1185" t="s">
        <v>1272</v>
      </c>
      <c r="M1185" t="str">
        <f t="shared" si="92"/>
        <v>03</v>
      </c>
      <c r="N1185" t="str">
        <f t="shared" si="93"/>
        <v>02</v>
      </c>
      <c r="O1185" t="str">
        <f t="shared" si="90"/>
        <v>2025</v>
      </c>
      <c r="P1185" t="str">
        <f t="shared" si="94"/>
        <v>03-02-2025</v>
      </c>
    </row>
    <row r="1186" spans="2:16" x14ac:dyDescent="0.3">
      <c r="B1186" s="70">
        <v>45691</v>
      </c>
      <c r="C1186" s="70">
        <f t="shared" si="91"/>
        <v>45689</v>
      </c>
      <c r="D1186" s="94">
        <v>3930.75</v>
      </c>
      <c r="E1186" s="94">
        <v>0</v>
      </c>
      <c r="F1186" s="92" t="s">
        <v>3651</v>
      </c>
      <c r="G1186" s="75"/>
      <c r="H1186" s="92" t="s">
        <v>3881</v>
      </c>
      <c r="I1186" s="92" t="s">
        <v>3889</v>
      </c>
      <c r="K1186" s="71" t="s">
        <v>217</v>
      </c>
      <c r="L1186" t="s">
        <v>30</v>
      </c>
      <c r="M1186" t="str">
        <f t="shared" si="92"/>
        <v>03</v>
      </c>
      <c r="N1186" t="str">
        <f t="shared" si="93"/>
        <v>02</v>
      </c>
      <c r="O1186" t="str">
        <f t="shared" si="90"/>
        <v>2025</v>
      </c>
      <c r="P1186" t="str">
        <f t="shared" si="94"/>
        <v>03-02-2025</v>
      </c>
    </row>
    <row r="1187" spans="2:16" x14ac:dyDescent="0.3">
      <c r="B1187" s="70">
        <v>45691</v>
      </c>
      <c r="C1187" s="70">
        <f t="shared" si="91"/>
        <v>45689</v>
      </c>
      <c r="D1187" s="94">
        <v>0</v>
      </c>
      <c r="E1187" s="94">
        <v>100</v>
      </c>
      <c r="F1187" s="92" t="s">
        <v>3652</v>
      </c>
      <c r="G1187" s="75"/>
      <c r="H1187" s="92" t="s">
        <v>589</v>
      </c>
      <c r="I1187" s="92" t="s">
        <v>3892</v>
      </c>
      <c r="K1187" s="71" t="s">
        <v>511</v>
      </c>
      <c r="L1187" t="s">
        <v>2331</v>
      </c>
      <c r="M1187" t="str">
        <f t="shared" si="92"/>
        <v>03</v>
      </c>
      <c r="N1187" t="str">
        <f t="shared" si="93"/>
        <v>02</v>
      </c>
      <c r="O1187" t="str">
        <f t="shared" si="90"/>
        <v>2025</v>
      </c>
      <c r="P1187" t="str">
        <f t="shared" si="94"/>
        <v>03-02-2025</v>
      </c>
    </row>
    <row r="1188" spans="2:16" x14ac:dyDescent="0.3">
      <c r="B1188" s="70">
        <v>45691</v>
      </c>
      <c r="C1188" s="70">
        <f t="shared" si="91"/>
        <v>45689</v>
      </c>
      <c r="D1188" s="94">
        <v>2500</v>
      </c>
      <c r="E1188" s="94">
        <v>0</v>
      </c>
      <c r="F1188" s="92" t="s">
        <v>3653</v>
      </c>
      <c r="G1188" s="75"/>
      <c r="H1188" s="92" t="s">
        <v>589</v>
      </c>
      <c r="I1188" s="92" t="s">
        <v>3892</v>
      </c>
      <c r="K1188" s="71" t="s">
        <v>511</v>
      </c>
      <c r="L1188" t="s">
        <v>2333</v>
      </c>
      <c r="M1188" t="str">
        <f t="shared" si="92"/>
        <v>03</v>
      </c>
      <c r="N1188" t="str">
        <f t="shared" si="93"/>
        <v>02</v>
      </c>
      <c r="O1188" t="str">
        <f t="shared" si="90"/>
        <v>2025</v>
      </c>
      <c r="P1188" t="str">
        <f t="shared" si="94"/>
        <v>03-02-2025</v>
      </c>
    </row>
    <row r="1189" spans="2:16" x14ac:dyDescent="0.3">
      <c r="B1189" s="70">
        <v>45692</v>
      </c>
      <c r="C1189" s="70">
        <f t="shared" si="91"/>
        <v>45689</v>
      </c>
      <c r="D1189" s="94">
        <v>79.260000000000005</v>
      </c>
      <c r="E1189" s="94">
        <v>0</v>
      </c>
      <c r="F1189" s="92" t="s">
        <v>3654</v>
      </c>
      <c r="G1189" s="75"/>
      <c r="H1189" s="92" t="s">
        <v>3881</v>
      </c>
      <c r="I1189" s="92" t="s">
        <v>3889</v>
      </c>
      <c r="K1189" s="71" t="s">
        <v>217</v>
      </c>
      <c r="L1189" t="s">
        <v>30</v>
      </c>
      <c r="M1189" t="str">
        <f t="shared" si="92"/>
        <v>04</v>
      </c>
      <c r="N1189" t="str">
        <f t="shared" si="93"/>
        <v>02</v>
      </c>
      <c r="O1189" t="str">
        <f t="shared" si="90"/>
        <v>2025</v>
      </c>
      <c r="P1189" t="str">
        <f t="shared" si="94"/>
        <v>04-02-2025</v>
      </c>
    </row>
    <row r="1190" spans="2:16" x14ac:dyDescent="0.3">
      <c r="B1190" s="70">
        <v>45692</v>
      </c>
      <c r="C1190" s="70">
        <f t="shared" si="91"/>
        <v>45689</v>
      </c>
      <c r="D1190" s="94">
        <v>30663.59</v>
      </c>
      <c r="E1190" s="94">
        <v>0</v>
      </c>
      <c r="F1190" s="92" t="s">
        <v>3654</v>
      </c>
      <c r="G1190" s="75"/>
      <c r="H1190" s="92" t="s">
        <v>3881</v>
      </c>
      <c r="I1190" s="92" t="s">
        <v>3889</v>
      </c>
      <c r="K1190" s="71" t="s">
        <v>217</v>
      </c>
      <c r="L1190" t="s">
        <v>30</v>
      </c>
      <c r="M1190" t="str">
        <f t="shared" si="92"/>
        <v>04</v>
      </c>
      <c r="N1190" t="str">
        <f t="shared" si="93"/>
        <v>02</v>
      </c>
      <c r="O1190" t="str">
        <f t="shared" si="90"/>
        <v>2025</v>
      </c>
      <c r="P1190" t="str">
        <f t="shared" si="94"/>
        <v>04-02-2025</v>
      </c>
    </row>
    <row r="1191" spans="2:16" x14ac:dyDescent="0.3">
      <c r="B1191" s="70">
        <v>45692</v>
      </c>
      <c r="C1191" s="70">
        <f t="shared" si="91"/>
        <v>45689</v>
      </c>
      <c r="D1191" s="94">
        <v>23000</v>
      </c>
      <c r="E1191" s="94">
        <v>0</v>
      </c>
      <c r="F1191" s="92" t="s">
        <v>3655</v>
      </c>
      <c r="G1191" s="75"/>
      <c r="H1191" s="92" t="s">
        <v>512</v>
      </c>
      <c r="I1191" s="92" t="s">
        <v>3892</v>
      </c>
      <c r="K1191" s="71" t="s">
        <v>2548</v>
      </c>
      <c r="L1191" t="s">
        <v>2335</v>
      </c>
      <c r="M1191" t="str">
        <f t="shared" si="92"/>
        <v>04</v>
      </c>
      <c r="N1191" t="str">
        <f t="shared" si="93"/>
        <v>02</v>
      </c>
      <c r="O1191" t="str">
        <f t="shared" si="90"/>
        <v>2025</v>
      </c>
      <c r="P1191" t="str">
        <f t="shared" si="94"/>
        <v>04-02-2025</v>
      </c>
    </row>
    <row r="1192" spans="2:16" x14ac:dyDescent="0.3">
      <c r="B1192" s="70">
        <v>45693</v>
      </c>
      <c r="C1192" s="70">
        <f t="shared" si="91"/>
        <v>45689</v>
      </c>
      <c r="D1192" s="94">
        <v>0</v>
      </c>
      <c r="E1192" s="94">
        <v>13085.02</v>
      </c>
      <c r="F1192" s="92" t="s">
        <v>3656</v>
      </c>
      <c r="G1192" s="75"/>
      <c r="H1192" s="92" t="s">
        <v>3881</v>
      </c>
      <c r="I1192" s="92" t="s">
        <v>3889</v>
      </c>
      <c r="K1192" s="71" t="s">
        <v>2523</v>
      </c>
      <c r="L1192" t="s">
        <v>1277</v>
      </c>
      <c r="M1192" t="str">
        <f t="shared" si="92"/>
        <v>05</v>
      </c>
      <c r="N1192" t="str">
        <f t="shared" si="93"/>
        <v>02</v>
      </c>
      <c r="O1192" t="str">
        <f t="shared" si="90"/>
        <v>2025</v>
      </c>
      <c r="P1192" t="str">
        <f t="shared" si="94"/>
        <v>05-02-2025</v>
      </c>
    </row>
    <row r="1193" spans="2:16" x14ac:dyDescent="0.3">
      <c r="B1193" s="70">
        <v>45693</v>
      </c>
      <c r="C1193" s="70">
        <f t="shared" si="91"/>
        <v>45689</v>
      </c>
      <c r="D1193" s="94">
        <v>68.34</v>
      </c>
      <c r="E1193" s="94">
        <v>0</v>
      </c>
      <c r="F1193" s="92" t="s">
        <v>3657</v>
      </c>
      <c r="G1193" s="75"/>
      <c r="H1193" s="92" t="s">
        <v>3881</v>
      </c>
      <c r="I1193" s="92" t="s">
        <v>3889</v>
      </c>
      <c r="K1193" s="71" t="s">
        <v>217</v>
      </c>
      <c r="L1193" t="s">
        <v>30</v>
      </c>
      <c r="M1193" t="str">
        <f t="shared" si="92"/>
        <v>05</v>
      </c>
      <c r="N1193" t="str">
        <f t="shared" si="93"/>
        <v>02</v>
      </c>
      <c r="O1193" t="str">
        <f t="shared" si="90"/>
        <v>2025</v>
      </c>
      <c r="P1193" t="str">
        <f t="shared" si="94"/>
        <v>05-02-2025</v>
      </c>
    </row>
    <row r="1194" spans="2:16" x14ac:dyDescent="0.3">
      <c r="B1194" s="70">
        <v>45693</v>
      </c>
      <c r="C1194" s="70">
        <f t="shared" si="91"/>
        <v>45689</v>
      </c>
      <c r="D1194" s="94">
        <v>9748.49</v>
      </c>
      <c r="E1194" s="94">
        <v>0</v>
      </c>
      <c r="F1194" s="92" t="s">
        <v>3657</v>
      </c>
      <c r="G1194" s="75"/>
      <c r="H1194" s="92" t="s">
        <v>3881</v>
      </c>
      <c r="I1194" s="92" t="s">
        <v>3889</v>
      </c>
      <c r="K1194" s="71" t="s">
        <v>217</v>
      </c>
      <c r="L1194" t="s">
        <v>30</v>
      </c>
      <c r="M1194" t="str">
        <f t="shared" si="92"/>
        <v>05</v>
      </c>
      <c r="N1194" t="str">
        <f t="shared" si="93"/>
        <v>02</v>
      </c>
      <c r="O1194" t="str">
        <f t="shared" si="90"/>
        <v>2025</v>
      </c>
      <c r="P1194" t="str">
        <f t="shared" si="94"/>
        <v>05-02-2025</v>
      </c>
    </row>
    <row r="1195" spans="2:16" x14ac:dyDescent="0.3">
      <c r="B1195" s="70">
        <v>45693</v>
      </c>
      <c r="C1195" s="70">
        <f t="shared" si="91"/>
        <v>45689</v>
      </c>
      <c r="D1195" s="94">
        <v>38250.67</v>
      </c>
      <c r="E1195" s="94">
        <v>0</v>
      </c>
      <c r="F1195" s="92" t="s">
        <v>3657</v>
      </c>
      <c r="G1195" s="75"/>
      <c r="H1195" s="92" t="s">
        <v>3881</v>
      </c>
      <c r="I1195" s="92" t="s">
        <v>3889</v>
      </c>
      <c r="K1195" s="71" t="s">
        <v>217</v>
      </c>
      <c r="L1195" t="s">
        <v>30</v>
      </c>
      <c r="M1195" t="str">
        <f t="shared" si="92"/>
        <v>05</v>
      </c>
      <c r="N1195" t="str">
        <f t="shared" si="93"/>
        <v>02</v>
      </c>
      <c r="O1195" t="str">
        <f t="shared" si="90"/>
        <v>2025</v>
      </c>
      <c r="P1195" t="str">
        <f t="shared" si="94"/>
        <v>05-02-2025</v>
      </c>
    </row>
    <row r="1196" spans="2:16" x14ac:dyDescent="0.3">
      <c r="B1196" s="70">
        <v>45693</v>
      </c>
      <c r="C1196" s="70">
        <f t="shared" si="91"/>
        <v>45689</v>
      </c>
      <c r="D1196" s="94">
        <v>1000</v>
      </c>
      <c r="E1196" s="94">
        <v>0</v>
      </c>
      <c r="F1196" s="92" t="s">
        <v>3658</v>
      </c>
      <c r="G1196" s="75"/>
      <c r="H1196" s="92" t="s">
        <v>589</v>
      </c>
      <c r="I1196" s="92" t="s">
        <v>3892</v>
      </c>
      <c r="K1196" s="71" t="s">
        <v>511</v>
      </c>
      <c r="L1196" t="s">
        <v>2337</v>
      </c>
      <c r="M1196" t="str">
        <f t="shared" si="92"/>
        <v>05</v>
      </c>
      <c r="N1196" t="str">
        <f t="shared" si="93"/>
        <v>02</v>
      </c>
      <c r="O1196" t="str">
        <f t="shared" si="90"/>
        <v>2025</v>
      </c>
      <c r="P1196" t="str">
        <f t="shared" si="94"/>
        <v>05-02-2025</v>
      </c>
    </row>
    <row r="1197" spans="2:16" x14ac:dyDescent="0.3">
      <c r="B1197" s="70">
        <v>45694</v>
      </c>
      <c r="C1197" s="70">
        <f t="shared" si="91"/>
        <v>45689</v>
      </c>
      <c r="D1197" s="94">
        <v>82.17</v>
      </c>
      <c r="E1197" s="94">
        <v>0</v>
      </c>
      <c r="F1197" s="92" t="s">
        <v>3659</v>
      </c>
      <c r="G1197" s="75"/>
      <c r="H1197" s="92" t="s">
        <v>3881</v>
      </c>
      <c r="I1197" s="92" t="s">
        <v>3889</v>
      </c>
      <c r="K1197" s="71" t="s">
        <v>217</v>
      </c>
      <c r="L1197" t="s">
        <v>30</v>
      </c>
      <c r="M1197" t="str">
        <f t="shared" si="92"/>
        <v>06</v>
      </c>
      <c r="N1197" t="str">
        <f t="shared" si="93"/>
        <v>02</v>
      </c>
      <c r="O1197" t="str">
        <f t="shared" si="90"/>
        <v>2025</v>
      </c>
      <c r="P1197" t="str">
        <f t="shared" si="94"/>
        <v>06-02-2025</v>
      </c>
    </row>
    <row r="1198" spans="2:16" x14ac:dyDescent="0.3">
      <c r="B1198" s="70">
        <v>45694</v>
      </c>
      <c r="C1198" s="70">
        <f t="shared" si="91"/>
        <v>45689</v>
      </c>
      <c r="D1198" s="94">
        <v>1066.0999999999999</v>
      </c>
      <c r="E1198" s="94">
        <v>0</v>
      </c>
      <c r="F1198" s="92" t="s">
        <v>3659</v>
      </c>
      <c r="G1198" s="75"/>
      <c r="H1198" s="92" t="s">
        <v>3881</v>
      </c>
      <c r="I1198" s="92" t="s">
        <v>3889</v>
      </c>
      <c r="K1198" s="71" t="s">
        <v>217</v>
      </c>
      <c r="L1198" t="s">
        <v>30</v>
      </c>
      <c r="M1198" t="str">
        <f t="shared" si="92"/>
        <v>06</v>
      </c>
      <c r="N1198" t="str">
        <f t="shared" si="93"/>
        <v>02</v>
      </c>
      <c r="O1198" t="str">
        <f t="shared" si="90"/>
        <v>2025</v>
      </c>
      <c r="P1198" t="str">
        <f t="shared" si="94"/>
        <v>06-02-2025</v>
      </c>
    </row>
    <row r="1199" spans="2:16" x14ac:dyDescent="0.3">
      <c r="B1199" s="70">
        <v>45695</v>
      </c>
      <c r="C1199" s="70">
        <f t="shared" si="91"/>
        <v>45689</v>
      </c>
      <c r="D1199" s="94">
        <v>0</v>
      </c>
      <c r="E1199" s="94">
        <v>18098.79</v>
      </c>
      <c r="F1199" s="92" t="s">
        <v>3660</v>
      </c>
      <c r="G1199" s="75"/>
      <c r="H1199" s="92" t="s">
        <v>3881</v>
      </c>
      <c r="I1199" s="92" t="s">
        <v>3889</v>
      </c>
      <c r="K1199" s="71" t="s">
        <v>2523</v>
      </c>
      <c r="L1199" t="s">
        <v>1284</v>
      </c>
      <c r="M1199" t="str">
        <f t="shared" si="92"/>
        <v>07</v>
      </c>
      <c r="N1199" t="str">
        <f t="shared" si="93"/>
        <v>02</v>
      </c>
      <c r="O1199" t="str">
        <f t="shared" si="90"/>
        <v>2025</v>
      </c>
      <c r="P1199" t="str">
        <f t="shared" si="94"/>
        <v>07-02-2025</v>
      </c>
    </row>
    <row r="1200" spans="2:16" x14ac:dyDescent="0.3">
      <c r="B1200" s="70">
        <v>45695</v>
      </c>
      <c r="C1200" s="70">
        <f t="shared" si="91"/>
        <v>45689</v>
      </c>
      <c r="D1200" s="94">
        <v>0</v>
      </c>
      <c r="E1200" s="94">
        <v>1880</v>
      </c>
      <c r="F1200" s="92" t="s">
        <v>3661</v>
      </c>
      <c r="G1200" s="92" t="s">
        <v>222</v>
      </c>
      <c r="H1200" s="92" t="s">
        <v>3876</v>
      </c>
      <c r="I1200" s="92" t="s">
        <v>3889</v>
      </c>
      <c r="K1200" s="71" t="s">
        <v>222</v>
      </c>
      <c r="L1200" t="s">
        <v>1286</v>
      </c>
      <c r="M1200" t="str">
        <f t="shared" si="92"/>
        <v>07</v>
      </c>
      <c r="N1200" t="str">
        <f t="shared" si="93"/>
        <v>02</v>
      </c>
      <c r="O1200" t="str">
        <f t="shared" si="90"/>
        <v>2025</v>
      </c>
      <c r="P1200" t="str">
        <f t="shared" si="94"/>
        <v>07-02-2025</v>
      </c>
    </row>
    <row r="1201" spans="2:16" x14ac:dyDescent="0.3">
      <c r="B1201" s="70">
        <v>45695</v>
      </c>
      <c r="C1201" s="70">
        <f t="shared" si="91"/>
        <v>45689</v>
      </c>
      <c r="D1201" s="94">
        <v>92.17</v>
      </c>
      <c r="E1201" s="94">
        <v>0</v>
      </c>
      <c r="F1201" s="92" t="s">
        <v>3662</v>
      </c>
      <c r="G1201" s="75"/>
      <c r="H1201" s="92" t="s">
        <v>3881</v>
      </c>
      <c r="I1201" s="92" t="s">
        <v>3889</v>
      </c>
      <c r="K1201" s="71" t="s">
        <v>217</v>
      </c>
      <c r="L1201" t="s">
        <v>30</v>
      </c>
      <c r="M1201" t="str">
        <f t="shared" si="92"/>
        <v>07</v>
      </c>
      <c r="N1201" t="str">
        <f t="shared" si="93"/>
        <v>02</v>
      </c>
      <c r="O1201" t="str">
        <f t="shared" si="90"/>
        <v>2025</v>
      </c>
      <c r="P1201" t="str">
        <f t="shared" si="94"/>
        <v>07-02-2025</v>
      </c>
    </row>
    <row r="1202" spans="2:16" x14ac:dyDescent="0.3">
      <c r="B1202" s="70">
        <v>45695</v>
      </c>
      <c r="C1202" s="70">
        <f t="shared" si="91"/>
        <v>45689</v>
      </c>
      <c r="D1202" s="94">
        <v>236</v>
      </c>
      <c r="E1202" s="94">
        <v>0</v>
      </c>
      <c r="F1202" s="92" t="s">
        <v>3663</v>
      </c>
      <c r="G1202" s="75"/>
      <c r="H1202" s="92" t="s">
        <v>221</v>
      </c>
      <c r="I1202" s="92" t="s">
        <v>3889</v>
      </c>
      <c r="K1202" s="71" t="s">
        <v>221</v>
      </c>
      <c r="L1202" t="s">
        <v>1289</v>
      </c>
      <c r="M1202" t="str">
        <f t="shared" si="92"/>
        <v>07</v>
      </c>
      <c r="N1202" t="str">
        <f t="shared" si="93"/>
        <v>02</v>
      </c>
      <c r="O1202" t="str">
        <f t="shared" si="90"/>
        <v>2025</v>
      </c>
      <c r="P1202" t="str">
        <f t="shared" si="94"/>
        <v>07-02-2025</v>
      </c>
    </row>
    <row r="1203" spans="2:16" x14ac:dyDescent="0.3">
      <c r="B1203" s="70">
        <v>45695</v>
      </c>
      <c r="C1203" s="70">
        <f t="shared" si="91"/>
        <v>45689</v>
      </c>
      <c r="D1203" s="94">
        <v>14193.44</v>
      </c>
      <c r="E1203" s="94">
        <v>0</v>
      </c>
      <c r="F1203" s="92" t="s">
        <v>3662</v>
      </c>
      <c r="G1203" s="75"/>
      <c r="H1203" s="92" t="s">
        <v>3881</v>
      </c>
      <c r="I1203" s="92" t="s">
        <v>3889</v>
      </c>
      <c r="K1203" s="71" t="s">
        <v>217</v>
      </c>
      <c r="L1203" t="s">
        <v>30</v>
      </c>
      <c r="M1203" t="str">
        <f t="shared" si="92"/>
        <v>07</v>
      </c>
      <c r="N1203" t="str">
        <f t="shared" si="93"/>
        <v>02</v>
      </c>
      <c r="O1203" t="str">
        <f t="shared" si="90"/>
        <v>2025</v>
      </c>
      <c r="P1203" t="str">
        <f t="shared" si="94"/>
        <v>07-02-2025</v>
      </c>
    </row>
    <row r="1204" spans="2:16" x14ac:dyDescent="0.3">
      <c r="B1204" s="70">
        <v>45695</v>
      </c>
      <c r="C1204" s="70">
        <f t="shared" si="91"/>
        <v>45689</v>
      </c>
      <c r="D1204" s="94">
        <v>170</v>
      </c>
      <c r="E1204" s="94">
        <v>0</v>
      </c>
      <c r="F1204" s="92" t="s">
        <v>3664</v>
      </c>
      <c r="G1204" s="75"/>
      <c r="H1204" s="92" t="s">
        <v>589</v>
      </c>
      <c r="I1204" s="92" t="s">
        <v>3892</v>
      </c>
      <c r="K1204" s="71" t="s">
        <v>511</v>
      </c>
      <c r="L1204" t="s">
        <v>2339</v>
      </c>
      <c r="M1204" t="str">
        <f t="shared" si="92"/>
        <v>07</v>
      </c>
      <c r="N1204" t="str">
        <f t="shared" si="93"/>
        <v>02</v>
      </c>
      <c r="O1204" t="str">
        <f t="shared" si="90"/>
        <v>2025</v>
      </c>
      <c r="P1204" t="str">
        <f t="shared" si="94"/>
        <v>07-02-2025</v>
      </c>
    </row>
    <row r="1205" spans="2:16" x14ac:dyDescent="0.3">
      <c r="B1205" s="70">
        <v>45698</v>
      </c>
      <c r="C1205" s="70">
        <f t="shared" si="91"/>
        <v>45689</v>
      </c>
      <c r="D1205" s="94">
        <v>261.33</v>
      </c>
      <c r="E1205" s="94">
        <v>0</v>
      </c>
      <c r="F1205" s="92" t="s">
        <v>3665</v>
      </c>
      <c r="G1205" s="75"/>
      <c r="H1205" s="92" t="s">
        <v>3881</v>
      </c>
      <c r="I1205" s="92" t="s">
        <v>3889</v>
      </c>
      <c r="K1205" s="71" t="s">
        <v>217</v>
      </c>
      <c r="L1205" t="s">
        <v>30</v>
      </c>
      <c r="M1205" t="str">
        <f t="shared" si="92"/>
        <v>10</v>
      </c>
      <c r="N1205" t="str">
        <f t="shared" si="93"/>
        <v>02</v>
      </c>
      <c r="O1205" t="str">
        <f t="shared" si="90"/>
        <v>2025</v>
      </c>
      <c r="P1205" t="str">
        <f t="shared" si="94"/>
        <v>10-02-2025</v>
      </c>
    </row>
    <row r="1206" spans="2:16" x14ac:dyDescent="0.3">
      <c r="B1206" s="70">
        <v>45698</v>
      </c>
      <c r="C1206" s="70">
        <f t="shared" si="91"/>
        <v>45689</v>
      </c>
      <c r="D1206" s="94">
        <v>3000</v>
      </c>
      <c r="E1206" s="94">
        <v>0</v>
      </c>
      <c r="F1206" s="92" t="s">
        <v>3666</v>
      </c>
      <c r="G1206" s="75"/>
      <c r="H1206" s="92" t="s">
        <v>589</v>
      </c>
      <c r="I1206" s="92" t="s">
        <v>3892</v>
      </c>
      <c r="K1206" s="71" t="s">
        <v>511</v>
      </c>
      <c r="L1206" t="s">
        <v>2341</v>
      </c>
      <c r="M1206" t="str">
        <f t="shared" si="92"/>
        <v>10</v>
      </c>
      <c r="N1206" t="str">
        <f t="shared" si="93"/>
        <v>02</v>
      </c>
      <c r="O1206" t="str">
        <f t="shared" si="90"/>
        <v>2025</v>
      </c>
      <c r="P1206" t="str">
        <f t="shared" si="94"/>
        <v>10-02-2025</v>
      </c>
    </row>
    <row r="1207" spans="2:16" x14ac:dyDescent="0.3">
      <c r="B1207" s="70">
        <v>45698</v>
      </c>
      <c r="C1207" s="70">
        <f t="shared" si="91"/>
        <v>45689</v>
      </c>
      <c r="D1207" s="94">
        <v>2000</v>
      </c>
      <c r="E1207" s="94">
        <v>0</v>
      </c>
      <c r="F1207" s="92" t="s">
        <v>3667</v>
      </c>
      <c r="G1207" s="75"/>
      <c r="H1207" s="92" t="s">
        <v>589</v>
      </c>
      <c r="I1207" s="92" t="s">
        <v>3892</v>
      </c>
      <c r="K1207" s="71" t="s">
        <v>511</v>
      </c>
      <c r="L1207" t="s">
        <v>2343</v>
      </c>
      <c r="M1207" t="str">
        <f t="shared" si="92"/>
        <v>10</v>
      </c>
      <c r="N1207" t="str">
        <f t="shared" si="93"/>
        <v>02</v>
      </c>
      <c r="O1207" t="str">
        <f t="shared" si="90"/>
        <v>2025</v>
      </c>
      <c r="P1207" t="str">
        <f t="shared" si="94"/>
        <v>10-02-2025</v>
      </c>
    </row>
    <row r="1208" spans="2:16" x14ac:dyDescent="0.3">
      <c r="B1208" s="70">
        <v>45698</v>
      </c>
      <c r="C1208" s="70">
        <f t="shared" si="91"/>
        <v>45689</v>
      </c>
      <c r="D1208" s="94">
        <v>2000</v>
      </c>
      <c r="E1208" s="94">
        <v>0</v>
      </c>
      <c r="F1208" s="92" t="s">
        <v>3668</v>
      </c>
      <c r="G1208" s="75"/>
      <c r="H1208" s="92" t="s">
        <v>589</v>
      </c>
      <c r="I1208" s="92" t="s">
        <v>3892</v>
      </c>
      <c r="K1208" s="71" t="s">
        <v>511</v>
      </c>
      <c r="L1208" t="s">
        <v>2345</v>
      </c>
      <c r="M1208" t="str">
        <f t="shared" si="92"/>
        <v>10</v>
      </c>
      <c r="N1208" t="str">
        <f t="shared" si="93"/>
        <v>02</v>
      </c>
      <c r="O1208" t="str">
        <f t="shared" si="90"/>
        <v>2025</v>
      </c>
      <c r="P1208" t="str">
        <f t="shared" si="94"/>
        <v>10-02-2025</v>
      </c>
    </row>
    <row r="1209" spans="2:16" x14ac:dyDescent="0.3">
      <c r="B1209" s="70">
        <v>45699</v>
      </c>
      <c r="C1209" s="70">
        <f t="shared" si="91"/>
        <v>45689</v>
      </c>
      <c r="D1209" s="94">
        <v>8571.92</v>
      </c>
      <c r="E1209" s="94">
        <v>0</v>
      </c>
      <c r="F1209" s="92" t="s">
        <v>3669</v>
      </c>
      <c r="G1209" s="75"/>
      <c r="H1209" s="92" t="s">
        <v>3881</v>
      </c>
      <c r="I1209" s="92" t="s">
        <v>3889</v>
      </c>
      <c r="K1209" s="71" t="s">
        <v>217</v>
      </c>
      <c r="L1209" t="s">
        <v>30</v>
      </c>
      <c r="M1209" t="str">
        <f t="shared" si="92"/>
        <v>11</v>
      </c>
      <c r="N1209" t="str">
        <f t="shared" si="93"/>
        <v>02</v>
      </c>
      <c r="O1209" t="str">
        <f t="shared" si="90"/>
        <v>2025</v>
      </c>
      <c r="P1209" t="str">
        <f t="shared" si="94"/>
        <v>11-02-2025</v>
      </c>
    </row>
    <row r="1210" spans="2:16" x14ac:dyDescent="0.3">
      <c r="B1210" s="70">
        <v>45699</v>
      </c>
      <c r="C1210" s="70">
        <f t="shared" si="91"/>
        <v>45689</v>
      </c>
      <c r="D1210" s="94">
        <v>98.31</v>
      </c>
      <c r="E1210" s="94">
        <v>0</v>
      </c>
      <c r="F1210" s="92" t="s">
        <v>3669</v>
      </c>
      <c r="G1210" s="75"/>
      <c r="H1210" s="92" t="s">
        <v>3881</v>
      </c>
      <c r="I1210" s="92" t="s">
        <v>3889</v>
      </c>
      <c r="K1210" s="71" t="s">
        <v>217</v>
      </c>
      <c r="L1210" t="s">
        <v>30</v>
      </c>
      <c r="M1210" t="str">
        <f t="shared" si="92"/>
        <v>11</v>
      </c>
      <c r="N1210" t="str">
        <f t="shared" si="93"/>
        <v>02</v>
      </c>
      <c r="O1210" t="str">
        <f t="shared" si="90"/>
        <v>2025</v>
      </c>
      <c r="P1210" t="str">
        <f t="shared" si="94"/>
        <v>11-02-2025</v>
      </c>
    </row>
    <row r="1211" spans="2:16" x14ac:dyDescent="0.3">
      <c r="B1211" s="70">
        <v>45699</v>
      </c>
      <c r="C1211" s="70">
        <f t="shared" si="91"/>
        <v>45689</v>
      </c>
      <c r="D1211" s="94">
        <v>8036.9</v>
      </c>
      <c r="E1211" s="94">
        <v>0</v>
      </c>
      <c r="F1211" s="92" t="s">
        <v>3669</v>
      </c>
      <c r="G1211" s="75"/>
      <c r="H1211" s="92" t="s">
        <v>3881</v>
      </c>
      <c r="I1211" s="92" t="s">
        <v>3889</v>
      </c>
      <c r="K1211" s="71" t="s">
        <v>217</v>
      </c>
      <c r="L1211" t="s">
        <v>30</v>
      </c>
      <c r="M1211" t="str">
        <f t="shared" si="92"/>
        <v>11</v>
      </c>
      <c r="N1211" t="str">
        <f t="shared" si="93"/>
        <v>02</v>
      </c>
      <c r="O1211" t="str">
        <f t="shared" si="90"/>
        <v>2025</v>
      </c>
      <c r="P1211" t="str">
        <f t="shared" si="94"/>
        <v>11-02-2025</v>
      </c>
    </row>
    <row r="1212" spans="2:16" x14ac:dyDescent="0.3">
      <c r="B1212" s="70">
        <v>45699</v>
      </c>
      <c r="C1212" s="70">
        <f t="shared" si="91"/>
        <v>45689</v>
      </c>
      <c r="D1212" s="94">
        <v>10000</v>
      </c>
      <c r="E1212" s="94">
        <v>0</v>
      </c>
      <c r="F1212" s="92" t="s">
        <v>3670</v>
      </c>
      <c r="G1212" s="75"/>
      <c r="H1212" s="92" t="s">
        <v>3886</v>
      </c>
      <c r="I1212" s="92" t="s">
        <v>3889</v>
      </c>
      <c r="K1212" s="71" t="s">
        <v>225</v>
      </c>
      <c r="L1212" t="s">
        <v>1296</v>
      </c>
      <c r="M1212" t="str">
        <f t="shared" si="92"/>
        <v>11</v>
      </c>
      <c r="N1212" t="str">
        <f t="shared" si="93"/>
        <v>02</v>
      </c>
      <c r="O1212" t="str">
        <f t="shared" si="90"/>
        <v>2025</v>
      </c>
      <c r="P1212" t="str">
        <f t="shared" si="94"/>
        <v>11-02-2025</v>
      </c>
    </row>
    <row r="1213" spans="2:16" x14ac:dyDescent="0.3">
      <c r="B1213" s="70">
        <v>45699</v>
      </c>
      <c r="C1213" s="70">
        <f t="shared" si="91"/>
        <v>45689</v>
      </c>
      <c r="D1213" s="94">
        <v>2000</v>
      </c>
      <c r="E1213" s="94">
        <v>0</v>
      </c>
      <c r="F1213" s="92" t="s">
        <v>3671</v>
      </c>
      <c r="G1213" s="75"/>
      <c r="H1213" s="92" t="s">
        <v>589</v>
      </c>
      <c r="I1213" s="92" t="s">
        <v>3892</v>
      </c>
      <c r="K1213" s="71" t="s">
        <v>511</v>
      </c>
      <c r="L1213" t="s">
        <v>2347</v>
      </c>
      <c r="M1213" t="str">
        <f t="shared" si="92"/>
        <v>11</v>
      </c>
      <c r="N1213" t="str">
        <f t="shared" si="93"/>
        <v>02</v>
      </c>
      <c r="O1213" t="str">
        <f t="shared" si="90"/>
        <v>2025</v>
      </c>
      <c r="P1213" t="str">
        <f t="shared" si="94"/>
        <v>11-02-2025</v>
      </c>
    </row>
    <row r="1214" spans="2:16" x14ac:dyDescent="0.3">
      <c r="B1214" s="70">
        <v>45700</v>
      </c>
      <c r="C1214" s="70">
        <f t="shared" si="91"/>
        <v>45689</v>
      </c>
      <c r="D1214" s="94">
        <v>102.52</v>
      </c>
      <c r="E1214" s="94">
        <v>0</v>
      </c>
      <c r="F1214" s="92" t="s">
        <v>3672</v>
      </c>
      <c r="G1214" s="75"/>
      <c r="H1214" s="92" t="s">
        <v>3881</v>
      </c>
      <c r="I1214" s="92" t="s">
        <v>3889</v>
      </c>
      <c r="K1214" s="71" t="s">
        <v>217</v>
      </c>
      <c r="L1214" t="s">
        <v>30</v>
      </c>
      <c r="M1214" t="str">
        <f t="shared" si="92"/>
        <v>12</v>
      </c>
      <c r="N1214" t="str">
        <f t="shared" si="93"/>
        <v>02</v>
      </c>
      <c r="O1214" t="str">
        <f t="shared" si="90"/>
        <v>2025</v>
      </c>
      <c r="P1214" t="str">
        <f t="shared" si="94"/>
        <v>12-02-2025</v>
      </c>
    </row>
    <row r="1215" spans="2:16" x14ac:dyDescent="0.3">
      <c r="B1215" s="70">
        <v>45700</v>
      </c>
      <c r="C1215" s="70">
        <f t="shared" si="91"/>
        <v>45689</v>
      </c>
      <c r="D1215" s="94">
        <v>6345.92</v>
      </c>
      <c r="E1215" s="94">
        <v>0</v>
      </c>
      <c r="F1215" s="92" t="s">
        <v>3672</v>
      </c>
      <c r="G1215" s="75"/>
      <c r="H1215" s="92" t="s">
        <v>3881</v>
      </c>
      <c r="I1215" s="92" t="s">
        <v>3889</v>
      </c>
      <c r="K1215" s="71" t="s">
        <v>217</v>
      </c>
      <c r="L1215" t="s">
        <v>30</v>
      </c>
      <c r="M1215" t="str">
        <f t="shared" si="92"/>
        <v>12</v>
      </c>
      <c r="N1215" t="str">
        <f t="shared" si="93"/>
        <v>02</v>
      </c>
      <c r="O1215" t="str">
        <f t="shared" si="90"/>
        <v>2025</v>
      </c>
      <c r="P1215" t="str">
        <f t="shared" si="94"/>
        <v>12-02-2025</v>
      </c>
    </row>
    <row r="1216" spans="2:16" x14ac:dyDescent="0.3">
      <c r="B1216" s="70">
        <v>45700</v>
      </c>
      <c r="C1216" s="70">
        <f t="shared" si="91"/>
        <v>45689</v>
      </c>
      <c r="D1216" s="94">
        <v>14734.21</v>
      </c>
      <c r="E1216" s="94">
        <v>0</v>
      </c>
      <c r="F1216" s="92" t="s">
        <v>3672</v>
      </c>
      <c r="G1216" s="75"/>
      <c r="H1216" s="92" t="s">
        <v>3881</v>
      </c>
      <c r="I1216" s="92" t="s">
        <v>3889</v>
      </c>
      <c r="K1216" s="71" t="s">
        <v>217</v>
      </c>
      <c r="L1216" t="s">
        <v>30</v>
      </c>
      <c r="M1216" t="str">
        <f t="shared" si="92"/>
        <v>12</v>
      </c>
      <c r="N1216" t="str">
        <f t="shared" si="93"/>
        <v>02</v>
      </c>
      <c r="O1216" t="str">
        <f t="shared" si="90"/>
        <v>2025</v>
      </c>
      <c r="P1216" t="str">
        <f t="shared" si="94"/>
        <v>12-02-2025</v>
      </c>
    </row>
    <row r="1217" spans="2:16" x14ac:dyDescent="0.3">
      <c r="B1217" s="70">
        <v>45700</v>
      </c>
      <c r="C1217" s="70">
        <f t="shared" si="91"/>
        <v>45689</v>
      </c>
      <c r="D1217" s="94">
        <v>0</v>
      </c>
      <c r="E1217" s="94">
        <v>501</v>
      </c>
      <c r="F1217" s="92" t="s">
        <v>3673</v>
      </c>
      <c r="G1217" s="75"/>
      <c r="H1217" s="92" t="s">
        <v>3883</v>
      </c>
      <c r="I1217" s="92" t="s">
        <v>3892</v>
      </c>
      <c r="K1217" s="71" t="s">
        <v>2539</v>
      </c>
      <c r="L1217" t="s">
        <v>2349</v>
      </c>
      <c r="M1217" t="str">
        <f t="shared" si="92"/>
        <v>12</v>
      </c>
      <c r="N1217" t="str">
        <f t="shared" si="93"/>
        <v>02</v>
      </c>
      <c r="O1217" t="str">
        <f t="shared" si="90"/>
        <v>2025</v>
      </c>
      <c r="P1217" t="str">
        <f t="shared" si="94"/>
        <v>12-02-2025</v>
      </c>
    </row>
    <row r="1218" spans="2:16" x14ac:dyDescent="0.3">
      <c r="B1218" s="70">
        <v>45700</v>
      </c>
      <c r="C1218" s="70">
        <f t="shared" si="91"/>
        <v>45689</v>
      </c>
      <c r="D1218" s="94">
        <v>91.36</v>
      </c>
      <c r="E1218" s="94">
        <v>0</v>
      </c>
      <c r="F1218" s="92" t="s">
        <v>3674</v>
      </c>
      <c r="G1218" s="75"/>
      <c r="H1218" s="92" t="s">
        <v>589</v>
      </c>
      <c r="I1218" s="92" t="s">
        <v>3892</v>
      </c>
      <c r="K1218" s="71" t="s">
        <v>511</v>
      </c>
      <c r="L1218" t="s">
        <v>2351</v>
      </c>
      <c r="M1218" t="str">
        <f t="shared" si="92"/>
        <v>12</v>
      </c>
      <c r="N1218" t="str">
        <f t="shared" si="93"/>
        <v>02</v>
      </c>
      <c r="O1218" t="str">
        <f t="shared" si="90"/>
        <v>2025</v>
      </c>
      <c r="P1218" t="str">
        <f t="shared" si="94"/>
        <v>12-02-2025</v>
      </c>
    </row>
    <row r="1219" spans="2:16" x14ac:dyDescent="0.3">
      <c r="B1219" s="70">
        <v>45701</v>
      </c>
      <c r="C1219" s="70">
        <f t="shared" si="91"/>
        <v>45689</v>
      </c>
      <c r="D1219" s="94">
        <v>95.01</v>
      </c>
      <c r="E1219" s="94">
        <v>0</v>
      </c>
      <c r="F1219" s="92" t="s">
        <v>3675</v>
      </c>
      <c r="G1219" s="75"/>
      <c r="H1219" s="92" t="s">
        <v>3881</v>
      </c>
      <c r="I1219" s="92" t="s">
        <v>3889</v>
      </c>
      <c r="K1219" s="71" t="s">
        <v>217</v>
      </c>
      <c r="L1219" t="s">
        <v>30</v>
      </c>
      <c r="M1219" t="str">
        <f t="shared" si="92"/>
        <v>13</v>
      </c>
      <c r="N1219" t="str">
        <f t="shared" si="93"/>
        <v>02</v>
      </c>
      <c r="O1219" t="str">
        <f t="shared" ref="O1219:O1282" si="95">TEXT(B1219,"YYYY")</f>
        <v>2025</v>
      </c>
      <c r="P1219" t="str">
        <f t="shared" si="94"/>
        <v>13-02-2025</v>
      </c>
    </row>
    <row r="1220" spans="2:16" x14ac:dyDescent="0.3">
      <c r="B1220" s="70">
        <v>45701</v>
      </c>
      <c r="C1220" s="70">
        <f t="shared" ref="C1220:C1283" si="96">EOMONTH(B1220,-1)+1</f>
        <v>45689</v>
      </c>
      <c r="D1220" s="94">
        <v>2202.7399999999998</v>
      </c>
      <c r="E1220" s="94">
        <v>0</v>
      </c>
      <c r="F1220" s="92" t="s">
        <v>3675</v>
      </c>
      <c r="G1220" s="75"/>
      <c r="H1220" s="92" t="s">
        <v>3881</v>
      </c>
      <c r="I1220" s="92" t="s">
        <v>3889</v>
      </c>
      <c r="K1220" s="71" t="s">
        <v>217</v>
      </c>
      <c r="L1220" t="s">
        <v>30</v>
      </c>
      <c r="M1220" t="str">
        <f t="shared" ref="M1220:M1283" si="97">TEXT(B1220,"DD")</f>
        <v>13</v>
      </c>
      <c r="N1220" t="str">
        <f t="shared" ref="N1220:N1283" si="98">TEXT(B1220,"MM")</f>
        <v>02</v>
      </c>
      <c r="O1220" t="str">
        <f t="shared" si="95"/>
        <v>2025</v>
      </c>
      <c r="P1220" t="str">
        <f t="shared" ref="P1220:P1283" si="99">M1220&amp;"-"&amp;N1220&amp;"-"&amp;O1220</f>
        <v>13-02-2025</v>
      </c>
    </row>
    <row r="1221" spans="2:16" x14ac:dyDescent="0.3">
      <c r="B1221" s="70">
        <v>45702</v>
      </c>
      <c r="C1221" s="70">
        <f t="shared" si="96"/>
        <v>45689</v>
      </c>
      <c r="D1221" s="94">
        <v>20000</v>
      </c>
      <c r="E1221" s="94">
        <v>0</v>
      </c>
      <c r="F1221" s="92" t="s">
        <v>3676</v>
      </c>
      <c r="G1221" s="75"/>
      <c r="H1221" s="92" t="s">
        <v>3886</v>
      </c>
      <c r="I1221" s="92" t="s">
        <v>3889</v>
      </c>
      <c r="K1221" s="71" t="s">
        <v>225</v>
      </c>
      <c r="L1221" t="s">
        <v>1303</v>
      </c>
      <c r="M1221" t="str">
        <f t="shared" si="97"/>
        <v>14</v>
      </c>
      <c r="N1221" t="str">
        <f t="shared" si="98"/>
        <v>02</v>
      </c>
      <c r="O1221" t="str">
        <f t="shared" si="95"/>
        <v>2025</v>
      </c>
      <c r="P1221" t="str">
        <f t="shared" si="99"/>
        <v>14-02-2025</v>
      </c>
    </row>
    <row r="1222" spans="2:16" x14ac:dyDescent="0.3">
      <c r="B1222" s="70">
        <v>45702</v>
      </c>
      <c r="C1222" s="70">
        <f t="shared" si="96"/>
        <v>45689</v>
      </c>
      <c r="D1222" s="94">
        <v>108.11</v>
      </c>
      <c r="E1222" s="94">
        <v>0</v>
      </c>
      <c r="F1222" s="92" t="s">
        <v>3677</v>
      </c>
      <c r="G1222" s="75"/>
      <c r="H1222" s="92" t="s">
        <v>3881</v>
      </c>
      <c r="I1222" s="92" t="s">
        <v>3889</v>
      </c>
      <c r="K1222" s="71" t="s">
        <v>217</v>
      </c>
      <c r="L1222" t="s">
        <v>30</v>
      </c>
      <c r="M1222" t="str">
        <f t="shared" si="97"/>
        <v>14</v>
      </c>
      <c r="N1222" t="str">
        <f t="shared" si="98"/>
        <v>02</v>
      </c>
      <c r="O1222" t="str">
        <f t="shared" si="95"/>
        <v>2025</v>
      </c>
      <c r="P1222" t="str">
        <f t="shared" si="99"/>
        <v>14-02-2025</v>
      </c>
    </row>
    <row r="1223" spans="2:16" x14ac:dyDescent="0.3">
      <c r="B1223" s="70">
        <v>45702</v>
      </c>
      <c r="C1223" s="70">
        <f t="shared" si="96"/>
        <v>45689</v>
      </c>
      <c r="D1223" s="94">
        <v>188.8</v>
      </c>
      <c r="E1223" s="94">
        <v>0</v>
      </c>
      <c r="F1223" s="92" t="s">
        <v>3678</v>
      </c>
      <c r="G1223" s="75"/>
      <c r="H1223" s="92" t="s">
        <v>220</v>
      </c>
      <c r="I1223" s="92" t="s">
        <v>3889</v>
      </c>
      <c r="K1223" s="71" t="s">
        <v>220</v>
      </c>
      <c r="L1223" t="s">
        <v>1306</v>
      </c>
      <c r="M1223" t="str">
        <f t="shared" si="97"/>
        <v>14</v>
      </c>
      <c r="N1223" t="str">
        <f t="shared" si="98"/>
        <v>02</v>
      </c>
      <c r="O1223" t="str">
        <f t="shared" si="95"/>
        <v>2025</v>
      </c>
      <c r="P1223" t="str">
        <f t="shared" si="99"/>
        <v>14-02-2025</v>
      </c>
    </row>
    <row r="1224" spans="2:16" x14ac:dyDescent="0.3">
      <c r="B1224" s="70">
        <v>45702</v>
      </c>
      <c r="C1224" s="70">
        <f t="shared" si="96"/>
        <v>45689</v>
      </c>
      <c r="D1224" s="94">
        <v>5174.0600000000004</v>
      </c>
      <c r="E1224" s="94">
        <v>0</v>
      </c>
      <c r="F1224" s="92" t="s">
        <v>3677</v>
      </c>
      <c r="G1224" s="75"/>
      <c r="H1224" s="92" t="s">
        <v>3881</v>
      </c>
      <c r="I1224" s="92" t="s">
        <v>3889</v>
      </c>
      <c r="K1224" s="71" t="s">
        <v>217</v>
      </c>
      <c r="L1224" t="s">
        <v>30</v>
      </c>
      <c r="M1224" t="str">
        <f t="shared" si="97"/>
        <v>14</v>
      </c>
      <c r="N1224" t="str">
        <f t="shared" si="98"/>
        <v>02</v>
      </c>
      <c r="O1224" t="str">
        <f t="shared" si="95"/>
        <v>2025</v>
      </c>
      <c r="P1224" t="str">
        <f t="shared" si="99"/>
        <v>14-02-2025</v>
      </c>
    </row>
    <row r="1225" spans="2:16" x14ac:dyDescent="0.3">
      <c r="B1225" s="70">
        <v>45703</v>
      </c>
      <c r="C1225" s="70">
        <f t="shared" si="96"/>
        <v>45689</v>
      </c>
      <c r="D1225" s="94">
        <v>0</v>
      </c>
      <c r="E1225" s="94">
        <v>144</v>
      </c>
      <c r="F1225" s="92" t="s">
        <v>3679</v>
      </c>
      <c r="G1225" s="75" t="s">
        <v>3907</v>
      </c>
      <c r="H1225" s="92" t="s">
        <v>218</v>
      </c>
      <c r="I1225" s="92" t="s">
        <v>3889</v>
      </c>
      <c r="K1225" s="71" t="s">
        <v>218</v>
      </c>
      <c r="L1225" t="s">
        <v>1308</v>
      </c>
      <c r="M1225" t="str">
        <f t="shared" si="97"/>
        <v>15</v>
      </c>
      <c r="N1225" t="str">
        <f t="shared" si="98"/>
        <v>02</v>
      </c>
      <c r="O1225" t="str">
        <f t="shared" si="95"/>
        <v>2025</v>
      </c>
      <c r="P1225" t="str">
        <f t="shared" si="99"/>
        <v>15-02-2025</v>
      </c>
    </row>
    <row r="1226" spans="2:16" x14ac:dyDescent="0.3">
      <c r="B1226" s="70">
        <v>45703</v>
      </c>
      <c r="C1226" s="70">
        <f t="shared" si="96"/>
        <v>45689</v>
      </c>
      <c r="D1226" s="94">
        <v>20000</v>
      </c>
      <c r="E1226" s="94">
        <v>0</v>
      </c>
      <c r="F1226" s="92" t="s">
        <v>3680</v>
      </c>
      <c r="G1226" s="75"/>
      <c r="H1226" s="92" t="s">
        <v>3886</v>
      </c>
      <c r="I1226" s="92" t="s">
        <v>3889</v>
      </c>
      <c r="K1226" s="71" t="s">
        <v>225</v>
      </c>
      <c r="L1226" t="s">
        <v>1310</v>
      </c>
      <c r="M1226" t="str">
        <f t="shared" si="97"/>
        <v>15</v>
      </c>
      <c r="N1226" t="str">
        <f t="shared" si="98"/>
        <v>02</v>
      </c>
      <c r="O1226" t="str">
        <f t="shared" si="95"/>
        <v>2025</v>
      </c>
      <c r="P1226" t="str">
        <f t="shared" si="99"/>
        <v>15-02-2025</v>
      </c>
    </row>
    <row r="1227" spans="2:16" x14ac:dyDescent="0.3">
      <c r="B1227" s="70">
        <v>45703</v>
      </c>
      <c r="C1227" s="70">
        <f t="shared" si="96"/>
        <v>45689</v>
      </c>
      <c r="D1227" s="94">
        <v>45</v>
      </c>
      <c r="E1227" s="94">
        <v>0</v>
      </c>
      <c r="F1227" s="92" t="s">
        <v>3681</v>
      </c>
      <c r="G1227" s="75"/>
      <c r="H1227" s="92" t="s">
        <v>589</v>
      </c>
      <c r="I1227" s="92" t="s">
        <v>3893</v>
      </c>
      <c r="K1227" s="71" t="s">
        <v>511</v>
      </c>
      <c r="L1227" t="s">
        <v>1459</v>
      </c>
      <c r="M1227" t="str">
        <f t="shared" si="97"/>
        <v>15</v>
      </c>
      <c r="N1227" t="str">
        <f t="shared" si="98"/>
        <v>02</v>
      </c>
      <c r="O1227" t="str">
        <f t="shared" si="95"/>
        <v>2025</v>
      </c>
      <c r="P1227" t="str">
        <f t="shared" si="99"/>
        <v>15-02-2025</v>
      </c>
    </row>
    <row r="1228" spans="2:16" x14ac:dyDescent="0.3">
      <c r="B1228" s="70">
        <v>45703</v>
      </c>
      <c r="C1228" s="70">
        <f t="shared" si="96"/>
        <v>45689</v>
      </c>
      <c r="D1228" s="94">
        <v>70</v>
      </c>
      <c r="E1228" s="94">
        <v>0</v>
      </c>
      <c r="F1228" s="92" t="s">
        <v>3682</v>
      </c>
      <c r="G1228" s="75"/>
      <c r="H1228" s="92" t="s">
        <v>589</v>
      </c>
      <c r="I1228" s="92" t="s">
        <v>3892</v>
      </c>
      <c r="K1228" s="71" t="s">
        <v>511</v>
      </c>
      <c r="L1228" t="s">
        <v>2353</v>
      </c>
      <c r="M1228" t="str">
        <f t="shared" si="97"/>
        <v>15</v>
      </c>
      <c r="N1228" t="str">
        <f t="shared" si="98"/>
        <v>02</v>
      </c>
      <c r="O1228" t="str">
        <f t="shared" si="95"/>
        <v>2025</v>
      </c>
      <c r="P1228" t="str">
        <f t="shared" si="99"/>
        <v>15-02-2025</v>
      </c>
    </row>
    <row r="1229" spans="2:16" x14ac:dyDescent="0.3">
      <c r="B1229" s="70">
        <v>45703</v>
      </c>
      <c r="C1229" s="70">
        <f t="shared" si="96"/>
        <v>45689</v>
      </c>
      <c r="D1229" s="94">
        <v>30</v>
      </c>
      <c r="E1229" s="94">
        <v>0</v>
      </c>
      <c r="F1229" s="92" t="s">
        <v>3683</v>
      </c>
      <c r="G1229" s="75"/>
      <c r="H1229" s="92" t="s">
        <v>589</v>
      </c>
      <c r="I1229" s="92" t="s">
        <v>3892</v>
      </c>
      <c r="K1229" s="71" t="s">
        <v>511</v>
      </c>
      <c r="L1229" t="s">
        <v>2355</v>
      </c>
      <c r="M1229" t="str">
        <f t="shared" si="97"/>
        <v>15</v>
      </c>
      <c r="N1229" t="str">
        <f t="shared" si="98"/>
        <v>02</v>
      </c>
      <c r="O1229" t="str">
        <f t="shared" si="95"/>
        <v>2025</v>
      </c>
      <c r="P1229" t="str">
        <f t="shared" si="99"/>
        <v>15-02-2025</v>
      </c>
    </row>
    <row r="1230" spans="2:16" x14ac:dyDescent="0.3">
      <c r="B1230" s="70">
        <v>45703</v>
      </c>
      <c r="C1230" s="70">
        <f t="shared" si="96"/>
        <v>45689</v>
      </c>
      <c r="D1230" s="94">
        <v>32</v>
      </c>
      <c r="E1230" s="94">
        <v>0</v>
      </c>
      <c r="F1230" s="92" t="s">
        <v>3684</v>
      </c>
      <c r="G1230" s="75"/>
      <c r="H1230" s="92" t="s">
        <v>589</v>
      </c>
      <c r="I1230" s="92" t="s">
        <v>3892</v>
      </c>
      <c r="K1230" s="71" t="s">
        <v>511</v>
      </c>
      <c r="L1230" t="s">
        <v>2357</v>
      </c>
      <c r="M1230" t="str">
        <f t="shared" si="97"/>
        <v>15</v>
      </c>
      <c r="N1230" t="str">
        <f t="shared" si="98"/>
        <v>02</v>
      </c>
      <c r="O1230" t="str">
        <f t="shared" si="95"/>
        <v>2025</v>
      </c>
      <c r="P1230" t="str">
        <f t="shared" si="99"/>
        <v>15-02-2025</v>
      </c>
    </row>
    <row r="1231" spans="2:16" x14ac:dyDescent="0.3">
      <c r="B1231" s="70">
        <v>45703</v>
      </c>
      <c r="C1231" s="70">
        <f t="shared" si="96"/>
        <v>45689</v>
      </c>
      <c r="D1231" s="94">
        <v>236.8</v>
      </c>
      <c r="E1231" s="94">
        <v>0</v>
      </c>
      <c r="F1231" s="92" t="s">
        <v>3685</v>
      </c>
      <c r="G1231" s="75"/>
      <c r="H1231" s="92" t="s">
        <v>589</v>
      </c>
      <c r="I1231" s="92" t="s">
        <v>3892</v>
      </c>
      <c r="K1231" s="71" t="s">
        <v>511</v>
      </c>
      <c r="L1231" t="s">
        <v>2359</v>
      </c>
      <c r="M1231" t="str">
        <f t="shared" si="97"/>
        <v>15</v>
      </c>
      <c r="N1231" t="str">
        <f t="shared" si="98"/>
        <v>02</v>
      </c>
      <c r="O1231" t="str">
        <f t="shared" si="95"/>
        <v>2025</v>
      </c>
      <c r="P1231" t="str">
        <f t="shared" si="99"/>
        <v>15-02-2025</v>
      </c>
    </row>
    <row r="1232" spans="2:16" x14ac:dyDescent="0.3">
      <c r="B1232" s="70">
        <v>45703</v>
      </c>
      <c r="C1232" s="70">
        <f t="shared" si="96"/>
        <v>45689</v>
      </c>
      <c r="D1232" s="94">
        <v>2828</v>
      </c>
      <c r="E1232" s="94">
        <v>0</v>
      </c>
      <c r="F1232" s="92" t="s">
        <v>3686</v>
      </c>
      <c r="G1232" s="75"/>
      <c r="H1232" s="92" t="s">
        <v>589</v>
      </c>
      <c r="I1232" s="92" t="s">
        <v>3892</v>
      </c>
      <c r="K1232" s="71" t="s">
        <v>511</v>
      </c>
      <c r="L1232" t="s">
        <v>2361</v>
      </c>
      <c r="M1232" t="str">
        <f t="shared" si="97"/>
        <v>15</v>
      </c>
      <c r="N1232" t="str">
        <f t="shared" si="98"/>
        <v>02</v>
      </c>
      <c r="O1232" t="str">
        <f t="shared" si="95"/>
        <v>2025</v>
      </c>
      <c r="P1232" t="str">
        <f t="shared" si="99"/>
        <v>15-02-2025</v>
      </c>
    </row>
    <row r="1233" spans="2:16" x14ac:dyDescent="0.3">
      <c r="B1233" s="70">
        <v>45703</v>
      </c>
      <c r="C1233" s="70">
        <f t="shared" si="96"/>
        <v>45689</v>
      </c>
      <c r="D1233" s="94">
        <v>45</v>
      </c>
      <c r="E1233" s="94">
        <v>0</v>
      </c>
      <c r="F1233" s="92" t="s">
        <v>3687</v>
      </c>
      <c r="G1233" s="75"/>
      <c r="H1233" s="92" t="s">
        <v>589</v>
      </c>
      <c r="I1233" s="92" t="s">
        <v>3892</v>
      </c>
      <c r="K1233" s="71" t="s">
        <v>511</v>
      </c>
      <c r="L1233" t="s">
        <v>2363</v>
      </c>
      <c r="M1233" t="str">
        <f t="shared" si="97"/>
        <v>15</v>
      </c>
      <c r="N1233" t="str">
        <f t="shared" si="98"/>
        <v>02</v>
      </c>
      <c r="O1233" t="str">
        <f t="shared" si="95"/>
        <v>2025</v>
      </c>
      <c r="P1233" t="str">
        <f t="shared" si="99"/>
        <v>15-02-2025</v>
      </c>
    </row>
    <row r="1234" spans="2:16" x14ac:dyDescent="0.3">
      <c r="B1234" s="70">
        <v>45703</v>
      </c>
      <c r="C1234" s="70">
        <f t="shared" si="96"/>
        <v>45689</v>
      </c>
      <c r="D1234" s="94">
        <v>268.14999999999998</v>
      </c>
      <c r="E1234" s="94">
        <v>0</v>
      </c>
      <c r="F1234" s="92" t="s">
        <v>3688</v>
      </c>
      <c r="G1234" s="75"/>
      <c r="H1234" s="92" t="s">
        <v>589</v>
      </c>
      <c r="I1234" s="92" t="s">
        <v>3892</v>
      </c>
      <c r="K1234" s="71" t="s">
        <v>511</v>
      </c>
      <c r="L1234" t="s">
        <v>2365</v>
      </c>
      <c r="M1234" t="str">
        <f t="shared" si="97"/>
        <v>15</v>
      </c>
      <c r="N1234" t="str">
        <f t="shared" si="98"/>
        <v>02</v>
      </c>
      <c r="O1234" t="str">
        <f t="shared" si="95"/>
        <v>2025</v>
      </c>
      <c r="P1234" t="str">
        <f t="shared" si="99"/>
        <v>15-02-2025</v>
      </c>
    </row>
    <row r="1235" spans="2:16" x14ac:dyDescent="0.3">
      <c r="B1235" s="70">
        <v>45703</v>
      </c>
      <c r="C1235" s="70">
        <f t="shared" si="96"/>
        <v>45689</v>
      </c>
      <c r="D1235" s="94">
        <v>40</v>
      </c>
      <c r="E1235" s="94">
        <v>0</v>
      </c>
      <c r="F1235" s="92" t="s">
        <v>3689</v>
      </c>
      <c r="G1235" s="75"/>
      <c r="H1235" s="92" t="s">
        <v>589</v>
      </c>
      <c r="I1235" s="92" t="s">
        <v>3892</v>
      </c>
      <c r="K1235" s="71" t="s">
        <v>511</v>
      </c>
      <c r="L1235" t="s">
        <v>2367</v>
      </c>
      <c r="M1235" t="str">
        <f t="shared" si="97"/>
        <v>15</v>
      </c>
      <c r="N1235" t="str">
        <f t="shared" si="98"/>
        <v>02</v>
      </c>
      <c r="O1235" t="str">
        <f t="shared" si="95"/>
        <v>2025</v>
      </c>
      <c r="P1235" t="str">
        <f t="shared" si="99"/>
        <v>15-02-2025</v>
      </c>
    </row>
    <row r="1236" spans="2:16" x14ac:dyDescent="0.3">
      <c r="B1236" s="70">
        <v>45703</v>
      </c>
      <c r="C1236" s="70">
        <f t="shared" si="96"/>
        <v>45689</v>
      </c>
      <c r="D1236" s="94">
        <v>18</v>
      </c>
      <c r="E1236" s="94">
        <v>0</v>
      </c>
      <c r="F1236" s="92" t="s">
        <v>3690</v>
      </c>
      <c r="G1236" s="75"/>
      <c r="H1236" s="92" t="s">
        <v>589</v>
      </c>
      <c r="I1236" s="92" t="s">
        <v>3892</v>
      </c>
      <c r="K1236" s="71" t="s">
        <v>511</v>
      </c>
      <c r="L1236" t="s">
        <v>2369</v>
      </c>
      <c r="M1236" t="str">
        <f t="shared" si="97"/>
        <v>15</v>
      </c>
      <c r="N1236" t="str">
        <f t="shared" si="98"/>
        <v>02</v>
      </c>
      <c r="O1236" t="str">
        <f t="shared" si="95"/>
        <v>2025</v>
      </c>
      <c r="P1236" t="str">
        <f t="shared" si="99"/>
        <v>15-02-2025</v>
      </c>
    </row>
    <row r="1237" spans="2:16" x14ac:dyDescent="0.3">
      <c r="B1237" s="70">
        <v>45703</v>
      </c>
      <c r="C1237" s="70">
        <f t="shared" si="96"/>
        <v>45689</v>
      </c>
      <c r="D1237" s="94">
        <v>0</v>
      </c>
      <c r="E1237" s="94">
        <v>45</v>
      </c>
      <c r="F1237" s="92" t="s">
        <v>3691</v>
      </c>
      <c r="G1237" s="75"/>
      <c r="H1237" s="92" t="s">
        <v>589</v>
      </c>
      <c r="I1237" s="92" t="s">
        <v>3892</v>
      </c>
      <c r="K1237" s="71" t="s">
        <v>511</v>
      </c>
      <c r="L1237" t="s">
        <v>2371</v>
      </c>
      <c r="M1237" t="str">
        <f t="shared" si="97"/>
        <v>15</v>
      </c>
      <c r="N1237" t="str">
        <f t="shared" si="98"/>
        <v>02</v>
      </c>
      <c r="O1237" t="str">
        <f t="shared" si="95"/>
        <v>2025</v>
      </c>
      <c r="P1237" t="str">
        <f t="shared" si="99"/>
        <v>15-02-2025</v>
      </c>
    </row>
    <row r="1238" spans="2:16" x14ac:dyDescent="0.3">
      <c r="B1238" s="70">
        <v>45704</v>
      </c>
      <c r="C1238" s="70">
        <f t="shared" si="96"/>
        <v>45689</v>
      </c>
      <c r="D1238" s="94">
        <v>38</v>
      </c>
      <c r="E1238" s="94">
        <v>0</v>
      </c>
      <c r="F1238" s="92" t="s">
        <v>3692</v>
      </c>
      <c r="G1238" s="75"/>
      <c r="H1238" s="92" t="s">
        <v>589</v>
      </c>
      <c r="I1238" s="92" t="s">
        <v>3893</v>
      </c>
      <c r="K1238" s="71" t="s">
        <v>511</v>
      </c>
      <c r="L1238" t="s">
        <v>1460</v>
      </c>
      <c r="M1238" t="str">
        <f t="shared" si="97"/>
        <v>16</v>
      </c>
      <c r="N1238" t="str">
        <f t="shared" si="98"/>
        <v>02</v>
      </c>
      <c r="O1238" t="str">
        <f t="shared" si="95"/>
        <v>2025</v>
      </c>
      <c r="P1238" t="str">
        <f t="shared" si="99"/>
        <v>16-02-2025</v>
      </c>
    </row>
    <row r="1239" spans="2:16" x14ac:dyDescent="0.3">
      <c r="B1239" s="70">
        <v>45704</v>
      </c>
      <c r="C1239" s="70">
        <f t="shared" si="96"/>
        <v>45689</v>
      </c>
      <c r="D1239" s="94">
        <v>45</v>
      </c>
      <c r="E1239" s="94">
        <v>0</v>
      </c>
      <c r="F1239" s="92" t="s">
        <v>3693</v>
      </c>
      <c r="G1239" s="75"/>
      <c r="H1239" s="92" t="s">
        <v>589</v>
      </c>
      <c r="I1239" s="92" t="s">
        <v>3892</v>
      </c>
      <c r="K1239" s="71" t="s">
        <v>511</v>
      </c>
      <c r="L1239" t="s">
        <v>2373</v>
      </c>
      <c r="M1239" t="str">
        <f t="shared" si="97"/>
        <v>16</v>
      </c>
      <c r="N1239" t="str">
        <f t="shared" si="98"/>
        <v>02</v>
      </c>
      <c r="O1239" t="str">
        <f t="shared" si="95"/>
        <v>2025</v>
      </c>
      <c r="P1239" t="str">
        <f t="shared" si="99"/>
        <v>16-02-2025</v>
      </c>
    </row>
    <row r="1240" spans="2:16" x14ac:dyDescent="0.3">
      <c r="B1240" s="70">
        <v>45704</v>
      </c>
      <c r="C1240" s="70">
        <f t="shared" si="96"/>
        <v>45689</v>
      </c>
      <c r="D1240" s="94">
        <v>18</v>
      </c>
      <c r="E1240" s="94">
        <v>0</v>
      </c>
      <c r="F1240" s="92" t="s">
        <v>3694</v>
      </c>
      <c r="G1240" s="75"/>
      <c r="H1240" s="92" t="s">
        <v>589</v>
      </c>
      <c r="I1240" s="92" t="s">
        <v>3892</v>
      </c>
      <c r="K1240" s="71" t="s">
        <v>511</v>
      </c>
      <c r="L1240" t="s">
        <v>2375</v>
      </c>
      <c r="M1240" t="str">
        <f t="shared" si="97"/>
        <v>16</v>
      </c>
      <c r="N1240" t="str">
        <f t="shared" si="98"/>
        <v>02</v>
      </c>
      <c r="O1240" t="str">
        <f t="shared" si="95"/>
        <v>2025</v>
      </c>
      <c r="P1240" t="str">
        <f t="shared" si="99"/>
        <v>16-02-2025</v>
      </c>
    </row>
    <row r="1241" spans="2:16" x14ac:dyDescent="0.3">
      <c r="B1241" s="70">
        <v>45704</v>
      </c>
      <c r="C1241" s="70">
        <f t="shared" si="96"/>
        <v>45689</v>
      </c>
      <c r="D1241" s="94">
        <v>25</v>
      </c>
      <c r="E1241" s="94">
        <v>0</v>
      </c>
      <c r="F1241" s="92" t="s">
        <v>3695</v>
      </c>
      <c r="G1241" s="75"/>
      <c r="H1241" s="92" t="s">
        <v>589</v>
      </c>
      <c r="I1241" s="92" t="s">
        <v>3892</v>
      </c>
      <c r="K1241" s="71" t="s">
        <v>511</v>
      </c>
      <c r="L1241" t="s">
        <v>2377</v>
      </c>
      <c r="M1241" t="str">
        <f t="shared" si="97"/>
        <v>16</v>
      </c>
      <c r="N1241" t="str">
        <f t="shared" si="98"/>
        <v>02</v>
      </c>
      <c r="O1241" t="str">
        <f t="shared" si="95"/>
        <v>2025</v>
      </c>
      <c r="P1241" t="str">
        <f t="shared" si="99"/>
        <v>16-02-2025</v>
      </c>
    </row>
    <row r="1242" spans="2:16" x14ac:dyDescent="0.3">
      <c r="B1242" s="70">
        <v>45704</v>
      </c>
      <c r="C1242" s="70">
        <f t="shared" si="96"/>
        <v>45689</v>
      </c>
      <c r="D1242" s="94">
        <v>30</v>
      </c>
      <c r="E1242" s="94">
        <v>0</v>
      </c>
      <c r="F1242" s="92" t="s">
        <v>3696</v>
      </c>
      <c r="G1242" s="75"/>
      <c r="H1242" s="92" t="s">
        <v>589</v>
      </c>
      <c r="I1242" s="92" t="s">
        <v>3892</v>
      </c>
      <c r="K1242" s="71" t="s">
        <v>511</v>
      </c>
      <c r="L1242" t="s">
        <v>2379</v>
      </c>
      <c r="M1242" t="str">
        <f t="shared" si="97"/>
        <v>16</v>
      </c>
      <c r="N1242" t="str">
        <f t="shared" si="98"/>
        <v>02</v>
      </c>
      <c r="O1242" t="str">
        <f t="shared" si="95"/>
        <v>2025</v>
      </c>
      <c r="P1242" t="str">
        <f t="shared" si="99"/>
        <v>16-02-2025</v>
      </c>
    </row>
    <row r="1243" spans="2:16" x14ac:dyDescent="0.3">
      <c r="B1243" s="70">
        <v>45704</v>
      </c>
      <c r="C1243" s="70">
        <f t="shared" si="96"/>
        <v>45689</v>
      </c>
      <c r="D1243" s="94">
        <v>124.95</v>
      </c>
      <c r="E1243" s="94">
        <v>0</v>
      </c>
      <c r="F1243" s="92" t="s">
        <v>3697</v>
      </c>
      <c r="G1243" s="75"/>
      <c r="H1243" s="92" t="s">
        <v>589</v>
      </c>
      <c r="I1243" s="92" t="s">
        <v>3892</v>
      </c>
      <c r="K1243" s="71" t="s">
        <v>511</v>
      </c>
      <c r="L1243" t="s">
        <v>2381</v>
      </c>
      <c r="M1243" t="str">
        <f t="shared" si="97"/>
        <v>16</v>
      </c>
      <c r="N1243" t="str">
        <f t="shared" si="98"/>
        <v>02</v>
      </c>
      <c r="O1243" t="str">
        <f t="shared" si="95"/>
        <v>2025</v>
      </c>
      <c r="P1243" t="str">
        <f t="shared" si="99"/>
        <v>16-02-2025</v>
      </c>
    </row>
    <row r="1244" spans="2:16" x14ac:dyDescent="0.3">
      <c r="B1244" s="70">
        <v>45704</v>
      </c>
      <c r="C1244" s="70">
        <f t="shared" si="96"/>
        <v>45689</v>
      </c>
      <c r="D1244" s="94">
        <v>20</v>
      </c>
      <c r="E1244" s="94">
        <v>0</v>
      </c>
      <c r="F1244" s="92" t="s">
        <v>3698</v>
      </c>
      <c r="G1244" s="75"/>
      <c r="H1244" s="92" t="s">
        <v>589</v>
      </c>
      <c r="I1244" s="92" t="s">
        <v>3892</v>
      </c>
      <c r="K1244" s="71" t="s">
        <v>511</v>
      </c>
      <c r="L1244" t="s">
        <v>2383</v>
      </c>
      <c r="M1244" t="str">
        <f t="shared" si="97"/>
        <v>16</v>
      </c>
      <c r="N1244" t="str">
        <f t="shared" si="98"/>
        <v>02</v>
      </c>
      <c r="O1244" t="str">
        <f t="shared" si="95"/>
        <v>2025</v>
      </c>
      <c r="P1244" t="str">
        <f t="shared" si="99"/>
        <v>16-02-2025</v>
      </c>
    </row>
    <row r="1245" spans="2:16" x14ac:dyDescent="0.3">
      <c r="B1245" s="70">
        <v>45704</v>
      </c>
      <c r="C1245" s="70">
        <f t="shared" si="96"/>
        <v>45689</v>
      </c>
      <c r="D1245" s="94">
        <v>40</v>
      </c>
      <c r="E1245" s="94">
        <v>0</v>
      </c>
      <c r="F1245" s="92" t="s">
        <v>3699</v>
      </c>
      <c r="G1245" s="75"/>
      <c r="H1245" s="92" t="s">
        <v>589</v>
      </c>
      <c r="I1245" s="92" t="s">
        <v>3892</v>
      </c>
      <c r="K1245" s="71" t="s">
        <v>511</v>
      </c>
      <c r="L1245" t="s">
        <v>2385</v>
      </c>
      <c r="M1245" t="str">
        <f t="shared" si="97"/>
        <v>16</v>
      </c>
      <c r="N1245" t="str">
        <f t="shared" si="98"/>
        <v>02</v>
      </c>
      <c r="O1245" t="str">
        <f t="shared" si="95"/>
        <v>2025</v>
      </c>
      <c r="P1245" t="str">
        <f t="shared" si="99"/>
        <v>16-02-2025</v>
      </c>
    </row>
    <row r="1246" spans="2:16" x14ac:dyDescent="0.3">
      <c r="B1246" s="70">
        <v>45704</v>
      </c>
      <c r="C1246" s="70">
        <f t="shared" si="96"/>
        <v>45689</v>
      </c>
      <c r="D1246" s="94">
        <v>18</v>
      </c>
      <c r="E1246" s="94">
        <v>0</v>
      </c>
      <c r="F1246" s="92" t="s">
        <v>3700</v>
      </c>
      <c r="G1246" s="75"/>
      <c r="H1246" s="92" t="s">
        <v>589</v>
      </c>
      <c r="I1246" s="92" t="s">
        <v>3892</v>
      </c>
      <c r="K1246" s="71" t="s">
        <v>511</v>
      </c>
      <c r="L1246" t="s">
        <v>2387</v>
      </c>
      <c r="M1246" t="str">
        <f t="shared" si="97"/>
        <v>16</v>
      </c>
      <c r="N1246" t="str">
        <f t="shared" si="98"/>
        <v>02</v>
      </c>
      <c r="O1246" t="str">
        <f t="shared" si="95"/>
        <v>2025</v>
      </c>
      <c r="P1246" t="str">
        <f t="shared" si="99"/>
        <v>16-02-2025</v>
      </c>
    </row>
    <row r="1247" spans="2:16" x14ac:dyDescent="0.3">
      <c r="B1247" s="70">
        <v>45704</v>
      </c>
      <c r="C1247" s="70">
        <f t="shared" si="96"/>
        <v>45689</v>
      </c>
      <c r="D1247" s="94">
        <v>1160</v>
      </c>
      <c r="E1247" s="94">
        <v>0</v>
      </c>
      <c r="F1247" s="92" t="s">
        <v>3701</v>
      </c>
      <c r="G1247" s="75"/>
      <c r="H1247" s="92" t="s">
        <v>589</v>
      </c>
      <c r="I1247" s="92" t="s">
        <v>3892</v>
      </c>
      <c r="K1247" s="71" t="s">
        <v>511</v>
      </c>
      <c r="L1247" t="s">
        <v>2389</v>
      </c>
      <c r="M1247" t="str">
        <f t="shared" si="97"/>
        <v>16</v>
      </c>
      <c r="N1247" t="str">
        <f t="shared" si="98"/>
        <v>02</v>
      </c>
      <c r="O1247" t="str">
        <f t="shared" si="95"/>
        <v>2025</v>
      </c>
      <c r="P1247" t="str">
        <f t="shared" si="99"/>
        <v>16-02-2025</v>
      </c>
    </row>
    <row r="1248" spans="2:16" x14ac:dyDescent="0.3">
      <c r="B1248" s="70">
        <v>45705</v>
      </c>
      <c r="C1248" s="70">
        <f t="shared" si="96"/>
        <v>45689</v>
      </c>
      <c r="D1248" s="94">
        <v>318.81</v>
      </c>
      <c r="E1248" s="94">
        <v>0</v>
      </c>
      <c r="F1248" s="92" t="s">
        <v>3702</v>
      </c>
      <c r="G1248" s="75"/>
      <c r="H1248" s="92" t="s">
        <v>3881</v>
      </c>
      <c r="I1248" s="92" t="s">
        <v>3889</v>
      </c>
      <c r="K1248" s="71" t="s">
        <v>217</v>
      </c>
      <c r="L1248" t="s">
        <v>30</v>
      </c>
      <c r="M1248" t="str">
        <f t="shared" si="97"/>
        <v>17</v>
      </c>
      <c r="N1248" t="str">
        <f t="shared" si="98"/>
        <v>02</v>
      </c>
      <c r="O1248" t="str">
        <f t="shared" si="95"/>
        <v>2025</v>
      </c>
      <c r="P1248" t="str">
        <f t="shared" si="99"/>
        <v>17-02-2025</v>
      </c>
    </row>
    <row r="1249" spans="2:16" x14ac:dyDescent="0.3">
      <c r="B1249" s="70">
        <v>45705</v>
      </c>
      <c r="C1249" s="70">
        <f t="shared" si="96"/>
        <v>45689</v>
      </c>
      <c r="D1249" s="94">
        <v>1721.54</v>
      </c>
      <c r="E1249" s="94">
        <v>0</v>
      </c>
      <c r="F1249" s="92" t="s">
        <v>3702</v>
      </c>
      <c r="G1249" s="75"/>
      <c r="H1249" s="92" t="s">
        <v>3881</v>
      </c>
      <c r="I1249" s="92" t="s">
        <v>3889</v>
      </c>
      <c r="K1249" s="71" t="s">
        <v>217</v>
      </c>
      <c r="L1249" t="s">
        <v>30</v>
      </c>
      <c r="M1249" t="str">
        <f t="shared" si="97"/>
        <v>17</v>
      </c>
      <c r="N1249" t="str">
        <f t="shared" si="98"/>
        <v>02</v>
      </c>
      <c r="O1249" t="str">
        <f t="shared" si="95"/>
        <v>2025</v>
      </c>
      <c r="P1249" t="str">
        <f t="shared" si="99"/>
        <v>17-02-2025</v>
      </c>
    </row>
    <row r="1250" spans="2:16" x14ac:dyDescent="0.3">
      <c r="B1250" s="70">
        <v>45705</v>
      </c>
      <c r="C1250" s="70">
        <f t="shared" si="96"/>
        <v>45689</v>
      </c>
      <c r="D1250" s="94">
        <v>25</v>
      </c>
      <c r="E1250" s="94">
        <v>0</v>
      </c>
      <c r="F1250" s="92" t="s">
        <v>3703</v>
      </c>
      <c r="G1250" s="75"/>
      <c r="H1250" s="92" t="s">
        <v>589</v>
      </c>
      <c r="I1250" s="92" t="s">
        <v>3892</v>
      </c>
      <c r="K1250" s="71" t="s">
        <v>511</v>
      </c>
      <c r="L1250" t="s">
        <v>2391</v>
      </c>
      <c r="M1250" t="str">
        <f t="shared" si="97"/>
        <v>17</v>
      </c>
      <c r="N1250" t="str">
        <f t="shared" si="98"/>
        <v>02</v>
      </c>
      <c r="O1250" t="str">
        <f t="shared" si="95"/>
        <v>2025</v>
      </c>
      <c r="P1250" t="str">
        <f t="shared" si="99"/>
        <v>17-02-2025</v>
      </c>
    </row>
    <row r="1251" spans="2:16" x14ac:dyDescent="0.3">
      <c r="B1251" s="70">
        <v>45705</v>
      </c>
      <c r="C1251" s="70">
        <f t="shared" si="96"/>
        <v>45689</v>
      </c>
      <c r="D1251" s="94">
        <v>50</v>
      </c>
      <c r="E1251" s="94">
        <v>0</v>
      </c>
      <c r="F1251" s="92" t="s">
        <v>3704</v>
      </c>
      <c r="G1251" s="75"/>
      <c r="H1251" s="92" t="s">
        <v>589</v>
      </c>
      <c r="I1251" s="92" t="s">
        <v>3892</v>
      </c>
      <c r="K1251" s="71" t="s">
        <v>511</v>
      </c>
      <c r="L1251" t="s">
        <v>2393</v>
      </c>
      <c r="M1251" t="str">
        <f t="shared" si="97"/>
        <v>17</v>
      </c>
      <c r="N1251" t="str">
        <f t="shared" si="98"/>
        <v>02</v>
      </c>
      <c r="O1251" t="str">
        <f t="shared" si="95"/>
        <v>2025</v>
      </c>
      <c r="P1251" t="str">
        <f t="shared" si="99"/>
        <v>17-02-2025</v>
      </c>
    </row>
    <row r="1252" spans="2:16" x14ac:dyDescent="0.3">
      <c r="B1252" s="70">
        <v>45705</v>
      </c>
      <c r="C1252" s="70">
        <f t="shared" si="96"/>
        <v>45689</v>
      </c>
      <c r="D1252" s="94">
        <v>24400</v>
      </c>
      <c r="E1252" s="94">
        <v>0</v>
      </c>
      <c r="F1252" s="92" t="s">
        <v>3705</v>
      </c>
      <c r="G1252" s="75"/>
      <c r="H1252" s="92" t="s">
        <v>589</v>
      </c>
      <c r="I1252" s="92" t="s">
        <v>3892</v>
      </c>
      <c r="K1252" s="71" t="s">
        <v>511</v>
      </c>
      <c r="L1252" t="s">
        <v>2395</v>
      </c>
      <c r="M1252" t="str">
        <f t="shared" si="97"/>
        <v>17</v>
      </c>
      <c r="N1252" t="str">
        <f t="shared" si="98"/>
        <v>02</v>
      </c>
      <c r="O1252" t="str">
        <f t="shared" si="95"/>
        <v>2025</v>
      </c>
      <c r="P1252" t="str">
        <f t="shared" si="99"/>
        <v>17-02-2025</v>
      </c>
    </row>
    <row r="1253" spans="2:16" x14ac:dyDescent="0.3">
      <c r="B1253" s="70">
        <v>45705</v>
      </c>
      <c r="C1253" s="70">
        <f t="shared" si="96"/>
        <v>45689</v>
      </c>
      <c r="D1253" s="94">
        <v>46</v>
      </c>
      <c r="E1253" s="94">
        <v>0</v>
      </c>
      <c r="F1253" s="92" t="s">
        <v>3706</v>
      </c>
      <c r="G1253" s="75"/>
      <c r="H1253" s="92" t="s">
        <v>589</v>
      </c>
      <c r="I1253" s="92" t="s">
        <v>3892</v>
      </c>
      <c r="K1253" s="71" t="s">
        <v>511</v>
      </c>
      <c r="L1253" t="s">
        <v>2397</v>
      </c>
      <c r="M1253" t="str">
        <f t="shared" si="97"/>
        <v>17</v>
      </c>
      <c r="N1253" t="str">
        <f t="shared" si="98"/>
        <v>02</v>
      </c>
      <c r="O1253" t="str">
        <f t="shared" si="95"/>
        <v>2025</v>
      </c>
      <c r="P1253" t="str">
        <f t="shared" si="99"/>
        <v>17-02-2025</v>
      </c>
    </row>
    <row r="1254" spans="2:16" x14ac:dyDescent="0.3">
      <c r="B1254" s="70">
        <v>45706</v>
      </c>
      <c r="C1254" s="70">
        <f t="shared" si="96"/>
        <v>45689</v>
      </c>
      <c r="D1254" s="94">
        <v>105.65</v>
      </c>
      <c r="E1254" s="94">
        <v>0</v>
      </c>
      <c r="F1254" s="92" t="s">
        <v>3707</v>
      </c>
      <c r="G1254" s="75"/>
      <c r="H1254" s="92" t="s">
        <v>3881</v>
      </c>
      <c r="I1254" s="92" t="s">
        <v>3889</v>
      </c>
      <c r="K1254" s="71" t="s">
        <v>217</v>
      </c>
      <c r="L1254" t="s">
        <v>30</v>
      </c>
      <c r="M1254" t="str">
        <f t="shared" si="97"/>
        <v>18</v>
      </c>
      <c r="N1254" t="str">
        <f t="shared" si="98"/>
        <v>02</v>
      </c>
      <c r="O1254" t="str">
        <f t="shared" si="95"/>
        <v>2025</v>
      </c>
      <c r="P1254" t="str">
        <f t="shared" si="99"/>
        <v>18-02-2025</v>
      </c>
    </row>
    <row r="1255" spans="2:16" x14ac:dyDescent="0.3">
      <c r="B1255" s="70">
        <v>45706</v>
      </c>
      <c r="C1255" s="70">
        <f t="shared" si="96"/>
        <v>45689</v>
      </c>
      <c r="D1255" s="94">
        <v>0</v>
      </c>
      <c r="E1255" s="94">
        <v>187.5</v>
      </c>
      <c r="F1255" s="92" t="s">
        <v>3708</v>
      </c>
      <c r="G1255" s="75" t="s">
        <v>3923</v>
      </c>
      <c r="H1255" s="92" t="s">
        <v>218</v>
      </c>
      <c r="I1255" s="92" t="s">
        <v>3889</v>
      </c>
      <c r="K1255" s="71" t="s">
        <v>218</v>
      </c>
      <c r="L1255" t="s">
        <v>1315</v>
      </c>
      <c r="M1255" t="str">
        <f t="shared" si="97"/>
        <v>18</v>
      </c>
      <c r="N1255" t="str">
        <f t="shared" si="98"/>
        <v>02</v>
      </c>
      <c r="O1255" t="str">
        <f t="shared" si="95"/>
        <v>2025</v>
      </c>
      <c r="P1255" t="str">
        <f t="shared" si="99"/>
        <v>18-02-2025</v>
      </c>
    </row>
    <row r="1256" spans="2:16" x14ac:dyDescent="0.3">
      <c r="B1256" s="70">
        <v>45706</v>
      </c>
      <c r="C1256" s="70">
        <f t="shared" si="96"/>
        <v>45689</v>
      </c>
      <c r="D1256" s="94">
        <v>333.44</v>
      </c>
      <c r="E1256" s="94">
        <v>0</v>
      </c>
      <c r="F1256" s="92" t="s">
        <v>3707</v>
      </c>
      <c r="G1256" s="75"/>
      <c r="H1256" s="92" t="s">
        <v>3881</v>
      </c>
      <c r="I1256" s="92" t="s">
        <v>3889</v>
      </c>
      <c r="K1256" s="71" t="s">
        <v>217</v>
      </c>
      <c r="L1256" t="s">
        <v>30</v>
      </c>
      <c r="M1256" t="str">
        <f t="shared" si="97"/>
        <v>18</v>
      </c>
      <c r="N1256" t="str">
        <f t="shared" si="98"/>
        <v>02</v>
      </c>
      <c r="O1256" t="str">
        <f t="shared" si="95"/>
        <v>2025</v>
      </c>
      <c r="P1256" t="str">
        <f t="shared" si="99"/>
        <v>18-02-2025</v>
      </c>
    </row>
    <row r="1257" spans="2:16" x14ac:dyDescent="0.3">
      <c r="B1257" s="70">
        <v>45706</v>
      </c>
      <c r="C1257" s="70">
        <f t="shared" si="96"/>
        <v>45689</v>
      </c>
      <c r="D1257" s="94">
        <v>0</v>
      </c>
      <c r="E1257" s="94">
        <v>2.5</v>
      </c>
      <c r="F1257" s="92" t="s">
        <v>3709</v>
      </c>
      <c r="G1257" s="75" t="s">
        <v>3933</v>
      </c>
      <c r="H1257" s="92" t="s">
        <v>218</v>
      </c>
      <c r="I1257" s="92" t="s">
        <v>3892</v>
      </c>
      <c r="K1257" s="71" t="s">
        <v>218</v>
      </c>
      <c r="L1257" t="s">
        <v>2399</v>
      </c>
      <c r="M1257" t="str">
        <f t="shared" si="97"/>
        <v>18</v>
      </c>
      <c r="N1257" t="str">
        <f t="shared" si="98"/>
        <v>02</v>
      </c>
      <c r="O1257" t="str">
        <f t="shared" si="95"/>
        <v>2025</v>
      </c>
      <c r="P1257" t="str">
        <f t="shared" si="99"/>
        <v>18-02-2025</v>
      </c>
    </row>
    <row r="1258" spans="2:16" x14ac:dyDescent="0.3">
      <c r="B1258" s="70">
        <v>45706</v>
      </c>
      <c r="C1258" s="70">
        <f t="shared" si="96"/>
        <v>45689</v>
      </c>
      <c r="D1258" s="94">
        <v>0</v>
      </c>
      <c r="E1258" s="94">
        <v>245</v>
      </c>
      <c r="F1258" s="92" t="s">
        <v>3710</v>
      </c>
      <c r="G1258" s="75" t="s">
        <v>3917</v>
      </c>
      <c r="H1258" s="92" t="s">
        <v>218</v>
      </c>
      <c r="I1258" s="92" t="s">
        <v>3892</v>
      </c>
      <c r="K1258" s="71" t="s">
        <v>218</v>
      </c>
      <c r="L1258" t="s">
        <v>2401</v>
      </c>
      <c r="M1258" t="str">
        <f t="shared" si="97"/>
        <v>18</v>
      </c>
      <c r="N1258" t="str">
        <f t="shared" si="98"/>
        <v>02</v>
      </c>
      <c r="O1258" t="str">
        <f t="shared" si="95"/>
        <v>2025</v>
      </c>
      <c r="P1258" t="str">
        <f t="shared" si="99"/>
        <v>18-02-2025</v>
      </c>
    </row>
    <row r="1259" spans="2:16" x14ac:dyDescent="0.3">
      <c r="B1259" s="70">
        <v>45707</v>
      </c>
      <c r="C1259" s="70">
        <f t="shared" si="96"/>
        <v>45689</v>
      </c>
      <c r="D1259" s="94">
        <v>105.53</v>
      </c>
      <c r="E1259" s="94">
        <v>0</v>
      </c>
      <c r="F1259" s="92" t="s">
        <v>3711</v>
      </c>
      <c r="G1259" s="75"/>
      <c r="H1259" s="92" t="s">
        <v>3881</v>
      </c>
      <c r="I1259" s="92" t="s">
        <v>3889</v>
      </c>
      <c r="K1259" s="71" t="s">
        <v>217</v>
      </c>
      <c r="L1259" t="s">
        <v>30</v>
      </c>
      <c r="M1259" t="str">
        <f t="shared" si="97"/>
        <v>19</v>
      </c>
      <c r="N1259" t="str">
        <f t="shared" si="98"/>
        <v>02</v>
      </c>
      <c r="O1259" t="str">
        <f t="shared" si="95"/>
        <v>2025</v>
      </c>
      <c r="P1259" t="str">
        <f t="shared" si="99"/>
        <v>19-02-2025</v>
      </c>
    </row>
    <row r="1260" spans="2:16" x14ac:dyDescent="0.3">
      <c r="B1260" s="70">
        <v>45707</v>
      </c>
      <c r="C1260" s="70">
        <f t="shared" si="96"/>
        <v>45689</v>
      </c>
      <c r="D1260" s="94">
        <v>30</v>
      </c>
      <c r="E1260" s="94">
        <v>0</v>
      </c>
      <c r="F1260" s="92" t="s">
        <v>3712</v>
      </c>
      <c r="G1260" s="75"/>
      <c r="H1260" s="92" t="s">
        <v>589</v>
      </c>
      <c r="I1260" s="92" t="s">
        <v>3892</v>
      </c>
      <c r="K1260" s="71" t="s">
        <v>511</v>
      </c>
      <c r="L1260" t="s">
        <v>2403</v>
      </c>
      <c r="M1260" t="str">
        <f t="shared" si="97"/>
        <v>19</v>
      </c>
      <c r="N1260" t="str">
        <f t="shared" si="98"/>
        <v>02</v>
      </c>
      <c r="O1260" t="str">
        <f t="shared" si="95"/>
        <v>2025</v>
      </c>
      <c r="P1260" t="str">
        <f t="shared" si="99"/>
        <v>19-02-2025</v>
      </c>
    </row>
    <row r="1261" spans="2:16" x14ac:dyDescent="0.3">
      <c r="B1261" s="70">
        <v>45707</v>
      </c>
      <c r="C1261" s="70">
        <f t="shared" si="96"/>
        <v>45689</v>
      </c>
      <c r="D1261" s="94">
        <v>69</v>
      </c>
      <c r="E1261" s="94">
        <v>0</v>
      </c>
      <c r="F1261" s="92" t="s">
        <v>3713</v>
      </c>
      <c r="G1261" s="75"/>
      <c r="H1261" s="92" t="s">
        <v>589</v>
      </c>
      <c r="I1261" s="92" t="s">
        <v>3892</v>
      </c>
      <c r="K1261" s="71" t="s">
        <v>511</v>
      </c>
      <c r="L1261" t="s">
        <v>2405</v>
      </c>
      <c r="M1261" t="str">
        <f t="shared" si="97"/>
        <v>19</v>
      </c>
      <c r="N1261" t="str">
        <f t="shared" si="98"/>
        <v>02</v>
      </c>
      <c r="O1261" t="str">
        <f t="shared" si="95"/>
        <v>2025</v>
      </c>
      <c r="P1261" t="str">
        <f t="shared" si="99"/>
        <v>19-02-2025</v>
      </c>
    </row>
    <row r="1262" spans="2:16" x14ac:dyDescent="0.3">
      <c r="B1262" s="70">
        <v>45707</v>
      </c>
      <c r="C1262" s="70">
        <f t="shared" si="96"/>
        <v>45689</v>
      </c>
      <c r="D1262" s="94">
        <v>45</v>
      </c>
      <c r="E1262" s="94">
        <v>0</v>
      </c>
      <c r="F1262" s="92" t="s">
        <v>3714</v>
      </c>
      <c r="G1262" s="75"/>
      <c r="H1262" s="92" t="s">
        <v>589</v>
      </c>
      <c r="I1262" s="92" t="s">
        <v>3892</v>
      </c>
      <c r="K1262" s="71" t="s">
        <v>511</v>
      </c>
      <c r="L1262" t="s">
        <v>2407</v>
      </c>
      <c r="M1262" t="str">
        <f t="shared" si="97"/>
        <v>19</v>
      </c>
      <c r="N1262" t="str">
        <f t="shared" si="98"/>
        <v>02</v>
      </c>
      <c r="O1262" t="str">
        <f t="shared" si="95"/>
        <v>2025</v>
      </c>
      <c r="P1262" t="str">
        <f t="shared" si="99"/>
        <v>19-02-2025</v>
      </c>
    </row>
    <row r="1263" spans="2:16" x14ac:dyDescent="0.3">
      <c r="B1263" s="70">
        <v>45708</v>
      </c>
      <c r="C1263" s="70">
        <f t="shared" si="96"/>
        <v>45689</v>
      </c>
      <c r="D1263" s="94">
        <v>0</v>
      </c>
      <c r="E1263" s="94">
        <v>3065.4</v>
      </c>
      <c r="F1263" s="92" t="s">
        <v>3715</v>
      </c>
      <c r="G1263" s="75"/>
      <c r="H1263" s="92" t="s">
        <v>3881</v>
      </c>
      <c r="I1263" s="92" t="s">
        <v>3889</v>
      </c>
      <c r="K1263" s="71" t="s">
        <v>2523</v>
      </c>
      <c r="L1263" t="s">
        <v>1319</v>
      </c>
      <c r="M1263" t="str">
        <f t="shared" si="97"/>
        <v>20</v>
      </c>
      <c r="N1263" t="str">
        <f t="shared" si="98"/>
        <v>02</v>
      </c>
      <c r="O1263" t="str">
        <f t="shared" si="95"/>
        <v>2025</v>
      </c>
      <c r="P1263" t="str">
        <f t="shared" si="99"/>
        <v>20-02-2025</v>
      </c>
    </row>
    <row r="1264" spans="2:16" x14ac:dyDescent="0.3">
      <c r="B1264" s="70">
        <v>45708</v>
      </c>
      <c r="C1264" s="70">
        <f t="shared" si="96"/>
        <v>45689</v>
      </c>
      <c r="D1264" s="94">
        <v>0</v>
      </c>
      <c r="E1264" s="94">
        <v>10326.120000000001</v>
      </c>
      <c r="F1264" s="92" t="s">
        <v>3716</v>
      </c>
      <c r="G1264" s="75"/>
      <c r="H1264" s="92" t="s">
        <v>3881</v>
      </c>
      <c r="I1264" s="92" t="s">
        <v>3889</v>
      </c>
      <c r="K1264" s="71" t="s">
        <v>2523</v>
      </c>
      <c r="L1264" t="s">
        <v>1321</v>
      </c>
      <c r="M1264" t="str">
        <f t="shared" si="97"/>
        <v>20</v>
      </c>
      <c r="N1264" t="str">
        <f t="shared" si="98"/>
        <v>02</v>
      </c>
      <c r="O1264" t="str">
        <f t="shared" si="95"/>
        <v>2025</v>
      </c>
      <c r="P1264" t="str">
        <f t="shared" si="99"/>
        <v>20-02-2025</v>
      </c>
    </row>
    <row r="1265" spans="2:16" x14ac:dyDescent="0.3">
      <c r="B1265" s="70">
        <v>45708</v>
      </c>
      <c r="C1265" s="70">
        <f t="shared" si="96"/>
        <v>45689</v>
      </c>
      <c r="D1265" s="94">
        <v>105.53</v>
      </c>
      <c r="E1265" s="94">
        <v>0</v>
      </c>
      <c r="F1265" s="92" t="s">
        <v>3717</v>
      </c>
      <c r="G1265" s="75"/>
      <c r="H1265" s="92" t="s">
        <v>3881</v>
      </c>
      <c r="I1265" s="92" t="s">
        <v>3889</v>
      </c>
      <c r="K1265" s="71" t="s">
        <v>217</v>
      </c>
      <c r="L1265" t="s">
        <v>30</v>
      </c>
      <c r="M1265" t="str">
        <f t="shared" si="97"/>
        <v>20</v>
      </c>
      <c r="N1265" t="str">
        <f t="shared" si="98"/>
        <v>02</v>
      </c>
      <c r="O1265" t="str">
        <f t="shared" si="95"/>
        <v>2025</v>
      </c>
      <c r="P1265" t="str">
        <f t="shared" si="99"/>
        <v>20-02-2025</v>
      </c>
    </row>
    <row r="1266" spans="2:16" x14ac:dyDescent="0.3">
      <c r="B1266" s="70">
        <v>45709</v>
      </c>
      <c r="C1266" s="70">
        <f t="shared" si="96"/>
        <v>45689</v>
      </c>
      <c r="D1266" s="94">
        <v>0</v>
      </c>
      <c r="E1266" s="94">
        <v>2236.5100000000002</v>
      </c>
      <c r="F1266" s="92" t="s">
        <v>3718</v>
      </c>
      <c r="G1266" s="75"/>
      <c r="H1266" s="92" t="s">
        <v>3881</v>
      </c>
      <c r="I1266" s="92" t="s">
        <v>3889</v>
      </c>
      <c r="K1266" s="71" t="s">
        <v>2523</v>
      </c>
      <c r="L1266" t="s">
        <v>1324</v>
      </c>
      <c r="M1266" t="str">
        <f t="shared" si="97"/>
        <v>21</v>
      </c>
      <c r="N1266" t="str">
        <f t="shared" si="98"/>
        <v>02</v>
      </c>
      <c r="O1266" t="str">
        <f t="shared" si="95"/>
        <v>2025</v>
      </c>
      <c r="P1266" t="str">
        <f t="shared" si="99"/>
        <v>21-02-2025</v>
      </c>
    </row>
    <row r="1267" spans="2:16" x14ac:dyDescent="0.3">
      <c r="B1267" s="70">
        <v>45709</v>
      </c>
      <c r="C1267" s="70">
        <f t="shared" si="96"/>
        <v>45689</v>
      </c>
      <c r="D1267" s="94">
        <v>106.63</v>
      </c>
      <c r="E1267" s="94">
        <v>0</v>
      </c>
      <c r="F1267" s="92" t="s">
        <v>3719</v>
      </c>
      <c r="G1267" s="75"/>
      <c r="H1267" s="92" t="s">
        <v>3881</v>
      </c>
      <c r="I1267" s="92" t="s">
        <v>3889</v>
      </c>
      <c r="K1267" s="71" t="s">
        <v>217</v>
      </c>
      <c r="L1267" t="s">
        <v>30</v>
      </c>
      <c r="M1267" t="str">
        <f t="shared" si="97"/>
        <v>21</v>
      </c>
      <c r="N1267" t="str">
        <f t="shared" si="98"/>
        <v>02</v>
      </c>
      <c r="O1267" t="str">
        <f t="shared" si="95"/>
        <v>2025</v>
      </c>
      <c r="P1267" t="str">
        <f t="shared" si="99"/>
        <v>21-02-2025</v>
      </c>
    </row>
    <row r="1268" spans="2:16" x14ac:dyDescent="0.3">
      <c r="B1268" s="70">
        <v>45709</v>
      </c>
      <c r="C1268" s="70">
        <f t="shared" si="96"/>
        <v>45689</v>
      </c>
      <c r="D1268" s="94">
        <v>4936.38</v>
      </c>
      <c r="E1268" s="94">
        <v>0</v>
      </c>
      <c r="F1268" s="92" t="s">
        <v>3719</v>
      </c>
      <c r="G1268" s="75"/>
      <c r="H1268" s="92" t="s">
        <v>3881</v>
      </c>
      <c r="I1268" s="92" t="s">
        <v>3889</v>
      </c>
      <c r="K1268" s="71" t="s">
        <v>217</v>
      </c>
      <c r="L1268" t="s">
        <v>30</v>
      </c>
      <c r="M1268" t="str">
        <f t="shared" si="97"/>
        <v>21</v>
      </c>
      <c r="N1268" t="str">
        <f t="shared" si="98"/>
        <v>02</v>
      </c>
      <c r="O1268" t="str">
        <f t="shared" si="95"/>
        <v>2025</v>
      </c>
      <c r="P1268" t="str">
        <f t="shared" si="99"/>
        <v>21-02-2025</v>
      </c>
    </row>
    <row r="1269" spans="2:16" x14ac:dyDescent="0.3">
      <c r="B1269" s="70">
        <v>45709</v>
      </c>
      <c r="C1269" s="70">
        <f t="shared" si="96"/>
        <v>45689</v>
      </c>
      <c r="D1269" s="94">
        <v>100</v>
      </c>
      <c r="E1269" s="94">
        <v>0</v>
      </c>
      <c r="F1269" s="92" t="s">
        <v>3720</v>
      </c>
      <c r="G1269" s="75"/>
      <c r="H1269" s="92" t="s">
        <v>589</v>
      </c>
      <c r="I1269" s="92" t="s">
        <v>3892</v>
      </c>
      <c r="K1269" s="71" t="s">
        <v>511</v>
      </c>
      <c r="L1269" t="s">
        <v>2409</v>
      </c>
      <c r="M1269" t="str">
        <f t="shared" si="97"/>
        <v>21</v>
      </c>
      <c r="N1269" t="str">
        <f t="shared" si="98"/>
        <v>02</v>
      </c>
      <c r="O1269" t="str">
        <f t="shared" si="95"/>
        <v>2025</v>
      </c>
      <c r="P1269" t="str">
        <f t="shared" si="99"/>
        <v>21-02-2025</v>
      </c>
    </row>
    <row r="1270" spans="2:16" x14ac:dyDescent="0.3">
      <c r="B1270" s="70">
        <v>45709</v>
      </c>
      <c r="C1270" s="70">
        <f t="shared" si="96"/>
        <v>45689</v>
      </c>
      <c r="D1270" s="94">
        <v>1700</v>
      </c>
      <c r="E1270" s="94">
        <v>0</v>
      </c>
      <c r="F1270" s="92" t="s">
        <v>3721</v>
      </c>
      <c r="G1270" s="75"/>
      <c r="H1270" s="92" t="s">
        <v>589</v>
      </c>
      <c r="I1270" s="92" t="s">
        <v>3892</v>
      </c>
      <c r="K1270" s="71" t="s">
        <v>511</v>
      </c>
      <c r="L1270" t="s">
        <v>2411</v>
      </c>
      <c r="M1270" t="str">
        <f t="shared" si="97"/>
        <v>21</v>
      </c>
      <c r="N1270" t="str">
        <f t="shared" si="98"/>
        <v>02</v>
      </c>
      <c r="O1270" t="str">
        <f t="shared" si="95"/>
        <v>2025</v>
      </c>
      <c r="P1270" t="str">
        <f t="shared" si="99"/>
        <v>21-02-2025</v>
      </c>
    </row>
    <row r="1271" spans="2:16" x14ac:dyDescent="0.3">
      <c r="B1271" s="70">
        <v>45709</v>
      </c>
      <c r="C1271" s="70">
        <f t="shared" si="96"/>
        <v>45689</v>
      </c>
      <c r="D1271" s="94">
        <v>20</v>
      </c>
      <c r="E1271" s="94">
        <v>0</v>
      </c>
      <c r="F1271" s="92" t="s">
        <v>3722</v>
      </c>
      <c r="G1271" s="75"/>
      <c r="H1271" s="92" t="s">
        <v>589</v>
      </c>
      <c r="I1271" s="92" t="s">
        <v>3892</v>
      </c>
      <c r="K1271" s="71" t="s">
        <v>511</v>
      </c>
      <c r="L1271" t="s">
        <v>2413</v>
      </c>
      <c r="M1271" t="str">
        <f t="shared" si="97"/>
        <v>21</v>
      </c>
      <c r="N1271" t="str">
        <f t="shared" si="98"/>
        <v>02</v>
      </c>
      <c r="O1271" t="str">
        <f t="shared" si="95"/>
        <v>2025</v>
      </c>
      <c r="P1271" t="str">
        <f t="shared" si="99"/>
        <v>21-02-2025</v>
      </c>
    </row>
    <row r="1272" spans="2:16" x14ac:dyDescent="0.3">
      <c r="B1272" s="70">
        <v>45709</v>
      </c>
      <c r="C1272" s="70">
        <f t="shared" si="96"/>
        <v>45689</v>
      </c>
      <c r="D1272" s="94">
        <v>25</v>
      </c>
      <c r="E1272" s="94">
        <v>0</v>
      </c>
      <c r="F1272" s="92" t="s">
        <v>3723</v>
      </c>
      <c r="G1272" s="75"/>
      <c r="H1272" s="92" t="s">
        <v>589</v>
      </c>
      <c r="I1272" s="92" t="s">
        <v>3892</v>
      </c>
      <c r="K1272" s="71" t="s">
        <v>511</v>
      </c>
      <c r="L1272" t="s">
        <v>2415</v>
      </c>
      <c r="M1272" t="str">
        <f t="shared" si="97"/>
        <v>21</v>
      </c>
      <c r="N1272" t="str">
        <f t="shared" si="98"/>
        <v>02</v>
      </c>
      <c r="O1272" t="str">
        <f t="shared" si="95"/>
        <v>2025</v>
      </c>
      <c r="P1272" t="str">
        <f t="shared" si="99"/>
        <v>21-02-2025</v>
      </c>
    </row>
    <row r="1273" spans="2:16" x14ac:dyDescent="0.3">
      <c r="B1273" s="70">
        <v>45710</v>
      </c>
      <c r="C1273" s="70">
        <f t="shared" si="96"/>
        <v>45689</v>
      </c>
      <c r="D1273" s="94">
        <v>35</v>
      </c>
      <c r="E1273" s="94">
        <v>0</v>
      </c>
      <c r="F1273" s="92" t="s">
        <v>3724</v>
      </c>
      <c r="G1273" s="75"/>
      <c r="H1273" s="92" t="s">
        <v>589</v>
      </c>
      <c r="I1273" s="92" t="s">
        <v>3892</v>
      </c>
      <c r="K1273" s="71" t="s">
        <v>511</v>
      </c>
      <c r="L1273" t="s">
        <v>2417</v>
      </c>
      <c r="M1273" t="str">
        <f t="shared" si="97"/>
        <v>22</v>
      </c>
      <c r="N1273" t="str">
        <f t="shared" si="98"/>
        <v>02</v>
      </c>
      <c r="O1273" t="str">
        <f t="shared" si="95"/>
        <v>2025</v>
      </c>
      <c r="P1273" t="str">
        <f t="shared" si="99"/>
        <v>22-02-2025</v>
      </c>
    </row>
    <row r="1274" spans="2:16" x14ac:dyDescent="0.3">
      <c r="B1274" s="70">
        <v>45711</v>
      </c>
      <c r="C1274" s="70">
        <f t="shared" si="96"/>
        <v>45689</v>
      </c>
      <c r="D1274" s="94">
        <v>15250</v>
      </c>
      <c r="E1274" s="94">
        <v>0</v>
      </c>
      <c r="F1274" s="92" t="s">
        <v>3725</v>
      </c>
      <c r="G1274" s="75"/>
      <c r="H1274" s="92" t="s">
        <v>589</v>
      </c>
      <c r="I1274" s="92" t="s">
        <v>3893</v>
      </c>
      <c r="K1274" s="71" t="s">
        <v>511</v>
      </c>
      <c r="L1274" t="s">
        <v>1461</v>
      </c>
      <c r="M1274" t="str">
        <f t="shared" si="97"/>
        <v>23</v>
      </c>
      <c r="N1274" t="str">
        <f t="shared" si="98"/>
        <v>02</v>
      </c>
      <c r="O1274" t="str">
        <f t="shared" si="95"/>
        <v>2025</v>
      </c>
      <c r="P1274" t="str">
        <f t="shared" si="99"/>
        <v>23-02-2025</v>
      </c>
    </row>
    <row r="1275" spans="2:16" x14ac:dyDescent="0.3">
      <c r="B1275" s="70">
        <v>45711</v>
      </c>
      <c r="C1275" s="70">
        <f t="shared" si="96"/>
        <v>45689</v>
      </c>
      <c r="D1275" s="94">
        <v>45</v>
      </c>
      <c r="E1275" s="94">
        <v>0</v>
      </c>
      <c r="F1275" s="92" t="s">
        <v>3726</v>
      </c>
      <c r="G1275" s="75"/>
      <c r="H1275" s="92" t="s">
        <v>589</v>
      </c>
      <c r="I1275" s="92" t="s">
        <v>3892</v>
      </c>
      <c r="K1275" s="71" t="s">
        <v>511</v>
      </c>
      <c r="L1275" t="s">
        <v>2419</v>
      </c>
      <c r="M1275" t="str">
        <f t="shared" si="97"/>
        <v>23</v>
      </c>
      <c r="N1275" t="str">
        <f t="shared" si="98"/>
        <v>02</v>
      </c>
      <c r="O1275" t="str">
        <f t="shared" si="95"/>
        <v>2025</v>
      </c>
      <c r="P1275" t="str">
        <f t="shared" si="99"/>
        <v>23-02-2025</v>
      </c>
    </row>
    <row r="1276" spans="2:16" x14ac:dyDescent="0.3">
      <c r="B1276" s="70">
        <v>45711</v>
      </c>
      <c r="C1276" s="70">
        <f t="shared" si="96"/>
        <v>45689</v>
      </c>
      <c r="D1276" s="94">
        <v>18</v>
      </c>
      <c r="E1276" s="94">
        <v>0</v>
      </c>
      <c r="F1276" s="92" t="s">
        <v>3727</v>
      </c>
      <c r="G1276" s="75"/>
      <c r="H1276" s="92" t="s">
        <v>589</v>
      </c>
      <c r="I1276" s="92" t="s">
        <v>3892</v>
      </c>
      <c r="K1276" s="71" t="s">
        <v>511</v>
      </c>
      <c r="L1276" t="s">
        <v>2421</v>
      </c>
      <c r="M1276" t="str">
        <f t="shared" si="97"/>
        <v>23</v>
      </c>
      <c r="N1276" t="str">
        <f t="shared" si="98"/>
        <v>02</v>
      </c>
      <c r="O1276" t="str">
        <f t="shared" si="95"/>
        <v>2025</v>
      </c>
      <c r="P1276" t="str">
        <f t="shared" si="99"/>
        <v>23-02-2025</v>
      </c>
    </row>
    <row r="1277" spans="2:16" x14ac:dyDescent="0.3">
      <c r="B1277" s="70">
        <v>45711</v>
      </c>
      <c r="C1277" s="70">
        <f t="shared" si="96"/>
        <v>45689</v>
      </c>
      <c r="D1277" s="94">
        <v>35</v>
      </c>
      <c r="E1277" s="94">
        <v>0</v>
      </c>
      <c r="F1277" s="92" t="s">
        <v>3728</v>
      </c>
      <c r="G1277" s="75"/>
      <c r="H1277" s="92" t="s">
        <v>589</v>
      </c>
      <c r="I1277" s="92" t="s">
        <v>3892</v>
      </c>
      <c r="K1277" s="71" t="s">
        <v>511</v>
      </c>
      <c r="L1277" t="s">
        <v>2423</v>
      </c>
      <c r="M1277" t="str">
        <f t="shared" si="97"/>
        <v>23</v>
      </c>
      <c r="N1277" t="str">
        <f t="shared" si="98"/>
        <v>02</v>
      </c>
      <c r="O1277" t="str">
        <f t="shared" si="95"/>
        <v>2025</v>
      </c>
      <c r="P1277" t="str">
        <f t="shared" si="99"/>
        <v>23-02-2025</v>
      </c>
    </row>
    <row r="1278" spans="2:16" x14ac:dyDescent="0.3">
      <c r="B1278" s="70">
        <v>45711</v>
      </c>
      <c r="C1278" s="70">
        <f t="shared" si="96"/>
        <v>45689</v>
      </c>
      <c r="D1278" s="94">
        <v>171</v>
      </c>
      <c r="E1278" s="94">
        <v>0</v>
      </c>
      <c r="F1278" s="92" t="s">
        <v>3729</v>
      </c>
      <c r="G1278" s="75"/>
      <c r="H1278" s="92" t="s">
        <v>589</v>
      </c>
      <c r="I1278" s="92" t="s">
        <v>3892</v>
      </c>
      <c r="K1278" s="71" t="s">
        <v>511</v>
      </c>
      <c r="L1278" t="s">
        <v>2425</v>
      </c>
      <c r="M1278" t="str">
        <f t="shared" si="97"/>
        <v>23</v>
      </c>
      <c r="N1278" t="str">
        <f t="shared" si="98"/>
        <v>02</v>
      </c>
      <c r="O1278" t="str">
        <f t="shared" si="95"/>
        <v>2025</v>
      </c>
      <c r="P1278" t="str">
        <f t="shared" si="99"/>
        <v>23-02-2025</v>
      </c>
    </row>
    <row r="1279" spans="2:16" x14ac:dyDescent="0.3">
      <c r="B1279" s="70">
        <v>45711</v>
      </c>
      <c r="C1279" s="70">
        <f t="shared" si="96"/>
        <v>45689</v>
      </c>
      <c r="D1279" s="94">
        <v>800</v>
      </c>
      <c r="E1279" s="94">
        <v>0</v>
      </c>
      <c r="F1279" s="92" t="s">
        <v>3730</v>
      </c>
      <c r="G1279" s="75"/>
      <c r="H1279" s="92" t="s">
        <v>589</v>
      </c>
      <c r="I1279" s="92" t="s">
        <v>3892</v>
      </c>
      <c r="K1279" s="71" t="s">
        <v>511</v>
      </c>
      <c r="L1279" t="s">
        <v>2427</v>
      </c>
      <c r="M1279" t="str">
        <f t="shared" si="97"/>
        <v>23</v>
      </c>
      <c r="N1279" t="str">
        <f t="shared" si="98"/>
        <v>02</v>
      </c>
      <c r="O1279" t="str">
        <f t="shared" si="95"/>
        <v>2025</v>
      </c>
      <c r="P1279" t="str">
        <f t="shared" si="99"/>
        <v>23-02-2025</v>
      </c>
    </row>
    <row r="1280" spans="2:16" x14ac:dyDescent="0.3">
      <c r="B1280" s="70">
        <v>45711</v>
      </c>
      <c r="C1280" s="70">
        <f t="shared" si="96"/>
        <v>45689</v>
      </c>
      <c r="D1280" s="94">
        <v>193</v>
      </c>
      <c r="E1280" s="94">
        <v>0</v>
      </c>
      <c r="F1280" s="92" t="s">
        <v>3731</v>
      </c>
      <c r="G1280" s="75"/>
      <c r="H1280" s="92" t="s">
        <v>589</v>
      </c>
      <c r="I1280" s="92" t="s">
        <v>3892</v>
      </c>
      <c r="K1280" s="71" t="s">
        <v>511</v>
      </c>
      <c r="L1280" t="s">
        <v>2429</v>
      </c>
      <c r="M1280" t="str">
        <f t="shared" si="97"/>
        <v>23</v>
      </c>
      <c r="N1280" t="str">
        <f t="shared" si="98"/>
        <v>02</v>
      </c>
      <c r="O1280" t="str">
        <f t="shared" si="95"/>
        <v>2025</v>
      </c>
      <c r="P1280" t="str">
        <f t="shared" si="99"/>
        <v>23-02-2025</v>
      </c>
    </row>
    <row r="1281" spans="2:16" x14ac:dyDescent="0.3">
      <c r="B1281" s="70">
        <v>45711</v>
      </c>
      <c r="C1281" s="70">
        <f t="shared" si="96"/>
        <v>45689</v>
      </c>
      <c r="D1281" s="94">
        <v>149</v>
      </c>
      <c r="E1281" s="94">
        <v>0</v>
      </c>
      <c r="F1281" s="92" t="s">
        <v>3732</v>
      </c>
      <c r="G1281" s="75"/>
      <c r="H1281" s="92" t="s">
        <v>589</v>
      </c>
      <c r="I1281" s="92" t="s">
        <v>3892</v>
      </c>
      <c r="K1281" s="71" t="s">
        <v>511</v>
      </c>
      <c r="L1281" t="s">
        <v>2431</v>
      </c>
      <c r="M1281" t="str">
        <f t="shared" si="97"/>
        <v>23</v>
      </c>
      <c r="N1281" t="str">
        <f t="shared" si="98"/>
        <v>02</v>
      </c>
      <c r="O1281" t="str">
        <f t="shared" si="95"/>
        <v>2025</v>
      </c>
      <c r="P1281" t="str">
        <f t="shared" si="99"/>
        <v>23-02-2025</v>
      </c>
    </row>
    <row r="1282" spans="2:16" x14ac:dyDescent="0.3">
      <c r="B1282" s="70">
        <v>45711</v>
      </c>
      <c r="C1282" s="70">
        <f t="shared" si="96"/>
        <v>45689</v>
      </c>
      <c r="D1282" s="94">
        <v>24</v>
      </c>
      <c r="E1282" s="94">
        <v>0</v>
      </c>
      <c r="F1282" s="92" t="s">
        <v>3733</v>
      </c>
      <c r="G1282" s="75"/>
      <c r="H1282" s="92" t="s">
        <v>589</v>
      </c>
      <c r="I1282" s="92" t="s">
        <v>3892</v>
      </c>
      <c r="K1282" s="71" t="s">
        <v>511</v>
      </c>
      <c r="L1282" t="s">
        <v>2433</v>
      </c>
      <c r="M1282" t="str">
        <f t="shared" si="97"/>
        <v>23</v>
      </c>
      <c r="N1282" t="str">
        <f t="shared" si="98"/>
        <v>02</v>
      </c>
      <c r="O1282" t="str">
        <f t="shared" si="95"/>
        <v>2025</v>
      </c>
      <c r="P1282" t="str">
        <f t="shared" si="99"/>
        <v>23-02-2025</v>
      </c>
    </row>
    <row r="1283" spans="2:16" x14ac:dyDescent="0.3">
      <c r="B1283" s="70">
        <v>45712</v>
      </c>
      <c r="C1283" s="70">
        <f t="shared" si="96"/>
        <v>45689</v>
      </c>
      <c r="D1283" s="94">
        <v>316.98</v>
      </c>
      <c r="E1283" s="94">
        <v>0</v>
      </c>
      <c r="F1283" s="92" t="s">
        <v>3734</v>
      </c>
      <c r="G1283" s="75"/>
      <c r="H1283" s="92" t="s">
        <v>3881</v>
      </c>
      <c r="I1283" s="92" t="s">
        <v>3889</v>
      </c>
      <c r="K1283" s="71" t="s">
        <v>217</v>
      </c>
      <c r="L1283" t="s">
        <v>30</v>
      </c>
      <c r="M1283" t="str">
        <f t="shared" si="97"/>
        <v>24</v>
      </c>
      <c r="N1283" t="str">
        <f t="shared" si="98"/>
        <v>02</v>
      </c>
      <c r="O1283" t="str">
        <f t="shared" ref="O1283:O1346" si="100">TEXT(B1283,"YYYY")</f>
        <v>2025</v>
      </c>
      <c r="P1283" t="str">
        <f t="shared" si="99"/>
        <v>24-02-2025</v>
      </c>
    </row>
    <row r="1284" spans="2:16" x14ac:dyDescent="0.3">
      <c r="B1284" s="70">
        <v>45712</v>
      </c>
      <c r="C1284" s="70">
        <f t="shared" ref="C1284:C1347" si="101">EOMONTH(B1284,-1)+1</f>
        <v>45689</v>
      </c>
      <c r="D1284" s="94">
        <v>0</v>
      </c>
      <c r="E1284" s="94">
        <v>800</v>
      </c>
      <c r="F1284" s="92" t="s">
        <v>3735</v>
      </c>
      <c r="G1284" s="75"/>
      <c r="H1284" s="92" t="s">
        <v>3875</v>
      </c>
      <c r="I1284" s="92" t="s">
        <v>3889</v>
      </c>
      <c r="K1284" s="71" t="s">
        <v>509</v>
      </c>
      <c r="L1284" t="s">
        <v>1329</v>
      </c>
      <c r="M1284" t="str">
        <f t="shared" ref="M1284:M1347" si="102">TEXT(B1284,"DD")</f>
        <v>24</v>
      </c>
      <c r="N1284" t="str">
        <f t="shared" ref="N1284:N1347" si="103">TEXT(B1284,"MM")</f>
        <v>02</v>
      </c>
      <c r="O1284" t="str">
        <f t="shared" si="100"/>
        <v>2025</v>
      </c>
      <c r="P1284" t="str">
        <f t="shared" ref="P1284:P1347" si="104">M1284&amp;"-"&amp;N1284&amp;"-"&amp;O1284</f>
        <v>24-02-2025</v>
      </c>
    </row>
    <row r="1285" spans="2:16" x14ac:dyDescent="0.3">
      <c r="B1285" s="70">
        <v>45712</v>
      </c>
      <c r="C1285" s="70">
        <f t="shared" si="101"/>
        <v>45689</v>
      </c>
      <c r="D1285" s="94">
        <v>6052.68</v>
      </c>
      <c r="E1285" s="94">
        <v>0</v>
      </c>
      <c r="F1285" s="92" t="s">
        <v>3734</v>
      </c>
      <c r="G1285" s="75"/>
      <c r="H1285" s="92" t="s">
        <v>3881</v>
      </c>
      <c r="I1285" s="92" t="s">
        <v>3889</v>
      </c>
      <c r="K1285" s="71" t="s">
        <v>217</v>
      </c>
      <c r="L1285" t="s">
        <v>30</v>
      </c>
      <c r="M1285" t="str">
        <f t="shared" si="102"/>
        <v>24</v>
      </c>
      <c r="N1285" t="str">
        <f t="shared" si="103"/>
        <v>02</v>
      </c>
      <c r="O1285" t="str">
        <f t="shared" si="100"/>
        <v>2025</v>
      </c>
      <c r="P1285" t="str">
        <f t="shared" si="104"/>
        <v>24-02-2025</v>
      </c>
    </row>
    <row r="1286" spans="2:16" x14ac:dyDescent="0.3">
      <c r="B1286" s="70">
        <v>45712</v>
      </c>
      <c r="C1286" s="70">
        <f t="shared" si="101"/>
        <v>45689</v>
      </c>
      <c r="D1286" s="94">
        <v>50</v>
      </c>
      <c r="E1286" s="94">
        <v>0</v>
      </c>
      <c r="F1286" s="92" t="s">
        <v>3736</v>
      </c>
      <c r="G1286" s="75"/>
      <c r="H1286" s="92" t="s">
        <v>589</v>
      </c>
      <c r="I1286" s="92" t="s">
        <v>3892</v>
      </c>
      <c r="K1286" s="71" t="s">
        <v>511</v>
      </c>
      <c r="L1286" t="s">
        <v>2435</v>
      </c>
      <c r="M1286" t="str">
        <f t="shared" si="102"/>
        <v>24</v>
      </c>
      <c r="N1286" t="str">
        <f t="shared" si="103"/>
        <v>02</v>
      </c>
      <c r="O1286" t="str">
        <f t="shared" si="100"/>
        <v>2025</v>
      </c>
      <c r="P1286" t="str">
        <f t="shared" si="104"/>
        <v>24-02-2025</v>
      </c>
    </row>
    <row r="1287" spans="2:16" x14ac:dyDescent="0.3">
      <c r="B1287" s="70">
        <v>45712</v>
      </c>
      <c r="C1287" s="70">
        <f t="shared" si="101"/>
        <v>45689</v>
      </c>
      <c r="D1287" s="94">
        <v>33</v>
      </c>
      <c r="E1287" s="94">
        <v>0</v>
      </c>
      <c r="F1287" s="92" t="s">
        <v>3737</v>
      </c>
      <c r="G1287" s="75"/>
      <c r="H1287" s="92" t="s">
        <v>589</v>
      </c>
      <c r="I1287" s="92" t="s">
        <v>3892</v>
      </c>
      <c r="K1287" s="71" t="s">
        <v>511</v>
      </c>
      <c r="L1287" t="s">
        <v>2437</v>
      </c>
      <c r="M1287" t="str">
        <f t="shared" si="102"/>
        <v>24</v>
      </c>
      <c r="N1287" t="str">
        <f t="shared" si="103"/>
        <v>02</v>
      </c>
      <c r="O1287" t="str">
        <f t="shared" si="100"/>
        <v>2025</v>
      </c>
      <c r="P1287" t="str">
        <f t="shared" si="104"/>
        <v>24-02-2025</v>
      </c>
    </row>
    <row r="1288" spans="2:16" x14ac:dyDescent="0.3">
      <c r="B1288" s="70">
        <v>45713</v>
      </c>
      <c r="C1288" s="70">
        <f t="shared" si="101"/>
        <v>45689</v>
      </c>
      <c r="D1288" s="94">
        <v>103.51</v>
      </c>
      <c r="E1288" s="94">
        <v>0</v>
      </c>
      <c r="F1288" s="92" t="s">
        <v>3738</v>
      </c>
      <c r="G1288" s="75"/>
      <c r="H1288" s="92" t="s">
        <v>3881</v>
      </c>
      <c r="I1288" s="92" t="s">
        <v>3889</v>
      </c>
      <c r="K1288" s="71" t="s">
        <v>217</v>
      </c>
      <c r="L1288" t="s">
        <v>30</v>
      </c>
      <c r="M1288" t="str">
        <f t="shared" si="102"/>
        <v>25</v>
      </c>
      <c r="N1288" t="str">
        <f t="shared" si="103"/>
        <v>02</v>
      </c>
      <c r="O1288" t="str">
        <f t="shared" si="100"/>
        <v>2025</v>
      </c>
      <c r="P1288" t="str">
        <f t="shared" si="104"/>
        <v>25-02-2025</v>
      </c>
    </row>
    <row r="1289" spans="2:16" x14ac:dyDescent="0.3">
      <c r="B1289" s="70">
        <v>45713</v>
      </c>
      <c r="C1289" s="70">
        <f t="shared" si="101"/>
        <v>45689</v>
      </c>
      <c r="D1289" s="94">
        <v>0</v>
      </c>
      <c r="E1289" s="94">
        <v>700</v>
      </c>
      <c r="F1289" s="92" t="s">
        <v>3739</v>
      </c>
      <c r="G1289" s="75" t="s">
        <v>3934</v>
      </c>
      <c r="H1289" s="92" t="s">
        <v>218</v>
      </c>
      <c r="I1289" s="92" t="s">
        <v>3889</v>
      </c>
      <c r="K1289" s="71" t="s">
        <v>218</v>
      </c>
      <c r="L1289" t="s">
        <v>1333</v>
      </c>
      <c r="M1289" t="str">
        <f t="shared" si="102"/>
        <v>25</v>
      </c>
      <c r="N1289" t="str">
        <f t="shared" si="103"/>
        <v>02</v>
      </c>
      <c r="O1289" t="str">
        <f t="shared" si="100"/>
        <v>2025</v>
      </c>
      <c r="P1289" t="str">
        <f t="shared" si="104"/>
        <v>25-02-2025</v>
      </c>
    </row>
    <row r="1290" spans="2:16" x14ac:dyDescent="0.3">
      <c r="B1290" s="70">
        <v>45713</v>
      </c>
      <c r="C1290" s="70">
        <f t="shared" si="101"/>
        <v>45689</v>
      </c>
      <c r="D1290" s="94">
        <v>606.54</v>
      </c>
      <c r="E1290" s="94">
        <v>0</v>
      </c>
      <c r="F1290" s="92" t="s">
        <v>3740</v>
      </c>
      <c r="G1290" s="75"/>
      <c r="H1290" s="92" t="s">
        <v>589</v>
      </c>
      <c r="I1290" s="92" t="s">
        <v>3893</v>
      </c>
      <c r="K1290" s="71" t="s">
        <v>511</v>
      </c>
      <c r="L1290" t="s">
        <v>1462</v>
      </c>
      <c r="M1290" t="str">
        <f t="shared" si="102"/>
        <v>25</v>
      </c>
      <c r="N1290" t="str">
        <f t="shared" si="103"/>
        <v>02</v>
      </c>
      <c r="O1290" t="str">
        <f t="shared" si="100"/>
        <v>2025</v>
      </c>
      <c r="P1290" t="str">
        <f t="shared" si="104"/>
        <v>25-02-2025</v>
      </c>
    </row>
    <row r="1291" spans="2:16" x14ac:dyDescent="0.3">
      <c r="B1291" s="70">
        <v>45713</v>
      </c>
      <c r="C1291" s="70">
        <f t="shared" si="101"/>
        <v>45689</v>
      </c>
      <c r="D1291" s="94">
        <v>109</v>
      </c>
      <c r="E1291" s="94">
        <v>0</v>
      </c>
      <c r="F1291" s="92" t="s">
        <v>3741</v>
      </c>
      <c r="G1291" s="75"/>
      <c r="H1291" s="92" t="s">
        <v>589</v>
      </c>
      <c r="I1291" s="92" t="s">
        <v>3892</v>
      </c>
      <c r="K1291" s="71" t="s">
        <v>511</v>
      </c>
      <c r="L1291" t="s">
        <v>2439</v>
      </c>
      <c r="M1291" t="str">
        <f t="shared" si="102"/>
        <v>25</v>
      </c>
      <c r="N1291" t="str">
        <f t="shared" si="103"/>
        <v>02</v>
      </c>
      <c r="O1291" t="str">
        <f t="shared" si="100"/>
        <v>2025</v>
      </c>
      <c r="P1291" t="str">
        <f t="shared" si="104"/>
        <v>25-02-2025</v>
      </c>
    </row>
    <row r="1292" spans="2:16" x14ac:dyDescent="0.3">
      <c r="B1292" s="70">
        <v>45713</v>
      </c>
      <c r="C1292" s="70">
        <f t="shared" si="101"/>
        <v>45689</v>
      </c>
      <c r="D1292" s="94">
        <v>2200</v>
      </c>
      <c r="E1292" s="94">
        <v>0</v>
      </c>
      <c r="F1292" s="92" t="s">
        <v>3742</v>
      </c>
      <c r="G1292" s="75"/>
      <c r="H1292" s="92" t="s">
        <v>589</v>
      </c>
      <c r="I1292" s="92" t="s">
        <v>3892</v>
      </c>
      <c r="K1292" s="71" t="s">
        <v>511</v>
      </c>
      <c r="L1292" t="s">
        <v>2441</v>
      </c>
      <c r="M1292" t="str">
        <f t="shared" si="102"/>
        <v>25</v>
      </c>
      <c r="N1292" t="str">
        <f t="shared" si="103"/>
        <v>02</v>
      </c>
      <c r="O1292" t="str">
        <f t="shared" si="100"/>
        <v>2025</v>
      </c>
      <c r="P1292" t="str">
        <f t="shared" si="104"/>
        <v>25-02-2025</v>
      </c>
    </row>
    <row r="1293" spans="2:16" x14ac:dyDescent="0.3">
      <c r="B1293" s="70">
        <v>45713</v>
      </c>
      <c r="C1293" s="70">
        <f t="shared" si="101"/>
        <v>45689</v>
      </c>
      <c r="D1293" s="94">
        <v>140</v>
      </c>
      <c r="E1293" s="94">
        <v>0</v>
      </c>
      <c r="F1293" s="92" t="s">
        <v>3743</v>
      </c>
      <c r="G1293" s="75"/>
      <c r="H1293" s="92" t="s">
        <v>589</v>
      </c>
      <c r="I1293" s="92" t="s">
        <v>3892</v>
      </c>
      <c r="K1293" s="71" t="s">
        <v>511</v>
      </c>
      <c r="L1293" t="s">
        <v>2443</v>
      </c>
      <c r="M1293" t="str">
        <f t="shared" si="102"/>
        <v>25</v>
      </c>
      <c r="N1293" t="str">
        <f t="shared" si="103"/>
        <v>02</v>
      </c>
      <c r="O1293" t="str">
        <f t="shared" si="100"/>
        <v>2025</v>
      </c>
      <c r="P1293" t="str">
        <f t="shared" si="104"/>
        <v>25-02-2025</v>
      </c>
    </row>
    <row r="1294" spans="2:16" x14ac:dyDescent="0.3">
      <c r="B1294" s="70">
        <v>45714</v>
      </c>
      <c r="C1294" s="70">
        <f t="shared" si="101"/>
        <v>45689</v>
      </c>
      <c r="D1294" s="94">
        <v>2289.2199999999998</v>
      </c>
      <c r="E1294" s="94">
        <v>0</v>
      </c>
      <c r="F1294" s="92" t="s">
        <v>3744</v>
      </c>
      <c r="G1294" s="75"/>
      <c r="H1294" s="92" t="s">
        <v>3881</v>
      </c>
      <c r="I1294" s="92" t="s">
        <v>3889</v>
      </c>
      <c r="K1294" s="71" t="s">
        <v>217</v>
      </c>
      <c r="L1294" t="s">
        <v>30</v>
      </c>
      <c r="M1294" t="str">
        <f t="shared" si="102"/>
        <v>26</v>
      </c>
      <c r="N1294" t="str">
        <f t="shared" si="103"/>
        <v>02</v>
      </c>
      <c r="O1294" t="str">
        <f t="shared" si="100"/>
        <v>2025</v>
      </c>
      <c r="P1294" t="str">
        <f t="shared" si="104"/>
        <v>26-02-2025</v>
      </c>
    </row>
    <row r="1295" spans="2:16" x14ac:dyDescent="0.3">
      <c r="B1295" s="70">
        <v>45714</v>
      </c>
      <c r="C1295" s="70">
        <f t="shared" si="101"/>
        <v>45689</v>
      </c>
      <c r="D1295" s="94">
        <v>78</v>
      </c>
      <c r="E1295" s="94">
        <v>0</v>
      </c>
      <c r="F1295" s="92" t="s">
        <v>3745</v>
      </c>
      <c r="G1295" s="75"/>
      <c r="H1295" s="92" t="s">
        <v>589</v>
      </c>
      <c r="I1295" s="92" t="s">
        <v>3893</v>
      </c>
      <c r="K1295" s="71" t="s">
        <v>511</v>
      </c>
      <c r="L1295" t="s">
        <v>1463</v>
      </c>
      <c r="M1295" t="str">
        <f t="shared" si="102"/>
        <v>26</v>
      </c>
      <c r="N1295" t="str">
        <f t="shared" si="103"/>
        <v>02</v>
      </c>
      <c r="O1295" t="str">
        <f t="shared" si="100"/>
        <v>2025</v>
      </c>
      <c r="P1295" t="str">
        <f t="shared" si="104"/>
        <v>26-02-2025</v>
      </c>
    </row>
    <row r="1296" spans="2:16" x14ac:dyDescent="0.3">
      <c r="B1296" s="70">
        <v>45714</v>
      </c>
      <c r="C1296" s="70">
        <f t="shared" si="101"/>
        <v>45689</v>
      </c>
      <c r="D1296" s="94">
        <v>10</v>
      </c>
      <c r="E1296" s="94">
        <v>0</v>
      </c>
      <c r="F1296" s="92" t="s">
        <v>3746</v>
      </c>
      <c r="G1296" s="75"/>
      <c r="H1296" s="92" t="s">
        <v>589</v>
      </c>
      <c r="I1296" s="92" t="s">
        <v>3893</v>
      </c>
      <c r="K1296" s="71" t="s">
        <v>511</v>
      </c>
      <c r="L1296" t="s">
        <v>1464</v>
      </c>
      <c r="M1296" t="str">
        <f t="shared" si="102"/>
        <v>26</v>
      </c>
      <c r="N1296" t="str">
        <f t="shared" si="103"/>
        <v>02</v>
      </c>
      <c r="O1296" t="str">
        <f t="shared" si="100"/>
        <v>2025</v>
      </c>
      <c r="P1296" t="str">
        <f t="shared" si="104"/>
        <v>26-02-2025</v>
      </c>
    </row>
    <row r="1297" spans="2:16" x14ac:dyDescent="0.3">
      <c r="B1297" s="70">
        <v>45714</v>
      </c>
      <c r="C1297" s="70">
        <f t="shared" si="101"/>
        <v>45689</v>
      </c>
      <c r="D1297" s="94">
        <v>5</v>
      </c>
      <c r="E1297" s="94">
        <v>0</v>
      </c>
      <c r="F1297" s="92" t="s">
        <v>3747</v>
      </c>
      <c r="G1297" s="75"/>
      <c r="H1297" s="92" t="s">
        <v>589</v>
      </c>
      <c r="I1297" s="92" t="s">
        <v>3893</v>
      </c>
      <c r="K1297" s="71" t="s">
        <v>511</v>
      </c>
      <c r="L1297" t="s">
        <v>1465</v>
      </c>
      <c r="M1297" t="str">
        <f t="shared" si="102"/>
        <v>26</v>
      </c>
      <c r="N1297" t="str">
        <f t="shared" si="103"/>
        <v>02</v>
      </c>
      <c r="O1297" t="str">
        <f t="shared" si="100"/>
        <v>2025</v>
      </c>
      <c r="P1297" t="str">
        <f t="shared" si="104"/>
        <v>26-02-2025</v>
      </c>
    </row>
    <row r="1298" spans="2:16" x14ac:dyDescent="0.3">
      <c r="B1298" s="70">
        <v>45714</v>
      </c>
      <c r="C1298" s="70">
        <f t="shared" si="101"/>
        <v>45689</v>
      </c>
      <c r="D1298" s="94">
        <v>440</v>
      </c>
      <c r="E1298" s="94">
        <v>0</v>
      </c>
      <c r="F1298" s="92" t="s">
        <v>3748</v>
      </c>
      <c r="G1298" s="75"/>
      <c r="H1298" s="92" t="s">
        <v>589</v>
      </c>
      <c r="I1298" s="92" t="s">
        <v>3893</v>
      </c>
      <c r="K1298" s="71" t="s">
        <v>511</v>
      </c>
      <c r="L1298" t="s">
        <v>1466</v>
      </c>
      <c r="M1298" t="str">
        <f t="shared" si="102"/>
        <v>26</v>
      </c>
      <c r="N1298" t="str">
        <f t="shared" si="103"/>
        <v>02</v>
      </c>
      <c r="O1298" t="str">
        <f t="shared" si="100"/>
        <v>2025</v>
      </c>
      <c r="P1298" t="str">
        <f t="shared" si="104"/>
        <v>26-02-2025</v>
      </c>
    </row>
    <row r="1299" spans="2:16" x14ac:dyDescent="0.3">
      <c r="B1299" s="70">
        <v>45714</v>
      </c>
      <c r="C1299" s="70">
        <f t="shared" si="101"/>
        <v>45689</v>
      </c>
      <c r="D1299" s="94">
        <v>7000</v>
      </c>
      <c r="E1299" s="94">
        <v>0</v>
      </c>
      <c r="F1299" s="92" t="s">
        <v>3749</v>
      </c>
      <c r="G1299" s="75"/>
      <c r="H1299" s="92" t="s">
        <v>589</v>
      </c>
      <c r="I1299" s="92" t="s">
        <v>3893</v>
      </c>
      <c r="K1299" s="71" t="s">
        <v>511</v>
      </c>
      <c r="L1299" t="s">
        <v>1467</v>
      </c>
      <c r="M1299" t="str">
        <f t="shared" si="102"/>
        <v>26</v>
      </c>
      <c r="N1299" t="str">
        <f t="shared" si="103"/>
        <v>02</v>
      </c>
      <c r="O1299" t="str">
        <f t="shared" si="100"/>
        <v>2025</v>
      </c>
      <c r="P1299" t="str">
        <f t="shared" si="104"/>
        <v>26-02-2025</v>
      </c>
    </row>
    <row r="1300" spans="2:16" x14ac:dyDescent="0.3">
      <c r="B1300" s="70">
        <v>45714</v>
      </c>
      <c r="C1300" s="70">
        <f t="shared" si="101"/>
        <v>45689</v>
      </c>
      <c r="D1300" s="94">
        <v>80</v>
      </c>
      <c r="E1300" s="94">
        <v>0</v>
      </c>
      <c r="F1300" s="92" t="s">
        <v>3750</v>
      </c>
      <c r="G1300" s="75"/>
      <c r="H1300" s="92" t="s">
        <v>589</v>
      </c>
      <c r="I1300" s="92" t="s">
        <v>3892</v>
      </c>
      <c r="K1300" s="71" t="s">
        <v>511</v>
      </c>
      <c r="L1300" t="s">
        <v>2445</v>
      </c>
      <c r="M1300" t="str">
        <f t="shared" si="102"/>
        <v>26</v>
      </c>
      <c r="N1300" t="str">
        <f t="shared" si="103"/>
        <v>02</v>
      </c>
      <c r="O1300" t="str">
        <f t="shared" si="100"/>
        <v>2025</v>
      </c>
      <c r="P1300" t="str">
        <f t="shared" si="104"/>
        <v>26-02-2025</v>
      </c>
    </row>
    <row r="1301" spans="2:16" x14ac:dyDescent="0.3">
      <c r="B1301" s="70">
        <v>45714</v>
      </c>
      <c r="C1301" s="70">
        <f t="shared" si="101"/>
        <v>45689</v>
      </c>
      <c r="D1301" s="94">
        <v>0</v>
      </c>
      <c r="E1301" s="94">
        <v>7000</v>
      </c>
      <c r="F1301" s="92" t="s">
        <v>3751</v>
      </c>
      <c r="G1301" s="75"/>
      <c r="H1301" s="92" t="s">
        <v>589</v>
      </c>
      <c r="I1301" s="92" t="s">
        <v>3892</v>
      </c>
      <c r="K1301" s="71" t="s">
        <v>511</v>
      </c>
      <c r="L1301" t="s">
        <v>2447</v>
      </c>
      <c r="M1301" t="str">
        <f t="shared" si="102"/>
        <v>26</v>
      </c>
      <c r="N1301" t="str">
        <f t="shared" si="103"/>
        <v>02</v>
      </c>
      <c r="O1301" t="str">
        <f t="shared" si="100"/>
        <v>2025</v>
      </c>
      <c r="P1301" t="str">
        <f t="shared" si="104"/>
        <v>26-02-2025</v>
      </c>
    </row>
    <row r="1302" spans="2:16" x14ac:dyDescent="0.3">
      <c r="B1302" s="70">
        <v>45715</v>
      </c>
      <c r="C1302" s="70">
        <f t="shared" si="101"/>
        <v>45689</v>
      </c>
      <c r="D1302" s="94">
        <v>213.52</v>
      </c>
      <c r="E1302" s="94">
        <v>0</v>
      </c>
      <c r="F1302" s="92" t="s">
        <v>3752</v>
      </c>
      <c r="G1302" s="75"/>
      <c r="H1302" s="92" t="s">
        <v>3881</v>
      </c>
      <c r="I1302" s="92" t="s">
        <v>3889</v>
      </c>
      <c r="K1302" s="71" t="s">
        <v>217</v>
      </c>
      <c r="L1302" t="s">
        <v>30</v>
      </c>
      <c r="M1302" t="str">
        <f t="shared" si="102"/>
        <v>27</v>
      </c>
      <c r="N1302" t="str">
        <f t="shared" si="103"/>
        <v>02</v>
      </c>
      <c r="O1302" t="str">
        <f t="shared" si="100"/>
        <v>2025</v>
      </c>
      <c r="P1302" t="str">
        <f t="shared" si="104"/>
        <v>27-02-2025</v>
      </c>
    </row>
    <row r="1303" spans="2:16" x14ac:dyDescent="0.3">
      <c r="B1303" s="70">
        <v>45715</v>
      </c>
      <c r="C1303" s="70">
        <f t="shared" si="101"/>
        <v>45689</v>
      </c>
      <c r="D1303" s="94">
        <v>17681.82</v>
      </c>
      <c r="E1303" s="94">
        <v>0</v>
      </c>
      <c r="F1303" s="92" t="s">
        <v>3752</v>
      </c>
      <c r="G1303" s="75"/>
      <c r="H1303" s="92" t="s">
        <v>3881</v>
      </c>
      <c r="I1303" s="92" t="s">
        <v>3889</v>
      </c>
      <c r="K1303" s="71" t="s">
        <v>217</v>
      </c>
      <c r="L1303" t="s">
        <v>30</v>
      </c>
      <c r="M1303" t="str">
        <f t="shared" si="102"/>
        <v>27</v>
      </c>
      <c r="N1303" t="str">
        <f t="shared" si="103"/>
        <v>02</v>
      </c>
      <c r="O1303" t="str">
        <f t="shared" si="100"/>
        <v>2025</v>
      </c>
      <c r="P1303" t="str">
        <f t="shared" si="104"/>
        <v>27-02-2025</v>
      </c>
    </row>
    <row r="1304" spans="2:16" x14ac:dyDescent="0.3">
      <c r="B1304" s="70">
        <v>45715</v>
      </c>
      <c r="C1304" s="70">
        <f t="shared" si="101"/>
        <v>45689</v>
      </c>
      <c r="D1304" s="94">
        <v>0</v>
      </c>
      <c r="E1304" s="94">
        <v>20000</v>
      </c>
      <c r="F1304" s="92" t="s">
        <v>3753</v>
      </c>
      <c r="G1304" s="75"/>
      <c r="H1304" s="92" t="s">
        <v>589</v>
      </c>
      <c r="I1304" s="92" t="s">
        <v>3893</v>
      </c>
      <c r="K1304" s="71" t="s">
        <v>511</v>
      </c>
      <c r="L1304" t="s">
        <v>1468</v>
      </c>
      <c r="M1304" t="str">
        <f t="shared" si="102"/>
        <v>27</v>
      </c>
      <c r="N1304" t="str">
        <f t="shared" si="103"/>
        <v>02</v>
      </c>
      <c r="O1304" t="str">
        <f t="shared" si="100"/>
        <v>2025</v>
      </c>
      <c r="P1304" t="str">
        <f t="shared" si="104"/>
        <v>27-02-2025</v>
      </c>
    </row>
    <row r="1305" spans="2:16" x14ac:dyDescent="0.3">
      <c r="B1305" s="70">
        <v>45715</v>
      </c>
      <c r="C1305" s="70">
        <f t="shared" si="101"/>
        <v>45689</v>
      </c>
      <c r="D1305" s="94">
        <v>0</v>
      </c>
      <c r="E1305" s="94">
        <v>28.5</v>
      </c>
      <c r="F1305" s="92" t="s">
        <v>3754</v>
      </c>
      <c r="G1305" s="75" t="s">
        <v>3920</v>
      </c>
      <c r="H1305" s="92" t="s">
        <v>218</v>
      </c>
      <c r="I1305" s="92" t="s">
        <v>3892</v>
      </c>
      <c r="K1305" s="71" t="s">
        <v>218</v>
      </c>
      <c r="L1305" t="s">
        <v>2449</v>
      </c>
      <c r="M1305" t="str">
        <f t="shared" si="102"/>
        <v>27</v>
      </c>
      <c r="N1305" t="str">
        <f t="shared" si="103"/>
        <v>02</v>
      </c>
      <c r="O1305" t="str">
        <f t="shared" si="100"/>
        <v>2025</v>
      </c>
      <c r="P1305" t="str">
        <f t="shared" si="104"/>
        <v>27-02-2025</v>
      </c>
    </row>
    <row r="1306" spans="2:16" x14ac:dyDescent="0.3">
      <c r="B1306" s="70">
        <v>45715</v>
      </c>
      <c r="C1306" s="70">
        <f t="shared" si="101"/>
        <v>45689</v>
      </c>
      <c r="D1306" s="94">
        <v>0</v>
      </c>
      <c r="E1306" s="94">
        <v>200</v>
      </c>
      <c r="F1306" s="92" t="s">
        <v>3755</v>
      </c>
      <c r="G1306" s="75"/>
      <c r="H1306" s="92" t="s">
        <v>589</v>
      </c>
      <c r="I1306" s="92" t="s">
        <v>3892</v>
      </c>
      <c r="K1306" s="71" t="s">
        <v>511</v>
      </c>
      <c r="L1306" t="s">
        <v>2451</v>
      </c>
      <c r="M1306" t="str">
        <f t="shared" si="102"/>
        <v>27</v>
      </c>
      <c r="N1306" t="str">
        <f t="shared" si="103"/>
        <v>02</v>
      </c>
      <c r="O1306" t="str">
        <f t="shared" si="100"/>
        <v>2025</v>
      </c>
      <c r="P1306" t="str">
        <f t="shared" si="104"/>
        <v>27-02-2025</v>
      </c>
    </row>
    <row r="1307" spans="2:16" x14ac:dyDescent="0.3">
      <c r="B1307" s="70">
        <v>45716</v>
      </c>
      <c r="C1307" s="70">
        <f t="shared" si="101"/>
        <v>45689</v>
      </c>
      <c r="D1307" s="94">
        <v>5000</v>
      </c>
      <c r="E1307" s="94">
        <v>0</v>
      </c>
      <c r="F1307" s="92" t="s">
        <v>3756</v>
      </c>
      <c r="G1307" s="75"/>
      <c r="H1307" s="92" t="s">
        <v>2538</v>
      </c>
      <c r="I1307" s="92" t="s">
        <v>3889</v>
      </c>
      <c r="K1307" s="71" t="s">
        <v>219</v>
      </c>
      <c r="L1307" t="s">
        <v>1338</v>
      </c>
      <c r="M1307" t="str">
        <f t="shared" si="102"/>
        <v>28</v>
      </c>
      <c r="N1307" t="str">
        <f t="shared" si="103"/>
        <v>02</v>
      </c>
      <c r="O1307" t="str">
        <f t="shared" si="100"/>
        <v>2025</v>
      </c>
      <c r="P1307" t="str">
        <f t="shared" si="104"/>
        <v>28-02-2025</v>
      </c>
    </row>
    <row r="1308" spans="2:16" x14ac:dyDescent="0.3">
      <c r="B1308" s="70">
        <v>45716</v>
      </c>
      <c r="C1308" s="70">
        <f t="shared" si="101"/>
        <v>45689</v>
      </c>
      <c r="D1308" s="94">
        <v>5000</v>
      </c>
      <c r="E1308" s="94">
        <v>0</v>
      </c>
      <c r="F1308" s="92" t="s">
        <v>3757</v>
      </c>
      <c r="G1308" s="75"/>
      <c r="H1308" s="92" t="s">
        <v>2538</v>
      </c>
      <c r="I1308" s="92" t="s">
        <v>3889</v>
      </c>
      <c r="K1308" s="71" t="s">
        <v>219</v>
      </c>
      <c r="L1308" t="s">
        <v>1340</v>
      </c>
      <c r="M1308" t="str">
        <f t="shared" si="102"/>
        <v>28</v>
      </c>
      <c r="N1308" t="str">
        <f t="shared" si="103"/>
        <v>02</v>
      </c>
      <c r="O1308" t="str">
        <f t="shared" si="100"/>
        <v>2025</v>
      </c>
      <c r="P1308" t="str">
        <f t="shared" si="104"/>
        <v>28-02-2025</v>
      </c>
    </row>
    <row r="1309" spans="2:16" x14ac:dyDescent="0.3">
      <c r="B1309" s="70">
        <v>45716</v>
      </c>
      <c r="C1309" s="70">
        <f t="shared" si="101"/>
        <v>45689</v>
      </c>
      <c r="D1309" s="94">
        <v>100.46</v>
      </c>
      <c r="E1309" s="94">
        <v>0</v>
      </c>
      <c r="F1309" s="92" t="s">
        <v>3758</v>
      </c>
      <c r="G1309" s="75"/>
      <c r="H1309" s="92" t="s">
        <v>3881</v>
      </c>
      <c r="I1309" s="92" t="s">
        <v>3889</v>
      </c>
      <c r="K1309" s="71" t="s">
        <v>217</v>
      </c>
      <c r="L1309" t="s">
        <v>30</v>
      </c>
      <c r="M1309" t="str">
        <f t="shared" si="102"/>
        <v>28</v>
      </c>
      <c r="N1309" t="str">
        <f t="shared" si="103"/>
        <v>02</v>
      </c>
      <c r="O1309" t="str">
        <f t="shared" si="100"/>
        <v>2025</v>
      </c>
      <c r="P1309" t="str">
        <f t="shared" si="104"/>
        <v>28-02-2025</v>
      </c>
    </row>
    <row r="1310" spans="2:16" x14ac:dyDescent="0.3">
      <c r="B1310" s="70">
        <v>45716</v>
      </c>
      <c r="C1310" s="70">
        <f t="shared" si="101"/>
        <v>45689</v>
      </c>
      <c r="D1310" s="94">
        <v>0</v>
      </c>
      <c r="E1310" s="94">
        <v>171</v>
      </c>
      <c r="F1310" s="92" t="s">
        <v>3759</v>
      </c>
      <c r="G1310" s="75" t="s">
        <v>3927</v>
      </c>
      <c r="H1310" s="92" t="s">
        <v>218</v>
      </c>
      <c r="I1310" s="92" t="s">
        <v>3889</v>
      </c>
      <c r="K1310" s="71" t="s">
        <v>218</v>
      </c>
      <c r="L1310" t="s">
        <v>1343</v>
      </c>
      <c r="M1310" t="str">
        <f t="shared" si="102"/>
        <v>28</v>
      </c>
      <c r="N1310" t="str">
        <f t="shared" si="103"/>
        <v>02</v>
      </c>
      <c r="O1310" t="str">
        <f t="shared" si="100"/>
        <v>2025</v>
      </c>
      <c r="P1310" t="str">
        <f t="shared" si="104"/>
        <v>28-02-2025</v>
      </c>
    </row>
    <row r="1311" spans="2:16" x14ac:dyDescent="0.3">
      <c r="B1311" s="70">
        <v>45716</v>
      </c>
      <c r="C1311" s="70">
        <f t="shared" si="101"/>
        <v>45689</v>
      </c>
      <c r="D1311" s="94">
        <v>140.30000000000001</v>
      </c>
      <c r="E1311" s="94">
        <v>0</v>
      </c>
      <c r="F1311" s="92" t="s">
        <v>3760</v>
      </c>
      <c r="G1311" s="75"/>
      <c r="H1311" s="92" t="s">
        <v>589</v>
      </c>
      <c r="I1311" s="92" t="s">
        <v>3893</v>
      </c>
      <c r="K1311" s="71" t="s">
        <v>511</v>
      </c>
      <c r="L1311" t="s">
        <v>1469</v>
      </c>
      <c r="M1311" t="str">
        <f t="shared" si="102"/>
        <v>28</v>
      </c>
      <c r="N1311" t="str">
        <f t="shared" si="103"/>
        <v>02</v>
      </c>
      <c r="O1311" t="str">
        <f t="shared" si="100"/>
        <v>2025</v>
      </c>
      <c r="P1311" t="str">
        <f t="shared" si="104"/>
        <v>28-02-2025</v>
      </c>
    </row>
    <row r="1312" spans="2:16" x14ac:dyDescent="0.3">
      <c r="B1312" s="70">
        <v>45716</v>
      </c>
      <c r="C1312" s="70">
        <f t="shared" si="101"/>
        <v>45689</v>
      </c>
      <c r="D1312" s="94">
        <v>100</v>
      </c>
      <c r="E1312" s="94">
        <v>0</v>
      </c>
      <c r="F1312" s="92" t="s">
        <v>3761</v>
      </c>
      <c r="G1312" s="75"/>
      <c r="H1312" s="92" t="s">
        <v>589</v>
      </c>
      <c r="I1312" s="92" t="s">
        <v>3893</v>
      </c>
      <c r="K1312" s="71" t="s">
        <v>511</v>
      </c>
      <c r="L1312" t="s">
        <v>1470</v>
      </c>
      <c r="M1312" t="str">
        <f t="shared" si="102"/>
        <v>28</v>
      </c>
      <c r="N1312" t="str">
        <f t="shared" si="103"/>
        <v>02</v>
      </c>
      <c r="O1312" t="str">
        <f t="shared" si="100"/>
        <v>2025</v>
      </c>
      <c r="P1312" t="str">
        <f t="shared" si="104"/>
        <v>28-02-2025</v>
      </c>
    </row>
    <row r="1313" spans="2:16" x14ac:dyDescent="0.3">
      <c r="B1313" s="70">
        <v>45716</v>
      </c>
      <c r="C1313" s="70">
        <f t="shared" si="101"/>
        <v>45689</v>
      </c>
      <c r="D1313" s="94">
        <v>7000</v>
      </c>
      <c r="E1313" s="94">
        <v>0</v>
      </c>
      <c r="F1313" s="92" t="s">
        <v>3762</v>
      </c>
      <c r="G1313" s="75"/>
      <c r="H1313" s="92" t="s">
        <v>2538</v>
      </c>
      <c r="I1313" s="92" t="s">
        <v>3892</v>
      </c>
      <c r="K1313" s="71" t="s">
        <v>2532</v>
      </c>
      <c r="L1313" t="s">
        <v>2453</v>
      </c>
      <c r="M1313" t="str">
        <f t="shared" si="102"/>
        <v>28</v>
      </c>
      <c r="N1313" t="str">
        <f t="shared" si="103"/>
        <v>02</v>
      </c>
      <c r="O1313" t="str">
        <f t="shared" si="100"/>
        <v>2025</v>
      </c>
      <c r="P1313" t="str">
        <f t="shared" si="104"/>
        <v>28-02-2025</v>
      </c>
    </row>
    <row r="1314" spans="2:16" x14ac:dyDescent="0.3">
      <c r="B1314" s="70">
        <v>45716</v>
      </c>
      <c r="C1314" s="70">
        <f t="shared" si="101"/>
        <v>45689</v>
      </c>
      <c r="D1314" s="94">
        <v>0</v>
      </c>
      <c r="E1314" s="94">
        <v>150</v>
      </c>
      <c r="F1314" s="92" t="s">
        <v>3763</v>
      </c>
      <c r="G1314" s="75"/>
      <c r="H1314" s="92" t="s">
        <v>589</v>
      </c>
      <c r="I1314" s="92" t="s">
        <v>3892</v>
      </c>
      <c r="K1314" s="71" t="s">
        <v>511</v>
      </c>
      <c r="L1314" t="s">
        <v>2455</v>
      </c>
      <c r="M1314" t="str">
        <f t="shared" si="102"/>
        <v>28</v>
      </c>
      <c r="N1314" t="str">
        <f t="shared" si="103"/>
        <v>02</v>
      </c>
      <c r="O1314" t="str">
        <f t="shared" si="100"/>
        <v>2025</v>
      </c>
      <c r="P1314" t="str">
        <f t="shared" si="104"/>
        <v>28-02-2025</v>
      </c>
    </row>
    <row r="1315" spans="2:16" x14ac:dyDescent="0.3">
      <c r="B1315" s="70">
        <v>45717</v>
      </c>
      <c r="C1315" s="70">
        <f t="shared" si="101"/>
        <v>45717</v>
      </c>
      <c r="D1315" s="94">
        <v>5047.58</v>
      </c>
      <c r="E1315" s="94">
        <v>0</v>
      </c>
      <c r="F1315" s="92" t="s">
        <v>3764</v>
      </c>
      <c r="G1315" s="75"/>
      <c r="H1315" s="92" t="s">
        <v>3881</v>
      </c>
      <c r="I1315" s="92" t="s">
        <v>3889</v>
      </c>
      <c r="K1315" s="71" t="s">
        <v>217</v>
      </c>
      <c r="L1315" t="s">
        <v>30</v>
      </c>
      <c r="M1315" t="str">
        <f t="shared" si="102"/>
        <v>01</v>
      </c>
      <c r="N1315" t="str">
        <f t="shared" si="103"/>
        <v>03</v>
      </c>
      <c r="O1315" t="str">
        <f t="shared" si="100"/>
        <v>2025</v>
      </c>
      <c r="P1315" t="str">
        <f t="shared" si="104"/>
        <v>01-03-2025</v>
      </c>
    </row>
    <row r="1316" spans="2:16" x14ac:dyDescent="0.3">
      <c r="B1316" s="70">
        <v>45717</v>
      </c>
      <c r="C1316" s="70">
        <f t="shared" si="101"/>
        <v>45717</v>
      </c>
      <c r="D1316" s="94">
        <v>50</v>
      </c>
      <c r="E1316" s="94">
        <v>0</v>
      </c>
      <c r="F1316" s="92" t="s">
        <v>3765</v>
      </c>
      <c r="G1316" s="75"/>
      <c r="H1316" s="92" t="s">
        <v>589</v>
      </c>
      <c r="I1316" s="92" t="s">
        <v>3893</v>
      </c>
      <c r="K1316" s="71" t="s">
        <v>511</v>
      </c>
      <c r="L1316" t="s">
        <v>1471</v>
      </c>
      <c r="M1316" t="str">
        <f t="shared" si="102"/>
        <v>01</v>
      </c>
      <c r="N1316" t="str">
        <f t="shared" si="103"/>
        <v>03</v>
      </c>
      <c r="O1316" t="str">
        <f t="shared" si="100"/>
        <v>2025</v>
      </c>
      <c r="P1316" t="str">
        <f t="shared" si="104"/>
        <v>01-03-2025</v>
      </c>
    </row>
    <row r="1317" spans="2:16" x14ac:dyDescent="0.3">
      <c r="B1317" s="70">
        <v>45717</v>
      </c>
      <c r="C1317" s="70">
        <f t="shared" si="101"/>
        <v>45717</v>
      </c>
      <c r="D1317" s="94">
        <v>23000</v>
      </c>
      <c r="E1317" s="94">
        <v>0</v>
      </c>
      <c r="F1317" s="92" t="s">
        <v>3766</v>
      </c>
      <c r="G1317" s="75"/>
      <c r="H1317" s="92" t="s">
        <v>512</v>
      </c>
      <c r="I1317" s="92" t="s">
        <v>3893</v>
      </c>
      <c r="K1317" s="71" t="s">
        <v>2548</v>
      </c>
      <c r="L1317" t="s">
        <v>1472</v>
      </c>
      <c r="M1317" t="str">
        <f t="shared" si="102"/>
        <v>01</v>
      </c>
      <c r="N1317" t="str">
        <f t="shared" si="103"/>
        <v>03</v>
      </c>
      <c r="O1317" t="str">
        <f t="shared" si="100"/>
        <v>2025</v>
      </c>
      <c r="P1317" t="str">
        <f t="shared" si="104"/>
        <v>01-03-2025</v>
      </c>
    </row>
    <row r="1318" spans="2:16" x14ac:dyDescent="0.3">
      <c r="B1318" s="70">
        <v>45717</v>
      </c>
      <c r="C1318" s="70">
        <f t="shared" si="101"/>
        <v>45717</v>
      </c>
      <c r="D1318" s="94">
        <v>1000</v>
      </c>
      <c r="E1318" s="94">
        <v>0</v>
      </c>
      <c r="F1318" s="92" t="s">
        <v>3767</v>
      </c>
      <c r="G1318" s="75"/>
      <c r="H1318" s="92" t="s">
        <v>589</v>
      </c>
      <c r="I1318" s="92" t="s">
        <v>3893</v>
      </c>
      <c r="K1318" s="71" t="s">
        <v>511</v>
      </c>
      <c r="L1318" t="s">
        <v>1473</v>
      </c>
      <c r="M1318" t="str">
        <f t="shared" si="102"/>
        <v>01</v>
      </c>
      <c r="N1318" t="str">
        <f t="shared" si="103"/>
        <v>03</v>
      </c>
      <c r="O1318" t="str">
        <f t="shared" si="100"/>
        <v>2025</v>
      </c>
      <c r="P1318" t="str">
        <f t="shared" si="104"/>
        <v>01-03-2025</v>
      </c>
    </row>
    <row r="1319" spans="2:16" x14ac:dyDescent="0.3">
      <c r="B1319" s="70">
        <v>45717</v>
      </c>
      <c r="C1319" s="70">
        <f t="shared" si="101"/>
        <v>45717</v>
      </c>
      <c r="D1319" s="94">
        <v>0</v>
      </c>
      <c r="E1319" s="94">
        <v>1</v>
      </c>
      <c r="F1319" s="92" t="s">
        <v>3768</v>
      </c>
      <c r="G1319" s="92" t="s">
        <v>2573</v>
      </c>
      <c r="H1319" s="92" t="s">
        <v>227</v>
      </c>
      <c r="I1319" s="92" t="s">
        <v>3894</v>
      </c>
      <c r="K1319" s="71" t="s">
        <v>227</v>
      </c>
      <c r="L1319" t="s">
        <v>2571</v>
      </c>
      <c r="M1319" t="str">
        <f t="shared" si="102"/>
        <v>01</v>
      </c>
      <c r="N1319" t="str">
        <f t="shared" si="103"/>
        <v>03</v>
      </c>
      <c r="O1319" t="str">
        <f t="shared" si="100"/>
        <v>2025</v>
      </c>
      <c r="P1319" t="str">
        <f t="shared" si="104"/>
        <v>01-03-2025</v>
      </c>
    </row>
    <row r="1320" spans="2:16" x14ac:dyDescent="0.3">
      <c r="B1320" s="70">
        <v>45718</v>
      </c>
      <c r="C1320" s="70">
        <f t="shared" si="101"/>
        <v>45717</v>
      </c>
      <c r="D1320" s="94">
        <v>0</v>
      </c>
      <c r="E1320" s="94">
        <v>25000</v>
      </c>
      <c r="F1320" s="92" t="s">
        <v>3769</v>
      </c>
      <c r="G1320" s="75"/>
      <c r="H1320" s="92" t="s">
        <v>3885</v>
      </c>
      <c r="I1320" s="92" t="s">
        <v>3889</v>
      </c>
      <c r="K1320" s="71" t="s">
        <v>2520</v>
      </c>
      <c r="L1320" t="s">
        <v>1346</v>
      </c>
      <c r="M1320" t="str">
        <f t="shared" si="102"/>
        <v>02</v>
      </c>
      <c r="N1320" t="str">
        <f t="shared" si="103"/>
        <v>03</v>
      </c>
      <c r="O1320" t="str">
        <f t="shared" si="100"/>
        <v>2025</v>
      </c>
      <c r="P1320" t="str">
        <f t="shared" si="104"/>
        <v>02-03-2025</v>
      </c>
    </row>
    <row r="1321" spans="2:16" x14ac:dyDescent="0.3">
      <c r="B1321" s="70">
        <v>45718</v>
      </c>
      <c r="C1321" s="70">
        <f t="shared" si="101"/>
        <v>45717</v>
      </c>
      <c r="D1321" s="94">
        <v>1000</v>
      </c>
      <c r="E1321" s="94">
        <v>0</v>
      </c>
      <c r="F1321" s="92" t="s">
        <v>3770</v>
      </c>
      <c r="G1321" s="75"/>
      <c r="H1321" s="92" t="s">
        <v>589</v>
      </c>
      <c r="I1321" s="92" t="s">
        <v>3893</v>
      </c>
      <c r="K1321" s="71" t="s">
        <v>511</v>
      </c>
      <c r="L1321" t="s">
        <v>1474</v>
      </c>
      <c r="M1321" t="str">
        <f t="shared" si="102"/>
        <v>02</v>
      </c>
      <c r="N1321" t="str">
        <f t="shared" si="103"/>
        <v>03</v>
      </c>
      <c r="O1321" t="str">
        <f t="shared" si="100"/>
        <v>2025</v>
      </c>
      <c r="P1321" t="str">
        <f t="shared" si="104"/>
        <v>02-03-2025</v>
      </c>
    </row>
    <row r="1322" spans="2:16" x14ac:dyDescent="0.3">
      <c r="B1322" s="70">
        <v>45718</v>
      </c>
      <c r="C1322" s="70">
        <f t="shared" si="101"/>
        <v>45717</v>
      </c>
      <c r="D1322" s="94">
        <v>50</v>
      </c>
      <c r="E1322" s="94">
        <v>0</v>
      </c>
      <c r="F1322" s="92" t="s">
        <v>3771</v>
      </c>
      <c r="G1322" s="75"/>
      <c r="H1322" s="92" t="s">
        <v>589</v>
      </c>
      <c r="I1322" s="92" t="s">
        <v>3893</v>
      </c>
      <c r="K1322" s="71" t="s">
        <v>511</v>
      </c>
      <c r="L1322" t="s">
        <v>1475</v>
      </c>
      <c r="M1322" t="str">
        <f t="shared" si="102"/>
        <v>02</v>
      </c>
      <c r="N1322" t="str">
        <f t="shared" si="103"/>
        <v>03</v>
      </c>
      <c r="O1322" t="str">
        <f t="shared" si="100"/>
        <v>2025</v>
      </c>
      <c r="P1322" t="str">
        <f t="shared" si="104"/>
        <v>02-03-2025</v>
      </c>
    </row>
    <row r="1323" spans="2:16" x14ac:dyDescent="0.3">
      <c r="B1323" s="70">
        <v>45718</v>
      </c>
      <c r="C1323" s="70">
        <f t="shared" si="101"/>
        <v>45717</v>
      </c>
      <c r="D1323" s="94">
        <v>100</v>
      </c>
      <c r="E1323" s="94">
        <v>0</v>
      </c>
      <c r="F1323" s="92" t="s">
        <v>3772</v>
      </c>
      <c r="G1323" s="75"/>
      <c r="H1323" s="92" t="s">
        <v>589</v>
      </c>
      <c r="I1323" s="92" t="s">
        <v>3893</v>
      </c>
      <c r="K1323" s="71" t="s">
        <v>511</v>
      </c>
      <c r="L1323" t="s">
        <v>1476</v>
      </c>
      <c r="M1323" t="str">
        <f t="shared" si="102"/>
        <v>02</v>
      </c>
      <c r="N1323" t="str">
        <f t="shared" si="103"/>
        <v>03</v>
      </c>
      <c r="O1323" t="str">
        <f t="shared" si="100"/>
        <v>2025</v>
      </c>
      <c r="P1323" t="str">
        <f t="shared" si="104"/>
        <v>02-03-2025</v>
      </c>
    </row>
    <row r="1324" spans="2:16" x14ac:dyDescent="0.3">
      <c r="B1324" s="70">
        <v>45718</v>
      </c>
      <c r="C1324" s="70">
        <f t="shared" si="101"/>
        <v>45717</v>
      </c>
      <c r="D1324" s="94">
        <v>105</v>
      </c>
      <c r="E1324" s="94">
        <v>0</v>
      </c>
      <c r="F1324" s="92" t="s">
        <v>3773</v>
      </c>
      <c r="G1324" s="75"/>
      <c r="H1324" s="92" t="s">
        <v>589</v>
      </c>
      <c r="I1324" s="92" t="s">
        <v>3893</v>
      </c>
      <c r="K1324" s="71" t="s">
        <v>511</v>
      </c>
      <c r="L1324" t="s">
        <v>1477</v>
      </c>
      <c r="M1324" t="str">
        <f t="shared" si="102"/>
        <v>02</v>
      </c>
      <c r="N1324" t="str">
        <f t="shared" si="103"/>
        <v>03</v>
      </c>
      <c r="O1324" t="str">
        <f t="shared" si="100"/>
        <v>2025</v>
      </c>
      <c r="P1324" t="str">
        <f t="shared" si="104"/>
        <v>02-03-2025</v>
      </c>
    </row>
    <row r="1325" spans="2:16" x14ac:dyDescent="0.3">
      <c r="B1325" s="70">
        <v>45718</v>
      </c>
      <c r="C1325" s="70">
        <f t="shared" si="101"/>
        <v>45717</v>
      </c>
      <c r="D1325" s="94">
        <v>59</v>
      </c>
      <c r="E1325" s="94">
        <v>0</v>
      </c>
      <c r="F1325" s="92" t="s">
        <v>3774</v>
      </c>
      <c r="G1325" s="75"/>
      <c r="H1325" s="92" t="s">
        <v>589</v>
      </c>
      <c r="I1325" s="92" t="s">
        <v>3893</v>
      </c>
      <c r="K1325" s="71" t="s">
        <v>511</v>
      </c>
      <c r="L1325" t="s">
        <v>1478</v>
      </c>
      <c r="M1325" t="str">
        <f t="shared" si="102"/>
        <v>02</v>
      </c>
      <c r="N1325" t="str">
        <f t="shared" si="103"/>
        <v>03</v>
      </c>
      <c r="O1325" t="str">
        <f t="shared" si="100"/>
        <v>2025</v>
      </c>
      <c r="P1325" t="str">
        <f t="shared" si="104"/>
        <v>02-03-2025</v>
      </c>
    </row>
    <row r="1326" spans="2:16" x14ac:dyDescent="0.3">
      <c r="B1326" s="70">
        <v>45719</v>
      </c>
      <c r="C1326" s="70">
        <f t="shared" si="101"/>
        <v>45717</v>
      </c>
      <c r="D1326" s="94">
        <v>4497.54</v>
      </c>
      <c r="E1326" s="94">
        <v>0</v>
      </c>
      <c r="F1326" s="92" t="s">
        <v>3775</v>
      </c>
      <c r="G1326" s="75"/>
      <c r="H1326" s="92" t="s">
        <v>3881</v>
      </c>
      <c r="I1326" s="92" t="s">
        <v>3889</v>
      </c>
      <c r="K1326" s="71" t="s">
        <v>217</v>
      </c>
      <c r="L1326" t="s">
        <v>30</v>
      </c>
      <c r="M1326" t="str">
        <f t="shared" si="102"/>
        <v>03</v>
      </c>
      <c r="N1326" t="str">
        <f t="shared" si="103"/>
        <v>03</v>
      </c>
      <c r="O1326" t="str">
        <f t="shared" si="100"/>
        <v>2025</v>
      </c>
      <c r="P1326" t="str">
        <f t="shared" si="104"/>
        <v>03-03-2025</v>
      </c>
    </row>
    <row r="1327" spans="2:16" x14ac:dyDescent="0.3">
      <c r="B1327" s="70">
        <v>45719</v>
      </c>
      <c r="C1327" s="70">
        <f t="shared" si="101"/>
        <v>45717</v>
      </c>
      <c r="D1327" s="94">
        <v>328.47</v>
      </c>
      <c r="E1327" s="94">
        <v>0</v>
      </c>
      <c r="F1327" s="92" t="s">
        <v>3775</v>
      </c>
      <c r="G1327" s="75"/>
      <c r="H1327" s="92" t="s">
        <v>3881</v>
      </c>
      <c r="I1327" s="92" t="s">
        <v>3889</v>
      </c>
      <c r="K1327" s="71" t="s">
        <v>217</v>
      </c>
      <c r="L1327" t="s">
        <v>30</v>
      </c>
      <c r="M1327" t="str">
        <f t="shared" si="102"/>
        <v>03</v>
      </c>
      <c r="N1327" t="str">
        <f t="shared" si="103"/>
        <v>03</v>
      </c>
      <c r="O1327" t="str">
        <f t="shared" si="100"/>
        <v>2025</v>
      </c>
      <c r="P1327" t="str">
        <f t="shared" si="104"/>
        <v>03-03-2025</v>
      </c>
    </row>
    <row r="1328" spans="2:16" x14ac:dyDescent="0.3">
      <c r="B1328" s="70">
        <v>45719</v>
      </c>
      <c r="C1328" s="70">
        <f t="shared" si="101"/>
        <v>45717</v>
      </c>
      <c r="D1328" s="94">
        <v>140.41</v>
      </c>
      <c r="E1328" s="94">
        <v>0</v>
      </c>
      <c r="F1328" s="92" t="s">
        <v>3775</v>
      </c>
      <c r="G1328" s="75"/>
      <c r="H1328" s="92" t="s">
        <v>3881</v>
      </c>
      <c r="I1328" s="92" t="s">
        <v>3889</v>
      </c>
      <c r="K1328" s="71" t="s">
        <v>217</v>
      </c>
      <c r="L1328" t="s">
        <v>30</v>
      </c>
      <c r="M1328" t="str">
        <f t="shared" si="102"/>
        <v>03</v>
      </c>
      <c r="N1328" t="str">
        <f t="shared" si="103"/>
        <v>03</v>
      </c>
      <c r="O1328" t="str">
        <f t="shared" si="100"/>
        <v>2025</v>
      </c>
      <c r="P1328" t="str">
        <f t="shared" si="104"/>
        <v>03-03-2025</v>
      </c>
    </row>
    <row r="1329" spans="2:16" x14ac:dyDescent="0.3">
      <c r="B1329" s="70">
        <v>45719</v>
      </c>
      <c r="C1329" s="70">
        <f t="shared" si="101"/>
        <v>45717</v>
      </c>
      <c r="D1329" s="94">
        <v>0</v>
      </c>
      <c r="E1329" s="94">
        <v>1</v>
      </c>
      <c r="F1329" s="92" t="s">
        <v>3776</v>
      </c>
      <c r="G1329" s="75"/>
      <c r="H1329" s="92" t="s">
        <v>226</v>
      </c>
      <c r="I1329" s="92" t="s">
        <v>3893</v>
      </c>
      <c r="K1329" s="71" t="s">
        <v>226</v>
      </c>
      <c r="L1329" t="s">
        <v>1479</v>
      </c>
      <c r="M1329" t="str">
        <f t="shared" si="102"/>
        <v>03</v>
      </c>
      <c r="N1329" t="str">
        <f t="shared" si="103"/>
        <v>03</v>
      </c>
      <c r="O1329" t="str">
        <f t="shared" si="100"/>
        <v>2025</v>
      </c>
      <c r="P1329" t="str">
        <f t="shared" si="104"/>
        <v>03-03-2025</v>
      </c>
    </row>
    <row r="1330" spans="2:16" x14ac:dyDescent="0.3">
      <c r="B1330" s="70">
        <v>45719</v>
      </c>
      <c r="C1330" s="70">
        <f t="shared" si="101"/>
        <v>45717</v>
      </c>
      <c r="D1330" s="94">
        <v>1000</v>
      </c>
      <c r="E1330" s="94">
        <v>0</v>
      </c>
      <c r="F1330" s="92" t="s">
        <v>3777</v>
      </c>
      <c r="G1330" s="75"/>
      <c r="H1330" s="92" t="s">
        <v>589</v>
      </c>
      <c r="I1330" s="92" t="s">
        <v>3893</v>
      </c>
      <c r="K1330" s="71" t="s">
        <v>511</v>
      </c>
      <c r="L1330" t="s">
        <v>1481</v>
      </c>
      <c r="M1330" t="str">
        <f t="shared" si="102"/>
        <v>03</v>
      </c>
      <c r="N1330" t="str">
        <f t="shared" si="103"/>
        <v>03</v>
      </c>
      <c r="O1330" t="str">
        <f t="shared" si="100"/>
        <v>2025</v>
      </c>
      <c r="P1330" t="str">
        <f t="shared" si="104"/>
        <v>03-03-2025</v>
      </c>
    </row>
    <row r="1331" spans="2:16" x14ac:dyDescent="0.3">
      <c r="B1331" s="70">
        <v>45719</v>
      </c>
      <c r="C1331" s="70">
        <f t="shared" si="101"/>
        <v>45717</v>
      </c>
      <c r="D1331" s="94">
        <v>0</v>
      </c>
      <c r="E1331" s="94">
        <v>41850</v>
      </c>
      <c r="F1331" s="92" t="s">
        <v>3778</v>
      </c>
      <c r="G1331" s="75"/>
      <c r="H1331" s="92" t="s">
        <v>589</v>
      </c>
      <c r="I1331" s="92" t="s">
        <v>3893</v>
      </c>
      <c r="K1331" s="71" t="s">
        <v>511</v>
      </c>
      <c r="L1331" t="s">
        <v>1482</v>
      </c>
      <c r="M1331" t="str">
        <f t="shared" si="102"/>
        <v>03</v>
      </c>
      <c r="N1331" t="str">
        <f t="shared" si="103"/>
        <v>03</v>
      </c>
      <c r="O1331" t="str">
        <f t="shared" si="100"/>
        <v>2025</v>
      </c>
      <c r="P1331" t="str">
        <f t="shared" si="104"/>
        <v>03-03-2025</v>
      </c>
    </row>
    <row r="1332" spans="2:16" x14ac:dyDescent="0.3">
      <c r="B1332" s="70">
        <v>45719</v>
      </c>
      <c r="C1332" s="70">
        <f t="shared" si="101"/>
        <v>45717</v>
      </c>
      <c r="D1332" s="94">
        <v>26023</v>
      </c>
      <c r="E1332" s="94">
        <v>0</v>
      </c>
      <c r="F1332" s="92" t="s">
        <v>3779</v>
      </c>
      <c r="G1332" s="75" t="s">
        <v>3879</v>
      </c>
      <c r="H1332" s="92" t="s">
        <v>3876</v>
      </c>
      <c r="I1332" s="92" t="s">
        <v>3893</v>
      </c>
      <c r="K1332" s="71" t="s">
        <v>2540</v>
      </c>
      <c r="L1332" t="s">
        <v>1483</v>
      </c>
      <c r="M1332" t="str">
        <f t="shared" si="102"/>
        <v>03</v>
      </c>
      <c r="N1332" t="str">
        <f t="shared" si="103"/>
        <v>03</v>
      </c>
      <c r="O1332" t="str">
        <f t="shared" si="100"/>
        <v>2025</v>
      </c>
      <c r="P1332" t="str">
        <f t="shared" si="104"/>
        <v>03-03-2025</v>
      </c>
    </row>
    <row r="1333" spans="2:16" x14ac:dyDescent="0.3">
      <c r="B1333" s="70">
        <v>45719</v>
      </c>
      <c r="C1333" s="70">
        <f t="shared" si="101"/>
        <v>45717</v>
      </c>
      <c r="D1333" s="94">
        <v>0</v>
      </c>
      <c r="E1333" s="94">
        <v>60</v>
      </c>
      <c r="F1333" s="92" t="s">
        <v>3780</v>
      </c>
      <c r="G1333" s="75" t="s">
        <v>3905</v>
      </c>
      <c r="H1333" s="92" t="s">
        <v>218</v>
      </c>
      <c r="I1333" s="92" t="s">
        <v>3892</v>
      </c>
      <c r="K1333" s="71" t="s">
        <v>218</v>
      </c>
      <c r="L1333" t="s">
        <v>2457</v>
      </c>
      <c r="M1333" t="str">
        <f t="shared" si="102"/>
        <v>03</v>
      </c>
      <c r="N1333" t="str">
        <f t="shared" si="103"/>
        <v>03</v>
      </c>
      <c r="O1333" t="str">
        <f t="shared" si="100"/>
        <v>2025</v>
      </c>
      <c r="P1333" t="str">
        <f t="shared" si="104"/>
        <v>03-03-2025</v>
      </c>
    </row>
    <row r="1334" spans="2:16" x14ac:dyDescent="0.3">
      <c r="B1334" s="70">
        <v>45719</v>
      </c>
      <c r="C1334" s="70">
        <f t="shared" si="101"/>
        <v>45717</v>
      </c>
      <c r="D1334" s="94">
        <v>0</v>
      </c>
      <c r="E1334" s="94">
        <v>1</v>
      </c>
      <c r="F1334" s="92" t="s">
        <v>3781</v>
      </c>
      <c r="G1334" s="75"/>
      <c r="H1334" s="92" t="s">
        <v>226</v>
      </c>
      <c r="I1334" s="92" t="s">
        <v>3892</v>
      </c>
      <c r="K1334" s="71" t="s">
        <v>226</v>
      </c>
      <c r="L1334" t="s">
        <v>2459</v>
      </c>
      <c r="M1334" t="str">
        <f t="shared" si="102"/>
        <v>03</v>
      </c>
      <c r="N1334" t="str">
        <f t="shared" si="103"/>
        <v>03</v>
      </c>
      <c r="O1334" t="str">
        <f t="shared" si="100"/>
        <v>2025</v>
      </c>
      <c r="P1334" t="str">
        <f t="shared" si="104"/>
        <v>03-03-2025</v>
      </c>
    </row>
    <row r="1335" spans="2:16" x14ac:dyDescent="0.3">
      <c r="B1335" s="70">
        <v>45720</v>
      </c>
      <c r="C1335" s="70">
        <f t="shared" si="101"/>
        <v>45717</v>
      </c>
      <c r="D1335" s="94">
        <v>107.84</v>
      </c>
      <c r="E1335" s="94">
        <v>0</v>
      </c>
      <c r="F1335" s="92" t="s">
        <v>3782</v>
      </c>
      <c r="G1335" s="75"/>
      <c r="H1335" s="92" t="s">
        <v>3881</v>
      </c>
      <c r="I1335" s="92" t="s">
        <v>3889</v>
      </c>
      <c r="K1335" s="71" t="s">
        <v>217</v>
      </c>
      <c r="L1335" t="s">
        <v>30</v>
      </c>
      <c r="M1335" t="str">
        <f t="shared" si="102"/>
        <v>04</v>
      </c>
      <c r="N1335" t="str">
        <f t="shared" si="103"/>
        <v>03</v>
      </c>
      <c r="O1335" t="str">
        <f t="shared" si="100"/>
        <v>2025</v>
      </c>
      <c r="P1335" t="str">
        <f t="shared" si="104"/>
        <v>04-03-2025</v>
      </c>
    </row>
    <row r="1336" spans="2:16" x14ac:dyDescent="0.3">
      <c r="B1336" s="70">
        <v>45720</v>
      </c>
      <c r="C1336" s="70">
        <f t="shared" si="101"/>
        <v>45717</v>
      </c>
      <c r="D1336" s="94">
        <v>1000</v>
      </c>
      <c r="E1336" s="94">
        <v>0</v>
      </c>
      <c r="F1336" s="92" t="s">
        <v>3783</v>
      </c>
      <c r="G1336" s="75"/>
      <c r="H1336" s="92" t="s">
        <v>589</v>
      </c>
      <c r="I1336" s="92" t="s">
        <v>3893</v>
      </c>
      <c r="K1336" s="71" t="s">
        <v>511</v>
      </c>
      <c r="L1336" t="s">
        <v>1485</v>
      </c>
      <c r="M1336" t="str">
        <f t="shared" si="102"/>
        <v>04</v>
      </c>
      <c r="N1336" t="str">
        <f t="shared" si="103"/>
        <v>03</v>
      </c>
      <c r="O1336" t="str">
        <f t="shared" si="100"/>
        <v>2025</v>
      </c>
      <c r="P1336" t="str">
        <f t="shared" si="104"/>
        <v>04-03-2025</v>
      </c>
    </row>
    <row r="1337" spans="2:16" x14ac:dyDescent="0.3">
      <c r="B1337" s="70">
        <v>45720</v>
      </c>
      <c r="C1337" s="70">
        <f t="shared" si="101"/>
        <v>45717</v>
      </c>
      <c r="D1337" s="94">
        <v>3000</v>
      </c>
      <c r="E1337" s="94">
        <v>0</v>
      </c>
      <c r="F1337" s="92" t="s">
        <v>3784</v>
      </c>
      <c r="G1337" s="75"/>
      <c r="H1337" s="92" t="s">
        <v>589</v>
      </c>
      <c r="I1337" s="92" t="s">
        <v>3893</v>
      </c>
      <c r="K1337" s="71" t="s">
        <v>511</v>
      </c>
      <c r="L1337" t="s">
        <v>1486</v>
      </c>
      <c r="M1337" t="str">
        <f t="shared" si="102"/>
        <v>04</v>
      </c>
      <c r="N1337" t="str">
        <f t="shared" si="103"/>
        <v>03</v>
      </c>
      <c r="O1337" t="str">
        <f t="shared" si="100"/>
        <v>2025</v>
      </c>
      <c r="P1337" t="str">
        <f t="shared" si="104"/>
        <v>04-03-2025</v>
      </c>
    </row>
    <row r="1338" spans="2:16" x14ac:dyDescent="0.3">
      <c r="B1338" s="70">
        <v>45720</v>
      </c>
      <c r="C1338" s="70">
        <f t="shared" si="101"/>
        <v>45717</v>
      </c>
      <c r="D1338" s="94">
        <v>139</v>
      </c>
      <c r="E1338" s="94">
        <v>0</v>
      </c>
      <c r="F1338" s="92" t="s">
        <v>3785</v>
      </c>
      <c r="G1338" s="75"/>
      <c r="H1338" s="92" t="s">
        <v>589</v>
      </c>
      <c r="I1338" s="92" t="s">
        <v>3893</v>
      </c>
      <c r="K1338" s="71" t="s">
        <v>511</v>
      </c>
      <c r="L1338" t="s">
        <v>1487</v>
      </c>
      <c r="M1338" t="str">
        <f t="shared" si="102"/>
        <v>04</v>
      </c>
      <c r="N1338" t="str">
        <f t="shared" si="103"/>
        <v>03</v>
      </c>
      <c r="O1338" t="str">
        <f t="shared" si="100"/>
        <v>2025</v>
      </c>
      <c r="P1338" t="str">
        <f t="shared" si="104"/>
        <v>04-03-2025</v>
      </c>
    </row>
    <row r="1339" spans="2:16" x14ac:dyDescent="0.3">
      <c r="B1339" s="70">
        <v>45721</v>
      </c>
      <c r="C1339" s="70">
        <f t="shared" si="101"/>
        <v>45717</v>
      </c>
      <c r="D1339" s="94">
        <v>0</v>
      </c>
      <c r="E1339" s="94">
        <v>1205.07</v>
      </c>
      <c r="F1339" s="92" t="s">
        <v>3786</v>
      </c>
      <c r="G1339" s="75"/>
      <c r="H1339" s="92" t="s">
        <v>3881</v>
      </c>
      <c r="I1339" s="92" t="s">
        <v>3889</v>
      </c>
      <c r="K1339" s="71" t="s">
        <v>2523</v>
      </c>
      <c r="L1339" t="s">
        <v>1352</v>
      </c>
      <c r="M1339" t="str">
        <f t="shared" si="102"/>
        <v>05</v>
      </c>
      <c r="N1339" t="str">
        <f t="shared" si="103"/>
        <v>03</v>
      </c>
      <c r="O1339" t="str">
        <f t="shared" si="100"/>
        <v>2025</v>
      </c>
      <c r="P1339" t="str">
        <f t="shared" si="104"/>
        <v>05-03-2025</v>
      </c>
    </row>
    <row r="1340" spans="2:16" x14ac:dyDescent="0.3">
      <c r="B1340" s="70">
        <v>45721</v>
      </c>
      <c r="C1340" s="70">
        <f t="shared" si="101"/>
        <v>45717</v>
      </c>
      <c r="D1340" s="94">
        <v>107.84</v>
      </c>
      <c r="E1340" s="94">
        <v>0</v>
      </c>
      <c r="F1340" s="92" t="s">
        <v>3787</v>
      </c>
      <c r="G1340" s="75"/>
      <c r="H1340" s="92" t="s">
        <v>3881</v>
      </c>
      <c r="I1340" s="92" t="s">
        <v>3889</v>
      </c>
      <c r="K1340" s="71" t="s">
        <v>217</v>
      </c>
      <c r="L1340" t="s">
        <v>30</v>
      </c>
      <c r="M1340" t="str">
        <f t="shared" si="102"/>
        <v>05</v>
      </c>
      <c r="N1340" t="str">
        <f t="shared" si="103"/>
        <v>03</v>
      </c>
      <c r="O1340" t="str">
        <f t="shared" si="100"/>
        <v>2025</v>
      </c>
      <c r="P1340" t="str">
        <f t="shared" si="104"/>
        <v>05-03-2025</v>
      </c>
    </row>
    <row r="1341" spans="2:16" x14ac:dyDescent="0.3">
      <c r="B1341" s="70">
        <v>45721</v>
      </c>
      <c r="C1341" s="70">
        <f t="shared" si="101"/>
        <v>45717</v>
      </c>
      <c r="D1341" s="94">
        <v>0</v>
      </c>
      <c r="E1341" s="94">
        <v>150000</v>
      </c>
      <c r="F1341" s="92" t="s">
        <v>3788</v>
      </c>
      <c r="G1341" s="75"/>
      <c r="H1341" s="92" t="s">
        <v>3885</v>
      </c>
      <c r="I1341" s="92" t="s">
        <v>3889</v>
      </c>
      <c r="K1341" s="71" t="s">
        <v>2520</v>
      </c>
      <c r="L1341" t="s">
        <v>1355</v>
      </c>
      <c r="M1341" t="str">
        <f t="shared" si="102"/>
        <v>05</v>
      </c>
      <c r="N1341" t="str">
        <f t="shared" si="103"/>
        <v>03</v>
      </c>
      <c r="O1341" t="str">
        <f t="shared" si="100"/>
        <v>2025</v>
      </c>
      <c r="P1341" t="str">
        <f t="shared" si="104"/>
        <v>05-03-2025</v>
      </c>
    </row>
    <row r="1342" spans="2:16" x14ac:dyDescent="0.3">
      <c r="B1342" s="70">
        <v>45721</v>
      </c>
      <c r="C1342" s="70">
        <f t="shared" si="101"/>
        <v>45717</v>
      </c>
      <c r="D1342" s="94">
        <v>1500</v>
      </c>
      <c r="E1342" s="94">
        <v>0</v>
      </c>
      <c r="F1342" s="92" t="s">
        <v>3789</v>
      </c>
      <c r="G1342" s="75"/>
      <c r="H1342" s="92" t="s">
        <v>589</v>
      </c>
      <c r="I1342" s="92" t="s">
        <v>3893</v>
      </c>
      <c r="K1342" s="71" t="s">
        <v>511</v>
      </c>
      <c r="L1342" t="s">
        <v>1488</v>
      </c>
      <c r="M1342" t="str">
        <f t="shared" si="102"/>
        <v>05</v>
      </c>
      <c r="N1342" t="str">
        <f t="shared" si="103"/>
        <v>03</v>
      </c>
      <c r="O1342" t="str">
        <f t="shared" si="100"/>
        <v>2025</v>
      </c>
      <c r="P1342" t="str">
        <f t="shared" si="104"/>
        <v>05-03-2025</v>
      </c>
    </row>
    <row r="1343" spans="2:16" x14ac:dyDescent="0.3">
      <c r="B1343" s="70">
        <v>45721</v>
      </c>
      <c r="C1343" s="70">
        <f t="shared" si="101"/>
        <v>45717</v>
      </c>
      <c r="D1343" s="94">
        <v>50</v>
      </c>
      <c r="E1343" s="94">
        <v>0</v>
      </c>
      <c r="F1343" s="92" t="s">
        <v>3790</v>
      </c>
      <c r="G1343" s="75"/>
      <c r="H1343" s="92" t="s">
        <v>589</v>
      </c>
      <c r="I1343" s="92" t="s">
        <v>3893</v>
      </c>
      <c r="K1343" s="71" t="s">
        <v>511</v>
      </c>
      <c r="L1343" t="s">
        <v>1489</v>
      </c>
      <c r="M1343" t="str">
        <f t="shared" si="102"/>
        <v>05</v>
      </c>
      <c r="N1343" t="str">
        <f t="shared" si="103"/>
        <v>03</v>
      </c>
      <c r="O1343" t="str">
        <f t="shared" si="100"/>
        <v>2025</v>
      </c>
      <c r="P1343" t="str">
        <f t="shared" si="104"/>
        <v>05-03-2025</v>
      </c>
    </row>
    <row r="1344" spans="2:16" x14ac:dyDescent="0.3">
      <c r="B1344" s="70">
        <v>45722</v>
      </c>
      <c r="C1344" s="70">
        <f t="shared" si="101"/>
        <v>45717</v>
      </c>
      <c r="D1344" s="94">
        <v>0</v>
      </c>
      <c r="E1344" s="94">
        <v>8902.19</v>
      </c>
      <c r="F1344" s="92" t="s">
        <v>3791</v>
      </c>
      <c r="G1344" s="75"/>
      <c r="H1344" s="92" t="s">
        <v>3881</v>
      </c>
      <c r="I1344" s="92" t="s">
        <v>3889</v>
      </c>
      <c r="K1344" s="71" t="s">
        <v>2523</v>
      </c>
      <c r="L1344" t="s">
        <v>1357</v>
      </c>
      <c r="M1344" t="str">
        <f t="shared" si="102"/>
        <v>06</v>
      </c>
      <c r="N1344" t="str">
        <f t="shared" si="103"/>
        <v>03</v>
      </c>
      <c r="O1344" t="str">
        <f t="shared" si="100"/>
        <v>2025</v>
      </c>
      <c r="P1344" t="str">
        <f t="shared" si="104"/>
        <v>06-03-2025</v>
      </c>
    </row>
    <row r="1345" spans="2:16" x14ac:dyDescent="0.3">
      <c r="B1345" s="70">
        <v>45722</v>
      </c>
      <c r="C1345" s="70">
        <f t="shared" si="101"/>
        <v>45717</v>
      </c>
      <c r="D1345" s="94">
        <v>108.26</v>
      </c>
      <c r="E1345" s="94">
        <v>0</v>
      </c>
      <c r="F1345" s="92" t="s">
        <v>3792</v>
      </c>
      <c r="G1345" s="75"/>
      <c r="H1345" s="92" t="s">
        <v>3881</v>
      </c>
      <c r="I1345" s="92" t="s">
        <v>3889</v>
      </c>
      <c r="K1345" s="71" t="s">
        <v>217</v>
      </c>
      <c r="L1345" t="s">
        <v>30</v>
      </c>
      <c r="M1345" t="str">
        <f t="shared" si="102"/>
        <v>06</v>
      </c>
      <c r="N1345" t="str">
        <f t="shared" si="103"/>
        <v>03</v>
      </c>
      <c r="O1345" t="str">
        <f t="shared" si="100"/>
        <v>2025</v>
      </c>
      <c r="P1345" t="str">
        <f t="shared" si="104"/>
        <v>06-03-2025</v>
      </c>
    </row>
    <row r="1346" spans="2:16" x14ac:dyDescent="0.3">
      <c r="B1346" s="70">
        <v>45722</v>
      </c>
      <c r="C1346" s="70">
        <f t="shared" si="101"/>
        <v>45717</v>
      </c>
      <c r="D1346" s="94">
        <v>1500</v>
      </c>
      <c r="E1346" s="94">
        <v>0</v>
      </c>
      <c r="F1346" s="92" t="s">
        <v>3793</v>
      </c>
      <c r="G1346" s="75"/>
      <c r="H1346" s="92" t="s">
        <v>589</v>
      </c>
      <c r="I1346" s="92" t="s">
        <v>3893</v>
      </c>
      <c r="K1346" s="71" t="s">
        <v>511</v>
      </c>
      <c r="L1346" t="s">
        <v>1490</v>
      </c>
      <c r="M1346" t="str">
        <f t="shared" si="102"/>
        <v>06</v>
      </c>
      <c r="N1346" t="str">
        <f t="shared" si="103"/>
        <v>03</v>
      </c>
      <c r="O1346" t="str">
        <f t="shared" si="100"/>
        <v>2025</v>
      </c>
      <c r="P1346" t="str">
        <f t="shared" si="104"/>
        <v>06-03-2025</v>
      </c>
    </row>
    <row r="1347" spans="2:16" x14ac:dyDescent="0.3">
      <c r="B1347" s="70">
        <v>45722</v>
      </c>
      <c r="C1347" s="70">
        <f t="shared" si="101"/>
        <v>45717</v>
      </c>
      <c r="D1347" s="94">
        <v>0</v>
      </c>
      <c r="E1347" s="94">
        <v>95.75</v>
      </c>
      <c r="F1347" s="92" t="s">
        <v>3794</v>
      </c>
      <c r="G1347" s="75"/>
      <c r="H1347" s="92" t="s">
        <v>589</v>
      </c>
      <c r="I1347" s="92" t="s">
        <v>3892</v>
      </c>
      <c r="K1347" s="71" t="s">
        <v>511</v>
      </c>
      <c r="L1347" t="s">
        <v>2461</v>
      </c>
      <c r="M1347" t="str">
        <f t="shared" si="102"/>
        <v>06</v>
      </c>
      <c r="N1347" t="str">
        <f t="shared" si="103"/>
        <v>03</v>
      </c>
      <c r="O1347" t="str">
        <f t="shared" ref="O1347:O1410" si="105">TEXT(B1347,"YYYY")</f>
        <v>2025</v>
      </c>
      <c r="P1347" t="str">
        <f t="shared" si="104"/>
        <v>06-03-2025</v>
      </c>
    </row>
    <row r="1348" spans="2:16" x14ac:dyDescent="0.3">
      <c r="B1348" s="70">
        <v>45723</v>
      </c>
      <c r="C1348" s="70">
        <f t="shared" ref="C1348:C1411" si="106">EOMONTH(B1348,-1)+1</f>
        <v>45717</v>
      </c>
      <c r="D1348" s="94">
        <v>102250</v>
      </c>
      <c r="E1348" s="94">
        <v>0</v>
      </c>
      <c r="F1348" s="92" t="s">
        <v>3795</v>
      </c>
      <c r="G1348" s="75"/>
      <c r="H1348" s="92" t="s">
        <v>3875</v>
      </c>
      <c r="I1348" s="92" t="s">
        <v>3889</v>
      </c>
      <c r="K1348" s="71" t="s">
        <v>509</v>
      </c>
      <c r="L1348" t="s">
        <v>1360</v>
      </c>
      <c r="M1348" t="str">
        <f t="shared" ref="M1348:M1411" si="107">TEXT(B1348,"DD")</f>
        <v>07</v>
      </c>
      <c r="N1348" t="str">
        <f t="shared" ref="N1348:N1411" si="108">TEXT(B1348,"MM")</f>
        <v>03</v>
      </c>
      <c r="O1348" t="str">
        <f t="shared" si="105"/>
        <v>2025</v>
      </c>
      <c r="P1348" t="str">
        <f t="shared" ref="P1348:P1411" si="109">M1348&amp;"-"&amp;N1348&amp;"-"&amp;O1348</f>
        <v>07-03-2025</v>
      </c>
    </row>
    <row r="1349" spans="2:16" x14ac:dyDescent="0.3">
      <c r="B1349" s="70">
        <v>45723</v>
      </c>
      <c r="C1349" s="70">
        <f t="shared" si="106"/>
        <v>45717</v>
      </c>
      <c r="D1349" s="94">
        <v>0</v>
      </c>
      <c r="E1349" s="94">
        <v>3627.5</v>
      </c>
      <c r="F1349" s="92" t="s">
        <v>3796</v>
      </c>
      <c r="G1349" s="75"/>
      <c r="H1349" s="92" t="s">
        <v>3881</v>
      </c>
      <c r="I1349" s="92" t="s">
        <v>3889</v>
      </c>
      <c r="K1349" s="71" t="s">
        <v>2523</v>
      </c>
      <c r="L1349" t="s">
        <v>1361</v>
      </c>
      <c r="M1349" t="str">
        <f t="shared" si="107"/>
        <v>07</v>
      </c>
      <c r="N1349" t="str">
        <f t="shared" si="108"/>
        <v>03</v>
      </c>
      <c r="O1349" t="str">
        <f t="shared" si="105"/>
        <v>2025</v>
      </c>
      <c r="P1349" t="str">
        <f t="shared" si="109"/>
        <v>07-03-2025</v>
      </c>
    </row>
    <row r="1350" spans="2:16" x14ac:dyDescent="0.3">
      <c r="B1350" s="70">
        <v>45723</v>
      </c>
      <c r="C1350" s="70">
        <f t="shared" si="106"/>
        <v>45717</v>
      </c>
      <c r="D1350" s="94">
        <v>111.44</v>
      </c>
      <c r="E1350" s="94">
        <v>0</v>
      </c>
      <c r="F1350" s="92" t="s">
        <v>3797</v>
      </c>
      <c r="G1350" s="75"/>
      <c r="H1350" s="92" t="s">
        <v>3881</v>
      </c>
      <c r="I1350" s="92" t="s">
        <v>3889</v>
      </c>
      <c r="K1350" s="71" t="s">
        <v>217</v>
      </c>
      <c r="L1350" t="s">
        <v>30</v>
      </c>
      <c r="M1350" t="str">
        <f t="shared" si="107"/>
        <v>07</v>
      </c>
      <c r="N1350" t="str">
        <f t="shared" si="108"/>
        <v>03</v>
      </c>
      <c r="O1350" t="str">
        <f t="shared" si="105"/>
        <v>2025</v>
      </c>
      <c r="P1350" t="str">
        <f t="shared" si="109"/>
        <v>07-03-2025</v>
      </c>
    </row>
    <row r="1351" spans="2:16" x14ac:dyDescent="0.3">
      <c r="B1351" s="70">
        <v>45723</v>
      </c>
      <c r="C1351" s="70">
        <f t="shared" si="106"/>
        <v>45717</v>
      </c>
      <c r="D1351" s="94">
        <v>0</v>
      </c>
      <c r="E1351" s="94">
        <v>1000</v>
      </c>
      <c r="F1351" s="92" t="s">
        <v>3798</v>
      </c>
      <c r="G1351" s="75" t="s">
        <v>3932</v>
      </c>
      <c r="H1351" s="92" t="s">
        <v>218</v>
      </c>
      <c r="I1351" s="92" t="s">
        <v>3889</v>
      </c>
      <c r="K1351" s="71" t="s">
        <v>218</v>
      </c>
      <c r="L1351" t="s">
        <v>1162</v>
      </c>
      <c r="M1351" t="str">
        <f t="shared" si="107"/>
        <v>07</v>
      </c>
      <c r="N1351" t="str">
        <f t="shared" si="108"/>
        <v>03</v>
      </c>
      <c r="O1351" t="str">
        <f t="shared" si="105"/>
        <v>2025</v>
      </c>
      <c r="P1351" t="str">
        <f t="shared" si="109"/>
        <v>07-03-2025</v>
      </c>
    </row>
    <row r="1352" spans="2:16" x14ac:dyDescent="0.3">
      <c r="B1352" s="70">
        <v>45723</v>
      </c>
      <c r="C1352" s="70">
        <f t="shared" si="106"/>
        <v>45717</v>
      </c>
      <c r="D1352" s="94">
        <v>0</v>
      </c>
      <c r="E1352" s="94">
        <v>1880</v>
      </c>
      <c r="F1352" s="92" t="s">
        <v>3799</v>
      </c>
      <c r="G1352" s="92" t="s">
        <v>222</v>
      </c>
      <c r="H1352" s="92" t="s">
        <v>3876</v>
      </c>
      <c r="I1352" s="92" t="s">
        <v>3889</v>
      </c>
      <c r="K1352" s="71" t="s">
        <v>222</v>
      </c>
      <c r="L1352" t="s">
        <v>1365</v>
      </c>
      <c r="M1352" t="str">
        <f t="shared" si="107"/>
        <v>07</v>
      </c>
      <c r="N1352" t="str">
        <f t="shared" si="108"/>
        <v>03</v>
      </c>
      <c r="O1352" t="str">
        <f t="shared" si="105"/>
        <v>2025</v>
      </c>
      <c r="P1352" t="str">
        <f t="shared" si="109"/>
        <v>07-03-2025</v>
      </c>
    </row>
    <row r="1353" spans="2:16" x14ac:dyDescent="0.3">
      <c r="B1353" s="70">
        <v>45723</v>
      </c>
      <c r="C1353" s="70">
        <f t="shared" si="106"/>
        <v>45717</v>
      </c>
      <c r="D1353" s="94">
        <v>321.02</v>
      </c>
      <c r="E1353" s="94">
        <v>0</v>
      </c>
      <c r="F1353" s="92" t="s">
        <v>3797</v>
      </c>
      <c r="G1353" s="75"/>
      <c r="H1353" s="92" t="s">
        <v>3881</v>
      </c>
      <c r="I1353" s="92" t="s">
        <v>3889</v>
      </c>
      <c r="K1353" s="71" t="s">
        <v>217</v>
      </c>
      <c r="L1353" t="s">
        <v>30</v>
      </c>
      <c r="M1353" t="str">
        <f t="shared" si="107"/>
        <v>07</v>
      </c>
      <c r="N1353" t="str">
        <f t="shared" si="108"/>
        <v>03</v>
      </c>
      <c r="O1353" t="str">
        <f t="shared" si="105"/>
        <v>2025</v>
      </c>
      <c r="P1353" t="str">
        <f t="shared" si="109"/>
        <v>07-03-2025</v>
      </c>
    </row>
    <row r="1354" spans="2:16" x14ac:dyDescent="0.3">
      <c r="B1354" s="70">
        <v>45723</v>
      </c>
      <c r="C1354" s="70">
        <f t="shared" si="106"/>
        <v>45717</v>
      </c>
      <c r="D1354" s="94">
        <v>1506.51</v>
      </c>
      <c r="E1354" s="94">
        <v>0</v>
      </c>
      <c r="F1354" s="92" t="s">
        <v>3800</v>
      </c>
      <c r="G1354" s="75"/>
      <c r="H1354" s="92" t="s">
        <v>589</v>
      </c>
      <c r="I1354" s="92" t="s">
        <v>3893</v>
      </c>
      <c r="K1354" s="71" t="s">
        <v>511</v>
      </c>
      <c r="L1354" t="s">
        <v>1491</v>
      </c>
      <c r="M1354" t="str">
        <f t="shared" si="107"/>
        <v>07</v>
      </c>
      <c r="N1354" t="str">
        <f t="shared" si="108"/>
        <v>03</v>
      </c>
      <c r="O1354" t="str">
        <f t="shared" si="105"/>
        <v>2025</v>
      </c>
      <c r="P1354" t="str">
        <f t="shared" si="109"/>
        <v>07-03-2025</v>
      </c>
    </row>
    <row r="1355" spans="2:16" x14ac:dyDescent="0.3">
      <c r="B1355" s="70">
        <v>45723</v>
      </c>
      <c r="C1355" s="70">
        <f t="shared" si="106"/>
        <v>45717</v>
      </c>
      <c r="D1355" s="94">
        <v>0</v>
      </c>
      <c r="E1355" s="94">
        <v>130</v>
      </c>
      <c r="F1355" s="92" t="s">
        <v>3801</v>
      </c>
      <c r="G1355" s="75" t="s">
        <v>3919</v>
      </c>
      <c r="H1355" s="92" t="s">
        <v>218</v>
      </c>
      <c r="I1355" s="92" t="s">
        <v>3892</v>
      </c>
      <c r="K1355" s="71" t="s">
        <v>218</v>
      </c>
      <c r="L1355" t="s">
        <v>2463</v>
      </c>
      <c r="M1355" t="str">
        <f t="shared" si="107"/>
        <v>07</v>
      </c>
      <c r="N1355" t="str">
        <f t="shared" si="108"/>
        <v>03</v>
      </c>
      <c r="O1355" t="str">
        <f t="shared" si="105"/>
        <v>2025</v>
      </c>
      <c r="P1355" t="str">
        <f t="shared" si="109"/>
        <v>07-03-2025</v>
      </c>
    </row>
    <row r="1356" spans="2:16" x14ac:dyDescent="0.3">
      <c r="B1356" s="70">
        <v>45724</v>
      </c>
      <c r="C1356" s="70">
        <f t="shared" si="106"/>
        <v>45717</v>
      </c>
      <c r="D1356" s="94">
        <v>45000</v>
      </c>
      <c r="E1356" s="94">
        <v>0</v>
      </c>
      <c r="F1356" s="92" t="s">
        <v>3802</v>
      </c>
      <c r="G1356" s="75"/>
      <c r="H1356" s="92" t="s">
        <v>3885</v>
      </c>
      <c r="I1356" s="92" t="s">
        <v>3889</v>
      </c>
      <c r="K1356" s="71" t="s">
        <v>2518</v>
      </c>
      <c r="L1356" t="s">
        <v>1368</v>
      </c>
      <c r="M1356" t="str">
        <f t="shared" si="107"/>
        <v>08</v>
      </c>
      <c r="N1356" t="str">
        <f t="shared" si="108"/>
        <v>03</v>
      </c>
      <c r="O1356" t="str">
        <f t="shared" si="105"/>
        <v>2025</v>
      </c>
      <c r="P1356" t="str">
        <f t="shared" si="109"/>
        <v>08-03-2025</v>
      </c>
    </row>
    <row r="1357" spans="2:16" x14ac:dyDescent="0.3">
      <c r="B1357" s="70">
        <v>45724</v>
      </c>
      <c r="C1357" s="70">
        <f t="shared" si="106"/>
        <v>45717</v>
      </c>
      <c r="D1357" s="94">
        <v>70</v>
      </c>
      <c r="E1357" s="94">
        <v>0</v>
      </c>
      <c r="F1357" s="92" t="s">
        <v>3803</v>
      </c>
      <c r="G1357" s="75"/>
      <c r="H1357" s="92" t="s">
        <v>589</v>
      </c>
      <c r="I1357" s="92" t="s">
        <v>3892</v>
      </c>
      <c r="K1357" s="71" t="s">
        <v>511</v>
      </c>
      <c r="L1357" t="s">
        <v>2465</v>
      </c>
      <c r="M1357" t="str">
        <f t="shared" si="107"/>
        <v>08</v>
      </c>
      <c r="N1357" t="str">
        <f t="shared" si="108"/>
        <v>03</v>
      </c>
      <c r="O1357" t="str">
        <f t="shared" si="105"/>
        <v>2025</v>
      </c>
      <c r="P1357" t="str">
        <f t="shared" si="109"/>
        <v>08-03-2025</v>
      </c>
    </row>
    <row r="1358" spans="2:16" x14ac:dyDescent="0.3">
      <c r="B1358" s="70">
        <v>45725</v>
      </c>
      <c r="C1358" s="70">
        <f t="shared" si="106"/>
        <v>45717</v>
      </c>
      <c r="D1358" s="94">
        <v>0</v>
      </c>
      <c r="E1358" s="94">
        <v>1</v>
      </c>
      <c r="F1358" s="92" t="s">
        <v>3804</v>
      </c>
      <c r="G1358" s="75"/>
      <c r="H1358" s="92" t="s">
        <v>589</v>
      </c>
      <c r="I1358" s="92" t="s">
        <v>3893</v>
      </c>
      <c r="K1358" s="71" t="s">
        <v>511</v>
      </c>
      <c r="L1358" t="s">
        <v>1492</v>
      </c>
      <c r="M1358" t="str">
        <f t="shared" si="107"/>
        <v>09</v>
      </c>
      <c r="N1358" t="str">
        <f t="shared" si="108"/>
        <v>03</v>
      </c>
      <c r="O1358" t="str">
        <f t="shared" si="105"/>
        <v>2025</v>
      </c>
      <c r="P1358" t="str">
        <f t="shared" si="109"/>
        <v>09-03-2025</v>
      </c>
    </row>
    <row r="1359" spans="2:16" x14ac:dyDescent="0.3">
      <c r="B1359" s="70">
        <v>45725</v>
      </c>
      <c r="C1359" s="70">
        <f t="shared" si="106"/>
        <v>45717</v>
      </c>
      <c r="D1359" s="94">
        <v>0</v>
      </c>
      <c r="E1359" s="94">
        <v>10</v>
      </c>
      <c r="F1359" s="92" t="s">
        <v>3805</v>
      </c>
      <c r="G1359" s="75"/>
      <c r="H1359" s="92" t="s">
        <v>589</v>
      </c>
      <c r="I1359" s="92" t="s">
        <v>3893</v>
      </c>
      <c r="K1359" s="71" t="s">
        <v>511</v>
      </c>
      <c r="L1359" t="s">
        <v>1493</v>
      </c>
      <c r="M1359" t="str">
        <f t="shared" si="107"/>
        <v>09</v>
      </c>
      <c r="N1359" t="str">
        <f t="shared" si="108"/>
        <v>03</v>
      </c>
      <c r="O1359" t="str">
        <f t="shared" si="105"/>
        <v>2025</v>
      </c>
      <c r="P1359" t="str">
        <f t="shared" si="109"/>
        <v>09-03-2025</v>
      </c>
    </row>
    <row r="1360" spans="2:16" x14ac:dyDescent="0.3">
      <c r="B1360" s="70">
        <v>45725</v>
      </c>
      <c r="C1360" s="70">
        <f t="shared" si="106"/>
        <v>45717</v>
      </c>
      <c r="D1360" s="94">
        <v>24</v>
      </c>
      <c r="E1360" s="94">
        <v>0</v>
      </c>
      <c r="F1360" s="92" t="s">
        <v>3806</v>
      </c>
      <c r="G1360" s="75"/>
      <c r="H1360" s="92" t="s">
        <v>589</v>
      </c>
      <c r="I1360" s="92" t="s">
        <v>3892</v>
      </c>
      <c r="K1360" s="71" t="s">
        <v>511</v>
      </c>
      <c r="L1360" t="s">
        <v>2467</v>
      </c>
      <c r="M1360" t="str">
        <f t="shared" si="107"/>
        <v>09</v>
      </c>
      <c r="N1360" t="str">
        <f t="shared" si="108"/>
        <v>03</v>
      </c>
      <c r="O1360" t="str">
        <f t="shared" si="105"/>
        <v>2025</v>
      </c>
      <c r="P1360" t="str">
        <f t="shared" si="109"/>
        <v>09-03-2025</v>
      </c>
    </row>
    <row r="1361" spans="2:16" x14ac:dyDescent="0.3">
      <c r="B1361" s="70">
        <v>45726</v>
      </c>
      <c r="C1361" s="70">
        <f t="shared" si="106"/>
        <v>45717</v>
      </c>
      <c r="D1361" s="94">
        <v>337.83</v>
      </c>
      <c r="E1361" s="94">
        <v>0</v>
      </c>
      <c r="F1361" s="92" t="s">
        <v>3807</v>
      </c>
      <c r="G1361" s="75"/>
      <c r="H1361" s="92" t="s">
        <v>3881</v>
      </c>
      <c r="I1361" s="92" t="s">
        <v>3889</v>
      </c>
      <c r="K1361" s="71" t="s">
        <v>217</v>
      </c>
      <c r="L1361" t="s">
        <v>30</v>
      </c>
      <c r="M1361" t="str">
        <f t="shared" si="107"/>
        <v>10</v>
      </c>
      <c r="N1361" t="str">
        <f t="shared" si="108"/>
        <v>03</v>
      </c>
      <c r="O1361" t="str">
        <f t="shared" si="105"/>
        <v>2025</v>
      </c>
      <c r="P1361" t="str">
        <f t="shared" si="109"/>
        <v>10-03-2025</v>
      </c>
    </row>
    <row r="1362" spans="2:16" x14ac:dyDescent="0.3">
      <c r="B1362" s="70">
        <v>45726</v>
      </c>
      <c r="C1362" s="70">
        <f t="shared" si="106"/>
        <v>45717</v>
      </c>
      <c r="D1362" s="94">
        <v>6468.95</v>
      </c>
      <c r="E1362" s="94">
        <v>0</v>
      </c>
      <c r="F1362" s="92" t="s">
        <v>3807</v>
      </c>
      <c r="G1362" s="75"/>
      <c r="H1362" s="92" t="s">
        <v>3881</v>
      </c>
      <c r="I1362" s="92" t="s">
        <v>3889</v>
      </c>
      <c r="K1362" s="71" t="s">
        <v>217</v>
      </c>
      <c r="L1362" t="s">
        <v>30</v>
      </c>
      <c r="M1362" t="str">
        <f t="shared" si="107"/>
        <v>10</v>
      </c>
      <c r="N1362" t="str">
        <f t="shared" si="108"/>
        <v>03</v>
      </c>
      <c r="O1362" t="str">
        <f t="shared" si="105"/>
        <v>2025</v>
      </c>
      <c r="P1362" t="str">
        <f t="shared" si="109"/>
        <v>10-03-2025</v>
      </c>
    </row>
    <row r="1363" spans="2:16" x14ac:dyDescent="0.3">
      <c r="B1363" s="70">
        <v>45726</v>
      </c>
      <c r="C1363" s="70">
        <f t="shared" si="106"/>
        <v>45717</v>
      </c>
      <c r="D1363" s="94">
        <v>25</v>
      </c>
      <c r="E1363" s="94">
        <v>0</v>
      </c>
      <c r="F1363" s="92" t="s">
        <v>3808</v>
      </c>
      <c r="G1363" s="75"/>
      <c r="H1363" s="92" t="s">
        <v>589</v>
      </c>
      <c r="I1363" s="92" t="s">
        <v>3892</v>
      </c>
      <c r="K1363" s="71" t="s">
        <v>511</v>
      </c>
      <c r="L1363" t="s">
        <v>2469</v>
      </c>
      <c r="M1363" t="str">
        <f t="shared" si="107"/>
        <v>10</v>
      </c>
      <c r="N1363" t="str">
        <f t="shared" si="108"/>
        <v>03</v>
      </c>
      <c r="O1363" t="str">
        <f t="shared" si="105"/>
        <v>2025</v>
      </c>
      <c r="P1363" t="str">
        <f t="shared" si="109"/>
        <v>10-03-2025</v>
      </c>
    </row>
    <row r="1364" spans="2:16" x14ac:dyDescent="0.3">
      <c r="B1364" s="70">
        <v>45726</v>
      </c>
      <c r="C1364" s="70">
        <f t="shared" si="106"/>
        <v>45717</v>
      </c>
      <c r="D1364" s="94">
        <v>26</v>
      </c>
      <c r="E1364" s="94">
        <v>0</v>
      </c>
      <c r="F1364" s="92" t="s">
        <v>3809</v>
      </c>
      <c r="G1364" s="75"/>
      <c r="H1364" s="92" t="s">
        <v>589</v>
      </c>
      <c r="I1364" s="92" t="s">
        <v>3892</v>
      </c>
      <c r="K1364" s="71" t="s">
        <v>511</v>
      </c>
      <c r="L1364" t="s">
        <v>2471</v>
      </c>
      <c r="M1364" t="str">
        <f t="shared" si="107"/>
        <v>10</v>
      </c>
      <c r="N1364" t="str">
        <f t="shared" si="108"/>
        <v>03</v>
      </c>
      <c r="O1364" t="str">
        <f t="shared" si="105"/>
        <v>2025</v>
      </c>
      <c r="P1364" t="str">
        <f t="shared" si="109"/>
        <v>10-03-2025</v>
      </c>
    </row>
    <row r="1365" spans="2:16" x14ac:dyDescent="0.3">
      <c r="B1365" s="70">
        <v>45727</v>
      </c>
      <c r="C1365" s="70">
        <f t="shared" si="106"/>
        <v>45717</v>
      </c>
      <c r="D1365" s="94">
        <v>110.31</v>
      </c>
      <c r="E1365" s="94">
        <v>0</v>
      </c>
      <c r="F1365" s="92" t="s">
        <v>3810</v>
      </c>
      <c r="G1365" s="75"/>
      <c r="H1365" s="92" t="s">
        <v>3881</v>
      </c>
      <c r="I1365" s="92" t="s">
        <v>3889</v>
      </c>
      <c r="K1365" s="71" t="s">
        <v>217</v>
      </c>
      <c r="L1365" t="s">
        <v>30</v>
      </c>
      <c r="M1365" t="str">
        <f t="shared" si="107"/>
        <v>11</v>
      </c>
      <c r="N1365" t="str">
        <f t="shared" si="108"/>
        <v>03</v>
      </c>
      <c r="O1365" t="str">
        <f t="shared" si="105"/>
        <v>2025</v>
      </c>
      <c r="P1365" t="str">
        <f t="shared" si="109"/>
        <v>11-03-2025</v>
      </c>
    </row>
    <row r="1366" spans="2:16" x14ac:dyDescent="0.3">
      <c r="B1366" s="70">
        <v>45727</v>
      </c>
      <c r="C1366" s="70">
        <f t="shared" si="106"/>
        <v>45717</v>
      </c>
      <c r="D1366" s="94">
        <v>581.54</v>
      </c>
      <c r="E1366" s="94">
        <v>0</v>
      </c>
      <c r="F1366" s="92" t="s">
        <v>3810</v>
      </c>
      <c r="G1366" s="75"/>
      <c r="H1366" s="92" t="s">
        <v>3881</v>
      </c>
      <c r="I1366" s="92" t="s">
        <v>3889</v>
      </c>
      <c r="K1366" s="71" t="s">
        <v>217</v>
      </c>
      <c r="L1366" t="s">
        <v>30</v>
      </c>
      <c r="M1366" t="str">
        <f t="shared" si="107"/>
        <v>11</v>
      </c>
      <c r="N1366" t="str">
        <f t="shared" si="108"/>
        <v>03</v>
      </c>
      <c r="O1366" t="str">
        <f t="shared" si="105"/>
        <v>2025</v>
      </c>
      <c r="P1366" t="str">
        <f t="shared" si="109"/>
        <v>11-03-2025</v>
      </c>
    </row>
    <row r="1367" spans="2:16" x14ac:dyDescent="0.3">
      <c r="B1367" s="70">
        <v>45727</v>
      </c>
      <c r="C1367" s="70">
        <f t="shared" si="106"/>
        <v>45717</v>
      </c>
      <c r="D1367" s="94">
        <v>129</v>
      </c>
      <c r="E1367" s="94">
        <v>0</v>
      </c>
      <c r="F1367" s="92" t="s">
        <v>3811</v>
      </c>
      <c r="G1367" s="75"/>
      <c r="H1367" s="92" t="s">
        <v>589</v>
      </c>
      <c r="I1367" s="92" t="s">
        <v>3892</v>
      </c>
      <c r="K1367" s="71" t="s">
        <v>511</v>
      </c>
      <c r="L1367" t="s">
        <v>2473</v>
      </c>
      <c r="M1367" t="str">
        <f t="shared" si="107"/>
        <v>11</v>
      </c>
      <c r="N1367" t="str">
        <f t="shared" si="108"/>
        <v>03</v>
      </c>
      <c r="O1367" t="str">
        <f t="shared" si="105"/>
        <v>2025</v>
      </c>
      <c r="P1367" t="str">
        <f t="shared" si="109"/>
        <v>11-03-2025</v>
      </c>
    </row>
    <row r="1368" spans="2:16" x14ac:dyDescent="0.3">
      <c r="B1368" s="70">
        <v>45727</v>
      </c>
      <c r="C1368" s="70">
        <f t="shared" si="106"/>
        <v>45717</v>
      </c>
      <c r="D1368" s="94">
        <v>61</v>
      </c>
      <c r="E1368" s="94">
        <v>0</v>
      </c>
      <c r="F1368" s="92" t="s">
        <v>3812</v>
      </c>
      <c r="G1368" s="75"/>
      <c r="H1368" s="92" t="s">
        <v>589</v>
      </c>
      <c r="I1368" s="92" t="s">
        <v>3892</v>
      </c>
      <c r="K1368" s="71" t="s">
        <v>511</v>
      </c>
      <c r="L1368" t="s">
        <v>2475</v>
      </c>
      <c r="M1368" t="str">
        <f t="shared" si="107"/>
        <v>11</v>
      </c>
      <c r="N1368" t="str">
        <f t="shared" si="108"/>
        <v>03</v>
      </c>
      <c r="O1368" t="str">
        <f t="shared" si="105"/>
        <v>2025</v>
      </c>
      <c r="P1368" t="str">
        <f t="shared" si="109"/>
        <v>11-03-2025</v>
      </c>
    </row>
    <row r="1369" spans="2:16" x14ac:dyDescent="0.3">
      <c r="B1369" s="70">
        <v>45727</v>
      </c>
      <c r="C1369" s="70">
        <f t="shared" si="106"/>
        <v>45717</v>
      </c>
      <c r="D1369" s="94">
        <v>53</v>
      </c>
      <c r="E1369" s="94">
        <v>0</v>
      </c>
      <c r="F1369" s="92" t="s">
        <v>3813</v>
      </c>
      <c r="G1369" s="75"/>
      <c r="H1369" s="92" t="s">
        <v>589</v>
      </c>
      <c r="I1369" s="92" t="s">
        <v>3892</v>
      </c>
      <c r="K1369" s="71" t="s">
        <v>511</v>
      </c>
      <c r="L1369" t="s">
        <v>2477</v>
      </c>
      <c r="M1369" t="str">
        <f t="shared" si="107"/>
        <v>11</v>
      </c>
      <c r="N1369" t="str">
        <f t="shared" si="108"/>
        <v>03</v>
      </c>
      <c r="O1369" t="str">
        <f t="shared" si="105"/>
        <v>2025</v>
      </c>
      <c r="P1369" t="str">
        <f t="shared" si="109"/>
        <v>11-03-2025</v>
      </c>
    </row>
    <row r="1370" spans="2:16" x14ac:dyDescent="0.3">
      <c r="B1370" s="70">
        <v>45728</v>
      </c>
      <c r="C1370" s="70">
        <f t="shared" si="106"/>
        <v>45717</v>
      </c>
      <c r="D1370" s="94">
        <v>110.1</v>
      </c>
      <c r="E1370" s="94">
        <v>0</v>
      </c>
      <c r="F1370" s="92" t="s">
        <v>3814</v>
      </c>
      <c r="G1370" s="75"/>
      <c r="H1370" s="92" t="s">
        <v>3881</v>
      </c>
      <c r="I1370" s="92" t="s">
        <v>3889</v>
      </c>
      <c r="K1370" s="71" t="s">
        <v>217</v>
      </c>
      <c r="L1370" t="s">
        <v>30</v>
      </c>
      <c r="M1370" t="str">
        <f t="shared" si="107"/>
        <v>12</v>
      </c>
      <c r="N1370" t="str">
        <f t="shared" si="108"/>
        <v>03</v>
      </c>
      <c r="O1370" t="str">
        <f t="shared" si="105"/>
        <v>2025</v>
      </c>
      <c r="P1370" t="str">
        <f t="shared" si="109"/>
        <v>12-03-2025</v>
      </c>
    </row>
    <row r="1371" spans="2:16" x14ac:dyDescent="0.3">
      <c r="B1371" s="70">
        <v>45728</v>
      </c>
      <c r="C1371" s="70">
        <f t="shared" si="106"/>
        <v>45717</v>
      </c>
      <c r="D1371" s="94">
        <v>3403.19</v>
      </c>
      <c r="E1371" s="94">
        <v>0</v>
      </c>
      <c r="F1371" s="92" t="s">
        <v>3814</v>
      </c>
      <c r="G1371" s="75"/>
      <c r="H1371" s="92" t="s">
        <v>3881</v>
      </c>
      <c r="I1371" s="92" t="s">
        <v>3889</v>
      </c>
      <c r="K1371" s="71" t="s">
        <v>217</v>
      </c>
      <c r="L1371" t="s">
        <v>30</v>
      </c>
      <c r="M1371" t="str">
        <f t="shared" si="107"/>
        <v>12</v>
      </c>
      <c r="N1371" t="str">
        <f t="shared" si="108"/>
        <v>03</v>
      </c>
      <c r="O1371" t="str">
        <f t="shared" si="105"/>
        <v>2025</v>
      </c>
      <c r="P1371" t="str">
        <f t="shared" si="109"/>
        <v>12-03-2025</v>
      </c>
    </row>
    <row r="1372" spans="2:16" x14ac:dyDescent="0.3">
      <c r="B1372" s="70">
        <v>45728</v>
      </c>
      <c r="C1372" s="70">
        <f t="shared" si="106"/>
        <v>45717</v>
      </c>
      <c r="D1372" s="94">
        <v>100</v>
      </c>
      <c r="E1372" s="94">
        <v>0</v>
      </c>
      <c r="F1372" s="92" t="s">
        <v>3815</v>
      </c>
      <c r="G1372" s="75"/>
      <c r="H1372" s="92" t="s">
        <v>589</v>
      </c>
      <c r="I1372" s="92" t="s">
        <v>3893</v>
      </c>
      <c r="K1372" s="71" t="s">
        <v>511</v>
      </c>
      <c r="L1372" t="s">
        <v>1494</v>
      </c>
      <c r="M1372" t="str">
        <f t="shared" si="107"/>
        <v>12</v>
      </c>
      <c r="N1372" t="str">
        <f t="shared" si="108"/>
        <v>03</v>
      </c>
      <c r="O1372" t="str">
        <f t="shared" si="105"/>
        <v>2025</v>
      </c>
      <c r="P1372" t="str">
        <f t="shared" si="109"/>
        <v>12-03-2025</v>
      </c>
    </row>
    <row r="1373" spans="2:16" x14ac:dyDescent="0.3">
      <c r="B1373" s="70">
        <v>45728</v>
      </c>
      <c r="C1373" s="70">
        <f t="shared" si="106"/>
        <v>45717</v>
      </c>
      <c r="D1373" s="94">
        <v>25</v>
      </c>
      <c r="E1373" s="94">
        <v>0</v>
      </c>
      <c r="F1373" s="92" t="s">
        <v>3816</v>
      </c>
      <c r="G1373" s="75"/>
      <c r="H1373" s="92" t="s">
        <v>589</v>
      </c>
      <c r="I1373" s="92" t="s">
        <v>3893</v>
      </c>
      <c r="K1373" s="71" t="s">
        <v>511</v>
      </c>
      <c r="L1373" t="s">
        <v>1495</v>
      </c>
      <c r="M1373" t="str">
        <f t="shared" si="107"/>
        <v>12</v>
      </c>
      <c r="N1373" t="str">
        <f t="shared" si="108"/>
        <v>03</v>
      </c>
      <c r="O1373" t="str">
        <f t="shared" si="105"/>
        <v>2025</v>
      </c>
      <c r="P1373" t="str">
        <f t="shared" si="109"/>
        <v>12-03-2025</v>
      </c>
    </row>
    <row r="1374" spans="2:16" x14ac:dyDescent="0.3">
      <c r="B1374" s="70">
        <v>45728</v>
      </c>
      <c r="C1374" s="70">
        <f t="shared" si="106"/>
        <v>45717</v>
      </c>
      <c r="D1374" s="94">
        <v>0</v>
      </c>
      <c r="E1374" s="94">
        <v>501</v>
      </c>
      <c r="F1374" s="92" t="s">
        <v>3817</v>
      </c>
      <c r="G1374" s="75"/>
      <c r="H1374" s="92" t="s">
        <v>3883</v>
      </c>
      <c r="I1374" s="92" t="s">
        <v>3892</v>
      </c>
      <c r="K1374" s="71" t="s">
        <v>2539</v>
      </c>
      <c r="L1374" t="s">
        <v>2479</v>
      </c>
      <c r="M1374" t="str">
        <f t="shared" si="107"/>
        <v>12</v>
      </c>
      <c r="N1374" t="str">
        <f t="shared" si="108"/>
        <v>03</v>
      </c>
      <c r="O1374" t="str">
        <f t="shared" si="105"/>
        <v>2025</v>
      </c>
      <c r="P1374" t="str">
        <f t="shared" si="109"/>
        <v>12-03-2025</v>
      </c>
    </row>
    <row r="1375" spans="2:16" x14ac:dyDescent="0.3">
      <c r="B1375" s="70">
        <v>45728</v>
      </c>
      <c r="C1375" s="70">
        <f t="shared" si="106"/>
        <v>45717</v>
      </c>
      <c r="D1375" s="94">
        <v>60</v>
      </c>
      <c r="E1375" s="94">
        <v>0</v>
      </c>
      <c r="F1375" s="92" t="s">
        <v>3818</v>
      </c>
      <c r="G1375" s="75"/>
      <c r="H1375" s="92" t="s">
        <v>589</v>
      </c>
      <c r="I1375" s="92" t="s">
        <v>3892</v>
      </c>
      <c r="K1375" s="71" t="s">
        <v>511</v>
      </c>
      <c r="L1375" t="s">
        <v>2481</v>
      </c>
      <c r="M1375" t="str">
        <f t="shared" si="107"/>
        <v>12</v>
      </c>
      <c r="N1375" t="str">
        <f t="shared" si="108"/>
        <v>03</v>
      </c>
      <c r="O1375" t="str">
        <f t="shared" si="105"/>
        <v>2025</v>
      </c>
      <c r="P1375" t="str">
        <f t="shared" si="109"/>
        <v>12-03-2025</v>
      </c>
    </row>
    <row r="1376" spans="2:16" x14ac:dyDescent="0.3">
      <c r="B1376" s="70">
        <v>45729</v>
      </c>
      <c r="C1376" s="70">
        <f t="shared" si="106"/>
        <v>45717</v>
      </c>
      <c r="D1376" s="94">
        <v>108.89</v>
      </c>
      <c r="E1376" s="94">
        <v>0</v>
      </c>
      <c r="F1376" s="92" t="s">
        <v>3819</v>
      </c>
      <c r="G1376" s="75"/>
      <c r="H1376" s="92" t="s">
        <v>3881</v>
      </c>
      <c r="I1376" s="92" t="s">
        <v>3889</v>
      </c>
      <c r="K1376" s="71" t="s">
        <v>217</v>
      </c>
      <c r="L1376" t="s">
        <v>30</v>
      </c>
      <c r="M1376" t="str">
        <f t="shared" si="107"/>
        <v>13</v>
      </c>
      <c r="N1376" t="str">
        <f t="shared" si="108"/>
        <v>03</v>
      </c>
      <c r="O1376" t="str">
        <f t="shared" si="105"/>
        <v>2025</v>
      </c>
      <c r="P1376" t="str">
        <f t="shared" si="109"/>
        <v>13-03-2025</v>
      </c>
    </row>
    <row r="1377" spans="2:16" x14ac:dyDescent="0.3">
      <c r="B1377" s="70">
        <v>45729</v>
      </c>
      <c r="C1377" s="70">
        <f t="shared" si="106"/>
        <v>45717</v>
      </c>
      <c r="D1377" s="94">
        <v>1255.3</v>
      </c>
      <c r="E1377" s="94">
        <v>0</v>
      </c>
      <c r="F1377" s="92" t="s">
        <v>3819</v>
      </c>
      <c r="G1377" s="75"/>
      <c r="H1377" s="92" t="s">
        <v>3881</v>
      </c>
      <c r="I1377" s="92" t="s">
        <v>3889</v>
      </c>
      <c r="K1377" s="71" t="s">
        <v>217</v>
      </c>
      <c r="L1377" t="s">
        <v>30</v>
      </c>
      <c r="M1377" t="str">
        <f t="shared" si="107"/>
        <v>13</v>
      </c>
      <c r="N1377" t="str">
        <f t="shared" si="108"/>
        <v>03</v>
      </c>
      <c r="O1377" t="str">
        <f t="shared" si="105"/>
        <v>2025</v>
      </c>
      <c r="P1377" t="str">
        <f t="shared" si="109"/>
        <v>13-03-2025</v>
      </c>
    </row>
    <row r="1378" spans="2:16" x14ac:dyDescent="0.3">
      <c r="B1378" s="70">
        <v>45729</v>
      </c>
      <c r="C1378" s="70">
        <f t="shared" si="106"/>
        <v>45717</v>
      </c>
      <c r="D1378" s="94">
        <v>1650</v>
      </c>
      <c r="E1378" s="94">
        <v>0</v>
      </c>
      <c r="F1378" s="92" t="s">
        <v>3820</v>
      </c>
      <c r="G1378" s="75"/>
      <c r="H1378" s="92" t="s">
        <v>589</v>
      </c>
      <c r="I1378" s="92" t="s">
        <v>3893</v>
      </c>
      <c r="K1378" s="71" t="s">
        <v>511</v>
      </c>
      <c r="L1378" t="s">
        <v>1496</v>
      </c>
      <c r="M1378" t="str">
        <f t="shared" si="107"/>
        <v>13</v>
      </c>
      <c r="N1378" t="str">
        <f t="shared" si="108"/>
        <v>03</v>
      </c>
      <c r="O1378" t="str">
        <f t="shared" si="105"/>
        <v>2025</v>
      </c>
      <c r="P1378" t="str">
        <f t="shared" si="109"/>
        <v>13-03-2025</v>
      </c>
    </row>
    <row r="1379" spans="2:16" x14ac:dyDescent="0.3">
      <c r="B1379" s="70">
        <v>45729</v>
      </c>
      <c r="C1379" s="70">
        <f t="shared" si="106"/>
        <v>45717</v>
      </c>
      <c r="D1379" s="94">
        <v>244</v>
      </c>
      <c r="E1379" s="94">
        <v>0</v>
      </c>
      <c r="F1379" s="92" t="s">
        <v>3821</v>
      </c>
      <c r="G1379" s="75"/>
      <c r="H1379" s="92" t="s">
        <v>589</v>
      </c>
      <c r="I1379" s="92" t="s">
        <v>3893</v>
      </c>
      <c r="K1379" s="71" t="s">
        <v>511</v>
      </c>
      <c r="L1379" t="s">
        <v>1497</v>
      </c>
      <c r="M1379" t="str">
        <f t="shared" si="107"/>
        <v>13</v>
      </c>
      <c r="N1379" t="str">
        <f t="shared" si="108"/>
        <v>03</v>
      </c>
      <c r="O1379" t="str">
        <f t="shared" si="105"/>
        <v>2025</v>
      </c>
      <c r="P1379" t="str">
        <f t="shared" si="109"/>
        <v>13-03-2025</v>
      </c>
    </row>
    <row r="1380" spans="2:16" x14ac:dyDescent="0.3">
      <c r="B1380" s="70">
        <v>45730</v>
      </c>
      <c r="C1380" s="70">
        <f t="shared" si="106"/>
        <v>45717</v>
      </c>
      <c r="D1380" s="94">
        <v>200</v>
      </c>
      <c r="E1380" s="94">
        <v>0</v>
      </c>
      <c r="F1380" s="92" t="s">
        <v>3822</v>
      </c>
      <c r="G1380" s="75"/>
      <c r="H1380" s="92" t="s">
        <v>589</v>
      </c>
      <c r="I1380" s="92" t="s">
        <v>3893</v>
      </c>
      <c r="K1380" s="71" t="s">
        <v>511</v>
      </c>
      <c r="L1380" t="s">
        <v>1498</v>
      </c>
      <c r="M1380" t="str">
        <f t="shared" si="107"/>
        <v>14</v>
      </c>
      <c r="N1380" t="str">
        <f t="shared" si="108"/>
        <v>03</v>
      </c>
      <c r="O1380" t="str">
        <f t="shared" si="105"/>
        <v>2025</v>
      </c>
      <c r="P1380" t="str">
        <f t="shared" si="109"/>
        <v>14-03-2025</v>
      </c>
    </row>
    <row r="1381" spans="2:16" x14ac:dyDescent="0.3">
      <c r="B1381" s="70">
        <v>45731</v>
      </c>
      <c r="C1381" s="70">
        <f t="shared" si="106"/>
        <v>45717</v>
      </c>
      <c r="D1381" s="94">
        <v>649</v>
      </c>
      <c r="E1381" s="94">
        <v>0</v>
      </c>
      <c r="F1381" s="92" t="s">
        <v>3823</v>
      </c>
      <c r="G1381" s="75"/>
      <c r="H1381" s="92" t="s">
        <v>220</v>
      </c>
      <c r="I1381" s="92" t="s">
        <v>3889</v>
      </c>
      <c r="K1381" s="71" t="s">
        <v>220</v>
      </c>
      <c r="L1381" t="s">
        <v>1378</v>
      </c>
      <c r="M1381" t="str">
        <f t="shared" si="107"/>
        <v>15</v>
      </c>
      <c r="N1381" t="str">
        <f t="shared" si="108"/>
        <v>03</v>
      </c>
      <c r="O1381" t="str">
        <f t="shared" si="105"/>
        <v>2025</v>
      </c>
      <c r="P1381" t="str">
        <f t="shared" si="109"/>
        <v>15-03-2025</v>
      </c>
    </row>
    <row r="1382" spans="2:16" x14ac:dyDescent="0.3">
      <c r="B1382" s="70">
        <v>45731</v>
      </c>
      <c r="C1382" s="70">
        <f t="shared" si="106"/>
        <v>45717</v>
      </c>
      <c r="D1382" s="94">
        <v>2000</v>
      </c>
      <c r="E1382" s="94">
        <v>0</v>
      </c>
      <c r="F1382" s="92" t="s">
        <v>3824</v>
      </c>
      <c r="G1382" s="75"/>
      <c r="H1382" s="92" t="s">
        <v>589</v>
      </c>
      <c r="I1382" s="92" t="s">
        <v>3893</v>
      </c>
      <c r="K1382" s="71" t="s">
        <v>511</v>
      </c>
      <c r="L1382" t="s">
        <v>1499</v>
      </c>
      <c r="M1382" t="str">
        <f t="shared" si="107"/>
        <v>15</v>
      </c>
      <c r="N1382" t="str">
        <f t="shared" si="108"/>
        <v>03</v>
      </c>
      <c r="O1382" t="str">
        <f t="shared" si="105"/>
        <v>2025</v>
      </c>
      <c r="P1382" t="str">
        <f t="shared" si="109"/>
        <v>15-03-2025</v>
      </c>
    </row>
    <row r="1383" spans="2:16" x14ac:dyDescent="0.3">
      <c r="B1383" s="70">
        <v>45731</v>
      </c>
      <c r="C1383" s="70">
        <f t="shared" si="106"/>
        <v>45717</v>
      </c>
      <c r="D1383" s="94">
        <v>44</v>
      </c>
      <c r="E1383" s="94">
        <v>0</v>
      </c>
      <c r="F1383" s="92" t="s">
        <v>3825</v>
      </c>
      <c r="G1383" s="75"/>
      <c r="H1383" s="92" t="s">
        <v>589</v>
      </c>
      <c r="I1383" s="92" t="s">
        <v>3893</v>
      </c>
      <c r="K1383" s="71" t="s">
        <v>511</v>
      </c>
      <c r="L1383" t="s">
        <v>1500</v>
      </c>
      <c r="M1383" t="str">
        <f t="shared" si="107"/>
        <v>15</v>
      </c>
      <c r="N1383" t="str">
        <f t="shared" si="108"/>
        <v>03</v>
      </c>
      <c r="O1383" t="str">
        <f t="shared" si="105"/>
        <v>2025</v>
      </c>
      <c r="P1383" t="str">
        <f t="shared" si="109"/>
        <v>15-03-2025</v>
      </c>
    </row>
    <row r="1384" spans="2:16" x14ac:dyDescent="0.3">
      <c r="B1384" s="70">
        <v>45731</v>
      </c>
      <c r="C1384" s="70">
        <f t="shared" si="106"/>
        <v>45717</v>
      </c>
      <c r="D1384" s="94">
        <v>250</v>
      </c>
      <c r="E1384" s="94">
        <v>0</v>
      </c>
      <c r="F1384" s="92" t="s">
        <v>3826</v>
      </c>
      <c r="G1384" s="75"/>
      <c r="H1384" s="92" t="s">
        <v>589</v>
      </c>
      <c r="I1384" s="92" t="s">
        <v>3892</v>
      </c>
      <c r="K1384" s="71" t="s">
        <v>511</v>
      </c>
      <c r="L1384" t="s">
        <v>2483</v>
      </c>
      <c r="M1384" t="str">
        <f t="shared" si="107"/>
        <v>15</v>
      </c>
      <c r="N1384" t="str">
        <f t="shared" si="108"/>
        <v>03</v>
      </c>
      <c r="O1384" t="str">
        <f t="shared" si="105"/>
        <v>2025</v>
      </c>
      <c r="P1384" t="str">
        <f t="shared" si="109"/>
        <v>15-03-2025</v>
      </c>
    </row>
    <row r="1385" spans="2:16" x14ac:dyDescent="0.3">
      <c r="B1385" s="70">
        <v>45731</v>
      </c>
      <c r="C1385" s="70">
        <f t="shared" si="106"/>
        <v>45717</v>
      </c>
      <c r="D1385" s="94">
        <v>26</v>
      </c>
      <c r="E1385" s="94">
        <v>0</v>
      </c>
      <c r="F1385" s="92" t="s">
        <v>3827</v>
      </c>
      <c r="G1385" s="75"/>
      <c r="H1385" s="92" t="s">
        <v>589</v>
      </c>
      <c r="I1385" s="92" t="s">
        <v>3892</v>
      </c>
      <c r="K1385" s="71" t="s">
        <v>511</v>
      </c>
      <c r="L1385" t="s">
        <v>2485</v>
      </c>
      <c r="M1385" t="str">
        <f t="shared" si="107"/>
        <v>15</v>
      </c>
      <c r="N1385" t="str">
        <f t="shared" si="108"/>
        <v>03</v>
      </c>
      <c r="O1385" t="str">
        <f t="shared" si="105"/>
        <v>2025</v>
      </c>
      <c r="P1385" t="str">
        <f t="shared" si="109"/>
        <v>15-03-2025</v>
      </c>
    </row>
    <row r="1386" spans="2:16" x14ac:dyDescent="0.3">
      <c r="B1386" s="70">
        <v>45731</v>
      </c>
      <c r="C1386" s="70">
        <f t="shared" si="106"/>
        <v>45717</v>
      </c>
      <c r="D1386" s="94">
        <v>0</v>
      </c>
      <c r="E1386" s="94">
        <v>2</v>
      </c>
      <c r="F1386" s="92" t="s">
        <v>3828</v>
      </c>
      <c r="G1386" s="75"/>
      <c r="H1386" s="92" t="s">
        <v>589</v>
      </c>
      <c r="I1386" s="92" t="s">
        <v>3892</v>
      </c>
      <c r="K1386" s="71" t="s">
        <v>511</v>
      </c>
      <c r="L1386" t="s">
        <v>2487</v>
      </c>
      <c r="M1386" t="str">
        <f t="shared" si="107"/>
        <v>15</v>
      </c>
      <c r="N1386" t="str">
        <f t="shared" si="108"/>
        <v>03</v>
      </c>
      <c r="O1386" t="str">
        <f t="shared" si="105"/>
        <v>2025</v>
      </c>
      <c r="P1386" t="str">
        <f t="shared" si="109"/>
        <v>15-03-2025</v>
      </c>
    </row>
    <row r="1387" spans="2:16" x14ac:dyDescent="0.3">
      <c r="B1387" s="70">
        <v>45731</v>
      </c>
      <c r="C1387" s="70">
        <f t="shared" si="106"/>
        <v>45717</v>
      </c>
      <c r="D1387" s="94">
        <v>0</v>
      </c>
      <c r="E1387" s="94">
        <v>5</v>
      </c>
      <c r="F1387" s="92" t="s">
        <v>3829</v>
      </c>
      <c r="G1387" s="75"/>
      <c r="H1387" s="92" t="s">
        <v>589</v>
      </c>
      <c r="I1387" s="92" t="s">
        <v>3892</v>
      </c>
      <c r="K1387" s="71" t="s">
        <v>511</v>
      </c>
      <c r="L1387" t="s">
        <v>2489</v>
      </c>
      <c r="M1387" t="str">
        <f t="shared" si="107"/>
        <v>15</v>
      </c>
      <c r="N1387" t="str">
        <f t="shared" si="108"/>
        <v>03</v>
      </c>
      <c r="O1387" t="str">
        <f t="shared" si="105"/>
        <v>2025</v>
      </c>
      <c r="P1387" t="str">
        <f t="shared" si="109"/>
        <v>15-03-2025</v>
      </c>
    </row>
    <row r="1388" spans="2:16" x14ac:dyDescent="0.3">
      <c r="B1388" s="70">
        <v>45733</v>
      </c>
      <c r="C1388" s="70">
        <f t="shared" si="106"/>
        <v>45717</v>
      </c>
      <c r="D1388" s="94">
        <v>433.76</v>
      </c>
      <c r="E1388" s="94">
        <v>0</v>
      </c>
      <c r="F1388" s="92" t="s">
        <v>3830</v>
      </c>
      <c r="G1388" s="75"/>
      <c r="H1388" s="92" t="s">
        <v>3881</v>
      </c>
      <c r="I1388" s="92" t="s">
        <v>3889</v>
      </c>
      <c r="K1388" s="71" t="s">
        <v>217</v>
      </c>
      <c r="L1388" t="s">
        <v>30</v>
      </c>
      <c r="M1388" t="str">
        <f t="shared" si="107"/>
        <v>17</v>
      </c>
      <c r="N1388" t="str">
        <f t="shared" si="108"/>
        <v>03</v>
      </c>
      <c r="O1388" t="str">
        <f t="shared" si="105"/>
        <v>2025</v>
      </c>
      <c r="P1388" t="str">
        <f t="shared" si="109"/>
        <v>17-03-2025</v>
      </c>
    </row>
    <row r="1389" spans="2:16" x14ac:dyDescent="0.3">
      <c r="B1389" s="70">
        <v>45733</v>
      </c>
      <c r="C1389" s="70">
        <f t="shared" si="106"/>
        <v>45717</v>
      </c>
      <c r="D1389" s="94">
        <v>4457.45</v>
      </c>
      <c r="E1389" s="94">
        <v>0</v>
      </c>
      <c r="F1389" s="92" t="s">
        <v>3830</v>
      </c>
      <c r="G1389" s="75"/>
      <c r="H1389" s="92" t="s">
        <v>3881</v>
      </c>
      <c r="I1389" s="92" t="s">
        <v>3889</v>
      </c>
      <c r="K1389" s="71" t="s">
        <v>217</v>
      </c>
      <c r="L1389" t="s">
        <v>30</v>
      </c>
      <c r="M1389" t="str">
        <f t="shared" si="107"/>
        <v>17</v>
      </c>
      <c r="N1389" t="str">
        <f t="shared" si="108"/>
        <v>03</v>
      </c>
      <c r="O1389" t="str">
        <f t="shared" si="105"/>
        <v>2025</v>
      </c>
      <c r="P1389" t="str">
        <f t="shared" si="109"/>
        <v>17-03-2025</v>
      </c>
    </row>
    <row r="1390" spans="2:16" x14ac:dyDescent="0.3">
      <c r="B1390" s="70">
        <v>45733</v>
      </c>
      <c r="C1390" s="70">
        <f t="shared" si="106"/>
        <v>45717</v>
      </c>
      <c r="D1390" s="94">
        <v>308.7</v>
      </c>
      <c r="E1390" s="94">
        <v>0</v>
      </c>
      <c r="F1390" s="92" t="s">
        <v>3831</v>
      </c>
      <c r="G1390" s="75"/>
      <c r="H1390" s="92" t="s">
        <v>589</v>
      </c>
      <c r="I1390" s="92" t="s">
        <v>3893</v>
      </c>
      <c r="K1390" s="71" t="s">
        <v>511</v>
      </c>
      <c r="L1390" t="s">
        <v>1501</v>
      </c>
      <c r="M1390" t="str">
        <f t="shared" si="107"/>
        <v>17</v>
      </c>
      <c r="N1390" t="str">
        <f t="shared" si="108"/>
        <v>03</v>
      </c>
      <c r="O1390" t="str">
        <f t="shared" si="105"/>
        <v>2025</v>
      </c>
      <c r="P1390" t="str">
        <f t="shared" si="109"/>
        <v>17-03-2025</v>
      </c>
    </row>
    <row r="1391" spans="2:16" x14ac:dyDescent="0.3">
      <c r="B1391" s="70">
        <v>45733</v>
      </c>
      <c r="C1391" s="70">
        <f t="shared" si="106"/>
        <v>45717</v>
      </c>
      <c r="D1391" s="94">
        <v>950</v>
      </c>
      <c r="E1391" s="94">
        <v>0</v>
      </c>
      <c r="F1391" s="92" t="s">
        <v>3832</v>
      </c>
      <c r="G1391" s="75"/>
      <c r="H1391" s="92" t="s">
        <v>589</v>
      </c>
      <c r="I1391" s="92" t="s">
        <v>3893</v>
      </c>
      <c r="K1391" s="71" t="s">
        <v>511</v>
      </c>
      <c r="L1391" t="s">
        <v>1502</v>
      </c>
      <c r="M1391" t="str">
        <f t="shared" si="107"/>
        <v>17</v>
      </c>
      <c r="N1391" t="str">
        <f t="shared" si="108"/>
        <v>03</v>
      </c>
      <c r="O1391" t="str">
        <f t="shared" si="105"/>
        <v>2025</v>
      </c>
      <c r="P1391" t="str">
        <f t="shared" si="109"/>
        <v>17-03-2025</v>
      </c>
    </row>
    <row r="1392" spans="2:16" x14ac:dyDescent="0.3">
      <c r="B1392" s="70">
        <v>45733</v>
      </c>
      <c r="C1392" s="70">
        <f t="shared" si="106"/>
        <v>45717</v>
      </c>
      <c r="D1392" s="94">
        <v>100</v>
      </c>
      <c r="E1392" s="94">
        <v>0</v>
      </c>
      <c r="F1392" s="92" t="s">
        <v>3833</v>
      </c>
      <c r="G1392" s="75"/>
      <c r="H1392" s="92" t="s">
        <v>589</v>
      </c>
      <c r="I1392" s="92" t="s">
        <v>3892</v>
      </c>
      <c r="K1392" s="71" t="s">
        <v>511</v>
      </c>
      <c r="L1392" t="s">
        <v>2491</v>
      </c>
      <c r="M1392" t="str">
        <f t="shared" si="107"/>
        <v>17</v>
      </c>
      <c r="N1392" t="str">
        <f t="shared" si="108"/>
        <v>03</v>
      </c>
      <c r="O1392" t="str">
        <f t="shared" si="105"/>
        <v>2025</v>
      </c>
      <c r="P1392" t="str">
        <f t="shared" si="109"/>
        <v>17-03-2025</v>
      </c>
    </row>
    <row r="1393" spans="2:16" x14ac:dyDescent="0.3">
      <c r="B1393" s="70">
        <v>45734</v>
      </c>
      <c r="C1393" s="70">
        <f t="shared" si="106"/>
        <v>45717</v>
      </c>
      <c r="D1393" s="94">
        <v>0</v>
      </c>
      <c r="E1393" s="94">
        <v>69302.36</v>
      </c>
      <c r="F1393" s="92" t="s">
        <v>3834</v>
      </c>
      <c r="G1393" s="75"/>
      <c r="H1393" s="92" t="s">
        <v>3881</v>
      </c>
      <c r="I1393" s="92" t="s">
        <v>3889</v>
      </c>
      <c r="K1393" s="71" t="s">
        <v>2523</v>
      </c>
      <c r="L1393" t="s">
        <v>1381</v>
      </c>
      <c r="M1393" t="str">
        <f t="shared" si="107"/>
        <v>18</v>
      </c>
      <c r="N1393" t="str">
        <f t="shared" si="108"/>
        <v>03</v>
      </c>
      <c r="O1393" t="str">
        <f t="shared" si="105"/>
        <v>2025</v>
      </c>
      <c r="P1393" t="str">
        <f t="shared" si="109"/>
        <v>18-03-2025</v>
      </c>
    </row>
    <row r="1394" spans="2:16" x14ac:dyDescent="0.3">
      <c r="B1394" s="70">
        <v>45734</v>
      </c>
      <c r="C1394" s="70">
        <f t="shared" si="106"/>
        <v>45717</v>
      </c>
      <c r="D1394" s="94">
        <v>106.86</v>
      </c>
      <c r="E1394" s="94">
        <v>0</v>
      </c>
      <c r="F1394" s="92" t="s">
        <v>3835</v>
      </c>
      <c r="G1394" s="75"/>
      <c r="H1394" s="92" t="s">
        <v>3881</v>
      </c>
      <c r="I1394" s="92" t="s">
        <v>3889</v>
      </c>
      <c r="K1394" s="71" t="s">
        <v>217</v>
      </c>
      <c r="L1394" t="s">
        <v>30</v>
      </c>
      <c r="M1394" t="str">
        <f t="shared" si="107"/>
        <v>18</v>
      </c>
      <c r="N1394" t="str">
        <f t="shared" si="108"/>
        <v>03</v>
      </c>
      <c r="O1394" t="str">
        <f t="shared" si="105"/>
        <v>2025</v>
      </c>
      <c r="P1394" t="str">
        <f t="shared" si="109"/>
        <v>18-03-2025</v>
      </c>
    </row>
    <row r="1395" spans="2:16" x14ac:dyDescent="0.3">
      <c r="B1395" s="70">
        <v>45734</v>
      </c>
      <c r="C1395" s="70">
        <f t="shared" si="106"/>
        <v>45717</v>
      </c>
      <c r="D1395" s="94">
        <v>786.89</v>
      </c>
      <c r="E1395" s="94">
        <v>0</v>
      </c>
      <c r="F1395" s="92" t="s">
        <v>3835</v>
      </c>
      <c r="G1395" s="75"/>
      <c r="H1395" s="92" t="s">
        <v>3881</v>
      </c>
      <c r="I1395" s="92" t="s">
        <v>3889</v>
      </c>
      <c r="K1395" s="71" t="s">
        <v>217</v>
      </c>
      <c r="L1395" t="s">
        <v>30</v>
      </c>
      <c r="M1395" t="str">
        <f t="shared" si="107"/>
        <v>18</v>
      </c>
      <c r="N1395" t="str">
        <f t="shared" si="108"/>
        <v>03</v>
      </c>
      <c r="O1395" t="str">
        <f t="shared" si="105"/>
        <v>2025</v>
      </c>
      <c r="P1395" t="str">
        <f t="shared" si="109"/>
        <v>18-03-2025</v>
      </c>
    </row>
    <row r="1396" spans="2:16" x14ac:dyDescent="0.3">
      <c r="B1396" s="70">
        <v>45734</v>
      </c>
      <c r="C1396" s="70">
        <f t="shared" si="106"/>
        <v>45717</v>
      </c>
      <c r="D1396" s="94">
        <v>1000</v>
      </c>
      <c r="E1396" s="94">
        <v>0</v>
      </c>
      <c r="F1396" s="92" t="s">
        <v>3836</v>
      </c>
      <c r="G1396" s="75"/>
      <c r="H1396" s="92" t="s">
        <v>589</v>
      </c>
      <c r="I1396" s="92" t="s">
        <v>3893</v>
      </c>
      <c r="K1396" s="71" t="s">
        <v>511</v>
      </c>
      <c r="L1396" t="s">
        <v>1503</v>
      </c>
      <c r="M1396" t="str">
        <f t="shared" si="107"/>
        <v>18</v>
      </c>
      <c r="N1396" t="str">
        <f t="shared" si="108"/>
        <v>03</v>
      </c>
      <c r="O1396" t="str">
        <f t="shared" si="105"/>
        <v>2025</v>
      </c>
      <c r="P1396" t="str">
        <f t="shared" si="109"/>
        <v>18-03-2025</v>
      </c>
    </row>
    <row r="1397" spans="2:16" x14ac:dyDescent="0.3">
      <c r="B1397" s="70">
        <v>45735</v>
      </c>
      <c r="C1397" s="70">
        <f t="shared" si="106"/>
        <v>45717</v>
      </c>
      <c r="D1397" s="94">
        <v>111.66</v>
      </c>
      <c r="E1397" s="94">
        <v>0</v>
      </c>
      <c r="F1397" s="92" t="s">
        <v>3837</v>
      </c>
      <c r="G1397" s="75"/>
      <c r="H1397" s="92" t="s">
        <v>3881</v>
      </c>
      <c r="I1397" s="92" t="s">
        <v>3889</v>
      </c>
      <c r="K1397" s="71" t="s">
        <v>217</v>
      </c>
      <c r="L1397" t="s">
        <v>30</v>
      </c>
      <c r="M1397" t="str">
        <f t="shared" si="107"/>
        <v>19</v>
      </c>
      <c r="N1397" t="str">
        <f t="shared" si="108"/>
        <v>03</v>
      </c>
      <c r="O1397" t="str">
        <f t="shared" si="105"/>
        <v>2025</v>
      </c>
      <c r="P1397" t="str">
        <f t="shared" si="109"/>
        <v>19-03-2025</v>
      </c>
    </row>
    <row r="1398" spans="2:16" x14ac:dyDescent="0.3">
      <c r="B1398" s="70">
        <v>45735</v>
      </c>
      <c r="C1398" s="70">
        <f t="shared" si="106"/>
        <v>45717</v>
      </c>
      <c r="D1398" s="94">
        <v>12413.43</v>
      </c>
      <c r="E1398" s="94">
        <v>0</v>
      </c>
      <c r="F1398" s="92" t="s">
        <v>3837</v>
      </c>
      <c r="G1398" s="75"/>
      <c r="H1398" s="92" t="s">
        <v>3881</v>
      </c>
      <c r="I1398" s="92" t="s">
        <v>3889</v>
      </c>
      <c r="K1398" s="71" t="s">
        <v>217</v>
      </c>
      <c r="L1398" t="s">
        <v>30</v>
      </c>
      <c r="M1398" t="str">
        <f t="shared" si="107"/>
        <v>19</v>
      </c>
      <c r="N1398" t="str">
        <f t="shared" si="108"/>
        <v>03</v>
      </c>
      <c r="O1398" t="str">
        <f t="shared" si="105"/>
        <v>2025</v>
      </c>
      <c r="P1398" t="str">
        <f t="shared" si="109"/>
        <v>19-03-2025</v>
      </c>
    </row>
    <row r="1399" spans="2:16" x14ac:dyDescent="0.3">
      <c r="B1399" s="70">
        <v>45736</v>
      </c>
      <c r="C1399" s="70">
        <f t="shared" si="106"/>
        <v>45717</v>
      </c>
      <c r="D1399" s="94">
        <v>40000</v>
      </c>
      <c r="E1399" s="94">
        <v>0</v>
      </c>
      <c r="F1399" s="92" t="s">
        <v>3838</v>
      </c>
      <c r="G1399" s="75"/>
      <c r="H1399" s="92" t="s">
        <v>3886</v>
      </c>
      <c r="I1399" s="92" t="s">
        <v>3889</v>
      </c>
      <c r="K1399" s="71" t="s">
        <v>225</v>
      </c>
      <c r="L1399" t="s">
        <v>959</v>
      </c>
      <c r="M1399" t="str">
        <f t="shared" si="107"/>
        <v>20</v>
      </c>
      <c r="N1399" t="str">
        <f t="shared" si="108"/>
        <v>03</v>
      </c>
      <c r="O1399" t="str">
        <f t="shared" si="105"/>
        <v>2025</v>
      </c>
      <c r="P1399" t="str">
        <f t="shared" si="109"/>
        <v>20-03-2025</v>
      </c>
    </row>
    <row r="1400" spans="2:16" x14ac:dyDescent="0.3">
      <c r="B1400" s="70">
        <v>45736</v>
      </c>
      <c r="C1400" s="70">
        <f t="shared" si="106"/>
        <v>45717</v>
      </c>
      <c r="D1400" s="94">
        <v>113.22</v>
      </c>
      <c r="E1400" s="94">
        <v>0</v>
      </c>
      <c r="F1400" s="92" t="s">
        <v>3839</v>
      </c>
      <c r="G1400" s="75"/>
      <c r="H1400" s="92" t="s">
        <v>3881</v>
      </c>
      <c r="I1400" s="92" t="s">
        <v>3889</v>
      </c>
      <c r="K1400" s="71" t="s">
        <v>217</v>
      </c>
      <c r="L1400" t="s">
        <v>30</v>
      </c>
      <c r="M1400" t="str">
        <f t="shared" si="107"/>
        <v>20</v>
      </c>
      <c r="N1400" t="str">
        <f t="shared" si="108"/>
        <v>03</v>
      </c>
      <c r="O1400" t="str">
        <f t="shared" si="105"/>
        <v>2025</v>
      </c>
      <c r="P1400" t="str">
        <f t="shared" si="109"/>
        <v>20-03-2025</v>
      </c>
    </row>
    <row r="1401" spans="2:16" x14ac:dyDescent="0.3">
      <c r="B1401" s="70">
        <v>45737</v>
      </c>
      <c r="C1401" s="70">
        <f t="shared" si="106"/>
        <v>45717</v>
      </c>
      <c r="D1401" s="94">
        <v>0</v>
      </c>
      <c r="E1401" s="94">
        <v>1261.94</v>
      </c>
      <c r="F1401" s="92" t="s">
        <v>3840</v>
      </c>
      <c r="G1401" s="75"/>
      <c r="H1401" s="92" t="s">
        <v>3881</v>
      </c>
      <c r="I1401" s="92" t="s">
        <v>3889</v>
      </c>
      <c r="K1401" s="71" t="s">
        <v>2523</v>
      </c>
      <c r="L1401" t="s">
        <v>1389</v>
      </c>
      <c r="M1401" t="str">
        <f t="shared" si="107"/>
        <v>21</v>
      </c>
      <c r="N1401" t="str">
        <f t="shared" si="108"/>
        <v>03</v>
      </c>
      <c r="O1401" t="str">
        <f t="shared" si="105"/>
        <v>2025</v>
      </c>
      <c r="P1401" t="str">
        <f t="shared" si="109"/>
        <v>21-03-2025</v>
      </c>
    </row>
    <row r="1402" spans="2:16" x14ac:dyDescent="0.3">
      <c r="B1402" s="70">
        <v>45737</v>
      </c>
      <c r="C1402" s="70">
        <f t="shared" si="106"/>
        <v>45717</v>
      </c>
      <c r="D1402" s="94">
        <v>20000</v>
      </c>
      <c r="E1402" s="94">
        <v>0</v>
      </c>
      <c r="F1402" s="92" t="s">
        <v>3841</v>
      </c>
      <c r="G1402" s="75"/>
      <c r="H1402" s="92" t="s">
        <v>3885</v>
      </c>
      <c r="I1402" s="92" t="s">
        <v>3889</v>
      </c>
      <c r="K1402" s="71" t="s">
        <v>2518</v>
      </c>
      <c r="L1402" t="s">
        <v>1391</v>
      </c>
      <c r="M1402" t="str">
        <f t="shared" si="107"/>
        <v>21</v>
      </c>
      <c r="N1402" t="str">
        <f t="shared" si="108"/>
        <v>03</v>
      </c>
      <c r="O1402" t="str">
        <f t="shared" si="105"/>
        <v>2025</v>
      </c>
      <c r="P1402" t="str">
        <f t="shared" si="109"/>
        <v>21-03-2025</v>
      </c>
    </row>
    <row r="1403" spans="2:16" x14ac:dyDescent="0.3">
      <c r="B1403" s="70">
        <v>45737</v>
      </c>
      <c r="C1403" s="70">
        <f t="shared" si="106"/>
        <v>45717</v>
      </c>
      <c r="D1403" s="94">
        <v>17757.86</v>
      </c>
      <c r="E1403" s="94">
        <v>0</v>
      </c>
      <c r="F1403" s="92" t="s">
        <v>3842</v>
      </c>
      <c r="G1403" s="75"/>
      <c r="H1403" s="92" t="s">
        <v>3881</v>
      </c>
      <c r="I1403" s="92" t="s">
        <v>3889</v>
      </c>
      <c r="K1403" s="71" t="s">
        <v>217</v>
      </c>
      <c r="L1403" t="s">
        <v>30</v>
      </c>
      <c r="M1403" t="str">
        <f t="shared" si="107"/>
        <v>21</v>
      </c>
      <c r="N1403" t="str">
        <f t="shared" si="108"/>
        <v>03</v>
      </c>
      <c r="O1403" t="str">
        <f t="shared" si="105"/>
        <v>2025</v>
      </c>
      <c r="P1403" t="str">
        <f t="shared" si="109"/>
        <v>21-03-2025</v>
      </c>
    </row>
    <row r="1404" spans="2:16" x14ac:dyDescent="0.3">
      <c r="B1404" s="70">
        <v>45737</v>
      </c>
      <c r="C1404" s="70">
        <f t="shared" si="106"/>
        <v>45717</v>
      </c>
      <c r="D1404" s="94">
        <v>0</v>
      </c>
      <c r="E1404" s="94">
        <v>16316.42</v>
      </c>
      <c r="F1404" s="92" t="s">
        <v>3843</v>
      </c>
      <c r="G1404" s="75"/>
      <c r="H1404" s="92" t="s">
        <v>3881</v>
      </c>
      <c r="I1404" s="92" t="s">
        <v>3889</v>
      </c>
      <c r="K1404" s="71" t="s">
        <v>217</v>
      </c>
      <c r="L1404" t="s">
        <v>34</v>
      </c>
      <c r="M1404" t="str">
        <f t="shared" si="107"/>
        <v>21</v>
      </c>
      <c r="N1404" t="str">
        <f t="shared" si="108"/>
        <v>03</v>
      </c>
      <c r="O1404" t="str">
        <f t="shared" si="105"/>
        <v>2025</v>
      </c>
      <c r="P1404" t="str">
        <f t="shared" si="109"/>
        <v>21-03-2025</v>
      </c>
    </row>
    <row r="1405" spans="2:16" x14ac:dyDescent="0.3">
      <c r="B1405" s="70">
        <v>45737</v>
      </c>
      <c r="C1405" s="70">
        <f t="shared" si="106"/>
        <v>45717</v>
      </c>
      <c r="D1405" s="94">
        <v>224</v>
      </c>
      <c r="E1405" s="94">
        <v>0</v>
      </c>
      <c r="F1405" s="92" t="s">
        <v>3844</v>
      </c>
      <c r="G1405" s="75"/>
      <c r="H1405" s="92" t="s">
        <v>589</v>
      </c>
      <c r="I1405" s="92" t="s">
        <v>3893</v>
      </c>
      <c r="K1405" s="71" t="s">
        <v>511</v>
      </c>
      <c r="L1405" t="s">
        <v>1504</v>
      </c>
      <c r="M1405" t="str">
        <f t="shared" si="107"/>
        <v>21</v>
      </c>
      <c r="N1405" t="str">
        <f t="shared" si="108"/>
        <v>03</v>
      </c>
      <c r="O1405" t="str">
        <f t="shared" si="105"/>
        <v>2025</v>
      </c>
      <c r="P1405" t="str">
        <f t="shared" si="109"/>
        <v>21-03-2025</v>
      </c>
    </row>
    <row r="1406" spans="2:16" x14ac:dyDescent="0.3">
      <c r="B1406" s="70">
        <v>45738</v>
      </c>
      <c r="C1406" s="70">
        <f t="shared" si="106"/>
        <v>45717</v>
      </c>
      <c r="D1406" s="94">
        <v>156</v>
      </c>
      <c r="E1406" s="94">
        <v>0</v>
      </c>
      <c r="F1406" s="92" t="s">
        <v>3845</v>
      </c>
      <c r="G1406" s="75"/>
      <c r="H1406" s="92" t="s">
        <v>589</v>
      </c>
      <c r="I1406" s="92" t="s">
        <v>3893</v>
      </c>
      <c r="K1406" s="71" t="s">
        <v>511</v>
      </c>
      <c r="L1406" t="s">
        <v>1505</v>
      </c>
      <c r="M1406" t="str">
        <f t="shared" si="107"/>
        <v>22</v>
      </c>
      <c r="N1406" t="str">
        <f t="shared" si="108"/>
        <v>03</v>
      </c>
      <c r="O1406" t="str">
        <f t="shared" si="105"/>
        <v>2025</v>
      </c>
      <c r="P1406" t="str">
        <f t="shared" si="109"/>
        <v>22-03-2025</v>
      </c>
    </row>
    <row r="1407" spans="2:16" x14ac:dyDescent="0.3">
      <c r="B1407" s="70">
        <v>45738</v>
      </c>
      <c r="C1407" s="70">
        <f t="shared" si="106"/>
        <v>45717</v>
      </c>
      <c r="D1407" s="94">
        <v>272.5</v>
      </c>
      <c r="E1407" s="94">
        <v>0</v>
      </c>
      <c r="F1407" s="92" t="s">
        <v>3846</v>
      </c>
      <c r="G1407" s="75"/>
      <c r="H1407" s="92" t="s">
        <v>589</v>
      </c>
      <c r="I1407" s="92" t="s">
        <v>3893</v>
      </c>
      <c r="K1407" s="71" t="s">
        <v>511</v>
      </c>
      <c r="L1407" t="s">
        <v>1506</v>
      </c>
      <c r="M1407" t="str">
        <f t="shared" si="107"/>
        <v>22</v>
      </c>
      <c r="N1407" t="str">
        <f t="shared" si="108"/>
        <v>03</v>
      </c>
      <c r="O1407" t="str">
        <f t="shared" si="105"/>
        <v>2025</v>
      </c>
      <c r="P1407" t="str">
        <f t="shared" si="109"/>
        <v>22-03-2025</v>
      </c>
    </row>
    <row r="1408" spans="2:16" x14ac:dyDescent="0.3">
      <c r="B1408" s="70">
        <v>45739</v>
      </c>
      <c r="C1408" s="70">
        <f t="shared" si="106"/>
        <v>45717</v>
      </c>
      <c r="D1408" s="94">
        <v>35</v>
      </c>
      <c r="E1408" s="94">
        <v>0</v>
      </c>
      <c r="F1408" s="92" t="s">
        <v>3847</v>
      </c>
      <c r="G1408" s="75"/>
      <c r="H1408" s="92" t="s">
        <v>589</v>
      </c>
      <c r="I1408" s="92" t="s">
        <v>3893</v>
      </c>
      <c r="K1408" s="71" t="s">
        <v>511</v>
      </c>
      <c r="L1408" t="s">
        <v>1507</v>
      </c>
      <c r="M1408" t="str">
        <f t="shared" si="107"/>
        <v>23</v>
      </c>
      <c r="N1408" t="str">
        <f t="shared" si="108"/>
        <v>03</v>
      </c>
      <c r="O1408" t="str">
        <f t="shared" si="105"/>
        <v>2025</v>
      </c>
      <c r="P1408" t="str">
        <f t="shared" si="109"/>
        <v>23-03-2025</v>
      </c>
    </row>
    <row r="1409" spans="2:16" x14ac:dyDescent="0.3">
      <c r="B1409" s="70">
        <v>45739</v>
      </c>
      <c r="C1409" s="70">
        <f t="shared" si="106"/>
        <v>45717</v>
      </c>
      <c r="D1409" s="94">
        <v>110</v>
      </c>
      <c r="E1409" s="94">
        <v>0</v>
      </c>
      <c r="F1409" s="92" t="s">
        <v>3848</v>
      </c>
      <c r="G1409" s="75"/>
      <c r="H1409" s="92" t="s">
        <v>589</v>
      </c>
      <c r="I1409" s="92" t="s">
        <v>3892</v>
      </c>
      <c r="K1409" s="71" t="s">
        <v>511</v>
      </c>
      <c r="L1409" t="s">
        <v>2493</v>
      </c>
      <c r="M1409" t="str">
        <f t="shared" si="107"/>
        <v>23</v>
      </c>
      <c r="N1409" t="str">
        <f t="shared" si="108"/>
        <v>03</v>
      </c>
      <c r="O1409" t="str">
        <f t="shared" si="105"/>
        <v>2025</v>
      </c>
      <c r="P1409" t="str">
        <f t="shared" si="109"/>
        <v>23-03-2025</v>
      </c>
    </row>
    <row r="1410" spans="2:16" x14ac:dyDescent="0.3">
      <c r="B1410" s="70">
        <v>45740</v>
      </c>
      <c r="C1410" s="70">
        <f t="shared" si="106"/>
        <v>45717</v>
      </c>
      <c r="D1410" s="94">
        <v>395.52</v>
      </c>
      <c r="E1410" s="94">
        <v>0</v>
      </c>
      <c r="F1410" s="92" t="s">
        <v>3849</v>
      </c>
      <c r="G1410" s="75"/>
      <c r="H1410" s="92" t="s">
        <v>3881</v>
      </c>
      <c r="I1410" s="92" t="s">
        <v>3889</v>
      </c>
      <c r="K1410" s="71" t="s">
        <v>217</v>
      </c>
      <c r="L1410" t="s">
        <v>30</v>
      </c>
      <c r="M1410" t="str">
        <f t="shared" si="107"/>
        <v>24</v>
      </c>
      <c r="N1410" t="str">
        <f t="shared" si="108"/>
        <v>03</v>
      </c>
      <c r="O1410" t="str">
        <f t="shared" si="105"/>
        <v>2025</v>
      </c>
      <c r="P1410" t="str">
        <f t="shared" si="109"/>
        <v>24-03-2025</v>
      </c>
    </row>
    <row r="1411" spans="2:16" x14ac:dyDescent="0.3">
      <c r="B1411" s="70">
        <v>45740</v>
      </c>
      <c r="C1411" s="70">
        <f t="shared" si="106"/>
        <v>45717</v>
      </c>
      <c r="D1411" s="94">
        <v>3331.18</v>
      </c>
      <c r="E1411" s="94">
        <v>0</v>
      </c>
      <c r="F1411" s="92" t="s">
        <v>3849</v>
      </c>
      <c r="G1411" s="75"/>
      <c r="H1411" s="92" t="s">
        <v>3881</v>
      </c>
      <c r="I1411" s="92" t="s">
        <v>3889</v>
      </c>
      <c r="K1411" s="71" t="s">
        <v>217</v>
      </c>
      <c r="L1411" t="s">
        <v>30</v>
      </c>
      <c r="M1411" t="str">
        <f t="shared" si="107"/>
        <v>24</v>
      </c>
      <c r="N1411" t="str">
        <f t="shared" si="108"/>
        <v>03</v>
      </c>
      <c r="O1411" t="str">
        <f t="shared" ref="O1411:O1437" si="110">TEXT(B1411,"YYYY")</f>
        <v>2025</v>
      </c>
      <c r="P1411" t="str">
        <f t="shared" si="109"/>
        <v>24-03-2025</v>
      </c>
    </row>
    <row r="1412" spans="2:16" x14ac:dyDescent="0.3">
      <c r="B1412" s="70">
        <v>45740</v>
      </c>
      <c r="C1412" s="70">
        <f t="shared" ref="C1412:C1437" si="111">EOMONTH(B1412,-1)+1</f>
        <v>45717</v>
      </c>
      <c r="D1412" s="94">
        <v>30</v>
      </c>
      <c r="E1412" s="94">
        <v>0</v>
      </c>
      <c r="F1412" s="92" t="s">
        <v>3850</v>
      </c>
      <c r="G1412" s="75"/>
      <c r="H1412" s="92" t="s">
        <v>589</v>
      </c>
      <c r="I1412" s="92" t="s">
        <v>3892</v>
      </c>
      <c r="K1412" s="71" t="s">
        <v>511</v>
      </c>
      <c r="L1412" t="s">
        <v>2495</v>
      </c>
      <c r="M1412" t="str">
        <f t="shared" ref="M1412:M1437" si="112">TEXT(B1412,"DD")</f>
        <v>24</v>
      </c>
      <c r="N1412" t="str">
        <f t="shared" ref="N1412:N1437" si="113">TEXT(B1412,"MM")</f>
        <v>03</v>
      </c>
      <c r="O1412" t="str">
        <f t="shared" si="110"/>
        <v>2025</v>
      </c>
      <c r="P1412" t="str">
        <f t="shared" ref="P1412:P1437" si="114">M1412&amp;"-"&amp;N1412&amp;"-"&amp;O1412</f>
        <v>24-03-2025</v>
      </c>
    </row>
    <row r="1413" spans="2:16" x14ac:dyDescent="0.3">
      <c r="B1413" s="70">
        <v>45741</v>
      </c>
      <c r="C1413" s="70">
        <f t="shared" si="111"/>
        <v>45717</v>
      </c>
      <c r="D1413" s="94">
        <v>142.22</v>
      </c>
      <c r="E1413" s="94">
        <v>0</v>
      </c>
      <c r="F1413" s="92" t="s">
        <v>3851</v>
      </c>
      <c r="G1413" s="75"/>
      <c r="H1413" s="92" t="s">
        <v>3881</v>
      </c>
      <c r="I1413" s="92" t="s">
        <v>3889</v>
      </c>
      <c r="K1413" s="71" t="s">
        <v>217</v>
      </c>
      <c r="L1413" t="s">
        <v>30</v>
      </c>
      <c r="M1413" t="str">
        <f t="shared" si="112"/>
        <v>25</v>
      </c>
      <c r="N1413" t="str">
        <f t="shared" si="113"/>
        <v>03</v>
      </c>
      <c r="O1413" t="str">
        <f t="shared" si="110"/>
        <v>2025</v>
      </c>
      <c r="P1413" t="str">
        <f t="shared" si="114"/>
        <v>25-03-2025</v>
      </c>
    </row>
    <row r="1414" spans="2:16" x14ac:dyDescent="0.3">
      <c r="B1414" s="70">
        <v>45741</v>
      </c>
      <c r="C1414" s="70">
        <f t="shared" si="111"/>
        <v>45717</v>
      </c>
      <c r="D1414" s="94">
        <v>4006.14</v>
      </c>
      <c r="E1414" s="94">
        <v>0</v>
      </c>
      <c r="F1414" s="92" t="s">
        <v>3851</v>
      </c>
      <c r="G1414" s="75"/>
      <c r="H1414" s="92" t="s">
        <v>3881</v>
      </c>
      <c r="I1414" s="92" t="s">
        <v>3889</v>
      </c>
      <c r="K1414" s="71" t="s">
        <v>217</v>
      </c>
      <c r="L1414" t="s">
        <v>30</v>
      </c>
      <c r="M1414" t="str">
        <f t="shared" si="112"/>
        <v>25</v>
      </c>
      <c r="N1414" t="str">
        <f t="shared" si="113"/>
        <v>03</v>
      </c>
      <c r="O1414" t="str">
        <f t="shared" si="110"/>
        <v>2025</v>
      </c>
      <c r="P1414" t="str">
        <f t="shared" si="114"/>
        <v>25-03-2025</v>
      </c>
    </row>
    <row r="1415" spans="2:16" x14ac:dyDescent="0.3">
      <c r="B1415" s="70">
        <v>45741</v>
      </c>
      <c r="C1415" s="70">
        <f t="shared" si="111"/>
        <v>45717</v>
      </c>
      <c r="D1415" s="94">
        <v>0</v>
      </c>
      <c r="E1415" s="94">
        <v>230</v>
      </c>
      <c r="F1415" s="92" t="s">
        <v>3852</v>
      </c>
      <c r="G1415" s="92" t="s">
        <v>753</v>
      </c>
      <c r="H1415" s="92" t="s">
        <v>227</v>
      </c>
      <c r="I1415" s="92" t="s">
        <v>3893</v>
      </c>
      <c r="K1415" s="71" t="s">
        <v>227</v>
      </c>
      <c r="L1415" t="s">
        <v>586</v>
      </c>
      <c r="M1415" t="str">
        <f t="shared" si="112"/>
        <v>25</v>
      </c>
      <c r="N1415" t="str">
        <f t="shared" si="113"/>
        <v>03</v>
      </c>
      <c r="O1415" t="str">
        <f t="shared" si="110"/>
        <v>2025</v>
      </c>
      <c r="P1415" t="str">
        <f t="shared" si="114"/>
        <v>25-03-2025</v>
      </c>
    </row>
    <row r="1416" spans="2:16" x14ac:dyDescent="0.3">
      <c r="B1416" s="70">
        <v>45741</v>
      </c>
      <c r="C1416" s="70">
        <f t="shared" si="111"/>
        <v>45717</v>
      </c>
      <c r="D1416" s="94">
        <v>210</v>
      </c>
      <c r="E1416" s="94">
        <v>0</v>
      </c>
      <c r="F1416" s="92" t="s">
        <v>3853</v>
      </c>
      <c r="G1416" s="75"/>
      <c r="H1416" s="92" t="s">
        <v>589</v>
      </c>
      <c r="I1416" s="92" t="s">
        <v>3892</v>
      </c>
      <c r="K1416" s="71" t="s">
        <v>511</v>
      </c>
      <c r="L1416" t="s">
        <v>2497</v>
      </c>
      <c r="M1416" t="str">
        <f t="shared" si="112"/>
        <v>25</v>
      </c>
      <c r="N1416" t="str">
        <f t="shared" si="113"/>
        <v>03</v>
      </c>
      <c r="O1416" t="str">
        <f t="shared" si="110"/>
        <v>2025</v>
      </c>
      <c r="P1416" t="str">
        <f t="shared" si="114"/>
        <v>25-03-2025</v>
      </c>
    </row>
    <row r="1417" spans="2:16" x14ac:dyDescent="0.3">
      <c r="B1417" s="70">
        <v>45741</v>
      </c>
      <c r="C1417" s="70">
        <f t="shared" si="111"/>
        <v>45717</v>
      </c>
      <c r="D1417" s="94">
        <v>135</v>
      </c>
      <c r="E1417" s="94">
        <v>0</v>
      </c>
      <c r="F1417" s="92" t="s">
        <v>3854</v>
      </c>
      <c r="G1417" s="75"/>
      <c r="H1417" s="92" t="s">
        <v>589</v>
      </c>
      <c r="I1417" s="92" t="s">
        <v>3892</v>
      </c>
      <c r="K1417" s="71" t="s">
        <v>511</v>
      </c>
      <c r="L1417" t="s">
        <v>2499</v>
      </c>
      <c r="M1417" t="str">
        <f t="shared" si="112"/>
        <v>25</v>
      </c>
      <c r="N1417" t="str">
        <f t="shared" si="113"/>
        <v>03</v>
      </c>
      <c r="O1417" t="str">
        <f t="shared" si="110"/>
        <v>2025</v>
      </c>
      <c r="P1417" t="str">
        <f t="shared" si="114"/>
        <v>25-03-2025</v>
      </c>
    </row>
    <row r="1418" spans="2:16" x14ac:dyDescent="0.3">
      <c r="B1418" s="70">
        <v>45741</v>
      </c>
      <c r="C1418" s="70">
        <f t="shared" si="111"/>
        <v>45717</v>
      </c>
      <c r="D1418" s="94">
        <v>72</v>
      </c>
      <c r="E1418" s="94">
        <v>0</v>
      </c>
      <c r="F1418" s="92" t="s">
        <v>3855</v>
      </c>
      <c r="G1418" s="75"/>
      <c r="H1418" s="92" t="s">
        <v>589</v>
      </c>
      <c r="I1418" s="92" t="s">
        <v>3892</v>
      </c>
      <c r="K1418" s="71" t="s">
        <v>511</v>
      </c>
      <c r="L1418" t="s">
        <v>2501</v>
      </c>
      <c r="M1418" t="str">
        <f t="shared" si="112"/>
        <v>25</v>
      </c>
      <c r="N1418" t="str">
        <f t="shared" si="113"/>
        <v>03</v>
      </c>
      <c r="O1418" t="str">
        <f t="shared" si="110"/>
        <v>2025</v>
      </c>
      <c r="P1418" t="str">
        <f t="shared" si="114"/>
        <v>25-03-2025</v>
      </c>
    </row>
    <row r="1419" spans="2:16" x14ac:dyDescent="0.3">
      <c r="B1419" s="70">
        <v>45742</v>
      </c>
      <c r="C1419" s="70">
        <f t="shared" si="111"/>
        <v>45717</v>
      </c>
      <c r="D1419" s="94">
        <v>0</v>
      </c>
      <c r="E1419" s="94">
        <v>25199.360000000001</v>
      </c>
      <c r="F1419" s="92" t="s">
        <v>3856</v>
      </c>
      <c r="G1419" s="75"/>
      <c r="H1419" s="92" t="s">
        <v>3881</v>
      </c>
      <c r="I1419" s="92" t="s">
        <v>3889</v>
      </c>
      <c r="K1419" s="71" t="s">
        <v>2523</v>
      </c>
      <c r="L1419" t="s">
        <v>1399</v>
      </c>
      <c r="M1419" t="str">
        <f t="shared" si="112"/>
        <v>26</v>
      </c>
      <c r="N1419" t="str">
        <f t="shared" si="113"/>
        <v>03</v>
      </c>
      <c r="O1419" t="str">
        <f t="shared" si="110"/>
        <v>2025</v>
      </c>
      <c r="P1419" t="str">
        <f t="shared" si="114"/>
        <v>26-03-2025</v>
      </c>
    </row>
    <row r="1420" spans="2:16" x14ac:dyDescent="0.3">
      <c r="B1420" s="70">
        <v>45742</v>
      </c>
      <c r="C1420" s="70">
        <f t="shared" si="111"/>
        <v>45717</v>
      </c>
      <c r="D1420" s="94">
        <v>149.74</v>
      </c>
      <c r="E1420" s="94">
        <v>0</v>
      </c>
      <c r="F1420" s="92" t="s">
        <v>3857</v>
      </c>
      <c r="G1420" s="75"/>
      <c r="H1420" s="92" t="s">
        <v>3881</v>
      </c>
      <c r="I1420" s="92" t="s">
        <v>3889</v>
      </c>
      <c r="K1420" s="71" t="s">
        <v>217</v>
      </c>
      <c r="L1420" t="s">
        <v>30</v>
      </c>
      <c r="M1420" t="str">
        <f t="shared" si="112"/>
        <v>26</v>
      </c>
      <c r="N1420" t="str">
        <f t="shared" si="113"/>
        <v>03</v>
      </c>
      <c r="O1420" t="str">
        <f t="shared" si="110"/>
        <v>2025</v>
      </c>
      <c r="P1420" t="str">
        <f t="shared" si="114"/>
        <v>26-03-2025</v>
      </c>
    </row>
    <row r="1421" spans="2:16" x14ac:dyDescent="0.3">
      <c r="B1421" s="70">
        <v>45742</v>
      </c>
      <c r="C1421" s="70">
        <f t="shared" si="111"/>
        <v>45717</v>
      </c>
      <c r="D1421" s="94">
        <v>3003.66</v>
      </c>
      <c r="E1421" s="94">
        <v>0</v>
      </c>
      <c r="F1421" s="92" t="s">
        <v>3857</v>
      </c>
      <c r="G1421" s="75"/>
      <c r="H1421" s="92" t="s">
        <v>3881</v>
      </c>
      <c r="I1421" s="92" t="s">
        <v>3889</v>
      </c>
      <c r="K1421" s="71" t="s">
        <v>217</v>
      </c>
      <c r="L1421" t="s">
        <v>30</v>
      </c>
      <c r="M1421" t="str">
        <f t="shared" si="112"/>
        <v>26</v>
      </c>
      <c r="N1421" t="str">
        <f t="shared" si="113"/>
        <v>03</v>
      </c>
      <c r="O1421" t="str">
        <f t="shared" si="110"/>
        <v>2025</v>
      </c>
      <c r="P1421" t="str">
        <f t="shared" si="114"/>
        <v>26-03-2025</v>
      </c>
    </row>
    <row r="1422" spans="2:16" x14ac:dyDescent="0.3">
      <c r="B1422" s="70">
        <v>45742</v>
      </c>
      <c r="C1422" s="70">
        <f t="shared" si="111"/>
        <v>45717</v>
      </c>
      <c r="D1422" s="94">
        <v>0</v>
      </c>
      <c r="E1422" s="94">
        <v>1250</v>
      </c>
      <c r="F1422" s="92" t="s">
        <v>3858</v>
      </c>
      <c r="G1422" s="75"/>
      <c r="H1422" s="92" t="s">
        <v>589</v>
      </c>
      <c r="I1422" s="92" t="s">
        <v>3892</v>
      </c>
      <c r="K1422" s="71" t="s">
        <v>511</v>
      </c>
      <c r="L1422" t="s">
        <v>2503</v>
      </c>
      <c r="M1422" t="str">
        <f t="shared" si="112"/>
        <v>26</v>
      </c>
      <c r="N1422" t="str">
        <f t="shared" si="113"/>
        <v>03</v>
      </c>
      <c r="O1422" t="str">
        <f t="shared" si="110"/>
        <v>2025</v>
      </c>
      <c r="P1422" t="str">
        <f t="shared" si="114"/>
        <v>26-03-2025</v>
      </c>
    </row>
    <row r="1423" spans="2:16" x14ac:dyDescent="0.3">
      <c r="B1423" s="70">
        <v>45743</v>
      </c>
      <c r="C1423" s="70">
        <f t="shared" si="111"/>
        <v>45717</v>
      </c>
      <c r="D1423" s="94">
        <v>148.66999999999999</v>
      </c>
      <c r="E1423" s="94">
        <v>0</v>
      </c>
      <c r="F1423" s="92" t="s">
        <v>3859</v>
      </c>
      <c r="G1423" s="75"/>
      <c r="H1423" s="92" t="s">
        <v>3881</v>
      </c>
      <c r="I1423" s="92" t="s">
        <v>3889</v>
      </c>
      <c r="K1423" s="71" t="s">
        <v>217</v>
      </c>
      <c r="L1423" t="s">
        <v>30</v>
      </c>
      <c r="M1423" t="str">
        <f t="shared" si="112"/>
        <v>27</v>
      </c>
      <c r="N1423" t="str">
        <f t="shared" si="113"/>
        <v>03</v>
      </c>
      <c r="O1423" t="str">
        <f t="shared" si="110"/>
        <v>2025</v>
      </c>
      <c r="P1423" t="str">
        <f t="shared" si="114"/>
        <v>27-03-2025</v>
      </c>
    </row>
    <row r="1424" spans="2:16" x14ac:dyDescent="0.3">
      <c r="B1424" s="70">
        <v>45743</v>
      </c>
      <c r="C1424" s="70">
        <f t="shared" si="111"/>
        <v>45717</v>
      </c>
      <c r="D1424" s="94">
        <v>0</v>
      </c>
      <c r="E1424" s="94">
        <v>7000</v>
      </c>
      <c r="F1424" s="92" t="s">
        <v>3860</v>
      </c>
      <c r="G1424" s="75"/>
      <c r="H1424" s="92" t="s">
        <v>589</v>
      </c>
      <c r="I1424" s="92" t="s">
        <v>3892</v>
      </c>
      <c r="K1424" s="71" t="s">
        <v>511</v>
      </c>
      <c r="L1424" t="s">
        <v>2505</v>
      </c>
      <c r="M1424" t="str">
        <f t="shared" si="112"/>
        <v>27</v>
      </c>
      <c r="N1424" t="str">
        <f t="shared" si="113"/>
        <v>03</v>
      </c>
      <c r="O1424" t="str">
        <f t="shared" si="110"/>
        <v>2025</v>
      </c>
      <c r="P1424" t="str">
        <f t="shared" si="114"/>
        <v>27-03-2025</v>
      </c>
    </row>
    <row r="1425" spans="2:16" x14ac:dyDescent="0.3">
      <c r="B1425" s="70">
        <v>45744</v>
      </c>
      <c r="C1425" s="70">
        <f t="shared" si="111"/>
        <v>45717</v>
      </c>
      <c r="D1425" s="94">
        <v>5000</v>
      </c>
      <c r="E1425" s="94">
        <v>0</v>
      </c>
      <c r="F1425" s="92" t="s">
        <v>3861</v>
      </c>
      <c r="G1425" s="75"/>
      <c r="H1425" s="92" t="s">
        <v>2538</v>
      </c>
      <c r="I1425" s="92" t="s">
        <v>3889</v>
      </c>
      <c r="K1425" s="71" t="s">
        <v>219</v>
      </c>
      <c r="L1425" t="s">
        <v>1404</v>
      </c>
      <c r="M1425" t="str">
        <f t="shared" si="112"/>
        <v>28</v>
      </c>
      <c r="N1425" t="str">
        <f t="shared" si="113"/>
        <v>03</v>
      </c>
      <c r="O1425" t="str">
        <f t="shared" si="110"/>
        <v>2025</v>
      </c>
      <c r="P1425" t="str">
        <f t="shared" si="114"/>
        <v>28-03-2025</v>
      </c>
    </row>
    <row r="1426" spans="2:16" x14ac:dyDescent="0.3">
      <c r="B1426" s="70">
        <v>45744</v>
      </c>
      <c r="C1426" s="70">
        <f t="shared" si="111"/>
        <v>45717</v>
      </c>
      <c r="D1426" s="94">
        <v>0</v>
      </c>
      <c r="E1426" s="94">
        <v>3885.5</v>
      </c>
      <c r="F1426" s="92" t="s">
        <v>3862</v>
      </c>
      <c r="G1426" s="75"/>
      <c r="H1426" s="92" t="s">
        <v>3881</v>
      </c>
      <c r="I1426" s="92" t="s">
        <v>3889</v>
      </c>
      <c r="K1426" s="71" t="s">
        <v>2523</v>
      </c>
      <c r="L1426" t="s">
        <v>1406</v>
      </c>
      <c r="M1426" t="str">
        <f t="shared" si="112"/>
        <v>28</v>
      </c>
      <c r="N1426" t="str">
        <f t="shared" si="113"/>
        <v>03</v>
      </c>
      <c r="O1426" t="str">
        <f t="shared" si="110"/>
        <v>2025</v>
      </c>
      <c r="P1426" t="str">
        <f t="shared" si="114"/>
        <v>28-03-2025</v>
      </c>
    </row>
    <row r="1427" spans="2:16" x14ac:dyDescent="0.3">
      <c r="B1427" s="70">
        <v>45744</v>
      </c>
      <c r="C1427" s="70">
        <f t="shared" si="111"/>
        <v>45717</v>
      </c>
      <c r="D1427" s="94">
        <v>148.66999999999999</v>
      </c>
      <c r="E1427" s="94">
        <v>0</v>
      </c>
      <c r="F1427" s="92" t="s">
        <v>3863</v>
      </c>
      <c r="G1427" s="75"/>
      <c r="H1427" s="92" t="s">
        <v>3881</v>
      </c>
      <c r="I1427" s="92" t="s">
        <v>3889</v>
      </c>
      <c r="K1427" s="71" t="s">
        <v>217</v>
      </c>
      <c r="L1427" t="s">
        <v>30</v>
      </c>
      <c r="M1427" t="str">
        <f t="shared" si="112"/>
        <v>28</v>
      </c>
      <c r="N1427" t="str">
        <f t="shared" si="113"/>
        <v>03</v>
      </c>
      <c r="O1427" t="str">
        <f t="shared" si="110"/>
        <v>2025</v>
      </c>
      <c r="P1427" t="str">
        <f t="shared" si="114"/>
        <v>28-03-2025</v>
      </c>
    </row>
    <row r="1428" spans="2:16" x14ac:dyDescent="0.3">
      <c r="B1428" s="70">
        <v>45744</v>
      </c>
      <c r="C1428" s="70">
        <f t="shared" si="111"/>
        <v>45717</v>
      </c>
      <c r="D1428" s="94">
        <v>7000</v>
      </c>
      <c r="E1428" s="94">
        <v>0</v>
      </c>
      <c r="F1428" s="92" t="s">
        <v>3864</v>
      </c>
      <c r="G1428" s="75"/>
      <c r="H1428" s="92" t="s">
        <v>2538</v>
      </c>
      <c r="I1428" s="92" t="s">
        <v>3892</v>
      </c>
      <c r="K1428" s="71" t="s">
        <v>2532</v>
      </c>
      <c r="L1428" t="s">
        <v>2507</v>
      </c>
      <c r="M1428" t="str">
        <f t="shared" si="112"/>
        <v>28</v>
      </c>
      <c r="N1428" t="str">
        <f t="shared" si="113"/>
        <v>03</v>
      </c>
      <c r="O1428" t="str">
        <f t="shared" si="110"/>
        <v>2025</v>
      </c>
      <c r="P1428" t="str">
        <f t="shared" si="114"/>
        <v>28-03-2025</v>
      </c>
    </row>
    <row r="1429" spans="2:16" x14ac:dyDescent="0.3">
      <c r="B1429" s="70">
        <v>45744</v>
      </c>
      <c r="C1429" s="70">
        <f t="shared" si="111"/>
        <v>45717</v>
      </c>
      <c r="D1429" s="94">
        <v>105</v>
      </c>
      <c r="E1429" s="94">
        <v>0</v>
      </c>
      <c r="F1429" s="92" t="s">
        <v>3865</v>
      </c>
      <c r="G1429" s="75"/>
      <c r="H1429" s="92" t="s">
        <v>589</v>
      </c>
      <c r="I1429" s="92" t="s">
        <v>3892</v>
      </c>
      <c r="K1429" s="71" t="s">
        <v>511</v>
      </c>
      <c r="L1429" t="s">
        <v>2509</v>
      </c>
      <c r="M1429" t="str">
        <f t="shared" si="112"/>
        <v>28</v>
      </c>
      <c r="N1429" t="str">
        <f t="shared" si="113"/>
        <v>03</v>
      </c>
      <c r="O1429" t="str">
        <f t="shared" si="110"/>
        <v>2025</v>
      </c>
      <c r="P1429" t="str">
        <f t="shared" si="114"/>
        <v>28-03-2025</v>
      </c>
    </row>
    <row r="1430" spans="2:16" x14ac:dyDescent="0.3">
      <c r="B1430" s="70">
        <v>45744</v>
      </c>
      <c r="C1430" s="70">
        <f t="shared" si="111"/>
        <v>45717</v>
      </c>
      <c r="D1430" s="94">
        <v>180</v>
      </c>
      <c r="E1430" s="94">
        <v>0</v>
      </c>
      <c r="F1430" s="92" t="s">
        <v>3866</v>
      </c>
      <c r="G1430" s="75"/>
      <c r="H1430" s="92" t="s">
        <v>589</v>
      </c>
      <c r="I1430" s="92" t="s">
        <v>3892</v>
      </c>
      <c r="K1430" s="71" t="s">
        <v>511</v>
      </c>
      <c r="L1430" t="s">
        <v>2511</v>
      </c>
      <c r="M1430" t="str">
        <f t="shared" si="112"/>
        <v>28</v>
      </c>
      <c r="N1430" t="str">
        <f t="shared" si="113"/>
        <v>03</v>
      </c>
      <c r="O1430" t="str">
        <f t="shared" si="110"/>
        <v>2025</v>
      </c>
      <c r="P1430" t="str">
        <f t="shared" si="114"/>
        <v>28-03-2025</v>
      </c>
    </row>
    <row r="1431" spans="2:16" x14ac:dyDescent="0.3">
      <c r="B1431" s="70">
        <v>45745</v>
      </c>
      <c r="C1431" s="70">
        <f t="shared" si="111"/>
        <v>45717</v>
      </c>
      <c r="D1431" s="94">
        <v>295</v>
      </c>
      <c r="E1431" s="94">
        <v>0</v>
      </c>
      <c r="F1431" s="92" t="s">
        <v>3867</v>
      </c>
      <c r="G1431" s="75"/>
      <c r="H1431" s="92" t="s">
        <v>221</v>
      </c>
      <c r="I1431" s="92" t="s">
        <v>3889</v>
      </c>
      <c r="K1431" s="71" t="s">
        <v>221</v>
      </c>
      <c r="L1431" t="s">
        <v>1409</v>
      </c>
      <c r="M1431" t="str">
        <f t="shared" si="112"/>
        <v>29</v>
      </c>
      <c r="N1431" t="str">
        <f t="shared" si="113"/>
        <v>03</v>
      </c>
      <c r="O1431" t="str">
        <f t="shared" si="110"/>
        <v>2025</v>
      </c>
      <c r="P1431" t="str">
        <f t="shared" si="114"/>
        <v>29-03-2025</v>
      </c>
    </row>
    <row r="1432" spans="2:16" x14ac:dyDescent="0.3">
      <c r="B1432" s="70">
        <v>45747</v>
      </c>
      <c r="C1432" s="70">
        <f t="shared" si="111"/>
        <v>45717</v>
      </c>
      <c r="D1432" s="94">
        <v>0</v>
      </c>
      <c r="E1432" s="94">
        <v>127</v>
      </c>
      <c r="F1432" s="92" t="s">
        <v>3868</v>
      </c>
      <c r="G1432" s="92" t="s">
        <v>755</v>
      </c>
      <c r="H1432" s="92" t="s">
        <v>227</v>
      </c>
      <c r="I1432" s="92" t="s">
        <v>3890</v>
      </c>
      <c r="K1432" s="71" t="s">
        <v>227</v>
      </c>
      <c r="L1432" t="s">
        <v>808</v>
      </c>
      <c r="M1432" t="str">
        <f t="shared" si="112"/>
        <v>31</v>
      </c>
      <c r="N1432" t="str">
        <f t="shared" si="113"/>
        <v>03</v>
      </c>
      <c r="O1432" t="str">
        <f t="shared" si="110"/>
        <v>2025</v>
      </c>
      <c r="P1432" t="str">
        <f t="shared" si="114"/>
        <v>31-03-2025</v>
      </c>
    </row>
    <row r="1433" spans="2:16" x14ac:dyDescent="0.3">
      <c r="B1433" s="70">
        <v>45747</v>
      </c>
      <c r="C1433" s="70">
        <f t="shared" si="111"/>
        <v>45717</v>
      </c>
      <c r="D1433" s="94">
        <v>50</v>
      </c>
      <c r="E1433" s="94">
        <v>0</v>
      </c>
      <c r="F1433" s="92" t="s">
        <v>3869</v>
      </c>
      <c r="G1433" s="75"/>
      <c r="H1433" s="92" t="s">
        <v>589</v>
      </c>
      <c r="I1433" s="92" t="s">
        <v>3892</v>
      </c>
      <c r="K1433" s="71" t="s">
        <v>511</v>
      </c>
      <c r="L1433" t="s">
        <v>2513</v>
      </c>
      <c r="M1433" t="str">
        <f t="shared" si="112"/>
        <v>31</v>
      </c>
      <c r="N1433" t="str">
        <f t="shared" si="113"/>
        <v>03</v>
      </c>
      <c r="O1433" t="str">
        <f t="shared" si="110"/>
        <v>2025</v>
      </c>
      <c r="P1433" t="str">
        <f t="shared" si="114"/>
        <v>31-03-2025</v>
      </c>
    </row>
    <row r="1434" spans="2:16" x14ac:dyDescent="0.3">
      <c r="B1434" s="70">
        <v>45747</v>
      </c>
      <c r="C1434" s="70">
        <f t="shared" si="111"/>
        <v>45717</v>
      </c>
      <c r="D1434" s="94">
        <v>7</v>
      </c>
      <c r="E1434" s="94">
        <v>0</v>
      </c>
      <c r="F1434" s="92" t="s">
        <v>3870</v>
      </c>
      <c r="G1434" s="75"/>
      <c r="H1434" s="92" t="s">
        <v>589</v>
      </c>
      <c r="I1434" s="92" t="s">
        <v>3892</v>
      </c>
      <c r="K1434" s="71" t="s">
        <v>511</v>
      </c>
      <c r="L1434" t="s">
        <v>2515</v>
      </c>
      <c r="M1434" t="str">
        <f t="shared" si="112"/>
        <v>31</v>
      </c>
      <c r="N1434" t="str">
        <f t="shared" si="113"/>
        <v>03</v>
      </c>
      <c r="O1434" t="str">
        <f t="shared" si="110"/>
        <v>2025</v>
      </c>
      <c r="P1434" t="str">
        <f t="shared" si="114"/>
        <v>31-03-2025</v>
      </c>
    </row>
    <row r="1435" spans="2:16" x14ac:dyDescent="0.3">
      <c r="B1435" s="70">
        <v>45747</v>
      </c>
      <c r="C1435" s="70">
        <f t="shared" si="111"/>
        <v>45717</v>
      </c>
      <c r="D1435" s="94">
        <v>0</v>
      </c>
      <c r="E1435" s="94">
        <v>190</v>
      </c>
      <c r="F1435" s="92" t="s">
        <v>3871</v>
      </c>
      <c r="G1435" s="92" t="s">
        <v>756</v>
      </c>
      <c r="H1435" s="92" t="s">
        <v>227</v>
      </c>
      <c r="I1435" s="92" t="s">
        <v>3892</v>
      </c>
      <c r="K1435" s="71" t="s">
        <v>227</v>
      </c>
      <c r="L1435" t="s">
        <v>2517</v>
      </c>
      <c r="M1435" t="str">
        <f t="shared" si="112"/>
        <v>31</v>
      </c>
      <c r="N1435" t="str">
        <f t="shared" si="113"/>
        <v>03</v>
      </c>
      <c r="O1435" t="str">
        <f t="shared" si="110"/>
        <v>2025</v>
      </c>
      <c r="P1435" t="str">
        <f t="shared" si="114"/>
        <v>31-03-2025</v>
      </c>
    </row>
    <row r="1436" spans="2:16" x14ac:dyDescent="0.3">
      <c r="B1436" s="70">
        <v>45747</v>
      </c>
      <c r="C1436" s="70">
        <f t="shared" si="111"/>
        <v>45717</v>
      </c>
      <c r="D1436" s="94">
        <v>0</v>
      </c>
      <c r="E1436" s="94">
        <v>541</v>
      </c>
      <c r="F1436" s="92" t="s">
        <v>3872</v>
      </c>
      <c r="G1436" s="92" t="s">
        <v>752</v>
      </c>
      <c r="H1436" s="92" t="s">
        <v>227</v>
      </c>
      <c r="I1436" s="92" t="s">
        <v>3889</v>
      </c>
      <c r="K1436" s="71" t="s">
        <v>227</v>
      </c>
      <c r="L1436" t="s">
        <v>2551</v>
      </c>
      <c r="M1436" t="str">
        <f t="shared" si="112"/>
        <v>31</v>
      </c>
      <c r="N1436" t="str">
        <f t="shared" si="113"/>
        <v>03</v>
      </c>
      <c r="O1436" t="str">
        <f t="shared" si="110"/>
        <v>2025</v>
      </c>
      <c r="P1436" t="str">
        <f t="shared" si="114"/>
        <v>31-03-2025</v>
      </c>
    </row>
    <row r="1437" spans="2:16" x14ac:dyDescent="0.3">
      <c r="B1437" s="70">
        <v>45747</v>
      </c>
      <c r="C1437" s="70">
        <f t="shared" si="111"/>
        <v>45717</v>
      </c>
      <c r="D1437" s="94">
        <v>0</v>
      </c>
      <c r="E1437" s="94">
        <v>1</v>
      </c>
      <c r="F1437" s="92" t="s">
        <v>3873</v>
      </c>
      <c r="G1437" s="92" t="s">
        <v>2573</v>
      </c>
      <c r="H1437" s="92" t="s">
        <v>227</v>
      </c>
      <c r="I1437" s="92" t="s">
        <v>3894</v>
      </c>
      <c r="K1437" s="71" t="s">
        <v>227</v>
      </c>
      <c r="L1437" t="s">
        <v>2572</v>
      </c>
      <c r="M1437" t="str">
        <f t="shared" si="112"/>
        <v>31</v>
      </c>
      <c r="N1437" t="str">
        <f t="shared" si="113"/>
        <v>03</v>
      </c>
      <c r="O1437" t="str">
        <f t="shared" si="110"/>
        <v>2025</v>
      </c>
      <c r="P1437" t="str">
        <f t="shared" si="114"/>
        <v>31-03-2025</v>
      </c>
    </row>
  </sheetData>
  <autoFilter ref="B2:P1437" xr:uid="{80CD9A85-5DFF-490B-A324-0DB2E52558B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C79C-436D-479E-B207-5052C69D5D57}">
  <dimension ref="A1:M1438"/>
  <sheetViews>
    <sheetView topLeftCell="B3" workbookViewId="0">
      <selection activeCell="J3" sqref="J3"/>
    </sheetView>
  </sheetViews>
  <sheetFormatPr defaultRowHeight="14.4" x14ac:dyDescent="0.3"/>
  <cols>
    <col min="1" max="1" width="10.33203125" bestFit="1" customWidth="1"/>
    <col min="2" max="2" width="67.6640625" customWidth="1"/>
    <col min="3" max="3" width="47.88671875" customWidth="1"/>
    <col min="4" max="4" width="12" bestFit="1" customWidth="1"/>
    <col min="5" max="5" width="13.109375" bestFit="1" customWidth="1"/>
    <col min="6" max="6" width="13.77734375" bestFit="1" customWidth="1"/>
    <col min="7" max="7" width="13.77734375" customWidth="1"/>
    <col min="8" max="8" width="12.5546875" bestFit="1" customWidth="1"/>
    <col min="9" max="9" width="12.5546875" customWidth="1"/>
    <col min="10" max="10" width="9.77734375" bestFit="1" customWidth="1"/>
  </cols>
  <sheetData>
    <row r="1" spans="1:10" x14ac:dyDescent="0.3">
      <c r="A1" s="69" t="s">
        <v>748</v>
      </c>
    </row>
    <row r="2" spans="1:10" x14ac:dyDescent="0.3">
      <c r="A2" s="69" t="s">
        <v>754</v>
      </c>
      <c r="D2">
        <f>SUBTOTAL(9,D4:D1048576)</f>
        <v>3224411.3499999987</v>
      </c>
      <c r="E2">
        <f>SUBTOTAL(9,E4:E1048576)</f>
        <v>3110823.1</v>
      </c>
      <c r="F2">
        <f>D2-E2</f>
        <v>113588.2499999986</v>
      </c>
    </row>
    <row r="3" spans="1:10" x14ac:dyDescent="0.3">
      <c r="A3" s="72" t="s">
        <v>749</v>
      </c>
      <c r="B3" s="73" t="s">
        <v>632</v>
      </c>
      <c r="C3" s="72" t="s">
        <v>750</v>
      </c>
      <c r="D3" s="72" t="s">
        <v>249</v>
      </c>
      <c r="E3" s="73" t="s">
        <v>250</v>
      </c>
      <c r="F3" s="72" t="s">
        <v>284</v>
      </c>
      <c r="G3" s="72" t="s">
        <v>2574</v>
      </c>
      <c r="H3" s="74" t="s">
        <v>2575</v>
      </c>
      <c r="I3" s="74"/>
      <c r="J3" s="72" t="s">
        <v>751</v>
      </c>
    </row>
    <row r="4" spans="1:10" x14ac:dyDescent="0.3">
      <c r="A4" s="70">
        <v>45383</v>
      </c>
      <c r="B4" t="s">
        <v>30</v>
      </c>
      <c r="C4" s="71" t="s">
        <v>31</v>
      </c>
      <c r="D4" s="75">
        <v>686.24</v>
      </c>
      <c r="E4" s="75">
        <v>0</v>
      </c>
      <c r="F4" s="75">
        <v>42364.65</v>
      </c>
      <c r="G4" s="75"/>
      <c r="H4" s="71" t="s">
        <v>217</v>
      </c>
      <c r="I4" s="71"/>
      <c r="J4" t="s">
        <v>752</v>
      </c>
    </row>
    <row r="5" spans="1:10" x14ac:dyDescent="0.3">
      <c r="A5" s="70">
        <v>45383</v>
      </c>
      <c r="B5" t="s">
        <v>32</v>
      </c>
      <c r="C5" s="71" t="s">
        <v>33</v>
      </c>
      <c r="D5" s="75">
        <v>5000</v>
      </c>
      <c r="E5" s="75">
        <v>0</v>
      </c>
      <c r="F5" s="75">
        <v>37364.65</v>
      </c>
      <c r="G5" s="75"/>
      <c r="H5" s="71" t="s">
        <v>219</v>
      </c>
      <c r="I5" s="71"/>
      <c r="J5" t="s">
        <v>752</v>
      </c>
    </row>
    <row r="6" spans="1:10" x14ac:dyDescent="0.3">
      <c r="A6" s="70">
        <v>45383</v>
      </c>
      <c r="B6" t="s">
        <v>544</v>
      </c>
      <c r="C6" s="71" t="s">
        <v>545</v>
      </c>
      <c r="D6" s="75">
        <v>15000</v>
      </c>
      <c r="E6" s="75">
        <v>0</v>
      </c>
      <c r="F6" s="75">
        <v>37605.78</v>
      </c>
      <c r="G6" s="75"/>
      <c r="H6" s="71" t="s">
        <v>512</v>
      </c>
      <c r="J6" t="s">
        <v>753</v>
      </c>
    </row>
    <row r="7" spans="1:10" x14ac:dyDescent="0.3">
      <c r="A7" s="70">
        <v>45384</v>
      </c>
      <c r="B7" t="s">
        <v>34</v>
      </c>
      <c r="C7" s="71" t="s">
        <v>35</v>
      </c>
      <c r="D7" s="75">
        <v>0</v>
      </c>
      <c r="E7" s="75">
        <v>4127.8999999999996</v>
      </c>
      <c r="F7" s="75">
        <v>41492.550000000003</v>
      </c>
      <c r="G7" s="75"/>
      <c r="H7" s="71" t="s">
        <v>217</v>
      </c>
      <c r="I7" s="71"/>
      <c r="J7" t="s">
        <v>752</v>
      </c>
    </row>
    <row r="8" spans="1:10" x14ac:dyDescent="0.3">
      <c r="A8" s="70">
        <v>45384</v>
      </c>
      <c r="B8" t="s">
        <v>30</v>
      </c>
      <c r="C8" s="71" t="s">
        <v>36</v>
      </c>
      <c r="D8" s="75">
        <v>171.56</v>
      </c>
      <c r="E8" s="75">
        <v>0</v>
      </c>
      <c r="F8" s="75">
        <v>41320.99</v>
      </c>
      <c r="G8" s="75"/>
      <c r="H8" s="71" t="s">
        <v>217</v>
      </c>
      <c r="I8" s="71"/>
      <c r="J8" t="s">
        <v>752</v>
      </c>
    </row>
    <row r="9" spans="1:10" x14ac:dyDescent="0.3">
      <c r="A9" s="70">
        <v>45384</v>
      </c>
      <c r="B9" t="s">
        <v>30</v>
      </c>
      <c r="C9" s="71" t="s">
        <v>37</v>
      </c>
      <c r="D9" s="75">
        <v>10704.09</v>
      </c>
      <c r="E9" s="75">
        <v>0</v>
      </c>
      <c r="F9" s="75">
        <v>30616.9</v>
      </c>
      <c r="G9" s="75"/>
      <c r="H9" s="71" t="s">
        <v>217</v>
      </c>
      <c r="I9" s="71"/>
      <c r="J9" t="s">
        <v>752</v>
      </c>
    </row>
    <row r="10" spans="1:10" x14ac:dyDescent="0.3">
      <c r="A10" s="70">
        <v>45384</v>
      </c>
      <c r="B10" t="s">
        <v>546</v>
      </c>
      <c r="C10" s="71" t="s">
        <v>547</v>
      </c>
      <c r="D10" s="75">
        <v>0</v>
      </c>
      <c r="E10" s="75">
        <v>32394.22</v>
      </c>
      <c r="F10" s="75">
        <v>70000</v>
      </c>
      <c r="G10" s="75"/>
      <c r="H10" s="71" t="s">
        <v>747</v>
      </c>
      <c r="J10" t="s">
        <v>753</v>
      </c>
    </row>
    <row r="11" spans="1:10" x14ac:dyDescent="0.3">
      <c r="A11" s="70">
        <v>45384</v>
      </c>
      <c r="B11" t="s">
        <v>548</v>
      </c>
      <c r="C11" s="71" t="s">
        <v>547</v>
      </c>
      <c r="D11" s="75">
        <v>0</v>
      </c>
      <c r="E11" s="75">
        <v>590</v>
      </c>
      <c r="F11" s="75">
        <v>70590</v>
      </c>
      <c r="G11" s="75"/>
      <c r="H11" s="71" t="s">
        <v>589</v>
      </c>
      <c r="J11" t="s">
        <v>753</v>
      </c>
    </row>
    <row r="12" spans="1:10" x14ac:dyDescent="0.3">
      <c r="A12" s="70">
        <v>45384</v>
      </c>
      <c r="B12" t="s">
        <v>549</v>
      </c>
      <c r="C12" s="71" t="s">
        <v>547</v>
      </c>
      <c r="D12" s="75">
        <v>0</v>
      </c>
      <c r="E12" s="75">
        <v>590</v>
      </c>
      <c r="F12" s="75">
        <v>71180</v>
      </c>
      <c r="G12" s="75"/>
      <c r="H12" s="71" t="s">
        <v>589</v>
      </c>
      <c r="J12" t="s">
        <v>753</v>
      </c>
    </row>
    <row r="13" spans="1:10" x14ac:dyDescent="0.3">
      <c r="A13" s="70">
        <v>45384</v>
      </c>
      <c r="B13" t="s">
        <v>550</v>
      </c>
      <c r="C13" s="71" t="s">
        <v>547</v>
      </c>
      <c r="D13" s="75">
        <v>0</v>
      </c>
      <c r="E13" s="75">
        <v>590</v>
      </c>
      <c r="F13" s="75">
        <v>71770</v>
      </c>
      <c r="G13" s="75"/>
      <c r="H13" s="71" t="s">
        <v>589</v>
      </c>
      <c r="J13" t="s">
        <v>753</v>
      </c>
    </row>
    <row r="14" spans="1:10" x14ac:dyDescent="0.3">
      <c r="A14" s="70">
        <v>45384</v>
      </c>
      <c r="B14" t="s">
        <v>551</v>
      </c>
      <c r="C14" s="71" t="s">
        <v>547</v>
      </c>
      <c r="D14" s="75">
        <v>0</v>
      </c>
      <c r="E14" s="75">
        <v>590</v>
      </c>
      <c r="F14" s="75">
        <v>72360</v>
      </c>
      <c r="G14" s="75"/>
      <c r="H14" s="71" t="s">
        <v>589</v>
      </c>
      <c r="J14" t="s">
        <v>753</v>
      </c>
    </row>
    <row r="15" spans="1:10" x14ac:dyDescent="0.3">
      <c r="A15" s="70">
        <v>45384</v>
      </c>
      <c r="B15" t="s">
        <v>552</v>
      </c>
      <c r="C15" s="71" t="s">
        <v>547</v>
      </c>
      <c r="D15" s="75">
        <v>0</v>
      </c>
      <c r="E15" s="75">
        <v>590</v>
      </c>
      <c r="F15" s="75">
        <v>72950</v>
      </c>
      <c r="G15" s="75"/>
      <c r="H15" s="71" t="s">
        <v>589</v>
      </c>
      <c r="J15" t="s">
        <v>753</v>
      </c>
    </row>
    <row r="16" spans="1:10" x14ac:dyDescent="0.3">
      <c r="A16" s="70">
        <v>45384</v>
      </c>
      <c r="B16" t="s">
        <v>285</v>
      </c>
      <c r="C16" s="71" t="s">
        <v>286</v>
      </c>
      <c r="D16" s="75">
        <v>32394.22</v>
      </c>
      <c r="E16" s="75">
        <v>0</v>
      </c>
      <c r="F16" s="75">
        <v>27327.79</v>
      </c>
      <c r="G16" s="75"/>
      <c r="H16" s="71" t="s">
        <v>745</v>
      </c>
      <c r="J16" t="s">
        <v>756</v>
      </c>
    </row>
    <row r="17" spans="1:10" x14ac:dyDescent="0.3">
      <c r="A17" s="70">
        <v>45384</v>
      </c>
      <c r="B17" t="s">
        <v>287</v>
      </c>
      <c r="C17" s="71" t="s">
        <v>288</v>
      </c>
      <c r="D17" s="75">
        <v>5000</v>
      </c>
      <c r="E17" s="75">
        <v>0</v>
      </c>
      <c r="F17" s="75">
        <v>22327.79</v>
      </c>
      <c r="G17" s="75"/>
      <c r="H17" s="71" t="s">
        <v>746</v>
      </c>
      <c r="J17" t="s">
        <v>756</v>
      </c>
    </row>
    <row r="18" spans="1:10" x14ac:dyDescent="0.3">
      <c r="A18" s="70">
        <v>45384</v>
      </c>
      <c r="B18" t="s">
        <v>758</v>
      </c>
      <c r="C18" s="71" t="s">
        <v>641</v>
      </c>
      <c r="D18" s="75">
        <v>13</v>
      </c>
      <c r="E18" s="75">
        <v>0</v>
      </c>
      <c r="F18" s="75">
        <v>758.09</v>
      </c>
      <c r="G18" s="75"/>
      <c r="H18" s="71" t="s">
        <v>511</v>
      </c>
      <c r="J18" t="s">
        <v>757</v>
      </c>
    </row>
    <row r="19" spans="1:10" x14ac:dyDescent="0.3">
      <c r="A19" s="70">
        <v>45384</v>
      </c>
      <c r="B19" t="s">
        <v>759</v>
      </c>
      <c r="C19" s="71" t="s">
        <v>643</v>
      </c>
      <c r="D19" s="75">
        <v>99</v>
      </c>
      <c r="E19" s="75">
        <v>0</v>
      </c>
      <c r="F19" s="75">
        <v>659.09</v>
      </c>
      <c r="G19" s="75"/>
      <c r="H19" s="71" t="s">
        <v>511</v>
      </c>
      <c r="J19" t="s">
        <v>757</v>
      </c>
    </row>
    <row r="20" spans="1:10" x14ac:dyDescent="0.3">
      <c r="A20" s="70">
        <v>45384</v>
      </c>
      <c r="B20" t="s">
        <v>760</v>
      </c>
      <c r="C20" s="71" t="s">
        <v>645</v>
      </c>
      <c r="D20" s="75">
        <v>175</v>
      </c>
      <c r="E20" s="75">
        <v>0</v>
      </c>
      <c r="F20" s="75">
        <v>484.09</v>
      </c>
      <c r="G20" s="75"/>
      <c r="H20" s="71" t="s">
        <v>743</v>
      </c>
      <c r="J20" t="s">
        <v>757</v>
      </c>
    </row>
    <row r="21" spans="1:10" x14ac:dyDescent="0.3">
      <c r="A21" s="70">
        <v>45384</v>
      </c>
      <c r="B21" t="s">
        <v>761</v>
      </c>
      <c r="C21" s="71" t="s">
        <v>647</v>
      </c>
      <c r="D21" s="75">
        <v>0</v>
      </c>
      <c r="E21" s="75">
        <v>5000</v>
      </c>
      <c r="F21" s="75">
        <v>5484.09</v>
      </c>
      <c r="G21" s="75"/>
      <c r="H21" s="71" t="s">
        <v>744</v>
      </c>
      <c r="J21" t="s">
        <v>757</v>
      </c>
    </row>
    <row r="22" spans="1:10" x14ac:dyDescent="0.3">
      <c r="A22" s="70">
        <v>45384</v>
      </c>
      <c r="B22" t="s">
        <v>762</v>
      </c>
      <c r="C22" s="71" t="s">
        <v>649</v>
      </c>
      <c r="D22" s="75">
        <v>126</v>
      </c>
      <c r="E22" s="75">
        <v>0</v>
      </c>
      <c r="F22" s="75">
        <v>5358.09</v>
      </c>
      <c r="G22" s="75"/>
      <c r="H22" s="71" t="s">
        <v>511</v>
      </c>
      <c r="J22" t="s">
        <v>757</v>
      </c>
    </row>
    <row r="23" spans="1:10" x14ac:dyDescent="0.3">
      <c r="A23" s="70">
        <v>45384</v>
      </c>
      <c r="B23" t="s">
        <v>763</v>
      </c>
      <c r="C23" s="71" t="s">
        <v>651</v>
      </c>
      <c r="D23" s="75">
        <v>3366.53</v>
      </c>
      <c r="E23" s="75">
        <v>0</v>
      </c>
      <c r="F23" s="75">
        <v>1991.56</v>
      </c>
      <c r="G23" s="75"/>
      <c r="H23" s="71" t="s">
        <v>743</v>
      </c>
      <c r="J23" t="s">
        <v>757</v>
      </c>
    </row>
    <row r="24" spans="1:10" x14ac:dyDescent="0.3">
      <c r="A24" s="70">
        <v>45384</v>
      </c>
      <c r="B24" t="s">
        <v>764</v>
      </c>
      <c r="C24" s="71" t="s">
        <v>653</v>
      </c>
      <c r="D24" s="75">
        <v>62</v>
      </c>
      <c r="E24" s="75">
        <v>0</v>
      </c>
      <c r="F24" s="75">
        <v>1929.56</v>
      </c>
      <c r="G24" s="75"/>
      <c r="H24" s="71" t="s">
        <v>511</v>
      </c>
      <c r="J24" t="s">
        <v>757</v>
      </c>
    </row>
    <row r="25" spans="1:10" x14ac:dyDescent="0.3">
      <c r="A25" s="70">
        <v>45385</v>
      </c>
      <c r="B25" t="s">
        <v>30</v>
      </c>
      <c r="C25" s="71" t="s">
        <v>38</v>
      </c>
      <c r="D25" s="75">
        <v>158.35</v>
      </c>
      <c r="E25" s="75">
        <v>0</v>
      </c>
      <c r="F25" s="75">
        <v>30458.55</v>
      </c>
      <c r="G25" s="75"/>
      <c r="H25" s="71" t="s">
        <v>217</v>
      </c>
      <c r="I25" s="71"/>
      <c r="J25" t="s">
        <v>752</v>
      </c>
    </row>
    <row r="26" spans="1:10" x14ac:dyDescent="0.3">
      <c r="A26" s="70">
        <v>45385</v>
      </c>
      <c r="B26" t="s">
        <v>765</v>
      </c>
      <c r="C26" s="71" t="s">
        <v>655</v>
      </c>
      <c r="D26" s="75">
        <v>20</v>
      </c>
      <c r="E26" s="75">
        <v>0</v>
      </c>
      <c r="F26" s="75">
        <v>1909.56</v>
      </c>
      <c r="G26" s="75"/>
      <c r="H26" s="71" t="s">
        <v>511</v>
      </c>
      <c r="J26" t="s">
        <v>757</v>
      </c>
    </row>
    <row r="27" spans="1:10" x14ac:dyDescent="0.3">
      <c r="A27" s="70">
        <v>45385</v>
      </c>
      <c r="B27" t="s">
        <v>766</v>
      </c>
      <c r="C27" s="71" t="s">
        <v>657</v>
      </c>
      <c r="D27" s="75">
        <v>0</v>
      </c>
      <c r="E27" s="75">
        <v>399</v>
      </c>
      <c r="F27" s="75">
        <v>2308.56</v>
      </c>
      <c r="G27" s="75"/>
      <c r="H27" s="71" t="s">
        <v>511</v>
      </c>
      <c r="J27" t="s">
        <v>757</v>
      </c>
    </row>
    <row r="28" spans="1:10" x14ac:dyDescent="0.3">
      <c r="A28" s="70">
        <v>45385</v>
      </c>
      <c r="B28" t="s">
        <v>767</v>
      </c>
      <c r="C28" s="71" t="s">
        <v>659</v>
      </c>
      <c r="D28" s="75">
        <v>25</v>
      </c>
      <c r="E28" s="75">
        <v>0</v>
      </c>
      <c r="F28" s="75">
        <v>2283.56</v>
      </c>
      <c r="G28" s="75"/>
      <c r="H28" s="71" t="s">
        <v>511</v>
      </c>
      <c r="J28" t="s">
        <v>757</v>
      </c>
    </row>
    <row r="29" spans="1:10" x14ac:dyDescent="0.3">
      <c r="A29" s="70">
        <v>45386</v>
      </c>
      <c r="B29" t="s">
        <v>34</v>
      </c>
      <c r="C29" s="71" t="s">
        <v>39</v>
      </c>
      <c r="D29" s="75">
        <v>0</v>
      </c>
      <c r="E29" s="75">
        <v>11625.48</v>
      </c>
      <c r="F29" s="75">
        <v>42084.03</v>
      </c>
      <c r="G29" s="75"/>
      <c r="H29" s="71" t="s">
        <v>217</v>
      </c>
      <c r="I29" s="71"/>
      <c r="J29" t="s">
        <v>752</v>
      </c>
    </row>
    <row r="30" spans="1:10" x14ac:dyDescent="0.3">
      <c r="A30" s="70">
        <v>45386</v>
      </c>
      <c r="B30" t="s">
        <v>40</v>
      </c>
      <c r="C30" s="71" t="s">
        <v>41</v>
      </c>
      <c r="D30" s="75">
        <v>30000</v>
      </c>
      <c r="E30" s="75">
        <v>0</v>
      </c>
      <c r="F30" s="75">
        <v>12084.03</v>
      </c>
      <c r="G30" s="75"/>
      <c r="H30" s="71" t="s">
        <v>224</v>
      </c>
      <c r="I30" s="71"/>
      <c r="J30" t="s">
        <v>752</v>
      </c>
    </row>
    <row r="31" spans="1:10" x14ac:dyDescent="0.3">
      <c r="A31" s="70">
        <v>45386</v>
      </c>
      <c r="B31" t="s">
        <v>30</v>
      </c>
      <c r="C31" s="71" t="s">
        <v>42</v>
      </c>
      <c r="D31" s="75">
        <v>158.35</v>
      </c>
      <c r="E31" s="75">
        <v>0</v>
      </c>
      <c r="F31" s="75">
        <v>11925.68</v>
      </c>
      <c r="G31" s="75"/>
      <c r="H31" s="71" t="s">
        <v>217</v>
      </c>
      <c r="I31" s="71"/>
      <c r="J31" t="s">
        <v>752</v>
      </c>
    </row>
    <row r="32" spans="1:10" x14ac:dyDescent="0.3">
      <c r="A32" s="70">
        <v>45386</v>
      </c>
      <c r="B32" t="s">
        <v>289</v>
      </c>
      <c r="C32" s="71" t="s">
        <v>290</v>
      </c>
      <c r="D32" s="75">
        <v>2000</v>
      </c>
      <c r="E32" s="75">
        <v>0</v>
      </c>
      <c r="F32" s="75">
        <v>20327.79</v>
      </c>
      <c r="G32" s="75"/>
      <c r="H32" s="71" t="s">
        <v>746</v>
      </c>
      <c r="J32" t="s">
        <v>756</v>
      </c>
    </row>
    <row r="33" spans="1:10" x14ac:dyDescent="0.3">
      <c r="A33" s="70">
        <v>45386</v>
      </c>
      <c r="B33" t="s">
        <v>768</v>
      </c>
      <c r="C33" s="71" t="s">
        <v>661</v>
      </c>
      <c r="D33" s="75">
        <v>50</v>
      </c>
      <c r="E33" s="75">
        <v>0</v>
      </c>
      <c r="F33" s="75">
        <v>2233.56</v>
      </c>
      <c r="G33" s="75"/>
      <c r="H33" s="71" t="s">
        <v>743</v>
      </c>
      <c r="J33" t="s">
        <v>757</v>
      </c>
    </row>
    <row r="34" spans="1:10" x14ac:dyDescent="0.3">
      <c r="A34" s="70">
        <v>45386</v>
      </c>
      <c r="B34" t="s">
        <v>769</v>
      </c>
      <c r="C34" s="71" t="s">
        <v>663</v>
      </c>
      <c r="D34" s="75">
        <v>0</v>
      </c>
      <c r="E34" s="75">
        <v>2000</v>
      </c>
      <c r="F34" s="75">
        <v>4233.5600000000004</v>
      </c>
      <c r="G34" s="75"/>
      <c r="H34" s="71" t="s">
        <v>744</v>
      </c>
      <c r="J34" t="s">
        <v>757</v>
      </c>
    </row>
    <row r="35" spans="1:10" x14ac:dyDescent="0.3">
      <c r="A35" s="70">
        <v>45386</v>
      </c>
      <c r="B35" t="s">
        <v>770</v>
      </c>
      <c r="C35" s="71" t="s">
        <v>665</v>
      </c>
      <c r="D35" s="75">
        <v>331</v>
      </c>
      <c r="E35" s="75">
        <v>0</v>
      </c>
      <c r="F35" s="75">
        <v>3902.56</v>
      </c>
      <c r="G35" s="75"/>
      <c r="H35" s="71" t="s">
        <v>511</v>
      </c>
      <c r="J35" t="s">
        <v>757</v>
      </c>
    </row>
    <row r="36" spans="1:10" x14ac:dyDescent="0.3">
      <c r="A36" s="70">
        <v>45386</v>
      </c>
      <c r="B36" t="s">
        <v>771</v>
      </c>
      <c r="C36" s="71" t="s">
        <v>667</v>
      </c>
      <c r="D36" s="75">
        <v>2290.4</v>
      </c>
      <c r="E36" s="75">
        <v>0</v>
      </c>
      <c r="F36" s="75">
        <v>1612.16</v>
      </c>
      <c r="G36" s="75"/>
      <c r="H36" s="71" t="s">
        <v>743</v>
      </c>
      <c r="J36" t="s">
        <v>757</v>
      </c>
    </row>
    <row r="37" spans="1:10" x14ac:dyDescent="0.3">
      <c r="A37" s="70">
        <v>45386</v>
      </c>
      <c r="B37" t="s">
        <v>772</v>
      </c>
      <c r="C37" s="71" t="s">
        <v>669</v>
      </c>
      <c r="D37" s="75">
        <v>172</v>
      </c>
      <c r="E37" s="75">
        <v>0</v>
      </c>
      <c r="F37" s="75">
        <v>1440.16</v>
      </c>
      <c r="G37" s="75"/>
      <c r="H37" s="71" t="s">
        <v>511</v>
      </c>
      <c r="J37" t="s">
        <v>757</v>
      </c>
    </row>
    <row r="38" spans="1:10" x14ac:dyDescent="0.3">
      <c r="A38" s="70">
        <v>45387</v>
      </c>
      <c r="B38" t="s">
        <v>34</v>
      </c>
      <c r="C38" s="71" t="s">
        <v>43</v>
      </c>
      <c r="D38" s="75">
        <v>0</v>
      </c>
      <c r="E38" s="75">
        <v>2099.75</v>
      </c>
      <c r="F38" s="75">
        <v>14025.43</v>
      </c>
      <c r="G38" s="75"/>
      <c r="H38" s="71" t="s">
        <v>217</v>
      </c>
      <c r="I38" s="71"/>
      <c r="J38" t="s">
        <v>752</v>
      </c>
    </row>
    <row r="39" spans="1:10" x14ac:dyDescent="0.3">
      <c r="A39" s="70">
        <v>45387</v>
      </c>
      <c r="B39" t="s">
        <v>30</v>
      </c>
      <c r="C39" s="71" t="s">
        <v>44</v>
      </c>
      <c r="D39" s="75">
        <v>154.71</v>
      </c>
      <c r="E39" s="75">
        <v>0</v>
      </c>
      <c r="F39" s="75">
        <v>13870.72</v>
      </c>
      <c r="G39" s="75"/>
      <c r="H39" s="71" t="s">
        <v>217</v>
      </c>
      <c r="I39" s="71"/>
      <c r="J39" t="s">
        <v>752</v>
      </c>
    </row>
    <row r="40" spans="1:10" x14ac:dyDescent="0.3">
      <c r="A40" s="70">
        <v>45387</v>
      </c>
      <c r="B40" t="s">
        <v>45</v>
      </c>
      <c r="C40" s="71" t="s">
        <v>46</v>
      </c>
      <c r="D40" s="75">
        <v>585.49</v>
      </c>
      <c r="E40" s="75">
        <v>0</v>
      </c>
      <c r="F40" s="75">
        <v>13285.23</v>
      </c>
      <c r="G40" s="75"/>
      <c r="H40" s="71" t="s">
        <v>220</v>
      </c>
      <c r="I40" s="71"/>
      <c r="J40" t="s">
        <v>752</v>
      </c>
    </row>
    <row r="41" spans="1:10" x14ac:dyDescent="0.3">
      <c r="A41" s="70">
        <v>45387</v>
      </c>
      <c r="B41" t="s">
        <v>34</v>
      </c>
      <c r="C41" s="71" t="s">
        <v>47</v>
      </c>
      <c r="D41" s="75">
        <v>0</v>
      </c>
      <c r="E41" s="75">
        <v>58.08</v>
      </c>
      <c r="F41" s="75">
        <v>13343.31</v>
      </c>
      <c r="G41" s="75"/>
      <c r="H41" s="71" t="s">
        <v>217</v>
      </c>
      <c r="I41" s="71"/>
      <c r="J41" t="s">
        <v>752</v>
      </c>
    </row>
    <row r="42" spans="1:10" x14ac:dyDescent="0.3">
      <c r="A42" s="70">
        <v>45387</v>
      </c>
      <c r="B42" t="s">
        <v>773</v>
      </c>
      <c r="C42" s="71" t="s">
        <v>671</v>
      </c>
      <c r="D42" s="75">
        <v>40</v>
      </c>
      <c r="E42" s="75">
        <v>0</v>
      </c>
      <c r="F42" s="75">
        <v>1400.16</v>
      </c>
      <c r="G42" s="75"/>
      <c r="H42" s="71" t="s">
        <v>511</v>
      </c>
      <c r="J42" t="s">
        <v>757</v>
      </c>
    </row>
    <row r="43" spans="1:10" x14ac:dyDescent="0.3">
      <c r="A43" s="70">
        <v>45387</v>
      </c>
      <c r="B43" t="s">
        <v>774</v>
      </c>
      <c r="C43" s="71" t="s">
        <v>673</v>
      </c>
      <c r="D43" s="75">
        <v>149.87</v>
      </c>
      <c r="E43" s="75">
        <v>0</v>
      </c>
      <c r="F43" s="75">
        <v>1250.29</v>
      </c>
      <c r="G43" s="75"/>
      <c r="H43" s="71" t="s">
        <v>743</v>
      </c>
      <c r="J43" t="s">
        <v>757</v>
      </c>
    </row>
    <row r="44" spans="1:10" x14ac:dyDescent="0.3">
      <c r="A44" s="70">
        <v>45387</v>
      </c>
      <c r="B44" t="s">
        <v>775</v>
      </c>
      <c r="C44" s="71" t="s">
        <v>675</v>
      </c>
      <c r="D44" s="75">
        <v>21</v>
      </c>
      <c r="E44" s="75">
        <v>0</v>
      </c>
      <c r="F44" s="75">
        <v>1229.29</v>
      </c>
      <c r="G44" s="75"/>
      <c r="H44" s="71" t="s">
        <v>511</v>
      </c>
      <c r="J44" t="s">
        <v>757</v>
      </c>
    </row>
    <row r="45" spans="1:10" x14ac:dyDescent="0.3">
      <c r="A45" s="70">
        <v>45387</v>
      </c>
      <c r="B45" t="s">
        <v>776</v>
      </c>
      <c r="C45" s="71" t="s">
        <v>677</v>
      </c>
      <c r="D45" s="75">
        <v>74</v>
      </c>
      <c r="E45" s="75">
        <v>0</v>
      </c>
      <c r="F45" s="75">
        <v>1155.29</v>
      </c>
      <c r="G45" s="75"/>
      <c r="H45" s="71" t="s">
        <v>511</v>
      </c>
      <c r="J45" t="s">
        <v>757</v>
      </c>
    </row>
    <row r="46" spans="1:10" x14ac:dyDescent="0.3">
      <c r="A46" s="70">
        <v>45387</v>
      </c>
      <c r="B46" t="s">
        <v>777</v>
      </c>
      <c r="C46" s="71" t="s">
        <v>679</v>
      </c>
      <c r="D46" s="75">
        <v>50</v>
      </c>
      <c r="E46" s="75">
        <v>0</v>
      </c>
      <c r="F46" s="75">
        <v>1105.29</v>
      </c>
      <c r="G46" s="75"/>
      <c r="H46" s="71" t="s">
        <v>511</v>
      </c>
      <c r="J46" t="s">
        <v>757</v>
      </c>
    </row>
    <row r="47" spans="1:10" x14ac:dyDescent="0.3">
      <c r="A47" s="70">
        <v>45388</v>
      </c>
      <c r="B47" t="s">
        <v>553</v>
      </c>
      <c r="C47" s="71" t="s">
        <v>554</v>
      </c>
      <c r="D47" s="75">
        <v>0</v>
      </c>
      <c r="E47" s="75">
        <v>11.5</v>
      </c>
      <c r="F47" s="75">
        <v>72961.5</v>
      </c>
      <c r="G47" s="75"/>
      <c r="H47" s="71" t="s">
        <v>508</v>
      </c>
      <c r="J47" t="s">
        <v>753</v>
      </c>
    </row>
    <row r="48" spans="1:10" x14ac:dyDescent="0.3">
      <c r="A48" s="70">
        <v>45388</v>
      </c>
      <c r="B48" t="s">
        <v>778</v>
      </c>
      <c r="C48" s="71" t="s">
        <v>681</v>
      </c>
      <c r="D48" s="75">
        <v>106</v>
      </c>
      <c r="E48" s="75">
        <v>0</v>
      </c>
      <c r="F48" s="75">
        <v>999.29</v>
      </c>
      <c r="G48" s="75"/>
      <c r="H48" s="71" t="s">
        <v>511</v>
      </c>
      <c r="J48" t="s">
        <v>757</v>
      </c>
    </row>
    <row r="49" spans="1:10" x14ac:dyDescent="0.3">
      <c r="A49" s="70">
        <v>45388</v>
      </c>
      <c r="B49" t="s">
        <v>779</v>
      </c>
      <c r="C49" s="71" t="s">
        <v>683</v>
      </c>
      <c r="D49" s="75">
        <v>784.2</v>
      </c>
      <c r="E49" s="75">
        <v>0</v>
      </c>
      <c r="F49" s="75">
        <v>215.09</v>
      </c>
      <c r="G49" s="75"/>
      <c r="H49" s="71" t="s">
        <v>743</v>
      </c>
      <c r="J49" t="s">
        <v>757</v>
      </c>
    </row>
    <row r="50" spans="1:10" x14ac:dyDescent="0.3">
      <c r="A50" s="70">
        <v>45388</v>
      </c>
      <c r="B50" t="s">
        <v>780</v>
      </c>
      <c r="C50" s="71" t="s">
        <v>685</v>
      </c>
      <c r="D50" s="75">
        <v>114</v>
      </c>
      <c r="E50" s="75">
        <v>0</v>
      </c>
      <c r="F50" s="75">
        <v>101.09</v>
      </c>
      <c r="G50" s="75"/>
      <c r="H50" s="71" t="s">
        <v>511</v>
      </c>
      <c r="J50" t="s">
        <v>757</v>
      </c>
    </row>
    <row r="51" spans="1:10" x14ac:dyDescent="0.3">
      <c r="A51" s="70">
        <v>45389</v>
      </c>
      <c r="B51" t="s">
        <v>555</v>
      </c>
      <c r="C51" s="71" t="s">
        <v>556</v>
      </c>
      <c r="D51" s="75">
        <v>58</v>
      </c>
      <c r="E51" s="75">
        <v>0</v>
      </c>
      <c r="F51" s="75">
        <v>72903.5</v>
      </c>
      <c r="G51" s="75"/>
      <c r="H51" s="71" t="s">
        <v>589</v>
      </c>
      <c r="J51" t="s">
        <v>753</v>
      </c>
    </row>
    <row r="52" spans="1:10" x14ac:dyDescent="0.3">
      <c r="A52" s="70">
        <v>45389</v>
      </c>
      <c r="B52" t="s">
        <v>291</v>
      </c>
      <c r="C52" s="71" t="s">
        <v>292</v>
      </c>
      <c r="D52" s="75">
        <v>1000</v>
      </c>
      <c r="E52" s="75">
        <v>0</v>
      </c>
      <c r="F52" s="75">
        <v>19327.79</v>
      </c>
      <c r="G52" s="75"/>
      <c r="H52" s="71" t="s">
        <v>746</v>
      </c>
      <c r="J52" t="s">
        <v>756</v>
      </c>
    </row>
    <row r="53" spans="1:10" x14ac:dyDescent="0.3">
      <c r="A53" s="70">
        <v>45389</v>
      </c>
      <c r="B53" t="s">
        <v>781</v>
      </c>
      <c r="C53" s="71" t="s">
        <v>687</v>
      </c>
      <c r="D53" s="75">
        <v>50</v>
      </c>
      <c r="E53" s="75">
        <v>0</v>
      </c>
      <c r="F53" s="75">
        <v>51.09</v>
      </c>
      <c r="G53" s="75"/>
      <c r="H53" s="71" t="s">
        <v>743</v>
      </c>
      <c r="J53" t="s">
        <v>757</v>
      </c>
    </row>
    <row r="54" spans="1:10" x14ac:dyDescent="0.3">
      <c r="A54" s="70">
        <v>45389</v>
      </c>
      <c r="B54" t="s">
        <v>782</v>
      </c>
      <c r="C54" s="71" t="s">
        <v>689</v>
      </c>
      <c r="D54" s="75">
        <v>20</v>
      </c>
      <c r="E54" s="75">
        <v>0</v>
      </c>
      <c r="F54" s="75">
        <v>31.09</v>
      </c>
      <c r="G54" s="75"/>
      <c r="H54" s="71" t="s">
        <v>511</v>
      </c>
      <c r="J54" t="s">
        <v>757</v>
      </c>
    </row>
    <row r="55" spans="1:10" x14ac:dyDescent="0.3">
      <c r="A55" s="70">
        <v>45389</v>
      </c>
      <c r="B55" t="s">
        <v>783</v>
      </c>
      <c r="C55" s="71" t="s">
        <v>691</v>
      </c>
      <c r="D55" s="75">
        <v>0</v>
      </c>
      <c r="E55" s="75">
        <v>1000</v>
      </c>
      <c r="F55" s="75">
        <v>1031.0899999999999</v>
      </c>
      <c r="G55" s="75"/>
      <c r="H55" s="71" t="s">
        <v>744</v>
      </c>
      <c r="J55" t="s">
        <v>757</v>
      </c>
    </row>
    <row r="56" spans="1:10" x14ac:dyDescent="0.3">
      <c r="A56" s="70">
        <v>45389</v>
      </c>
      <c r="B56" t="s">
        <v>784</v>
      </c>
      <c r="C56" s="71" t="s">
        <v>693</v>
      </c>
      <c r="D56" s="75">
        <v>80</v>
      </c>
      <c r="E56" s="75">
        <v>0</v>
      </c>
      <c r="F56" s="75">
        <v>951.09</v>
      </c>
      <c r="G56" s="75"/>
      <c r="H56" s="71" t="s">
        <v>511</v>
      </c>
      <c r="J56" t="s">
        <v>757</v>
      </c>
    </row>
    <row r="57" spans="1:10" x14ac:dyDescent="0.3">
      <c r="A57" s="70">
        <v>45389</v>
      </c>
      <c r="B57" t="s">
        <v>785</v>
      </c>
      <c r="C57" s="71" t="s">
        <v>695</v>
      </c>
      <c r="D57" s="75">
        <v>30</v>
      </c>
      <c r="E57" s="75">
        <v>0</v>
      </c>
      <c r="F57" s="75">
        <v>921.09</v>
      </c>
      <c r="G57" s="75"/>
      <c r="H57" s="71" t="s">
        <v>511</v>
      </c>
      <c r="J57" t="s">
        <v>757</v>
      </c>
    </row>
    <row r="58" spans="1:10" x14ac:dyDescent="0.3">
      <c r="A58" s="70">
        <v>45389</v>
      </c>
      <c r="B58" t="s">
        <v>786</v>
      </c>
      <c r="C58" s="71" t="s">
        <v>697</v>
      </c>
      <c r="D58" s="75">
        <v>440.9</v>
      </c>
      <c r="E58" s="75">
        <v>0</v>
      </c>
      <c r="F58" s="75">
        <v>480.19</v>
      </c>
      <c r="G58" s="75"/>
      <c r="H58" s="71" t="s">
        <v>743</v>
      </c>
      <c r="J58" t="s">
        <v>757</v>
      </c>
    </row>
    <row r="59" spans="1:10" x14ac:dyDescent="0.3">
      <c r="A59" s="70">
        <v>45389</v>
      </c>
      <c r="B59" t="s">
        <v>787</v>
      </c>
      <c r="C59" s="71" t="s">
        <v>699</v>
      </c>
      <c r="D59" s="75">
        <v>315</v>
      </c>
      <c r="E59" s="75">
        <v>0</v>
      </c>
      <c r="F59" s="75">
        <v>165.19</v>
      </c>
      <c r="G59" s="75"/>
      <c r="H59" s="71" t="s">
        <v>511</v>
      </c>
      <c r="J59" t="s">
        <v>757</v>
      </c>
    </row>
    <row r="60" spans="1:10" x14ac:dyDescent="0.3">
      <c r="A60" s="70">
        <v>45390</v>
      </c>
      <c r="B60" t="s">
        <v>30</v>
      </c>
      <c r="C60" s="71" t="s">
        <v>48</v>
      </c>
      <c r="D60" s="75">
        <v>466.44</v>
      </c>
      <c r="E60" s="75">
        <v>0</v>
      </c>
      <c r="F60" s="75">
        <v>12876.87</v>
      </c>
      <c r="G60" s="75"/>
      <c r="H60" s="71" t="s">
        <v>217</v>
      </c>
      <c r="I60" s="71"/>
      <c r="J60" t="s">
        <v>752</v>
      </c>
    </row>
    <row r="61" spans="1:10" x14ac:dyDescent="0.3">
      <c r="A61" s="70">
        <v>45390</v>
      </c>
      <c r="B61" t="s">
        <v>49</v>
      </c>
      <c r="C61" s="71" t="s">
        <v>50</v>
      </c>
      <c r="D61" s="75">
        <v>0</v>
      </c>
      <c r="E61" s="75">
        <v>1880</v>
      </c>
      <c r="F61" s="75">
        <v>14756.87</v>
      </c>
      <c r="G61" s="75"/>
      <c r="H61" s="71" t="s">
        <v>222</v>
      </c>
      <c r="I61" s="71"/>
      <c r="J61" t="s">
        <v>752</v>
      </c>
    </row>
    <row r="62" spans="1:10" x14ac:dyDescent="0.3">
      <c r="A62" s="70">
        <v>45390</v>
      </c>
      <c r="B62" t="s">
        <v>30</v>
      </c>
      <c r="C62" s="71" t="s">
        <v>51</v>
      </c>
      <c r="D62" s="75">
        <v>277.68</v>
      </c>
      <c r="E62" s="75">
        <v>0</v>
      </c>
      <c r="F62" s="75">
        <v>14479.19</v>
      </c>
      <c r="G62" s="75"/>
      <c r="H62" s="71" t="s">
        <v>217</v>
      </c>
      <c r="I62" s="71"/>
      <c r="J62" t="s">
        <v>752</v>
      </c>
    </row>
    <row r="63" spans="1:10" x14ac:dyDescent="0.3">
      <c r="A63" s="70">
        <v>45390</v>
      </c>
      <c r="B63" t="s">
        <v>293</v>
      </c>
      <c r="C63" s="71" t="s">
        <v>294</v>
      </c>
      <c r="D63" s="75">
        <v>1</v>
      </c>
      <c r="E63" s="75">
        <v>0</v>
      </c>
      <c r="F63" s="75">
        <v>19326.79</v>
      </c>
      <c r="G63" s="75"/>
      <c r="H63" s="71" t="s">
        <v>511</v>
      </c>
      <c r="J63" t="s">
        <v>756</v>
      </c>
    </row>
    <row r="64" spans="1:10" x14ac:dyDescent="0.3">
      <c r="A64" s="70">
        <v>45390</v>
      </c>
      <c r="B64" t="s">
        <v>788</v>
      </c>
      <c r="C64" s="71" t="s">
        <v>701</v>
      </c>
      <c r="D64" s="75">
        <v>50</v>
      </c>
      <c r="E64" s="75">
        <v>0</v>
      </c>
      <c r="F64" s="75">
        <v>115.19</v>
      </c>
      <c r="G64" s="75"/>
      <c r="H64" s="71" t="s">
        <v>511</v>
      </c>
      <c r="J64" t="s">
        <v>757</v>
      </c>
    </row>
    <row r="65" spans="1:10" x14ac:dyDescent="0.3">
      <c r="A65" s="70">
        <v>45390</v>
      </c>
      <c r="B65" t="s">
        <v>789</v>
      </c>
      <c r="C65" s="71" t="s">
        <v>703</v>
      </c>
      <c r="D65" s="75">
        <v>100</v>
      </c>
      <c r="E65" s="75">
        <v>0</v>
      </c>
      <c r="F65" s="75">
        <v>15.19</v>
      </c>
      <c r="G65" s="75"/>
      <c r="H65" s="71" t="s">
        <v>511</v>
      </c>
      <c r="J65" t="s">
        <v>757</v>
      </c>
    </row>
    <row r="66" spans="1:10" x14ac:dyDescent="0.3">
      <c r="A66" s="70">
        <v>45391</v>
      </c>
      <c r="B66" t="s">
        <v>30</v>
      </c>
      <c r="C66" s="71" t="s">
        <v>52</v>
      </c>
      <c r="D66" s="75">
        <v>28.05</v>
      </c>
      <c r="E66" s="75">
        <v>0</v>
      </c>
      <c r="F66" s="75">
        <v>14451.14</v>
      </c>
      <c r="G66" s="75"/>
      <c r="H66" s="71" t="s">
        <v>217</v>
      </c>
      <c r="I66" s="71"/>
      <c r="J66" t="s">
        <v>752</v>
      </c>
    </row>
    <row r="67" spans="1:10" x14ac:dyDescent="0.3">
      <c r="A67" s="70">
        <v>45391</v>
      </c>
      <c r="B67" t="s">
        <v>295</v>
      </c>
      <c r="C67" s="71" t="s">
        <v>296</v>
      </c>
      <c r="D67" s="75">
        <v>2000</v>
      </c>
      <c r="E67" s="75">
        <v>0</v>
      </c>
      <c r="F67" s="75">
        <v>17326.79</v>
      </c>
      <c r="G67" s="75"/>
      <c r="H67" s="71" t="s">
        <v>746</v>
      </c>
      <c r="J67" t="s">
        <v>756</v>
      </c>
    </row>
    <row r="68" spans="1:10" x14ac:dyDescent="0.3">
      <c r="A68" s="70">
        <v>45391</v>
      </c>
      <c r="B68" t="s">
        <v>790</v>
      </c>
      <c r="C68" s="71" t="s">
        <v>705</v>
      </c>
      <c r="D68" s="75">
        <v>0</v>
      </c>
      <c r="E68" s="75">
        <v>2000</v>
      </c>
      <c r="F68" s="75">
        <v>2015.19</v>
      </c>
      <c r="G68" s="75"/>
      <c r="H68" s="71" t="s">
        <v>744</v>
      </c>
      <c r="J68" t="s">
        <v>757</v>
      </c>
    </row>
    <row r="69" spans="1:10" x14ac:dyDescent="0.3">
      <c r="A69" s="70">
        <v>45391</v>
      </c>
      <c r="B69" t="s">
        <v>791</v>
      </c>
      <c r="C69" s="71" t="s">
        <v>707</v>
      </c>
      <c r="D69" s="75">
        <v>30</v>
      </c>
      <c r="E69" s="75">
        <v>0</v>
      </c>
      <c r="F69" s="75">
        <v>1985.19</v>
      </c>
      <c r="G69" s="75"/>
      <c r="H69" s="71" t="s">
        <v>511</v>
      </c>
      <c r="J69" t="s">
        <v>757</v>
      </c>
    </row>
    <row r="70" spans="1:10" x14ac:dyDescent="0.3">
      <c r="A70" s="70">
        <v>45392</v>
      </c>
      <c r="B70" t="s">
        <v>34</v>
      </c>
      <c r="C70" s="71" t="s">
        <v>53</v>
      </c>
      <c r="D70" s="75">
        <v>0</v>
      </c>
      <c r="E70" s="75">
        <v>46373.79</v>
      </c>
      <c r="F70" s="75">
        <v>60824.93</v>
      </c>
      <c r="G70" s="75"/>
      <c r="H70" s="71" t="s">
        <v>217</v>
      </c>
      <c r="I70" s="71"/>
      <c r="J70" t="s">
        <v>752</v>
      </c>
    </row>
    <row r="71" spans="1:10" x14ac:dyDescent="0.3">
      <c r="A71" s="70">
        <v>45392</v>
      </c>
      <c r="B71" t="s">
        <v>30</v>
      </c>
      <c r="C71" s="71" t="s">
        <v>54</v>
      </c>
      <c r="D71" s="75">
        <v>155.41999999999999</v>
      </c>
      <c r="E71" s="75">
        <v>0</v>
      </c>
      <c r="F71" s="75">
        <v>60669.51</v>
      </c>
      <c r="G71" s="75"/>
      <c r="H71" s="71" t="s">
        <v>217</v>
      </c>
      <c r="I71" s="71"/>
      <c r="J71" t="s">
        <v>752</v>
      </c>
    </row>
    <row r="72" spans="1:10" x14ac:dyDescent="0.3">
      <c r="A72" s="70">
        <v>45392</v>
      </c>
      <c r="B72" t="s">
        <v>557</v>
      </c>
      <c r="C72" s="71" t="s">
        <v>558</v>
      </c>
      <c r="D72" s="75">
        <v>0</v>
      </c>
      <c r="E72" s="75">
        <v>100</v>
      </c>
      <c r="F72" s="75">
        <v>73003.5</v>
      </c>
      <c r="G72" s="75"/>
      <c r="H72" s="71" t="s">
        <v>589</v>
      </c>
      <c r="J72" t="s">
        <v>753</v>
      </c>
    </row>
    <row r="73" spans="1:10" x14ac:dyDescent="0.3">
      <c r="A73" s="70">
        <v>45392</v>
      </c>
      <c r="B73" t="s">
        <v>297</v>
      </c>
      <c r="C73" s="71" t="s">
        <v>298</v>
      </c>
      <c r="D73" s="75">
        <v>0</v>
      </c>
      <c r="E73" s="75">
        <v>1</v>
      </c>
      <c r="F73" s="75">
        <v>17327.79</v>
      </c>
      <c r="G73" s="75"/>
      <c r="H73" s="71" t="s">
        <v>511</v>
      </c>
      <c r="J73" t="s">
        <v>756</v>
      </c>
    </row>
    <row r="74" spans="1:10" x14ac:dyDescent="0.3">
      <c r="A74" s="70">
        <v>45394</v>
      </c>
      <c r="B74" t="s">
        <v>34</v>
      </c>
      <c r="C74" s="71" t="s">
        <v>55</v>
      </c>
      <c r="D74" s="75">
        <v>0</v>
      </c>
      <c r="E74" s="75">
        <v>68.67</v>
      </c>
      <c r="F74" s="75">
        <v>60738.18</v>
      </c>
      <c r="G74" s="75"/>
      <c r="H74" s="71" t="s">
        <v>217</v>
      </c>
      <c r="I74" s="71"/>
      <c r="J74" t="s">
        <v>752</v>
      </c>
    </row>
    <row r="75" spans="1:10" x14ac:dyDescent="0.3">
      <c r="A75" s="70">
        <v>45394</v>
      </c>
      <c r="B75" t="s">
        <v>34</v>
      </c>
      <c r="C75" s="71" t="s">
        <v>56</v>
      </c>
      <c r="D75" s="75">
        <v>0</v>
      </c>
      <c r="E75" s="75">
        <v>22631.71</v>
      </c>
      <c r="F75" s="75">
        <v>83369.89</v>
      </c>
      <c r="G75" s="75"/>
      <c r="H75" s="71" t="s">
        <v>217</v>
      </c>
      <c r="I75" s="71"/>
      <c r="J75" t="s">
        <v>752</v>
      </c>
    </row>
    <row r="76" spans="1:10" x14ac:dyDescent="0.3">
      <c r="A76" s="70">
        <v>45394</v>
      </c>
      <c r="B76" t="s">
        <v>30</v>
      </c>
      <c r="C76" s="71" t="s">
        <v>57</v>
      </c>
      <c r="D76" s="75">
        <v>310.83999999999997</v>
      </c>
      <c r="E76" s="75">
        <v>0</v>
      </c>
      <c r="F76" s="75">
        <v>83059.05</v>
      </c>
      <c r="G76" s="75"/>
      <c r="H76" s="71" t="s">
        <v>217</v>
      </c>
      <c r="I76" s="71"/>
      <c r="J76" t="s">
        <v>752</v>
      </c>
    </row>
    <row r="77" spans="1:10" x14ac:dyDescent="0.3">
      <c r="A77" s="70">
        <v>45394</v>
      </c>
      <c r="B77" t="s">
        <v>30</v>
      </c>
      <c r="C77" s="71" t="s">
        <v>58</v>
      </c>
      <c r="D77" s="75">
        <v>37368.43</v>
      </c>
      <c r="E77" s="75">
        <v>0</v>
      </c>
      <c r="F77" s="75">
        <v>45690.62</v>
      </c>
      <c r="G77" s="75"/>
      <c r="H77" s="71" t="s">
        <v>217</v>
      </c>
      <c r="I77" s="71"/>
      <c r="J77" t="s">
        <v>752</v>
      </c>
    </row>
    <row r="78" spans="1:10" x14ac:dyDescent="0.3">
      <c r="A78" s="70">
        <v>45394</v>
      </c>
      <c r="B78" t="s">
        <v>30</v>
      </c>
      <c r="C78" s="71" t="s">
        <v>59</v>
      </c>
      <c r="D78" s="75">
        <v>134.79</v>
      </c>
      <c r="E78" s="75">
        <v>0</v>
      </c>
      <c r="F78" s="75">
        <v>45555.83</v>
      </c>
      <c r="G78" s="75"/>
      <c r="H78" s="71" t="s">
        <v>217</v>
      </c>
      <c r="I78" s="71"/>
      <c r="J78" t="s">
        <v>752</v>
      </c>
    </row>
    <row r="79" spans="1:10" x14ac:dyDescent="0.3">
      <c r="A79" s="70">
        <v>45394</v>
      </c>
      <c r="B79" t="s">
        <v>299</v>
      </c>
      <c r="C79" s="71" t="s">
        <v>300</v>
      </c>
      <c r="D79" s="75">
        <v>10000</v>
      </c>
      <c r="E79" s="75">
        <v>0</v>
      </c>
      <c r="F79" s="75">
        <v>7327.7900000000009</v>
      </c>
      <c r="G79" s="75"/>
      <c r="H79" s="71" t="s">
        <v>508</v>
      </c>
      <c r="J79" t="s">
        <v>756</v>
      </c>
    </row>
    <row r="80" spans="1:10" x14ac:dyDescent="0.3">
      <c r="A80" s="70">
        <v>45394</v>
      </c>
      <c r="B80" t="s">
        <v>301</v>
      </c>
      <c r="C80" s="71" t="s">
        <v>300</v>
      </c>
      <c r="D80" s="75">
        <v>0</v>
      </c>
      <c r="E80" s="75">
        <v>10000</v>
      </c>
      <c r="F80" s="75">
        <v>17327.79</v>
      </c>
      <c r="G80" s="75"/>
      <c r="H80" s="71" t="s">
        <v>508</v>
      </c>
      <c r="J80" t="s">
        <v>756</v>
      </c>
    </row>
    <row r="81" spans="1:10" x14ac:dyDescent="0.3">
      <c r="A81" s="70">
        <v>45394</v>
      </c>
      <c r="B81" t="s">
        <v>302</v>
      </c>
      <c r="C81" s="71" t="s">
        <v>303</v>
      </c>
      <c r="D81" s="75">
        <v>0</v>
      </c>
      <c r="E81" s="75">
        <v>1</v>
      </c>
      <c r="F81" s="75">
        <v>17328.79</v>
      </c>
      <c r="G81" s="75"/>
      <c r="H81" s="71" t="s">
        <v>508</v>
      </c>
      <c r="J81" t="s">
        <v>756</v>
      </c>
    </row>
    <row r="82" spans="1:10" x14ac:dyDescent="0.3">
      <c r="A82" s="70">
        <v>45394</v>
      </c>
      <c r="B82" t="s">
        <v>304</v>
      </c>
      <c r="C82" s="71" t="s">
        <v>305</v>
      </c>
      <c r="D82" s="75">
        <v>1000</v>
      </c>
      <c r="E82" s="75">
        <v>0</v>
      </c>
      <c r="F82" s="75">
        <v>16328.79</v>
      </c>
      <c r="G82" s="75"/>
      <c r="H82" s="71" t="s">
        <v>508</v>
      </c>
      <c r="J82" t="s">
        <v>756</v>
      </c>
    </row>
    <row r="83" spans="1:10" x14ac:dyDescent="0.3">
      <c r="A83" s="70">
        <v>45394</v>
      </c>
      <c r="B83" t="s">
        <v>306</v>
      </c>
      <c r="C83" s="71" t="s">
        <v>307</v>
      </c>
      <c r="D83" s="75">
        <v>106</v>
      </c>
      <c r="E83" s="75">
        <v>0</v>
      </c>
      <c r="F83" s="75">
        <v>16222.79</v>
      </c>
      <c r="G83" s="75"/>
      <c r="H83" s="71" t="s">
        <v>511</v>
      </c>
      <c r="J83" t="s">
        <v>756</v>
      </c>
    </row>
    <row r="84" spans="1:10" x14ac:dyDescent="0.3">
      <c r="A84" s="70">
        <v>45395</v>
      </c>
      <c r="B84" t="s">
        <v>308</v>
      </c>
      <c r="C84" s="71" t="s">
        <v>309</v>
      </c>
      <c r="D84" s="75">
        <v>15</v>
      </c>
      <c r="E84" s="75">
        <v>0</v>
      </c>
      <c r="F84" s="75">
        <v>16207.79</v>
      </c>
      <c r="G84" s="75"/>
      <c r="H84" s="71" t="s">
        <v>746</v>
      </c>
      <c r="J84" t="s">
        <v>756</v>
      </c>
    </row>
    <row r="85" spans="1:10" x14ac:dyDescent="0.3">
      <c r="A85" s="70">
        <v>45395</v>
      </c>
      <c r="B85" t="s">
        <v>310</v>
      </c>
      <c r="C85" s="71" t="s">
        <v>311</v>
      </c>
      <c r="D85" s="75">
        <v>0</v>
      </c>
      <c r="E85" s="75">
        <v>10</v>
      </c>
      <c r="F85" s="75">
        <v>16217.79</v>
      </c>
      <c r="G85" s="75"/>
      <c r="H85" s="71" t="s">
        <v>511</v>
      </c>
      <c r="J85" t="s">
        <v>756</v>
      </c>
    </row>
    <row r="86" spans="1:10" x14ac:dyDescent="0.3">
      <c r="A86" s="70">
        <v>45395</v>
      </c>
      <c r="B86" t="s">
        <v>792</v>
      </c>
      <c r="C86" s="71" t="s">
        <v>709</v>
      </c>
      <c r="D86" s="75">
        <v>0</v>
      </c>
      <c r="E86" s="75">
        <v>15</v>
      </c>
      <c r="F86" s="75">
        <v>2000.19</v>
      </c>
      <c r="G86" s="75"/>
      <c r="H86" s="71" t="s">
        <v>747</v>
      </c>
      <c r="J86" t="s">
        <v>757</v>
      </c>
    </row>
    <row r="87" spans="1:10" x14ac:dyDescent="0.3">
      <c r="A87" s="70">
        <v>45396</v>
      </c>
      <c r="B87" t="s">
        <v>312</v>
      </c>
      <c r="C87" s="71" t="s">
        <v>313</v>
      </c>
      <c r="D87" s="75">
        <v>100</v>
      </c>
      <c r="E87" s="75">
        <v>0</v>
      </c>
      <c r="F87" s="75">
        <v>16117.79</v>
      </c>
      <c r="G87" s="75"/>
      <c r="H87" s="71" t="s">
        <v>511</v>
      </c>
      <c r="J87" t="s">
        <v>756</v>
      </c>
    </row>
    <row r="88" spans="1:10" x14ac:dyDescent="0.3">
      <c r="A88" s="70">
        <v>45396</v>
      </c>
      <c r="B88" t="s">
        <v>314</v>
      </c>
      <c r="C88" s="71" t="s">
        <v>315</v>
      </c>
      <c r="D88" s="75">
        <v>480</v>
      </c>
      <c r="E88" s="75">
        <v>0</v>
      </c>
      <c r="F88" s="75">
        <v>15637.79</v>
      </c>
      <c r="G88" s="75"/>
      <c r="H88" s="71" t="s">
        <v>511</v>
      </c>
      <c r="J88" t="s">
        <v>756</v>
      </c>
    </row>
    <row r="89" spans="1:10" x14ac:dyDescent="0.3">
      <c r="A89" s="70">
        <v>45397</v>
      </c>
      <c r="B89" t="s">
        <v>30</v>
      </c>
      <c r="C89" s="71" t="s">
        <v>60</v>
      </c>
      <c r="D89" s="75">
        <v>426.42</v>
      </c>
      <c r="E89" s="75">
        <v>0</v>
      </c>
      <c r="F89" s="75">
        <v>45129.41</v>
      </c>
      <c r="G89" s="75"/>
      <c r="H89" s="71" t="s">
        <v>217</v>
      </c>
      <c r="I89" s="71"/>
      <c r="J89" t="s">
        <v>752</v>
      </c>
    </row>
    <row r="90" spans="1:10" x14ac:dyDescent="0.3">
      <c r="A90" s="70">
        <v>45397</v>
      </c>
      <c r="B90" t="s">
        <v>559</v>
      </c>
      <c r="C90" s="71" t="s">
        <v>545</v>
      </c>
      <c r="D90" s="75">
        <v>21000</v>
      </c>
      <c r="E90" s="75">
        <v>0</v>
      </c>
      <c r="F90" s="75">
        <v>52003.5</v>
      </c>
      <c r="G90" s="75"/>
      <c r="H90" s="71" t="s">
        <v>225</v>
      </c>
      <c r="J90" t="s">
        <v>753</v>
      </c>
    </row>
    <row r="91" spans="1:10" x14ac:dyDescent="0.3">
      <c r="A91" s="70">
        <v>45397</v>
      </c>
      <c r="B91" t="s">
        <v>316</v>
      </c>
      <c r="C91" s="71" t="s">
        <v>317</v>
      </c>
      <c r="D91" s="75">
        <v>0</v>
      </c>
      <c r="E91" s="75">
        <v>400</v>
      </c>
      <c r="F91" s="75">
        <v>16037.79</v>
      </c>
      <c r="G91" s="75"/>
      <c r="H91" s="71" t="s">
        <v>505</v>
      </c>
      <c r="J91" t="s">
        <v>756</v>
      </c>
    </row>
    <row r="92" spans="1:10" x14ac:dyDescent="0.3">
      <c r="A92" s="70">
        <v>45397</v>
      </c>
      <c r="B92" t="s">
        <v>318</v>
      </c>
      <c r="C92" s="71" t="s">
        <v>319</v>
      </c>
      <c r="D92" s="75">
        <v>5000</v>
      </c>
      <c r="E92" s="75">
        <v>0</v>
      </c>
      <c r="F92" s="75">
        <v>11037.79</v>
      </c>
      <c r="G92" s="75"/>
      <c r="H92" s="71" t="s">
        <v>219</v>
      </c>
      <c r="J92" t="s">
        <v>756</v>
      </c>
    </row>
    <row r="93" spans="1:10" x14ac:dyDescent="0.3">
      <c r="A93" s="70">
        <v>45397</v>
      </c>
      <c r="B93" t="s">
        <v>793</v>
      </c>
      <c r="C93" s="71" t="s">
        <v>712</v>
      </c>
      <c r="D93" s="75">
        <v>2000</v>
      </c>
      <c r="E93" s="75">
        <v>0</v>
      </c>
      <c r="F93" s="75">
        <v>0.19</v>
      </c>
      <c r="G93" s="75"/>
      <c r="H93" s="71" t="s">
        <v>2538</v>
      </c>
      <c r="J93" t="s">
        <v>757</v>
      </c>
    </row>
    <row r="94" spans="1:10" x14ac:dyDescent="0.3">
      <c r="A94" s="70">
        <v>45398</v>
      </c>
      <c r="B94" t="s">
        <v>34</v>
      </c>
      <c r="C94" s="71" t="s">
        <v>61</v>
      </c>
      <c r="D94" s="75">
        <v>0</v>
      </c>
      <c r="E94" s="75">
        <v>2228.21</v>
      </c>
      <c r="F94" s="75">
        <v>47357.62</v>
      </c>
      <c r="G94" s="75"/>
      <c r="H94" s="71" t="s">
        <v>217</v>
      </c>
      <c r="I94" s="71"/>
      <c r="J94" t="s">
        <v>752</v>
      </c>
    </row>
    <row r="95" spans="1:10" x14ac:dyDescent="0.3">
      <c r="A95" s="70">
        <v>45398</v>
      </c>
      <c r="B95" t="s">
        <v>34</v>
      </c>
      <c r="C95" s="71" t="s">
        <v>62</v>
      </c>
      <c r="D95" s="75">
        <v>0</v>
      </c>
      <c r="E95" s="75">
        <v>19000</v>
      </c>
      <c r="F95" s="75">
        <v>66357.62</v>
      </c>
      <c r="G95" s="75"/>
      <c r="H95" s="71" t="s">
        <v>217</v>
      </c>
      <c r="I95" s="71"/>
      <c r="J95" t="s">
        <v>752</v>
      </c>
    </row>
    <row r="96" spans="1:10" x14ac:dyDescent="0.3">
      <c r="A96" s="70">
        <v>45398</v>
      </c>
      <c r="B96" t="s">
        <v>30</v>
      </c>
      <c r="C96" s="71" t="s">
        <v>63</v>
      </c>
      <c r="D96" s="75">
        <v>142.13999999999999</v>
      </c>
      <c r="E96" s="75">
        <v>0</v>
      </c>
      <c r="F96" s="75">
        <v>66215.48</v>
      </c>
      <c r="G96" s="75"/>
      <c r="H96" s="71" t="s">
        <v>217</v>
      </c>
      <c r="I96" s="71"/>
      <c r="J96" t="s">
        <v>752</v>
      </c>
    </row>
    <row r="97" spans="1:10" x14ac:dyDescent="0.3">
      <c r="A97" s="70">
        <v>45398</v>
      </c>
      <c r="B97" t="s">
        <v>64</v>
      </c>
      <c r="C97" s="71" t="s">
        <v>65</v>
      </c>
      <c r="D97" s="75">
        <v>10000</v>
      </c>
      <c r="E97" s="75">
        <v>0</v>
      </c>
      <c r="F97" s="75">
        <v>56215.48</v>
      </c>
      <c r="G97" s="75"/>
      <c r="H97" s="71" t="s">
        <v>2538</v>
      </c>
      <c r="I97" s="71"/>
      <c r="J97" t="s">
        <v>752</v>
      </c>
    </row>
    <row r="98" spans="1:10" x14ac:dyDescent="0.3">
      <c r="A98" s="70">
        <v>45398</v>
      </c>
      <c r="B98" t="s">
        <v>320</v>
      </c>
      <c r="C98" s="71" t="s">
        <v>321</v>
      </c>
      <c r="D98" s="75">
        <v>1</v>
      </c>
      <c r="E98" s="75">
        <v>0</v>
      </c>
      <c r="F98" s="75">
        <v>11036.79</v>
      </c>
      <c r="G98" s="75"/>
      <c r="H98" s="71" t="s">
        <v>511</v>
      </c>
      <c r="J98" t="s">
        <v>756</v>
      </c>
    </row>
    <row r="99" spans="1:10" x14ac:dyDescent="0.3">
      <c r="A99" s="70">
        <v>45398</v>
      </c>
      <c r="B99" t="s">
        <v>322</v>
      </c>
      <c r="C99" s="71" t="s">
        <v>323</v>
      </c>
      <c r="D99" s="75">
        <v>1</v>
      </c>
      <c r="E99" s="75">
        <v>0</v>
      </c>
      <c r="F99" s="75">
        <v>11035.79</v>
      </c>
      <c r="G99" s="75"/>
      <c r="H99" s="71" t="s">
        <v>511</v>
      </c>
      <c r="J99" t="s">
        <v>756</v>
      </c>
    </row>
    <row r="100" spans="1:10" x14ac:dyDescent="0.3">
      <c r="A100" s="70">
        <v>45398</v>
      </c>
      <c r="B100" t="s">
        <v>324</v>
      </c>
      <c r="C100" s="71" t="s">
        <v>325</v>
      </c>
      <c r="D100" s="75">
        <v>1</v>
      </c>
      <c r="E100" s="75">
        <v>0</v>
      </c>
      <c r="F100" s="75">
        <v>11034.79</v>
      </c>
      <c r="G100" s="75"/>
      <c r="H100" s="71" t="s">
        <v>511</v>
      </c>
      <c r="J100" t="s">
        <v>756</v>
      </c>
    </row>
    <row r="101" spans="1:10" x14ac:dyDescent="0.3">
      <c r="A101" s="70">
        <v>45398</v>
      </c>
      <c r="B101" t="s">
        <v>326</v>
      </c>
      <c r="C101" s="71" t="s">
        <v>327</v>
      </c>
      <c r="D101" s="75">
        <v>1132</v>
      </c>
      <c r="E101" s="75">
        <v>0</v>
      </c>
      <c r="F101" s="75">
        <v>9902.7900000000009</v>
      </c>
      <c r="G101" s="75"/>
      <c r="H101" s="71" t="s">
        <v>511</v>
      </c>
      <c r="J101" t="s">
        <v>756</v>
      </c>
    </row>
    <row r="102" spans="1:10" x14ac:dyDescent="0.3">
      <c r="A102" s="70">
        <v>45398</v>
      </c>
      <c r="B102" t="s">
        <v>328</v>
      </c>
      <c r="C102" s="71" t="s">
        <v>329</v>
      </c>
      <c r="D102" s="75">
        <v>2000</v>
      </c>
      <c r="E102" s="75">
        <v>0</v>
      </c>
      <c r="F102" s="75">
        <v>7902.7900000000009</v>
      </c>
      <c r="G102" s="75"/>
      <c r="H102" s="71" t="s">
        <v>746</v>
      </c>
      <c r="J102" t="s">
        <v>756</v>
      </c>
    </row>
    <row r="103" spans="1:10" x14ac:dyDescent="0.3">
      <c r="A103" s="70">
        <v>45398</v>
      </c>
      <c r="B103" t="s">
        <v>330</v>
      </c>
      <c r="C103" s="71" t="s">
        <v>331</v>
      </c>
      <c r="D103" s="75">
        <v>50</v>
      </c>
      <c r="E103" s="75">
        <v>0</v>
      </c>
      <c r="F103" s="75">
        <v>7852.7900000000009</v>
      </c>
      <c r="G103" s="75"/>
      <c r="H103" s="71" t="s">
        <v>228</v>
      </c>
      <c r="J103" t="s">
        <v>756</v>
      </c>
    </row>
    <row r="104" spans="1:10" x14ac:dyDescent="0.3">
      <c r="A104" s="70">
        <v>45398</v>
      </c>
      <c r="B104" t="s">
        <v>332</v>
      </c>
      <c r="C104" s="71" t="s">
        <v>333</v>
      </c>
      <c r="D104" s="75">
        <v>80</v>
      </c>
      <c r="E104" s="75">
        <v>0</v>
      </c>
      <c r="F104" s="75">
        <v>7772.7900000000009</v>
      </c>
      <c r="G104" s="75"/>
      <c r="H104" s="71" t="s">
        <v>511</v>
      </c>
      <c r="J104" t="s">
        <v>756</v>
      </c>
    </row>
    <row r="105" spans="1:10" x14ac:dyDescent="0.3">
      <c r="A105" s="70">
        <v>45398</v>
      </c>
      <c r="B105" t="s">
        <v>334</v>
      </c>
      <c r="C105" s="71" t="s">
        <v>335</v>
      </c>
      <c r="D105" s="75">
        <v>0</v>
      </c>
      <c r="E105" s="75">
        <v>804</v>
      </c>
      <c r="F105" s="75">
        <v>8576.7900000000009</v>
      </c>
      <c r="G105" s="75"/>
      <c r="H105" s="71" t="s">
        <v>509</v>
      </c>
      <c r="J105" t="s">
        <v>756</v>
      </c>
    </row>
    <row r="106" spans="1:10" x14ac:dyDescent="0.3">
      <c r="A106" s="70">
        <v>45398</v>
      </c>
      <c r="B106" t="s">
        <v>794</v>
      </c>
      <c r="C106" s="71" t="s">
        <v>715</v>
      </c>
      <c r="D106" s="75">
        <v>0</v>
      </c>
      <c r="E106" s="75">
        <v>2000</v>
      </c>
      <c r="F106" s="75">
        <v>2000.19</v>
      </c>
      <c r="G106" s="75"/>
      <c r="H106" s="71" t="s">
        <v>744</v>
      </c>
      <c r="J106" t="s">
        <v>757</v>
      </c>
    </row>
    <row r="107" spans="1:10" x14ac:dyDescent="0.3">
      <c r="A107" s="70">
        <v>45399</v>
      </c>
      <c r="B107" t="s">
        <v>336</v>
      </c>
      <c r="C107" s="71" t="s">
        <v>337</v>
      </c>
      <c r="D107" s="75">
        <v>961</v>
      </c>
      <c r="E107" s="75">
        <v>0</v>
      </c>
      <c r="F107" s="75">
        <v>7615.7900000000009</v>
      </c>
      <c r="G107" s="75"/>
      <c r="H107" s="71" t="s">
        <v>511</v>
      </c>
      <c r="J107" t="s">
        <v>756</v>
      </c>
    </row>
    <row r="108" spans="1:10" x14ac:dyDescent="0.3">
      <c r="A108" s="70">
        <v>45399</v>
      </c>
      <c r="B108" t="s">
        <v>338</v>
      </c>
      <c r="C108" s="71" t="s">
        <v>339</v>
      </c>
      <c r="D108" s="75">
        <v>261</v>
      </c>
      <c r="E108" s="75">
        <v>0</v>
      </c>
      <c r="F108" s="75">
        <v>7354.7900000000009</v>
      </c>
      <c r="G108" s="75"/>
      <c r="H108" s="71" t="s">
        <v>511</v>
      </c>
      <c r="J108" t="s">
        <v>756</v>
      </c>
    </row>
    <row r="109" spans="1:10" x14ac:dyDescent="0.3">
      <c r="A109" s="70">
        <v>45399</v>
      </c>
      <c r="B109" t="s">
        <v>340</v>
      </c>
      <c r="C109" s="71" t="s">
        <v>341</v>
      </c>
      <c r="D109" s="75">
        <v>20</v>
      </c>
      <c r="E109" s="75">
        <v>0</v>
      </c>
      <c r="F109" s="75">
        <v>7334.7900000000009</v>
      </c>
      <c r="G109" s="75"/>
      <c r="H109" s="71" t="s">
        <v>511</v>
      </c>
      <c r="J109" t="s">
        <v>756</v>
      </c>
    </row>
    <row r="110" spans="1:10" x14ac:dyDescent="0.3">
      <c r="A110" s="70">
        <v>45399</v>
      </c>
      <c r="B110" t="s">
        <v>342</v>
      </c>
      <c r="C110" s="71" t="s">
        <v>343</v>
      </c>
      <c r="D110" s="75">
        <v>70</v>
      </c>
      <c r="E110" s="75">
        <v>0</v>
      </c>
      <c r="F110" s="75">
        <v>7264.7900000000009</v>
      </c>
      <c r="G110" s="75"/>
      <c r="H110" s="71" t="s">
        <v>511</v>
      </c>
      <c r="J110" t="s">
        <v>756</v>
      </c>
    </row>
    <row r="111" spans="1:10" x14ac:dyDescent="0.3">
      <c r="A111" s="70">
        <v>45400</v>
      </c>
      <c r="B111" t="s">
        <v>34</v>
      </c>
      <c r="C111" s="71" t="s">
        <v>66</v>
      </c>
      <c r="D111" s="75">
        <v>0</v>
      </c>
      <c r="E111" s="75">
        <v>360.75</v>
      </c>
      <c r="F111" s="75">
        <v>56576.23</v>
      </c>
      <c r="G111" s="75"/>
      <c r="H111" s="71" t="s">
        <v>217</v>
      </c>
      <c r="I111" s="71"/>
      <c r="J111" t="s">
        <v>752</v>
      </c>
    </row>
    <row r="112" spans="1:10" x14ac:dyDescent="0.3">
      <c r="A112" s="70">
        <v>45400</v>
      </c>
      <c r="B112" t="s">
        <v>30</v>
      </c>
      <c r="C112" s="71" t="s">
        <v>67</v>
      </c>
      <c r="D112" s="75">
        <v>275.68</v>
      </c>
      <c r="E112" s="75">
        <v>0</v>
      </c>
      <c r="F112" s="75">
        <v>56300.55</v>
      </c>
      <c r="G112" s="75"/>
      <c r="H112" s="71" t="s">
        <v>217</v>
      </c>
      <c r="I112" s="71"/>
      <c r="J112" t="s">
        <v>752</v>
      </c>
    </row>
    <row r="113" spans="1:10" x14ac:dyDescent="0.3">
      <c r="A113" s="70">
        <v>45400</v>
      </c>
      <c r="B113" t="s">
        <v>30</v>
      </c>
      <c r="C113" s="71" t="s">
        <v>68</v>
      </c>
      <c r="D113" s="75">
        <v>710.07</v>
      </c>
      <c r="E113" s="75">
        <v>0</v>
      </c>
      <c r="F113" s="75">
        <v>55590.48</v>
      </c>
      <c r="G113" s="75"/>
      <c r="H113" s="71" t="s">
        <v>217</v>
      </c>
      <c r="I113" s="71"/>
      <c r="J113" t="s">
        <v>752</v>
      </c>
    </row>
    <row r="114" spans="1:10" x14ac:dyDescent="0.3">
      <c r="A114" s="70">
        <v>45400</v>
      </c>
      <c r="B114" t="s">
        <v>795</v>
      </c>
      <c r="C114" s="71" t="s">
        <v>717</v>
      </c>
      <c r="D114" s="75">
        <v>50</v>
      </c>
      <c r="E114" s="75">
        <v>0</v>
      </c>
      <c r="F114" s="75">
        <v>1950.19</v>
      </c>
      <c r="G114" s="75"/>
      <c r="H114" s="71" t="s">
        <v>511</v>
      </c>
      <c r="J114" t="s">
        <v>757</v>
      </c>
    </row>
    <row r="115" spans="1:10" x14ac:dyDescent="0.3">
      <c r="A115" s="70">
        <v>45401</v>
      </c>
      <c r="B115" t="s">
        <v>30</v>
      </c>
      <c r="C115" s="71" t="s">
        <v>69</v>
      </c>
      <c r="D115" s="75">
        <v>137.72</v>
      </c>
      <c r="E115" s="75">
        <v>0</v>
      </c>
      <c r="F115" s="75">
        <v>55452.76</v>
      </c>
      <c r="G115" s="75"/>
      <c r="H115" s="71" t="s">
        <v>217</v>
      </c>
      <c r="I115" s="71"/>
      <c r="J115" t="s">
        <v>752</v>
      </c>
    </row>
    <row r="116" spans="1:10" x14ac:dyDescent="0.3">
      <c r="A116" s="70">
        <v>45401</v>
      </c>
      <c r="B116" t="s">
        <v>30</v>
      </c>
      <c r="C116" s="71" t="s">
        <v>70</v>
      </c>
      <c r="D116" s="75">
        <v>1181.51</v>
      </c>
      <c r="E116" s="75">
        <v>0</v>
      </c>
      <c r="F116" s="75">
        <v>54271.25</v>
      </c>
      <c r="G116" s="75"/>
      <c r="H116" s="71" t="s">
        <v>217</v>
      </c>
      <c r="I116" s="71"/>
      <c r="J116" t="s">
        <v>752</v>
      </c>
    </row>
    <row r="117" spans="1:10" x14ac:dyDescent="0.3">
      <c r="A117" s="70">
        <v>45403</v>
      </c>
      <c r="B117" t="s">
        <v>253</v>
      </c>
      <c r="C117" s="71" t="s">
        <v>252</v>
      </c>
      <c r="D117" s="75">
        <v>1.18</v>
      </c>
      <c r="E117" s="75">
        <v>0</v>
      </c>
      <c r="F117" s="75">
        <v>16846.03</v>
      </c>
      <c r="G117" s="75"/>
      <c r="H117" s="71" t="s">
        <v>221</v>
      </c>
      <c r="J117" t="s">
        <v>755</v>
      </c>
    </row>
    <row r="118" spans="1:10" x14ac:dyDescent="0.3">
      <c r="A118" s="70">
        <v>45403</v>
      </c>
      <c r="B118" t="s">
        <v>344</v>
      </c>
      <c r="C118" s="71" t="s">
        <v>345</v>
      </c>
      <c r="D118" s="75">
        <v>914</v>
      </c>
      <c r="E118" s="75">
        <v>0</v>
      </c>
      <c r="F118" s="75">
        <v>6350.7900000000009</v>
      </c>
      <c r="G118" s="75"/>
      <c r="H118" s="71" t="s">
        <v>511</v>
      </c>
      <c r="J118" t="s">
        <v>756</v>
      </c>
    </row>
    <row r="119" spans="1:10" x14ac:dyDescent="0.3">
      <c r="A119" s="70">
        <v>45403</v>
      </c>
      <c r="B119" t="s">
        <v>346</v>
      </c>
      <c r="C119" s="71" t="s">
        <v>347</v>
      </c>
      <c r="D119" s="75">
        <v>736.9</v>
      </c>
      <c r="E119" s="75">
        <v>0</v>
      </c>
      <c r="F119" s="75">
        <v>5613.8900000000012</v>
      </c>
      <c r="G119" s="75"/>
      <c r="H119" s="71" t="s">
        <v>509</v>
      </c>
      <c r="J119" t="s">
        <v>756</v>
      </c>
    </row>
    <row r="120" spans="1:10" x14ac:dyDescent="0.3">
      <c r="A120" s="70">
        <v>45403</v>
      </c>
      <c r="B120" t="s">
        <v>348</v>
      </c>
      <c r="C120" s="71" t="s">
        <v>349</v>
      </c>
      <c r="D120" s="75">
        <v>91</v>
      </c>
      <c r="E120" s="75">
        <v>0</v>
      </c>
      <c r="F120" s="75">
        <v>5522.8900000000012</v>
      </c>
      <c r="G120" s="75"/>
      <c r="H120" s="71" t="s">
        <v>511</v>
      </c>
      <c r="J120" t="s">
        <v>756</v>
      </c>
    </row>
    <row r="121" spans="1:10" x14ac:dyDescent="0.3">
      <c r="A121" s="70">
        <v>45404</v>
      </c>
      <c r="B121" t="s">
        <v>30</v>
      </c>
      <c r="C121" s="71" t="s">
        <v>71</v>
      </c>
      <c r="D121" s="75">
        <v>411.9</v>
      </c>
      <c r="E121" s="75">
        <v>0</v>
      </c>
      <c r="F121" s="75">
        <v>53859.35</v>
      </c>
      <c r="G121" s="75"/>
      <c r="H121" s="71" t="s">
        <v>217</v>
      </c>
      <c r="I121" s="71"/>
      <c r="J121" t="s">
        <v>752</v>
      </c>
    </row>
    <row r="122" spans="1:10" x14ac:dyDescent="0.3">
      <c r="A122" s="70">
        <v>45404</v>
      </c>
      <c r="B122" t="s">
        <v>350</v>
      </c>
      <c r="C122" s="71" t="s">
        <v>351</v>
      </c>
      <c r="D122" s="75">
        <v>100</v>
      </c>
      <c r="E122" s="75">
        <v>0</v>
      </c>
      <c r="F122" s="75">
        <v>5422.8900000000012</v>
      </c>
      <c r="G122" s="75"/>
      <c r="H122" s="71" t="s">
        <v>511</v>
      </c>
      <c r="J122" t="s">
        <v>756</v>
      </c>
    </row>
    <row r="123" spans="1:10" x14ac:dyDescent="0.3">
      <c r="A123" s="70">
        <v>45405</v>
      </c>
      <c r="B123" t="s">
        <v>34</v>
      </c>
      <c r="C123" s="71" t="s">
        <v>72</v>
      </c>
      <c r="D123" s="75">
        <v>0</v>
      </c>
      <c r="E123" s="75">
        <v>1968.45</v>
      </c>
      <c r="F123" s="75">
        <v>55827.8</v>
      </c>
      <c r="G123" s="75"/>
      <c r="H123" s="71" t="s">
        <v>217</v>
      </c>
      <c r="I123" s="71"/>
      <c r="J123" t="s">
        <v>752</v>
      </c>
    </row>
    <row r="124" spans="1:10" x14ac:dyDescent="0.3">
      <c r="A124" s="70">
        <v>45405</v>
      </c>
      <c r="B124" t="s">
        <v>30</v>
      </c>
      <c r="C124" s="71" t="s">
        <v>73</v>
      </c>
      <c r="D124" s="75">
        <v>137.30000000000001</v>
      </c>
      <c r="E124" s="75">
        <v>0</v>
      </c>
      <c r="F124" s="75">
        <v>55690.5</v>
      </c>
      <c r="G124" s="75"/>
      <c r="H124" s="71" t="s">
        <v>217</v>
      </c>
      <c r="I124" s="71"/>
      <c r="J124" t="s">
        <v>752</v>
      </c>
    </row>
    <row r="125" spans="1:10" x14ac:dyDescent="0.3">
      <c r="A125" s="70">
        <v>45405</v>
      </c>
      <c r="B125" t="s">
        <v>30</v>
      </c>
      <c r="C125" s="71" t="s">
        <v>74</v>
      </c>
      <c r="D125" s="75">
        <v>640.47</v>
      </c>
      <c r="E125" s="75">
        <v>0</v>
      </c>
      <c r="F125" s="75">
        <v>55050.03</v>
      </c>
      <c r="G125" s="75"/>
      <c r="H125" s="71" t="s">
        <v>217</v>
      </c>
      <c r="I125" s="71"/>
      <c r="J125" t="s">
        <v>752</v>
      </c>
    </row>
    <row r="126" spans="1:10" x14ac:dyDescent="0.3">
      <c r="A126" s="70">
        <v>45405</v>
      </c>
      <c r="B126" t="s">
        <v>560</v>
      </c>
      <c r="C126" s="71" t="s">
        <v>547</v>
      </c>
      <c r="D126" s="75">
        <v>0</v>
      </c>
      <c r="E126" s="75">
        <v>1950.19</v>
      </c>
      <c r="F126" s="75">
        <v>53953.69</v>
      </c>
      <c r="G126" s="75"/>
      <c r="H126" s="71" t="s">
        <v>746</v>
      </c>
      <c r="J126" t="s">
        <v>753</v>
      </c>
    </row>
    <row r="127" spans="1:10" x14ac:dyDescent="0.3">
      <c r="A127" s="70">
        <v>45405</v>
      </c>
      <c r="B127" t="s">
        <v>796</v>
      </c>
      <c r="C127" s="71" t="s">
        <v>719</v>
      </c>
      <c r="D127" s="75">
        <v>1950.19</v>
      </c>
      <c r="E127" s="75">
        <v>0</v>
      </c>
      <c r="F127" s="75">
        <v>0</v>
      </c>
      <c r="G127" s="75"/>
      <c r="H127" s="71" t="s">
        <v>745</v>
      </c>
      <c r="J127" t="s">
        <v>757</v>
      </c>
    </row>
    <row r="128" spans="1:10" x14ac:dyDescent="0.3">
      <c r="A128" s="70">
        <v>45406</v>
      </c>
      <c r="B128" t="s">
        <v>30</v>
      </c>
      <c r="C128" s="71" t="s">
        <v>75</v>
      </c>
      <c r="D128" s="75">
        <v>137.77000000000001</v>
      </c>
      <c r="E128" s="75">
        <v>0</v>
      </c>
      <c r="F128" s="75">
        <v>54912.26</v>
      </c>
      <c r="G128" s="75"/>
      <c r="H128" s="71" t="s">
        <v>217</v>
      </c>
      <c r="I128" s="71"/>
      <c r="J128" t="s">
        <v>752</v>
      </c>
    </row>
    <row r="129" spans="1:10" x14ac:dyDescent="0.3">
      <c r="A129" s="70">
        <v>45407</v>
      </c>
      <c r="B129" t="s">
        <v>34</v>
      </c>
      <c r="C129" s="71" t="s">
        <v>76</v>
      </c>
      <c r="D129" s="75">
        <v>0</v>
      </c>
      <c r="E129" s="75">
        <v>34.58</v>
      </c>
      <c r="F129" s="75">
        <v>54946.84</v>
      </c>
      <c r="G129" s="75"/>
      <c r="H129" s="71" t="s">
        <v>217</v>
      </c>
      <c r="I129" s="71"/>
      <c r="J129" t="s">
        <v>752</v>
      </c>
    </row>
    <row r="130" spans="1:10" x14ac:dyDescent="0.3">
      <c r="A130" s="70">
        <v>45407</v>
      </c>
      <c r="B130" t="s">
        <v>30</v>
      </c>
      <c r="C130" s="71" t="s">
        <v>77</v>
      </c>
      <c r="D130" s="75">
        <v>137.77000000000001</v>
      </c>
      <c r="E130" s="75">
        <v>0</v>
      </c>
      <c r="F130" s="75">
        <v>54809.07</v>
      </c>
      <c r="G130" s="75"/>
      <c r="H130" s="71" t="s">
        <v>217</v>
      </c>
      <c r="I130" s="71"/>
      <c r="J130" t="s">
        <v>752</v>
      </c>
    </row>
    <row r="131" spans="1:10" x14ac:dyDescent="0.3">
      <c r="A131" s="70">
        <v>45407</v>
      </c>
      <c r="B131" t="s">
        <v>352</v>
      </c>
      <c r="C131" s="71" t="s">
        <v>353</v>
      </c>
      <c r="D131" s="75">
        <v>50</v>
      </c>
      <c r="E131" s="75">
        <v>0</v>
      </c>
      <c r="F131" s="75">
        <v>5372.8900000000012</v>
      </c>
      <c r="G131" s="75"/>
      <c r="H131" s="71" t="s">
        <v>509</v>
      </c>
      <c r="J131" t="s">
        <v>756</v>
      </c>
    </row>
    <row r="132" spans="1:10" x14ac:dyDescent="0.3">
      <c r="A132" s="70">
        <v>45407</v>
      </c>
      <c r="B132" t="s">
        <v>354</v>
      </c>
      <c r="C132" s="71" t="s">
        <v>355</v>
      </c>
      <c r="D132" s="75">
        <v>199</v>
      </c>
      <c r="E132" s="75">
        <v>0</v>
      </c>
      <c r="F132" s="75">
        <v>5173.8900000000012</v>
      </c>
      <c r="G132" s="75"/>
      <c r="H132" s="71" t="s">
        <v>511</v>
      </c>
      <c r="J132" t="s">
        <v>756</v>
      </c>
    </row>
    <row r="133" spans="1:10" x14ac:dyDescent="0.3">
      <c r="A133" s="70">
        <v>45408</v>
      </c>
      <c r="B133" t="s">
        <v>34</v>
      </c>
      <c r="C133" s="71" t="s">
        <v>78</v>
      </c>
      <c r="D133" s="75">
        <v>0</v>
      </c>
      <c r="E133" s="75">
        <v>808.17</v>
      </c>
      <c r="F133" s="75">
        <v>55617.24</v>
      </c>
      <c r="G133" s="75"/>
      <c r="H133" s="71" t="s">
        <v>217</v>
      </c>
      <c r="I133" s="71"/>
      <c r="J133" t="s">
        <v>752</v>
      </c>
    </row>
    <row r="134" spans="1:10" x14ac:dyDescent="0.3">
      <c r="A134" s="70">
        <v>45408</v>
      </c>
      <c r="B134" t="s">
        <v>30</v>
      </c>
      <c r="C134" s="71" t="s">
        <v>79</v>
      </c>
      <c r="D134" s="75">
        <v>137.78</v>
      </c>
      <c r="E134" s="75">
        <v>0</v>
      </c>
      <c r="F134" s="75">
        <v>55479.46</v>
      </c>
      <c r="G134" s="75"/>
      <c r="H134" s="71" t="s">
        <v>217</v>
      </c>
      <c r="I134" s="71"/>
      <c r="J134" t="s">
        <v>752</v>
      </c>
    </row>
    <row r="135" spans="1:10" x14ac:dyDescent="0.3">
      <c r="A135" s="70">
        <v>45409</v>
      </c>
      <c r="B135" t="s">
        <v>356</v>
      </c>
      <c r="C135" s="71" t="s">
        <v>357</v>
      </c>
      <c r="D135" s="75">
        <v>75</v>
      </c>
      <c r="E135" s="75">
        <v>0</v>
      </c>
      <c r="F135" s="75">
        <v>5098.8900000000012</v>
      </c>
      <c r="G135" s="75"/>
      <c r="H135" s="71" t="s">
        <v>511</v>
      </c>
      <c r="J135" t="s">
        <v>756</v>
      </c>
    </row>
    <row r="136" spans="1:10" x14ac:dyDescent="0.3">
      <c r="A136" s="70">
        <v>45410</v>
      </c>
      <c r="B136" t="s">
        <v>561</v>
      </c>
      <c r="C136" s="71" t="s">
        <v>556</v>
      </c>
      <c r="D136" s="75">
        <v>10000</v>
      </c>
      <c r="E136" s="75">
        <v>0</v>
      </c>
      <c r="F136" s="75">
        <v>43953.69</v>
      </c>
      <c r="G136" s="75"/>
      <c r="H136" s="71" t="s">
        <v>508</v>
      </c>
      <c r="J136" t="s">
        <v>753</v>
      </c>
    </row>
    <row r="137" spans="1:10" x14ac:dyDescent="0.3">
      <c r="A137" s="70">
        <v>45411</v>
      </c>
      <c r="B137" t="s">
        <v>34</v>
      </c>
      <c r="C137" s="71" t="s">
        <v>80</v>
      </c>
      <c r="D137" s="75">
        <v>0</v>
      </c>
      <c r="E137" s="75">
        <v>12156</v>
      </c>
      <c r="F137" s="75">
        <v>67635.460000000006</v>
      </c>
      <c r="G137" s="75"/>
      <c r="H137" s="71" t="s">
        <v>217</v>
      </c>
      <c r="I137" s="71"/>
      <c r="J137" t="s">
        <v>752</v>
      </c>
    </row>
    <row r="138" spans="1:10" x14ac:dyDescent="0.3">
      <c r="A138" s="70">
        <v>45411</v>
      </c>
      <c r="B138" t="s">
        <v>81</v>
      </c>
      <c r="C138" s="71" t="s">
        <v>82</v>
      </c>
      <c r="D138" s="75">
        <v>5000</v>
      </c>
      <c r="E138" s="75">
        <v>0</v>
      </c>
      <c r="F138" s="75">
        <v>62635.46</v>
      </c>
      <c r="G138" s="75"/>
      <c r="H138" s="71" t="s">
        <v>219</v>
      </c>
      <c r="I138" s="71"/>
      <c r="J138" t="s">
        <v>752</v>
      </c>
    </row>
    <row r="139" spans="1:10" x14ac:dyDescent="0.3">
      <c r="A139" s="70">
        <v>45411</v>
      </c>
      <c r="B139" t="s">
        <v>30</v>
      </c>
      <c r="C139" s="71" t="s">
        <v>83</v>
      </c>
      <c r="D139" s="75">
        <v>414.21</v>
      </c>
      <c r="E139" s="75">
        <v>0</v>
      </c>
      <c r="F139" s="75">
        <v>62221.25</v>
      </c>
      <c r="G139" s="75"/>
      <c r="H139" s="71" t="s">
        <v>217</v>
      </c>
      <c r="I139" s="71"/>
      <c r="J139" t="s">
        <v>752</v>
      </c>
    </row>
    <row r="140" spans="1:10" x14ac:dyDescent="0.3">
      <c r="A140" s="70">
        <v>45411</v>
      </c>
      <c r="B140" t="s">
        <v>358</v>
      </c>
      <c r="C140" s="71" t="s">
        <v>359</v>
      </c>
      <c r="D140" s="75">
        <v>0</v>
      </c>
      <c r="E140" s="75">
        <v>67921</v>
      </c>
      <c r="F140" s="75">
        <v>73019.89</v>
      </c>
      <c r="G140" s="75"/>
      <c r="H140" s="71" t="s">
        <v>507</v>
      </c>
      <c r="J140" t="s">
        <v>756</v>
      </c>
    </row>
    <row r="141" spans="1:10" x14ac:dyDescent="0.3">
      <c r="A141" s="70">
        <v>45412</v>
      </c>
      <c r="B141" t="s">
        <v>34</v>
      </c>
      <c r="C141" s="71" t="s">
        <v>84</v>
      </c>
      <c r="D141" s="75">
        <v>0</v>
      </c>
      <c r="E141" s="75">
        <v>25414.99</v>
      </c>
      <c r="F141" s="75">
        <v>87636.24</v>
      </c>
      <c r="G141" s="75"/>
      <c r="H141" s="71" t="s">
        <v>217</v>
      </c>
      <c r="I141" s="71"/>
      <c r="J141" t="s">
        <v>752</v>
      </c>
    </row>
    <row r="142" spans="1:10" x14ac:dyDescent="0.3">
      <c r="A142" s="70">
        <v>45412</v>
      </c>
      <c r="B142" t="s">
        <v>85</v>
      </c>
      <c r="C142" s="71" t="s">
        <v>86</v>
      </c>
      <c r="D142" s="75">
        <v>5000</v>
      </c>
      <c r="E142" s="75">
        <v>0</v>
      </c>
      <c r="F142" s="75">
        <v>82636.240000000005</v>
      </c>
      <c r="G142" s="75"/>
      <c r="H142" s="71" t="s">
        <v>219</v>
      </c>
      <c r="I142" s="71"/>
      <c r="J142" t="s">
        <v>752</v>
      </c>
    </row>
    <row r="143" spans="1:10" x14ac:dyDescent="0.3">
      <c r="A143" s="70">
        <v>45412</v>
      </c>
      <c r="B143" t="s">
        <v>30</v>
      </c>
      <c r="C143" s="71" t="s">
        <v>87</v>
      </c>
      <c r="D143" s="75">
        <v>133.97999999999999</v>
      </c>
      <c r="E143" s="75">
        <v>0</v>
      </c>
      <c r="F143" s="75">
        <v>82502.259999999995</v>
      </c>
      <c r="G143" s="75"/>
      <c r="H143" s="71" t="s">
        <v>217</v>
      </c>
      <c r="I143" s="71"/>
      <c r="J143" t="s">
        <v>752</v>
      </c>
    </row>
    <row r="144" spans="1:10" x14ac:dyDescent="0.3">
      <c r="A144" s="70">
        <v>45412</v>
      </c>
      <c r="B144" t="s">
        <v>30</v>
      </c>
      <c r="C144" s="71" t="s">
        <v>88</v>
      </c>
      <c r="D144" s="75">
        <v>42065.11</v>
      </c>
      <c r="E144" s="75">
        <v>0</v>
      </c>
      <c r="F144" s="75">
        <v>40437.15</v>
      </c>
      <c r="G144" s="75"/>
      <c r="H144" s="71" t="s">
        <v>217</v>
      </c>
      <c r="I144" s="71"/>
      <c r="J144" t="s">
        <v>752</v>
      </c>
    </row>
    <row r="145" spans="1:10" x14ac:dyDescent="0.3">
      <c r="A145" s="70">
        <v>45412</v>
      </c>
      <c r="B145" t="s">
        <v>562</v>
      </c>
      <c r="C145" s="71" t="s">
        <v>547</v>
      </c>
      <c r="D145" s="75">
        <v>0</v>
      </c>
      <c r="E145" s="75">
        <v>35000</v>
      </c>
      <c r="F145" s="75">
        <v>78953.69</v>
      </c>
      <c r="G145" s="75"/>
      <c r="H145" s="71" t="s">
        <v>747</v>
      </c>
      <c r="J145" t="s">
        <v>753</v>
      </c>
    </row>
    <row r="146" spans="1:10" x14ac:dyDescent="0.3">
      <c r="A146" s="70">
        <v>45412</v>
      </c>
      <c r="B146" t="s">
        <v>360</v>
      </c>
      <c r="C146" s="71" t="s">
        <v>361</v>
      </c>
      <c r="D146" s="75">
        <v>35000</v>
      </c>
      <c r="E146" s="75">
        <v>0</v>
      </c>
      <c r="F146" s="75">
        <v>38019.89</v>
      </c>
      <c r="G146" s="75"/>
      <c r="H146" s="71" t="s">
        <v>745</v>
      </c>
      <c r="J146" t="s">
        <v>756</v>
      </c>
    </row>
    <row r="147" spans="1:10" x14ac:dyDescent="0.3">
      <c r="A147" s="70">
        <v>45412</v>
      </c>
      <c r="B147" t="s">
        <v>362</v>
      </c>
      <c r="C147" s="71" t="s">
        <v>363</v>
      </c>
      <c r="D147" s="75">
        <v>0</v>
      </c>
      <c r="E147" s="75">
        <v>10</v>
      </c>
      <c r="F147" s="75">
        <v>38029.89</v>
      </c>
      <c r="G147" s="75"/>
      <c r="H147" s="71" t="s">
        <v>511</v>
      </c>
      <c r="J147" t="s">
        <v>756</v>
      </c>
    </row>
    <row r="148" spans="1:10" x14ac:dyDescent="0.3">
      <c r="A148" s="70">
        <v>45412</v>
      </c>
      <c r="B148" t="s">
        <v>364</v>
      </c>
      <c r="C148" s="71" t="s">
        <v>365</v>
      </c>
      <c r="D148" s="75">
        <v>30</v>
      </c>
      <c r="E148" s="75">
        <v>0</v>
      </c>
      <c r="F148" s="75">
        <v>37999.89</v>
      </c>
      <c r="G148" s="75"/>
      <c r="H148" s="71" t="s">
        <v>511</v>
      </c>
      <c r="J148" t="s">
        <v>756</v>
      </c>
    </row>
    <row r="149" spans="1:10" x14ac:dyDescent="0.3">
      <c r="A149" s="70">
        <v>45412</v>
      </c>
      <c r="B149" t="s">
        <v>366</v>
      </c>
      <c r="C149" s="71" t="s">
        <v>367</v>
      </c>
      <c r="D149" s="75">
        <v>40</v>
      </c>
      <c r="E149" s="75">
        <v>0</v>
      </c>
      <c r="F149" s="75">
        <v>37959.89</v>
      </c>
      <c r="G149" s="75"/>
      <c r="H149" s="71" t="s">
        <v>511</v>
      </c>
      <c r="J149" t="s">
        <v>756</v>
      </c>
    </row>
    <row r="150" spans="1:10" x14ac:dyDescent="0.3">
      <c r="A150" s="70">
        <v>45413</v>
      </c>
      <c r="B150" t="s">
        <v>2561</v>
      </c>
      <c r="C150" s="71"/>
      <c r="D150" s="75">
        <v>0</v>
      </c>
      <c r="E150" s="75">
        <v>1</v>
      </c>
      <c r="F150" s="75">
        <v>226</v>
      </c>
      <c r="G150" s="75"/>
      <c r="H150" s="71" t="s">
        <v>227</v>
      </c>
      <c r="J150" t="s">
        <v>2573</v>
      </c>
    </row>
    <row r="151" spans="1:10" x14ac:dyDescent="0.3">
      <c r="A151" s="70">
        <v>45414</v>
      </c>
      <c r="B151" t="s">
        <v>30</v>
      </c>
      <c r="C151" s="71" t="s">
        <v>89</v>
      </c>
      <c r="D151" s="75">
        <v>212.74</v>
      </c>
      <c r="E151" s="75">
        <v>0</v>
      </c>
      <c r="F151" s="75">
        <v>40224.410000000003</v>
      </c>
      <c r="G151" s="75"/>
      <c r="H151" s="71" t="s">
        <v>217</v>
      </c>
      <c r="I151" s="71"/>
      <c r="J151" t="s">
        <v>752</v>
      </c>
    </row>
    <row r="152" spans="1:10" x14ac:dyDescent="0.3">
      <c r="A152" s="70">
        <v>45414</v>
      </c>
      <c r="B152" t="s">
        <v>30</v>
      </c>
      <c r="C152" s="71" t="s">
        <v>90</v>
      </c>
      <c r="D152" s="75">
        <v>93.48</v>
      </c>
      <c r="E152" s="75">
        <v>0</v>
      </c>
      <c r="F152" s="75">
        <v>40130.93</v>
      </c>
      <c r="G152" s="75"/>
      <c r="H152" s="71" t="s">
        <v>217</v>
      </c>
      <c r="I152" s="71"/>
      <c r="J152" t="s">
        <v>752</v>
      </c>
    </row>
    <row r="153" spans="1:10" x14ac:dyDescent="0.3">
      <c r="A153" s="70">
        <v>45415</v>
      </c>
      <c r="B153" t="s">
        <v>91</v>
      </c>
      <c r="C153" s="71" t="s">
        <v>92</v>
      </c>
      <c r="D153" s="75">
        <v>295</v>
      </c>
      <c r="E153" s="75">
        <v>0</v>
      </c>
      <c r="F153" s="75">
        <v>39835.93</v>
      </c>
      <c r="G153" s="75"/>
      <c r="H153" s="71" t="s">
        <v>221</v>
      </c>
      <c r="I153" s="71"/>
      <c r="J153" t="s">
        <v>752</v>
      </c>
    </row>
    <row r="154" spans="1:10" x14ac:dyDescent="0.3">
      <c r="A154" s="70">
        <v>45415</v>
      </c>
      <c r="B154" t="s">
        <v>30</v>
      </c>
      <c r="C154" s="71" t="s">
        <v>93</v>
      </c>
      <c r="D154" s="75">
        <v>106.34</v>
      </c>
      <c r="E154" s="75">
        <v>0</v>
      </c>
      <c r="F154" s="75">
        <v>39729.589999999997</v>
      </c>
      <c r="G154" s="75"/>
      <c r="H154" s="71" t="s">
        <v>217</v>
      </c>
      <c r="I154" s="71"/>
      <c r="J154" t="s">
        <v>752</v>
      </c>
    </row>
    <row r="155" spans="1:10" x14ac:dyDescent="0.3">
      <c r="A155" s="70">
        <v>45415</v>
      </c>
      <c r="B155" t="s">
        <v>94</v>
      </c>
      <c r="C155" s="71" t="s">
        <v>95</v>
      </c>
      <c r="D155" s="75">
        <v>2000</v>
      </c>
      <c r="E155" s="75">
        <v>0</v>
      </c>
      <c r="F155" s="75">
        <v>37729.589999999997</v>
      </c>
      <c r="G155" s="75"/>
      <c r="H155" s="71" t="s">
        <v>223</v>
      </c>
      <c r="I155" s="71"/>
      <c r="J155" t="s">
        <v>752</v>
      </c>
    </row>
    <row r="156" spans="1:10" x14ac:dyDescent="0.3">
      <c r="A156" s="70">
        <v>45415</v>
      </c>
      <c r="B156" t="s">
        <v>30</v>
      </c>
      <c r="C156" s="71" t="s">
        <v>96</v>
      </c>
      <c r="D156" s="75">
        <v>517.47</v>
      </c>
      <c r="E156" s="75">
        <v>0</v>
      </c>
      <c r="F156" s="75">
        <v>37212.120000000003</v>
      </c>
      <c r="G156" s="75"/>
      <c r="H156" s="71" t="s">
        <v>217</v>
      </c>
      <c r="I156" s="71"/>
      <c r="J156" t="s">
        <v>752</v>
      </c>
    </row>
    <row r="157" spans="1:10" x14ac:dyDescent="0.3">
      <c r="A157" s="70">
        <v>45417</v>
      </c>
      <c r="B157" t="s">
        <v>368</v>
      </c>
      <c r="C157" s="71" t="s">
        <v>369</v>
      </c>
      <c r="D157" s="75">
        <v>15000</v>
      </c>
      <c r="E157" s="75">
        <v>0</v>
      </c>
      <c r="F157" s="75">
        <v>22959.89</v>
      </c>
      <c r="G157" s="75"/>
      <c r="H157" s="71" t="s">
        <v>512</v>
      </c>
      <c r="J157" t="s">
        <v>756</v>
      </c>
    </row>
    <row r="158" spans="1:10" x14ac:dyDescent="0.3">
      <c r="A158" s="70">
        <v>45417</v>
      </c>
      <c r="B158" t="s">
        <v>370</v>
      </c>
      <c r="C158" s="71" t="s">
        <v>371</v>
      </c>
      <c r="D158" s="75">
        <v>14728</v>
      </c>
      <c r="E158" s="75">
        <v>0</v>
      </c>
      <c r="F158" s="75">
        <v>8231.89</v>
      </c>
      <c r="G158" s="75"/>
      <c r="H158" s="71" t="s">
        <v>509</v>
      </c>
      <c r="J158" t="s">
        <v>756</v>
      </c>
    </row>
    <row r="159" spans="1:10" x14ac:dyDescent="0.3">
      <c r="A159" s="70">
        <v>45418</v>
      </c>
      <c r="B159" t="s">
        <v>30</v>
      </c>
      <c r="C159" s="71" t="s">
        <v>97</v>
      </c>
      <c r="D159" s="75">
        <v>318.48</v>
      </c>
      <c r="E159" s="75">
        <v>0</v>
      </c>
      <c r="F159" s="75">
        <v>36893.64</v>
      </c>
      <c r="G159" s="75"/>
      <c r="H159" s="71" t="s">
        <v>217</v>
      </c>
      <c r="I159" s="71"/>
      <c r="J159" t="s">
        <v>752</v>
      </c>
    </row>
    <row r="160" spans="1:10" x14ac:dyDescent="0.3">
      <c r="A160" s="70">
        <v>45418</v>
      </c>
      <c r="B160" t="s">
        <v>372</v>
      </c>
      <c r="C160" s="71" t="s">
        <v>373</v>
      </c>
      <c r="D160" s="75">
        <v>190</v>
      </c>
      <c r="E160" s="75">
        <v>0</v>
      </c>
      <c r="F160" s="75">
        <v>8041.8899999999994</v>
      </c>
      <c r="G160" s="75"/>
      <c r="H160" s="71" t="s">
        <v>511</v>
      </c>
      <c r="J160" t="s">
        <v>756</v>
      </c>
    </row>
    <row r="161" spans="1:10" x14ac:dyDescent="0.3">
      <c r="A161" s="70">
        <v>45419</v>
      </c>
      <c r="B161" t="s">
        <v>34</v>
      </c>
      <c r="C161" s="71" t="s">
        <v>98</v>
      </c>
      <c r="D161" s="75">
        <v>0</v>
      </c>
      <c r="E161" s="75">
        <v>22182.26</v>
      </c>
      <c r="F161" s="75">
        <v>59075.9</v>
      </c>
      <c r="G161" s="75"/>
      <c r="H161" s="71" t="s">
        <v>217</v>
      </c>
      <c r="I161" s="71"/>
      <c r="J161" t="s">
        <v>752</v>
      </c>
    </row>
    <row r="162" spans="1:10" x14ac:dyDescent="0.3">
      <c r="A162" s="70">
        <v>45419</v>
      </c>
      <c r="B162" t="s">
        <v>30</v>
      </c>
      <c r="C162" s="71" t="s">
        <v>99</v>
      </c>
      <c r="D162" s="75">
        <v>106.16</v>
      </c>
      <c r="E162" s="75">
        <v>0</v>
      </c>
      <c r="F162" s="75">
        <v>58969.74</v>
      </c>
      <c r="G162" s="75"/>
      <c r="H162" s="71" t="s">
        <v>217</v>
      </c>
      <c r="I162" s="71"/>
      <c r="J162" t="s">
        <v>752</v>
      </c>
    </row>
    <row r="163" spans="1:10" x14ac:dyDescent="0.3">
      <c r="A163" s="70">
        <v>45419</v>
      </c>
      <c r="B163" t="s">
        <v>100</v>
      </c>
      <c r="C163" s="71" t="s">
        <v>101</v>
      </c>
      <c r="D163" s="75">
        <v>0</v>
      </c>
      <c r="E163" s="75">
        <v>1880</v>
      </c>
      <c r="F163" s="75">
        <v>60849.74</v>
      </c>
      <c r="G163" s="75"/>
      <c r="H163" s="71" t="s">
        <v>222</v>
      </c>
      <c r="I163" s="71"/>
      <c r="J163" t="s">
        <v>752</v>
      </c>
    </row>
    <row r="164" spans="1:10" x14ac:dyDescent="0.3">
      <c r="A164" s="70">
        <v>45419</v>
      </c>
      <c r="B164" t="s">
        <v>30</v>
      </c>
      <c r="C164" s="71" t="s">
        <v>102</v>
      </c>
      <c r="D164" s="75">
        <v>3897.36</v>
      </c>
      <c r="E164" s="75">
        <v>0</v>
      </c>
      <c r="F164" s="75">
        <v>56952.38</v>
      </c>
      <c r="G164" s="75"/>
      <c r="H164" s="71" t="s">
        <v>217</v>
      </c>
      <c r="I164" s="71"/>
      <c r="J164" t="s">
        <v>752</v>
      </c>
    </row>
    <row r="165" spans="1:10" x14ac:dyDescent="0.3">
      <c r="A165" s="70">
        <v>45419</v>
      </c>
      <c r="B165" t="s">
        <v>374</v>
      </c>
      <c r="C165" s="71" t="s">
        <v>375</v>
      </c>
      <c r="D165" s="75">
        <v>80</v>
      </c>
      <c r="E165" s="75">
        <v>0</v>
      </c>
      <c r="F165" s="75">
        <v>7961.8899999999994</v>
      </c>
      <c r="G165" s="75"/>
      <c r="H165" s="71" t="s">
        <v>511</v>
      </c>
      <c r="J165" t="s">
        <v>756</v>
      </c>
    </row>
    <row r="166" spans="1:10" x14ac:dyDescent="0.3">
      <c r="A166" s="70">
        <v>45420</v>
      </c>
      <c r="B166" t="s">
        <v>30</v>
      </c>
      <c r="C166" s="71" t="s">
        <v>103</v>
      </c>
      <c r="D166" s="75">
        <v>95.13</v>
      </c>
      <c r="E166" s="75">
        <v>0</v>
      </c>
      <c r="F166" s="75">
        <v>56857.25</v>
      </c>
      <c r="G166" s="75"/>
      <c r="H166" s="71" t="s">
        <v>217</v>
      </c>
      <c r="I166" s="71"/>
      <c r="J166" t="s">
        <v>752</v>
      </c>
    </row>
    <row r="167" spans="1:10" x14ac:dyDescent="0.3">
      <c r="A167" s="70">
        <v>45420</v>
      </c>
      <c r="B167" t="s">
        <v>376</v>
      </c>
      <c r="C167" s="71" t="s">
        <v>377</v>
      </c>
      <c r="D167" s="75">
        <v>102.25</v>
      </c>
      <c r="E167" s="75">
        <v>0</v>
      </c>
      <c r="F167" s="75">
        <v>7859.6399999999994</v>
      </c>
      <c r="G167" s="75"/>
      <c r="H167" s="71" t="s">
        <v>511</v>
      </c>
      <c r="J167" t="s">
        <v>756</v>
      </c>
    </row>
    <row r="168" spans="1:10" x14ac:dyDescent="0.3">
      <c r="A168" s="70">
        <v>45421</v>
      </c>
      <c r="B168" t="s">
        <v>34</v>
      </c>
      <c r="C168" s="71" t="s">
        <v>104</v>
      </c>
      <c r="D168" s="75">
        <v>0</v>
      </c>
      <c r="E168" s="75">
        <v>11.83</v>
      </c>
      <c r="F168" s="75">
        <v>56869.08</v>
      </c>
      <c r="G168" s="75"/>
      <c r="H168" s="71" t="s">
        <v>217</v>
      </c>
      <c r="I168" s="71"/>
      <c r="J168" t="s">
        <v>752</v>
      </c>
    </row>
    <row r="169" spans="1:10" x14ac:dyDescent="0.3">
      <c r="A169" s="70">
        <v>45421</v>
      </c>
      <c r="B169" t="s">
        <v>30</v>
      </c>
      <c r="C169" s="71" t="s">
        <v>105</v>
      </c>
      <c r="D169" s="75">
        <v>98.24</v>
      </c>
      <c r="E169" s="75">
        <v>0</v>
      </c>
      <c r="F169" s="75">
        <v>56770.84</v>
      </c>
      <c r="G169" s="75"/>
      <c r="H169" s="71" t="s">
        <v>217</v>
      </c>
      <c r="I169" s="71"/>
      <c r="J169" t="s">
        <v>752</v>
      </c>
    </row>
    <row r="170" spans="1:10" x14ac:dyDescent="0.3">
      <c r="A170" s="70">
        <v>45421</v>
      </c>
      <c r="B170" t="s">
        <v>106</v>
      </c>
      <c r="C170" s="71" t="s">
        <v>46</v>
      </c>
      <c r="D170" s="75">
        <v>726.48</v>
      </c>
      <c r="E170" s="75">
        <v>0</v>
      </c>
      <c r="F170" s="75">
        <v>56044.36</v>
      </c>
      <c r="G170" s="75"/>
      <c r="H170" s="71" t="s">
        <v>220</v>
      </c>
      <c r="I170" s="71"/>
      <c r="J170" t="s">
        <v>752</v>
      </c>
    </row>
    <row r="171" spans="1:10" x14ac:dyDescent="0.3">
      <c r="A171" s="70">
        <v>45421</v>
      </c>
      <c r="B171" t="s">
        <v>30</v>
      </c>
      <c r="C171" s="71" t="s">
        <v>107</v>
      </c>
      <c r="D171" s="75">
        <v>1266.3399999999999</v>
      </c>
      <c r="E171" s="75">
        <v>0</v>
      </c>
      <c r="F171" s="75">
        <v>54778.02</v>
      </c>
      <c r="G171" s="75"/>
      <c r="H171" s="71" t="s">
        <v>217</v>
      </c>
      <c r="I171" s="71"/>
      <c r="J171" t="s">
        <v>752</v>
      </c>
    </row>
    <row r="172" spans="1:10" x14ac:dyDescent="0.3">
      <c r="A172" s="70">
        <v>45421</v>
      </c>
      <c r="B172" t="s">
        <v>563</v>
      </c>
      <c r="C172" s="71" t="s">
        <v>564</v>
      </c>
      <c r="D172" s="75">
        <v>85</v>
      </c>
      <c r="E172" s="75">
        <v>0</v>
      </c>
      <c r="F172" s="75">
        <v>78868.69</v>
      </c>
      <c r="G172" s="75"/>
      <c r="H172" s="71" t="s">
        <v>589</v>
      </c>
      <c r="J172" t="s">
        <v>753</v>
      </c>
    </row>
    <row r="173" spans="1:10" x14ac:dyDescent="0.3">
      <c r="A173" s="70">
        <v>45421</v>
      </c>
      <c r="B173" t="s">
        <v>565</v>
      </c>
      <c r="C173" s="71" t="s">
        <v>564</v>
      </c>
      <c r="D173" s="75">
        <v>135</v>
      </c>
      <c r="E173" s="75">
        <v>0</v>
      </c>
      <c r="F173" s="75">
        <v>78733.69</v>
      </c>
      <c r="G173" s="75"/>
      <c r="H173" s="71" t="s">
        <v>589</v>
      </c>
      <c r="J173" t="s">
        <v>753</v>
      </c>
    </row>
    <row r="174" spans="1:10" x14ac:dyDescent="0.3">
      <c r="A174" s="70">
        <v>45421</v>
      </c>
      <c r="B174" t="s">
        <v>566</v>
      </c>
      <c r="C174" s="71" t="s">
        <v>564</v>
      </c>
      <c r="D174" s="75">
        <v>99</v>
      </c>
      <c r="E174" s="75">
        <v>0</v>
      </c>
      <c r="F174" s="75">
        <v>78634.69</v>
      </c>
      <c r="G174" s="75"/>
      <c r="H174" s="71" t="s">
        <v>589</v>
      </c>
      <c r="J174" t="s">
        <v>753</v>
      </c>
    </row>
    <row r="175" spans="1:10" x14ac:dyDescent="0.3">
      <c r="A175" s="70">
        <v>45421</v>
      </c>
      <c r="B175" t="s">
        <v>567</v>
      </c>
      <c r="C175" s="71" t="s">
        <v>564</v>
      </c>
      <c r="D175" s="75">
        <v>270</v>
      </c>
      <c r="E175" s="75">
        <v>0</v>
      </c>
      <c r="F175" s="75">
        <v>78364.69</v>
      </c>
      <c r="G175" s="75"/>
      <c r="H175" s="71" t="s">
        <v>589</v>
      </c>
      <c r="J175" t="s">
        <v>753</v>
      </c>
    </row>
    <row r="176" spans="1:10" x14ac:dyDescent="0.3">
      <c r="A176" s="70">
        <v>45421</v>
      </c>
      <c r="B176" t="s">
        <v>568</v>
      </c>
      <c r="C176" s="71" t="s">
        <v>569</v>
      </c>
      <c r="D176" s="75">
        <v>0</v>
      </c>
      <c r="E176" s="75">
        <v>185</v>
      </c>
      <c r="F176" s="75">
        <v>78549.69</v>
      </c>
      <c r="G176" s="75"/>
      <c r="H176" s="71" t="s">
        <v>589</v>
      </c>
      <c r="J176" t="s">
        <v>753</v>
      </c>
    </row>
    <row r="177" spans="1:10" x14ac:dyDescent="0.3">
      <c r="A177" s="70">
        <v>45421</v>
      </c>
      <c r="B177" t="s">
        <v>378</v>
      </c>
      <c r="C177" s="71" t="s">
        <v>379</v>
      </c>
      <c r="D177" s="75">
        <v>1552</v>
      </c>
      <c r="E177" s="75">
        <v>0</v>
      </c>
      <c r="F177" s="75">
        <v>6307.6399999999994</v>
      </c>
      <c r="G177" s="75"/>
      <c r="H177" s="71" t="s">
        <v>511</v>
      </c>
      <c r="J177" t="s">
        <v>756</v>
      </c>
    </row>
    <row r="178" spans="1:10" x14ac:dyDescent="0.3">
      <c r="A178" s="70">
        <v>45421</v>
      </c>
      <c r="B178" t="s">
        <v>380</v>
      </c>
      <c r="C178" s="71" t="s">
        <v>381</v>
      </c>
      <c r="D178" s="75">
        <v>586</v>
      </c>
      <c r="E178" s="75">
        <v>0</v>
      </c>
      <c r="F178" s="75">
        <v>5721.6399999999994</v>
      </c>
      <c r="G178" s="75"/>
      <c r="H178" s="71" t="s">
        <v>511</v>
      </c>
      <c r="J178" t="s">
        <v>756</v>
      </c>
    </row>
    <row r="179" spans="1:10" x14ac:dyDescent="0.3">
      <c r="A179" s="70">
        <v>45421</v>
      </c>
      <c r="B179" t="s">
        <v>382</v>
      </c>
      <c r="C179" s="71" t="s">
        <v>383</v>
      </c>
      <c r="D179" s="75">
        <v>0</v>
      </c>
      <c r="E179" s="75">
        <v>80</v>
      </c>
      <c r="F179" s="75">
        <v>5801.6399999999994</v>
      </c>
      <c r="G179" s="75"/>
      <c r="H179" s="71" t="s">
        <v>511</v>
      </c>
      <c r="J179" t="s">
        <v>756</v>
      </c>
    </row>
    <row r="180" spans="1:10" x14ac:dyDescent="0.3">
      <c r="A180" s="70">
        <v>45421</v>
      </c>
      <c r="B180" t="s">
        <v>384</v>
      </c>
      <c r="C180" s="71" t="s">
        <v>385</v>
      </c>
      <c r="D180" s="75">
        <v>499</v>
      </c>
      <c r="E180" s="75">
        <v>0</v>
      </c>
      <c r="F180" s="75">
        <v>5302.6399999999994</v>
      </c>
      <c r="G180" s="75"/>
      <c r="H180" s="71" t="s">
        <v>511</v>
      </c>
      <c r="J180" t="s">
        <v>756</v>
      </c>
    </row>
    <row r="181" spans="1:10" x14ac:dyDescent="0.3">
      <c r="A181" s="70">
        <v>45421</v>
      </c>
      <c r="B181" t="s">
        <v>386</v>
      </c>
      <c r="C181" s="71" t="s">
        <v>387</v>
      </c>
      <c r="D181" s="75">
        <v>140</v>
      </c>
      <c r="E181" s="75">
        <v>0</v>
      </c>
      <c r="F181" s="75">
        <v>5162.6399999999994</v>
      </c>
      <c r="G181" s="75"/>
      <c r="H181" s="71" t="s">
        <v>511</v>
      </c>
      <c r="J181" t="s">
        <v>756</v>
      </c>
    </row>
    <row r="182" spans="1:10" x14ac:dyDescent="0.3">
      <c r="A182" s="70">
        <v>45422</v>
      </c>
      <c r="B182" t="s">
        <v>30</v>
      </c>
      <c r="C182" s="71" t="s">
        <v>108</v>
      </c>
      <c r="D182" s="75">
        <v>97.79</v>
      </c>
      <c r="E182" s="75">
        <v>0</v>
      </c>
      <c r="F182" s="75">
        <v>54680.23</v>
      </c>
      <c r="G182" s="75"/>
      <c r="H182" s="71" t="s">
        <v>217</v>
      </c>
      <c r="I182" s="71"/>
      <c r="J182" t="s">
        <v>752</v>
      </c>
    </row>
    <row r="183" spans="1:10" x14ac:dyDescent="0.3">
      <c r="A183" s="70">
        <v>45422</v>
      </c>
      <c r="B183" t="s">
        <v>30</v>
      </c>
      <c r="C183" s="71" t="s">
        <v>109</v>
      </c>
      <c r="D183" s="75">
        <v>6393.74</v>
      </c>
      <c r="E183" s="75">
        <v>0</v>
      </c>
      <c r="F183" s="75">
        <v>48286.49</v>
      </c>
      <c r="G183" s="75"/>
      <c r="H183" s="71" t="s">
        <v>217</v>
      </c>
      <c r="I183" s="71"/>
      <c r="J183" t="s">
        <v>752</v>
      </c>
    </row>
    <row r="184" spans="1:10" x14ac:dyDescent="0.3">
      <c r="A184" s="70">
        <v>45422</v>
      </c>
      <c r="B184" t="s">
        <v>30</v>
      </c>
      <c r="C184" s="71" t="s">
        <v>110</v>
      </c>
      <c r="D184" s="75">
        <v>166.9</v>
      </c>
      <c r="E184" s="75">
        <v>0</v>
      </c>
      <c r="F184" s="75">
        <v>48119.59</v>
      </c>
      <c r="G184" s="75"/>
      <c r="H184" s="71" t="s">
        <v>217</v>
      </c>
      <c r="I184" s="71"/>
      <c r="J184" t="s">
        <v>752</v>
      </c>
    </row>
    <row r="185" spans="1:10" x14ac:dyDescent="0.3">
      <c r="A185" s="70">
        <v>45422</v>
      </c>
      <c r="B185" t="s">
        <v>388</v>
      </c>
      <c r="C185" s="71" t="s">
        <v>389</v>
      </c>
      <c r="D185" s="75">
        <v>0</v>
      </c>
      <c r="E185" s="75">
        <v>586</v>
      </c>
      <c r="F185" s="75">
        <v>5748.6399999999994</v>
      </c>
      <c r="G185" s="75"/>
      <c r="H185" s="71" t="s">
        <v>511</v>
      </c>
      <c r="J185" t="s">
        <v>756</v>
      </c>
    </row>
    <row r="186" spans="1:10" x14ac:dyDescent="0.3">
      <c r="A186" s="70">
        <v>45422</v>
      </c>
      <c r="B186" t="s">
        <v>390</v>
      </c>
      <c r="C186" s="71" t="s">
        <v>391</v>
      </c>
      <c r="D186" s="75">
        <v>50</v>
      </c>
      <c r="E186" s="75">
        <v>0</v>
      </c>
      <c r="F186" s="75">
        <v>5698.6399999999994</v>
      </c>
      <c r="G186" s="75"/>
      <c r="H186" s="71" t="s">
        <v>509</v>
      </c>
      <c r="J186" t="s">
        <v>756</v>
      </c>
    </row>
    <row r="187" spans="1:10" x14ac:dyDescent="0.3">
      <c r="A187" s="70">
        <v>45424</v>
      </c>
      <c r="B187" t="s">
        <v>392</v>
      </c>
      <c r="C187" s="71" t="s">
        <v>393</v>
      </c>
      <c r="D187" s="75">
        <v>71</v>
      </c>
      <c r="E187" s="75">
        <v>0</v>
      </c>
      <c r="F187" s="75">
        <v>5627.6399999999994</v>
      </c>
      <c r="G187" s="75"/>
      <c r="H187" s="71" t="s">
        <v>511</v>
      </c>
      <c r="J187" t="s">
        <v>756</v>
      </c>
    </row>
    <row r="188" spans="1:10" x14ac:dyDescent="0.3">
      <c r="A188" s="70">
        <v>45424</v>
      </c>
      <c r="B188" t="s">
        <v>394</v>
      </c>
      <c r="C188" s="71" t="s">
        <v>395</v>
      </c>
      <c r="D188" s="75">
        <v>20</v>
      </c>
      <c r="E188" s="75">
        <v>0</v>
      </c>
      <c r="F188" s="75">
        <v>5607.6399999999994</v>
      </c>
      <c r="G188" s="75"/>
      <c r="H188" s="71" t="s">
        <v>511</v>
      </c>
      <c r="J188" t="s">
        <v>756</v>
      </c>
    </row>
    <row r="189" spans="1:10" x14ac:dyDescent="0.3">
      <c r="A189" s="70">
        <v>45425</v>
      </c>
      <c r="B189" t="s">
        <v>30</v>
      </c>
      <c r="C189" s="71" t="s">
        <v>111</v>
      </c>
      <c r="D189" s="75">
        <v>293.19</v>
      </c>
      <c r="E189" s="75">
        <v>0</v>
      </c>
      <c r="F189" s="75">
        <v>47826.400000000001</v>
      </c>
      <c r="G189" s="75"/>
      <c r="H189" s="71" t="s">
        <v>217</v>
      </c>
      <c r="I189" s="71"/>
      <c r="J189" t="s">
        <v>752</v>
      </c>
    </row>
    <row r="190" spans="1:10" x14ac:dyDescent="0.3">
      <c r="A190" s="70">
        <v>45425</v>
      </c>
      <c r="B190" t="s">
        <v>396</v>
      </c>
      <c r="C190" s="71" t="s">
        <v>397</v>
      </c>
      <c r="D190" s="75">
        <v>25</v>
      </c>
      <c r="E190" s="75">
        <v>0</v>
      </c>
      <c r="F190" s="75">
        <v>5582.6399999999994</v>
      </c>
      <c r="G190" s="75"/>
      <c r="H190" s="71" t="s">
        <v>511</v>
      </c>
      <c r="J190" t="s">
        <v>756</v>
      </c>
    </row>
    <row r="191" spans="1:10" x14ac:dyDescent="0.3">
      <c r="A191" s="70">
        <v>45426</v>
      </c>
      <c r="B191" t="s">
        <v>34</v>
      </c>
      <c r="C191" s="71" t="s">
        <v>112</v>
      </c>
      <c r="D191" s="75">
        <v>0</v>
      </c>
      <c r="E191" s="75">
        <v>18201.25</v>
      </c>
      <c r="F191" s="75">
        <v>66027.649999999994</v>
      </c>
      <c r="G191" s="75"/>
      <c r="H191" s="71" t="s">
        <v>217</v>
      </c>
      <c r="I191" s="71"/>
      <c r="J191" t="s">
        <v>752</v>
      </c>
    </row>
    <row r="192" spans="1:10" x14ac:dyDescent="0.3">
      <c r="A192" s="70">
        <v>45426</v>
      </c>
      <c r="B192" t="s">
        <v>30</v>
      </c>
      <c r="C192" s="71" t="s">
        <v>113</v>
      </c>
      <c r="D192" s="75">
        <v>97.73</v>
      </c>
      <c r="E192" s="75">
        <v>0</v>
      </c>
      <c r="F192" s="75">
        <v>65929.919999999998</v>
      </c>
      <c r="G192" s="75"/>
      <c r="H192" s="71" t="s">
        <v>217</v>
      </c>
      <c r="I192" s="71"/>
      <c r="J192" t="s">
        <v>752</v>
      </c>
    </row>
    <row r="193" spans="1:10" x14ac:dyDescent="0.3">
      <c r="A193" s="70">
        <v>45426</v>
      </c>
      <c r="B193" t="s">
        <v>398</v>
      </c>
      <c r="C193" s="71" t="s">
        <v>399</v>
      </c>
      <c r="D193" s="75">
        <v>30</v>
      </c>
      <c r="E193" s="75">
        <v>0</v>
      </c>
      <c r="F193" s="75">
        <v>5552.6399999999994</v>
      </c>
      <c r="G193" s="75"/>
      <c r="H193" s="71" t="s">
        <v>511</v>
      </c>
      <c r="J193" t="s">
        <v>756</v>
      </c>
    </row>
    <row r="194" spans="1:10" x14ac:dyDescent="0.3">
      <c r="A194" s="70">
        <v>45427</v>
      </c>
      <c r="B194" t="s">
        <v>34</v>
      </c>
      <c r="C194" s="71" t="s">
        <v>114</v>
      </c>
      <c r="D194" s="75">
        <v>0</v>
      </c>
      <c r="E194" s="75">
        <v>10616.44</v>
      </c>
      <c r="F194" s="75">
        <v>76546.36</v>
      </c>
      <c r="G194" s="75"/>
      <c r="H194" s="71" t="s">
        <v>217</v>
      </c>
      <c r="I194" s="71"/>
      <c r="J194" t="s">
        <v>752</v>
      </c>
    </row>
    <row r="195" spans="1:10" x14ac:dyDescent="0.3">
      <c r="A195" s="70">
        <v>45427</v>
      </c>
      <c r="B195" t="s">
        <v>30</v>
      </c>
      <c r="C195" s="71" t="s">
        <v>115</v>
      </c>
      <c r="D195" s="75">
        <v>86.54</v>
      </c>
      <c r="E195" s="75">
        <v>0</v>
      </c>
      <c r="F195" s="75">
        <v>76459.820000000007</v>
      </c>
      <c r="G195" s="75"/>
      <c r="H195" s="71" t="s">
        <v>217</v>
      </c>
      <c r="I195" s="71"/>
      <c r="J195" t="s">
        <v>752</v>
      </c>
    </row>
    <row r="196" spans="1:10" x14ac:dyDescent="0.3">
      <c r="A196" s="70">
        <v>45427</v>
      </c>
      <c r="B196" t="s">
        <v>400</v>
      </c>
      <c r="C196" s="71" t="s">
        <v>401</v>
      </c>
      <c r="D196" s="75">
        <v>160</v>
      </c>
      <c r="E196" s="75">
        <v>0</v>
      </c>
      <c r="F196" s="75">
        <v>5392.6399999999994</v>
      </c>
      <c r="G196" s="75"/>
      <c r="H196" s="71" t="s">
        <v>511</v>
      </c>
      <c r="J196" t="s">
        <v>756</v>
      </c>
    </row>
    <row r="197" spans="1:10" x14ac:dyDescent="0.3">
      <c r="A197" s="70">
        <v>45428</v>
      </c>
      <c r="B197" t="s">
        <v>34</v>
      </c>
      <c r="C197" s="71" t="s">
        <v>116</v>
      </c>
      <c r="D197" s="75">
        <v>0</v>
      </c>
      <c r="E197" s="75">
        <v>2567.1799999999998</v>
      </c>
      <c r="F197" s="75">
        <v>79027</v>
      </c>
      <c r="G197" s="75"/>
      <c r="H197" s="71" t="s">
        <v>217</v>
      </c>
      <c r="I197" s="71"/>
      <c r="J197" t="s">
        <v>752</v>
      </c>
    </row>
    <row r="198" spans="1:10" x14ac:dyDescent="0.3">
      <c r="A198" s="70">
        <v>45428</v>
      </c>
      <c r="B198" t="s">
        <v>30</v>
      </c>
      <c r="C198" s="71" t="s">
        <v>117</v>
      </c>
      <c r="D198" s="75">
        <v>83.58</v>
      </c>
      <c r="E198" s="75">
        <v>0</v>
      </c>
      <c r="F198" s="75">
        <v>78943.42</v>
      </c>
      <c r="G198" s="75"/>
      <c r="H198" s="71" t="s">
        <v>217</v>
      </c>
      <c r="I198" s="71"/>
      <c r="J198" t="s">
        <v>752</v>
      </c>
    </row>
    <row r="199" spans="1:10" x14ac:dyDescent="0.3">
      <c r="A199" s="70">
        <v>45428</v>
      </c>
      <c r="B199" t="s">
        <v>118</v>
      </c>
      <c r="C199" s="71" t="s">
        <v>119</v>
      </c>
      <c r="D199" s="75">
        <v>0</v>
      </c>
      <c r="E199" s="75">
        <v>1440</v>
      </c>
      <c r="F199" s="75">
        <v>80383.42</v>
      </c>
      <c r="G199" s="75"/>
      <c r="H199" s="71" t="s">
        <v>218</v>
      </c>
      <c r="I199" s="71"/>
      <c r="J199" t="s">
        <v>752</v>
      </c>
    </row>
    <row r="200" spans="1:10" x14ac:dyDescent="0.3">
      <c r="A200" s="70">
        <v>45428</v>
      </c>
      <c r="B200" t="s">
        <v>30</v>
      </c>
      <c r="C200" s="71" t="s">
        <v>120</v>
      </c>
      <c r="D200" s="75">
        <v>22275.31</v>
      </c>
      <c r="E200" s="75">
        <v>0</v>
      </c>
      <c r="F200" s="75">
        <v>58108.11</v>
      </c>
      <c r="G200" s="75"/>
      <c r="H200" s="71" t="s">
        <v>217</v>
      </c>
      <c r="I200" s="71"/>
      <c r="J200" t="s">
        <v>752</v>
      </c>
    </row>
    <row r="201" spans="1:10" x14ac:dyDescent="0.3">
      <c r="A201" s="70">
        <v>45428</v>
      </c>
      <c r="B201" t="s">
        <v>121</v>
      </c>
      <c r="C201" s="71" t="s">
        <v>122</v>
      </c>
      <c r="D201" s="75">
        <v>0</v>
      </c>
      <c r="E201" s="75">
        <v>1</v>
      </c>
      <c r="F201" s="75">
        <v>58109.11</v>
      </c>
      <c r="G201" s="75"/>
      <c r="H201" s="71" t="s">
        <v>226</v>
      </c>
      <c r="I201" s="71"/>
      <c r="J201" t="s">
        <v>752</v>
      </c>
    </row>
    <row r="202" spans="1:10" x14ac:dyDescent="0.3">
      <c r="A202" s="70">
        <v>45428</v>
      </c>
      <c r="B202" t="s">
        <v>402</v>
      </c>
      <c r="C202" s="71" t="s">
        <v>403</v>
      </c>
      <c r="D202" s="75">
        <v>0</v>
      </c>
      <c r="E202" s="75">
        <v>499</v>
      </c>
      <c r="F202" s="75">
        <v>5891.6399999999994</v>
      </c>
      <c r="G202" s="75"/>
      <c r="H202" s="71" t="s">
        <v>511</v>
      </c>
      <c r="J202" t="s">
        <v>756</v>
      </c>
    </row>
    <row r="203" spans="1:10" x14ac:dyDescent="0.3">
      <c r="A203" s="70">
        <v>45428</v>
      </c>
      <c r="B203" t="s">
        <v>404</v>
      </c>
      <c r="C203" s="71" t="s">
        <v>405</v>
      </c>
      <c r="D203" s="75">
        <v>0</v>
      </c>
      <c r="E203" s="75">
        <v>70</v>
      </c>
      <c r="F203" s="75">
        <v>5961.6399999999994</v>
      </c>
      <c r="G203" s="75"/>
      <c r="H203" s="71" t="s">
        <v>511</v>
      </c>
      <c r="J203" t="s">
        <v>756</v>
      </c>
    </row>
    <row r="204" spans="1:10" x14ac:dyDescent="0.3">
      <c r="A204" s="70">
        <v>45429</v>
      </c>
      <c r="B204" t="s">
        <v>30</v>
      </c>
      <c r="C204" s="71" t="s">
        <v>123</v>
      </c>
      <c r="D204" s="75">
        <v>76.56</v>
      </c>
      <c r="E204" s="75">
        <v>0</v>
      </c>
      <c r="F204" s="75">
        <v>58032.55</v>
      </c>
      <c r="G204" s="75"/>
      <c r="H204" s="71" t="s">
        <v>217</v>
      </c>
      <c r="I204" s="71"/>
      <c r="J204" t="s">
        <v>752</v>
      </c>
    </row>
    <row r="205" spans="1:10" x14ac:dyDescent="0.3">
      <c r="A205" s="70">
        <v>45429</v>
      </c>
      <c r="B205" t="s">
        <v>30</v>
      </c>
      <c r="C205" s="71" t="s">
        <v>124</v>
      </c>
      <c r="D205" s="75">
        <v>9498.26</v>
      </c>
      <c r="E205" s="75">
        <v>0</v>
      </c>
      <c r="F205" s="75">
        <v>48534.29</v>
      </c>
      <c r="G205" s="75"/>
      <c r="H205" s="71" t="s">
        <v>217</v>
      </c>
      <c r="I205" s="71"/>
      <c r="J205" t="s">
        <v>752</v>
      </c>
    </row>
    <row r="206" spans="1:10" x14ac:dyDescent="0.3">
      <c r="A206" s="70">
        <v>45429</v>
      </c>
      <c r="B206" t="s">
        <v>570</v>
      </c>
      <c r="C206" s="71" t="s">
        <v>252</v>
      </c>
      <c r="D206" s="75">
        <v>0</v>
      </c>
      <c r="E206" s="75">
        <v>16</v>
      </c>
      <c r="F206" s="75">
        <v>78565.69</v>
      </c>
      <c r="G206" s="75"/>
      <c r="H206" s="71" t="s">
        <v>218</v>
      </c>
      <c r="J206" t="s">
        <v>753</v>
      </c>
    </row>
    <row r="207" spans="1:10" x14ac:dyDescent="0.3">
      <c r="A207" s="70">
        <v>45429</v>
      </c>
      <c r="B207" t="s">
        <v>571</v>
      </c>
      <c r="C207" s="71" t="s">
        <v>572</v>
      </c>
      <c r="D207" s="75">
        <v>0</v>
      </c>
      <c r="E207" s="75">
        <v>90</v>
      </c>
      <c r="F207" s="75">
        <v>78655.69</v>
      </c>
      <c r="G207" s="75"/>
      <c r="H207" s="71" t="s">
        <v>589</v>
      </c>
      <c r="J207" t="s">
        <v>753</v>
      </c>
    </row>
    <row r="208" spans="1:10" x14ac:dyDescent="0.3">
      <c r="A208" s="70">
        <v>45429</v>
      </c>
      <c r="B208" t="s">
        <v>406</v>
      </c>
      <c r="C208" s="71" t="s">
        <v>407</v>
      </c>
      <c r="D208" s="75">
        <v>0</v>
      </c>
      <c r="E208" s="75">
        <v>180</v>
      </c>
      <c r="F208" s="75">
        <v>6141.6399999999994</v>
      </c>
      <c r="G208" s="75"/>
      <c r="H208" s="71" t="s">
        <v>746</v>
      </c>
      <c r="J208" t="s">
        <v>756</v>
      </c>
    </row>
    <row r="209" spans="1:10" x14ac:dyDescent="0.3">
      <c r="A209" s="70">
        <v>45429</v>
      </c>
      <c r="B209" t="s">
        <v>408</v>
      </c>
      <c r="C209" s="71" t="s">
        <v>409</v>
      </c>
      <c r="D209" s="75">
        <v>0</v>
      </c>
      <c r="E209" s="75">
        <v>1</v>
      </c>
      <c r="F209" s="75">
        <v>6142.6399999999994</v>
      </c>
      <c r="G209" s="75"/>
      <c r="H209" s="71" t="s">
        <v>746</v>
      </c>
      <c r="J209" t="s">
        <v>756</v>
      </c>
    </row>
    <row r="210" spans="1:10" x14ac:dyDescent="0.3">
      <c r="A210" s="70">
        <v>45429</v>
      </c>
      <c r="B210" t="s">
        <v>410</v>
      </c>
      <c r="C210" s="71" t="s">
        <v>411</v>
      </c>
      <c r="D210" s="75">
        <v>0</v>
      </c>
      <c r="E210" s="75">
        <v>1000</v>
      </c>
      <c r="F210" s="75">
        <v>7142.6399999999994</v>
      </c>
      <c r="G210" s="75"/>
      <c r="H210" s="71" t="s">
        <v>746</v>
      </c>
      <c r="J210" t="s">
        <v>756</v>
      </c>
    </row>
    <row r="211" spans="1:10" x14ac:dyDescent="0.3">
      <c r="A211" s="70">
        <v>45429</v>
      </c>
      <c r="B211" t="s">
        <v>797</v>
      </c>
      <c r="C211" s="71" t="s">
        <v>721</v>
      </c>
      <c r="D211" s="75">
        <v>0</v>
      </c>
      <c r="E211" s="75">
        <v>180</v>
      </c>
      <c r="F211" s="75">
        <v>180</v>
      </c>
      <c r="G211" s="75"/>
      <c r="H211" s="71" t="s">
        <v>511</v>
      </c>
      <c r="J211" t="s">
        <v>757</v>
      </c>
    </row>
    <row r="212" spans="1:10" x14ac:dyDescent="0.3">
      <c r="A212" s="70">
        <v>45429</v>
      </c>
      <c r="B212" t="s">
        <v>798</v>
      </c>
      <c r="C212" s="71" t="s">
        <v>723</v>
      </c>
      <c r="D212" s="75">
        <v>180</v>
      </c>
      <c r="E212" s="75">
        <v>0</v>
      </c>
      <c r="F212" s="75">
        <v>0</v>
      </c>
      <c r="G212" s="75"/>
      <c r="H212" s="71" t="s">
        <v>744</v>
      </c>
      <c r="J212" t="s">
        <v>757</v>
      </c>
    </row>
    <row r="213" spans="1:10" x14ac:dyDescent="0.3">
      <c r="A213" s="70">
        <v>45429</v>
      </c>
      <c r="B213" t="s">
        <v>799</v>
      </c>
      <c r="C213" s="71" t="s">
        <v>725</v>
      </c>
      <c r="D213" s="75">
        <v>0</v>
      </c>
      <c r="E213" s="75">
        <v>1</v>
      </c>
      <c r="F213" s="75">
        <v>1</v>
      </c>
      <c r="G213" s="75"/>
      <c r="H213" s="71" t="s">
        <v>226</v>
      </c>
      <c r="J213" t="s">
        <v>757</v>
      </c>
    </row>
    <row r="214" spans="1:10" x14ac:dyDescent="0.3">
      <c r="A214" s="70">
        <v>45429</v>
      </c>
      <c r="B214" t="s">
        <v>800</v>
      </c>
      <c r="C214" s="71" t="s">
        <v>727</v>
      </c>
      <c r="D214" s="75">
        <v>1</v>
      </c>
      <c r="E214" s="75">
        <v>0</v>
      </c>
      <c r="F214" s="75">
        <v>0</v>
      </c>
      <c r="G214" s="75"/>
      <c r="H214" s="71" t="s">
        <v>744</v>
      </c>
      <c r="J214" t="s">
        <v>757</v>
      </c>
    </row>
    <row r="215" spans="1:10" x14ac:dyDescent="0.3">
      <c r="A215" s="70">
        <v>45429</v>
      </c>
      <c r="B215" t="s">
        <v>801</v>
      </c>
      <c r="C215" s="71" t="s">
        <v>729</v>
      </c>
      <c r="D215" s="75">
        <v>0</v>
      </c>
      <c r="E215" s="75">
        <v>1000</v>
      </c>
      <c r="F215" s="75">
        <v>1000</v>
      </c>
      <c r="G215" s="75"/>
      <c r="H215" s="71" t="s">
        <v>2539</v>
      </c>
      <c r="J215" t="s">
        <v>757</v>
      </c>
    </row>
    <row r="216" spans="1:10" x14ac:dyDescent="0.3">
      <c r="A216" s="70">
        <v>45429</v>
      </c>
      <c r="B216" t="s">
        <v>802</v>
      </c>
      <c r="C216" s="71" t="s">
        <v>732</v>
      </c>
      <c r="D216" s="75">
        <v>1000</v>
      </c>
      <c r="E216" s="75">
        <v>0</v>
      </c>
      <c r="F216" s="75">
        <v>0</v>
      </c>
      <c r="G216" s="75"/>
      <c r="H216" s="71" t="s">
        <v>744</v>
      </c>
      <c r="J216" t="s">
        <v>757</v>
      </c>
    </row>
    <row r="217" spans="1:10" x14ac:dyDescent="0.3">
      <c r="A217" s="70">
        <v>45430</v>
      </c>
      <c r="B217" t="s">
        <v>30</v>
      </c>
      <c r="C217" s="71" t="s">
        <v>125</v>
      </c>
      <c r="D217" s="75">
        <v>93.5</v>
      </c>
      <c r="E217" s="75">
        <v>0</v>
      </c>
      <c r="F217" s="75">
        <v>48440.79</v>
      </c>
      <c r="G217" s="75"/>
      <c r="H217" s="71" t="s">
        <v>217</v>
      </c>
      <c r="I217" s="71"/>
      <c r="J217" t="s">
        <v>752</v>
      </c>
    </row>
    <row r="218" spans="1:10" x14ac:dyDescent="0.3">
      <c r="A218" s="70">
        <v>45432</v>
      </c>
      <c r="B218" t="s">
        <v>412</v>
      </c>
      <c r="C218" s="71" t="s">
        <v>413</v>
      </c>
      <c r="D218" s="75">
        <v>35</v>
      </c>
      <c r="E218" s="75">
        <v>0</v>
      </c>
      <c r="F218" s="75">
        <v>7107.6399999999994</v>
      </c>
      <c r="G218" s="75"/>
      <c r="H218" s="71" t="s">
        <v>511</v>
      </c>
      <c r="J218" t="s">
        <v>756</v>
      </c>
    </row>
    <row r="219" spans="1:10" x14ac:dyDescent="0.3">
      <c r="A219" s="70">
        <v>45433</v>
      </c>
      <c r="B219" t="s">
        <v>34</v>
      </c>
      <c r="C219" s="71" t="s">
        <v>126</v>
      </c>
      <c r="D219" s="75">
        <v>0</v>
      </c>
      <c r="E219" s="75">
        <v>725.24</v>
      </c>
      <c r="F219" s="75">
        <v>49166.03</v>
      </c>
      <c r="G219" s="75"/>
      <c r="H219" s="71" t="s">
        <v>217</v>
      </c>
      <c r="I219" s="71"/>
      <c r="J219" t="s">
        <v>752</v>
      </c>
    </row>
    <row r="220" spans="1:10" x14ac:dyDescent="0.3">
      <c r="A220" s="70">
        <v>45433</v>
      </c>
      <c r="B220" t="s">
        <v>30</v>
      </c>
      <c r="C220" s="71" t="s">
        <v>127</v>
      </c>
      <c r="D220" s="75">
        <v>280.5</v>
      </c>
      <c r="E220" s="75">
        <v>0</v>
      </c>
      <c r="F220" s="75">
        <v>48885.53</v>
      </c>
      <c r="G220" s="75"/>
      <c r="H220" s="71" t="s">
        <v>217</v>
      </c>
      <c r="I220" s="71"/>
      <c r="J220" t="s">
        <v>752</v>
      </c>
    </row>
    <row r="221" spans="1:10" x14ac:dyDescent="0.3">
      <c r="A221" s="70">
        <v>45433</v>
      </c>
      <c r="B221" t="s">
        <v>30</v>
      </c>
      <c r="C221" s="71" t="s">
        <v>128</v>
      </c>
      <c r="D221" s="75">
        <v>1</v>
      </c>
      <c r="E221" s="75">
        <v>0</v>
      </c>
      <c r="F221" s="75">
        <v>48884.53</v>
      </c>
      <c r="G221" s="75"/>
      <c r="H221" s="71" t="s">
        <v>217</v>
      </c>
      <c r="I221" s="71"/>
      <c r="J221" t="s">
        <v>752</v>
      </c>
    </row>
    <row r="222" spans="1:10" x14ac:dyDescent="0.3">
      <c r="A222" s="70">
        <v>45433</v>
      </c>
      <c r="B222" t="s">
        <v>30</v>
      </c>
      <c r="C222" s="71" t="s">
        <v>129</v>
      </c>
      <c r="D222" s="75">
        <v>729.81</v>
      </c>
      <c r="E222" s="75">
        <v>0</v>
      </c>
      <c r="F222" s="75">
        <v>48154.720000000001</v>
      </c>
      <c r="G222" s="75"/>
      <c r="H222" s="71" t="s">
        <v>217</v>
      </c>
      <c r="I222" s="71"/>
      <c r="J222" t="s">
        <v>752</v>
      </c>
    </row>
    <row r="223" spans="1:10" x14ac:dyDescent="0.3">
      <c r="A223" s="70">
        <v>45433</v>
      </c>
      <c r="B223" t="s">
        <v>414</v>
      </c>
      <c r="C223" s="71" t="s">
        <v>415</v>
      </c>
      <c r="D223" s="75">
        <v>240</v>
      </c>
      <c r="E223" s="75">
        <v>0</v>
      </c>
      <c r="F223" s="75">
        <v>6867.6399999999994</v>
      </c>
      <c r="G223" s="75"/>
      <c r="H223" s="71" t="s">
        <v>511</v>
      </c>
      <c r="J223" t="s">
        <v>756</v>
      </c>
    </row>
    <row r="224" spans="1:10" x14ac:dyDescent="0.3">
      <c r="A224" s="70">
        <v>45433</v>
      </c>
      <c r="B224" t="s">
        <v>416</v>
      </c>
      <c r="C224" s="71" t="s">
        <v>417</v>
      </c>
      <c r="D224" s="75">
        <v>0</v>
      </c>
      <c r="E224" s="75">
        <v>1</v>
      </c>
      <c r="F224" s="75">
        <v>6868.6399999999994</v>
      </c>
      <c r="G224" s="75"/>
      <c r="H224" s="71" t="s">
        <v>509</v>
      </c>
      <c r="J224" t="s">
        <v>756</v>
      </c>
    </row>
    <row r="225" spans="1:10" x14ac:dyDescent="0.3">
      <c r="A225" s="70">
        <v>45433</v>
      </c>
      <c r="B225" t="s">
        <v>803</v>
      </c>
      <c r="C225" s="71" t="s">
        <v>735</v>
      </c>
      <c r="D225" s="75">
        <v>0</v>
      </c>
      <c r="E225" s="75">
        <v>4</v>
      </c>
      <c r="F225" s="75">
        <v>4</v>
      </c>
      <c r="G225" s="75"/>
      <c r="H225" s="71" t="s">
        <v>227</v>
      </c>
      <c r="J225" t="s">
        <v>757</v>
      </c>
    </row>
    <row r="226" spans="1:10" x14ac:dyDescent="0.3">
      <c r="A226" s="70">
        <v>45433</v>
      </c>
      <c r="B226" t="s">
        <v>804</v>
      </c>
      <c r="C226" s="71" t="s">
        <v>737</v>
      </c>
      <c r="D226" s="75">
        <v>4</v>
      </c>
      <c r="E226" s="75">
        <v>0</v>
      </c>
      <c r="F226" s="75">
        <v>0</v>
      </c>
      <c r="G226" s="75"/>
      <c r="H226" s="71" t="s">
        <v>744</v>
      </c>
      <c r="J226" t="s">
        <v>757</v>
      </c>
    </row>
    <row r="227" spans="1:10" x14ac:dyDescent="0.3">
      <c r="A227" s="70">
        <v>45434</v>
      </c>
      <c r="B227" t="s">
        <v>30</v>
      </c>
      <c r="C227" s="71" t="s">
        <v>130</v>
      </c>
      <c r="D227" s="75">
        <v>101.86</v>
      </c>
      <c r="E227" s="75">
        <v>0</v>
      </c>
      <c r="F227" s="75">
        <v>48052.86</v>
      </c>
      <c r="G227" s="75"/>
      <c r="H227" s="71" t="s">
        <v>217</v>
      </c>
      <c r="I227" s="71"/>
      <c r="J227" t="s">
        <v>752</v>
      </c>
    </row>
    <row r="228" spans="1:10" x14ac:dyDescent="0.3">
      <c r="A228" s="70">
        <v>45434</v>
      </c>
      <c r="B228" t="s">
        <v>418</v>
      </c>
      <c r="C228" s="71" t="s">
        <v>419</v>
      </c>
      <c r="D228" s="75">
        <v>253</v>
      </c>
      <c r="E228" s="75">
        <v>0</v>
      </c>
      <c r="F228" s="75">
        <v>6615.6399999999994</v>
      </c>
      <c r="G228" s="75"/>
      <c r="H228" s="71" t="s">
        <v>511</v>
      </c>
      <c r="J228" t="s">
        <v>756</v>
      </c>
    </row>
    <row r="229" spans="1:10" x14ac:dyDescent="0.3">
      <c r="A229" s="70">
        <v>45435</v>
      </c>
      <c r="B229" t="s">
        <v>131</v>
      </c>
      <c r="C229" s="71" t="s">
        <v>132</v>
      </c>
      <c r="D229" s="75">
        <v>17.7</v>
      </c>
      <c r="E229" s="75">
        <v>0</v>
      </c>
      <c r="F229" s="75">
        <v>48035.16</v>
      </c>
      <c r="G229" s="75"/>
      <c r="H229" s="71" t="s">
        <v>221</v>
      </c>
      <c r="I229" s="71"/>
      <c r="J229" t="s">
        <v>752</v>
      </c>
    </row>
    <row r="230" spans="1:10" x14ac:dyDescent="0.3">
      <c r="A230" s="70">
        <v>45436</v>
      </c>
      <c r="B230" t="s">
        <v>34</v>
      </c>
      <c r="C230" s="71" t="s">
        <v>133</v>
      </c>
      <c r="D230" s="75">
        <v>0</v>
      </c>
      <c r="E230" s="75">
        <v>4819.47</v>
      </c>
      <c r="F230" s="75">
        <v>52854.63</v>
      </c>
      <c r="G230" s="75"/>
      <c r="H230" s="71" t="s">
        <v>217</v>
      </c>
      <c r="I230" s="71"/>
      <c r="J230" t="s">
        <v>752</v>
      </c>
    </row>
    <row r="231" spans="1:10" x14ac:dyDescent="0.3">
      <c r="A231" s="70">
        <v>45436</v>
      </c>
      <c r="B231" t="s">
        <v>30</v>
      </c>
      <c r="C231" s="71" t="s">
        <v>134</v>
      </c>
      <c r="D231" s="75">
        <v>101.9</v>
      </c>
      <c r="E231" s="75">
        <v>0</v>
      </c>
      <c r="F231" s="75">
        <v>52752.73</v>
      </c>
      <c r="G231" s="75"/>
      <c r="H231" s="71" t="s">
        <v>217</v>
      </c>
      <c r="I231" s="71"/>
      <c r="J231" t="s">
        <v>752</v>
      </c>
    </row>
    <row r="232" spans="1:10" x14ac:dyDescent="0.3">
      <c r="A232" s="70">
        <v>45436</v>
      </c>
      <c r="B232" t="s">
        <v>420</v>
      </c>
      <c r="C232" s="71" t="s">
        <v>421</v>
      </c>
      <c r="D232" s="75">
        <v>50</v>
      </c>
      <c r="E232" s="75">
        <v>0</v>
      </c>
      <c r="F232" s="75">
        <v>6565.6399999999994</v>
      </c>
      <c r="G232" s="75"/>
      <c r="H232" s="71" t="s">
        <v>509</v>
      </c>
      <c r="J232" t="s">
        <v>756</v>
      </c>
    </row>
    <row r="233" spans="1:10" x14ac:dyDescent="0.3">
      <c r="A233" s="70">
        <v>45436</v>
      </c>
      <c r="B233" t="s">
        <v>422</v>
      </c>
      <c r="C233" s="71" t="s">
        <v>423</v>
      </c>
      <c r="D233" s="75">
        <v>86</v>
      </c>
      <c r="E233" s="75">
        <v>0</v>
      </c>
      <c r="F233" s="75">
        <v>6479.6399999999994</v>
      </c>
      <c r="G233" s="75"/>
      <c r="H233" s="71" t="s">
        <v>511</v>
      </c>
      <c r="J233" t="s">
        <v>756</v>
      </c>
    </row>
    <row r="234" spans="1:10" x14ac:dyDescent="0.3">
      <c r="A234" s="70">
        <v>45437</v>
      </c>
      <c r="B234" t="s">
        <v>30</v>
      </c>
      <c r="C234" s="71" t="s">
        <v>135</v>
      </c>
      <c r="D234" s="75">
        <v>659.14</v>
      </c>
      <c r="E234" s="75">
        <v>0</v>
      </c>
      <c r="F234" s="75">
        <v>52093.59</v>
      </c>
      <c r="G234" s="75"/>
      <c r="H234" s="71" t="s">
        <v>217</v>
      </c>
      <c r="I234" s="71"/>
      <c r="J234" t="s">
        <v>752</v>
      </c>
    </row>
    <row r="235" spans="1:10" x14ac:dyDescent="0.3">
      <c r="A235" s="70">
        <v>45437</v>
      </c>
      <c r="B235" t="s">
        <v>424</v>
      </c>
      <c r="C235" s="71" t="s">
        <v>425</v>
      </c>
      <c r="D235" s="75">
        <v>5</v>
      </c>
      <c r="E235" s="75">
        <v>0</v>
      </c>
      <c r="F235" s="75">
        <v>6474.6399999999994</v>
      </c>
      <c r="G235" s="75"/>
      <c r="H235" s="71" t="s">
        <v>511</v>
      </c>
      <c r="J235" t="s">
        <v>756</v>
      </c>
    </row>
    <row r="236" spans="1:10" x14ac:dyDescent="0.3">
      <c r="A236" s="70">
        <v>45439</v>
      </c>
      <c r="B236" t="s">
        <v>30</v>
      </c>
      <c r="C236" s="71" t="s">
        <v>136</v>
      </c>
      <c r="D236" s="75">
        <v>310.14</v>
      </c>
      <c r="E236" s="75">
        <v>0</v>
      </c>
      <c r="F236" s="75">
        <v>51783.45</v>
      </c>
      <c r="G236" s="75"/>
      <c r="H236" s="71" t="s">
        <v>217</v>
      </c>
      <c r="I236" s="71"/>
      <c r="J236" t="s">
        <v>752</v>
      </c>
    </row>
    <row r="237" spans="1:10" x14ac:dyDescent="0.3">
      <c r="A237" s="70">
        <v>45439</v>
      </c>
      <c r="B237" t="s">
        <v>426</v>
      </c>
      <c r="C237" s="71" t="s">
        <v>427</v>
      </c>
      <c r="D237" s="75">
        <v>135</v>
      </c>
      <c r="E237" s="75">
        <v>0</v>
      </c>
      <c r="F237" s="75">
        <v>6339.6399999999994</v>
      </c>
      <c r="G237" s="75"/>
      <c r="H237" s="71" t="s">
        <v>511</v>
      </c>
      <c r="J237" t="s">
        <v>756</v>
      </c>
    </row>
    <row r="238" spans="1:10" x14ac:dyDescent="0.3">
      <c r="A238" s="70">
        <v>45440</v>
      </c>
      <c r="B238" t="s">
        <v>34</v>
      </c>
      <c r="C238" s="71" t="s">
        <v>137</v>
      </c>
      <c r="D238" s="75">
        <v>0</v>
      </c>
      <c r="E238" s="75">
        <v>950.25</v>
      </c>
      <c r="F238" s="75">
        <v>52733.7</v>
      </c>
      <c r="G238" s="75"/>
      <c r="H238" s="71" t="s">
        <v>217</v>
      </c>
      <c r="I238" s="71"/>
      <c r="J238" t="s">
        <v>752</v>
      </c>
    </row>
    <row r="239" spans="1:10" x14ac:dyDescent="0.3">
      <c r="A239" s="70">
        <v>45440</v>
      </c>
      <c r="B239" t="s">
        <v>138</v>
      </c>
      <c r="C239" s="71" t="s">
        <v>139</v>
      </c>
      <c r="D239" s="75">
        <v>5000</v>
      </c>
      <c r="E239" s="75">
        <v>0</v>
      </c>
      <c r="F239" s="75">
        <v>47733.7</v>
      </c>
      <c r="G239" s="75"/>
      <c r="H239" s="71" t="s">
        <v>219</v>
      </c>
      <c r="I239" s="71"/>
      <c r="J239" t="s">
        <v>752</v>
      </c>
    </row>
    <row r="240" spans="1:10" x14ac:dyDescent="0.3">
      <c r="A240" s="70">
        <v>45440</v>
      </c>
      <c r="B240" t="s">
        <v>30</v>
      </c>
      <c r="C240" s="71" t="s">
        <v>140</v>
      </c>
      <c r="D240" s="75">
        <v>103.38</v>
      </c>
      <c r="E240" s="75">
        <v>0</v>
      </c>
      <c r="F240" s="75">
        <v>47630.32</v>
      </c>
      <c r="G240" s="75"/>
      <c r="H240" s="71" t="s">
        <v>217</v>
      </c>
      <c r="I240" s="71"/>
      <c r="J240" t="s">
        <v>752</v>
      </c>
    </row>
    <row r="241" spans="1:10" x14ac:dyDescent="0.3">
      <c r="A241" s="70">
        <v>45440</v>
      </c>
      <c r="B241" t="s">
        <v>30</v>
      </c>
      <c r="C241" s="71" t="s">
        <v>141</v>
      </c>
      <c r="D241" s="75">
        <v>17070.650000000001</v>
      </c>
      <c r="E241" s="75">
        <v>0</v>
      </c>
      <c r="F241" s="75">
        <v>30559.67</v>
      </c>
      <c r="G241" s="75"/>
      <c r="H241" s="71" t="s">
        <v>217</v>
      </c>
      <c r="I241" s="71"/>
      <c r="J241" t="s">
        <v>752</v>
      </c>
    </row>
    <row r="242" spans="1:10" x14ac:dyDescent="0.3">
      <c r="A242" s="70">
        <v>45440</v>
      </c>
      <c r="B242" t="s">
        <v>30</v>
      </c>
      <c r="C242" s="71" t="s">
        <v>142</v>
      </c>
      <c r="D242" s="75">
        <v>631.52</v>
      </c>
      <c r="E242" s="75">
        <v>0</v>
      </c>
      <c r="F242" s="75">
        <v>29928.15</v>
      </c>
      <c r="G242" s="75"/>
      <c r="H242" s="71" t="s">
        <v>217</v>
      </c>
      <c r="I242" s="71"/>
      <c r="J242" t="s">
        <v>752</v>
      </c>
    </row>
    <row r="243" spans="1:10" x14ac:dyDescent="0.3">
      <c r="A243" s="70">
        <v>45440</v>
      </c>
      <c r="B243" t="s">
        <v>573</v>
      </c>
      <c r="C243" s="71" t="s">
        <v>574</v>
      </c>
      <c r="D243" s="75">
        <v>5380</v>
      </c>
      <c r="E243" s="75">
        <v>0</v>
      </c>
      <c r="F243" s="75">
        <v>73275.69</v>
      </c>
      <c r="G243" s="75"/>
      <c r="H243" s="71" t="s">
        <v>589</v>
      </c>
      <c r="J243" t="s">
        <v>753</v>
      </c>
    </row>
    <row r="244" spans="1:10" x14ac:dyDescent="0.3">
      <c r="A244" s="70">
        <v>45441</v>
      </c>
      <c r="B244" t="s">
        <v>30</v>
      </c>
      <c r="C244" s="71" t="s">
        <v>143</v>
      </c>
      <c r="D244" s="75">
        <v>103.49</v>
      </c>
      <c r="E244" s="75">
        <v>0</v>
      </c>
      <c r="F244" s="75">
        <v>29824.66</v>
      </c>
      <c r="G244" s="75"/>
      <c r="H244" s="71" t="s">
        <v>217</v>
      </c>
      <c r="I244" s="71"/>
      <c r="J244" t="s">
        <v>752</v>
      </c>
    </row>
    <row r="245" spans="1:10" x14ac:dyDescent="0.3">
      <c r="A245" s="70">
        <v>45441</v>
      </c>
      <c r="B245" t="s">
        <v>30</v>
      </c>
      <c r="C245" s="71" t="s">
        <v>144</v>
      </c>
      <c r="D245" s="75">
        <v>712.88</v>
      </c>
      <c r="E245" s="75">
        <v>0</v>
      </c>
      <c r="F245" s="75">
        <v>29111.78</v>
      </c>
      <c r="G245" s="75"/>
      <c r="H245" s="71" t="s">
        <v>217</v>
      </c>
      <c r="I245" s="71"/>
      <c r="J245" t="s">
        <v>752</v>
      </c>
    </row>
    <row r="246" spans="1:10" x14ac:dyDescent="0.3">
      <c r="A246" s="70">
        <v>45441</v>
      </c>
      <c r="B246" t="s">
        <v>318</v>
      </c>
      <c r="C246" s="71" t="s">
        <v>428</v>
      </c>
      <c r="D246" s="75">
        <v>5000</v>
      </c>
      <c r="E246" s="75">
        <v>0</v>
      </c>
      <c r="F246" s="75">
        <v>1339.6399999999994</v>
      </c>
      <c r="G246" s="75"/>
      <c r="H246" s="71" t="s">
        <v>509</v>
      </c>
      <c r="J246" t="s">
        <v>756</v>
      </c>
    </row>
    <row r="247" spans="1:10" x14ac:dyDescent="0.3">
      <c r="A247" s="70">
        <v>45442</v>
      </c>
      <c r="B247" t="s">
        <v>34</v>
      </c>
      <c r="C247" s="71" t="s">
        <v>145</v>
      </c>
      <c r="D247" s="75">
        <v>0</v>
      </c>
      <c r="E247" s="75">
        <v>40008.449999999997</v>
      </c>
      <c r="F247" s="75">
        <v>69120.23</v>
      </c>
      <c r="G247" s="75"/>
      <c r="H247" s="71" t="s">
        <v>217</v>
      </c>
      <c r="I247" s="71"/>
      <c r="J247" t="s">
        <v>752</v>
      </c>
    </row>
    <row r="248" spans="1:10" x14ac:dyDescent="0.3">
      <c r="A248" s="70">
        <v>45442</v>
      </c>
      <c r="B248" t="s">
        <v>146</v>
      </c>
      <c r="C248" s="71" t="s">
        <v>147</v>
      </c>
      <c r="D248" s="75">
        <v>5000</v>
      </c>
      <c r="E248" s="75">
        <v>0</v>
      </c>
      <c r="F248" s="75">
        <v>64120.23</v>
      </c>
      <c r="G248" s="75"/>
      <c r="H248" s="71" t="s">
        <v>219</v>
      </c>
      <c r="I248" s="71"/>
      <c r="J248" t="s">
        <v>752</v>
      </c>
    </row>
    <row r="249" spans="1:10" x14ac:dyDescent="0.3">
      <c r="A249" s="70">
        <v>45442</v>
      </c>
      <c r="B249" t="s">
        <v>30</v>
      </c>
      <c r="C249" s="71" t="s">
        <v>148</v>
      </c>
      <c r="D249" s="75">
        <v>103.24</v>
      </c>
      <c r="E249" s="75">
        <v>0</v>
      </c>
      <c r="F249" s="75">
        <v>64016.99</v>
      </c>
      <c r="G249" s="75"/>
      <c r="H249" s="71" t="s">
        <v>217</v>
      </c>
      <c r="I249" s="71"/>
      <c r="J249" t="s">
        <v>752</v>
      </c>
    </row>
    <row r="250" spans="1:10" x14ac:dyDescent="0.3">
      <c r="A250" s="70">
        <v>45442</v>
      </c>
      <c r="B250" t="s">
        <v>30</v>
      </c>
      <c r="C250" s="71" t="s">
        <v>149</v>
      </c>
      <c r="D250" s="75">
        <v>1261.72</v>
      </c>
      <c r="E250" s="75">
        <v>0</v>
      </c>
      <c r="F250" s="75">
        <v>62755.27</v>
      </c>
      <c r="G250" s="75"/>
      <c r="H250" s="71" t="s">
        <v>217</v>
      </c>
      <c r="I250" s="71"/>
      <c r="J250" t="s">
        <v>752</v>
      </c>
    </row>
    <row r="251" spans="1:10" x14ac:dyDescent="0.3">
      <c r="A251" s="70">
        <v>45442</v>
      </c>
      <c r="B251" t="s">
        <v>429</v>
      </c>
      <c r="C251" s="71" t="s">
        <v>430</v>
      </c>
      <c r="D251" s="75">
        <v>450</v>
      </c>
      <c r="E251" s="75">
        <v>0</v>
      </c>
      <c r="F251" s="75">
        <v>889.63999999999942</v>
      </c>
      <c r="G251" s="75"/>
      <c r="H251" s="71" t="s">
        <v>511</v>
      </c>
      <c r="J251" t="s">
        <v>756</v>
      </c>
    </row>
    <row r="252" spans="1:10" x14ac:dyDescent="0.3">
      <c r="A252" s="70">
        <v>45442</v>
      </c>
      <c r="B252" t="s">
        <v>358</v>
      </c>
      <c r="C252" s="71" t="s">
        <v>431</v>
      </c>
      <c r="D252" s="75">
        <v>0</v>
      </c>
      <c r="E252" s="75">
        <v>67921</v>
      </c>
      <c r="F252" s="75">
        <v>68810.64</v>
      </c>
      <c r="G252" s="75"/>
      <c r="H252" s="71" t="s">
        <v>507</v>
      </c>
      <c r="J252" t="s">
        <v>756</v>
      </c>
    </row>
    <row r="253" spans="1:10" x14ac:dyDescent="0.3">
      <c r="A253" s="70">
        <v>45442</v>
      </c>
      <c r="B253" t="s">
        <v>432</v>
      </c>
      <c r="C253" s="71" t="s">
        <v>433</v>
      </c>
      <c r="D253" s="75">
        <v>70</v>
      </c>
      <c r="E253" s="75">
        <v>0</v>
      </c>
      <c r="F253" s="75">
        <v>68740.639999999999</v>
      </c>
      <c r="G253" s="75"/>
      <c r="H253" s="71" t="s">
        <v>511</v>
      </c>
      <c r="J253" t="s">
        <v>756</v>
      </c>
    </row>
    <row r="254" spans="1:10" x14ac:dyDescent="0.3">
      <c r="A254" s="70">
        <v>45442</v>
      </c>
      <c r="B254" t="s">
        <v>434</v>
      </c>
      <c r="C254" s="71" t="s">
        <v>435</v>
      </c>
      <c r="D254" s="75">
        <v>15000</v>
      </c>
      <c r="E254" s="75">
        <v>0</v>
      </c>
      <c r="F254" s="75">
        <v>53740.639999999999</v>
      </c>
      <c r="G254" s="75"/>
      <c r="H254" s="71" t="s">
        <v>512</v>
      </c>
      <c r="J254" t="s">
        <v>756</v>
      </c>
    </row>
    <row r="255" spans="1:10" x14ac:dyDescent="0.3">
      <c r="A255" s="70">
        <v>45442</v>
      </c>
      <c r="B255" t="s">
        <v>436</v>
      </c>
      <c r="C255" s="71" t="s">
        <v>437</v>
      </c>
      <c r="D255" s="75">
        <v>30</v>
      </c>
      <c r="E255" s="75">
        <v>0</v>
      </c>
      <c r="F255" s="75">
        <v>53710.64</v>
      </c>
      <c r="G255" s="75"/>
      <c r="H255" s="71" t="s">
        <v>511</v>
      </c>
      <c r="J255" t="s">
        <v>756</v>
      </c>
    </row>
    <row r="256" spans="1:10" x14ac:dyDescent="0.3">
      <c r="A256" s="70">
        <v>45442</v>
      </c>
      <c r="B256" t="s">
        <v>438</v>
      </c>
      <c r="C256" s="71">
        <v>415122000000</v>
      </c>
      <c r="D256" s="75">
        <v>3000</v>
      </c>
      <c r="E256" s="75">
        <v>0</v>
      </c>
      <c r="F256" s="75">
        <v>50710.64</v>
      </c>
      <c r="G256" s="75"/>
      <c r="H256" s="71" t="s">
        <v>509</v>
      </c>
      <c r="J256" t="s">
        <v>756</v>
      </c>
    </row>
    <row r="257" spans="1:10" x14ac:dyDescent="0.3">
      <c r="A257" s="70">
        <v>45442</v>
      </c>
      <c r="B257" t="s">
        <v>439</v>
      </c>
      <c r="C257" s="71" t="s">
        <v>440</v>
      </c>
      <c r="D257" s="75">
        <v>280</v>
      </c>
      <c r="E257" s="75">
        <v>0</v>
      </c>
      <c r="F257" s="75">
        <v>50430.64</v>
      </c>
      <c r="G257" s="75"/>
      <c r="H257" s="71" t="s">
        <v>511</v>
      </c>
      <c r="J257" t="s">
        <v>756</v>
      </c>
    </row>
    <row r="258" spans="1:10" x14ac:dyDescent="0.3">
      <c r="A258" s="70">
        <v>45443</v>
      </c>
      <c r="B258" t="s">
        <v>30</v>
      </c>
      <c r="C258" s="71" t="s">
        <v>150</v>
      </c>
      <c r="D258" s="75">
        <v>102.79</v>
      </c>
      <c r="E258" s="75">
        <v>0</v>
      </c>
      <c r="F258" s="75">
        <v>62652.480000000003</v>
      </c>
      <c r="G258" s="75"/>
      <c r="H258" s="71" t="s">
        <v>217</v>
      </c>
      <c r="I258" s="71"/>
      <c r="J258" t="s">
        <v>752</v>
      </c>
    </row>
    <row r="259" spans="1:10" x14ac:dyDescent="0.3">
      <c r="A259" s="70">
        <v>45443</v>
      </c>
      <c r="B259" t="s">
        <v>30</v>
      </c>
      <c r="C259" s="71" t="s">
        <v>151</v>
      </c>
      <c r="D259" s="75">
        <v>726.98</v>
      </c>
      <c r="E259" s="75">
        <v>0</v>
      </c>
      <c r="F259" s="75">
        <v>61925.5</v>
      </c>
      <c r="G259" s="75"/>
      <c r="H259" s="71" t="s">
        <v>217</v>
      </c>
      <c r="I259" s="71"/>
      <c r="J259" t="s">
        <v>752</v>
      </c>
    </row>
    <row r="260" spans="1:10" x14ac:dyDescent="0.3">
      <c r="A260" s="70">
        <v>45443</v>
      </c>
      <c r="B260" t="s">
        <v>441</v>
      </c>
      <c r="C260" s="71" t="s">
        <v>442</v>
      </c>
      <c r="D260" s="75">
        <v>15</v>
      </c>
      <c r="E260" s="75">
        <v>0</v>
      </c>
      <c r="F260" s="75">
        <v>50415.64</v>
      </c>
      <c r="G260" s="75"/>
      <c r="H260" s="71" t="s">
        <v>511</v>
      </c>
      <c r="J260" t="s">
        <v>756</v>
      </c>
    </row>
    <row r="261" spans="1:10" x14ac:dyDescent="0.3">
      <c r="A261" s="70">
        <v>45444</v>
      </c>
      <c r="B261" t="s">
        <v>443</v>
      </c>
      <c r="C261" s="71" t="s">
        <v>444</v>
      </c>
      <c r="D261" s="75">
        <v>60</v>
      </c>
      <c r="E261" s="75">
        <v>0</v>
      </c>
      <c r="F261" s="75">
        <v>50355.64</v>
      </c>
      <c r="G261" s="75"/>
      <c r="H261" s="71" t="s">
        <v>511</v>
      </c>
      <c r="J261" t="s">
        <v>756</v>
      </c>
    </row>
    <row r="262" spans="1:10" x14ac:dyDescent="0.3">
      <c r="A262" s="70">
        <v>45444</v>
      </c>
      <c r="B262" t="s">
        <v>2562</v>
      </c>
      <c r="C262" s="71"/>
      <c r="D262" s="75">
        <v>0</v>
      </c>
      <c r="E262" s="75">
        <v>1</v>
      </c>
      <c r="F262" s="75">
        <v>227</v>
      </c>
      <c r="G262" s="75"/>
      <c r="H262" s="71" t="s">
        <v>227</v>
      </c>
      <c r="J262" t="s">
        <v>2573</v>
      </c>
    </row>
    <row r="263" spans="1:10" x14ac:dyDescent="0.3">
      <c r="A263" s="70">
        <v>45445</v>
      </c>
      <c r="B263" t="s">
        <v>445</v>
      </c>
      <c r="C263" s="71" t="s">
        <v>446</v>
      </c>
      <c r="D263" s="75">
        <v>500</v>
      </c>
      <c r="E263" s="75">
        <v>0</v>
      </c>
      <c r="F263" s="75">
        <v>49855.64</v>
      </c>
      <c r="G263" s="75"/>
      <c r="H263" s="71" t="s">
        <v>511</v>
      </c>
      <c r="J263" t="s">
        <v>756</v>
      </c>
    </row>
    <row r="264" spans="1:10" x14ac:dyDescent="0.3">
      <c r="A264" s="70">
        <v>45445</v>
      </c>
      <c r="B264" t="s">
        <v>447</v>
      </c>
      <c r="C264" s="71" t="s">
        <v>448</v>
      </c>
      <c r="D264" s="75">
        <v>1300</v>
      </c>
      <c r="E264" s="75">
        <v>0</v>
      </c>
      <c r="F264" s="75">
        <v>48555.64</v>
      </c>
      <c r="G264" s="75"/>
      <c r="H264" s="71" t="s">
        <v>511</v>
      </c>
      <c r="J264" t="s">
        <v>756</v>
      </c>
    </row>
    <row r="265" spans="1:10" x14ac:dyDescent="0.3">
      <c r="A265" s="70">
        <v>45446</v>
      </c>
      <c r="B265" t="s">
        <v>30</v>
      </c>
      <c r="C265" s="71" t="s">
        <v>152</v>
      </c>
      <c r="D265" s="75">
        <v>307.58999999999997</v>
      </c>
      <c r="E265" s="75">
        <v>0</v>
      </c>
      <c r="F265" s="75">
        <v>61617.91</v>
      </c>
      <c r="G265" s="75"/>
      <c r="H265" s="71" t="s">
        <v>217</v>
      </c>
      <c r="I265" s="71"/>
      <c r="J265" t="s">
        <v>752</v>
      </c>
    </row>
    <row r="266" spans="1:10" x14ac:dyDescent="0.3">
      <c r="A266" s="70">
        <v>45446</v>
      </c>
      <c r="B266" t="s">
        <v>575</v>
      </c>
      <c r="C266" s="71" t="s">
        <v>545</v>
      </c>
      <c r="D266" s="75">
        <v>40</v>
      </c>
      <c r="E266" s="75">
        <v>0</v>
      </c>
      <c r="F266" s="75">
        <v>73235.69</v>
      </c>
      <c r="G266" s="75"/>
      <c r="H266" s="71" t="s">
        <v>589</v>
      </c>
      <c r="J266" t="s">
        <v>753</v>
      </c>
    </row>
    <row r="267" spans="1:10" x14ac:dyDescent="0.3">
      <c r="A267" s="70">
        <v>45446</v>
      </c>
      <c r="B267" t="s">
        <v>576</v>
      </c>
      <c r="C267" s="71" t="s">
        <v>577</v>
      </c>
      <c r="D267" s="75">
        <v>0</v>
      </c>
      <c r="E267" s="75">
        <v>40</v>
      </c>
      <c r="F267" s="75">
        <v>73275.69</v>
      </c>
      <c r="G267" s="75"/>
      <c r="H267" s="71" t="s">
        <v>589</v>
      </c>
      <c r="J267" t="s">
        <v>753</v>
      </c>
    </row>
    <row r="268" spans="1:10" x14ac:dyDescent="0.3">
      <c r="A268" s="70">
        <v>45446</v>
      </c>
      <c r="B268" t="s">
        <v>449</v>
      </c>
      <c r="C268" s="71" t="s">
        <v>450</v>
      </c>
      <c r="D268" s="75">
        <v>40</v>
      </c>
      <c r="E268" s="75">
        <v>0</v>
      </c>
      <c r="F268" s="75">
        <v>48515.64</v>
      </c>
      <c r="G268" s="75"/>
      <c r="H268" s="71" t="s">
        <v>511</v>
      </c>
      <c r="J268" t="s">
        <v>756</v>
      </c>
    </row>
    <row r="269" spans="1:10" x14ac:dyDescent="0.3">
      <c r="A269" s="70">
        <v>45446</v>
      </c>
      <c r="B269" t="s">
        <v>451</v>
      </c>
      <c r="C269" s="71" t="s">
        <v>450</v>
      </c>
      <c r="D269" s="75">
        <v>0</v>
      </c>
      <c r="E269" s="75">
        <v>40</v>
      </c>
      <c r="F269" s="75">
        <v>48555.64</v>
      </c>
      <c r="G269" s="75"/>
      <c r="H269" s="71" t="s">
        <v>511</v>
      </c>
      <c r="J269" t="s">
        <v>756</v>
      </c>
    </row>
    <row r="270" spans="1:10" x14ac:dyDescent="0.3">
      <c r="A270" s="70">
        <v>45447</v>
      </c>
      <c r="B270" t="s">
        <v>34</v>
      </c>
      <c r="C270" s="71" t="s">
        <v>153</v>
      </c>
      <c r="D270" s="75">
        <v>0</v>
      </c>
      <c r="E270" s="75">
        <v>1822.48</v>
      </c>
      <c r="F270" s="75">
        <v>63440.39</v>
      </c>
      <c r="G270" s="75"/>
      <c r="H270" s="71" t="s">
        <v>217</v>
      </c>
      <c r="I270" s="71"/>
      <c r="J270" t="s">
        <v>752</v>
      </c>
    </row>
    <row r="271" spans="1:10" x14ac:dyDescent="0.3">
      <c r="A271" s="70">
        <v>45447</v>
      </c>
      <c r="B271" t="s">
        <v>30</v>
      </c>
      <c r="C271" s="71" t="s">
        <v>154</v>
      </c>
      <c r="D271" s="75">
        <v>102.53</v>
      </c>
      <c r="E271" s="75">
        <v>0</v>
      </c>
      <c r="F271" s="75">
        <v>63337.86</v>
      </c>
      <c r="G271" s="75"/>
      <c r="H271" s="71" t="s">
        <v>217</v>
      </c>
      <c r="I271" s="71"/>
      <c r="J271" t="s">
        <v>752</v>
      </c>
    </row>
    <row r="272" spans="1:10" x14ac:dyDescent="0.3">
      <c r="A272" s="70">
        <v>45447</v>
      </c>
      <c r="B272" t="s">
        <v>155</v>
      </c>
      <c r="C272" s="71" t="s">
        <v>156</v>
      </c>
      <c r="D272" s="75">
        <v>0</v>
      </c>
      <c r="E272" s="75">
        <v>448</v>
      </c>
      <c r="F272" s="75">
        <v>63785.86</v>
      </c>
      <c r="G272" s="75"/>
      <c r="H272" s="71" t="s">
        <v>218</v>
      </c>
      <c r="I272" s="71"/>
      <c r="J272" t="s">
        <v>752</v>
      </c>
    </row>
    <row r="273" spans="1:10" x14ac:dyDescent="0.3">
      <c r="A273" s="70">
        <v>45447</v>
      </c>
      <c r="B273" t="s">
        <v>30</v>
      </c>
      <c r="C273" s="71" t="s">
        <v>157</v>
      </c>
      <c r="D273" s="75">
        <v>8240.77</v>
      </c>
      <c r="E273" s="75">
        <v>0</v>
      </c>
      <c r="F273" s="75">
        <v>55545.09</v>
      </c>
      <c r="G273" s="75"/>
      <c r="H273" s="71" t="s">
        <v>217</v>
      </c>
      <c r="I273" s="71"/>
      <c r="J273" t="s">
        <v>752</v>
      </c>
    </row>
    <row r="274" spans="1:10" x14ac:dyDescent="0.3">
      <c r="A274" s="70">
        <v>45447</v>
      </c>
      <c r="B274" t="s">
        <v>452</v>
      </c>
      <c r="C274" s="71" t="s">
        <v>453</v>
      </c>
      <c r="D274" s="75">
        <v>6931.19</v>
      </c>
      <c r="E274" s="75">
        <v>0</v>
      </c>
      <c r="F274" s="75">
        <v>41624.449999999997</v>
      </c>
      <c r="G274" s="75"/>
      <c r="H274" s="71" t="s">
        <v>511</v>
      </c>
      <c r="J274" t="s">
        <v>756</v>
      </c>
    </row>
    <row r="275" spans="1:10" x14ac:dyDescent="0.3">
      <c r="A275" s="70">
        <v>45447</v>
      </c>
      <c r="B275" t="s">
        <v>454</v>
      </c>
      <c r="C275" s="71" t="s">
        <v>455</v>
      </c>
      <c r="D275" s="75">
        <v>0</v>
      </c>
      <c r="E275" s="75">
        <v>4</v>
      </c>
      <c r="F275" s="75">
        <v>41628.449999999997</v>
      </c>
      <c r="G275" s="75"/>
      <c r="H275" s="71" t="s">
        <v>746</v>
      </c>
      <c r="J275" t="s">
        <v>756</v>
      </c>
    </row>
    <row r="276" spans="1:10" x14ac:dyDescent="0.3">
      <c r="A276" s="70">
        <v>45448</v>
      </c>
      <c r="B276" t="s">
        <v>30</v>
      </c>
      <c r="C276" s="71" t="s">
        <v>158</v>
      </c>
      <c r="D276" s="75">
        <v>100.24</v>
      </c>
      <c r="E276" s="75">
        <v>0</v>
      </c>
      <c r="F276" s="75">
        <v>55444.85</v>
      </c>
      <c r="G276" s="75"/>
      <c r="H276" s="71" t="s">
        <v>217</v>
      </c>
      <c r="I276" s="71"/>
      <c r="J276" t="s">
        <v>752</v>
      </c>
    </row>
    <row r="277" spans="1:10" x14ac:dyDescent="0.3">
      <c r="A277" s="70">
        <v>45448</v>
      </c>
      <c r="B277" t="s">
        <v>159</v>
      </c>
      <c r="C277" s="71" t="s">
        <v>160</v>
      </c>
      <c r="D277" s="75">
        <v>0</v>
      </c>
      <c r="E277" s="75">
        <v>1370</v>
      </c>
      <c r="F277" s="75">
        <v>56814.85</v>
      </c>
      <c r="G277" s="75"/>
      <c r="H277" s="71" t="s">
        <v>218</v>
      </c>
      <c r="I277" s="71"/>
      <c r="J277" t="s">
        <v>752</v>
      </c>
    </row>
    <row r="278" spans="1:10" x14ac:dyDescent="0.3">
      <c r="A278" s="70">
        <v>45449</v>
      </c>
      <c r="B278" t="s">
        <v>34</v>
      </c>
      <c r="C278" s="71" t="s">
        <v>161</v>
      </c>
      <c r="D278" s="75">
        <v>0</v>
      </c>
      <c r="E278" s="75">
        <v>3961.37</v>
      </c>
      <c r="F278" s="75">
        <v>60776.22</v>
      </c>
      <c r="G278" s="75"/>
      <c r="H278" s="71" t="s">
        <v>217</v>
      </c>
      <c r="I278" s="71"/>
      <c r="J278" t="s">
        <v>752</v>
      </c>
    </row>
    <row r="279" spans="1:10" x14ac:dyDescent="0.3">
      <c r="A279" s="70">
        <v>45449</v>
      </c>
      <c r="B279" t="s">
        <v>30</v>
      </c>
      <c r="C279" s="71" t="s">
        <v>162</v>
      </c>
      <c r="D279" s="75">
        <v>100.24</v>
      </c>
      <c r="E279" s="75">
        <v>0</v>
      </c>
      <c r="F279" s="75">
        <v>60675.98</v>
      </c>
      <c r="G279" s="75"/>
      <c r="H279" s="71" t="s">
        <v>217</v>
      </c>
      <c r="I279" s="71"/>
      <c r="J279" t="s">
        <v>752</v>
      </c>
    </row>
    <row r="280" spans="1:10" x14ac:dyDescent="0.3">
      <c r="A280" s="70">
        <v>45450</v>
      </c>
      <c r="B280" t="s">
        <v>34</v>
      </c>
      <c r="C280" s="71" t="s">
        <v>163</v>
      </c>
      <c r="D280" s="75">
        <v>0</v>
      </c>
      <c r="E280" s="75">
        <v>2281.29</v>
      </c>
      <c r="F280" s="75">
        <v>62957.27</v>
      </c>
      <c r="G280" s="75"/>
      <c r="H280" s="71" t="s">
        <v>217</v>
      </c>
      <c r="I280" s="71"/>
      <c r="J280" t="s">
        <v>752</v>
      </c>
    </row>
    <row r="281" spans="1:10" x14ac:dyDescent="0.3">
      <c r="A281" s="70">
        <v>45450</v>
      </c>
      <c r="B281" t="s">
        <v>34</v>
      </c>
      <c r="C281" s="71" t="s">
        <v>164</v>
      </c>
      <c r="D281" s="75">
        <v>0</v>
      </c>
      <c r="E281" s="75">
        <v>36733.370000000003</v>
      </c>
      <c r="F281" s="75">
        <v>99690.64</v>
      </c>
      <c r="G281" s="75"/>
      <c r="H281" s="71" t="s">
        <v>217</v>
      </c>
      <c r="I281" s="71"/>
      <c r="J281" t="s">
        <v>752</v>
      </c>
    </row>
    <row r="282" spans="1:10" x14ac:dyDescent="0.3">
      <c r="A282" s="70">
        <v>45450</v>
      </c>
      <c r="B282" t="s">
        <v>30</v>
      </c>
      <c r="C282" s="71" t="s">
        <v>165</v>
      </c>
      <c r="D282" s="75">
        <v>101.66</v>
      </c>
      <c r="E282" s="75">
        <v>0</v>
      </c>
      <c r="F282" s="75">
        <v>99588.98</v>
      </c>
      <c r="G282" s="75"/>
      <c r="H282" s="71" t="s">
        <v>217</v>
      </c>
      <c r="I282" s="71"/>
      <c r="J282" t="s">
        <v>752</v>
      </c>
    </row>
    <row r="283" spans="1:10" x14ac:dyDescent="0.3">
      <c r="A283" s="70">
        <v>45450</v>
      </c>
      <c r="B283" t="s">
        <v>166</v>
      </c>
      <c r="C283" s="71" t="s">
        <v>167</v>
      </c>
      <c r="D283" s="75">
        <v>0</v>
      </c>
      <c r="E283" s="75">
        <v>1880</v>
      </c>
      <c r="F283" s="75">
        <v>101468.98</v>
      </c>
      <c r="G283" s="75"/>
      <c r="H283" s="71" t="s">
        <v>222</v>
      </c>
      <c r="I283" s="71"/>
      <c r="J283" t="s">
        <v>752</v>
      </c>
    </row>
    <row r="284" spans="1:10" x14ac:dyDescent="0.3">
      <c r="A284" s="70">
        <v>45450</v>
      </c>
      <c r="B284" t="s">
        <v>34</v>
      </c>
      <c r="C284" s="71" t="s">
        <v>168</v>
      </c>
      <c r="D284" s="75">
        <v>0</v>
      </c>
      <c r="E284" s="75">
        <v>1840.52</v>
      </c>
      <c r="F284" s="75">
        <v>103309.5</v>
      </c>
      <c r="G284" s="75"/>
      <c r="H284" s="71" t="s">
        <v>217</v>
      </c>
      <c r="I284" s="71"/>
      <c r="J284" t="s">
        <v>752</v>
      </c>
    </row>
    <row r="285" spans="1:10" x14ac:dyDescent="0.3">
      <c r="A285" s="70">
        <v>45452</v>
      </c>
      <c r="B285" t="s">
        <v>169</v>
      </c>
      <c r="C285" s="71" t="s">
        <v>170</v>
      </c>
      <c r="D285" s="75">
        <v>1000</v>
      </c>
      <c r="E285" s="75">
        <v>0</v>
      </c>
      <c r="F285" s="75">
        <v>102309.5</v>
      </c>
      <c r="G285" s="75"/>
      <c r="H285" s="71" t="s">
        <v>223</v>
      </c>
      <c r="I285" s="71"/>
      <c r="J285" t="s">
        <v>752</v>
      </c>
    </row>
    <row r="286" spans="1:10" x14ac:dyDescent="0.3">
      <c r="A286" s="70">
        <v>45452</v>
      </c>
      <c r="B286" t="s">
        <v>578</v>
      </c>
      <c r="C286" s="71" t="s">
        <v>556</v>
      </c>
      <c r="D286" s="75">
        <v>200</v>
      </c>
      <c r="E286" s="75">
        <v>0</v>
      </c>
      <c r="F286" s="75">
        <v>73075.69</v>
      </c>
      <c r="G286" s="75"/>
      <c r="H286" s="71" t="s">
        <v>589</v>
      </c>
      <c r="J286" t="s">
        <v>753</v>
      </c>
    </row>
    <row r="287" spans="1:10" x14ac:dyDescent="0.3">
      <c r="A287" s="70">
        <v>45452</v>
      </c>
      <c r="B287" t="s">
        <v>456</v>
      </c>
      <c r="C287" s="71" t="s">
        <v>457</v>
      </c>
      <c r="D287" s="75">
        <v>142.25</v>
      </c>
      <c r="E287" s="75">
        <v>0</v>
      </c>
      <c r="F287" s="75">
        <v>41486.199999999997</v>
      </c>
      <c r="G287" s="75"/>
      <c r="H287" s="71" t="s">
        <v>511</v>
      </c>
      <c r="J287" t="s">
        <v>756</v>
      </c>
    </row>
    <row r="288" spans="1:10" x14ac:dyDescent="0.3">
      <c r="A288" s="70">
        <v>45453</v>
      </c>
      <c r="B288" t="s">
        <v>30</v>
      </c>
      <c r="C288" s="71" t="s">
        <v>171</v>
      </c>
      <c r="D288" s="75">
        <v>309.36</v>
      </c>
      <c r="E288" s="75">
        <v>0</v>
      </c>
      <c r="F288" s="75">
        <v>102000.14</v>
      </c>
      <c r="G288" s="75"/>
      <c r="H288" s="71" t="s">
        <v>217</v>
      </c>
      <c r="I288" s="71"/>
      <c r="J288" t="s">
        <v>752</v>
      </c>
    </row>
    <row r="289" spans="1:10" x14ac:dyDescent="0.3">
      <c r="A289" s="70">
        <v>45453</v>
      </c>
      <c r="B289" t="s">
        <v>30</v>
      </c>
      <c r="C289" s="71" t="s">
        <v>172</v>
      </c>
      <c r="D289" s="75">
        <v>14669.42</v>
      </c>
      <c r="E289" s="75">
        <v>0</v>
      </c>
      <c r="F289" s="75">
        <v>87330.72</v>
      </c>
      <c r="G289" s="75"/>
      <c r="H289" s="71" t="s">
        <v>217</v>
      </c>
      <c r="I289" s="71"/>
      <c r="J289" t="s">
        <v>752</v>
      </c>
    </row>
    <row r="290" spans="1:10" x14ac:dyDescent="0.3">
      <c r="A290" s="70">
        <v>45453</v>
      </c>
      <c r="B290" t="s">
        <v>579</v>
      </c>
      <c r="C290" s="71" t="s">
        <v>580</v>
      </c>
      <c r="D290" s="75">
        <v>0</v>
      </c>
      <c r="E290" s="75">
        <v>122.22</v>
      </c>
      <c r="F290" s="75">
        <v>73197.91</v>
      </c>
      <c r="G290" s="75"/>
      <c r="H290" s="71" t="s">
        <v>2535</v>
      </c>
      <c r="J290" t="s">
        <v>753</v>
      </c>
    </row>
    <row r="291" spans="1:10" x14ac:dyDescent="0.3">
      <c r="A291" s="70">
        <v>45453</v>
      </c>
      <c r="B291" t="s">
        <v>458</v>
      </c>
      <c r="C291" s="71" t="s">
        <v>459</v>
      </c>
      <c r="D291" s="75">
        <v>5000</v>
      </c>
      <c r="E291" s="75">
        <v>0</v>
      </c>
      <c r="F291" s="75">
        <v>36486.199999999997</v>
      </c>
      <c r="G291" s="75"/>
      <c r="H291" s="71" t="s">
        <v>219</v>
      </c>
      <c r="J291" t="s">
        <v>756</v>
      </c>
    </row>
    <row r="292" spans="1:10" x14ac:dyDescent="0.3">
      <c r="A292" s="70">
        <v>45454</v>
      </c>
      <c r="B292" t="s">
        <v>173</v>
      </c>
      <c r="C292" s="71" t="s">
        <v>174</v>
      </c>
      <c r="D292" s="75">
        <v>50000</v>
      </c>
      <c r="E292" s="75">
        <v>0</v>
      </c>
      <c r="F292" s="75">
        <v>37330.720000000001</v>
      </c>
      <c r="G292" s="75"/>
      <c r="H292" s="71" t="s">
        <v>225</v>
      </c>
      <c r="I292" s="71"/>
      <c r="J292" t="s">
        <v>752</v>
      </c>
    </row>
    <row r="293" spans="1:10" x14ac:dyDescent="0.3">
      <c r="A293" s="70">
        <v>45454</v>
      </c>
      <c r="B293" t="s">
        <v>30</v>
      </c>
      <c r="C293" s="71" t="s">
        <v>175</v>
      </c>
      <c r="D293" s="75">
        <v>97.9</v>
      </c>
      <c r="E293" s="75">
        <v>0</v>
      </c>
      <c r="F293" s="75">
        <v>37232.82</v>
      </c>
      <c r="G293" s="75"/>
      <c r="H293" s="71" t="s">
        <v>217</v>
      </c>
      <c r="I293" s="71"/>
      <c r="J293" t="s">
        <v>752</v>
      </c>
    </row>
    <row r="294" spans="1:10" x14ac:dyDescent="0.3">
      <c r="A294" s="70">
        <v>45455</v>
      </c>
      <c r="B294" t="s">
        <v>34</v>
      </c>
      <c r="C294" s="71" t="s">
        <v>176</v>
      </c>
      <c r="D294" s="75">
        <v>0</v>
      </c>
      <c r="E294" s="75">
        <v>12292.31</v>
      </c>
      <c r="F294" s="75">
        <v>49525.13</v>
      </c>
      <c r="G294" s="75"/>
      <c r="H294" s="71" t="s">
        <v>217</v>
      </c>
      <c r="I294" s="71"/>
      <c r="J294" t="s">
        <v>752</v>
      </c>
    </row>
    <row r="295" spans="1:10" x14ac:dyDescent="0.3">
      <c r="A295" s="70">
        <v>45455</v>
      </c>
      <c r="B295" t="s">
        <v>34</v>
      </c>
      <c r="C295" s="71" t="s">
        <v>177</v>
      </c>
      <c r="D295" s="75">
        <v>0</v>
      </c>
      <c r="E295" s="75">
        <v>12515.66</v>
      </c>
      <c r="F295" s="75">
        <v>62040.79</v>
      </c>
      <c r="G295" s="75"/>
      <c r="H295" s="71" t="s">
        <v>217</v>
      </c>
      <c r="I295" s="71"/>
      <c r="J295" t="s">
        <v>752</v>
      </c>
    </row>
    <row r="296" spans="1:10" x14ac:dyDescent="0.3">
      <c r="A296" s="70">
        <v>45455</v>
      </c>
      <c r="B296" t="s">
        <v>30</v>
      </c>
      <c r="C296" s="71" t="s">
        <v>178</v>
      </c>
      <c r="D296" s="75">
        <v>97.9</v>
      </c>
      <c r="E296" s="75">
        <v>0</v>
      </c>
      <c r="F296" s="75">
        <v>61942.89</v>
      </c>
      <c r="G296" s="75"/>
      <c r="H296" s="71" t="s">
        <v>217</v>
      </c>
      <c r="I296" s="71"/>
      <c r="J296" t="s">
        <v>752</v>
      </c>
    </row>
    <row r="297" spans="1:10" x14ac:dyDescent="0.3">
      <c r="A297" s="70">
        <v>45455</v>
      </c>
      <c r="B297" t="s">
        <v>30</v>
      </c>
      <c r="C297" s="71" t="s">
        <v>179</v>
      </c>
      <c r="D297" s="75">
        <v>2251.88</v>
      </c>
      <c r="E297" s="75">
        <v>0</v>
      </c>
      <c r="F297" s="75">
        <v>59691.01</v>
      </c>
      <c r="G297" s="75"/>
      <c r="H297" s="71" t="s">
        <v>217</v>
      </c>
      <c r="I297" s="71"/>
      <c r="J297" t="s">
        <v>752</v>
      </c>
    </row>
    <row r="298" spans="1:10" x14ac:dyDescent="0.3">
      <c r="A298" s="70">
        <v>45455</v>
      </c>
      <c r="B298" t="s">
        <v>581</v>
      </c>
      <c r="C298" s="71" t="s">
        <v>582</v>
      </c>
      <c r="D298" s="75">
        <v>1</v>
      </c>
      <c r="E298" s="75">
        <v>0</v>
      </c>
      <c r="F298" s="75">
        <v>73196.91</v>
      </c>
      <c r="G298" s="75"/>
      <c r="H298" s="71" t="s">
        <v>747</v>
      </c>
      <c r="J298" t="s">
        <v>753</v>
      </c>
    </row>
    <row r="299" spans="1:10" x14ac:dyDescent="0.3">
      <c r="A299" s="70">
        <v>45455</v>
      </c>
      <c r="B299" t="s">
        <v>583</v>
      </c>
      <c r="C299" s="71" t="s">
        <v>582</v>
      </c>
      <c r="D299" s="75">
        <v>30000</v>
      </c>
      <c r="E299" s="75">
        <v>0</v>
      </c>
      <c r="F299" s="75">
        <v>43196.91</v>
      </c>
      <c r="G299" s="75"/>
      <c r="H299" s="71" t="s">
        <v>747</v>
      </c>
      <c r="J299" t="s">
        <v>753</v>
      </c>
    </row>
    <row r="300" spans="1:10" x14ac:dyDescent="0.3">
      <c r="A300" s="70">
        <v>45455</v>
      </c>
      <c r="B300" t="s">
        <v>460</v>
      </c>
      <c r="C300" s="71" t="s">
        <v>461</v>
      </c>
      <c r="D300" s="75">
        <v>0</v>
      </c>
      <c r="E300" s="75">
        <v>1</v>
      </c>
      <c r="F300" s="75">
        <v>36487.199999999997</v>
      </c>
      <c r="G300" s="75"/>
      <c r="H300" s="71" t="s">
        <v>745</v>
      </c>
      <c r="J300" t="s">
        <v>756</v>
      </c>
    </row>
    <row r="301" spans="1:10" x14ac:dyDescent="0.3">
      <c r="A301" s="70">
        <v>45455</v>
      </c>
      <c r="B301" t="s">
        <v>462</v>
      </c>
      <c r="C301" s="71" t="s">
        <v>463</v>
      </c>
      <c r="D301" s="75">
        <v>0</v>
      </c>
      <c r="E301" s="75">
        <v>30000</v>
      </c>
      <c r="F301" s="75">
        <v>66487.199999999997</v>
      </c>
      <c r="G301" s="75"/>
      <c r="H301" s="71" t="s">
        <v>745</v>
      </c>
      <c r="J301" t="s">
        <v>756</v>
      </c>
    </row>
    <row r="302" spans="1:10" x14ac:dyDescent="0.3">
      <c r="A302" s="70">
        <v>45455</v>
      </c>
      <c r="B302" t="s">
        <v>318</v>
      </c>
      <c r="C302" s="71" t="s">
        <v>464</v>
      </c>
      <c r="D302" s="75">
        <v>50000</v>
      </c>
      <c r="E302" s="75">
        <v>0</v>
      </c>
      <c r="F302" s="75">
        <v>16487.199999999997</v>
      </c>
      <c r="G302" s="75"/>
      <c r="H302" s="71" t="s">
        <v>509</v>
      </c>
      <c r="J302" t="s">
        <v>756</v>
      </c>
    </row>
    <row r="303" spans="1:10" x14ac:dyDescent="0.3">
      <c r="A303" s="70">
        <v>45456</v>
      </c>
      <c r="B303" t="s">
        <v>30</v>
      </c>
      <c r="C303" s="71" t="s">
        <v>180</v>
      </c>
      <c r="D303" s="75">
        <v>92.56</v>
      </c>
      <c r="E303" s="75">
        <v>0</v>
      </c>
      <c r="F303" s="75">
        <v>59598.45</v>
      </c>
      <c r="G303" s="75"/>
      <c r="H303" s="71" t="s">
        <v>217</v>
      </c>
      <c r="I303" s="71"/>
      <c r="J303" t="s">
        <v>752</v>
      </c>
    </row>
    <row r="304" spans="1:10" x14ac:dyDescent="0.3">
      <c r="A304" s="70">
        <v>45456</v>
      </c>
      <c r="B304" t="s">
        <v>30</v>
      </c>
      <c r="C304" s="71" t="s">
        <v>181</v>
      </c>
      <c r="D304" s="75">
        <v>32739.14</v>
      </c>
      <c r="E304" s="75">
        <v>0</v>
      </c>
      <c r="F304" s="75">
        <v>26859.31</v>
      </c>
      <c r="G304" s="75"/>
      <c r="H304" s="71" t="s">
        <v>217</v>
      </c>
      <c r="I304" s="71"/>
      <c r="J304" t="s">
        <v>752</v>
      </c>
    </row>
    <row r="305" spans="1:10" x14ac:dyDescent="0.3">
      <c r="A305" s="70">
        <v>45457</v>
      </c>
      <c r="B305" t="s">
        <v>30</v>
      </c>
      <c r="C305" s="71" t="s">
        <v>182</v>
      </c>
      <c r="D305" s="75">
        <v>80.900000000000006</v>
      </c>
      <c r="E305" s="75">
        <v>0</v>
      </c>
      <c r="F305" s="75">
        <v>26778.41</v>
      </c>
      <c r="G305" s="75"/>
      <c r="H305" s="71" t="s">
        <v>217</v>
      </c>
      <c r="I305" s="71"/>
      <c r="J305" t="s">
        <v>752</v>
      </c>
    </row>
    <row r="306" spans="1:10" x14ac:dyDescent="0.3">
      <c r="A306" s="70">
        <v>45457</v>
      </c>
      <c r="B306" t="s">
        <v>183</v>
      </c>
      <c r="C306" s="71" t="s">
        <v>184</v>
      </c>
      <c r="D306" s="75">
        <v>2.84</v>
      </c>
      <c r="E306" s="75">
        <v>0</v>
      </c>
      <c r="F306" s="75">
        <v>26775.57</v>
      </c>
      <c r="G306" s="75"/>
      <c r="H306" s="71" t="s">
        <v>221</v>
      </c>
      <c r="I306" s="71"/>
      <c r="J306" t="s">
        <v>752</v>
      </c>
    </row>
    <row r="307" spans="1:10" x14ac:dyDescent="0.3">
      <c r="A307" s="70">
        <v>45458</v>
      </c>
      <c r="B307" t="s">
        <v>465</v>
      </c>
      <c r="C307" s="71" t="s">
        <v>466</v>
      </c>
      <c r="D307" s="75">
        <v>58</v>
      </c>
      <c r="E307" s="75">
        <v>0</v>
      </c>
      <c r="F307" s="75">
        <v>16429.199999999997</v>
      </c>
      <c r="G307" s="75"/>
      <c r="H307" s="71" t="s">
        <v>511</v>
      </c>
      <c r="J307" t="s">
        <v>756</v>
      </c>
    </row>
    <row r="308" spans="1:10" x14ac:dyDescent="0.3">
      <c r="A308" s="70">
        <v>45460</v>
      </c>
      <c r="B308" t="s">
        <v>467</v>
      </c>
      <c r="C308" s="71" t="s">
        <v>468</v>
      </c>
      <c r="D308" s="75">
        <v>40</v>
      </c>
      <c r="E308" s="75">
        <v>0</v>
      </c>
      <c r="F308" s="75">
        <v>16389.199999999997</v>
      </c>
      <c r="G308" s="75"/>
      <c r="H308" s="71" t="s">
        <v>511</v>
      </c>
      <c r="J308" t="s">
        <v>756</v>
      </c>
    </row>
    <row r="309" spans="1:10" x14ac:dyDescent="0.3">
      <c r="A309" s="70">
        <v>45460</v>
      </c>
      <c r="B309" t="s">
        <v>469</v>
      </c>
      <c r="C309" s="71" t="s">
        <v>470</v>
      </c>
      <c r="D309" s="75">
        <v>121</v>
      </c>
      <c r="E309" s="75">
        <v>0</v>
      </c>
      <c r="F309" s="75">
        <v>16268.199999999997</v>
      </c>
      <c r="G309" s="75"/>
      <c r="H309" s="71" t="s">
        <v>511</v>
      </c>
      <c r="J309" t="s">
        <v>756</v>
      </c>
    </row>
    <row r="310" spans="1:10" x14ac:dyDescent="0.3">
      <c r="A310" s="70">
        <v>45461</v>
      </c>
      <c r="B310" t="s">
        <v>34</v>
      </c>
      <c r="C310" s="71" t="s">
        <v>185</v>
      </c>
      <c r="D310" s="75">
        <v>0</v>
      </c>
      <c r="E310" s="75">
        <v>164.71</v>
      </c>
      <c r="F310" s="75">
        <v>26940.28</v>
      </c>
      <c r="G310" s="75"/>
      <c r="H310" s="71" t="s">
        <v>217</v>
      </c>
      <c r="I310" s="71"/>
      <c r="J310" t="s">
        <v>752</v>
      </c>
    </row>
    <row r="311" spans="1:10" x14ac:dyDescent="0.3">
      <c r="A311" s="70">
        <v>45461</v>
      </c>
      <c r="B311" t="s">
        <v>186</v>
      </c>
      <c r="C311" s="71" t="s">
        <v>46</v>
      </c>
      <c r="D311" s="75">
        <v>342.2</v>
      </c>
      <c r="E311" s="75">
        <v>0</v>
      </c>
      <c r="F311" s="75">
        <v>26598.080000000002</v>
      </c>
      <c r="G311" s="75"/>
      <c r="H311" s="71" t="s">
        <v>220</v>
      </c>
      <c r="I311" s="71"/>
      <c r="J311" t="s">
        <v>752</v>
      </c>
    </row>
    <row r="312" spans="1:10" x14ac:dyDescent="0.3">
      <c r="A312" s="70">
        <v>45461</v>
      </c>
      <c r="B312" t="s">
        <v>30</v>
      </c>
      <c r="C312" s="71" t="s">
        <v>187</v>
      </c>
      <c r="D312" s="75">
        <v>323.60000000000002</v>
      </c>
      <c r="E312" s="75">
        <v>0</v>
      </c>
      <c r="F312" s="75">
        <v>26274.48</v>
      </c>
      <c r="G312" s="75"/>
      <c r="H312" s="71" t="s">
        <v>217</v>
      </c>
      <c r="I312" s="71"/>
      <c r="J312" t="s">
        <v>752</v>
      </c>
    </row>
    <row r="313" spans="1:10" x14ac:dyDescent="0.3">
      <c r="A313" s="70">
        <v>45461</v>
      </c>
      <c r="B313" t="s">
        <v>584</v>
      </c>
      <c r="C313" s="71" t="s">
        <v>547</v>
      </c>
      <c r="D313" s="75">
        <v>0</v>
      </c>
      <c r="E313" s="75">
        <v>500</v>
      </c>
      <c r="F313" s="75">
        <v>43696.91</v>
      </c>
      <c r="G313" s="75"/>
      <c r="H313" s="71" t="s">
        <v>589</v>
      </c>
      <c r="J313" t="s">
        <v>753</v>
      </c>
    </row>
    <row r="314" spans="1:10" x14ac:dyDescent="0.3">
      <c r="A314" s="70">
        <v>45461</v>
      </c>
      <c r="B314" t="s">
        <v>471</v>
      </c>
      <c r="C314" s="71" t="s">
        <v>472</v>
      </c>
      <c r="D314" s="75">
        <v>76</v>
      </c>
      <c r="E314" s="75">
        <v>0</v>
      </c>
      <c r="F314" s="75">
        <v>16192.199999999997</v>
      </c>
      <c r="G314" s="75"/>
      <c r="H314" s="71" t="s">
        <v>511</v>
      </c>
      <c r="J314" t="s">
        <v>756</v>
      </c>
    </row>
    <row r="315" spans="1:10" x14ac:dyDescent="0.3">
      <c r="A315" s="70">
        <v>45461</v>
      </c>
      <c r="B315" t="s">
        <v>473</v>
      </c>
      <c r="C315" s="71" t="s">
        <v>474</v>
      </c>
      <c r="D315" s="75">
        <v>97</v>
      </c>
      <c r="E315" s="75">
        <v>0</v>
      </c>
      <c r="F315" s="75">
        <v>16095.199999999997</v>
      </c>
      <c r="G315" s="75"/>
      <c r="H315" s="71" t="s">
        <v>511</v>
      </c>
      <c r="J315" t="s">
        <v>756</v>
      </c>
    </row>
    <row r="316" spans="1:10" x14ac:dyDescent="0.3">
      <c r="A316" s="70">
        <v>45462</v>
      </c>
      <c r="B316" t="s">
        <v>34</v>
      </c>
      <c r="C316" s="71" t="s">
        <v>188</v>
      </c>
      <c r="D316" s="75">
        <v>0</v>
      </c>
      <c r="E316" s="75">
        <v>1049.5</v>
      </c>
      <c r="F316" s="75">
        <v>27323.98</v>
      </c>
      <c r="G316" s="75"/>
      <c r="H316" s="71" t="s">
        <v>217</v>
      </c>
      <c r="I316" s="71"/>
      <c r="J316" t="s">
        <v>752</v>
      </c>
    </row>
    <row r="317" spans="1:10" x14ac:dyDescent="0.3">
      <c r="A317" s="70">
        <v>45462</v>
      </c>
      <c r="B317" t="s">
        <v>34</v>
      </c>
      <c r="C317" s="71" t="s">
        <v>189</v>
      </c>
      <c r="D317" s="75">
        <v>0</v>
      </c>
      <c r="E317" s="75">
        <v>25889.17</v>
      </c>
      <c r="F317" s="75">
        <v>53213.15</v>
      </c>
      <c r="G317" s="75"/>
      <c r="H317" s="71" t="s">
        <v>217</v>
      </c>
      <c r="I317" s="71"/>
      <c r="J317" t="s">
        <v>752</v>
      </c>
    </row>
    <row r="318" spans="1:10" x14ac:dyDescent="0.3">
      <c r="A318" s="70">
        <v>45462</v>
      </c>
      <c r="B318" t="s">
        <v>30</v>
      </c>
      <c r="C318" s="71" t="s">
        <v>190</v>
      </c>
      <c r="D318" s="75">
        <v>80.959999999999994</v>
      </c>
      <c r="E318" s="75">
        <v>0</v>
      </c>
      <c r="F318" s="75">
        <v>53132.19</v>
      </c>
      <c r="G318" s="75"/>
      <c r="H318" s="71" t="s">
        <v>217</v>
      </c>
      <c r="I318" s="71"/>
      <c r="J318" t="s">
        <v>752</v>
      </c>
    </row>
    <row r="319" spans="1:10" x14ac:dyDescent="0.3">
      <c r="A319" s="70">
        <v>45463</v>
      </c>
      <c r="B319" t="s">
        <v>34</v>
      </c>
      <c r="C319" s="71" t="s">
        <v>191</v>
      </c>
      <c r="D319" s="75">
        <v>0</v>
      </c>
      <c r="E319" s="75">
        <v>571.07000000000005</v>
      </c>
      <c r="F319" s="75">
        <v>53703.26</v>
      </c>
      <c r="G319" s="75"/>
      <c r="H319" s="71" t="s">
        <v>217</v>
      </c>
      <c r="I319" s="71"/>
      <c r="J319" t="s">
        <v>752</v>
      </c>
    </row>
    <row r="320" spans="1:10" x14ac:dyDescent="0.3">
      <c r="A320" s="70">
        <v>45463</v>
      </c>
      <c r="B320" t="s">
        <v>30</v>
      </c>
      <c r="C320" s="71" t="s">
        <v>192</v>
      </c>
      <c r="D320" s="75">
        <v>81.33</v>
      </c>
      <c r="E320" s="75">
        <v>0</v>
      </c>
      <c r="F320" s="75">
        <v>53621.93</v>
      </c>
      <c r="G320" s="75"/>
      <c r="H320" s="71" t="s">
        <v>217</v>
      </c>
      <c r="I320" s="71"/>
      <c r="J320" t="s">
        <v>752</v>
      </c>
    </row>
    <row r="321" spans="1:10" x14ac:dyDescent="0.3">
      <c r="A321" s="70">
        <v>45463</v>
      </c>
      <c r="B321" t="s">
        <v>193</v>
      </c>
      <c r="C321" s="71" t="s">
        <v>194</v>
      </c>
      <c r="D321" s="75">
        <v>2.36</v>
      </c>
      <c r="E321" s="75">
        <v>0</v>
      </c>
      <c r="F321" s="75">
        <v>53619.57</v>
      </c>
      <c r="G321" s="75"/>
      <c r="H321" s="71" t="s">
        <v>221</v>
      </c>
      <c r="I321" s="71"/>
      <c r="J321" t="s">
        <v>752</v>
      </c>
    </row>
    <row r="322" spans="1:10" x14ac:dyDescent="0.3">
      <c r="A322" s="70">
        <v>45463</v>
      </c>
      <c r="B322" t="s">
        <v>30</v>
      </c>
      <c r="C322" s="71" t="s">
        <v>195</v>
      </c>
      <c r="D322" s="75">
        <v>274.02999999999997</v>
      </c>
      <c r="E322" s="75">
        <v>0</v>
      </c>
      <c r="F322" s="75">
        <v>53345.54</v>
      </c>
      <c r="G322" s="75"/>
      <c r="H322" s="71" t="s">
        <v>217</v>
      </c>
      <c r="I322" s="71"/>
      <c r="J322" t="s">
        <v>752</v>
      </c>
    </row>
    <row r="323" spans="1:10" x14ac:dyDescent="0.3">
      <c r="A323" s="70">
        <v>45464</v>
      </c>
      <c r="B323" t="s">
        <v>30</v>
      </c>
      <c r="C323" s="71" t="s">
        <v>196</v>
      </c>
      <c r="D323" s="75">
        <v>81.44</v>
      </c>
      <c r="E323" s="75">
        <v>0</v>
      </c>
      <c r="F323" s="75">
        <v>53264.1</v>
      </c>
      <c r="G323" s="75"/>
      <c r="H323" s="71" t="s">
        <v>217</v>
      </c>
      <c r="I323" s="71"/>
      <c r="J323" t="s">
        <v>752</v>
      </c>
    </row>
    <row r="324" spans="1:10" x14ac:dyDescent="0.3">
      <c r="A324" s="70">
        <v>45465</v>
      </c>
      <c r="B324" t="s">
        <v>475</v>
      </c>
      <c r="C324" s="71" t="s">
        <v>476</v>
      </c>
      <c r="D324" s="75">
        <v>148</v>
      </c>
      <c r="E324" s="75">
        <v>0</v>
      </c>
      <c r="F324" s="75">
        <v>15947.199999999997</v>
      </c>
      <c r="G324" s="75"/>
      <c r="H324" s="71" t="s">
        <v>511</v>
      </c>
      <c r="J324" t="s">
        <v>756</v>
      </c>
    </row>
    <row r="325" spans="1:10" x14ac:dyDescent="0.3">
      <c r="A325" s="70">
        <v>45465</v>
      </c>
      <c r="B325" t="s">
        <v>477</v>
      </c>
      <c r="C325" s="71" t="s">
        <v>478</v>
      </c>
      <c r="D325" s="75">
        <v>20</v>
      </c>
      <c r="E325" s="75">
        <v>0</v>
      </c>
      <c r="F325" s="75">
        <v>15927.199999999997</v>
      </c>
      <c r="G325" s="75"/>
      <c r="H325" s="71" t="s">
        <v>511</v>
      </c>
      <c r="J325" t="s">
        <v>756</v>
      </c>
    </row>
    <row r="326" spans="1:10" x14ac:dyDescent="0.3">
      <c r="A326" s="70">
        <v>45466</v>
      </c>
      <c r="B326" t="s">
        <v>479</v>
      </c>
      <c r="C326" s="71" t="s">
        <v>480</v>
      </c>
      <c r="D326" s="75">
        <v>102</v>
      </c>
      <c r="E326" s="75">
        <v>0</v>
      </c>
      <c r="F326" s="75">
        <v>15825.199999999997</v>
      </c>
      <c r="G326" s="75"/>
      <c r="H326" s="71" t="s">
        <v>511</v>
      </c>
      <c r="J326" t="s">
        <v>756</v>
      </c>
    </row>
    <row r="327" spans="1:10" x14ac:dyDescent="0.3">
      <c r="A327" s="70">
        <v>45467</v>
      </c>
      <c r="B327" t="s">
        <v>34</v>
      </c>
      <c r="C327" s="71" t="s">
        <v>197</v>
      </c>
      <c r="D327" s="75">
        <v>0</v>
      </c>
      <c r="E327" s="75">
        <v>242.1</v>
      </c>
      <c r="F327" s="75">
        <v>53506.2</v>
      </c>
      <c r="G327" s="75"/>
      <c r="H327" s="71" t="s">
        <v>217</v>
      </c>
      <c r="I327" s="71"/>
      <c r="J327" t="s">
        <v>752</v>
      </c>
    </row>
    <row r="328" spans="1:10" x14ac:dyDescent="0.3">
      <c r="A328" s="70">
        <v>45467</v>
      </c>
      <c r="B328" t="s">
        <v>30</v>
      </c>
      <c r="C328" s="71" t="s">
        <v>198</v>
      </c>
      <c r="D328" s="75">
        <v>244.32</v>
      </c>
      <c r="E328" s="75">
        <v>0</v>
      </c>
      <c r="F328" s="75">
        <v>53261.88</v>
      </c>
      <c r="G328" s="75"/>
      <c r="H328" s="71" t="s">
        <v>217</v>
      </c>
      <c r="I328" s="71"/>
      <c r="J328" t="s">
        <v>752</v>
      </c>
    </row>
    <row r="329" spans="1:10" x14ac:dyDescent="0.3">
      <c r="A329" s="70">
        <v>45467</v>
      </c>
      <c r="B329" t="s">
        <v>30</v>
      </c>
      <c r="C329" s="71" t="s">
        <v>199</v>
      </c>
      <c r="D329" s="75">
        <v>1211.01</v>
      </c>
      <c r="E329" s="75">
        <v>0</v>
      </c>
      <c r="F329" s="75">
        <v>52050.87</v>
      </c>
      <c r="G329" s="75"/>
      <c r="H329" s="71" t="s">
        <v>217</v>
      </c>
      <c r="I329" s="71"/>
      <c r="J329" t="s">
        <v>752</v>
      </c>
    </row>
    <row r="330" spans="1:10" x14ac:dyDescent="0.3">
      <c r="A330" s="70">
        <v>45468</v>
      </c>
      <c r="B330" t="s">
        <v>30</v>
      </c>
      <c r="C330" s="71" t="s">
        <v>200</v>
      </c>
      <c r="D330" s="75">
        <v>81.09</v>
      </c>
      <c r="E330" s="75">
        <v>0</v>
      </c>
      <c r="F330" s="75">
        <v>51969.78</v>
      </c>
      <c r="G330" s="75"/>
      <c r="H330" s="71" t="s">
        <v>217</v>
      </c>
      <c r="I330" s="71"/>
      <c r="J330" t="s">
        <v>752</v>
      </c>
    </row>
    <row r="331" spans="1:10" x14ac:dyDescent="0.3">
      <c r="A331" s="70">
        <v>45468</v>
      </c>
      <c r="B331" t="s">
        <v>585</v>
      </c>
      <c r="C331" s="71" t="s">
        <v>574</v>
      </c>
      <c r="D331" s="75">
        <v>258</v>
      </c>
      <c r="E331" s="75">
        <v>0</v>
      </c>
      <c r="F331" s="75">
        <v>43438.91</v>
      </c>
      <c r="G331" s="75"/>
      <c r="H331" s="71" t="s">
        <v>589</v>
      </c>
      <c r="J331" t="s">
        <v>753</v>
      </c>
    </row>
    <row r="332" spans="1:10" x14ac:dyDescent="0.3">
      <c r="A332" s="70">
        <v>45468</v>
      </c>
      <c r="B332" t="s">
        <v>586</v>
      </c>
      <c r="C332" s="71" t="s">
        <v>252</v>
      </c>
      <c r="D332" s="75">
        <v>0</v>
      </c>
      <c r="E332" s="75">
        <v>441</v>
      </c>
      <c r="F332" s="75">
        <v>43879.91</v>
      </c>
      <c r="G332" s="75"/>
      <c r="H332" s="71" t="s">
        <v>227</v>
      </c>
      <c r="J332" t="s">
        <v>753</v>
      </c>
    </row>
    <row r="333" spans="1:10" x14ac:dyDescent="0.3">
      <c r="A333" s="70">
        <v>45468</v>
      </c>
      <c r="B333" t="s">
        <v>481</v>
      </c>
      <c r="C333" s="71" t="s">
        <v>482</v>
      </c>
      <c r="D333" s="75">
        <v>20</v>
      </c>
      <c r="E333" s="75">
        <v>0</v>
      </c>
      <c r="F333" s="75">
        <v>15805.199999999997</v>
      </c>
      <c r="G333" s="75"/>
      <c r="H333" s="71" t="s">
        <v>511</v>
      </c>
      <c r="J333" t="s">
        <v>756</v>
      </c>
    </row>
    <row r="334" spans="1:10" x14ac:dyDescent="0.3">
      <c r="A334" s="70">
        <v>45468</v>
      </c>
      <c r="B334" t="s">
        <v>483</v>
      </c>
      <c r="C334" s="71" t="s">
        <v>484</v>
      </c>
      <c r="D334" s="75">
        <v>30</v>
      </c>
      <c r="E334" s="75">
        <v>0</v>
      </c>
      <c r="F334" s="75">
        <v>15775.199999999997</v>
      </c>
      <c r="G334" s="75"/>
      <c r="H334" s="71" t="s">
        <v>511</v>
      </c>
      <c r="J334" t="s">
        <v>756</v>
      </c>
    </row>
    <row r="335" spans="1:10" x14ac:dyDescent="0.3">
      <c r="A335" s="70">
        <v>45469</v>
      </c>
      <c r="B335" t="s">
        <v>34</v>
      </c>
      <c r="C335" s="71" t="s">
        <v>201</v>
      </c>
      <c r="D335" s="75">
        <v>0</v>
      </c>
      <c r="E335" s="75">
        <v>1667.68</v>
      </c>
      <c r="F335" s="75">
        <v>53637.46</v>
      </c>
      <c r="G335" s="75"/>
      <c r="H335" s="71" t="s">
        <v>217</v>
      </c>
      <c r="I335" s="71"/>
      <c r="J335" t="s">
        <v>752</v>
      </c>
    </row>
    <row r="336" spans="1:10" x14ac:dyDescent="0.3">
      <c r="A336" s="70">
        <v>45469</v>
      </c>
      <c r="B336" t="s">
        <v>34</v>
      </c>
      <c r="C336" s="71" t="s">
        <v>202</v>
      </c>
      <c r="D336" s="75">
        <v>0</v>
      </c>
      <c r="E336" s="75">
        <v>21600.85</v>
      </c>
      <c r="F336" s="75">
        <v>75238.31</v>
      </c>
      <c r="G336" s="75"/>
      <c r="H336" s="71" t="s">
        <v>217</v>
      </c>
      <c r="I336" s="71"/>
      <c r="J336" t="s">
        <v>752</v>
      </c>
    </row>
    <row r="337" spans="1:10" x14ac:dyDescent="0.3">
      <c r="A337" s="70">
        <v>45469</v>
      </c>
      <c r="B337" t="s">
        <v>203</v>
      </c>
      <c r="C337" s="71" t="s">
        <v>204</v>
      </c>
      <c r="D337" s="75">
        <v>0</v>
      </c>
      <c r="E337" s="75">
        <v>160</v>
      </c>
      <c r="F337" s="75">
        <v>75398.31</v>
      </c>
      <c r="G337" s="75"/>
      <c r="H337" s="71" t="s">
        <v>218</v>
      </c>
      <c r="I337" s="71"/>
      <c r="J337" t="s">
        <v>752</v>
      </c>
    </row>
    <row r="338" spans="1:10" x14ac:dyDescent="0.3">
      <c r="A338" s="70">
        <v>45469</v>
      </c>
      <c r="B338" t="s">
        <v>30</v>
      </c>
      <c r="C338" s="71" t="s">
        <v>205</v>
      </c>
      <c r="D338" s="75">
        <v>81.09</v>
      </c>
      <c r="E338" s="75">
        <v>0</v>
      </c>
      <c r="F338" s="75">
        <v>75317.22</v>
      </c>
      <c r="G338" s="75"/>
      <c r="H338" s="71" t="s">
        <v>217</v>
      </c>
      <c r="I338" s="71"/>
      <c r="J338" t="s">
        <v>752</v>
      </c>
    </row>
    <row r="339" spans="1:10" x14ac:dyDescent="0.3">
      <c r="A339" s="70">
        <v>45469</v>
      </c>
      <c r="B339" t="s">
        <v>30</v>
      </c>
      <c r="C339" s="71" t="s">
        <v>206</v>
      </c>
      <c r="D339" s="75">
        <v>31.18</v>
      </c>
      <c r="E339" s="75">
        <v>0</v>
      </c>
      <c r="F339" s="75">
        <v>75286.039999999994</v>
      </c>
      <c r="G339" s="75"/>
      <c r="H339" s="71" t="s">
        <v>217</v>
      </c>
      <c r="I339" s="71"/>
      <c r="J339" t="s">
        <v>752</v>
      </c>
    </row>
    <row r="340" spans="1:10" x14ac:dyDescent="0.3">
      <c r="A340" s="70">
        <v>45469</v>
      </c>
      <c r="B340" t="s">
        <v>485</v>
      </c>
      <c r="C340" s="71" t="s">
        <v>486</v>
      </c>
      <c r="D340" s="75">
        <v>25</v>
      </c>
      <c r="E340" s="75">
        <v>0</v>
      </c>
      <c r="F340" s="75">
        <v>15750.199999999997</v>
      </c>
      <c r="G340" s="75"/>
      <c r="H340" s="71" t="s">
        <v>511</v>
      </c>
      <c r="J340" t="s">
        <v>756</v>
      </c>
    </row>
    <row r="341" spans="1:10" x14ac:dyDescent="0.3">
      <c r="A341" s="70">
        <v>45470</v>
      </c>
      <c r="B341" t="s">
        <v>34</v>
      </c>
      <c r="C341" s="71" t="s">
        <v>207</v>
      </c>
      <c r="D341" s="75">
        <v>0</v>
      </c>
      <c r="E341" s="75">
        <v>36739.339999999997</v>
      </c>
      <c r="F341" s="75">
        <v>112025.38</v>
      </c>
      <c r="G341" s="75"/>
      <c r="H341" s="71" t="s">
        <v>217</v>
      </c>
      <c r="I341" s="71"/>
      <c r="J341" t="s">
        <v>752</v>
      </c>
    </row>
    <row r="342" spans="1:10" x14ac:dyDescent="0.3">
      <c r="A342" s="70">
        <v>45470</v>
      </c>
      <c r="B342" t="s">
        <v>30</v>
      </c>
      <c r="C342" s="71" t="s">
        <v>208</v>
      </c>
      <c r="D342" s="75">
        <v>81.67</v>
      </c>
      <c r="E342" s="75">
        <v>0</v>
      </c>
      <c r="F342" s="75">
        <v>111943.71</v>
      </c>
      <c r="G342" s="75"/>
      <c r="H342" s="71" t="s">
        <v>217</v>
      </c>
      <c r="I342" s="71"/>
      <c r="J342" t="s">
        <v>752</v>
      </c>
    </row>
    <row r="343" spans="1:10" x14ac:dyDescent="0.3">
      <c r="A343" s="70">
        <v>45470</v>
      </c>
      <c r="B343" t="s">
        <v>30</v>
      </c>
      <c r="C343" s="71" t="s">
        <v>209</v>
      </c>
      <c r="D343" s="75">
        <v>869.16</v>
      </c>
      <c r="E343" s="75">
        <v>0</v>
      </c>
      <c r="F343" s="75">
        <v>111074.55</v>
      </c>
      <c r="G343" s="75"/>
      <c r="H343" s="71" t="s">
        <v>217</v>
      </c>
      <c r="I343" s="71"/>
      <c r="J343" t="s">
        <v>752</v>
      </c>
    </row>
    <row r="344" spans="1:10" x14ac:dyDescent="0.3">
      <c r="A344" s="70">
        <v>45470</v>
      </c>
      <c r="B344" t="s">
        <v>358</v>
      </c>
      <c r="C344" s="71" t="s">
        <v>487</v>
      </c>
      <c r="D344" s="75">
        <v>0</v>
      </c>
      <c r="E344" s="75">
        <v>67921</v>
      </c>
      <c r="F344" s="75">
        <v>83671.199999999997</v>
      </c>
      <c r="G344" s="75"/>
      <c r="H344" s="71" t="s">
        <v>507</v>
      </c>
      <c r="J344" t="s">
        <v>756</v>
      </c>
    </row>
    <row r="345" spans="1:10" x14ac:dyDescent="0.3">
      <c r="A345" s="70">
        <v>45470</v>
      </c>
      <c r="B345" t="s">
        <v>488</v>
      </c>
      <c r="C345" s="71" t="s">
        <v>489</v>
      </c>
      <c r="D345" s="75">
        <v>40</v>
      </c>
      <c r="E345" s="75">
        <v>0</v>
      </c>
      <c r="F345" s="75">
        <v>83631.199999999997</v>
      </c>
      <c r="G345" s="75"/>
      <c r="H345" s="71" t="s">
        <v>511</v>
      </c>
      <c r="J345" t="s">
        <v>756</v>
      </c>
    </row>
    <row r="346" spans="1:10" x14ac:dyDescent="0.3">
      <c r="A346" s="70">
        <v>45471</v>
      </c>
      <c r="B346" t="s">
        <v>210</v>
      </c>
      <c r="C346" s="71" t="s">
        <v>211</v>
      </c>
      <c r="D346" s="75">
        <v>5000</v>
      </c>
      <c r="E346" s="75">
        <v>0</v>
      </c>
      <c r="F346" s="75">
        <v>106074.55</v>
      </c>
      <c r="G346" s="75"/>
      <c r="H346" s="71" t="s">
        <v>219</v>
      </c>
      <c r="I346" s="71"/>
      <c r="J346" t="s">
        <v>752</v>
      </c>
    </row>
    <row r="347" spans="1:10" x14ac:dyDescent="0.3">
      <c r="A347" s="70">
        <v>45471</v>
      </c>
      <c r="B347" t="s">
        <v>212</v>
      </c>
      <c r="C347" s="71" t="s">
        <v>213</v>
      </c>
      <c r="D347" s="75">
        <v>0</v>
      </c>
      <c r="E347" s="75">
        <v>1800</v>
      </c>
      <c r="F347" s="75">
        <v>107874.55</v>
      </c>
      <c r="G347" s="75"/>
      <c r="H347" s="71" t="s">
        <v>218</v>
      </c>
      <c r="I347" s="71"/>
      <c r="J347" t="s">
        <v>752</v>
      </c>
    </row>
    <row r="348" spans="1:10" x14ac:dyDescent="0.3">
      <c r="A348" s="70">
        <v>45471</v>
      </c>
      <c r="B348" t="s">
        <v>30</v>
      </c>
      <c r="C348" s="71" t="s">
        <v>214</v>
      </c>
      <c r="D348" s="75">
        <v>81.36</v>
      </c>
      <c r="E348" s="75">
        <v>0</v>
      </c>
      <c r="F348" s="75">
        <v>107793.19</v>
      </c>
      <c r="G348" s="75"/>
      <c r="H348" s="71" t="s">
        <v>217</v>
      </c>
      <c r="I348" s="71"/>
      <c r="J348" t="s">
        <v>752</v>
      </c>
    </row>
    <row r="349" spans="1:10" x14ac:dyDescent="0.3">
      <c r="A349" s="70">
        <v>45471</v>
      </c>
      <c r="B349" t="s">
        <v>30</v>
      </c>
      <c r="C349" s="71" t="s">
        <v>215</v>
      </c>
      <c r="D349" s="75">
        <v>411.64</v>
      </c>
      <c r="E349" s="75">
        <v>0</v>
      </c>
      <c r="F349" s="75">
        <v>107381.55</v>
      </c>
      <c r="G349" s="75"/>
      <c r="H349" s="71" t="s">
        <v>217</v>
      </c>
      <c r="I349" s="71"/>
      <c r="J349" t="s">
        <v>752</v>
      </c>
    </row>
    <row r="350" spans="1:10" x14ac:dyDescent="0.3">
      <c r="A350" s="70">
        <v>45471</v>
      </c>
      <c r="B350" t="s">
        <v>587</v>
      </c>
      <c r="C350" s="71" t="s">
        <v>252</v>
      </c>
      <c r="D350" s="75">
        <v>0</v>
      </c>
      <c r="E350" s="75">
        <v>45</v>
      </c>
      <c r="F350" s="75">
        <v>43924.91</v>
      </c>
      <c r="G350" s="75"/>
      <c r="H350" s="71" t="s">
        <v>218</v>
      </c>
      <c r="J350" t="s">
        <v>753</v>
      </c>
    </row>
    <row r="351" spans="1:10" x14ac:dyDescent="0.3">
      <c r="A351" s="70">
        <v>45471</v>
      </c>
      <c r="B351" t="s">
        <v>490</v>
      </c>
      <c r="C351" s="71" t="s">
        <v>491</v>
      </c>
      <c r="D351" s="75">
        <v>475</v>
      </c>
      <c r="E351" s="75">
        <v>0</v>
      </c>
      <c r="F351" s="75">
        <v>83156.2</v>
      </c>
      <c r="G351" s="75"/>
      <c r="H351" s="71" t="s">
        <v>511</v>
      </c>
      <c r="J351" t="s">
        <v>756</v>
      </c>
    </row>
    <row r="352" spans="1:10" x14ac:dyDescent="0.3">
      <c r="A352" s="70">
        <v>45472</v>
      </c>
      <c r="B352" t="s">
        <v>492</v>
      </c>
      <c r="C352" s="71" t="s">
        <v>493</v>
      </c>
      <c r="D352" s="75">
        <v>74</v>
      </c>
      <c r="E352" s="75">
        <v>0</v>
      </c>
      <c r="F352" s="75">
        <v>83082.2</v>
      </c>
      <c r="G352" s="75"/>
      <c r="H352" s="71" t="s">
        <v>511</v>
      </c>
      <c r="J352" t="s">
        <v>756</v>
      </c>
    </row>
    <row r="353" spans="1:10" x14ac:dyDescent="0.3">
      <c r="A353" s="70">
        <v>45472</v>
      </c>
      <c r="B353" t="s">
        <v>494</v>
      </c>
      <c r="C353" s="71" t="s">
        <v>495</v>
      </c>
      <c r="D353" s="75">
        <v>950</v>
      </c>
      <c r="E353" s="75">
        <v>0</v>
      </c>
      <c r="F353" s="75">
        <v>82132.2</v>
      </c>
      <c r="G353" s="75"/>
      <c r="H353" s="71" t="s">
        <v>511</v>
      </c>
      <c r="J353" t="s">
        <v>756</v>
      </c>
    </row>
    <row r="354" spans="1:10" x14ac:dyDescent="0.3">
      <c r="A354" s="70">
        <v>45472</v>
      </c>
      <c r="B354" t="s">
        <v>496</v>
      </c>
      <c r="C354" s="71" t="s">
        <v>497</v>
      </c>
      <c r="D354" s="75">
        <v>0</v>
      </c>
      <c r="E354" s="75">
        <v>500</v>
      </c>
      <c r="F354" s="75">
        <v>82632.2</v>
      </c>
      <c r="G354" s="75"/>
      <c r="H354" s="71" t="s">
        <v>511</v>
      </c>
      <c r="J354" t="s">
        <v>756</v>
      </c>
    </row>
    <row r="355" spans="1:10" x14ac:dyDescent="0.3">
      <c r="A355" s="70">
        <v>45472</v>
      </c>
      <c r="B355" t="s">
        <v>498</v>
      </c>
      <c r="C355" s="71" t="s">
        <v>499</v>
      </c>
      <c r="D355" s="75">
        <v>0</v>
      </c>
      <c r="E355" s="75">
        <v>27</v>
      </c>
      <c r="F355" s="75">
        <v>82659.199999999997</v>
      </c>
      <c r="G355" s="75"/>
      <c r="H355" s="71" t="s">
        <v>511</v>
      </c>
      <c r="J355" t="s">
        <v>756</v>
      </c>
    </row>
    <row r="356" spans="1:10" x14ac:dyDescent="0.3">
      <c r="A356" s="70">
        <v>45473</v>
      </c>
      <c r="B356" t="s">
        <v>216</v>
      </c>
      <c r="C356" s="71" t="s">
        <v>46</v>
      </c>
      <c r="D356" s="75">
        <v>0</v>
      </c>
      <c r="E356" s="75">
        <v>389</v>
      </c>
      <c r="F356" s="75">
        <v>107770.55</v>
      </c>
      <c r="G356" s="75"/>
      <c r="H356" s="71" t="s">
        <v>227</v>
      </c>
      <c r="I356" s="71"/>
      <c r="J356" t="s">
        <v>752</v>
      </c>
    </row>
    <row r="357" spans="1:10" x14ac:dyDescent="0.3">
      <c r="A357" s="70">
        <v>45473</v>
      </c>
      <c r="B357" t="s">
        <v>500</v>
      </c>
      <c r="C357" s="71" t="s">
        <v>501</v>
      </c>
      <c r="D357" s="75">
        <v>160</v>
      </c>
      <c r="E357" s="75">
        <v>0</v>
      </c>
      <c r="F357" s="75">
        <v>82499.199999999997</v>
      </c>
      <c r="G357" s="75"/>
      <c r="H357" s="71" t="s">
        <v>511</v>
      </c>
      <c r="J357" t="s">
        <v>756</v>
      </c>
    </row>
    <row r="358" spans="1:10" x14ac:dyDescent="0.3">
      <c r="A358" s="70">
        <v>45473</v>
      </c>
      <c r="B358" t="s">
        <v>502</v>
      </c>
      <c r="C358" s="71" t="s">
        <v>503</v>
      </c>
      <c r="D358" s="75">
        <v>25</v>
      </c>
      <c r="E358" s="75">
        <v>0</v>
      </c>
      <c r="F358" s="75">
        <v>82474.2</v>
      </c>
      <c r="G358" s="75"/>
      <c r="H358" s="71" t="s">
        <v>511</v>
      </c>
      <c r="J358" t="s">
        <v>756</v>
      </c>
    </row>
    <row r="359" spans="1:10" x14ac:dyDescent="0.3">
      <c r="A359" s="70">
        <v>45473</v>
      </c>
      <c r="B359" t="s">
        <v>504</v>
      </c>
      <c r="C359" s="71" t="s">
        <v>252</v>
      </c>
      <c r="D359" s="75">
        <v>0</v>
      </c>
      <c r="E359" s="75">
        <v>188</v>
      </c>
      <c r="F359" s="75">
        <v>82662.2</v>
      </c>
      <c r="G359" s="75"/>
      <c r="H359" s="71" t="s">
        <v>227</v>
      </c>
      <c r="J359" t="s">
        <v>756</v>
      </c>
    </row>
    <row r="360" spans="1:10" x14ac:dyDescent="0.3">
      <c r="A360" s="70">
        <v>45474</v>
      </c>
      <c r="B360" t="s">
        <v>805</v>
      </c>
      <c r="C360" s="71" t="s">
        <v>252</v>
      </c>
      <c r="D360" s="75">
        <v>0</v>
      </c>
      <c r="E360" s="75">
        <v>126</v>
      </c>
      <c r="F360" s="75">
        <v>16972.03</v>
      </c>
      <c r="G360" s="75"/>
      <c r="H360" s="71" t="s">
        <v>227</v>
      </c>
      <c r="J360" s="76" t="s">
        <v>755</v>
      </c>
    </row>
    <row r="361" spans="1:10" x14ac:dyDescent="0.3">
      <c r="A361" s="70">
        <v>45474</v>
      </c>
      <c r="B361" t="s">
        <v>809</v>
      </c>
      <c r="C361" s="71" t="s">
        <v>810</v>
      </c>
      <c r="D361" s="75">
        <v>5000</v>
      </c>
      <c r="E361" s="75">
        <v>0</v>
      </c>
      <c r="F361" s="75">
        <v>102770.55</v>
      </c>
      <c r="G361" s="75"/>
      <c r="H361" s="71" t="s">
        <v>219</v>
      </c>
      <c r="J361" t="s">
        <v>752</v>
      </c>
    </row>
    <row r="362" spans="1:10" x14ac:dyDescent="0.3">
      <c r="A362" s="70">
        <v>45474</v>
      </c>
      <c r="B362" t="s">
        <v>30</v>
      </c>
      <c r="C362" s="71" t="s">
        <v>811</v>
      </c>
      <c r="D362" s="75">
        <v>243.66</v>
      </c>
      <c r="E362" s="75">
        <v>0</v>
      </c>
      <c r="F362" s="75">
        <v>102526.89</v>
      </c>
      <c r="G362" s="75"/>
      <c r="H362" s="71" t="s">
        <v>217</v>
      </c>
      <c r="J362" t="s">
        <v>752</v>
      </c>
    </row>
    <row r="363" spans="1:10" x14ac:dyDescent="0.3">
      <c r="A363" s="70">
        <v>45474</v>
      </c>
      <c r="B363" t="s">
        <v>812</v>
      </c>
      <c r="C363" s="71" t="s">
        <v>813</v>
      </c>
      <c r="D363" s="75">
        <v>0</v>
      </c>
      <c r="E363" s="75">
        <v>700</v>
      </c>
      <c r="F363" s="75">
        <v>103226.89</v>
      </c>
      <c r="G363" s="75"/>
      <c r="H363" s="71" t="s">
        <v>218</v>
      </c>
      <c r="J363" t="s">
        <v>752</v>
      </c>
    </row>
    <row r="364" spans="1:10" x14ac:dyDescent="0.3">
      <c r="A364" s="70">
        <v>45474</v>
      </c>
      <c r="B364" t="s">
        <v>814</v>
      </c>
      <c r="C364" s="71" t="s">
        <v>815</v>
      </c>
      <c r="D364" s="75">
        <v>2000</v>
      </c>
      <c r="E364" s="75">
        <v>0</v>
      </c>
      <c r="F364" s="75">
        <v>101226.89</v>
      </c>
      <c r="G364" s="75"/>
      <c r="H364" s="71" t="s">
        <v>223</v>
      </c>
      <c r="J364" t="s">
        <v>752</v>
      </c>
    </row>
    <row r="365" spans="1:10" x14ac:dyDescent="0.3">
      <c r="A365" s="70">
        <v>45474</v>
      </c>
      <c r="B365" t="s">
        <v>2563</v>
      </c>
      <c r="C365" s="71"/>
      <c r="D365" s="75">
        <v>0</v>
      </c>
      <c r="E365" s="75">
        <v>1</v>
      </c>
      <c r="F365" s="75">
        <v>228</v>
      </c>
      <c r="G365" s="75"/>
      <c r="H365" s="71" t="s">
        <v>227</v>
      </c>
      <c r="J365" t="s">
        <v>2573</v>
      </c>
    </row>
    <row r="366" spans="1:10" x14ac:dyDescent="0.3">
      <c r="A366" s="70">
        <v>45475</v>
      </c>
      <c r="B366" t="s">
        <v>34</v>
      </c>
      <c r="C366" s="71" t="s">
        <v>816</v>
      </c>
      <c r="D366" s="75">
        <v>0</v>
      </c>
      <c r="E366" s="75">
        <v>1282.1500000000001</v>
      </c>
      <c r="F366" s="75">
        <v>102509.04</v>
      </c>
      <c r="G366" s="75"/>
      <c r="H366" s="71" t="s">
        <v>217</v>
      </c>
      <c r="J366" t="s">
        <v>752</v>
      </c>
    </row>
    <row r="367" spans="1:10" x14ac:dyDescent="0.3">
      <c r="A367" s="70">
        <v>45475</v>
      </c>
      <c r="B367" t="s">
        <v>30</v>
      </c>
      <c r="C367" s="71" t="s">
        <v>817</v>
      </c>
      <c r="D367" s="75">
        <v>81.22</v>
      </c>
      <c r="E367" s="75">
        <v>0</v>
      </c>
      <c r="F367" s="75">
        <v>102427.82</v>
      </c>
      <c r="G367" s="75"/>
      <c r="H367" s="71" t="s">
        <v>217</v>
      </c>
      <c r="J367" t="s">
        <v>752</v>
      </c>
    </row>
    <row r="368" spans="1:10" x14ac:dyDescent="0.3">
      <c r="A368" s="70">
        <v>45475</v>
      </c>
      <c r="B368" t="s">
        <v>818</v>
      </c>
      <c r="C368" s="71" t="s">
        <v>819</v>
      </c>
      <c r="D368" s="75">
        <v>0</v>
      </c>
      <c r="E368" s="75">
        <v>1400</v>
      </c>
      <c r="F368" s="75">
        <v>103827.82</v>
      </c>
      <c r="G368" s="75"/>
      <c r="H368" s="71" t="s">
        <v>218</v>
      </c>
      <c r="J368" t="s">
        <v>752</v>
      </c>
    </row>
    <row r="369" spans="1:10" x14ac:dyDescent="0.3">
      <c r="A369" s="70">
        <v>45475</v>
      </c>
      <c r="B369" t="s">
        <v>30</v>
      </c>
      <c r="C369" s="71" t="s">
        <v>820</v>
      </c>
      <c r="D369" s="75">
        <v>560.69000000000005</v>
      </c>
      <c r="E369" s="75">
        <v>0</v>
      </c>
      <c r="F369" s="75">
        <v>103267.13</v>
      </c>
      <c r="G369" s="75"/>
      <c r="H369" s="71" t="s">
        <v>217</v>
      </c>
      <c r="J369" t="s">
        <v>752</v>
      </c>
    </row>
    <row r="370" spans="1:10" x14ac:dyDescent="0.3">
      <c r="A370" s="70">
        <v>45475</v>
      </c>
      <c r="B370" t="s">
        <v>1508</v>
      </c>
      <c r="C370" s="71" t="s">
        <v>1509</v>
      </c>
      <c r="D370" s="75">
        <v>30</v>
      </c>
      <c r="E370" s="75">
        <v>0</v>
      </c>
      <c r="F370" s="75">
        <v>82632.2</v>
      </c>
      <c r="G370" s="75"/>
      <c r="H370" s="71" t="s">
        <v>511</v>
      </c>
      <c r="J370" t="s">
        <v>756</v>
      </c>
    </row>
    <row r="371" spans="1:10" x14ac:dyDescent="0.3">
      <c r="A371" s="70">
        <v>45476</v>
      </c>
      <c r="B371" t="s">
        <v>30</v>
      </c>
      <c r="C371" s="71" t="s">
        <v>821</v>
      </c>
      <c r="D371" s="75">
        <v>81.48</v>
      </c>
      <c r="E371" s="75">
        <v>0</v>
      </c>
      <c r="F371" s="75">
        <v>103185.65</v>
      </c>
      <c r="G371" s="75"/>
      <c r="H371" s="71" t="s">
        <v>217</v>
      </c>
      <c r="J371" t="s">
        <v>752</v>
      </c>
    </row>
    <row r="372" spans="1:10" x14ac:dyDescent="0.3">
      <c r="A372" s="70">
        <v>45476</v>
      </c>
      <c r="B372" t="s">
        <v>1411</v>
      </c>
      <c r="C372" s="71" t="s">
        <v>1412</v>
      </c>
      <c r="D372" s="75">
        <v>0</v>
      </c>
      <c r="E372" s="75">
        <v>11373.59</v>
      </c>
      <c r="F372" s="75">
        <v>55298.5</v>
      </c>
      <c r="G372" s="75"/>
      <c r="H372" s="71" t="s">
        <v>508</v>
      </c>
      <c r="J372" t="s">
        <v>753</v>
      </c>
    </row>
    <row r="373" spans="1:10" x14ac:dyDescent="0.3">
      <c r="A373" s="70">
        <v>45477</v>
      </c>
      <c r="B373" t="s">
        <v>34</v>
      </c>
      <c r="C373" s="71" t="s">
        <v>822</v>
      </c>
      <c r="D373" s="75">
        <v>0</v>
      </c>
      <c r="E373" s="75">
        <v>805.1</v>
      </c>
      <c r="F373" s="75">
        <v>103990.75</v>
      </c>
      <c r="G373" s="75"/>
      <c r="H373" s="71" t="s">
        <v>217</v>
      </c>
      <c r="J373" t="s">
        <v>752</v>
      </c>
    </row>
    <row r="374" spans="1:10" x14ac:dyDescent="0.3">
      <c r="A374" s="70">
        <v>45477</v>
      </c>
      <c r="B374" t="s">
        <v>30</v>
      </c>
      <c r="C374" s="71" t="s">
        <v>823</v>
      </c>
      <c r="D374" s="75">
        <v>81.48</v>
      </c>
      <c r="E374" s="75">
        <v>0</v>
      </c>
      <c r="F374" s="75">
        <v>103909.27</v>
      </c>
      <c r="G374" s="75"/>
      <c r="H374" s="71" t="s">
        <v>217</v>
      </c>
      <c r="J374" t="s">
        <v>752</v>
      </c>
    </row>
    <row r="375" spans="1:10" x14ac:dyDescent="0.3">
      <c r="A375" s="70">
        <v>45477</v>
      </c>
      <c r="B375" t="s">
        <v>824</v>
      </c>
      <c r="C375" s="71" t="s">
        <v>825</v>
      </c>
      <c r="D375" s="75">
        <v>0</v>
      </c>
      <c r="E375" s="75">
        <v>107.1</v>
      </c>
      <c r="F375" s="75">
        <v>104016.37</v>
      </c>
      <c r="G375" s="75"/>
      <c r="H375" s="71" t="s">
        <v>218</v>
      </c>
      <c r="J375" t="s">
        <v>752</v>
      </c>
    </row>
    <row r="376" spans="1:10" x14ac:dyDescent="0.3">
      <c r="A376" s="70">
        <v>45477</v>
      </c>
      <c r="B376" t="s">
        <v>30</v>
      </c>
      <c r="C376" s="71" t="s">
        <v>826</v>
      </c>
      <c r="D376" s="75">
        <v>6954.22</v>
      </c>
      <c r="E376" s="75">
        <v>0</v>
      </c>
      <c r="F376" s="75">
        <v>97062.15</v>
      </c>
      <c r="G376" s="75"/>
      <c r="H376" s="71" t="s">
        <v>217</v>
      </c>
      <c r="J376" t="s">
        <v>752</v>
      </c>
    </row>
    <row r="377" spans="1:10" x14ac:dyDescent="0.3">
      <c r="A377" s="70">
        <v>45477</v>
      </c>
      <c r="B377" t="s">
        <v>1510</v>
      </c>
      <c r="C377" s="71" t="s">
        <v>1511</v>
      </c>
      <c r="D377" s="75">
        <v>83</v>
      </c>
      <c r="E377" s="75">
        <v>0</v>
      </c>
      <c r="F377" s="75">
        <v>82549.2</v>
      </c>
      <c r="G377" s="75"/>
      <c r="H377" s="71" t="s">
        <v>511</v>
      </c>
      <c r="J377" t="s">
        <v>756</v>
      </c>
    </row>
    <row r="378" spans="1:10" x14ac:dyDescent="0.3">
      <c r="A378" s="70">
        <v>45477</v>
      </c>
      <c r="B378" t="s">
        <v>1512</v>
      </c>
      <c r="C378" s="71" t="s">
        <v>1513</v>
      </c>
      <c r="D378" s="75">
        <v>40</v>
      </c>
      <c r="E378" s="75">
        <v>0</v>
      </c>
      <c r="F378" s="75">
        <v>82509.2</v>
      </c>
      <c r="G378" s="75"/>
      <c r="H378" s="71" t="s">
        <v>511</v>
      </c>
      <c r="J378" t="s">
        <v>756</v>
      </c>
    </row>
    <row r="379" spans="1:10" x14ac:dyDescent="0.3">
      <c r="A379" s="70">
        <v>45478</v>
      </c>
      <c r="B379" t="s">
        <v>30</v>
      </c>
      <c r="C379" s="71" t="s">
        <v>827</v>
      </c>
      <c r="D379" s="75">
        <v>79.290000000000006</v>
      </c>
      <c r="E379" s="75">
        <v>0</v>
      </c>
      <c r="F379" s="75">
        <v>96982.86</v>
      </c>
      <c r="G379" s="75"/>
      <c r="H379" s="71" t="s">
        <v>217</v>
      </c>
      <c r="J379" t="s">
        <v>752</v>
      </c>
    </row>
    <row r="380" spans="1:10" x14ac:dyDescent="0.3">
      <c r="A380" s="70">
        <v>45478</v>
      </c>
      <c r="B380" t="s">
        <v>30</v>
      </c>
      <c r="C380" s="71" t="s">
        <v>828</v>
      </c>
      <c r="D380" s="75">
        <v>610.30999999999995</v>
      </c>
      <c r="E380" s="75">
        <v>0</v>
      </c>
      <c r="F380" s="75">
        <v>96372.55</v>
      </c>
      <c r="G380" s="75"/>
      <c r="H380" s="71" t="s">
        <v>217</v>
      </c>
      <c r="J380" t="s">
        <v>752</v>
      </c>
    </row>
    <row r="381" spans="1:10" x14ac:dyDescent="0.3">
      <c r="A381" s="70">
        <v>45478</v>
      </c>
      <c r="B381" t="s">
        <v>1514</v>
      </c>
      <c r="C381" s="71" t="s">
        <v>1515</v>
      </c>
      <c r="D381" s="75">
        <v>4436.7</v>
      </c>
      <c r="E381" s="75">
        <v>0</v>
      </c>
      <c r="F381" s="75">
        <v>78072.5</v>
      </c>
      <c r="G381" s="75"/>
      <c r="H381" s="71" t="s">
        <v>511</v>
      </c>
      <c r="J381" t="s">
        <v>756</v>
      </c>
    </row>
    <row r="382" spans="1:10" x14ac:dyDescent="0.3">
      <c r="A382" s="70">
        <v>45479</v>
      </c>
      <c r="B382" t="s">
        <v>829</v>
      </c>
      <c r="C382" s="71" t="s">
        <v>830</v>
      </c>
      <c r="D382" s="75">
        <v>50000</v>
      </c>
      <c r="E382" s="75">
        <v>0</v>
      </c>
      <c r="F382" s="75">
        <v>46372.55</v>
      </c>
      <c r="G382" s="75"/>
      <c r="H382" s="71" t="s">
        <v>2525</v>
      </c>
      <c r="J382" t="s">
        <v>752</v>
      </c>
    </row>
    <row r="383" spans="1:10" x14ac:dyDescent="0.3">
      <c r="A383" s="70">
        <v>45479</v>
      </c>
      <c r="B383" t="s">
        <v>1413</v>
      </c>
      <c r="C383" s="71" t="s">
        <v>1414</v>
      </c>
      <c r="D383" s="75">
        <v>5600</v>
      </c>
      <c r="E383" s="75">
        <v>0</v>
      </c>
      <c r="F383" s="75">
        <v>49698.5</v>
      </c>
      <c r="G383" s="75"/>
      <c r="H383" s="71" t="s">
        <v>2528</v>
      </c>
      <c r="J383" t="s">
        <v>753</v>
      </c>
    </row>
    <row r="384" spans="1:10" x14ac:dyDescent="0.3">
      <c r="A384" s="70">
        <v>45479</v>
      </c>
      <c r="B384" t="s">
        <v>1516</v>
      </c>
      <c r="C384" s="71" t="s">
        <v>1517</v>
      </c>
      <c r="D384" s="75">
        <v>2000</v>
      </c>
      <c r="E384" s="75">
        <v>0</v>
      </c>
      <c r="F384" s="75">
        <v>76072.5</v>
      </c>
      <c r="G384" s="75"/>
      <c r="H384" s="71" t="s">
        <v>511</v>
      </c>
      <c r="J384" t="s">
        <v>756</v>
      </c>
    </row>
    <row r="385" spans="1:10" x14ac:dyDescent="0.3">
      <c r="A385" s="70">
        <v>45480</v>
      </c>
      <c r="B385" t="s">
        <v>1518</v>
      </c>
      <c r="C385" s="71">
        <v>418917009481</v>
      </c>
      <c r="D385" s="75">
        <v>10000</v>
      </c>
      <c r="E385" s="75">
        <v>0</v>
      </c>
      <c r="F385" s="75">
        <v>66072.5</v>
      </c>
      <c r="G385" s="75"/>
      <c r="H385" s="71" t="s">
        <v>228</v>
      </c>
      <c r="J385" t="s">
        <v>756</v>
      </c>
    </row>
    <row r="386" spans="1:10" x14ac:dyDescent="0.3">
      <c r="A386" s="70">
        <v>45480</v>
      </c>
      <c r="B386" t="s">
        <v>1519</v>
      </c>
      <c r="C386" s="71">
        <v>418917009482</v>
      </c>
      <c r="D386" s="75">
        <v>5000</v>
      </c>
      <c r="E386" s="75">
        <v>0</v>
      </c>
      <c r="F386" s="75">
        <v>61072.5</v>
      </c>
      <c r="G386" s="75"/>
      <c r="H386" s="71" t="s">
        <v>228</v>
      </c>
      <c r="J386" t="s">
        <v>756</v>
      </c>
    </row>
    <row r="387" spans="1:10" x14ac:dyDescent="0.3">
      <c r="A387" s="70">
        <v>45481</v>
      </c>
      <c r="B387" t="s">
        <v>30</v>
      </c>
      <c r="C387" s="71" t="s">
        <v>831</v>
      </c>
      <c r="D387" s="75">
        <v>256.52999999999997</v>
      </c>
      <c r="E387" s="75">
        <v>0</v>
      </c>
      <c r="F387" s="75">
        <v>46116.02</v>
      </c>
      <c r="G387" s="75"/>
      <c r="H387" s="71" t="s">
        <v>217</v>
      </c>
      <c r="J387" t="s">
        <v>752</v>
      </c>
    </row>
    <row r="388" spans="1:10" x14ac:dyDescent="0.3">
      <c r="A388" s="70">
        <v>45481</v>
      </c>
      <c r="B388" t="s">
        <v>832</v>
      </c>
      <c r="C388" s="71" t="s">
        <v>833</v>
      </c>
      <c r="D388" s="75">
        <v>0</v>
      </c>
      <c r="E388" s="75">
        <v>1880</v>
      </c>
      <c r="F388" s="75">
        <v>47996.02</v>
      </c>
      <c r="G388" s="75"/>
      <c r="H388" s="71" t="s">
        <v>222</v>
      </c>
      <c r="J388" t="s">
        <v>752</v>
      </c>
    </row>
    <row r="389" spans="1:10" x14ac:dyDescent="0.3">
      <c r="A389" s="70">
        <v>45482</v>
      </c>
      <c r="B389" t="s">
        <v>34</v>
      </c>
      <c r="C389" s="71" t="s">
        <v>834</v>
      </c>
      <c r="D389" s="75">
        <v>0</v>
      </c>
      <c r="E389" s="75">
        <v>1053.8399999999999</v>
      </c>
      <c r="F389" s="75">
        <v>49049.86</v>
      </c>
      <c r="G389" s="75"/>
      <c r="H389" s="71" t="s">
        <v>217</v>
      </c>
      <c r="J389" t="s">
        <v>752</v>
      </c>
    </row>
    <row r="390" spans="1:10" x14ac:dyDescent="0.3">
      <c r="A390" s="70">
        <v>45482</v>
      </c>
      <c r="B390" t="s">
        <v>30</v>
      </c>
      <c r="C390" s="71" t="s">
        <v>835</v>
      </c>
      <c r="D390" s="75">
        <v>85.51</v>
      </c>
      <c r="E390" s="75">
        <v>0</v>
      </c>
      <c r="F390" s="75">
        <v>48964.35</v>
      </c>
      <c r="G390" s="75"/>
      <c r="H390" s="71" t="s">
        <v>217</v>
      </c>
      <c r="J390" t="s">
        <v>752</v>
      </c>
    </row>
    <row r="391" spans="1:10" x14ac:dyDescent="0.3">
      <c r="A391" s="70">
        <v>45483</v>
      </c>
      <c r="B391" t="s">
        <v>34</v>
      </c>
      <c r="C391" s="71" t="s">
        <v>836</v>
      </c>
      <c r="D391" s="75">
        <v>0</v>
      </c>
      <c r="E391" s="75">
        <v>122418.47</v>
      </c>
      <c r="F391" s="75">
        <v>171382.82</v>
      </c>
      <c r="G391" s="75"/>
      <c r="H391" s="71" t="s">
        <v>217</v>
      </c>
      <c r="J391" t="s">
        <v>752</v>
      </c>
    </row>
    <row r="392" spans="1:10" x14ac:dyDescent="0.3">
      <c r="A392" s="70">
        <v>45483</v>
      </c>
      <c r="B392" t="s">
        <v>30</v>
      </c>
      <c r="C392" s="71" t="s">
        <v>837</v>
      </c>
      <c r="D392" s="75">
        <v>85.88</v>
      </c>
      <c r="E392" s="75">
        <v>0</v>
      </c>
      <c r="F392" s="75">
        <v>171296.94</v>
      </c>
      <c r="G392" s="75"/>
      <c r="H392" s="71" t="s">
        <v>217</v>
      </c>
      <c r="J392" t="s">
        <v>752</v>
      </c>
    </row>
    <row r="393" spans="1:10" x14ac:dyDescent="0.3">
      <c r="A393" s="70">
        <v>45483</v>
      </c>
      <c r="B393" t="s">
        <v>458</v>
      </c>
      <c r="C393" s="71" t="s">
        <v>1520</v>
      </c>
      <c r="D393" s="75">
        <v>5000</v>
      </c>
      <c r="E393" s="75">
        <v>0</v>
      </c>
      <c r="F393" s="75">
        <v>56072.5</v>
      </c>
      <c r="G393" s="75"/>
      <c r="H393" s="71" t="s">
        <v>219</v>
      </c>
      <c r="J393" t="s">
        <v>756</v>
      </c>
    </row>
    <row r="394" spans="1:10" x14ac:dyDescent="0.3">
      <c r="A394" s="70">
        <v>45483</v>
      </c>
      <c r="B394" t="s">
        <v>1521</v>
      </c>
      <c r="C394" s="71" t="s">
        <v>1522</v>
      </c>
      <c r="D394" s="75">
        <v>10000</v>
      </c>
      <c r="E394" s="75">
        <v>0</v>
      </c>
      <c r="F394" s="75">
        <v>46072.5</v>
      </c>
      <c r="G394" s="75"/>
      <c r="H394" s="71" t="s">
        <v>2533</v>
      </c>
      <c r="J394" t="s">
        <v>756</v>
      </c>
    </row>
    <row r="395" spans="1:10" x14ac:dyDescent="0.3">
      <c r="A395" s="70">
        <v>45484</v>
      </c>
      <c r="B395" t="s">
        <v>30</v>
      </c>
      <c r="C395" s="71" t="s">
        <v>838</v>
      </c>
      <c r="D395" s="75">
        <v>129.47999999999999</v>
      </c>
      <c r="E395" s="75">
        <v>0</v>
      </c>
      <c r="F395" s="75">
        <v>171167.46</v>
      </c>
      <c r="G395" s="75"/>
      <c r="H395" s="71" t="s">
        <v>217</v>
      </c>
      <c r="J395" t="s">
        <v>752</v>
      </c>
    </row>
    <row r="396" spans="1:10" x14ac:dyDescent="0.3">
      <c r="A396" s="70">
        <v>45484</v>
      </c>
      <c r="B396" t="s">
        <v>1523</v>
      </c>
      <c r="C396" s="71" t="s">
        <v>1524</v>
      </c>
      <c r="D396" s="75">
        <v>50</v>
      </c>
      <c r="E396" s="75">
        <v>0</v>
      </c>
      <c r="F396" s="75">
        <v>46022.5</v>
      </c>
      <c r="G396" s="75"/>
      <c r="H396" s="71" t="s">
        <v>511</v>
      </c>
      <c r="J396" t="s">
        <v>756</v>
      </c>
    </row>
    <row r="397" spans="1:10" x14ac:dyDescent="0.3">
      <c r="A397" s="70">
        <v>45484</v>
      </c>
      <c r="B397" t="s">
        <v>1525</v>
      </c>
      <c r="C397" s="71" t="s">
        <v>1526</v>
      </c>
      <c r="D397" s="75">
        <v>250</v>
      </c>
      <c r="E397" s="75">
        <v>0</v>
      </c>
      <c r="F397" s="75">
        <v>45772.5</v>
      </c>
      <c r="G397" s="75"/>
      <c r="H397" s="71" t="s">
        <v>511</v>
      </c>
      <c r="J397" t="s">
        <v>756</v>
      </c>
    </row>
    <row r="398" spans="1:10" x14ac:dyDescent="0.3">
      <c r="A398" s="70">
        <v>45485</v>
      </c>
      <c r="B398" t="s">
        <v>30</v>
      </c>
      <c r="C398" s="71" t="s">
        <v>839</v>
      </c>
      <c r="D398" s="75">
        <v>139.38</v>
      </c>
      <c r="E398" s="75">
        <v>0</v>
      </c>
      <c r="F398" s="75">
        <v>171028.08</v>
      </c>
      <c r="G398" s="75"/>
      <c r="H398" s="71" t="s">
        <v>217</v>
      </c>
      <c r="J398" t="s">
        <v>752</v>
      </c>
    </row>
    <row r="399" spans="1:10" x14ac:dyDescent="0.3">
      <c r="A399" s="70">
        <v>45485</v>
      </c>
      <c r="B399" t="s">
        <v>1527</v>
      </c>
      <c r="C399" s="71" t="s">
        <v>1528</v>
      </c>
      <c r="D399" s="75">
        <v>25000</v>
      </c>
      <c r="E399" s="75">
        <v>0</v>
      </c>
      <c r="F399" s="75">
        <v>20772.5</v>
      </c>
      <c r="G399" s="75"/>
      <c r="H399" s="71" t="s">
        <v>511</v>
      </c>
      <c r="J399" t="s">
        <v>756</v>
      </c>
    </row>
    <row r="400" spans="1:10" x14ac:dyDescent="0.3">
      <c r="A400" s="70">
        <v>45485</v>
      </c>
      <c r="B400" t="s">
        <v>1529</v>
      </c>
      <c r="C400" s="71" t="s">
        <v>1530</v>
      </c>
      <c r="D400" s="75">
        <v>60</v>
      </c>
      <c r="E400" s="75">
        <v>0</v>
      </c>
      <c r="F400" s="75">
        <v>20712.5</v>
      </c>
      <c r="G400" s="75"/>
      <c r="H400" s="71" t="s">
        <v>511</v>
      </c>
      <c r="J400" t="s">
        <v>756</v>
      </c>
    </row>
    <row r="401" spans="1:10" x14ac:dyDescent="0.3">
      <c r="A401" s="70">
        <v>45486</v>
      </c>
      <c r="B401" t="s">
        <v>1415</v>
      </c>
      <c r="C401" s="71" t="s">
        <v>1416</v>
      </c>
      <c r="D401" s="75">
        <v>4745</v>
      </c>
      <c r="E401" s="75">
        <v>0</v>
      </c>
      <c r="F401" s="75">
        <v>44953.5</v>
      </c>
      <c r="G401" s="75"/>
      <c r="H401" s="71" t="s">
        <v>511</v>
      </c>
      <c r="J401" t="s">
        <v>753</v>
      </c>
    </row>
    <row r="402" spans="1:10" x14ac:dyDescent="0.3">
      <c r="A402" s="70">
        <v>45486</v>
      </c>
      <c r="B402" t="s">
        <v>1417</v>
      </c>
      <c r="C402" s="71" t="s">
        <v>1416</v>
      </c>
      <c r="D402" s="75">
        <v>35</v>
      </c>
      <c r="E402" s="75">
        <v>0</v>
      </c>
      <c r="F402" s="75">
        <v>44918.5</v>
      </c>
      <c r="G402" s="75"/>
      <c r="H402" s="71" t="s">
        <v>511</v>
      </c>
      <c r="J402" t="s">
        <v>753</v>
      </c>
    </row>
    <row r="403" spans="1:10" x14ac:dyDescent="0.3">
      <c r="A403" s="70">
        <v>45486</v>
      </c>
      <c r="B403" t="s">
        <v>1531</v>
      </c>
      <c r="C403" s="71" t="s">
        <v>1532</v>
      </c>
      <c r="D403" s="75">
        <v>25</v>
      </c>
      <c r="E403" s="75">
        <v>0</v>
      </c>
      <c r="F403" s="75">
        <v>20687.5</v>
      </c>
      <c r="G403" s="75"/>
      <c r="H403" s="71" t="s">
        <v>511</v>
      </c>
      <c r="J403" t="s">
        <v>756</v>
      </c>
    </row>
    <row r="404" spans="1:10" x14ac:dyDescent="0.3">
      <c r="A404" s="70">
        <v>45486</v>
      </c>
      <c r="B404" t="s">
        <v>1533</v>
      </c>
      <c r="C404" s="71" t="s">
        <v>1534</v>
      </c>
      <c r="D404" s="75">
        <v>40</v>
      </c>
      <c r="E404" s="75">
        <v>0</v>
      </c>
      <c r="F404" s="75">
        <v>20647.5</v>
      </c>
      <c r="G404" s="75"/>
      <c r="H404" s="71" t="s">
        <v>511</v>
      </c>
      <c r="J404" t="s">
        <v>756</v>
      </c>
    </row>
    <row r="405" spans="1:10" x14ac:dyDescent="0.3">
      <c r="A405" s="70">
        <v>45487</v>
      </c>
      <c r="B405" t="s">
        <v>1418</v>
      </c>
      <c r="C405" s="71" t="s">
        <v>1419</v>
      </c>
      <c r="D405" s="75">
        <v>0</v>
      </c>
      <c r="E405" s="75">
        <v>10</v>
      </c>
      <c r="F405" s="75">
        <v>44928.5</v>
      </c>
      <c r="G405" s="75"/>
      <c r="H405" s="71" t="s">
        <v>511</v>
      </c>
      <c r="J405" t="s">
        <v>753</v>
      </c>
    </row>
    <row r="406" spans="1:10" x14ac:dyDescent="0.3">
      <c r="A406" s="70">
        <v>45487</v>
      </c>
      <c r="B406" t="s">
        <v>1420</v>
      </c>
      <c r="C406" s="71" t="s">
        <v>1419</v>
      </c>
      <c r="D406" s="75">
        <v>0</v>
      </c>
      <c r="E406" s="75">
        <v>10</v>
      </c>
      <c r="F406" s="75">
        <v>44938.5</v>
      </c>
      <c r="G406" s="75"/>
      <c r="H406" s="71" t="s">
        <v>511</v>
      </c>
      <c r="J406" t="s">
        <v>753</v>
      </c>
    </row>
    <row r="407" spans="1:10" x14ac:dyDescent="0.3">
      <c r="A407" s="70">
        <v>45487</v>
      </c>
      <c r="B407" t="s">
        <v>1535</v>
      </c>
      <c r="C407" s="71" t="s">
        <v>1536</v>
      </c>
      <c r="D407" s="75">
        <v>10</v>
      </c>
      <c r="E407" s="75">
        <v>0</v>
      </c>
      <c r="F407" s="75">
        <v>20637.5</v>
      </c>
      <c r="G407" s="75"/>
      <c r="H407" s="71" t="s">
        <v>511</v>
      </c>
      <c r="J407" t="s">
        <v>756</v>
      </c>
    </row>
    <row r="408" spans="1:10" x14ac:dyDescent="0.3">
      <c r="A408" s="70">
        <v>45487</v>
      </c>
      <c r="B408" t="s">
        <v>1537</v>
      </c>
      <c r="C408" s="71" t="s">
        <v>1538</v>
      </c>
      <c r="D408" s="75">
        <v>10</v>
      </c>
      <c r="E408" s="75">
        <v>0</v>
      </c>
      <c r="F408" s="75">
        <v>20627.5</v>
      </c>
      <c r="G408" s="75"/>
      <c r="H408" s="71" t="s">
        <v>511</v>
      </c>
      <c r="J408" t="s">
        <v>756</v>
      </c>
    </row>
    <row r="409" spans="1:10" x14ac:dyDescent="0.3">
      <c r="A409" s="70">
        <v>45487</v>
      </c>
      <c r="B409" t="s">
        <v>1539</v>
      </c>
      <c r="C409" s="71" t="s">
        <v>1540</v>
      </c>
      <c r="D409" s="75">
        <v>10</v>
      </c>
      <c r="E409" s="75">
        <v>0</v>
      </c>
      <c r="F409" s="75">
        <v>20617.5</v>
      </c>
      <c r="G409" s="75"/>
      <c r="H409" s="71" t="s">
        <v>511</v>
      </c>
      <c r="J409" t="s">
        <v>756</v>
      </c>
    </row>
    <row r="410" spans="1:10" x14ac:dyDescent="0.3">
      <c r="A410" s="70">
        <v>45487</v>
      </c>
      <c r="B410" t="s">
        <v>1541</v>
      </c>
      <c r="C410" s="71" t="s">
        <v>1542</v>
      </c>
      <c r="D410" s="75">
        <v>10</v>
      </c>
      <c r="E410" s="75">
        <v>0</v>
      </c>
      <c r="F410" s="75">
        <v>20607.5</v>
      </c>
      <c r="G410" s="75"/>
      <c r="H410" s="71" t="s">
        <v>511</v>
      </c>
      <c r="J410" t="s">
        <v>756</v>
      </c>
    </row>
    <row r="411" spans="1:10" x14ac:dyDescent="0.3">
      <c r="A411" s="70">
        <v>45487</v>
      </c>
      <c r="B411" t="s">
        <v>1543</v>
      </c>
      <c r="C411" s="71" t="s">
        <v>1544</v>
      </c>
      <c r="D411" s="75">
        <v>40</v>
      </c>
      <c r="E411" s="75">
        <v>0</v>
      </c>
      <c r="F411" s="75">
        <v>20567.5</v>
      </c>
      <c r="G411" s="75"/>
      <c r="H411" s="71" t="s">
        <v>511</v>
      </c>
      <c r="J411" t="s">
        <v>756</v>
      </c>
    </row>
    <row r="412" spans="1:10" x14ac:dyDescent="0.3">
      <c r="A412" s="70">
        <v>45487</v>
      </c>
      <c r="B412" t="s">
        <v>1545</v>
      </c>
      <c r="C412" s="71" t="s">
        <v>1546</v>
      </c>
      <c r="D412" s="75">
        <v>0</v>
      </c>
      <c r="E412" s="75">
        <v>20</v>
      </c>
      <c r="F412" s="75">
        <v>20587.5</v>
      </c>
      <c r="G412" s="75"/>
      <c r="H412" s="71" t="s">
        <v>511</v>
      </c>
      <c r="J412" t="s">
        <v>756</v>
      </c>
    </row>
    <row r="413" spans="1:10" x14ac:dyDescent="0.3">
      <c r="A413" s="70">
        <v>45488</v>
      </c>
      <c r="B413" t="s">
        <v>30</v>
      </c>
      <c r="C413" s="71" t="s">
        <v>840</v>
      </c>
      <c r="D413" s="75">
        <v>418.14</v>
      </c>
      <c r="E413" s="75">
        <v>0</v>
      </c>
      <c r="F413" s="75">
        <v>170609.94</v>
      </c>
      <c r="G413" s="75"/>
      <c r="H413" s="71" t="s">
        <v>217</v>
      </c>
      <c r="J413" t="s">
        <v>752</v>
      </c>
    </row>
    <row r="414" spans="1:10" x14ac:dyDescent="0.3">
      <c r="A414" s="70">
        <v>45488</v>
      </c>
      <c r="B414" t="s">
        <v>1421</v>
      </c>
      <c r="C414" s="71" t="s">
        <v>1422</v>
      </c>
      <c r="D414" s="75">
        <v>0</v>
      </c>
      <c r="E414" s="75">
        <v>500</v>
      </c>
      <c r="F414" s="75">
        <v>45438.5</v>
      </c>
      <c r="G414" s="75"/>
      <c r="H414" s="71" t="s">
        <v>511</v>
      </c>
      <c r="J414" t="s">
        <v>753</v>
      </c>
    </row>
    <row r="415" spans="1:10" x14ac:dyDescent="0.3">
      <c r="A415" s="70">
        <v>45488</v>
      </c>
      <c r="B415" t="s">
        <v>1547</v>
      </c>
      <c r="C415" s="71" t="s">
        <v>1548</v>
      </c>
      <c r="D415" s="75">
        <v>100</v>
      </c>
      <c r="E415" s="75">
        <v>0</v>
      </c>
      <c r="F415" s="75">
        <v>20487.5</v>
      </c>
      <c r="G415" s="75"/>
      <c r="H415" s="71" t="s">
        <v>511</v>
      </c>
      <c r="J415" t="s">
        <v>756</v>
      </c>
    </row>
    <row r="416" spans="1:10" x14ac:dyDescent="0.3">
      <c r="A416" s="70">
        <v>45489</v>
      </c>
      <c r="B416" t="s">
        <v>34</v>
      </c>
      <c r="C416" s="71" t="s">
        <v>841</v>
      </c>
      <c r="D416" s="75">
        <v>0</v>
      </c>
      <c r="E416" s="75">
        <v>21897.09</v>
      </c>
      <c r="F416" s="75">
        <v>192507.03</v>
      </c>
      <c r="G416" s="75"/>
      <c r="H416" s="71" t="s">
        <v>217</v>
      </c>
      <c r="J416" t="s">
        <v>752</v>
      </c>
    </row>
    <row r="417" spans="1:10" x14ac:dyDescent="0.3">
      <c r="A417" s="70">
        <v>45489</v>
      </c>
      <c r="B417" t="s">
        <v>842</v>
      </c>
      <c r="C417" s="71" t="s">
        <v>46</v>
      </c>
      <c r="D417" s="75">
        <v>306.8</v>
      </c>
      <c r="E417" s="75">
        <v>0</v>
      </c>
      <c r="F417" s="75">
        <v>192200.23</v>
      </c>
      <c r="G417" s="75"/>
      <c r="H417" s="71" t="s">
        <v>220</v>
      </c>
      <c r="J417" t="s">
        <v>752</v>
      </c>
    </row>
    <row r="418" spans="1:10" x14ac:dyDescent="0.3">
      <c r="A418" s="70">
        <v>45489</v>
      </c>
      <c r="B418" t="s">
        <v>30</v>
      </c>
      <c r="C418" s="71" t="s">
        <v>843</v>
      </c>
      <c r="D418" s="75">
        <v>139.38</v>
      </c>
      <c r="E418" s="75">
        <v>0</v>
      </c>
      <c r="F418" s="75">
        <v>192060.85</v>
      </c>
      <c r="G418" s="75"/>
      <c r="H418" s="71" t="s">
        <v>217</v>
      </c>
      <c r="J418" t="s">
        <v>752</v>
      </c>
    </row>
    <row r="419" spans="1:10" x14ac:dyDescent="0.3">
      <c r="A419" s="70">
        <v>45489</v>
      </c>
      <c r="B419" t="s">
        <v>844</v>
      </c>
      <c r="C419" s="71" t="s">
        <v>845</v>
      </c>
      <c r="D419" s="75">
        <v>0</v>
      </c>
      <c r="E419" s="75">
        <v>390</v>
      </c>
      <c r="F419" s="75">
        <v>192450.85</v>
      </c>
      <c r="G419" s="75"/>
      <c r="H419" s="71" t="s">
        <v>218</v>
      </c>
      <c r="J419" t="s">
        <v>752</v>
      </c>
    </row>
    <row r="420" spans="1:10" x14ac:dyDescent="0.3">
      <c r="A420" s="70">
        <v>45489</v>
      </c>
      <c r="B420" t="s">
        <v>1549</v>
      </c>
      <c r="C420" s="71" t="s">
        <v>1550</v>
      </c>
      <c r="D420" s="75">
        <v>40</v>
      </c>
      <c r="E420" s="75">
        <v>0</v>
      </c>
      <c r="F420" s="75">
        <v>20447.5</v>
      </c>
      <c r="G420" s="75"/>
      <c r="H420" s="71" t="s">
        <v>511</v>
      </c>
      <c r="J420" t="s">
        <v>756</v>
      </c>
    </row>
    <row r="421" spans="1:10" x14ac:dyDescent="0.3">
      <c r="A421" s="70">
        <v>45490</v>
      </c>
      <c r="B421" t="s">
        <v>1551</v>
      </c>
      <c r="C421" s="71" t="s">
        <v>1552</v>
      </c>
      <c r="D421" s="75">
        <v>363.19</v>
      </c>
      <c r="E421" s="75">
        <v>0</v>
      </c>
      <c r="F421" s="75">
        <v>20084.310000000001</v>
      </c>
      <c r="G421" s="75"/>
      <c r="H421" s="71" t="s">
        <v>511</v>
      </c>
      <c r="J421" t="s">
        <v>756</v>
      </c>
    </row>
    <row r="422" spans="1:10" x14ac:dyDescent="0.3">
      <c r="A422" s="70">
        <v>45491</v>
      </c>
      <c r="B422" t="s">
        <v>846</v>
      </c>
      <c r="C422" s="71" t="s">
        <v>847</v>
      </c>
      <c r="D422" s="75">
        <v>2.12</v>
      </c>
      <c r="E422" s="75">
        <v>0</v>
      </c>
      <c r="F422" s="75">
        <v>192448.73</v>
      </c>
      <c r="G422" s="75"/>
      <c r="H422" s="71" t="s">
        <v>221</v>
      </c>
      <c r="J422" t="s">
        <v>752</v>
      </c>
    </row>
    <row r="423" spans="1:10" x14ac:dyDescent="0.3">
      <c r="A423" s="70">
        <v>45491</v>
      </c>
      <c r="B423" t="s">
        <v>30</v>
      </c>
      <c r="C423" s="71" t="s">
        <v>848</v>
      </c>
      <c r="D423" s="75">
        <v>278.76</v>
      </c>
      <c r="E423" s="75">
        <v>0</v>
      </c>
      <c r="F423" s="75">
        <v>192169.97</v>
      </c>
      <c r="G423" s="75"/>
      <c r="H423" s="71" t="s">
        <v>217</v>
      </c>
      <c r="J423" t="s">
        <v>752</v>
      </c>
    </row>
    <row r="424" spans="1:10" x14ac:dyDescent="0.3">
      <c r="A424" s="70">
        <v>45491</v>
      </c>
      <c r="B424" t="s">
        <v>1553</v>
      </c>
      <c r="C424" s="71" t="s">
        <v>1554</v>
      </c>
      <c r="D424" s="75">
        <v>80</v>
      </c>
      <c r="E424" s="75">
        <v>0</v>
      </c>
      <c r="F424" s="75">
        <v>20004.310000000001</v>
      </c>
      <c r="G424" s="75"/>
      <c r="H424" s="71" t="s">
        <v>511</v>
      </c>
      <c r="J424" t="s">
        <v>756</v>
      </c>
    </row>
    <row r="425" spans="1:10" x14ac:dyDescent="0.3">
      <c r="A425" s="70">
        <v>45491</v>
      </c>
      <c r="B425" t="s">
        <v>1555</v>
      </c>
      <c r="C425" s="71" t="s">
        <v>1556</v>
      </c>
      <c r="D425" s="75">
        <v>60</v>
      </c>
      <c r="E425" s="75">
        <v>0</v>
      </c>
      <c r="F425" s="75">
        <v>19944.310000000001</v>
      </c>
      <c r="G425" s="75"/>
      <c r="H425" s="71" t="s">
        <v>511</v>
      </c>
      <c r="J425" t="s">
        <v>756</v>
      </c>
    </row>
    <row r="426" spans="1:10" x14ac:dyDescent="0.3">
      <c r="A426" s="70">
        <v>45492</v>
      </c>
      <c r="B426" t="s">
        <v>30</v>
      </c>
      <c r="C426" s="71" t="s">
        <v>849</v>
      </c>
      <c r="D426" s="75">
        <v>139.38</v>
      </c>
      <c r="E426" s="75">
        <v>0</v>
      </c>
      <c r="F426" s="75">
        <v>192030.59</v>
      </c>
      <c r="G426" s="75"/>
      <c r="H426" s="71" t="s">
        <v>217</v>
      </c>
      <c r="J426" t="s">
        <v>752</v>
      </c>
    </row>
    <row r="427" spans="1:10" x14ac:dyDescent="0.3">
      <c r="A427" s="70">
        <v>45492</v>
      </c>
      <c r="B427" t="s">
        <v>850</v>
      </c>
      <c r="C427" s="71" t="s">
        <v>851</v>
      </c>
      <c r="D427" s="75">
        <v>0</v>
      </c>
      <c r="E427" s="75">
        <v>200</v>
      </c>
      <c r="F427" s="75">
        <v>192230.59</v>
      </c>
      <c r="G427" s="75"/>
      <c r="H427" s="71" t="s">
        <v>218</v>
      </c>
      <c r="J427" t="s">
        <v>752</v>
      </c>
    </row>
    <row r="428" spans="1:10" x14ac:dyDescent="0.3">
      <c r="A428" s="70">
        <v>45492</v>
      </c>
      <c r="B428" t="s">
        <v>852</v>
      </c>
      <c r="C428" s="71" t="s">
        <v>853</v>
      </c>
      <c r="D428" s="75">
        <v>0</v>
      </c>
      <c r="E428" s="75">
        <v>880</v>
      </c>
      <c r="F428" s="75">
        <v>193110.59</v>
      </c>
      <c r="G428" s="75"/>
      <c r="H428" s="71" t="s">
        <v>218</v>
      </c>
      <c r="J428" t="s">
        <v>752</v>
      </c>
    </row>
    <row r="429" spans="1:10" x14ac:dyDescent="0.3">
      <c r="A429" s="70">
        <v>45492</v>
      </c>
      <c r="B429" t="s">
        <v>854</v>
      </c>
      <c r="C429" s="71" t="s">
        <v>855</v>
      </c>
      <c r="D429" s="75">
        <v>0</v>
      </c>
      <c r="E429" s="75">
        <v>900</v>
      </c>
      <c r="F429" s="75">
        <v>194010.59</v>
      </c>
      <c r="G429" s="75"/>
      <c r="H429" s="71" t="s">
        <v>218</v>
      </c>
      <c r="J429" t="s">
        <v>752</v>
      </c>
    </row>
    <row r="430" spans="1:10" x14ac:dyDescent="0.3">
      <c r="A430" s="70">
        <v>45492</v>
      </c>
      <c r="B430" t="s">
        <v>856</v>
      </c>
      <c r="C430" s="71" t="s">
        <v>857</v>
      </c>
      <c r="D430" s="75">
        <v>0</v>
      </c>
      <c r="E430" s="75">
        <v>3040</v>
      </c>
      <c r="F430" s="75">
        <v>197050.59</v>
      </c>
      <c r="G430" s="75"/>
      <c r="H430" s="71" t="s">
        <v>218</v>
      </c>
      <c r="J430" t="s">
        <v>752</v>
      </c>
    </row>
    <row r="431" spans="1:10" x14ac:dyDescent="0.3">
      <c r="A431" s="70">
        <v>45492</v>
      </c>
      <c r="B431" t="s">
        <v>1423</v>
      </c>
      <c r="C431" s="71" t="s">
        <v>252</v>
      </c>
      <c r="D431" s="75">
        <v>0</v>
      </c>
      <c r="E431" s="75">
        <v>346.5</v>
      </c>
      <c r="F431" s="75">
        <v>45785</v>
      </c>
      <c r="G431" s="75"/>
      <c r="H431" s="71" t="s">
        <v>218</v>
      </c>
      <c r="J431" t="s">
        <v>753</v>
      </c>
    </row>
    <row r="432" spans="1:10" x14ac:dyDescent="0.3">
      <c r="A432" s="70">
        <v>45492</v>
      </c>
      <c r="B432" t="s">
        <v>1557</v>
      </c>
      <c r="C432" s="71" t="s">
        <v>1558</v>
      </c>
      <c r="D432" s="75">
        <v>157</v>
      </c>
      <c r="E432" s="75">
        <v>0</v>
      </c>
      <c r="F432" s="75">
        <v>19787.310000000001</v>
      </c>
      <c r="G432" s="75"/>
      <c r="H432" s="71" t="s">
        <v>511</v>
      </c>
      <c r="J432" t="s">
        <v>756</v>
      </c>
    </row>
    <row r="433" spans="1:10" x14ac:dyDescent="0.3">
      <c r="A433" s="70">
        <v>45493</v>
      </c>
      <c r="B433" t="s">
        <v>1559</v>
      </c>
      <c r="C433" s="71" t="s">
        <v>1560</v>
      </c>
      <c r="D433" s="75">
        <v>35</v>
      </c>
      <c r="E433" s="75">
        <v>0</v>
      </c>
      <c r="F433" s="75">
        <v>19752.310000000001</v>
      </c>
      <c r="G433" s="75"/>
      <c r="H433" s="71" t="s">
        <v>511</v>
      </c>
      <c r="J433" t="s">
        <v>756</v>
      </c>
    </row>
    <row r="434" spans="1:10" x14ac:dyDescent="0.3">
      <c r="A434" s="70">
        <v>45493</v>
      </c>
      <c r="B434" t="s">
        <v>1561</v>
      </c>
      <c r="C434" s="71" t="s">
        <v>1562</v>
      </c>
      <c r="D434" s="75">
        <v>20</v>
      </c>
      <c r="E434" s="75">
        <v>0</v>
      </c>
      <c r="F434" s="75">
        <v>19732.310000000001</v>
      </c>
      <c r="G434" s="75"/>
      <c r="H434" s="71" t="s">
        <v>511</v>
      </c>
      <c r="J434" t="s">
        <v>756</v>
      </c>
    </row>
    <row r="435" spans="1:10" x14ac:dyDescent="0.3">
      <c r="A435" s="70">
        <v>45493</v>
      </c>
      <c r="B435" t="s">
        <v>1563</v>
      </c>
      <c r="C435" s="71" t="s">
        <v>1564</v>
      </c>
      <c r="D435" s="75">
        <v>500</v>
      </c>
      <c r="E435" s="75">
        <v>0</v>
      </c>
      <c r="F435" s="75">
        <v>19232.310000000001</v>
      </c>
      <c r="G435" s="75"/>
      <c r="H435" s="71" t="s">
        <v>511</v>
      </c>
      <c r="J435" t="s">
        <v>756</v>
      </c>
    </row>
    <row r="436" spans="1:10" x14ac:dyDescent="0.3">
      <c r="A436" s="70">
        <v>45494</v>
      </c>
      <c r="B436" t="s">
        <v>1565</v>
      </c>
      <c r="C436" s="71" t="s">
        <v>1566</v>
      </c>
      <c r="D436" s="75">
        <v>50</v>
      </c>
      <c r="E436" s="75">
        <v>0</v>
      </c>
      <c r="F436" s="75">
        <v>19182.310000000001</v>
      </c>
      <c r="G436" s="75"/>
      <c r="H436" s="71" t="s">
        <v>511</v>
      </c>
      <c r="J436" t="s">
        <v>756</v>
      </c>
    </row>
    <row r="437" spans="1:10" x14ac:dyDescent="0.3">
      <c r="A437" s="70">
        <v>45494</v>
      </c>
      <c r="B437" t="s">
        <v>1567</v>
      </c>
      <c r="C437" s="71" t="s">
        <v>1568</v>
      </c>
      <c r="D437" s="75">
        <v>30</v>
      </c>
      <c r="E437" s="75">
        <v>0</v>
      </c>
      <c r="F437" s="75">
        <v>19152.310000000001</v>
      </c>
      <c r="G437" s="75"/>
      <c r="H437" s="71" t="s">
        <v>511</v>
      </c>
      <c r="J437" t="s">
        <v>756</v>
      </c>
    </row>
    <row r="438" spans="1:10" x14ac:dyDescent="0.3">
      <c r="A438" s="70">
        <v>45494</v>
      </c>
      <c r="B438" t="s">
        <v>1569</v>
      </c>
      <c r="C438" s="71" t="s">
        <v>1570</v>
      </c>
      <c r="D438" s="75">
        <v>20</v>
      </c>
      <c r="E438" s="75">
        <v>0</v>
      </c>
      <c r="F438" s="75">
        <v>19132.310000000001</v>
      </c>
      <c r="G438" s="75"/>
      <c r="H438" s="71" t="s">
        <v>511</v>
      </c>
      <c r="J438" t="s">
        <v>756</v>
      </c>
    </row>
    <row r="439" spans="1:10" x14ac:dyDescent="0.3">
      <c r="A439" s="70">
        <v>45495</v>
      </c>
      <c r="B439" t="s">
        <v>30</v>
      </c>
      <c r="C439" s="71" t="s">
        <v>858</v>
      </c>
      <c r="D439" s="75">
        <v>418.14</v>
      </c>
      <c r="E439" s="75">
        <v>0</v>
      </c>
      <c r="F439" s="75">
        <v>196632.45</v>
      </c>
      <c r="G439" s="75"/>
      <c r="H439" s="71" t="s">
        <v>217</v>
      </c>
      <c r="J439" t="s">
        <v>752</v>
      </c>
    </row>
    <row r="440" spans="1:10" x14ac:dyDescent="0.3">
      <c r="A440" s="70">
        <v>45495</v>
      </c>
      <c r="B440" t="s">
        <v>1571</v>
      </c>
      <c r="C440" s="71" t="s">
        <v>1572</v>
      </c>
      <c r="D440" s="75">
        <v>100</v>
      </c>
      <c r="E440" s="75">
        <v>0</v>
      </c>
      <c r="F440" s="75">
        <v>19032.310000000001</v>
      </c>
      <c r="G440" s="75"/>
      <c r="H440" s="71" t="s">
        <v>511</v>
      </c>
      <c r="J440" t="s">
        <v>756</v>
      </c>
    </row>
    <row r="441" spans="1:10" x14ac:dyDescent="0.3">
      <c r="A441" s="70">
        <v>45496</v>
      </c>
      <c r="B441" t="s">
        <v>30</v>
      </c>
      <c r="C441" s="71" t="s">
        <v>859</v>
      </c>
      <c r="D441" s="75">
        <v>139.38</v>
      </c>
      <c r="E441" s="75">
        <v>0</v>
      </c>
      <c r="F441" s="75">
        <v>196493.07</v>
      </c>
      <c r="G441" s="75"/>
      <c r="H441" s="71" t="s">
        <v>217</v>
      </c>
      <c r="J441" t="s">
        <v>752</v>
      </c>
    </row>
    <row r="442" spans="1:10" x14ac:dyDescent="0.3">
      <c r="A442" s="70">
        <v>45496</v>
      </c>
      <c r="B442" t="s">
        <v>1573</v>
      </c>
      <c r="C442" s="71" t="s">
        <v>1574</v>
      </c>
      <c r="D442" s="75">
        <v>85</v>
      </c>
      <c r="E442" s="75">
        <v>0</v>
      </c>
      <c r="F442" s="75">
        <v>18947.310000000001</v>
      </c>
      <c r="G442" s="75"/>
      <c r="H442" s="71" t="s">
        <v>511</v>
      </c>
      <c r="J442" t="s">
        <v>756</v>
      </c>
    </row>
    <row r="443" spans="1:10" x14ac:dyDescent="0.3">
      <c r="A443" s="70">
        <v>45496</v>
      </c>
      <c r="B443" t="s">
        <v>1575</v>
      </c>
      <c r="C443" s="71" t="s">
        <v>1576</v>
      </c>
      <c r="D443" s="75">
        <v>0</v>
      </c>
      <c r="E443" s="75">
        <v>3000</v>
      </c>
      <c r="F443" s="75">
        <v>21947.31</v>
      </c>
      <c r="G443" s="75"/>
      <c r="H443" s="71" t="s">
        <v>511</v>
      </c>
      <c r="J443" t="s">
        <v>756</v>
      </c>
    </row>
    <row r="444" spans="1:10" x14ac:dyDescent="0.3">
      <c r="A444" s="70">
        <v>45496</v>
      </c>
      <c r="B444" t="s">
        <v>318</v>
      </c>
      <c r="C444" s="71" t="s">
        <v>1577</v>
      </c>
      <c r="D444" s="75">
        <v>5000</v>
      </c>
      <c r="E444" s="75">
        <v>0</v>
      </c>
      <c r="F444" s="75">
        <v>16947.310000000001</v>
      </c>
      <c r="G444" s="75"/>
      <c r="H444" s="71" t="s">
        <v>219</v>
      </c>
      <c r="J444" t="s">
        <v>756</v>
      </c>
    </row>
    <row r="445" spans="1:10" x14ac:dyDescent="0.3">
      <c r="A445" s="70">
        <v>45496</v>
      </c>
      <c r="B445" t="s">
        <v>1578</v>
      </c>
      <c r="C445" s="71">
        <v>420513806447</v>
      </c>
      <c r="D445" s="75">
        <v>2</v>
      </c>
      <c r="E445" s="75">
        <v>0</v>
      </c>
      <c r="F445" s="75">
        <v>16945.310000000001</v>
      </c>
      <c r="G445" s="75"/>
      <c r="H445" s="71" t="s">
        <v>589</v>
      </c>
      <c r="J445" t="s">
        <v>756</v>
      </c>
    </row>
    <row r="446" spans="1:10" x14ac:dyDescent="0.3">
      <c r="A446" s="70">
        <v>45496</v>
      </c>
      <c r="B446" t="s">
        <v>1579</v>
      </c>
      <c r="C446" s="71" t="s">
        <v>1580</v>
      </c>
      <c r="D446" s="75">
        <v>100</v>
      </c>
      <c r="E446" s="75">
        <v>0</v>
      </c>
      <c r="F446" s="75">
        <v>16845.310000000001</v>
      </c>
      <c r="G446" s="75"/>
      <c r="H446" s="71" t="s">
        <v>511</v>
      </c>
      <c r="J446" t="s">
        <v>756</v>
      </c>
    </row>
    <row r="447" spans="1:10" x14ac:dyDescent="0.3">
      <c r="A447" s="70">
        <v>45497</v>
      </c>
      <c r="B447" t="s">
        <v>30</v>
      </c>
      <c r="C447" s="71" t="s">
        <v>860</v>
      </c>
      <c r="D447" s="75">
        <v>139.38</v>
      </c>
      <c r="E447" s="75">
        <v>0</v>
      </c>
      <c r="F447" s="75">
        <v>196353.69</v>
      </c>
      <c r="G447" s="75"/>
      <c r="H447" s="71" t="s">
        <v>217</v>
      </c>
      <c r="J447" t="s">
        <v>752</v>
      </c>
    </row>
    <row r="448" spans="1:10" x14ac:dyDescent="0.3">
      <c r="A448" s="70">
        <v>45498</v>
      </c>
      <c r="B448" t="s">
        <v>30</v>
      </c>
      <c r="C448" s="71" t="s">
        <v>861</v>
      </c>
      <c r="D448" s="75">
        <v>139.38</v>
      </c>
      <c r="E448" s="75">
        <v>0</v>
      </c>
      <c r="F448" s="75">
        <v>196214.31</v>
      </c>
      <c r="G448" s="75"/>
      <c r="H448" s="71" t="s">
        <v>217</v>
      </c>
      <c r="J448" t="s">
        <v>752</v>
      </c>
    </row>
    <row r="449" spans="1:10" x14ac:dyDescent="0.3">
      <c r="A449" s="70">
        <v>45498</v>
      </c>
      <c r="B449" t="s">
        <v>862</v>
      </c>
      <c r="C449" s="71" t="s">
        <v>863</v>
      </c>
      <c r="D449" s="75">
        <v>0</v>
      </c>
      <c r="E449" s="75">
        <v>715</v>
      </c>
      <c r="F449" s="75">
        <v>196929.31</v>
      </c>
      <c r="G449" s="75"/>
      <c r="H449" s="71" t="s">
        <v>218</v>
      </c>
      <c r="J449" t="s">
        <v>752</v>
      </c>
    </row>
    <row r="450" spans="1:10" x14ac:dyDescent="0.3">
      <c r="A450" s="70">
        <v>45499</v>
      </c>
      <c r="B450" t="s">
        <v>30</v>
      </c>
      <c r="C450" s="71" t="s">
        <v>864</v>
      </c>
      <c r="D450" s="75">
        <v>139.38</v>
      </c>
      <c r="E450" s="75">
        <v>0</v>
      </c>
      <c r="F450" s="75">
        <v>196789.93</v>
      </c>
      <c r="G450" s="75"/>
      <c r="H450" s="71" t="s">
        <v>217</v>
      </c>
      <c r="J450" t="s">
        <v>752</v>
      </c>
    </row>
    <row r="451" spans="1:10" x14ac:dyDescent="0.3">
      <c r="A451" s="70">
        <v>45499</v>
      </c>
      <c r="B451" t="s">
        <v>1581</v>
      </c>
      <c r="C451" s="71" t="s">
        <v>1582</v>
      </c>
      <c r="D451" s="75">
        <v>100</v>
      </c>
      <c r="E451" s="75">
        <v>0</v>
      </c>
      <c r="F451" s="75">
        <v>16745.310000000001</v>
      </c>
      <c r="G451" s="75"/>
      <c r="H451" s="71" t="s">
        <v>511</v>
      </c>
      <c r="J451" t="s">
        <v>756</v>
      </c>
    </row>
    <row r="452" spans="1:10" x14ac:dyDescent="0.3">
      <c r="A452" s="70">
        <v>45500</v>
      </c>
      <c r="B452" t="s">
        <v>1583</v>
      </c>
      <c r="C452" s="71" t="s">
        <v>1584</v>
      </c>
      <c r="D452" s="75">
        <v>58</v>
      </c>
      <c r="E452" s="75">
        <v>0</v>
      </c>
      <c r="F452" s="75">
        <v>16687.310000000001</v>
      </c>
      <c r="G452" s="75"/>
      <c r="H452" s="71" t="s">
        <v>511</v>
      </c>
      <c r="J452" t="s">
        <v>756</v>
      </c>
    </row>
    <row r="453" spans="1:10" x14ac:dyDescent="0.3">
      <c r="A453" s="70">
        <v>45500</v>
      </c>
      <c r="B453" t="s">
        <v>1585</v>
      </c>
      <c r="C453" s="71" t="s">
        <v>1586</v>
      </c>
      <c r="D453" s="75">
        <v>250</v>
      </c>
      <c r="E453" s="75">
        <v>0</v>
      </c>
      <c r="F453" s="75">
        <v>16437.310000000001</v>
      </c>
      <c r="G453" s="75"/>
      <c r="H453" s="71" t="s">
        <v>511</v>
      </c>
      <c r="J453" t="s">
        <v>756</v>
      </c>
    </row>
    <row r="454" spans="1:10" x14ac:dyDescent="0.3">
      <c r="A454" s="70">
        <v>45501</v>
      </c>
      <c r="B454" t="s">
        <v>1587</v>
      </c>
      <c r="C454" s="71" t="s">
        <v>1588</v>
      </c>
      <c r="D454" s="75">
        <v>2068.6</v>
      </c>
      <c r="E454" s="75">
        <v>0</v>
      </c>
      <c r="F454" s="75">
        <v>14368.71</v>
      </c>
      <c r="G454" s="75"/>
      <c r="H454" s="71" t="s">
        <v>511</v>
      </c>
      <c r="J454" t="s">
        <v>756</v>
      </c>
    </row>
    <row r="455" spans="1:10" x14ac:dyDescent="0.3">
      <c r="A455" s="70">
        <v>45501</v>
      </c>
      <c r="B455" t="s">
        <v>1589</v>
      </c>
      <c r="C455" s="71" t="s">
        <v>1590</v>
      </c>
      <c r="D455" s="75">
        <v>0</v>
      </c>
      <c r="E455" s="75">
        <v>10</v>
      </c>
      <c r="F455" s="75">
        <v>14378.71</v>
      </c>
      <c r="G455" s="75"/>
      <c r="H455" s="71" t="s">
        <v>511</v>
      </c>
      <c r="J455" t="s">
        <v>756</v>
      </c>
    </row>
    <row r="456" spans="1:10" x14ac:dyDescent="0.3">
      <c r="A456" s="70">
        <v>45501</v>
      </c>
      <c r="B456" t="s">
        <v>1591</v>
      </c>
      <c r="C456" s="71" t="s">
        <v>1592</v>
      </c>
      <c r="D456" s="75">
        <v>10</v>
      </c>
      <c r="E456" s="75">
        <v>0</v>
      </c>
      <c r="F456" s="75">
        <v>14368.71</v>
      </c>
      <c r="G456" s="75"/>
      <c r="H456" s="71" t="s">
        <v>511</v>
      </c>
      <c r="J456" t="s">
        <v>756</v>
      </c>
    </row>
    <row r="457" spans="1:10" x14ac:dyDescent="0.3">
      <c r="A457" s="70">
        <v>45501</v>
      </c>
      <c r="B457" t="s">
        <v>1593</v>
      </c>
      <c r="C457" s="71" t="s">
        <v>1594</v>
      </c>
      <c r="D457" s="75">
        <v>0</v>
      </c>
      <c r="E457" s="75">
        <v>1</v>
      </c>
      <c r="F457" s="75">
        <v>14369.71</v>
      </c>
      <c r="G457" s="75"/>
      <c r="H457" s="71" t="s">
        <v>511</v>
      </c>
      <c r="J457" t="s">
        <v>756</v>
      </c>
    </row>
    <row r="458" spans="1:10" x14ac:dyDescent="0.3">
      <c r="A458" s="70">
        <v>45501</v>
      </c>
      <c r="B458" t="s">
        <v>1595</v>
      </c>
      <c r="C458" s="71" t="s">
        <v>1596</v>
      </c>
      <c r="D458" s="75">
        <v>1</v>
      </c>
      <c r="E458" s="75">
        <v>0</v>
      </c>
      <c r="F458" s="75">
        <v>14368.71</v>
      </c>
      <c r="G458" s="75"/>
      <c r="H458" s="71" t="s">
        <v>511</v>
      </c>
      <c r="J458" t="s">
        <v>756</v>
      </c>
    </row>
    <row r="459" spans="1:10" x14ac:dyDescent="0.3">
      <c r="A459" s="70">
        <v>45502</v>
      </c>
      <c r="B459" t="s">
        <v>865</v>
      </c>
      <c r="C459" s="71" t="s">
        <v>866</v>
      </c>
      <c r="D459" s="75">
        <v>5000</v>
      </c>
      <c r="E459" s="75">
        <v>0</v>
      </c>
      <c r="F459" s="75">
        <v>191789.93</v>
      </c>
      <c r="G459" s="75"/>
      <c r="H459" s="71" t="s">
        <v>219</v>
      </c>
      <c r="J459" t="s">
        <v>752</v>
      </c>
    </row>
    <row r="460" spans="1:10" x14ac:dyDescent="0.3">
      <c r="A460" s="70">
        <v>45502</v>
      </c>
      <c r="B460" t="s">
        <v>30</v>
      </c>
      <c r="C460" s="71" t="s">
        <v>867</v>
      </c>
      <c r="D460" s="75">
        <v>418.14</v>
      </c>
      <c r="E460" s="75">
        <v>0</v>
      </c>
      <c r="F460" s="75">
        <v>191371.79</v>
      </c>
      <c r="G460" s="75"/>
      <c r="H460" s="71" t="s">
        <v>217</v>
      </c>
      <c r="J460" t="s">
        <v>752</v>
      </c>
    </row>
    <row r="461" spans="1:10" x14ac:dyDescent="0.3">
      <c r="A461" s="70">
        <v>45502</v>
      </c>
      <c r="B461" t="s">
        <v>1597</v>
      </c>
      <c r="C461" s="71" t="s">
        <v>1598</v>
      </c>
      <c r="D461" s="75">
        <v>35</v>
      </c>
      <c r="E461" s="75">
        <v>0</v>
      </c>
      <c r="F461" s="75">
        <v>14333.71</v>
      </c>
      <c r="G461" s="75"/>
      <c r="H461" s="71" t="s">
        <v>511</v>
      </c>
      <c r="J461" t="s">
        <v>756</v>
      </c>
    </row>
    <row r="462" spans="1:10" x14ac:dyDescent="0.3">
      <c r="A462" s="70">
        <v>45503</v>
      </c>
      <c r="B462" t="s">
        <v>868</v>
      </c>
      <c r="C462" s="71" t="s">
        <v>869</v>
      </c>
      <c r="D462" s="75">
        <v>5000</v>
      </c>
      <c r="E462" s="75">
        <v>0</v>
      </c>
      <c r="F462" s="75">
        <v>186371.79</v>
      </c>
      <c r="G462" s="75"/>
      <c r="H462" s="71" t="s">
        <v>219</v>
      </c>
      <c r="J462" t="s">
        <v>752</v>
      </c>
    </row>
    <row r="463" spans="1:10" x14ac:dyDescent="0.3">
      <c r="A463" s="70">
        <v>45503</v>
      </c>
      <c r="B463" t="s">
        <v>30</v>
      </c>
      <c r="C463" s="71" t="s">
        <v>870</v>
      </c>
      <c r="D463" s="75">
        <v>139.38</v>
      </c>
      <c r="E463" s="75">
        <v>0</v>
      </c>
      <c r="F463" s="75">
        <v>186232.41</v>
      </c>
      <c r="G463" s="75"/>
      <c r="H463" s="71" t="s">
        <v>217</v>
      </c>
      <c r="J463" t="s">
        <v>752</v>
      </c>
    </row>
    <row r="464" spans="1:10" x14ac:dyDescent="0.3">
      <c r="A464" s="70">
        <v>45503</v>
      </c>
      <c r="B464" t="s">
        <v>1424</v>
      </c>
      <c r="C464" s="71" t="s">
        <v>252</v>
      </c>
      <c r="D464" s="75">
        <v>0</v>
      </c>
      <c r="E464" s="75">
        <v>150</v>
      </c>
      <c r="F464" s="75">
        <v>45935</v>
      </c>
      <c r="G464" s="75"/>
      <c r="H464" s="71" t="s">
        <v>218</v>
      </c>
      <c r="J464" t="s">
        <v>753</v>
      </c>
    </row>
    <row r="465" spans="1:10" x14ac:dyDescent="0.3">
      <c r="A465" s="70">
        <v>45504</v>
      </c>
      <c r="B465" t="s">
        <v>30</v>
      </c>
      <c r="C465" s="71" t="s">
        <v>871</v>
      </c>
      <c r="D465" s="75">
        <v>139.38</v>
      </c>
      <c r="E465" s="75">
        <v>0</v>
      </c>
      <c r="F465" s="75">
        <v>186093.03</v>
      </c>
      <c r="G465" s="75"/>
      <c r="H465" s="71" t="s">
        <v>217</v>
      </c>
      <c r="J465" t="s">
        <v>752</v>
      </c>
    </row>
    <row r="466" spans="1:10" x14ac:dyDescent="0.3">
      <c r="A466" s="70">
        <v>45504</v>
      </c>
      <c r="B466" t="s">
        <v>358</v>
      </c>
      <c r="C466" s="71" t="s">
        <v>1599</v>
      </c>
      <c r="D466" s="75">
        <v>0</v>
      </c>
      <c r="E466" s="75">
        <v>67921</v>
      </c>
      <c r="F466" s="75">
        <v>82254.710000000006</v>
      </c>
      <c r="G466" s="75"/>
      <c r="H466" s="71" t="s">
        <v>507</v>
      </c>
      <c r="J466" t="s">
        <v>756</v>
      </c>
    </row>
    <row r="467" spans="1:10" x14ac:dyDescent="0.3">
      <c r="A467" s="70">
        <v>45504</v>
      </c>
      <c r="B467" t="s">
        <v>1600</v>
      </c>
      <c r="C467" s="71" t="s">
        <v>1601</v>
      </c>
      <c r="D467" s="75">
        <v>30</v>
      </c>
      <c r="E467" s="75">
        <v>0</v>
      </c>
      <c r="F467" s="75">
        <v>82224.710000000006</v>
      </c>
      <c r="G467" s="75"/>
      <c r="H467" s="71" t="s">
        <v>511</v>
      </c>
      <c r="J467" t="s">
        <v>756</v>
      </c>
    </row>
    <row r="468" spans="1:10" x14ac:dyDescent="0.3">
      <c r="A468" s="70">
        <v>45505</v>
      </c>
      <c r="B468" t="s">
        <v>30</v>
      </c>
      <c r="C468" s="71" t="s">
        <v>872</v>
      </c>
      <c r="D468" s="75">
        <v>139.38</v>
      </c>
      <c r="E468" s="75">
        <v>0</v>
      </c>
      <c r="F468" s="75">
        <v>185953.65</v>
      </c>
      <c r="G468" s="75"/>
      <c r="H468" s="71" t="s">
        <v>217</v>
      </c>
      <c r="J468" t="s">
        <v>752</v>
      </c>
    </row>
    <row r="469" spans="1:10" x14ac:dyDescent="0.3">
      <c r="A469" s="70">
        <v>45505</v>
      </c>
      <c r="B469" t="s">
        <v>1602</v>
      </c>
      <c r="C469" s="71" t="s">
        <v>1603</v>
      </c>
      <c r="D469" s="75">
        <v>85</v>
      </c>
      <c r="E469" s="75">
        <v>0</v>
      </c>
      <c r="F469" s="75">
        <v>82139.710000000006</v>
      </c>
      <c r="G469" s="75"/>
      <c r="H469" s="71" t="s">
        <v>511</v>
      </c>
      <c r="J469" t="s">
        <v>756</v>
      </c>
    </row>
    <row r="470" spans="1:10" x14ac:dyDescent="0.3">
      <c r="A470" s="70">
        <v>45505</v>
      </c>
      <c r="B470" t="s">
        <v>2564</v>
      </c>
      <c r="C470" s="71"/>
      <c r="D470" s="75">
        <v>0</v>
      </c>
      <c r="E470" s="75">
        <v>1</v>
      </c>
      <c r="F470" s="75">
        <v>229</v>
      </c>
      <c r="G470" s="75"/>
      <c r="H470" s="71" t="s">
        <v>227</v>
      </c>
      <c r="J470" t="s">
        <v>2573</v>
      </c>
    </row>
    <row r="471" spans="1:10" x14ac:dyDescent="0.3">
      <c r="A471" s="70">
        <v>45506</v>
      </c>
      <c r="B471" t="s">
        <v>30</v>
      </c>
      <c r="C471" s="71" t="s">
        <v>873</v>
      </c>
      <c r="D471" s="75">
        <v>139.38</v>
      </c>
      <c r="E471" s="75">
        <v>0</v>
      </c>
      <c r="F471" s="75">
        <v>185814.27</v>
      </c>
      <c r="G471" s="75"/>
      <c r="H471" s="71" t="s">
        <v>217</v>
      </c>
      <c r="J471" t="s">
        <v>752</v>
      </c>
    </row>
    <row r="472" spans="1:10" x14ac:dyDescent="0.3">
      <c r="A472" s="70">
        <v>45506</v>
      </c>
      <c r="B472" t="s">
        <v>874</v>
      </c>
      <c r="C472" s="71" t="s">
        <v>875</v>
      </c>
      <c r="D472" s="75">
        <v>0</v>
      </c>
      <c r="E472" s="75">
        <v>1582.5</v>
      </c>
      <c r="F472" s="75">
        <v>187396.77</v>
      </c>
      <c r="G472" s="75"/>
      <c r="H472" s="71" t="s">
        <v>218</v>
      </c>
      <c r="J472" t="s">
        <v>752</v>
      </c>
    </row>
    <row r="473" spans="1:10" x14ac:dyDescent="0.3">
      <c r="A473" s="70">
        <v>45506</v>
      </c>
      <c r="B473" t="s">
        <v>1604</v>
      </c>
      <c r="C473" s="71" t="s">
        <v>1605</v>
      </c>
      <c r="D473" s="75">
        <v>60</v>
      </c>
      <c r="E473" s="75">
        <v>0</v>
      </c>
      <c r="F473" s="75">
        <v>82079.710000000006</v>
      </c>
      <c r="G473" s="75"/>
      <c r="H473" s="71" t="s">
        <v>511</v>
      </c>
      <c r="J473" t="s">
        <v>756</v>
      </c>
    </row>
    <row r="474" spans="1:10" x14ac:dyDescent="0.3">
      <c r="A474" s="70">
        <v>45507</v>
      </c>
      <c r="B474" t="s">
        <v>1606</v>
      </c>
      <c r="C474" s="71" t="s">
        <v>1607</v>
      </c>
      <c r="D474" s="75">
        <v>132</v>
      </c>
      <c r="E474" s="75">
        <v>0</v>
      </c>
      <c r="F474" s="75">
        <v>81947.710000000006</v>
      </c>
      <c r="G474" s="75"/>
      <c r="H474" s="71" t="s">
        <v>511</v>
      </c>
      <c r="J474" t="s">
        <v>756</v>
      </c>
    </row>
    <row r="475" spans="1:10" x14ac:dyDescent="0.3">
      <c r="A475" s="70">
        <v>45507</v>
      </c>
      <c r="B475" t="s">
        <v>1608</v>
      </c>
      <c r="C475" s="71" t="s">
        <v>1609</v>
      </c>
      <c r="D475" s="75">
        <v>7764.15</v>
      </c>
      <c r="E475" s="75">
        <v>0</v>
      </c>
      <c r="F475" s="75">
        <v>74183.56</v>
      </c>
      <c r="G475" s="75"/>
      <c r="H475" s="71" t="s">
        <v>511</v>
      </c>
      <c r="J475" t="s">
        <v>756</v>
      </c>
    </row>
    <row r="476" spans="1:10" x14ac:dyDescent="0.3">
      <c r="A476" s="70">
        <v>45507</v>
      </c>
      <c r="B476" t="s">
        <v>1610</v>
      </c>
      <c r="C476" s="71" t="s">
        <v>1611</v>
      </c>
      <c r="D476" s="75">
        <v>35</v>
      </c>
      <c r="E476" s="75">
        <v>0</v>
      </c>
      <c r="F476" s="75">
        <v>74148.56</v>
      </c>
      <c r="G476" s="75"/>
      <c r="H476" s="71" t="s">
        <v>511</v>
      </c>
      <c r="J476" t="s">
        <v>756</v>
      </c>
    </row>
    <row r="477" spans="1:10" x14ac:dyDescent="0.3">
      <c r="A477" s="70">
        <v>45508</v>
      </c>
      <c r="B477" t="s">
        <v>1612</v>
      </c>
      <c r="C477" s="71" t="s">
        <v>1613</v>
      </c>
      <c r="D477" s="75">
        <v>15000</v>
      </c>
      <c r="E477" s="75">
        <v>0</v>
      </c>
      <c r="F477" s="75">
        <v>59148.56</v>
      </c>
      <c r="G477" s="75"/>
      <c r="H477" s="71" t="s">
        <v>512</v>
      </c>
      <c r="J477" t="s">
        <v>756</v>
      </c>
    </row>
    <row r="478" spans="1:10" x14ac:dyDescent="0.3">
      <c r="A478" s="70">
        <v>45509</v>
      </c>
      <c r="B478" t="s">
        <v>876</v>
      </c>
      <c r="C478" s="71" t="s">
        <v>877</v>
      </c>
      <c r="D478" s="75">
        <v>0</v>
      </c>
      <c r="E478" s="75">
        <v>600</v>
      </c>
      <c r="F478" s="75">
        <v>187996.77</v>
      </c>
      <c r="G478" s="75"/>
      <c r="H478" s="71" t="s">
        <v>218</v>
      </c>
      <c r="J478" t="s">
        <v>752</v>
      </c>
    </row>
    <row r="479" spans="1:10" x14ac:dyDescent="0.3">
      <c r="A479" s="70">
        <v>45509</v>
      </c>
      <c r="B479" t="s">
        <v>30</v>
      </c>
      <c r="C479" s="71" t="s">
        <v>878</v>
      </c>
      <c r="D479" s="75">
        <v>418.14</v>
      </c>
      <c r="E479" s="75">
        <v>0</v>
      </c>
      <c r="F479" s="75">
        <v>187578.63</v>
      </c>
      <c r="G479" s="75"/>
      <c r="H479" s="71" t="s">
        <v>217</v>
      </c>
      <c r="J479" t="s">
        <v>752</v>
      </c>
    </row>
    <row r="480" spans="1:10" x14ac:dyDescent="0.3">
      <c r="A480" s="70">
        <v>45509</v>
      </c>
      <c r="B480" t="s">
        <v>879</v>
      </c>
      <c r="C480" s="71" t="s">
        <v>880</v>
      </c>
      <c r="D480" s="75">
        <v>0</v>
      </c>
      <c r="E480" s="75">
        <v>160</v>
      </c>
      <c r="F480" s="75">
        <v>187738.63</v>
      </c>
      <c r="G480" s="75"/>
      <c r="H480" s="71" t="s">
        <v>218</v>
      </c>
      <c r="J480" t="s">
        <v>752</v>
      </c>
    </row>
    <row r="481" spans="1:10" x14ac:dyDescent="0.3">
      <c r="A481" s="70">
        <v>45509</v>
      </c>
      <c r="B481" t="s">
        <v>881</v>
      </c>
      <c r="C481" s="71" t="s">
        <v>882</v>
      </c>
      <c r="D481" s="75">
        <v>0</v>
      </c>
      <c r="E481" s="75">
        <v>720</v>
      </c>
      <c r="F481" s="75">
        <v>188458.63</v>
      </c>
      <c r="G481" s="75"/>
      <c r="H481" s="71" t="s">
        <v>218</v>
      </c>
      <c r="J481" t="s">
        <v>752</v>
      </c>
    </row>
    <row r="482" spans="1:10" x14ac:dyDescent="0.3">
      <c r="A482" s="70">
        <v>45509</v>
      </c>
      <c r="B482" t="s">
        <v>1425</v>
      </c>
      <c r="C482" s="71" t="s">
        <v>545</v>
      </c>
      <c r="D482" s="75">
        <v>428</v>
      </c>
      <c r="E482" s="75">
        <v>0</v>
      </c>
      <c r="F482" s="75">
        <v>45507</v>
      </c>
      <c r="G482" s="75"/>
      <c r="H482" s="71" t="s">
        <v>511</v>
      </c>
      <c r="J482" t="s">
        <v>753</v>
      </c>
    </row>
    <row r="483" spans="1:10" x14ac:dyDescent="0.3">
      <c r="A483" s="70">
        <v>45509</v>
      </c>
      <c r="B483" t="s">
        <v>1614</v>
      </c>
      <c r="C483" s="71" t="s">
        <v>1615</v>
      </c>
      <c r="D483" s="75">
        <v>10000</v>
      </c>
      <c r="E483" s="75">
        <v>0</v>
      </c>
      <c r="F483" s="75">
        <v>49148.56</v>
      </c>
      <c r="G483" s="75"/>
      <c r="H483" s="71" t="s">
        <v>2533</v>
      </c>
      <c r="J483" t="s">
        <v>756</v>
      </c>
    </row>
    <row r="484" spans="1:10" x14ac:dyDescent="0.3">
      <c r="A484" s="70">
        <v>45509</v>
      </c>
      <c r="B484" t="s">
        <v>1616</v>
      </c>
      <c r="C484" s="71" t="s">
        <v>1617</v>
      </c>
      <c r="D484" s="75">
        <v>85</v>
      </c>
      <c r="E484" s="75">
        <v>0</v>
      </c>
      <c r="F484" s="75">
        <v>49063.56</v>
      </c>
      <c r="G484" s="75"/>
      <c r="H484" s="71" t="s">
        <v>511</v>
      </c>
      <c r="J484" t="s">
        <v>756</v>
      </c>
    </row>
    <row r="485" spans="1:10" x14ac:dyDescent="0.3">
      <c r="A485" s="70">
        <v>45510</v>
      </c>
      <c r="B485" t="s">
        <v>30</v>
      </c>
      <c r="C485" s="71" t="s">
        <v>883</v>
      </c>
      <c r="D485" s="75">
        <v>139.38</v>
      </c>
      <c r="E485" s="75">
        <v>0</v>
      </c>
      <c r="F485" s="75">
        <v>188319.25</v>
      </c>
      <c r="G485" s="75"/>
      <c r="H485" s="71" t="s">
        <v>217</v>
      </c>
      <c r="J485" t="s">
        <v>752</v>
      </c>
    </row>
    <row r="486" spans="1:10" x14ac:dyDescent="0.3">
      <c r="A486" s="70">
        <v>45510</v>
      </c>
      <c r="B486" t="s">
        <v>1426</v>
      </c>
      <c r="C486" s="71" t="s">
        <v>252</v>
      </c>
      <c r="D486" s="75">
        <v>0</v>
      </c>
      <c r="E486" s="75">
        <v>22.5</v>
      </c>
      <c r="F486" s="75">
        <v>45529.5</v>
      </c>
      <c r="G486" s="75"/>
      <c r="H486" s="71" t="s">
        <v>218</v>
      </c>
      <c r="J486" t="s">
        <v>753</v>
      </c>
    </row>
    <row r="487" spans="1:10" x14ac:dyDescent="0.3">
      <c r="A487" s="70">
        <v>45510</v>
      </c>
      <c r="B487" t="s">
        <v>1618</v>
      </c>
      <c r="C487" s="71" t="s">
        <v>1619</v>
      </c>
      <c r="D487" s="75">
        <v>100</v>
      </c>
      <c r="E487" s="75">
        <v>0</v>
      </c>
      <c r="F487" s="75">
        <v>48963.56</v>
      </c>
      <c r="G487" s="75"/>
      <c r="H487" s="71" t="s">
        <v>511</v>
      </c>
      <c r="J487" t="s">
        <v>756</v>
      </c>
    </row>
    <row r="488" spans="1:10" x14ac:dyDescent="0.3">
      <c r="A488" s="70">
        <v>45511</v>
      </c>
      <c r="B488" t="s">
        <v>30</v>
      </c>
      <c r="C488" s="71" t="s">
        <v>884</v>
      </c>
      <c r="D488" s="75">
        <v>139.38</v>
      </c>
      <c r="E488" s="75">
        <v>0</v>
      </c>
      <c r="F488" s="75">
        <v>188179.87</v>
      </c>
      <c r="G488" s="75"/>
      <c r="H488" s="71" t="s">
        <v>217</v>
      </c>
      <c r="J488" t="s">
        <v>752</v>
      </c>
    </row>
    <row r="489" spans="1:10" x14ac:dyDescent="0.3">
      <c r="A489" s="70">
        <v>45511</v>
      </c>
      <c r="B489" t="s">
        <v>885</v>
      </c>
      <c r="C489" s="71" t="s">
        <v>886</v>
      </c>
      <c r="D489" s="75">
        <v>0</v>
      </c>
      <c r="E489" s="75">
        <v>1880</v>
      </c>
      <c r="F489" s="75">
        <v>190059.87</v>
      </c>
      <c r="G489" s="75"/>
      <c r="H489" s="71" t="s">
        <v>222</v>
      </c>
      <c r="J489" t="s">
        <v>752</v>
      </c>
    </row>
    <row r="490" spans="1:10" x14ac:dyDescent="0.3">
      <c r="A490" s="70">
        <v>45511</v>
      </c>
      <c r="B490" t="s">
        <v>1620</v>
      </c>
      <c r="C490" s="71" t="s">
        <v>1621</v>
      </c>
      <c r="D490" s="75">
        <v>2500</v>
      </c>
      <c r="E490" s="75">
        <v>0</v>
      </c>
      <c r="F490" s="75">
        <v>46463.56</v>
      </c>
      <c r="G490" s="75"/>
      <c r="H490" s="71" t="s">
        <v>511</v>
      </c>
      <c r="J490" t="s">
        <v>756</v>
      </c>
    </row>
    <row r="491" spans="1:10" x14ac:dyDescent="0.3">
      <c r="A491" s="70">
        <v>45511</v>
      </c>
      <c r="B491" t="s">
        <v>1622</v>
      </c>
      <c r="C491" s="71" t="s">
        <v>1623</v>
      </c>
      <c r="D491" s="75">
        <v>145</v>
      </c>
      <c r="E491" s="75">
        <v>0</v>
      </c>
      <c r="F491" s="75">
        <v>46318.559999999998</v>
      </c>
      <c r="G491" s="75"/>
      <c r="H491" s="71" t="s">
        <v>511</v>
      </c>
      <c r="J491" t="s">
        <v>756</v>
      </c>
    </row>
    <row r="492" spans="1:10" x14ac:dyDescent="0.3">
      <c r="A492" s="70">
        <v>45511</v>
      </c>
      <c r="B492" t="s">
        <v>1624</v>
      </c>
      <c r="C492" s="71" t="s">
        <v>1625</v>
      </c>
      <c r="D492" s="75">
        <v>1000</v>
      </c>
      <c r="E492" s="75">
        <v>0</v>
      </c>
      <c r="F492" s="75">
        <v>45318.559999999998</v>
      </c>
      <c r="G492" s="75"/>
      <c r="H492" s="71" t="s">
        <v>511</v>
      </c>
      <c r="J492" t="s">
        <v>756</v>
      </c>
    </row>
    <row r="493" spans="1:10" x14ac:dyDescent="0.3">
      <c r="A493" s="70">
        <v>45512</v>
      </c>
      <c r="B493" t="s">
        <v>30</v>
      </c>
      <c r="C493" s="71" t="s">
        <v>887</v>
      </c>
      <c r="D493" s="75">
        <v>139.38</v>
      </c>
      <c r="E493" s="75">
        <v>0</v>
      </c>
      <c r="F493" s="75">
        <v>189920.49</v>
      </c>
      <c r="G493" s="75"/>
      <c r="H493" s="71" t="s">
        <v>217</v>
      </c>
      <c r="J493" t="s">
        <v>752</v>
      </c>
    </row>
    <row r="494" spans="1:10" x14ac:dyDescent="0.3">
      <c r="A494" s="70">
        <v>45512</v>
      </c>
      <c r="B494" t="s">
        <v>1626</v>
      </c>
      <c r="C494" s="71" t="s">
        <v>1627</v>
      </c>
      <c r="D494" s="75">
        <v>90</v>
      </c>
      <c r="E494" s="75">
        <v>0</v>
      </c>
      <c r="F494" s="75">
        <v>45228.56</v>
      </c>
      <c r="G494" s="75"/>
      <c r="H494" s="71" t="s">
        <v>511</v>
      </c>
      <c r="J494" t="s">
        <v>756</v>
      </c>
    </row>
    <row r="495" spans="1:10" x14ac:dyDescent="0.3">
      <c r="A495" s="70">
        <v>45512</v>
      </c>
      <c r="B495" t="s">
        <v>1628</v>
      </c>
      <c r="C495" s="71" t="s">
        <v>1629</v>
      </c>
      <c r="D495" s="75">
        <v>75</v>
      </c>
      <c r="E495" s="75">
        <v>0</v>
      </c>
      <c r="F495" s="75">
        <v>45153.56</v>
      </c>
      <c r="G495" s="75"/>
      <c r="H495" s="71" t="s">
        <v>511</v>
      </c>
      <c r="J495" t="s">
        <v>756</v>
      </c>
    </row>
    <row r="496" spans="1:10" x14ac:dyDescent="0.3">
      <c r="A496" s="70">
        <v>45512</v>
      </c>
      <c r="B496" t="s">
        <v>1630</v>
      </c>
      <c r="C496" s="71" t="s">
        <v>1631</v>
      </c>
      <c r="D496" s="75">
        <v>40</v>
      </c>
      <c r="E496" s="75">
        <v>0</v>
      </c>
      <c r="F496" s="75">
        <v>45113.56</v>
      </c>
      <c r="G496" s="75"/>
      <c r="H496" s="71" t="s">
        <v>511</v>
      </c>
      <c r="J496" t="s">
        <v>756</v>
      </c>
    </row>
    <row r="497" spans="1:10" x14ac:dyDescent="0.3">
      <c r="A497" s="70">
        <v>45513</v>
      </c>
      <c r="B497" t="s">
        <v>30</v>
      </c>
      <c r="C497" s="71" t="s">
        <v>888</v>
      </c>
      <c r="D497" s="75">
        <v>139.38</v>
      </c>
      <c r="E497" s="75">
        <v>0</v>
      </c>
      <c r="F497" s="75">
        <v>189781.11</v>
      </c>
      <c r="G497" s="75"/>
      <c r="H497" s="71" t="s">
        <v>217</v>
      </c>
      <c r="J497" t="s">
        <v>752</v>
      </c>
    </row>
    <row r="498" spans="1:10" x14ac:dyDescent="0.3">
      <c r="A498" s="70">
        <v>45513</v>
      </c>
      <c r="B498" t="s">
        <v>1632</v>
      </c>
      <c r="C498" s="71" t="s">
        <v>1633</v>
      </c>
      <c r="D498" s="75">
        <v>297.92</v>
      </c>
      <c r="E498" s="75">
        <v>0</v>
      </c>
      <c r="F498" s="75">
        <v>44815.64</v>
      </c>
      <c r="G498" s="75"/>
      <c r="H498" s="71" t="s">
        <v>511</v>
      </c>
      <c r="J498" t="s">
        <v>756</v>
      </c>
    </row>
    <row r="499" spans="1:10" x14ac:dyDescent="0.3">
      <c r="A499" s="70">
        <v>45515</v>
      </c>
      <c r="B499" t="s">
        <v>1634</v>
      </c>
      <c r="C499" s="71" t="s">
        <v>1635</v>
      </c>
      <c r="D499" s="75">
        <v>604</v>
      </c>
      <c r="E499" s="75">
        <v>0</v>
      </c>
      <c r="F499" s="75">
        <v>44211.64</v>
      </c>
      <c r="G499" s="75"/>
      <c r="H499" s="71" t="s">
        <v>511</v>
      </c>
      <c r="J499" t="s">
        <v>756</v>
      </c>
    </row>
    <row r="500" spans="1:10" x14ac:dyDescent="0.3">
      <c r="A500" s="70">
        <v>45516</v>
      </c>
      <c r="B500" t="s">
        <v>34</v>
      </c>
      <c r="C500" s="71" t="s">
        <v>889</v>
      </c>
      <c r="D500" s="75">
        <v>0</v>
      </c>
      <c r="E500" s="75">
        <v>41907.449999999997</v>
      </c>
      <c r="F500" s="75">
        <v>231688.56</v>
      </c>
      <c r="G500" s="75"/>
      <c r="H500" s="71" t="s">
        <v>217</v>
      </c>
      <c r="J500" t="s">
        <v>752</v>
      </c>
    </row>
    <row r="501" spans="1:10" x14ac:dyDescent="0.3">
      <c r="A501" s="70">
        <v>45516</v>
      </c>
      <c r="B501" t="s">
        <v>890</v>
      </c>
      <c r="C501" s="71" t="s">
        <v>891</v>
      </c>
      <c r="D501" s="75">
        <v>0</v>
      </c>
      <c r="E501" s="75">
        <v>1365</v>
      </c>
      <c r="F501" s="75">
        <v>233053.56</v>
      </c>
      <c r="G501" s="75"/>
      <c r="H501" s="71" t="s">
        <v>218</v>
      </c>
      <c r="J501" t="s">
        <v>752</v>
      </c>
    </row>
    <row r="502" spans="1:10" x14ac:dyDescent="0.3">
      <c r="A502" s="70">
        <v>45516</v>
      </c>
      <c r="B502" t="s">
        <v>30</v>
      </c>
      <c r="C502" s="71" t="s">
        <v>892</v>
      </c>
      <c r="D502" s="75">
        <v>418.14</v>
      </c>
      <c r="E502" s="75">
        <v>0</v>
      </c>
      <c r="F502" s="75">
        <v>232635.42</v>
      </c>
      <c r="G502" s="75"/>
      <c r="H502" s="71" t="s">
        <v>217</v>
      </c>
      <c r="J502" t="s">
        <v>752</v>
      </c>
    </row>
    <row r="503" spans="1:10" x14ac:dyDescent="0.3">
      <c r="A503" s="70">
        <v>45516</v>
      </c>
      <c r="B503" t="s">
        <v>893</v>
      </c>
      <c r="C503" s="71" t="s">
        <v>46</v>
      </c>
      <c r="D503" s="75">
        <v>177</v>
      </c>
      <c r="E503" s="75">
        <v>0</v>
      </c>
      <c r="F503" s="75">
        <v>232458.42</v>
      </c>
      <c r="G503" s="75"/>
      <c r="H503" s="71" t="s">
        <v>220</v>
      </c>
      <c r="J503" t="s">
        <v>752</v>
      </c>
    </row>
    <row r="504" spans="1:10" x14ac:dyDescent="0.3">
      <c r="A504" s="70">
        <v>45516</v>
      </c>
      <c r="B504" t="s">
        <v>1636</v>
      </c>
      <c r="C504" s="71" t="s">
        <v>1637</v>
      </c>
      <c r="D504" s="75">
        <v>147</v>
      </c>
      <c r="E504" s="75">
        <v>0</v>
      </c>
      <c r="F504" s="75">
        <v>44064.639999999999</v>
      </c>
      <c r="G504" s="75"/>
      <c r="H504" s="71" t="s">
        <v>511</v>
      </c>
      <c r="J504" t="s">
        <v>756</v>
      </c>
    </row>
    <row r="505" spans="1:10" x14ac:dyDescent="0.3">
      <c r="A505" s="70">
        <v>45516</v>
      </c>
      <c r="B505" t="s">
        <v>458</v>
      </c>
      <c r="C505" s="71" t="s">
        <v>1638</v>
      </c>
      <c r="D505" s="75">
        <v>5000</v>
      </c>
      <c r="E505" s="75">
        <v>0</v>
      </c>
      <c r="F505" s="75">
        <v>39064.639999999999</v>
      </c>
      <c r="G505" s="75"/>
      <c r="H505" s="71" t="s">
        <v>219</v>
      </c>
      <c r="J505" t="s">
        <v>756</v>
      </c>
    </row>
    <row r="506" spans="1:10" x14ac:dyDescent="0.3">
      <c r="A506" s="70">
        <v>45516</v>
      </c>
      <c r="B506" t="s">
        <v>1639</v>
      </c>
      <c r="C506" s="71" t="s">
        <v>1640</v>
      </c>
      <c r="D506" s="75">
        <v>80</v>
      </c>
      <c r="E506" s="75">
        <v>0</v>
      </c>
      <c r="F506" s="75">
        <v>38984.639999999999</v>
      </c>
      <c r="G506" s="75"/>
      <c r="H506" s="71" t="s">
        <v>511</v>
      </c>
      <c r="J506" t="s">
        <v>756</v>
      </c>
    </row>
    <row r="507" spans="1:10" x14ac:dyDescent="0.3">
      <c r="A507" s="70">
        <v>45517</v>
      </c>
      <c r="B507" t="s">
        <v>30</v>
      </c>
      <c r="C507" s="71" t="s">
        <v>894</v>
      </c>
      <c r="D507" s="75">
        <v>139.38</v>
      </c>
      <c r="E507" s="75">
        <v>0</v>
      </c>
      <c r="F507" s="75">
        <v>232319.04</v>
      </c>
      <c r="G507" s="75"/>
      <c r="H507" s="71" t="s">
        <v>217</v>
      </c>
      <c r="J507" t="s">
        <v>752</v>
      </c>
    </row>
    <row r="508" spans="1:10" x14ac:dyDescent="0.3">
      <c r="A508" s="70">
        <v>45517</v>
      </c>
      <c r="B508" t="s">
        <v>1641</v>
      </c>
      <c r="C508" s="71" t="s">
        <v>1642</v>
      </c>
      <c r="D508" s="75">
        <v>85</v>
      </c>
      <c r="E508" s="75">
        <v>0</v>
      </c>
      <c r="F508" s="75">
        <v>38899.64</v>
      </c>
      <c r="G508" s="75"/>
      <c r="H508" s="71" t="s">
        <v>511</v>
      </c>
      <c r="J508" t="s">
        <v>756</v>
      </c>
    </row>
    <row r="509" spans="1:10" x14ac:dyDescent="0.3">
      <c r="A509" s="70">
        <v>45517</v>
      </c>
      <c r="B509" t="s">
        <v>1643</v>
      </c>
      <c r="C509" s="71" t="s">
        <v>1644</v>
      </c>
      <c r="D509" s="75">
        <v>30</v>
      </c>
      <c r="E509" s="75">
        <v>0</v>
      </c>
      <c r="F509" s="75">
        <v>38869.64</v>
      </c>
      <c r="G509" s="75"/>
      <c r="H509" s="71" t="s">
        <v>511</v>
      </c>
      <c r="J509" t="s">
        <v>756</v>
      </c>
    </row>
    <row r="510" spans="1:10" x14ac:dyDescent="0.3">
      <c r="A510" s="70">
        <v>45518</v>
      </c>
      <c r="B510" t="s">
        <v>30</v>
      </c>
      <c r="C510" s="71" t="s">
        <v>895</v>
      </c>
      <c r="D510" s="75">
        <v>139.38</v>
      </c>
      <c r="E510" s="75">
        <v>0</v>
      </c>
      <c r="F510" s="75">
        <v>232179.66</v>
      </c>
      <c r="G510" s="75"/>
      <c r="H510" s="71" t="s">
        <v>217</v>
      </c>
      <c r="J510" t="s">
        <v>752</v>
      </c>
    </row>
    <row r="511" spans="1:10" x14ac:dyDescent="0.3">
      <c r="A511" s="70">
        <v>45518</v>
      </c>
      <c r="B511" t="s">
        <v>1645</v>
      </c>
      <c r="C511" s="71" t="s">
        <v>1646</v>
      </c>
      <c r="D511" s="75">
        <v>85</v>
      </c>
      <c r="E511" s="75">
        <v>0</v>
      </c>
      <c r="F511" s="75">
        <v>38784.639999999999</v>
      </c>
      <c r="G511" s="75"/>
      <c r="H511" s="71" t="s">
        <v>511</v>
      </c>
      <c r="J511" t="s">
        <v>756</v>
      </c>
    </row>
    <row r="512" spans="1:10" x14ac:dyDescent="0.3">
      <c r="A512" s="70">
        <v>45518</v>
      </c>
      <c r="B512" t="s">
        <v>1647</v>
      </c>
      <c r="C512" s="71" t="s">
        <v>1648</v>
      </c>
      <c r="D512" s="75">
        <v>50</v>
      </c>
      <c r="E512" s="75">
        <v>0</v>
      </c>
      <c r="F512" s="75">
        <v>38734.639999999999</v>
      </c>
      <c r="G512" s="75"/>
      <c r="H512" s="71" t="s">
        <v>511</v>
      </c>
      <c r="J512" t="s">
        <v>756</v>
      </c>
    </row>
    <row r="513" spans="1:10" x14ac:dyDescent="0.3">
      <c r="A513" s="70">
        <v>45518</v>
      </c>
      <c r="B513" t="s">
        <v>1649</v>
      </c>
      <c r="C513" s="71" t="s">
        <v>1650</v>
      </c>
      <c r="D513" s="75">
        <v>323</v>
      </c>
      <c r="E513" s="75">
        <v>0</v>
      </c>
      <c r="F513" s="75">
        <v>38411.64</v>
      </c>
      <c r="G513" s="75"/>
      <c r="H513" s="71" t="s">
        <v>511</v>
      </c>
      <c r="J513" t="s">
        <v>756</v>
      </c>
    </row>
    <row r="514" spans="1:10" x14ac:dyDescent="0.3">
      <c r="A514" s="70">
        <v>45520</v>
      </c>
      <c r="B514" t="s">
        <v>30</v>
      </c>
      <c r="C514" s="71" t="s">
        <v>896</v>
      </c>
      <c r="D514" s="75">
        <v>278.76</v>
      </c>
      <c r="E514" s="75">
        <v>0</v>
      </c>
      <c r="F514" s="75">
        <v>231900.9</v>
      </c>
      <c r="G514" s="75"/>
      <c r="H514" s="71" t="s">
        <v>217</v>
      </c>
      <c r="J514" t="s">
        <v>752</v>
      </c>
    </row>
    <row r="515" spans="1:10" x14ac:dyDescent="0.3">
      <c r="A515" s="70">
        <v>45521</v>
      </c>
      <c r="B515" t="s">
        <v>897</v>
      </c>
      <c r="C515" s="71" t="s">
        <v>898</v>
      </c>
      <c r="D515" s="75">
        <v>295</v>
      </c>
      <c r="E515" s="75">
        <v>0</v>
      </c>
      <c r="F515" s="75">
        <v>231605.9</v>
      </c>
      <c r="G515" s="75"/>
      <c r="H515" s="71" t="s">
        <v>221</v>
      </c>
      <c r="J515" t="s">
        <v>752</v>
      </c>
    </row>
    <row r="516" spans="1:10" x14ac:dyDescent="0.3">
      <c r="A516" s="70">
        <v>45521</v>
      </c>
      <c r="B516" t="s">
        <v>1651</v>
      </c>
      <c r="C516" s="71" t="s">
        <v>1652</v>
      </c>
      <c r="D516" s="75">
        <v>250</v>
      </c>
      <c r="E516" s="75">
        <v>0</v>
      </c>
      <c r="F516" s="75">
        <v>38161.64</v>
      </c>
      <c r="G516" s="75"/>
      <c r="H516" s="71" t="s">
        <v>511</v>
      </c>
      <c r="J516" t="s">
        <v>756</v>
      </c>
    </row>
    <row r="517" spans="1:10" x14ac:dyDescent="0.3">
      <c r="A517" s="70">
        <v>45522</v>
      </c>
      <c r="B517" t="s">
        <v>899</v>
      </c>
      <c r="C517" s="71" t="s">
        <v>900</v>
      </c>
      <c r="D517" s="75">
        <v>100000</v>
      </c>
      <c r="E517" s="75">
        <v>0</v>
      </c>
      <c r="F517" s="75">
        <v>131605.9</v>
      </c>
      <c r="G517" s="75"/>
      <c r="H517" s="71" t="s">
        <v>2518</v>
      </c>
      <c r="J517" t="s">
        <v>752</v>
      </c>
    </row>
    <row r="518" spans="1:10" x14ac:dyDescent="0.3">
      <c r="A518" s="70">
        <v>45522</v>
      </c>
      <c r="B518" t="s">
        <v>1653</v>
      </c>
      <c r="C518" s="71" t="s">
        <v>1654</v>
      </c>
      <c r="D518" s="75">
        <v>20</v>
      </c>
      <c r="E518" s="75">
        <v>0</v>
      </c>
      <c r="F518" s="75">
        <v>38141.64</v>
      </c>
      <c r="G518" s="75"/>
      <c r="H518" s="71" t="s">
        <v>511</v>
      </c>
      <c r="J518" t="s">
        <v>756</v>
      </c>
    </row>
    <row r="519" spans="1:10" x14ac:dyDescent="0.3">
      <c r="A519" s="70">
        <v>45523</v>
      </c>
      <c r="B519" t="s">
        <v>30</v>
      </c>
      <c r="C519" s="71" t="s">
        <v>901</v>
      </c>
      <c r="D519" s="75">
        <v>425.16</v>
      </c>
      <c r="E519" s="75">
        <v>0</v>
      </c>
      <c r="F519" s="75">
        <v>131180.74</v>
      </c>
      <c r="G519" s="75"/>
      <c r="H519" s="71" t="s">
        <v>217</v>
      </c>
      <c r="J519" t="s">
        <v>752</v>
      </c>
    </row>
    <row r="520" spans="1:10" x14ac:dyDescent="0.3">
      <c r="A520" s="70">
        <v>45523</v>
      </c>
      <c r="B520" t="s">
        <v>1655</v>
      </c>
      <c r="C520" s="71" t="s">
        <v>1656</v>
      </c>
      <c r="D520" s="75">
        <v>90</v>
      </c>
      <c r="E520" s="75">
        <v>0</v>
      </c>
      <c r="F520" s="75">
        <v>38051.64</v>
      </c>
      <c r="G520" s="75"/>
      <c r="H520" s="71" t="s">
        <v>511</v>
      </c>
      <c r="J520" t="s">
        <v>756</v>
      </c>
    </row>
    <row r="521" spans="1:10" x14ac:dyDescent="0.3">
      <c r="A521" s="70">
        <v>45524</v>
      </c>
      <c r="B521" t="s">
        <v>34</v>
      </c>
      <c r="C521" s="71" t="s">
        <v>902</v>
      </c>
      <c r="D521" s="75">
        <v>0</v>
      </c>
      <c r="E521" s="75">
        <v>35671.14</v>
      </c>
      <c r="F521" s="75">
        <v>166851.88</v>
      </c>
      <c r="G521" s="75"/>
      <c r="H521" s="71" t="s">
        <v>217</v>
      </c>
      <c r="J521" t="s">
        <v>752</v>
      </c>
    </row>
    <row r="522" spans="1:10" x14ac:dyDescent="0.3">
      <c r="A522" s="70">
        <v>45524</v>
      </c>
      <c r="B522" t="s">
        <v>30</v>
      </c>
      <c r="C522" s="71" t="s">
        <v>903</v>
      </c>
      <c r="D522" s="75">
        <v>141.72</v>
      </c>
      <c r="E522" s="75">
        <v>0</v>
      </c>
      <c r="F522" s="75">
        <v>166710.16</v>
      </c>
      <c r="G522" s="75"/>
      <c r="H522" s="71" t="s">
        <v>217</v>
      </c>
      <c r="J522" t="s">
        <v>752</v>
      </c>
    </row>
    <row r="523" spans="1:10" x14ac:dyDescent="0.3">
      <c r="A523" s="70">
        <v>45524</v>
      </c>
      <c r="B523" t="s">
        <v>1657</v>
      </c>
      <c r="C523" s="71" t="s">
        <v>1658</v>
      </c>
      <c r="D523" s="75">
        <v>50</v>
      </c>
      <c r="E523" s="75">
        <v>0</v>
      </c>
      <c r="F523" s="75">
        <v>38001.64</v>
      </c>
      <c r="G523" s="75"/>
      <c r="H523" s="71" t="s">
        <v>511</v>
      </c>
      <c r="J523" t="s">
        <v>756</v>
      </c>
    </row>
    <row r="524" spans="1:10" x14ac:dyDescent="0.3">
      <c r="A524" s="70">
        <v>45524</v>
      </c>
      <c r="B524" t="s">
        <v>1659</v>
      </c>
      <c r="C524" s="71" t="s">
        <v>1660</v>
      </c>
      <c r="D524" s="75">
        <v>70</v>
      </c>
      <c r="E524" s="75">
        <v>0</v>
      </c>
      <c r="F524" s="75">
        <v>37931.64</v>
      </c>
      <c r="G524" s="75"/>
      <c r="H524" s="71" t="s">
        <v>511</v>
      </c>
      <c r="J524" t="s">
        <v>756</v>
      </c>
    </row>
    <row r="525" spans="1:10" x14ac:dyDescent="0.3">
      <c r="A525" s="70">
        <v>45525</v>
      </c>
      <c r="B525" t="s">
        <v>30</v>
      </c>
      <c r="C525" s="71" t="s">
        <v>904</v>
      </c>
      <c r="D525" s="75">
        <v>141.72</v>
      </c>
      <c r="E525" s="75">
        <v>0</v>
      </c>
      <c r="F525" s="75">
        <v>166568.44</v>
      </c>
      <c r="G525" s="75"/>
      <c r="H525" s="71" t="s">
        <v>217</v>
      </c>
      <c r="J525" t="s">
        <v>752</v>
      </c>
    </row>
    <row r="526" spans="1:10" x14ac:dyDescent="0.3">
      <c r="A526" s="70">
        <v>45525</v>
      </c>
      <c r="B526" t="s">
        <v>1427</v>
      </c>
      <c r="C526" s="71" t="s">
        <v>252</v>
      </c>
      <c r="D526" s="75">
        <v>0</v>
      </c>
      <c r="E526" s="75">
        <v>110</v>
      </c>
      <c r="F526" s="75">
        <v>45639.5</v>
      </c>
      <c r="G526" s="75"/>
      <c r="H526" s="71" t="s">
        <v>218</v>
      </c>
      <c r="J526" t="s">
        <v>753</v>
      </c>
    </row>
    <row r="527" spans="1:10" x14ac:dyDescent="0.3">
      <c r="A527" s="70">
        <v>45525</v>
      </c>
      <c r="B527" t="s">
        <v>1661</v>
      </c>
      <c r="C527" s="71" t="s">
        <v>1662</v>
      </c>
      <c r="D527" s="75">
        <v>20</v>
      </c>
      <c r="E527" s="75">
        <v>0</v>
      </c>
      <c r="F527" s="75">
        <v>37911.64</v>
      </c>
      <c r="G527" s="75"/>
      <c r="H527" s="71" t="s">
        <v>511</v>
      </c>
      <c r="J527" t="s">
        <v>756</v>
      </c>
    </row>
    <row r="528" spans="1:10" x14ac:dyDescent="0.3">
      <c r="A528" s="70">
        <v>45526</v>
      </c>
      <c r="B528" t="s">
        <v>30</v>
      </c>
      <c r="C528" s="71" t="s">
        <v>905</v>
      </c>
      <c r="D528" s="75">
        <v>141.72</v>
      </c>
      <c r="E528" s="75">
        <v>0</v>
      </c>
      <c r="F528" s="75">
        <v>166426.72</v>
      </c>
      <c r="G528" s="75"/>
      <c r="H528" s="71" t="s">
        <v>217</v>
      </c>
      <c r="J528" t="s">
        <v>752</v>
      </c>
    </row>
    <row r="529" spans="1:10" x14ac:dyDescent="0.3">
      <c r="A529" s="70">
        <v>45526</v>
      </c>
      <c r="B529" t="s">
        <v>1663</v>
      </c>
      <c r="C529" s="71" t="s">
        <v>1664</v>
      </c>
      <c r="D529" s="75">
        <v>85</v>
      </c>
      <c r="E529" s="75">
        <v>0</v>
      </c>
      <c r="F529" s="75">
        <v>37826.639999999999</v>
      </c>
      <c r="G529" s="75"/>
      <c r="H529" s="71" t="s">
        <v>511</v>
      </c>
      <c r="J529" t="s">
        <v>756</v>
      </c>
    </row>
    <row r="530" spans="1:10" x14ac:dyDescent="0.3">
      <c r="A530" s="70">
        <v>45526</v>
      </c>
      <c r="B530" t="s">
        <v>1665</v>
      </c>
      <c r="C530" s="71" t="s">
        <v>1666</v>
      </c>
      <c r="D530" s="75">
        <v>849.05</v>
      </c>
      <c r="E530" s="75">
        <v>0</v>
      </c>
      <c r="F530" s="75">
        <v>36977.589999999997</v>
      </c>
      <c r="G530" s="75"/>
      <c r="H530" s="71" t="s">
        <v>511</v>
      </c>
      <c r="J530" t="s">
        <v>756</v>
      </c>
    </row>
    <row r="531" spans="1:10" x14ac:dyDescent="0.3">
      <c r="A531" s="70">
        <v>45527</v>
      </c>
      <c r="B531" t="s">
        <v>30</v>
      </c>
      <c r="C531" s="71" t="s">
        <v>906</v>
      </c>
      <c r="D531" s="75">
        <v>141.72</v>
      </c>
      <c r="E531" s="75">
        <v>0</v>
      </c>
      <c r="F531" s="75">
        <v>166285</v>
      </c>
      <c r="G531" s="75"/>
      <c r="H531" s="71" t="s">
        <v>217</v>
      </c>
      <c r="J531" t="s">
        <v>752</v>
      </c>
    </row>
    <row r="532" spans="1:10" x14ac:dyDescent="0.3">
      <c r="A532" s="70">
        <v>45527</v>
      </c>
      <c r="B532" t="s">
        <v>1428</v>
      </c>
      <c r="C532" s="71" t="s">
        <v>252</v>
      </c>
      <c r="D532" s="75">
        <v>0</v>
      </c>
      <c r="E532" s="75">
        <v>231</v>
      </c>
      <c r="F532" s="75">
        <v>45870.5</v>
      </c>
      <c r="G532" s="75"/>
      <c r="H532" s="71" t="s">
        <v>218</v>
      </c>
      <c r="J532" t="s">
        <v>753</v>
      </c>
    </row>
    <row r="533" spans="1:10" x14ac:dyDescent="0.3">
      <c r="A533" s="70">
        <v>45527</v>
      </c>
      <c r="B533" t="s">
        <v>1667</v>
      </c>
      <c r="C533" s="71" t="s">
        <v>1668</v>
      </c>
      <c r="D533" s="75">
        <v>15</v>
      </c>
      <c r="E533" s="75">
        <v>0</v>
      </c>
      <c r="F533" s="75">
        <v>36962.589999999997</v>
      </c>
      <c r="G533" s="75"/>
      <c r="H533" s="71" t="s">
        <v>511</v>
      </c>
      <c r="J533" t="s">
        <v>756</v>
      </c>
    </row>
    <row r="534" spans="1:10" x14ac:dyDescent="0.3">
      <c r="A534" s="70">
        <v>45529</v>
      </c>
      <c r="B534" t="s">
        <v>1429</v>
      </c>
      <c r="C534" s="71" t="s">
        <v>545</v>
      </c>
      <c r="D534" s="75">
        <v>793</v>
      </c>
      <c r="E534" s="75">
        <v>0</v>
      </c>
      <c r="F534" s="75">
        <v>45077.5</v>
      </c>
      <c r="G534" s="75"/>
      <c r="H534" s="71" t="s">
        <v>511</v>
      </c>
      <c r="J534" t="s">
        <v>753</v>
      </c>
    </row>
    <row r="535" spans="1:10" x14ac:dyDescent="0.3">
      <c r="A535" s="70">
        <v>45529</v>
      </c>
      <c r="B535" t="s">
        <v>1669</v>
      </c>
      <c r="C535" s="71" t="s">
        <v>1670</v>
      </c>
      <c r="D535" s="75">
        <v>20</v>
      </c>
      <c r="E535" s="75">
        <v>0</v>
      </c>
      <c r="F535" s="75">
        <v>36942.589999999997</v>
      </c>
      <c r="G535" s="75"/>
      <c r="H535" s="71" t="s">
        <v>511</v>
      </c>
      <c r="J535" t="s">
        <v>756</v>
      </c>
    </row>
    <row r="536" spans="1:10" x14ac:dyDescent="0.3">
      <c r="A536" s="70">
        <v>45529</v>
      </c>
      <c r="B536" t="s">
        <v>1671</v>
      </c>
      <c r="C536" s="71" t="s">
        <v>1672</v>
      </c>
      <c r="D536" s="75">
        <v>2200</v>
      </c>
      <c r="E536" s="75">
        <v>0</v>
      </c>
      <c r="F536" s="75">
        <v>34742.589999999997</v>
      </c>
      <c r="G536" s="75"/>
      <c r="H536" s="71" t="s">
        <v>511</v>
      </c>
      <c r="J536" t="s">
        <v>756</v>
      </c>
    </row>
    <row r="537" spans="1:10" x14ac:dyDescent="0.3">
      <c r="A537" s="70">
        <v>45529</v>
      </c>
      <c r="B537" t="s">
        <v>1673</v>
      </c>
      <c r="C537" s="71" t="s">
        <v>1674</v>
      </c>
      <c r="D537" s="75">
        <v>400</v>
      </c>
      <c r="E537" s="75">
        <v>0</v>
      </c>
      <c r="F537" s="75">
        <v>34342.589999999997</v>
      </c>
      <c r="G537" s="75"/>
      <c r="H537" s="71" t="s">
        <v>511</v>
      </c>
      <c r="J537" t="s">
        <v>756</v>
      </c>
    </row>
    <row r="538" spans="1:10" x14ac:dyDescent="0.3">
      <c r="A538" s="70">
        <v>45530</v>
      </c>
      <c r="B538" t="s">
        <v>30</v>
      </c>
      <c r="C538" s="71" t="s">
        <v>907</v>
      </c>
      <c r="D538" s="75">
        <v>425.16</v>
      </c>
      <c r="E538" s="75">
        <v>0</v>
      </c>
      <c r="F538" s="75">
        <v>165859.84</v>
      </c>
      <c r="G538" s="75"/>
      <c r="H538" s="71" t="s">
        <v>217</v>
      </c>
      <c r="J538" t="s">
        <v>752</v>
      </c>
    </row>
    <row r="539" spans="1:10" x14ac:dyDescent="0.3">
      <c r="A539" s="70">
        <v>45531</v>
      </c>
      <c r="B539" t="s">
        <v>908</v>
      </c>
      <c r="C539" s="71" t="s">
        <v>909</v>
      </c>
      <c r="D539" s="75">
        <v>0</v>
      </c>
      <c r="E539" s="75">
        <v>65</v>
      </c>
      <c r="F539" s="75">
        <v>165924.84</v>
      </c>
      <c r="G539" s="75"/>
      <c r="H539" s="71" t="s">
        <v>218</v>
      </c>
      <c r="J539" t="s">
        <v>752</v>
      </c>
    </row>
    <row r="540" spans="1:10" x14ac:dyDescent="0.3">
      <c r="A540" s="70">
        <v>45531</v>
      </c>
      <c r="B540" t="s">
        <v>30</v>
      </c>
      <c r="C540" s="71" t="s">
        <v>910</v>
      </c>
      <c r="D540" s="75">
        <v>141.72</v>
      </c>
      <c r="E540" s="75">
        <v>0</v>
      </c>
      <c r="F540" s="75">
        <v>165783.12</v>
      </c>
      <c r="G540" s="75"/>
      <c r="H540" s="71" t="s">
        <v>217</v>
      </c>
      <c r="J540" t="s">
        <v>752</v>
      </c>
    </row>
    <row r="541" spans="1:10" x14ac:dyDescent="0.3">
      <c r="A541" s="70">
        <v>45531</v>
      </c>
      <c r="B541" t="s">
        <v>1430</v>
      </c>
      <c r="C541" s="71" t="s">
        <v>558</v>
      </c>
      <c r="D541" s="75">
        <v>0</v>
      </c>
      <c r="E541" s="75">
        <v>220</v>
      </c>
      <c r="F541" s="75">
        <v>45297.5</v>
      </c>
      <c r="G541" s="75"/>
      <c r="H541" s="71" t="s">
        <v>511</v>
      </c>
      <c r="J541" t="s">
        <v>753</v>
      </c>
    </row>
    <row r="542" spans="1:10" x14ac:dyDescent="0.3">
      <c r="A542" s="70">
        <v>45531</v>
      </c>
      <c r="B542" t="s">
        <v>1675</v>
      </c>
      <c r="C542" s="71" t="s">
        <v>1676</v>
      </c>
      <c r="D542" s="75">
        <v>424</v>
      </c>
      <c r="E542" s="75">
        <v>0</v>
      </c>
      <c r="F542" s="75">
        <v>33918.589999999997</v>
      </c>
      <c r="G542" s="75"/>
      <c r="H542" s="71" t="s">
        <v>511</v>
      </c>
      <c r="J542" t="s">
        <v>756</v>
      </c>
    </row>
    <row r="543" spans="1:10" x14ac:dyDescent="0.3">
      <c r="A543" s="70">
        <v>45532</v>
      </c>
      <c r="B543" t="s">
        <v>34</v>
      </c>
      <c r="C543" s="71" t="s">
        <v>911</v>
      </c>
      <c r="D543" s="75">
        <v>0</v>
      </c>
      <c r="E543" s="75">
        <v>9920.6</v>
      </c>
      <c r="F543" s="75">
        <v>175703.72</v>
      </c>
      <c r="G543" s="75"/>
      <c r="H543" s="71" t="s">
        <v>217</v>
      </c>
      <c r="J543" t="s">
        <v>752</v>
      </c>
    </row>
    <row r="544" spans="1:10" x14ac:dyDescent="0.3">
      <c r="A544" s="70">
        <v>45532</v>
      </c>
      <c r="B544" t="s">
        <v>912</v>
      </c>
      <c r="C544" s="71" t="s">
        <v>913</v>
      </c>
      <c r="D544" s="75">
        <v>5000</v>
      </c>
      <c r="E544" s="75">
        <v>0</v>
      </c>
      <c r="F544" s="75">
        <v>170703.72</v>
      </c>
      <c r="G544" s="75"/>
      <c r="H544" s="71" t="s">
        <v>219</v>
      </c>
      <c r="J544" t="s">
        <v>752</v>
      </c>
    </row>
    <row r="545" spans="1:10" x14ac:dyDescent="0.3">
      <c r="A545" s="70">
        <v>45532</v>
      </c>
      <c r="B545" t="s">
        <v>30</v>
      </c>
      <c r="C545" s="71" t="s">
        <v>914</v>
      </c>
      <c r="D545" s="75">
        <v>141.72</v>
      </c>
      <c r="E545" s="75">
        <v>0</v>
      </c>
      <c r="F545" s="75">
        <v>170562</v>
      </c>
      <c r="G545" s="75"/>
      <c r="H545" s="71" t="s">
        <v>217</v>
      </c>
      <c r="J545" t="s">
        <v>752</v>
      </c>
    </row>
    <row r="546" spans="1:10" x14ac:dyDescent="0.3">
      <c r="A546" s="70">
        <v>45533</v>
      </c>
      <c r="B546" t="s">
        <v>915</v>
      </c>
      <c r="C546" s="71" t="s">
        <v>916</v>
      </c>
      <c r="D546" s="75">
        <v>0</v>
      </c>
      <c r="E546" s="75">
        <v>230</v>
      </c>
      <c r="F546" s="75">
        <v>170792</v>
      </c>
      <c r="G546" s="75"/>
      <c r="H546" s="71" t="s">
        <v>218</v>
      </c>
      <c r="J546" t="s">
        <v>752</v>
      </c>
    </row>
    <row r="547" spans="1:10" x14ac:dyDescent="0.3">
      <c r="A547" s="70">
        <v>45533</v>
      </c>
      <c r="B547" t="s">
        <v>30</v>
      </c>
      <c r="C547" s="71" t="s">
        <v>917</v>
      </c>
      <c r="D547" s="75">
        <v>128.80000000000001</v>
      </c>
      <c r="E547" s="75">
        <v>0</v>
      </c>
      <c r="F547" s="75">
        <v>170663.2</v>
      </c>
      <c r="G547" s="75"/>
      <c r="H547" s="71" t="s">
        <v>217</v>
      </c>
      <c r="J547" t="s">
        <v>752</v>
      </c>
    </row>
    <row r="548" spans="1:10" x14ac:dyDescent="0.3">
      <c r="A548" s="70">
        <v>45533</v>
      </c>
      <c r="B548" t="s">
        <v>918</v>
      </c>
      <c r="C548" s="71" t="s">
        <v>919</v>
      </c>
      <c r="D548" s="75">
        <v>0</v>
      </c>
      <c r="E548" s="75">
        <v>20</v>
      </c>
      <c r="F548" s="75">
        <v>170683.2</v>
      </c>
      <c r="G548" s="75"/>
      <c r="H548" s="71" t="s">
        <v>218</v>
      </c>
      <c r="J548" t="s">
        <v>752</v>
      </c>
    </row>
    <row r="549" spans="1:10" x14ac:dyDescent="0.3">
      <c r="A549" s="70">
        <v>45533</v>
      </c>
      <c r="B549" t="s">
        <v>1431</v>
      </c>
      <c r="C549" s="71" t="s">
        <v>252</v>
      </c>
      <c r="D549" s="75">
        <v>0</v>
      </c>
      <c r="E549" s="75">
        <v>30</v>
      </c>
      <c r="F549" s="75">
        <v>45327.5</v>
      </c>
      <c r="G549" s="75"/>
      <c r="H549" s="71" t="s">
        <v>218</v>
      </c>
      <c r="J549" t="s">
        <v>753</v>
      </c>
    </row>
    <row r="550" spans="1:10" x14ac:dyDescent="0.3">
      <c r="A550" s="70">
        <v>45533</v>
      </c>
      <c r="B550" t="s">
        <v>1677</v>
      </c>
      <c r="C550" s="71" t="s">
        <v>1678</v>
      </c>
      <c r="D550" s="75">
        <v>85</v>
      </c>
      <c r="E550" s="75">
        <v>0</v>
      </c>
      <c r="F550" s="75">
        <v>33833.589999999997</v>
      </c>
      <c r="G550" s="75"/>
      <c r="H550" s="71" t="s">
        <v>511</v>
      </c>
      <c r="J550" t="s">
        <v>756</v>
      </c>
    </row>
    <row r="551" spans="1:10" x14ac:dyDescent="0.3">
      <c r="A551" s="70">
        <v>45533</v>
      </c>
      <c r="B551" t="s">
        <v>1679</v>
      </c>
      <c r="C551" s="71" t="s">
        <v>1680</v>
      </c>
      <c r="D551" s="75">
        <v>0</v>
      </c>
      <c r="E551" s="75">
        <v>130</v>
      </c>
      <c r="F551" s="75">
        <v>33963.589999999997</v>
      </c>
      <c r="G551" s="75"/>
      <c r="H551" s="71" t="s">
        <v>511</v>
      </c>
      <c r="J551" t="s">
        <v>756</v>
      </c>
    </row>
    <row r="552" spans="1:10" x14ac:dyDescent="0.3">
      <c r="A552" s="70">
        <v>45534</v>
      </c>
      <c r="B552" t="s">
        <v>920</v>
      </c>
      <c r="C552" s="71" t="s">
        <v>921</v>
      </c>
      <c r="D552" s="75">
        <v>5000</v>
      </c>
      <c r="E552" s="75">
        <v>0</v>
      </c>
      <c r="F552" s="75">
        <v>165683.20000000001</v>
      </c>
      <c r="G552" s="75"/>
      <c r="H552" s="71" t="s">
        <v>219</v>
      </c>
      <c r="J552" t="s">
        <v>752</v>
      </c>
    </row>
    <row r="553" spans="1:10" x14ac:dyDescent="0.3">
      <c r="A553" s="70">
        <v>45534</v>
      </c>
      <c r="B553" t="s">
        <v>30</v>
      </c>
      <c r="C553" s="71" t="s">
        <v>922</v>
      </c>
      <c r="D553" s="75">
        <v>128.80000000000001</v>
      </c>
      <c r="E553" s="75">
        <v>0</v>
      </c>
      <c r="F553" s="75">
        <v>165554.4</v>
      </c>
      <c r="G553" s="75"/>
      <c r="H553" s="71" t="s">
        <v>217</v>
      </c>
      <c r="J553" t="s">
        <v>752</v>
      </c>
    </row>
    <row r="554" spans="1:10" x14ac:dyDescent="0.3">
      <c r="A554" s="70">
        <v>45534</v>
      </c>
      <c r="B554" t="s">
        <v>923</v>
      </c>
      <c r="C554" s="71" t="s">
        <v>924</v>
      </c>
      <c r="D554" s="75">
        <v>0</v>
      </c>
      <c r="E554" s="75">
        <v>26.25</v>
      </c>
      <c r="F554" s="75">
        <v>165580.65</v>
      </c>
      <c r="G554" s="75"/>
      <c r="H554" s="71" t="s">
        <v>218</v>
      </c>
      <c r="J554" t="s">
        <v>752</v>
      </c>
    </row>
    <row r="555" spans="1:10" x14ac:dyDescent="0.3">
      <c r="A555" s="70">
        <v>45534</v>
      </c>
      <c r="B555" t="s">
        <v>1681</v>
      </c>
      <c r="C555" s="71" t="s">
        <v>1682</v>
      </c>
      <c r="D555" s="75">
        <v>429</v>
      </c>
      <c r="E555" s="75">
        <v>0</v>
      </c>
      <c r="F555" s="75">
        <v>33534.589999999997</v>
      </c>
      <c r="G555" s="75"/>
      <c r="H555" s="71" t="s">
        <v>511</v>
      </c>
      <c r="J555" t="s">
        <v>756</v>
      </c>
    </row>
    <row r="556" spans="1:10" x14ac:dyDescent="0.3">
      <c r="A556" s="70">
        <v>45534</v>
      </c>
      <c r="B556" t="s">
        <v>358</v>
      </c>
      <c r="C556" s="71" t="s">
        <v>1683</v>
      </c>
      <c r="D556" s="75">
        <v>0</v>
      </c>
      <c r="E556" s="75">
        <v>68895</v>
      </c>
      <c r="F556" s="75">
        <v>102429.59</v>
      </c>
      <c r="G556" s="75"/>
      <c r="H556" s="71" t="s">
        <v>507</v>
      </c>
      <c r="J556" t="s">
        <v>756</v>
      </c>
    </row>
    <row r="557" spans="1:10" x14ac:dyDescent="0.3">
      <c r="A557" s="70">
        <v>45535</v>
      </c>
      <c r="B557" t="s">
        <v>1684</v>
      </c>
      <c r="C557" s="71" t="s">
        <v>1685</v>
      </c>
      <c r="D557" s="75">
        <v>151</v>
      </c>
      <c r="E557" s="75">
        <v>0</v>
      </c>
      <c r="F557" s="75">
        <v>102278.59</v>
      </c>
      <c r="G557" s="75"/>
      <c r="H557" s="71" t="s">
        <v>511</v>
      </c>
      <c r="J557" t="s">
        <v>756</v>
      </c>
    </row>
    <row r="558" spans="1:10" x14ac:dyDescent="0.3">
      <c r="A558" s="70">
        <v>45536</v>
      </c>
      <c r="B558" t="s">
        <v>2565</v>
      </c>
      <c r="C558" s="71"/>
      <c r="D558" s="75">
        <v>0</v>
      </c>
      <c r="E558" s="75">
        <v>1</v>
      </c>
      <c r="F558" s="75">
        <v>230</v>
      </c>
      <c r="G558" s="75"/>
      <c r="H558" s="71" t="s">
        <v>227</v>
      </c>
      <c r="J558" t="s">
        <v>2573</v>
      </c>
    </row>
    <row r="559" spans="1:10" x14ac:dyDescent="0.3">
      <c r="A559" s="70">
        <v>45537</v>
      </c>
      <c r="B559" t="s">
        <v>925</v>
      </c>
      <c r="C559" s="71" t="s">
        <v>926</v>
      </c>
      <c r="D559" s="75">
        <v>0</v>
      </c>
      <c r="E559" s="75">
        <v>550</v>
      </c>
      <c r="F559" s="75">
        <v>166130.65</v>
      </c>
      <c r="G559" s="75"/>
      <c r="H559" s="71" t="s">
        <v>218</v>
      </c>
      <c r="J559" t="s">
        <v>752</v>
      </c>
    </row>
    <row r="560" spans="1:10" x14ac:dyDescent="0.3">
      <c r="A560" s="70">
        <v>45537</v>
      </c>
      <c r="B560" t="s">
        <v>30</v>
      </c>
      <c r="C560" s="71" t="s">
        <v>927</v>
      </c>
      <c r="D560" s="75">
        <v>386.4</v>
      </c>
      <c r="E560" s="75">
        <v>0</v>
      </c>
      <c r="F560" s="75">
        <v>165744.25</v>
      </c>
      <c r="G560" s="75"/>
      <c r="H560" s="71" t="s">
        <v>217</v>
      </c>
      <c r="J560" t="s">
        <v>752</v>
      </c>
    </row>
    <row r="561" spans="1:10" x14ac:dyDescent="0.3">
      <c r="A561" s="70">
        <v>45537</v>
      </c>
      <c r="B561" t="s">
        <v>1432</v>
      </c>
      <c r="C561" s="71" t="s">
        <v>252</v>
      </c>
      <c r="D561" s="75">
        <v>0</v>
      </c>
      <c r="E561" s="75">
        <v>15</v>
      </c>
      <c r="F561" s="75">
        <v>45342.5</v>
      </c>
      <c r="G561" s="75"/>
      <c r="H561" s="71" t="s">
        <v>218</v>
      </c>
      <c r="J561" t="s">
        <v>753</v>
      </c>
    </row>
    <row r="562" spans="1:10" x14ac:dyDescent="0.3">
      <c r="A562" s="70">
        <v>45537</v>
      </c>
      <c r="B562" t="s">
        <v>1686</v>
      </c>
      <c r="C562" s="71" t="s">
        <v>1687</v>
      </c>
      <c r="D562" s="75">
        <v>240</v>
      </c>
      <c r="E562" s="75">
        <v>0</v>
      </c>
      <c r="F562" s="75">
        <v>102038.59</v>
      </c>
      <c r="G562" s="75"/>
      <c r="H562" s="71" t="s">
        <v>511</v>
      </c>
      <c r="J562" t="s">
        <v>756</v>
      </c>
    </row>
    <row r="563" spans="1:10" x14ac:dyDescent="0.3">
      <c r="A563" s="70">
        <v>45537</v>
      </c>
      <c r="B563" t="s">
        <v>1688</v>
      </c>
      <c r="C563" s="71" t="s">
        <v>1689</v>
      </c>
      <c r="D563" s="75">
        <v>85</v>
      </c>
      <c r="E563" s="75">
        <v>0</v>
      </c>
      <c r="F563" s="75">
        <v>101953.59</v>
      </c>
      <c r="G563" s="75"/>
      <c r="H563" s="71" t="s">
        <v>511</v>
      </c>
      <c r="J563" t="s">
        <v>756</v>
      </c>
    </row>
    <row r="564" spans="1:10" x14ac:dyDescent="0.3">
      <c r="A564" s="70">
        <v>45537</v>
      </c>
      <c r="B564" t="s">
        <v>1690</v>
      </c>
      <c r="C564" s="71" t="s">
        <v>1691</v>
      </c>
      <c r="D564" s="75">
        <v>339</v>
      </c>
      <c r="E564" s="75">
        <v>0</v>
      </c>
      <c r="F564" s="75">
        <v>101614.59</v>
      </c>
      <c r="G564" s="75"/>
      <c r="H564" s="71" t="s">
        <v>511</v>
      </c>
      <c r="J564" t="s">
        <v>756</v>
      </c>
    </row>
    <row r="565" spans="1:10" x14ac:dyDescent="0.3">
      <c r="A565" s="70">
        <v>45537</v>
      </c>
      <c r="B565" t="s">
        <v>1694</v>
      </c>
      <c r="C565" s="71">
        <v>424700768541</v>
      </c>
      <c r="D565" s="75">
        <v>3000</v>
      </c>
      <c r="E565" s="75">
        <v>0</v>
      </c>
      <c r="F565" s="75">
        <v>81258.100000000006</v>
      </c>
      <c r="G565" s="75"/>
      <c r="H565" s="71" t="s">
        <v>589</v>
      </c>
      <c r="J565" t="s">
        <v>756</v>
      </c>
    </row>
    <row r="566" spans="1:10" x14ac:dyDescent="0.3">
      <c r="A566" s="70">
        <v>45538</v>
      </c>
      <c r="B566" t="s">
        <v>928</v>
      </c>
      <c r="C566" s="71" t="s">
        <v>929</v>
      </c>
      <c r="D566" s="75">
        <v>75000</v>
      </c>
      <c r="E566" s="75">
        <v>0</v>
      </c>
      <c r="F566" s="75">
        <v>90744.25</v>
      </c>
      <c r="G566" s="75"/>
      <c r="H566" s="71" t="s">
        <v>224</v>
      </c>
      <c r="J566" t="s">
        <v>752</v>
      </c>
    </row>
    <row r="567" spans="1:10" x14ac:dyDescent="0.3">
      <c r="A567" s="70">
        <v>45538</v>
      </c>
      <c r="B567" t="s">
        <v>30</v>
      </c>
      <c r="C567" s="71" t="s">
        <v>930</v>
      </c>
      <c r="D567" s="75">
        <v>128.80000000000001</v>
      </c>
      <c r="E567" s="75">
        <v>0</v>
      </c>
      <c r="F567" s="75">
        <v>90615.45</v>
      </c>
      <c r="G567" s="75"/>
      <c r="H567" s="71" t="s">
        <v>217</v>
      </c>
      <c r="J567" t="s">
        <v>752</v>
      </c>
    </row>
    <row r="568" spans="1:10" x14ac:dyDescent="0.3">
      <c r="A568" s="70">
        <v>45538</v>
      </c>
      <c r="B568" t="s">
        <v>1692</v>
      </c>
      <c r="C568" s="71" t="s">
        <v>1693</v>
      </c>
      <c r="D568" s="75">
        <v>17356.490000000002</v>
      </c>
      <c r="E568" s="75">
        <v>0</v>
      </c>
      <c r="F568" s="75">
        <v>84258.1</v>
      </c>
      <c r="G568" s="75"/>
      <c r="H568" s="71" t="s">
        <v>511</v>
      </c>
      <c r="J568" t="s">
        <v>756</v>
      </c>
    </row>
    <row r="569" spans="1:10" x14ac:dyDescent="0.3">
      <c r="A569" s="70">
        <v>45538</v>
      </c>
      <c r="B569" t="s">
        <v>1695</v>
      </c>
      <c r="C569" s="71" t="s">
        <v>1696</v>
      </c>
      <c r="D569" s="75">
        <v>90</v>
      </c>
      <c r="E569" s="75">
        <v>0</v>
      </c>
      <c r="F569" s="75">
        <v>81168.100000000006</v>
      </c>
      <c r="G569" s="75"/>
      <c r="H569" s="71" t="s">
        <v>511</v>
      </c>
      <c r="J569" t="s">
        <v>756</v>
      </c>
    </row>
    <row r="570" spans="1:10" x14ac:dyDescent="0.3">
      <c r="A570" s="70">
        <v>45538</v>
      </c>
      <c r="B570" t="s">
        <v>1697</v>
      </c>
      <c r="C570" s="71" t="s">
        <v>1698</v>
      </c>
      <c r="D570" s="75">
        <v>2250</v>
      </c>
      <c r="E570" s="75">
        <v>0</v>
      </c>
      <c r="F570" s="75">
        <v>78918.100000000006</v>
      </c>
      <c r="G570" s="75"/>
      <c r="H570" s="71" t="s">
        <v>511</v>
      </c>
      <c r="J570" t="s">
        <v>756</v>
      </c>
    </row>
    <row r="571" spans="1:10" x14ac:dyDescent="0.3">
      <c r="A571" s="70">
        <v>45539</v>
      </c>
      <c r="B571" t="s">
        <v>30</v>
      </c>
      <c r="C571" s="71" t="s">
        <v>931</v>
      </c>
      <c r="D571" s="75">
        <v>128.80000000000001</v>
      </c>
      <c r="E571" s="75">
        <v>0</v>
      </c>
      <c r="F571" s="75">
        <v>90486.65</v>
      </c>
      <c r="G571" s="75"/>
      <c r="H571" s="71" t="s">
        <v>217</v>
      </c>
      <c r="J571" t="s">
        <v>752</v>
      </c>
    </row>
    <row r="572" spans="1:10" x14ac:dyDescent="0.3">
      <c r="A572" s="70">
        <v>45539</v>
      </c>
      <c r="B572" t="s">
        <v>1699</v>
      </c>
      <c r="C572" s="71" t="s">
        <v>1700</v>
      </c>
      <c r="D572" s="75">
        <v>15</v>
      </c>
      <c r="E572" s="75">
        <v>0</v>
      </c>
      <c r="F572" s="75">
        <v>78903.100000000006</v>
      </c>
      <c r="G572" s="75"/>
      <c r="H572" s="71" t="s">
        <v>511</v>
      </c>
      <c r="J572" t="s">
        <v>756</v>
      </c>
    </row>
    <row r="573" spans="1:10" x14ac:dyDescent="0.3">
      <c r="A573" s="70">
        <v>45539</v>
      </c>
      <c r="B573" t="s">
        <v>1701</v>
      </c>
      <c r="C573" s="71" t="s">
        <v>1702</v>
      </c>
      <c r="D573" s="75">
        <v>170</v>
      </c>
      <c r="E573" s="75">
        <v>0</v>
      </c>
      <c r="F573" s="75">
        <v>78733.100000000006</v>
      </c>
      <c r="G573" s="75"/>
      <c r="H573" s="71" t="s">
        <v>511</v>
      </c>
      <c r="J573" t="s">
        <v>756</v>
      </c>
    </row>
    <row r="574" spans="1:10" x14ac:dyDescent="0.3">
      <c r="A574" s="70">
        <v>45540</v>
      </c>
      <c r="B574" t="s">
        <v>30</v>
      </c>
      <c r="C574" s="71" t="s">
        <v>932</v>
      </c>
      <c r="D574" s="75">
        <v>128.80000000000001</v>
      </c>
      <c r="E574" s="75">
        <v>0</v>
      </c>
      <c r="F574" s="75">
        <v>90357.85</v>
      </c>
      <c r="G574" s="75"/>
      <c r="H574" s="71" t="s">
        <v>217</v>
      </c>
      <c r="J574" t="s">
        <v>752</v>
      </c>
    </row>
    <row r="575" spans="1:10" x14ac:dyDescent="0.3">
      <c r="A575" s="70">
        <v>45540</v>
      </c>
      <c r="B575" t="s">
        <v>933</v>
      </c>
      <c r="C575" s="71" t="s">
        <v>934</v>
      </c>
      <c r="D575" s="75">
        <v>0</v>
      </c>
      <c r="E575" s="75">
        <v>58.5</v>
      </c>
      <c r="F575" s="75">
        <v>90416.35</v>
      </c>
      <c r="G575" s="75"/>
      <c r="H575" s="71" t="s">
        <v>218</v>
      </c>
      <c r="J575" t="s">
        <v>752</v>
      </c>
    </row>
    <row r="576" spans="1:10" x14ac:dyDescent="0.3">
      <c r="A576" s="70">
        <v>45540</v>
      </c>
      <c r="B576" t="s">
        <v>1433</v>
      </c>
      <c r="C576" s="71" t="s">
        <v>572</v>
      </c>
      <c r="D576" s="75">
        <v>0</v>
      </c>
      <c r="E576" s="75">
        <v>311</v>
      </c>
      <c r="F576" s="75">
        <v>45653.5</v>
      </c>
      <c r="G576" s="75"/>
      <c r="H576" s="71" t="s">
        <v>511</v>
      </c>
      <c r="J576" t="s">
        <v>753</v>
      </c>
    </row>
    <row r="577" spans="1:10" x14ac:dyDescent="0.3">
      <c r="A577" s="70">
        <v>45540</v>
      </c>
      <c r="B577" t="s">
        <v>1703</v>
      </c>
      <c r="C577" s="71" t="s">
        <v>1704</v>
      </c>
      <c r="D577" s="75">
        <v>15000</v>
      </c>
      <c r="E577" s="75">
        <v>0</v>
      </c>
      <c r="F577" s="75">
        <v>63733.1</v>
      </c>
      <c r="G577" s="75"/>
      <c r="H577" s="71" t="s">
        <v>512</v>
      </c>
      <c r="J577" t="s">
        <v>756</v>
      </c>
    </row>
    <row r="578" spans="1:10" x14ac:dyDescent="0.3">
      <c r="A578" s="70">
        <v>45540</v>
      </c>
      <c r="B578" t="s">
        <v>1705</v>
      </c>
      <c r="C578" s="71" t="s">
        <v>1706</v>
      </c>
      <c r="D578" s="75">
        <v>85</v>
      </c>
      <c r="E578" s="75">
        <v>0</v>
      </c>
      <c r="F578" s="75">
        <v>63648.1</v>
      </c>
      <c r="G578" s="75"/>
      <c r="H578" s="71" t="s">
        <v>511</v>
      </c>
      <c r="J578" t="s">
        <v>756</v>
      </c>
    </row>
    <row r="579" spans="1:10" x14ac:dyDescent="0.3">
      <c r="A579" s="70">
        <v>45541</v>
      </c>
      <c r="B579" t="s">
        <v>30</v>
      </c>
      <c r="C579" s="71" t="s">
        <v>935</v>
      </c>
      <c r="D579" s="75">
        <v>128.80000000000001</v>
      </c>
      <c r="E579" s="75">
        <v>0</v>
      </c>
      <c r="F579" s="75">
        <v>90287.55</v>
      </c>
      <c r="G579" s="75"/>
      <c r="H579" s="71" t="s">
        <v>217</v>
      </c>
      <c r="J579" t="s">
        <v>752</v>
      </c>
    </row>
    <row r="580" spans="1:10" x14ac:dyDescent="0.3">
      <c r="A580" s="70">
        <v>45541</v>
      </c>
      <c r="B580" t="s">
        <v>936</v>
      </c>
      <c r="C580" s="71" t="s">
        <v>937</v>
      </c>
      <c r="D580" s="75">
        <v>0</v>
      </c>
      <c r="E580" s="75">
        <v>150</v>
      </c>
      <c r="F580" s="75">
        <v>90437.55</v>
      </c>
      <c r="G580" s="75"/>
      <c r="H580" s="71" t="s">
        <v>218</v>
      </c>
      <c r="J580" t="s">
        <v>752</v>
      </c>
    </row>
    <row r="581" spans="1:10" x14ac:dyDescent="0.3">
      <c r="A581" s="70">
        <v>45541</v>
      </c>
      <c r="B581" t="s">
        <v>1707</v>
      </c>
      <c r="C581" s="71" t="s">
        <v>1708</v>
      </c>
      <c r="D581" s="75">
        <v>6000</v>
      </c>
      <c r="E581" s="75">
        <v>0</v>
      </c>
      <c r="F581" s="75">
        <v>57648.1</v>
      </c>
      <c r="G581" s="75"/>
      <c r="H581" s="71" t="s">
        <v>511</v>
      </c>
      <c r="J581" t="s">
        <v>756</v>
      </c>
    </row>
    <row r="582" spans="1:10" x14ac:dyDescent="0.3">
      <c r="A582" s="70">
        <v>45542</v>
      </c>
      <c r="B582" t="s">
        <v>1709</v>
      </c>
      <c r="C582" s="71" t="s">
        <v>1710</v>
      </c>
      <c r="D582" s="75">
        <v>90</v>
      </c>
      <c r="E582" s="75">
        <v>0</v>
      </c>
      <c r="F582" s="75">
        <v>57558.1</v>
      </c>
      <c r="G582" s="75"/>
      <c r="H582" s="71" t="s">
        <v>511</v>
      </c>
      <c r="J582" t="s">
        <v>756</v>
      </c>
    </row>
    <row r="583" spans="1:10" x14ac:dyDescent="0.3">
      <c r="A583" s="70">
        <v>45542</v>
      </c>
      <c r="B583" t="s">
        <v>1711</v>
      </c>
      <c r="C583" s="71" t="s">
        <v>1712</v>
      </c>
      <c r="D583" s="75">
        <v>90</v>
      </c>
      <c r="E583" s="75">
        <v>0</v>
      </c>
      <c r="F583" s="75">
        <v>57468.1</v>
      </c>
      <c r="G583" s="75"/>
      <c r="H583" s="71" t="s">
        <v>511</v>
      </c>
      <c r="J583" t="s">
        <v>756</v>
      </c>
    </row>
    <row r="584" spans="1:10" x14ac:dyDescent="0.3">
      <c r="A584" s="70">
        <v>45543</v>
      </c>
      <c r="B584" t="s">
        <v>1434</v>
      </c>
      <c r="C584" s="71" t="s">
        <v>1422</v>
      </c>
      <c r="D584" s="75">
        <v>0</v>
      </c>
      <c r="E584" s="75">
        <v>450</v>
      </c>
      <c r="F584" s="75">
        <v>46103.5</v>
      </c>
      <c r="G584" s="75"/>
      <c r="H584" s="71" t="s">
        <v>511</v>
      </c>
      <c r="J584" t="s">
        <v>753</v>
      </c>
    </row>
    <row r="585" spans="1:10" x14ac:dyDescent="0.3">
      <c r="A585" s="70">
        <v>45543</v>
      </c>
      <c r="B585" t="s">
        <v>1713</v>
      </c>
      <c r="C585" s="71" t="s">
        <v>1714</v>
      </c>
      <c r="D585" s="75">
        <v>21</v>
      </c>
      <c r="E585" s="75">
        <v>0</v>
      </c>
      <c r="F585" s="75">
        <v>57447.1</v>
      </c>
      <c r="G585" s="75"/>
      <c r="H585" s="71" t="s">
        <v>511</v>
      </c>
      <c r="J585" t="s">
        <v>756</v>
      </c>
    </row>
    <row r="586" spans="1:10" x14ac:dyDescent="0.3">
      <c r="A586" s="70">
        <v>45543</v>
      </c>
      <c r="B586" t="s">
        <v>1715</v>
      </c>
      <c r="C586" s="71" t="s">
        <v>1716</v>
      </c>
      <c r="D586" s="75">
        <v>450</v>
      </c>
      <c r="E586" s="75">
        <v>0</v>
      </c>
      <c r="F586" s="75">
        <v>56997.1</v>
      </c>
      <c r="G586" s="75"/>
      <c r="H586" s="71" t="s">
        <v>511</v>
      </c>
      <c r="J586" t="s">
        <v>756</v>
      </c>
    </row>
    <row r="587" spans="1:10" x14ac:dyDescent="0.3">
      <c r="A587" s="70">
        <v>45544</v>
      </c>
      <c r="B587" t="s">
        <v>30</v>
      </c>
      <c r="C587" s="71" t="s">
        <v>938</v>
      </c>
      <c r="D587" s="75">
        <v>386.4</v>
      </c>
      <c r="E587" s="75">
        <v>0</v>
      </c>
      <c r="F587" s="75">
        <v>90051.15</v>
      </c>
      <c r="G587" s="75"/>
      <c r="H587" s="71" t="s">
        <v>217</v>
      </c>
      <c r="J587" t="s">
        <v>752</v>
      </c>
    </row>
    <row r="588" spans="1:10" x14ac:dyDescent="0.3">
      <c r="A588" s="70">
        <v>45544</v>
      </c>
      <c r="B588" t="s">
        <v>939</v>
      </c>
      <c r="C588" s="71" t="s">
        <v>940</v>
      </c>
      <c r="D588" s="75">
        <v>0</v>
      </c>
      <c r="E588" s="75">
        <v>1880</v>
      </c>
      <c r="F588" s="75">
        <v>91931.15</v>
      </c>
      <c r="G588" s="75"/>
      <c r="H588" s="71" t="s">
        <v>222</v>
      </c>
      <c r="J588" t="s">
        <v>752</v>
      </c>
    </row>
    <row r="589" spans="1:10" x14ac:dyDescent="0.3">
      <c r="A589" s="70">
        <v>45544</v>
      </c>
      <c r="B589" t="s">
        <v>1717</v>
      </c>
      <c r="C589" s="71" t="s">
        <v>1718</v>
      </c>
      <c r="D589" s="75">
        <v>85</v>
      </c>
      <c r="E589" s="75">
        <v>0</v>
      </c>
      <c r="F589" s="75">
        <v>56912.1</v>
      </c>
      <c r="G589" s="75"/>
      <c r="H589" s="71" t="s">
        <v>511</v>
      </c>
      <c r="J589" t="s">
        <v>756</v>
      </c>
    </row>
    <row r="590" spans="1:10" x14ac:dyDescent="0.3">
      <c r="A590" s="70">
        <v>45544</v>
      </c>
      <c r="B590" t="s">
        <v>1719</v>
      </c>
      <c r="C590" s="71" t="s">
        <v>1720</v>
      </c>
      <c r="D590" s="75">
        <v>35</v>
      </c>
      <c r="E590" s="75">
        <v>0</v>
      </c>
      <c r="F590" s="75">
        <v>56877.1</v>
      </c>
      <c r="G590" s="75"/>
      <c r="H590" s="71" t="s">
        <v>511</v>
      </c>
      <c r="J590" t="s">
        <v>756</v>
      </c>
    </row>
    <row r="591" spans="1:10" x14ac:dyDescent="0.3">
      <c r="A591" s="70">
        <v>45545</v>
      </c>
      <c r="B591" t="s">
        <v>30</v>
      </c>
      <c r="C591" s="71" t="s">
        <v>941</v>
      </c>
      <c r="D591" s="75">
        <v>128.80000000000001</v>
      </c>
      <c r="E591" s="75">
        <v>0</v>
      </c>
      <c r="F591" s="75">
        <v>91802.35</v>
      </c>
      <c r="G591" s="75"/>
      <c r="H591" s="71" t="s">
        <v>217</v>
      </c>
      <c r="J591" t="s">
        <v>752</v>
      </c>
    </row>
    <row r="592" spans="1:10" x14ac:dyDescent="0.3">
      <c r="A592" s="70">
        <v>45545</v>
      </c>
      <c r="B592" t="s">
        <v>458</v>
      </c>
      <c r="C592" s="71" t="s">
        <v>1721</v>
      </c>
      <c r="D592" s="75">
        <v>5000</v>
      </c>
      <c r="E592" s="75">
        <v>0</v>
      </c>
      <c r="F592" s="75">
        <v>51877.1</v>
      </c>
      <c r="G592" s="75"/>
      <c r="H592" s="71" t="s">
        <v>219</v>
      </c>
      <c r="J592" t="s">
        <v>756</v>
      </c>
    </row>
    <row r="593" spans="1:10" x14ac:dyDescent="0.3">
      <c r="A593" s="70">
        <v>45545</v>
      </c>
      <c r="B593" t="s">
        <v>1722</v>
      </c>
      <c r="C593" s="71" t="s">
        <v>1723</v>
      </c>
      <c r="D593" s="75">
        <v>85</v>
      </c>
      <c r="E593" s="75">
        <v>0</v>
      </c>
      <c r="F593" s="75">
        <v>51792.1</v>
      </c>
      <c r="G593" s="75"/>
      <c r="H593" s="71" t="s">
        <v>511</v>
      </c>
      <c r="J593" t="s">
        <v>756</v>
      </c>
    </row>
    <row r="594" spans="1:10" x14ac:dyDescent="0.3">
      <c r="A594" s="70">
        <v>45546</v>
      </c>
      <c r="B594" t="s">
        <v>34</v>
      </c>
      <c r="C594" s="71" t="s">
        <v>942</v>
      </c>
      <c r="D594" s="75">
        <v>0</v>
      </c>
      <c r="E594" s="75">
        <v>56997.72</v>
      </c>
      <c r="F594" s="75">
        <v>148800.07</v>
      </c>
      <c r="G594" s="75"/>
      <c r="H594" s="71" t="s">
        <v>217</v>
      </c>
      <c r="J594" t="s">
        <v>752</v>
      </c>
    </row>
    <row r="595" spans="1:10" x14ac:dyDescent="0.3">
      <c r="A595" s="70">
        <v>45546</v>
      </c>
      <c r="B595" t="s">
        <v>30</v>
      </c>
      <c r="C595" s="71" t="s">
        <v>943</v>
      </c>
      <c r="D595" s="75">
        <v>128.80000000000001</v>
      </c>
      <c r="E595" s="75">
        <v>0</v>
      </c>
      <c r="F595" s="75">
        <v>148671.26999999999</v>
      </c>
      <c r="G595" s="75"/>
      <c r="H595" s="71" t="s">
        <v>217</v>
      </c>
      <c r="J595" t="s">
        <v>752</v>
      </c>
    </row>
    <row r="596" spans="1:10" x14ac:dyDescent="0.3">
      <c r="A596" s="70">
        <v>45546</v>
      </c>
      <c r="B596" t="s">
        <v>1724</v>
      </c>
      <c r="C596" s="71" t="s">
        <v>1725</v>
      </c>
      <c r="D596" s="75">
        <v>4000</v>
      </c>
      <c r="E596" s="75">
        <v>0</v>
      </c>
      <c r="F596" s="75">
        <v>47792.1</v>
      </c>
      <c r="G596" s="75"/>
      <c r="H596" s="71" t="s">
        <v>2531</v>
      </c>
      <c r="J596" t="s">
        <v>756</v>
      </c>
    </row>
    <row r="597" spans="1:10" x14ac:dyDescent="0.3">
      <c r="A597" s="70">
        <v>45546</v>
      </c>
      <c r="B597" t="s">
        <v>1726</v>
      </c>
      <c r="C597" s="71" t="s">
        <v>1727</v>
      </c>
      <c r="D597" s="75">
        <v>40</v>
      </c>
      <c r="E597" s="75">
        <v>0</v>
      </c>
      <c r="F597" s="75">
        <v>47752.1</v>
      </c>
      <c r="G597" s="75"/>
      <c r="H597" s="71" t="s">
        <v>511</v>
      </c>
      <c r="J597" t="s">
        <v>756</v>
      </c>
    </row>
    <row r="598" spans="1:10" x14ac:dyDescent="0.3">
      <c r="A598" s="70">
        <v>45547</v>
      </c>
      <c r="B598" t="s">
        <v>30</v>
      </c>
      <c r="C598" s="71" t="s">
        <v>944</v>
      </c>
      <c r="D598" s="75">
        <v>128.80000000000001</v>
      </c>
      <c r="E598" s="75">
        <v>0</v>
      </c>
      <c r="F598" s="75">
        <v>148542.47</v>
      </c>
      <c r="G598" s="75"/>
      <c r="H598" s="71" t="s">
        <v>217</v>
      </c>
      <c r="J598" t="s">
        <v>752</v>
      </c>
    </row>
    <row r="599" spans="1:10" x14ac:dyDescent="0.3">
      <c r="A599" s="70">
        <v>45547</v>
      </c>
      <c r="B599" t="s">
        <v>1728</v>
      </c>
      <c r="C599" s="71" t="s">
        <v>1729</v>
      </c>
      <c r="D599" s="75">
        <v>85</v>
      </c>
      <c r="E599" s="75">
        <v>0</v>
      </c>
      <c r="F599" s="75">
        <v>47667.1</v>
      </c>
      <c r="G599" s="75"/>
      <c r="H599" s="71" t="s">
        <v>511</v>
      </c>
      <c r="J599" t="s">
        <v>756</v>
      </c>
    </row>
    <row r="600" spans="1:10" x14ac:dyDescent="0.3">
      <c r="A600" s="70">
        <v>45548</v>
      </c>
      <c r="B600" t="s">
        <v>30</v>
      </c>
      <c r="C600" s="71" t="s">
        <v>945</v>
      </c>
      <c r="D600" s="75">
        <v>128.80000000000001</v>
      </c>
      <c r="E600" s="75">
        <v>0</v>
      </c>
      <c r="F600" s="75">
        <v>148413.67000000001</v>
      </c>
      <c r="G600" s="75"/>
      <c r="H600" s="71" t="s">
        <v>217</v>
      </c>
      <c r="J600" t="s">
        <v>752</v>
      </c>
    </row>
    <row r="601" spans="1:10" x14ac:dyDescent="0.3">
      <c r="A601" s="70">
        <v>45548</v>
      </c>
      <c r="B601" t="s">
        <v>946</v>
      </c>
      <c r="C601" s="71" t="s">
        <v>947</v>
      </c>
      <c r="D601" s="75">
        <v>0</v>
      </c>
      <c r="E601" s="75">
        <v>45</v>
      </c>
      <c r="F601" s="75">
        <v>148458.67000000001</v>
      </c>
      <c r="G601" s="75"/>
      <c r="H601" s="71" t="s">
        <v>218</v>
      </c>
      <c r="J601" t="s">
        <v>752</v>
      </c>
    </row>
    <row r="602" spans="1:10" x14ac:dyDescent="0.3">
      <c r="A602" s="70">
        <v>45549</v>
      </c>
      <c r="B602" t="s">
        <v>1730</v>
      </c>
      <c r="C602" s="71" t="s">
        <v>1731</v>
      </c>
      <c r="D602" s="75">
        <v>383</v>
      </c>
      <c r="E602" s="75">
        <v>0</v>
      </c>
      <c r="F602" s="75">
        <v>47284.1</v>
      </c>
      <c r="G602" s="75"/>
      <c r="H602" s="71" t="s">
        <v>511</v>
      </c>
      <c r="J602" t="s">
        <v>756</v>
      </c>
    </row>
    <row r="603" spans="1:10" x14ac:dyDescent="0.3">
      <c r="A603" s="70">
        <v>45550</v>
      </c>
      <c r="B603" t="s">
        <v>948</v>
      </c>
      <c r="C603" s="71" t="s">
        <v>949</v>
      </c>
      <c r="D603" s="75">
        <v>0</v>
      </c>
      <c r="E603" s="75">
        <v>105000</v>
      </c>
      <c r="F603" s="75">
        <v>253458.67</v>
      </c>
      <c r="G603" s="75"/>
      <c r="H603" s="71" t="s">
        <v>2519</v>
      </c>
      <c r="J603" t="s">
        <v>752</v>
      </c>
    </row>
    <row r="604" spans="1:10" x14ac:dyDescent="0.3">
      <c r="A604" s="70">
        <v>45551</v>
      </c>
      <c r="B604" t="s">
        <v>30</v>
      </c>
      <c r="C604" s="71" t="s">
        <v>950</v>
      </c>
      <c r="D604" s="75">
        <v>386.4</v>
      </c>
      <c r="E604" s="75">
        <v>0</v>
      </c>
      <c r="F604" s="75">
        <v>253072.27</v>
      </c>
      <c r="G604" s="75"/>
      <c r="H604" s="71" t="s">
        <v>217</v>
      </c>
      <c r="J604" t="s">
        <v>752</v>
      </c>
    </row>
    <row r="605" spans="1:10" x14ac:dyDescent="0.3">
      <c r="A605" s="70">
        <v>45551</v>
      </c>
      <c r="B605" t="s">
        <v>1732</v>
      </c>
      <c r="C605" s="71" t="s">
        <v>1733</v>
      </c>
      <c r="D605" s="75">
        <v>85</v>
      </c>
      <c r="E605" s="75">
        <v>0</v>
      </c>
      <c r="F605" s="75">
        <v>47199.1</v>
      </c>
      <c r="G605" s="75"/>
      <c r="H605" s="71" t="s">
        <v>511</v>
      </c>
      <c r="J605" t="s">
        <v>756</v>
      </c>
    </row>
    <row r="606" spans="1:10" x14ac:dyDescent="0.3">
      <c r="A606" s="70">
        <v>45551</v>
      </c>
      <c r="B606" t="s">
        <v>1734</v>
      </c>
      <c r="C606" s="71" t="s">
        <v>1735</v>
      </c>
      <c r="D606" s="75">
        <v>70</v>
      </c>
      <c r="E606" s="75">
        <v>0</v>
      </c>
      <c r="F606" s="75">
        <v>47129.1</v>
      </c>
      <c r="G606" s="75"/>
      <c r="H606" s="71" t="s">
        <v>511</v>
      </c>
      <c r="J606" t="s">
        <v>756</v>
      </c>
    </row>
    <row r="607" spans="1:10" x14ac:dyDescent="0.3">
      <c r="A607" s="70">
        <v>45552</v>
      </c>
      <c r="B607" t="s">
        <v>30</v>
      </c>
      <c r="C607" s="71" t="s">
        <v>951</v>
      </c>
      <c r="D607" s="75">
        <v>128.80000000000001</v>
      </c>
      <c r="E607" s="75">
        <v>0</v>
      </c>
      <c r="F607" s="75">
        <v>252943.47</v>
      </c>
      <c r="G607" s="75"/>
      <c r="H607" s="71" t="s">
        <v>217</v>
      </c>
      <c r="J607" t="s">
        <v>752</v>
      </c>
    </row>
    <row r="608" spans="1:10" x14ac:dyDescent="0.3">
      <c r="A608" s="70">
        <v>45552</v>
      </c>
      <c r="B608" t="s">
        <v>952</v>
      </c>
      <c r="C608" s="71" t="s">
        <v>46</v>
      </c>
      <c r="D608" s="75">
        <v>224.2</v>
      </c>
      <c r="E608" s="75">
        <v>0</v>
      </c>
      <c r="F608" s="75">
        <v>252719.27</v>
      </c>
      <c r="G608" s="75"/>
      <c r="H608" s="71" t="s">
        <v>220</v>
      </c>
      <c r="J608" t="s">
        <v>752</v>
      </c>
    </row>
    <row r="609" spans="1:10" x14ac:dyDescent="0.3">
      <c r="A609" s="70">
        <v>45552</v>
      </c>
      <c r="B609" t="s">
        <v>30</v>
      </c>
      <c r="C609" s="71" t="s">
        <v>953</v>
      </c>
      <c r="D609" s="75">
        <v>144398.46</v>
      </c>
      <c r="E609" s="75">
        <v>0</v>
      </c>
      <c r="F609" s="75">
        <v>108320.81</v>
      </c>
      <c r="G609" s="75"/>
      <c r="H609" s="71" t="s">
        <v>217</v>
      </c>
      <c r="J609" t="s">
        <v>752</v>
      </c>
    </row>
    <row r="610" spans="1:10" x14ac:dyDescent="0.3">
      <c r="A610" s="70">
        <v>45552</v>
      </c>
      <c r="B610" t="s">
        <v>1736</v>
      </c>
      <c r="C610" s="71" t="s">
        <v>1737</v>
      </c>
      <c r="D610" s="75">
        <v>50</v>
      </c>
      <c r="E610" s="75">
        <v>0</v>
      </c>
      <c r="F610" s="75">
        <v>47079.1</v>
      </c>
      <c r="G610" s="75"/>
      <c r="H610" s="71" t="s">
        <v>511</v>
      </c>
      <c r="J610" t="s">
        <v>756</v>
      </c>
    </row>
    <row r="611" spans="1:10" x14ac:dyDescent="0.3">
      <c r="A611" s="70">
        <v>45552</v>
      </c>
      <c r="B611" t="s">
        <v>1738</v>
      </c>
      <c r="C611" s="71" t="s">
        <v>1739</v>
      </c>
      <c r="D611" s="75">
        <v>80</v>
      </c>
      <c r="E611" s="75">
        <v>0</v>
      </c>
      <c r="F611" s="75">
        <v>46999.1</v>
      </c>
      <c r="G611" s="75"/>
      <c r="H611" s="71" t="s">
        <v>511</v>
      </c>
      <c r="J611" t="s">
        <v>756</v>
      </c>
    </row>
    <row r="612" spans="1:10" x14ac:dyDescent="0.3">
      <c r="A612" s="70">
        <v>45552</v>
      </c>
      <c r="B612" t="s">
        <v>1740</v>
      </c>
      <c r="C612" s="71" t="s">
        <v>1741</v>
      </c>
      <c r="D612" s="75">
        <v>25</v>
      </c>
      <c r="E612" s="75">
        <v>0</v>
      </c>
      <c r="F612" s="75">
        <v>46974.1</v>
      </c>
      <c r="G612" s="75"/>
      <c r="H612" s="71" t="s">
        <v>511</v>
      </c>
      <c r="J612" t="s">
        <v>756</v>
      </c>
    </row>
    <row r="613" spans="1:10" x14ac:dyDescent="0.3">
      <c r="A613" s="70">
        <v>45553</v>
      </c>
      <c r="B613" t="s">
        <v>30</v>
      </c>
      <c r="C613" s="71" t="s">
        <v>954</v>
      </c>
      <c r="D613" s="75">
        <v>77.37</v>
      </c>
      <c r="E613" s="75">
        <v>0</v>
      </c>
      <c r="F613" s="75">
        <v>108243.44</v>
      </c>
      <c r="G613" s="75"/>
      <c r="H613" s="71" t="s">
        <v>217</v>
      </c>
      <c r="J613" t="s">
        <v>752</v>
      </c>
    </row>
    <row r="614" spans="1:10" x14ac:dyDescent="0.3">
      <c r="A614" s="70">
        <v>45553</v>
      </c>
      <c r="B614" t="s">
        <v>30</v>
      </c>
      <c r="C614" s="71" t="s">
        <v>955</v>
      </c>
      <c r="D614" s="75">
        <v>384.41</v>
      </c>
      <c r="E614" s="75">
        <v>0</v>
      </c>
      <c r="F614" s="75">
        <v>107859.03</v>
      </c>
      <c r="G614" s="75"/>
      <c r="H614" s="71" t="s">
        <v>217</v>
      </c>
      <c r="J614" t="s">
        <v>752</v>
      </c>
    </row>
    <row r="615" spans="1:10" x14ac:dyDescent="0.3">
      <c r="A615" s="70">
        <v>45553</v>
      </c>
      <c r="B615" t="s">
        <v>1435</v>
      </c>
      <c r="C615" s="71" t="s">
        <v>564</v>
      </c>
      <c r="D615" s="75">
        <v>292</v>
      </c>
      <c r="E615" s="75">
        <v>0</v>
      </c>
      <c r="F615" s="75">
        <v>45811.5</v>
      </c>
      <c r="G615" s="75"/>
      <c r="H615" s="71" t="s">
        <v>511</v>
      </c>
      <c r="J615" t="s">
        <v>753</v>
      </c>
    </row>
    <row r="616" spans="1:10" x14ac:dyDescent="0.3">
      <c r="A616" s="70">
        <v>45553</v>
      </c>
      <c r="B616" t="s">
        <v>1742</v>
      </c>
      <c r="C616" s="71" t="s">
        <v>1743</v>
      </c>
      <c r="D616" s="75">
        <v>1000</v>
      </c>
      <c r="E616" s="75">
        <v>0</v>
      </c>
      <c r="F616" s="75">
        <v>45974.1</v>
      </c>
      <c r="G616" s="75"/>
      <c r="H616" s="71" t="s">
        <v>511</v>
      </c>
      <c r="J616" t="s">
        <v>756</v>
      </c>
    </row>
    <row r="617" spans="1:10" x14ac:dyDescent="0.3">
      <c r="A617" s="70">
        <v>45554</v>
      </c>
      <c r="B617" t="s">
        <v>30</v>
      </c>
      <c r="C617" s="71" t="s">
        <v>956</v>
      </c>
      <c r="D617" s="75">
        <v>77.239999999999995</v>
      </c>
      <c r="E617" s="75">
        <v>0</v>
      </c>
      <c r="F617" s="75">
        <v>107781.79</v>
      </c>
      <c r="G617" s="75"/>
      <c r="H617" s="71" t="s">
        <v>217</v>
      </c>
      <c r="J617" t="s">
        <v>752</v>
      </c>
    </row>
    <row r="618" spans="1:10" x14ac:dyDescent="0.3">
      <c r="A618" s="70">
        <v>45554</v>
      </c>
      <c r="B618" t="s">
        <v>957</v>
      </c>
      <c r="C618" s="71" t="s">
        <v>958</v>
      </c>
      <c r="D618" s="75">
        <v>1.42</v>
      </c>
      <c r="E618" s="75">
        <v>0</v>
      </c>
      <c r="F618" s="75">
        <v>107780.37</v>
      </c>
      <c r="G618" s="75"/>
      <c r="H618" s="71" t="s">
        <v>221</v>
      </c>
      <c r="J618" t="s">
        <v>752</v>
      </c>
    </row>
    <row r="619" spans="1:10" x14ac:dyDescent="0.3">
      <c r="A619" s="70">
        <v>45554</v>
      </c>
      <c r="B619" t="s">
        <v>959</v>
      </c>
      <c r="C619" s="71" t="s">
        <v>960</v>
      </c>
      <c r="D619" s="75">
        <v>25000</v>
      </c>
      <c r="E619" s="75">
        <v>0</v>
      </c>
      <c r="F619" s="75">
        <v>82780.37</v>
      </c>
      <c r="G619" s="75"/>
      <c r="H619" s="71" t="s">
        <v>225</v>
      </c>
      <c r="J619" t="s">
        <v>752</v>
      </c>
    </row>
    <row r="620" spans="1:10" x14ac:dyDescent="0.3">
      <c r="A620" s="70">
        <v>45554</v>
      </c>
      <c r="B620" t="s">
        <v>30</v>
      </c>
      <c r="C620" s="71" t="s">
        <v>961</v>
      </c>
      <c r="D620" s="75">
        <v>7655.07</v>
      </c>
      <c r="E620" s="75">
        <v>0</v>
      </c>
      <c r="F620" s="75">
        <v>75125.3</v>
      </c>
      <c r="G620" s="75"/>
      <c r="H620" s="71" t="s">
        <v>217</v>
      </c>
      <c r="J620" t="s">
        <v>752</v>
      </c>
    </row>
    <row r="621" spans="1:10" x14ac:dyDescent="0.3">
      <c r="A621" s="70">
        <v>45555</v>
      </c>
      <c r="B621" t="s">
        <v>30</v>
      </c>
      <c r="C621" s="71" t="s">
        <v>962</v>
      </c>
      <c r="D621" s="75">
        <v>74.510000000000005</v>
      </c>
      <c r="E621" s="75">
        <v>0</v>
      </c>
      <c r="F621" s="75">
        <v>75050.789999999994</v>
      </c>
      <c r="G621" s="75"/>
      <c r="H621" s="71" t="s">
        <v>217</v>
      </c>
      <c r="J621" t="s">
        <v>752</v>
      </c>
    </row>
    <row r="622" spans="1:10" x14ac:dyDescent="0.3">
      <c r="A622" s="70">
        <v>45555</v>
      </c>
      <c r="B622" t="s">
        <v>963</v>
      </c>
      <c r="C622" s="71" t="s">
        <v>964</v>
      </c>
      <c r="D622" s="75">
        <v>0</v>
      </c>
      <c r="E622" s="75">
        <v>75</v>
      </c>
      <c r="F622" s="75">
        <v>75125.789999999994</v>
      </c>
      <c r="G622" s="75"/>
      <c r="H622" s="71" t="s">
        <v>218</v>
      </c>
      <c r="J622" t="s">
        <v>752</v>
      </c>
    </row>
    <row r="623" spans="1:10" x14ac:dyDescent="0.3">
      <c r="A623" s="70">
        <v>45555</v>
      </c>
      <c r="B623" t="s">
        <v>30</v>
      </c>
      <c r="C623" s="71" t="s">
        <v>965</v>
      </c>
      <c r="D623" s="75">
        <v>6306.1</v>
      </c>
      <c r="E623" s="75">
        <v>0</v>
      </c>
      <c r="F623" s="75">
        <v>68819.69</v>
      </c>
      <c r="G623" s="75"/>
      <c r="H623" s="71" t="s">
        <v>217</v>
      </c>
      <c r="J623" t="s">
        <v>752</v>
      </c>
    </row>
    <row r="624" spans="1:10" x14ac:dyDescent="0.3">
      <c r="A624" s="70">
        <v>45555</v>
      </c>
      <c r="B624" t="s">
        <v>1436</v>
      </c>
      <c r="C624" s="71" t="s">
        <v>1416</v>
      </c>
      <c r="D624" s="75">
        <v>20</v>
      </c>
      <c r="E624" s="75">
        <v>0</v>
      </c>
      <c r="F624" s="75">
        <v>45791.5</v>
      </c>
      <c r="G624" s="75"/>
      <c r="H624" s="71" t="s">
        <v>511</v>
      </c>
      <c r="J624" t="s">
        <v>753</v>
      </c>
    </row>
    <row r="625" spans="1:10" x14ac:dyDescent="0.3">
      <c r="A625" s="70">
        <v>45555</v>
      </c>
      <c r="B625" t="s">
        <v>1744</v>
      </c>
      <c r="C625" s="71" t="s">
        <v>1745</v>
      </c>
      <c r="D625" s="75">
        <v>0</v>
      </c>
      <c r="E625" s="75">
        <v>20</v>
      </c>
      <c r="F625" s="75">
        <v>45994.1</v>
      </c>
      <c r="G625" s="75"/>
      <c r="H625" s="71" t="s">
        <v>511</v>
      </c>
      <c r="J625" t="s">
        <v>756</v>
      </c>
    </row>
    <row r="626" spans="1:10" x14ac:dyDescent="0.3">
      <c r="A626" s="70">
        <v>45555</v>
      </c>
      <c r="B626" t="s">
        <v>1746</v>
      </c>
      <c r="C626" s="71" t="s">
        <v>1747</v>
      </c>
      <c r="D626" s="75">
        <v>10</v>
      </c>
      <c r="E626" s="75">
        <v>0</v>
      </c>
      <c r="F626" s="75">
        <v>45984.1</v>
      </c>
      <c r="G626" s="75"/>
      <c r="H626" s="71" t="s">
        <v>511</v>
      </c>
      <c r="J626" t="s">
        <v>756</v>
      </c>
    </row>
    <row r="627" spans="1:10" x14ac:dyDescent="0.3">
      <c r="A627" s="70">
        <v>45555</v>
      </c>
      <c r="B627" t="s">
        <v>1748</v>
      </c>
      <c r="C627" s="71" t="s">
        <v>1749</v>
      </c>
      <c r="D627" s="75">
        <v>0</v>
      </c>
      <c r="E627" s="75">
        <v>1010</v>
      </c>
      <c r="F627" s="75">
        <v>46994.1</v>
      </c>
      <c r="G627" s="75"/>
      <c r="H627" s="71" t="s">
        <v>511</v>
      </c>
      <c r="J627" t="s">
        <v>756</v>
      </c>
    </row>
    <row r="628" spans="1:10" x14ac:dyDescent="0.3">
      <c r="A628" s="70">
        <v>45555</v>
      </c>
      <c r="B628" t="s">
        <v>1750</v>
      </c>
      <c r="C628" s="71" t="s">
        <v>1751</v>
      </c>
      <c r="D628" s="75">
        <v>399</v>
      </c>
      <c r="E628" s="75">
        <v>0</v>
      </c>
      <c r="F628" s="75">
        <v>46595.1</v>
      </c>
      <c r="G628" s="75"/>
      <c r="H628" s="71" t="s">
        <v>511</v>
      </c>
      <c r="J628" t="s">
        <v>756</v>
      </c>
    </row>
    <row r="629" spans="1:10" x14ac:dyDescent="0.3">
      <c r="A629" s="70">
        <v>45555</v>
      </c>
      <c r="B629" t="s">
        <v>1752</v>
      </c>
      <c r="C629" s="71" t="s">
        <v>1753</v>
      </c>
      <c r="D629" s="75">
        <v>20</v>
      </c>
      <c r="E629" s="75">
        <v>0</v>
      </c>
      <c r="F629" s="75">
        <v>46575.1</v>
      </c>
      <c r="G629" s="75"/>
      <c r="H629" s="71" t="s">
        <v>511</v>
      </c>
      <c r="J629" t="s">
        <v>756</v>
      </c>
    </row>
    <row r="630" spans="1:10" x14ac:dyDescent="0.3">
      <c r="A630" s="70">
        <v>45555</v>
      </c>
      <c r="B630" t="s">
        <v>1754</v>
      </c>
      <c r="C630" s="71" t="s">
        <v>1755</v>
      </c>
      <c r="D630" s="75">
        <v>0</v>
      </c>
      <c r="E630" s="75">
        <v>20</v>
      </c>
      <c r="F630" s="75">
        <v>46595.1</v>
      </c>
      <c r="G630" s="75"/>
      <c r="H630" s="71" t="s">
        <v>511</v>
      </c>
      <c r="J630" t="s">
        <v>756</v>
      </c>
    </row>
    <row r="631" spans="1:10" x14ac:dyDescent="0.3">
      <c r="A631" s="70">
        <v>45557</v>
      </c>
      <c r="B631" t="s">
        <v>966</v>
      </c>
      <c r="C631" s="71" t="s">
        <v>967</v>
      </c>
      <c r="D631" s="75">
        <v>0</v>
      </c>
      <c r="E631" s="75">
        <v>25000</v>
      </c>
      <c r="F631" s="75">
        <v>93819.69</v>
      </c>
      <c r="G631" s="75"/>
      <c r="H631" s="71" t="s">
        <v>505</v>
      </c>
      <c r="J631" t="s">
        <v>752</v>
      </c>
    </row>
    <row r="632" spans="1:10" x14ac:dyDescent="0.3">
      <c r="A632" s="70">
        <v>45557</v>
      </c>
      <c r="B632" t="s">
        <v>1437</v>
      </c>
      <c r="C632" s="71" t="s">
        <v>545</v>
      </c>
      <c r="D632" s="75">
        <v>1000</v>
      </c>
      <c r="E632" s="75">
        <v>0</v>
      </c>
      <c r="F632" s="75">
        <v>44791.5</v>
      </c>
      <c r="G632" s="75"/>
      <c r="H632" s="71" t="s">
        <v>511</v>
      </c>
      <c r="J632" t="s">
        <v>753</v>
      </c>
    </row>
    <row r="633" spans="1:10" x14ac:dyDescent="0.3">
      <c r="A633" s="70">
        <v>45557</v>
      </c>
      <c r="B633" t="s">
        <v>1756</v>
      </c>
      <c r="C633" s="71" t="s">
        <v>1757</v>
      </c>
      <c r="D633" s="75">
        <v>1000</v>
      </c>
      <c r="E633" s="75">
        <v>0</v>
      </c>
      <c r="F633" s="75">
        <v>45595.1</v>
      </c>
      <c r="G633" s="75"/>
      <c r="H633" s="71" t="s">
        <v>511</v>
      </c>
      <c r="J633" t="s">
        <v>756</v>
      </c>
    </row>
    <row r="634" spans="1:10" x14ac:dyDescent="0.3">
      <c r="A634" s="70">
        <v>45558</v>
      </c>
      <c r="B634" t="s">
        <v>30</v>
      </c>
      <c r="C634" s="71" t="s">
        <v>968</v>
      </c>
      <c r="D634" s="75">
        <v>233.67</v>
      </c>
      <c r="E634" s="75">
        <v>0</v>
      </c>
      <c r="F634" s="75">
        <v>93586.02</v>
      </c>
      <c r="G634" s="75"/>
      <c r="H634" s="71" t="s">
        <v>217</v>
      </c>
      <c r="J634" t="s">
        <v>752</v>
      </c>
    </row>
    <row r="635" spans="1:10" x14ac:dyDescent="0.3">
      <c r="A635" s="70">
        <v>45558</v>
      </c>
      <c r="B635" t="s">
        <v>1758</v>
      </c>
      <c r="C635" s="71" t="s">
        <v>1759</v>
      </c>
      <c r="D635" s="75">
        <v>65</v>
      </c>
      <c r="E635" s="75">
        <v>0</v>
      </c>
      <c r="F635" s="75">
        <v>45530.1</v>
      </c>
      <c r="G635" s="75"/>
      <c r="H635" s="71" t="s">
        <v>511</v>
      </c>
      <c r="J635" t="s">
        <v>756</v>
      </c>
    </row>
    <row r="636" spans="1:10" x14ac:dyDescent="0.3">
      <c r="A636" s="70">
        <v>45559</v>
      </c>
      <c r="B636" t="s">
        <v>969</v>
      </c>
      <c r="C636" s="71" t="s">
        <v>970</v>
      </c>
      <c r="D636" s="75">
        <v>0</v>
      </c>
      <c r="E636" s="75">
        <v>6152.22</v>
      </c>
      <c r="F636" s="75">
        <v>99738.240000000005</v>
      </c>
      <c r="G636" s="75"/>
      <c r="H636" s="71" t="s">
        <v>2523</v>
      </c>
      <c r="J636" t="s">
        <v>752</v>
      </c>
    </row>
    <row r="637" spans="1:10" x14ac:dyDescent="0.3">
      <c r="A637" s="70">
        <v>45559</v>
      </c>
      <c r="B637" t="s">
        <v>971</v>
      </c>
      <c r="C637" s="71" t="s">
        <v>972</v>
      </c>
      <c r="D637" s="75">
        <v>0</v>
      </c>
      <c r="E637" s="75">
        <v>8757.74</v>
      </c>
      <c r="F637" s="75">
        <v>108495.98</v>
      </c>
      <c r="G637" s="75"/>
      <c r="H637" s="71" t="s">
        <v>2523</v>
      </c>
      <c r="J637" t="s">
        <v>752</v>
      </c>
    </row>
    <row r="638" spans="1:10" x14ac:dyDescent="0.3">
      <c r="A638" s="70">
        <v>45559</v>
      </c>
      <c r="B638" t="s">
        <v>30</v>
      </c>
      <c r="C638" s="71" t="s">
        <v>973</v>
      </c>
      <c r="D638" s="75">
        <v>85.55</v>
      </c>
      <c r="E638" s="75">
        <v>0</v>
      </c>
      <c r="F638" s="75">
        <v>108410.43</v>
      </c>
      <c r="G638" s="75"/>
      <c r="H638" s="71" t="s">
        <v>217</v>
      </c>
      <c r="J638" t="s">
        <v>752</v>
      </c>
    </row>
    <row r="639" spans="1:10" x14ac:dyDescent="0.3">
      <c r="A639" s="70">
        <v>45559</v>
      </c>
      <c r="B639" t="s">
        <v>1760</v>
      </c>
      <c r="C639" s="71" t="s">
        <v>1761</v>
      </c>
      <c r="D639" s="75">
        <v>65</v>
      </c>
      <c r="E639" s="75">
        <v>0</v>
      </c>
      <c r="F639" s="75">
        <v>45465.1</v>
      </c>
      <c r="G639" s="75"/>
      <c r="H639" s="71" t="s">
        <v>511</v>
      </c>
      <c r="J639" t="s">
        <v>756</v>
      </c>
    </row>
    <row r="640" spans="1:10" x14ac:dyDescent="0.3">
      <c r="A640" s="70">
        <v>45559</v>
      </c>
      <c r="B640" t="s">
        <v>1762</v>
      </c>
      <c r="C640" s="71" t="s">
        <v>1763</v>
      </c>
      <c r="D640" s="75">
        <v>60</v>
      </c>
      <c r="E640" s="75">
        <v>0</v>
      </c>
      <c r="F640" s="75">
        <v>45405.1</v>
      </c>
      <c r="G640" s="75"/>
      <c r="H640" s="71" t="s">
        <v>511</v>
      </c>
      <c r="J640" t="s">
        <v>756</v>
      </c>
    </row>
    <row r="641" spans="1:10" x14ac:dyDescent="0.3">
      <c r="A641" s="70">
        <v>45559</v>
      </c>
      <c r="B641" t="s">
        <v>1764</v>
      </c>
      <c r="C641" s="71" t="s">
        <v>1765</v>
      </c>
      <c r="D641" s="75">
        <v>0</v>
      </c>
      <c r="E641" s="75">
        <v>1000</v>
      </c>
      <c r="F641" s="75">
        <v>46405.1</v>
      </c>
      <c r="G641" s="75"/>
      <c r="H641" s="71" t="s">
        <v>511</v>
      </c>
      <c r="J641" t="s">
        <v>756</v>
      </c>
    </row>
    <row r="642" spans="1:10" x14ac:dyDescent="0.3">
      <c r="A642" s="70">
        <v>45560</v>
      </c>
      <c r="B642" t="s">
        <v>974</v>
      </c>
      <c r="C642" s="71" t="s">
        <v>975</v>
      </c>
      <c r="D642" s="75">
        <v>0</v>
      </c>
      <c r="E642" s="75">
        <v>20.82</v>
      </c>
      <c r="F642" s="75">
        <v>108431.25</v>
      </c>
      <c r="G642" s="75"/>
      <c r="H642" s="71" t="s">
        <v>2523</v>
      </c>
      <c r="J642" t="s">
        <v>752</v>
      </c>
    </row>
    <row r="643" spans="1:10" x14ac:dyDescent="0.3">
      <c r="A643" s="70">
        <v>45560</v>
      </c>
      <c r="B643" t="s">
        <v>976</v>
      </c>
      <c r="C643" s="71" t="s">
        <v>977</v>
      </c>
      <c r="D643" s="75">
        <v>30000</v>
      </c>
      <c r="E643" s="75">
        <v>0</v>
      </c>
      <c r="F643" s="75">
        <v>78431.25</v>
      </c>
      <c r="G643" s="75"/>
      <c r="H643" s="71" t="s">
        <v>225</v>
      </c>
      <c r="J643" t="s">
        <v>752</v>
      </c>
    </row>
    <row r="644" spans="1:10" x14ac:dyDescent="0.3">
      <c r="A644" s="70">
        <v>45560</v>
      </c>
      <c r="B644" t="s">
        <v>30</v>
      </c>
      <c r="C644" s="71" t="s">
        <v>978</v>
      </c>
      <c r="D644" s="75">
        <v>87.74</v>
      </c>
      <c r="E644" s="75">
        <v>0</v>
      </c>
      <c r="F644" s="75">
        <v>78343.509999999995</v>
      </c>
      <c r="G644" s="75"/>
      <c r="H644" s="71" t="s">
        <v>217</v>
      </c>
      <c r="J644" t="s">
        <v>752</v>
      </c>
    </row>
    <row r="645" spans="1:10" x14ac:dyDescent="0.3">
      <c r="A645" s="70">
        <v>45560</v>
      </c>
      <c r="B645" t="s">
        <v>30</v>
      </c>
      <c r="C645" s="71" t="s">
        <v>979</v>
      </c>
      <c r="D645" s="75">
        <v>998.6</v>
      </c>
      <c r="E645" s="75">
        <v>0</v>
      </c>
      <c r="F645" s="75">
        <v>77344.91</v>
      </c>
      <c r="G645" s="75"/>
      <c r="H645" s="71" t="s">
        <v>217</v>
      </c>
      <c r="J645" t="s">
        <v>752</v>
      </c>
    </row>
    <row r="646" spans="1:10" x14ac:dyDescent="0.3">
      <c r="A646" s="70">
        <v>45560</v>
      </c>
      <c r="B646" t="s">
        <v>586</v>
      </c>
      <c r="C646" s="71" t="s">
        <v>252</v>
      </c>
      <c r="D646" s="75">
        <v>0</v>
      </c>
      <c r="E646" s="75">
        <v>313</v>
      </c>
      <c r="F646" s="75">
        <v>45104.5</v>
      </c>
      <c r="G646" s="75"/>
      <c r="H646" s="71" t="s">
        <v>227</v>
      </c>
      <c r="J646" t="s">
        <v>753</v>
      </c>
    </row>
    <row r="647" spans="1:10" x14ac:dyDescent="0.3">
      <c r="A647" s="70">
        <v>45560</v>
      </c>
      <c r="B647" t="s">
        <v>1766</v>
      </c>
      <c r="C647" s="71" t="s">
        <v>1767</v>
      </c>
      <c r="D647" s="75">
        <v>0</v>
      </c>
      <c r="E647" s="75">
        <v>1980</v>
      </c>
      <c r="F647" s="75">
        <v>48385.1</v>
      </c>
      <c r="G647" s="75"/>
      <c r="H647" s="71" t="s">
        <v>511</v>
      </c>
      <c r="J647" t="s">
        <v>756</v>
      </c>
    </row>
    <row r="648" spans="1:10" x14ac:dyDescent="0.3">
      <c r="A648" s="70">
        <v>45560</v>
      </c>
      <c r="B648" t="s">
        <v>1768</v>
      </c>
      <c r="C648" s="71" t="s">
        <v>1769</v>
      </c>
      <c r="D648" s="75">
        <v>85</v>
      </c>
      <c r="E648" s="75">
        <v>0</v>
      </c>
      <c r="F648" s="75">
        <v>48300.1</v>
      </c>
      <c r="G648" s="75"/>
      <c r="H648" s="71" t="s">
        <v>511</v>
      </c>
      <c r="J648" t="s">
        <v>756</v>
      </c>
    </row>
    <row r="649" spans="1:10" x14ac:dyDescent="0.3">
      <c r="A649" s="70">
        <v>45560</v>
      </c>
      <c r="B649" t="s">
        <v>1770</v>
      </c>
      <c r="C649" s="71" t="s">
        <v>1771</v>
      </c>
      <c r="D649" s="75">
        <v>45</v>
      </c>
      <c r="E649" s="75">
        <v>0</v>
      </c>
      <c r="F649" s="75">
        <v>48255.1</v>
      </c>
      <c r="G649" s="75"/>
      <c r="H649" s="71" t="s">
        <v>511</v>
      </c>
      <c r="J649" t="s">
        <v>756</v>
      </c>
    </row>
    <row r="650" spans="1:10" x14ac:dyDescent="0.3">
      <c r="A650" s="70">
        <v>45560</v>
      </c>
      <c r="B650" t="s">
        <v>1772</v>
      </c>
      <c r="C650" s="71" t="s">
        <v>1773</v>
      </c>
      <c r="D650" s="75">
        <v>0</v>
      </c>
      <c r="E650" s="75">
        <v>45</v>
      </c>
      <c r="F650" s="75">
        <v>48300.1</v>
      </c>
      <c r="G650" s="75"/>
      <c r="H650" s="71" t="s">
        <v>511</v>
      </c>
      <c r="J650" t="s">
        <v>756</v>
      </c>
    </row>
    <row r="651" spans="1:10" x14ac:dyDescent="0.3">
      <c r="A651" s="70">
        <v>45560</v>
      </c>
      <c r="B651" t="s">
        <v>1774</v>
      </c>
      <c r="C651" s="71" t="s">
        <v>1775</v>
      </c>
      <c r="D651" s="75">
        <v>15000</v>
      </c>
      <c r="E651" s="75">
        <v>0</v>
      </c>
      <c r="F651" s="75">
        <v>33300.1</v>
      </c>
      <c r="G651" s="75"/>
      <c r="H651" s="71" t="s">
        <v>512</v>
      </c>
      <c r="J651" t="s">
        <v>756</v>
      </c>
    </row>
    <row r="652" spans="1:10" x14ac:dyDescent="0.3">
      <c r="A652" s="70">
        <v>45560</v>
      </c>
      <c r="B652" t="s">
        <v>1776</v>
      </c>
      <c r="C652" s="71" t="s">
        <v>1777</v>
      </c>
      <c r="D652" s="75">
        <v>1000</v>
      </c>
      <c r="E652" s="75">
        <v>0</v>
      </c>
      <c r="F652" s="75">
        <v>32300.1</v>
      </c>
      <c r="G652" s="75"/>
      <c r="H652" s="71" t="s">
        <v>511</v>
      </c>
      <c r="J652" t="s">
        <v>756</v>
      </c>
    </row>
    <row r="653" spans="1:10" x14ac:dyDescent="0.3">
      <c r="A653" s="70">
        <v>45561</v>
      </c>
      <c r="B653" t="s">
        <v>30</v>
      </c>
      <c r="C653" s="71" t="s">
        <v>980</v>
      </c>
      <c r="D653" s="75">
        <v>87.39</v>
      </c>
      <c r="E653" s="75">
        <v>0</v>
      </c>
      <c r="F653" s="75">
        <v>77257.52</v>
      </c>
      <c r="G653" s="75"/>
      <c r="H653" s="71" t="s">
        <v>217</v>
      </c>
      <c r="J653" t="s">
        <v>752</v>
      </c>
    </row>
    <row r="654" spans="1:10" x14ac:dyDescent="0.3">
      <c r="A654" s="70">
        <v>45561</v>
      </c>
      <c r="B654" t="s">
        <v>30</v>
      </c>
      <c r="C654" s="71" t="s">
        <v>981</v>
      </c>
      <c r="D654" s="75">
        <v>456.14</v>
      </c>
      <c r="E654" s="75">
        <v>0</v>
      </c>
      <c r="F654" s="75">
        <v>76801.38</v>
      </c>
      <c r="G654" s="75"/>
      <c r="H654" s="71" t="s">
        <v>217</v>
      </c>
      <c r="J654" t="s">
        <v>752</v>
      </c>
    </row>
    <row r="655" spans="1:10" x14ac:dyDescent="0.3">
      <c r="A655" s="70">
        <v>45561</v>
      </c>
      <c r="B655" t="s">
        <v>1778</v>
      </c>
      <c r="C655" s="71" t="s">
        <v>1779</v>
      </c>
      <c r="D655" s="75">
        <v>65</v>
      </c>
      <c r="E655" s="75">
        <v>0</v>
      </c>
      <c r="F655" s="75">
        <v>32235.1</v>
      </c>
      <c r="G655" s="75"/>
      <c r="H655" s="71" t="s">
        <v>511</v>
      </c>
      <c r="J655" t="s">
        <v>756</v>
      </c>
    </row>
    <row r="656" spans="1:10" x14ac:dyDescent="0.3">
      <c r="A656" s="70">
        <v>45561</v>
      </c>
      <c r="B656" t="s">
        <v>1780</v>
      </c>
      <c r="C656" s="71" t="s">
        <v>1781</v>
      </c>
      <c r="D656" s="75">
        <v>45</v>
      </c>
      <c r="E656" s="75">
        <v>0</v>
      </c>
      <c r="F656" s="75">
        <v>32190.1</v>
      </c>
      <c r="G656" s="75"/>
      <c r="H656" s="71" t="s">
        <v>511</v>
      </c>
      <c r="J656" t="s">
        <v>756</v>
      </c>
    </row>
    <row r="657" spans="1:10" x14ac:dyDescent="0.3">
      <c r="A657" s="70">
        <v>45561</v>
      </c>
      <c r="B657" t="s">
        <v>1782</v>
      </c>
      <c r="C657" s="71" t="s">
        <v>1783</v>
      </c>
      <c r="D657" s="75">
        <v>0</v>
      </c>
      <c r="E657" s="75">
        <v>15150</v>
      </c>
      <c r="F657" s="75">
        <v>47340.1</v>
      </c>
      <c r="G657" s="75"/>
      <c r="H657" s="71" t="s">
        <v>2534</v>
      </c>
      <c r="J657" t="s">
        <v>756</v>
      </c>
    </row>
    <row r="658" spans="1:10" x14ac:dyDescent="0.3">
      <c r="A658" s="70">
        <v>45562</v>
      </c>
      <c r="B658" t="s">
        <v>30</v>
      </c>
      <c r="C658" s="71" t="s">
        <v>982</v>
      </c>
      <c r="D658" s="75">
        <v>87.23</v>
      </c>
      <c r="E658" s="75">
        <v>0</v>
      </c>
      <c r="F658" s="75">
        <v>76714.149999999994</v>
      </c>
      <c r="G658" s="75"/>
      <c r="H658" s="71" t="s">
        <v>217</v>
      </c>
      <c r="J658" t="s">
        <v>752</v>
      </c>
    </row>
    <row r="659" spans="1:10" x14ac:dyDescent="0.3">
      <c r="A659" s="70">
        <v>45562</v>
      </c>
      <c r="B659" t="s">
        <v>30</v>
      </c>
      <c r="C659" s="71" t="s">
        <v>983</v>
      </c>
      <c r="D659" s="75">
        <v>1598.96</v>
      </c>
      <c r="E659" s="75">
        <v>0</v>
      </c>
      <c r="F659" s="75">
        <v>75115.19</v>
      </c>
      <c r="G659" s="75"/>
      <c r="H659" s="71" t="s">
        <v>217</v>
      </c>
      <c r="J659" t="s">
        <v>752</v>
      </c>
    </row>
    <row r="660" spans="1:10" x14ac:dyDescent="0.3">
      <c r="A660" s="70">
        <v>45562</v>
      </c>
      <c r="B660" t="s">
        <v>1438</v>
      </c>
      <c r="C660" s="71" t="s">
        <v>1416</v>
      </c>
      <c r="D660" s="75">
        <v>312</v>
      </c>
      <c r="E660" s="75">
        <v>0</v>
      </c>
      <c r="F660" s="75">
        <v>44792.5</v>
      </c>
      <c r="G660" s="75"/>
      <c r="H660" s="71" t="s">
        <v>511</v>
      </c>
      <c r="J660" t="s">
        <v>753</v>
      </c>
    </row>
    <row r="661" spans="1:10" x14ac:dyDescent="0.3">
      <c r="A661" s="70">
        <v>45562</v>
      </c>
      <c r="B661" t="s">
        <v>1439</v>
      </c>
      <c r="C661" s="71" t="s">
        <v>1440</v>
      </c>
      <c r="D661" s="75">
        <v>0</v>
      </c>
      <c r="E661" s="75">
        <v>312</v>
      </c>
      <c r="F661" s="75">
        <v>45104.5</v>
      </c>
      <c r="G661" s="75"/>
      <c r="H661" s="71" t="s">
        <v>511</v>
      </c>
      <c r="J661" t="s">
        <v>753</v>
      </c>
    </row>
    <row r="662" spans="1:10" x14ac:dyDescent="0.3">
      <c r="A662" s="70">
        <v>45562</v>
      </c>
      <c r="B662" t="s">
        <v>1784</v>
      </c>
      <c r="C662" s="71" t="s">
        <v>1785</v>
      </c>
      <c r="D662" s="75">
        <v>999</v>
      </c>
      <c r="E662" s="75">
        <v>0</v>
      </c>
      <c r="F662" s="75">
        <v>46341.1</v>
      </c>
      <c r="G662" s="75"/>
      <c r="H662" s="71" t="s">
        <v>511</v>
      </c>
      <c r="J662" t="s">
        <v>756</v>
      </c>
    </row>
    <row r="663" spans="1:10" x14ac:dyDescent="0.3">
      <c r="A663" s="70">
        <v>45562</v>
      </c>
      <c r="B663" t="s">
        <v>358</v>
      </c>
      <c r="C663" s="71" t="s">
        <v>1786</v>
      </c>
      <c r="D663" s="75">
        <v>0</v>
      </c>
      <c r="E663" s="75">
        <v>68895</v>
      </c>
      <c r="F663" s="75">
        <v>115236.1</v>
      </c>
      <c r="G663" s="75"/>
      <c r="H663" s="71" t="s">
        <v>507</v>
      </c>
      <c r="J663" t="s">
        <v>756</v>
      </c>
    </row>
    <row r="664" spans="1:10" x14ac:dyDescent="0.3">
      <c r="A664" s="70">
        <v>45563</v>
      </c>
      <c r="B664" t="s">
        <v>984</v>
      </c>
      <c r="C664" s="71" t="s">
        <v>985</v>
      </c>
      <c r="D664" s="75">
        <v>0</v>
      </c>
      <c r="E664" s="75">
        <v>30000</v>
      </c>
      <c r="F664" s="75">
        <v>105115.19</v>
      </c>
      <c r="G664" s="75"/>
      <c r="H664" s="71" t="s">
        <v>505</v>
      </c>
      <c r="J664" t="s">
        <v>752</v>
      </c>
    </row>
    <row r="665" spans="1:10" x14ac:dyDescent="0.3">
      <c r="A665" s="70">
        <v>45563</v>
      </c>
      <c r="B665" t="s">
        <v>1787</v>
      </c>
      <c r="C665" s="71" t="s">
        <v>1788</v>
      </c>
      <c r="D665" s="75">
        <v>0</v>
      </c>
      <c r="E665" s="75">
        <v>1000</v>
      </c>
      <c r="F665" s="75">
        <v>116236.1</v>
      </c>
      <c r="G665" s="75"/>
      <c r="H665" s="71" t="s">
        <v>511</v>
      </c>
      <c r="J665" t="s">
        <v>756</v>
      </c>
    </row>
    <row r="666" spans="1:10" x14ac:dyDescent="0.3">
      <c r="A666" s="70">
        <v>45563</v>
      </c>
      <c r="B666" t="s">
        <v>1789</v>
      </c>
      <c r="C666" s="71" t="s">
        <v>1790</v>
      </c>
      <c r="D666" s="75">
        <v>110</v>
      </c>
      <c r="E666" s="75">
        <v>0</v>
      </c>
      <c r="F666" s="75">
        <v>116126.1</v>
      </c>
      <c r="G666" s="75"/>
      <c r="H666" s="71" t="s">
        <v>511</v>
      </c>
      <c r="J666" t="s">
        <v>756</v>
      </c>
    </row>
    <row r="667" spans="1:10" x14ac:dyDescent="0.3">
      <c r="A667" s="70">
        <v>45565</v>
      </c>
      <c r="B667" t="s">
        <v>986</v>
      </c>
      <c r="C667" s="71" t="s">
        <v>987</v>
      </c>
      <c r="D667" s="75">
        <v>5000</v>
      </c>
      <c r="E667" s="75">
        <v>0</v>
      </c>
      <c r="F667" s="75">
        <v>100115.19</v>
      </c>
      <c r="G667" s="75"/>
      <c r="H667" s="71" t="s">
        <v>219</v>
      </c>
      <c r="J667" t="s">
        <v>752</v>
      </c>
    </row>
    <row r="668" spans="1:10" x14ac:dyDescent="0.3">
      <c r="A668" s="70">
        <v>45565</v>
      </c>
      <c r="B668" t="s">
        <v>988</v>
      </c>
      <c r="C668" s="71" t="s">
        <v>989</v>
      </c>
      <c r="D668" s="75">
        <v>5000</v>
      </c>
      <c r="E668" s="75">
        <v>0</v>
      </c>
      <c r="F668" s="75">
        <v>95115.19</v>
      </c>
      <c r="G668" s="75"/>
      <c r="H668" s="71" t="s">
        <v>219</v>
      </c>
      <c r="J668" t="s">
        <v>752</v>
      </c>
    </row>
    <row r="669" spans="1:10" x14ac:dyDescent="0.3">
      <c r="A669" s="70">
        <v>45565</v>
      </c>
      <c r="B669" t="s">
        <v>30</v>
      </c>
      <c r="C669" s="71" t="s">
        <v>990</v>
      </c>
      <c r="D669" s="75">
        <v>259.98</v>
      </c>
      <c r="E669" s="75">
        <v>0</v>
      </c>
      <c r="F669" s="75">
        <v>94855.21</v>
      </c>
      <c r="G669" s="75"/>
      <c r="H669" s="71" t="s">
        <v>217</v>
      </c>
      <c r="J669" t="s">
        <v>752</v>
      </c>
    </row>
    <row r="670" spans="1:10" x14ac:dyDescent="0.3">
      <c r="A670" s="70">
        <v>45565</v>
      </c>
      <c r="B670" t="s">
        <v>991</v>
      </c>
      <c r="C670" s="71" t="s">
        <v>992</v>
      </c>
      <c r="D670" s="75">
        <v>0</v>
      </c>
      <c r="E670" s="75">
        <v>39</v>
      </c>
      <c r="F670" s="75">
        <v>94894.21</v>
      </c>
      <c r="G670" s="75"/>
      <c r="H670" s="71" t="s">
        <v>218</v>
      </c>
      <c r="J670" t="s">
        <v>752</v>
      </c>
    </row>
    <row r="671" spans="1:10" x14ac:dyDescent="0.3">
      <c r="A671" s="70">
        <v>45565</v>
      </c>
      <c r="B671" t="s">
        <v>30</v>
      </c>
      <c r="C671" s="71" t="s">
        <v>993</v>
      </c>
      <c r="D671" s="75">
        <v>4068.04</v>
      </c>
      <c r="E671" s="75">
        <v>0</v>
      </c>
      <c r="F671" s="75">
        <v>90826.17</v>
      </c>
      <c r="G671" s="75"/>
      <c r="H671" s="71" t="s">
        <v>217</v>
      </c>
      <c r="J671" t="s">
        <v>752</v>
      </c>
    </row>
    <row r="672" spans="1:10" x14ac:dyDescent="0.3">
      <c r="A672" s="70">
        <v>45565</v>
      </c>
      <c r="B672" t="s">
        <v>994</v>
      </c>
      <c r="C672" s="71" t="s">
        <v>46</v>
      </c>
      <c r="D672" s="75">
        <v>0</v>
      </c>
      <c r="E672" s="75">
        <v>1145</v>
      </c>
      <c r="F672" s="75">
        <v>91971.17</v>
      </c>
      <c r="G672" s="75"/>
      <c r="H672" s="71" t="s">
        <v>227</v>
      </c>
      <c r="J672" t="s">
        <v>752</v>
      </c>
    </row>
    <row r="673" spans="1:10" x14ac:dyDescent="0.3">
      <c r="A673" s="70">
        <v>45565</v>
      </c>
      <c r="B673" t="s">
        <v>1441</v>
      </c>
      <c r="C673" s="71" t="s">
        <v>547</v>
      </c>
      <c r="D673" s="75">
        <v>0</v>
      </c>
      <c r="E673" s="75">
        <v>80</v>
      </c>
      <c r="F673" s="75">
        <v>45184.5</v>
      </c>
      <c r="G673" s="75"/>
      <c r="H673" s="71" t="s">
        <v>511</v>
      </c>
      <c r="J673" t="s">
        <v>753</v>
      </c>
    </row>
    <row r="674" spans="1:10" x14ac:dyDescent="0.3">
      <c r="A674" s="70">
        <v>45565</v>
      </c>
      <c r="B674" t="s">
        <v>1791</v>
      </c>
      <c r="C674" s="71" t="s">
        <v>1792</v>
      </c>
      <c r="D674" s="75">
        <v>15000</v>
      </c>
      <c r="E674" s="75">
        <v>0</v>
      </c>
      <c r="F674" s="75">
        <v>101126.1</v>
      </c>
      <c r="G674" s="75"/>
      <c r="H674" s="71" t="s">
        <v>512</v>
      </c>
      <c r="J674" t="s">
        <v>756</v>
      </c>
    </row>
    <row r="675" spans="1:10" x14ac:dyDescent="0.3">
      <c r="A675" s="70">
        <v>45565</v>
      </c>
      <c r="B675" t="s">
        <v>1793</v>
      </c>
      <c r="C675" s="71" t="s">
        <v>1794</v>
      </c>
      <c r="D675" s="75">
        <v>100</v>
      </c>
      <c r="E675" s="75">
        <v>0</v>
      </c>
      <c r="F675" s="75">
        <v>101026.1</v>
      </c>
      <c r="G675" s="75"/>
      <c r="H675" s="71" t="s">
        <v>511</v>
      </c>
      <c r="J675" t="s">
        <v>756</v>
      </c>
    </row>
    <row r="676" spans="1:10" x14ac:dyDescent="0.3">
      <c r="A676" s="70">
        <v>45565</v>
      </c>
      <c r="B676" t="s">
        <v>1795</v>
      </c>
      <c r="C676" s="71" t="s">
        <v>1796</v>
      </c>
      <c r="D676" s="75">
        <v>270</v>
      </c>
      <c r="E676" s="75">
        <v>0</v>
      </c>
      <c r="F676" s="75">
        <v>100756.1</v>
      </c>
      <c r="G676" s="75"/>
      <c r="H676" s="71" t="s">
        <v>511</v>
      </c>
      <c r="J676" t="s">
        <v>756</v>
      </c>
    </row>
    <row r="677" spans="1:10" x14ac:dyDescent="0.3">
      <c r="A677" s="70">
        <v>45565</v>
      </c>
      <c r="B677" t="s">
        <v>1797</v>
      </c>
      <c r="C677" s="71"/>
      <c r="D677" s="75">
        <v>0</v>
      </c>
      <c r="E677" s="75">
        <v>436</v>
      </c>
      <c r="F677" s="75">
        <v>101192.1</v>
      </c>
      <c r="G677" s="75"/>
      <c r="H677" s="71" t="s">
        <v>227</v>
      </c>
      <c r="J677" t="s">
        <v>756</v>
      </c>
    </row>
    <row r="678" spans="1:10" x14ac:dyDescent="0.3">
      <c r="A678" s="70">
        <v>45566</v>
      </c>
      <c r="B678" t="s">
        <v>806</v>
      </c>
      <c r="C678" s="71" t="s">
        <v>252</v>
      </c>
      <c r="D678" s="75">
        <v>0</v>
      </c>
      <c r="E678" s="75">
        <v>128</v>
      </c>
      <c r="F678" s="75">
        <v>17100.03</v>
      </c>
      <c r="G678" s="75"/>
      <c r="H678" s="71" t="s">
        <v>227</v>
      </c>
      <c r="J678" s="76" t="s">
        <v>755</v>
      </c>
    </row>
    <row r="679" spans="1:10" x14ac:dyDescent="0.3">
      <c r="A679" s="70">
        <v>45566</v>
      </c>
      <c r="B679" t="s">
        <v>30</v>
      </c>
      <c r="C679" s="71" t="s">
        <v>995</v>
      </c>
      <c r="D679" s="75">
        <v>85.21</v>
      </c>
      <c r="E679" s="75">
        <v>0</v>
      </c>
      <c r="F679" s="75">
        <v>91885.96</v>
      </c>
      <c r="G679" s="75"/>
      <c r="H679" s="71" t="s">
        <v>217</v>
      </c>
      <c r="J679" t="s">
        <v>752</v>
      </c>
    </row>
    <row r="680" spans="1:10" x14ac:dyDescent="0.3">
      <c r="A680" s="70">
        <v>45566</v>
      </c>
      <c r="B680" t="s">
        <v>1442</v>
      </c>
      <c r="C680" s="71" t="s">
        <v>558</v>
      </c>
      <c r="D680" s="75">
        <v>0</v>
      </c>
      <c r="E680" s="75">
        <v>35</v>
      </c>
      <c r="F680" s="75">
        <v>45219.5</v>
      </c>
      <c r="G680" s="75"/>
      <c r="H680" s="71" t="s">
        <v>511</v>
      </c>
      <c r="J680" t="s">
        <v>753</v>
      </c>
    </row>
    <row r="681" spans="1:10" x14ac:dyDescent="0.3">
      <c r="A681" s="70">
        <v>45566</v>
      </c>
      <c r="B681" t="s">
        <v>1798</v>
      </c>
      <c r="C681" s="71" t="s">
        <v>1799</v>
      </c>
      <c r="D681" s="75">
        <v>90</v>
      </c>
      <c r="E681" s="75">
        <v>0</v>
      </c>
      <c r="F681" s="75">
        <v>101102.1</v>
      </c>
      <c r="G681" s="75"/>
      <c r="H681" s="71" t="s">
        <v>511</v>
      </c>
      <c r="J681" t="s">
        <v>756</v>
      </c>
    </row>
    <row r="682" spans="1:10" x14ac:dyDescent="0.3">
      <c r="A682" s="70">
        <v>45566</v>
      </c>
      <c r="B682" t="s">
        <v>1800</v>
      </c>
      <c r="C682" s="71" t="s">
        <v>1801</v>
      </c>
      <c r="D682" s="75">
        <v>165</v>
      </c>
      <c r="E682" s="75">
        <v>0</v>
      </c>
      <c r="F682" s="75">
        <v>100937.1</v>
      </c>
      <c r="G682" s="75"/>
      <c r="H682" s="71" t="s">
        <v>511</v>
      </c>
      <c r="J682" t="s">
        <v>756</v>
      </c>
    </row>
    <row r="683" spans="1:10" x14ac:dyDescent="0.3">
      <c r="A683" s="70">
        <v>45566</v>
      </c>
      <c r="B683" t="s">
        <v>1802</v>
      </c>
      <c r="C683" s="71" t="s">
        <v>1803</v>
      </c>
      <c r="D683" s="75">
        <v>35</v>
      </c>
      <c r="E683" s="75">
        <v>0</v>
      </c>
      <c r="F683" s="75">
        <v>100902.1</v>
      </c>
      <c r="G683" s="75"/>
      <c r="H683" s="71" t="s">
        <v>511</v>
      </c>
      <c r="J683" t="s">
        <v>756</v>
      </c>
    </row>
    <row r="684" spans="1:10" x14ac:dyDescent="0.3">
      <c r="A684" s="70">
        <v>45566</v>
      </c>
      <c r="B684" t="s">
        <v>2566</v>
      </c>
      <c r="C684" s="71"/>
      <c r="D684" s="75">
        <v>0</v>
      </c>
      <c r="E684" s="75">
        <v>1</v>
      </c>
      <c r="F684" s="75">
        <v>231</v>
      </c>
      <c r="G684" s="75"/>
      <c r="H684" s="71" t="s">
        <v>227</v>
      </c>
      <c r="J684" t="s">
        <v>2573</v>
      </c>
    </row>
    <row r="685" spans="1:10" x14ac:dyDescent="0.3">
      <c r="A685" s="70">
        <v>45567</v>
      </c>
      <c r="B685" t="s">
        <v>996</v>
      </c>
      <c r="C685" s="71" t="s">
        <v>997</v>
      </c>
      <c r="D685" s="75">
        <v>11240</v>
      </c>
      <c r="E685" s="75">
        <v>0</v>
      </c>
      <c r="F685" s="75">
        <v>80645.960000000006</v>
      </c>
      <c r="G685" s="75"/>
      <c r="H685" s="71" t="s">
        <v>2526</v>
      </c>
      <c r="J685" t="s">
        <v>752</v>
      </c>
    </row>
    <row r="686" spans="1:10" x14ac:dyDescent="0.3">
      <c r="A686" s="70">
        <v>45567</v>
      </c>
      <c r="B686" t="s">
        <v>1804</v>
      </c>
      <c r="C686" s="71" t="s">
        <v>1805</v>
      </c>
      <c r="D686" s="75">
        <v>20308.87</v>
      </c>
      <c r="E686" s="75">
        <v>0</v>
      </c>
      <c r="F686" s="75">
        <v>80593.23</v>
      </c>
      <c r="G686" s="75"/>
      <c r="H686" s="71" t="s">
        <v>511</v>
      </c>
      <c r="J686" t="s">
        <v>756</v>
      </c>
    </row>
    <row r="687" spans="1:10" x14ac:dyDescent="0.3">
      <c r="A687" s="70">
        <v>45567</v>
      </c>
      <c r="B687" t="s">
        <v>1806</v>
      </c>
      <c r="C687" s="71" t="s">
        <v>1807</v>
      </c>
      <c r="D687" s="75">
        <v>187.25</v>
      </c>
      <c r="E687" s="75">
        <v>0</v>
      </c>
      <c r="F687" s="75">
        <v>80405.98</v>
      </c>
      <c r="G687" s="75"/>
      <c r="H687" s="71" t="s">
        <v>511</v>
      </c>
      <c r="J687" t="s">
        <v>756</v>
      </c>
    </row>
    <row r="688" spans="1:10" x14ac:dyDescent="0.3">
      <c r="A688" s="70">
        <v>45568</v>
      </c>
      <c r="B688" t="s">
        <v>998</v>
      </c>
      <c r="C688" s="71" t="s">
        <v>999</v>
      </c>
      <c r="D688" s="75">
        <v>0</v>
      </c>
      <c r="E688" s="75">
        <v>1411.24</v>
      </c>
      <c r="F688" s="75">
        <v>82057.2</v>
      </c>
      <c r="G688" s="75"/>
      <c r="H688" s="71" t="s">
        <v>2523</v>
      </c>
      <c r="J688" t="s">
        <v>752</v>
      </c>
    </row>
    <row r="689" spans="1:10" x14ac:dyDescent="0.3">
      <c r="A689" s="70">
        <v>45568</v>
      </c>
      <c r="B689" t="s">
        <v>30</v>
      </c>
      <c r="C689" s="71" t="s">
        <v>1000</v>
      </c>
      <c r="D689" s="75">
        <v>170.42</v>
      </c>
      <c r="E689" s="75">
        <v>0</v>
      </c>
      <c r="F689" s="75">
        <v>81886.78</v>
      </c>
      <c r="G689" s="75"/>
      <c r="H689" s="71" t="s">
        <v>217</v>
      </c>
      <c r="J689" t="s">
        <v>752</v>
      </c>
    </row>
    <row r="690" spans="1:10" x14ac:dyDescent="0.3">
      <c r="A690" s="70">
        <v>45568</v>
      </c>
      <c r="B690" t="s">
        <v>1443</v>
      </c>
      <c r="C690" s="71" t="s">
        <v>1444</v>
      </c>
      <c r="D690" s="75">
        <v>5000</v>
      </c>
      <c r="E690" s="75">
        <v>0</v>
      </c>
      <c r="F690" s="75">
        <v>40219.5</v>
      </c>
      <c r="G690" s="75"/>
      <c r="H690" s="71" t="s">
        <v>511</v>
      </c>
      <c r="J690" t="s">
        <v>753</v>
      </c>
    </row>
    <row r="691" spans="1:10" x14ac:dyDescent="0.3">
      <c r="A691" s="70">
        <v>45568</v>
      </c>
      <c r="B691" t="s">
        <v>1445</v>
      </c>
      <c r="C691" s="71" t="s">
        <v>1444</v>
      </c>
      <c r="D691" s="75">
        <v>5000</v>
      </c>
      <c r="E691" s="75">
        <v>0</v>
      </c>
      <c r="F691" s="75">
        <v>35219.5</v>
      </c>
      <c r="G691" s="75"/>
      <c r="H691" s="71" t="s">
        <v>511</v>
      </c>
      <c r="J691" t="s">
        <v>753</v>
      </c>
    </row>
    <row r="692" spans="1:10" x14ac:dyDescent="0.3">
      <c r="A692" s="70">
        <v>45568</v>
      </c>
      <c r="B692" t="s">
        <v>1446</v>
      </c>
      <c r="C692" s="71" t="s">
        <v>1444</v>
      </c>
      <c r="D692" s="75">
        <v>3000</v>
      </c>
      <c r="E692" s="75">
        <v>0</v>
      </c>
      <c r="F692" s="75">
        <v>32219.5</v>
      </c>
      <c r="G692" s="75"/>
      <c r="H692" s="71" t="s">
        <v>511</v>
      </c>
      <c r="J692" t="s">
        <v>753</v>
      </c>
    </row>
    <row r="693" spans="1:10" x14ac:dyDescent="0.3">
      <c r="A693" s="70">
        <v>45568</v>
      </c>
      <c r="B693" t="s">
        <v>1447</v>
      </c>
      <c r="C693" s="71" t="s">
        <v>1444</v>
      </c>
      <c r="D693" s="75">
        <v>9000</v>
      </c>
      <c r="E693" s="75">
        <v>0</v>
      </c>
      <c r="F693" s="75">
        <v>23219.5</v>
      </c>
      <c r="G693" s="75"/>
      <c r="H693" s="71" t="s">
        <v>511</v>
      </c>
      <c r="J693" t="s">
        <v>753</v>
      </c>
    </row>
    <row r="694" spans="1:10" x14ac:dyDescent="0.3">
      <c r="A694" s="70">
        <v>45568</v>
      </c>
      <c r="B694" t="s">
        <v>1448</v>
      </c>
      <c r="C694" s="71" t="s">
        <v>1440</v>
      </c>
      <c r="D694" s="75">
        <v>0</v>
      </c>
      <c r="E694" s="75">
        <v>22000</v>
      </c>
      <c r="F694" s="75">
        <v>45219.5</v>
      </c>
      <c r="G694" s="75"/>
      <c r="H694" s="71" t="s">
        <v>511</v>
      </c>
      <c r="J694" t="s">
        <v>753</v>
      </c>
    </row>
    <row r="695" spans="1:10" x14ac:dyDescent="0.3">
      <c r="A695" s="70">
        <v>45568</v>
      </c>
      <c r="B695" t="s">
        <v>1808</v>
      </c>
      <c r="C695" s="71" t="s">
        <v>1809</v>
      </c>
      <c r="D695" s="75">
        <v>65</v>
      </c>
      <c r="E695" s="75">
        <v>0</v>
      </c>
      <c r="F695" s="75">
        <v>80340.98</v>
      </c>
      <c r="G695" s="75"/>
      <c r="H695" s="71" t="s">
        <v>511</v>
      </c>
      <c r="J695" t="s">
        <v>756</v>
      </c>
    </row>
    <row r="696" spans="1:10" x14ac:dyDescent="0.3">
      <c r="A696" s="70">
        <v>45569</v>
      </c>
      <c r="B696" t="s">
        <v>30</v>
      </c>
      <c r="C696" s="71" t="s">
        <v>1001</v>
      </c>
      <c r="D696" s="75">
        <v>3856.02</v>
      </c>
      <c r="E696" s="75">
        <v>0</v>
      </c>
      <c r="F696" s="75">
        <v>78030.759999999995</v>
      </c>
      <c r="G696" s="75"/>
      <c r="H696" s="71" t="s">
        <v>217</v>
      </c>
      <c r="J696" t="s">
        <v>752</v>
      </c>
    </row>
    <row r="697" spans="1:10" x14ac:dyDescent="0.3">
      <c r="A697" s="70">
        <v>45569</v>
      </c>
      <c r="B697" t="s">
        <v>30</v>
      </c>
      <c r="C697" s="71" t="s">
        <v>1002</v>
      </c>
      <c r="D697" s="75">
        <v>84.34</v>
      </c>
      <c r="E697" s="75">
        <v>0</v>
      </c>
      <c r="F697" s="75">
        <v>77946.42</v>
      </c>
      <c r="G697" s="75"/>
      <c r="H697" s="71" t="s">
        <v>217</v>
      </c>
      <c r="J697" t="s">
        <v>752</v>
      </c>
    </row>
    <row r="698" spans="1:10" x14ac:dyDescent="0.3">
      <c r="A698" s="70">
        <v>45569</v>
      </c>
      <c r="B698" t="s">
        <v>30</v>
      </c>
      <c r="C698" s="71" t="s">
        <v>1003</v>
      </c>
      <c r="D698" s="75">
        <v>1807.01</v>
      </c>
      <c r="E698" s="75">
        <v>0</v>
      </c>
      <c r="F698" s="75">
        <v>76139.41</v>
      </c>
      <c r="G698" s="75"/>
      <c r="H698" s="71" t="s">
        <v>217</v>
      </c>
      <c r="J698" t="s">
        <v>752</v>
      </c>
    </row>
    <row r="699" spans="1:10" x14ac:dyDescent="0.3">
      <c r="A699" s="70">
        <v>45569</v>
      </c>
      <c r="B699" t="s">
        <v>1810</v>
      </c>
      <c r="C699" s="71" t="s">
        <v>1811</v>
      </c>
      <c r="D699" s="75">
        <v>22000</v>
      </c>
      <c r="E699" s="75">
        <v>0</v>
      </c>
      <c r="F699" s="75">
        <v>58340.98</v>
      </c>
      <c r="G699" s="75"/>
      <c r="H699" s="71" t="s">
        <v>511</v>
      </c>
      <c r="J699" t="s">
        <v>756</v>
      </c>
    </row>
    <row r="700" spans="1:10" x14ac:dyDescent="0.3">
      <c r="A700" s="70">
        <v>45570</v>
      </c>
      <c r="B700" t="s">
        <v>1449</v>
      </c>
      <c r="C700" s="71" t="s">
        <v>1450</v>
      </c>
      <c r="D700" s="75">
        <v>0</v>
      </c>
      <c r="E700" s="75">
        <v>3078.82</v>
      </c>
      <c r="F700" s="75">
        <v>48298.32</v>
      </c>
      <c r="G700" s="75"/>
      <c r="H700" s="71" t="s">
        <v>508</v>
      </c>
      <c r="J700" t="s">
        <v>753</v>
      </c>
    </row>
    <row r="701" spans="1:10" x14ac:dyDescent="0.3">
      <c r="A701" s="70">
        <v>45572</v>
      </c>
      <c r="B701" t="s">
        <v>1004</v>
      </c>
      <c r="C701" s="71" t="s">
        <v>1005</v>
      </c>
      <c r="D701" s="75">
        <v>0</v>
      </c>
      <c r="E701" s="75">
        <v>48407.81</v>
      </c>
      <c r="F701" s="75">
        <v>124547.22</v>
      </c>
      <c r="G701" s="75"/>
      <c r="H701" s="71" t="s">
        <v>2523</v>
      </c>
      <c r="J701" t="s">
        <v>752</v>
      </c>
    </row>
    <row r="702" spans="1:10" x14ac:dyDescent="0.3">
      <c r="A702" s="70">
        <v>45572</v>
      </c>
      <c r="B702" t="s">
        <v>30</v>
      </c>
      <c r="C702" s="71" t="s">
        <v>1006</v>
      </c>
      <c r="D702" s="75">
        <v>258.57</v>
      </c>
      <c r="E702" s="75">
        <v>0</v>
      </c>
      <c r="F702" s="75">
        <v>124288.65</v>
      </c>
      <c r="G702" s="75"/>
      <c r="H702" s="71" t="s">
        <v>217</v>
      </c>
      <c r="J702" t="s">
        <v>752</v>
      </c>
    </row>
    <row r="703" spans="1:10" x14ac:dyDescent="0.3">
      <c r="A703" s="70">
        <v>45572</v>
      </c>
      <c r="B703" t="s">
        <v>1007</v>
      </c>
      <c r="C703" s="71" t="s">
        <v>1008</v>
      </c>
      <c r="D703" s="75">
        <v>0</v>
      </c>
      <c r="E703" s="75">
        <v>1880</v>
      </c>
      <c r="F703" s="75">
        <v>126168.65</v>
      </c>
      <c r="G703" s="75"/>
      <c r="H703" s="71" t="s">
        <v>222</v>
      </c>
      <c r="J703" t="s">
        <v>752</v>
      </c>
    </row>
    <row r="704" spans="1:10" x14ac:dyDescent="0.3">
      <c r="A704" s="70">
        <v>45572</v>
      </c>
      <c r="B704" t="s">
        <v>30</v>
      </c>
      <c r="C704" s="71" t="s">
        <v>1009</v>
      </c>
      <c r="D704" s="75">
        <v>2029.43</v>
      </c>
      <c r="E704" s="75">
        <v>0</v>
      </c>
      <c r="F704" s="75">
        <v>124139.22</v>
      </c>
      <c r="G704" s="75"/>
      <c r="H704" s="71" t="s">
        <v>217</v>
      </c>
      <c r="J704" t="s">
        <v>752</v>
      </c>
    </row>
    <row r="705" spans="1:10" x14ac:dyDescent="0.3">
      <c r="A705" s="70">
        <v>45572</v>
      </c>
      <c r="B705" t="s">
        <v>1451</v>
      </c>
      <c r="C705" s="71" t="s">
        <v>574</v>
      </c>
      <c r="D705" s="75">
        <v>5000</v>
      </c>
      <c r="E705" s="75">
        <v>0</v>
      </c>
      <c r="F705" s="75">
        <v>43298.32</v>
      </c>
      <c r="G705" s="75"/>
      <c r="H705" s="71" t="s">
        <v>511</v>
      </c>
      <c r="J705" t="s">
        <v>753</v>
      </c>
    </row>
    <row r="706" spans="1:10" x14ac:dyDescent="0.3">
      <c r="A706" s="70">
        <v>45572</v>
      </c>
      <c r="B706" t="s">
        <v>1812</v>
      </c>
      <c r="C706" s="71" t="s">
        <v>1813</v>
      </c>
      <c r="D706" s="75">
        <v>220</v>
      </c>
      <c r="E706" s="75">
        <v>0</v>
      </c>
      <c r="F706" s="75">
        <v>58120.98</v>
      </c>
      <c r="G706" s="75"/>
      <c r="H706" s="71" t="s">
        <v>511</v>
      </c>
      <c r="J706" t="s">
        <v>756</v>
      </c>
    </row>
    <row r="707" spans="1:10" x14ac:dyDescent="0.3">
      <c r="A707" s="70">
        <v>45572</v>
      </c>
      <c r="B707" t="s">
        <v>1814</v>
      </c>
      <c r="C707" s="71" t="s">
        <v>1815</v>
      </c>
      <c r="D707" s="75">
        <v>0</v>
      </c>
      <c r="E707" s="75">
        <v>1</v>
      </c>
      <c r="F707" s="75">
        <v>58121.98</v>
      </c>
      <c r="G707" s="75"/>
      <c r="H707" s="71" t="s">
        <v>508</v>
      </c>
      <c r="J707" t="s">
        <v>756</v>
      </c>
    </row>
    <row r="708" spans="1:10" x14ac:dyDescent="0.3">
      <c r="A708" s="70">
        <v>45573</v>
      </c>
      <c r="B708" t="s">
        <v>30</v>
      </c>
      <c r="C708" s="71" t="s">
        <v>1010</v>
      </c>
      <c r="D708" s="75">
        <v>85.46</v>
      </c>
      <c r="E708" s="75">
        <v>0</v>
      </c>
      <c r="F708" s="75">
        <v>124053.75999999999</v>
      </c>
      <c r="G708" s="75"/>
      <c r="H708" s="71" t="s">
        <v>217</v>
      </c>
      <c r="J708" t="s">
        <v>752</v>
      </c>
    </row>
    <row r="709" spans="1:10" x14ac:dyDescent="0.3">
      <c r="A709" s="70">
        <v>45573</v>
      </c>
      <c r="B709" t="s">
        <v>1816</v>
      </c>
      <c r="C709" s="71" t="s">
        <v>1817</v>
      </c>
      <c r="D709" s="75">
        <v>100</v>
      </c>
      <c r="E709" s="75">
        <v>0</v>
      </c>
      <c r="F709" s="75">
        <v>58021.98</v>
      </c>
      <c r="G709" s="75"/>
      <c r="H709" s="71" t="s">
        <v>511</v>
      </c>
      <c r="J709" t="s">
        <v>756</v>
      </c>
    </row>
    <row r="710" spans="1:10" x14ac:dyDescent="0.3">
      <c r="A710" s="70">
        <v>45573</v>
      </c>
      <c r="B710" t="s">
        <v>1818</v>
      </c>
      <c r="C710" s="71" t="s">
        <v>1819</v>
      </c>
      <c r="D710" s="75">
        <v>220</v>
      </c>
      <c r="E710" s="75">
        <v>0</v>
      </c>
      <c r="F710" s="75">
        <v>57801.98</v>
      </c>
      <c r="G710" s="75"/>
      <c r="H710" s="71" t="s">
        <v>511</v>
      </c>
      <c r="J710" t="s">
        <v>756</v>
      </c>
    </row>
    <row r="711" spans="1:10" x14ac:dyDescent="0.3">
      <c r="A711" s="70">
        <v>45573</v>
      </c>
      <c r="B711" t="s">
        <v>1820</v>
      </c>
      <c r="C711" s="71" t="s">
        <v>1821</v>
      </c>
      <c r="D711" s="75">
        <v>35</v>
      </c>
      <c r="E711" s="75">
        <v>0</v>
      </c>
      <c r="F711" s="75">
        <v>57766.98</v>
      </c>
      <c r="G711" s="75"/>
      <c r="H711" s="71" t="s">
        <v>511</v>
      </c>
      <c r="J711" t="s">
        <v>756</v>
      </c>
    </row>
    <row r="712" spans="1:10" x14ac:dyDescent="0.3">
      <c r="A712" s="70">
        <v>45574</v>
      </c>
      <c r="B712" t="s">
        <v>1011</v>
      </c>
      <c r="C712" s="71" t="s">
        <v>1012</v>
      </c>
      <c r="D712" s="75">
        <v>0</v>
      </c>
      <c r="E712" s="75">
        <v>1680.05</v>
      </c>
      <c r="F712" s="75">
        <v>125733.81</v>
      </c>
      <c r="G712" s="75"/>
      <c r="H712" s="71" t="s">
        <v>2523</v>
      </c>
      <c r="J712" t="s">
        <v>752</v>
      </c>
    </row>
    <row r="713" spans="1:10" x14ac:dyDescent="0.3">
      <c r="A713" s="70">
        <v>45574</v>
      </c>
      <c r="B713" t="s">
        <v>30</v>
      </c>
      <c r="C713" s="71" t="s">
        <v>1013</v>
      </c>
      <c r="D713" s="75">
        <v>85.46</v>
      </c>
      <c r="E713" s="75">
        <v>0</v>
      </c>
      <c r="F713" s="75">
        <v>125648.35</v>
      </c>
      <c r="G713" s="75"/>
      <c r="H713" s="71" t="s">
        <v>217</v>
      </c>
      <c r="J713" t="s">
        <v>752</v>
      </c>
    </row>
    <row r="714" spans="1:10" x14ac:dyDescent="0.3">
      <c r="A714" s="70">
        <v>45574</v>
      </c>
      <c r="B714" t="s">
        <v>1822</v>
      </c>
      <c r="C714" s="71">
        <v>428308321927</v>
      </c>
      <c r="D714" s="75">
        <v>758.62</v>
      </c>
      <c r="E714" s="75">
        <v>0</v>
      </c>
      <c r="F714" s="75">
        <v>57008.36</v>
      </c>
      <c r="G714" s="75"/>
      <c r="H714" s="71" t="s">
        <v>589</v>
      </c>
      <c r="J714" t="s">
        <v>756</v>
      </c>
    </row>
    <row r="715" spans="1:10" x14ac:dyDescent="0.3">
      <c r="A715" s="70">
        <v>45575</v>
      </c>
      <c r="B715" t="s">
        <v>1014</v>
      </c>
      <c r="C715" s="71" t="s">
        <v>1015</v>
      </c>
      <c r="D715" s="75">
        <v>0</v>
      </c>
      <c r="E715" s="75">
        <v>1108.3499999999999</v>
      </c>
      <c r="F715" s="75">
        <v>126756.7</v>
      </c>
      <c r="G715" s="75"/>
      <c r="H715" s="71" t="s">
        <v>2523</v>
      </c>
      <c r="J715" t="s">
        <v>752</v>
      </c>
    </row>
    <row r="716" spans="1:10" x14ac:dyDescent="0.3">
      <c r="A716" s="70">
        <v>45575</v>
      </c>
      <c r="B716" t="s">
        <v>1016</v>
      </c>
      <c r="C716" s="71" t="s">
        <v>1017</v>
      </c>
      <c r="D716" s="75">
        <v>0</v>
      </c>
      <c r="E716" s="75">
        <v>23346.43</v>
      </c>
      <c r="F716" s="75">
        <v>150103.13</v>
      </c>
      <c r="G716" s="75"/>
      <c r="H716" s="71" t="s">
        <v>2523</v>
      </c>
      <c r="J716" t="s">
        <v>752</v>
      </c>
    </row>
    <row r="717" spans="1:10" x14ac:dyDescent="0.3">
      <c r="A717" s="70">
        <v>45575</v>
      </c>
      <c r="B717" t="s">
        <v>30</v>
      </c>
      <c r="C717" s="71" t="s">
        <v>1018</v>
      </c>
      <c r="D717" s="75">
        <v>86.06</v>
      </c>
      <c r="E717" s="75">
        <v>0</v>
      </c>
      <c r="F717" s="75">
        <v>150017.07</v>
      </c>
      <c r="G717" s="75"/>
      <c r="H717" s="71" t="s">
        <v>217</v>
      </c>
      <c r="J717" t="s">
        <v>752</v>
      </c>
    </row>
    <row r="718" spans="1:10" x14ac:dyDescent="0.3">
      <c r="A718" s="70">
        <v>45575</v>
      </c>
      <c r="B718" t="s">
        <v>1019</v>
      </c>
      <c r="C718" s="71" t="s">
        <v>1020</v>
      </c>
      <c r="D718" s="75">
        <v>0</v>
      </c>
      <c r="E718" s="75">
        <v>20</v>
      </c>
      <c r="F718" s="75">
        <v>150037.07</v>
      </c>
      <c r="G718" s="75"/>
      <c r="H718" s="71" t="s">
        <v>218</v>
      </c>
      <c r="J718" t="s">
        <v>752</v>
      </c>
    </row>
    <row r="719" spans="1:10" x14ac:dyDescent="0.3">
      <c r="A719" s="70">
        <v>45575</v>
      </c>
      <c r="B719" t="s">
        <v>1021</v>
      </c>
      <c r="C719" s="71" t="s">
        <v>1022</v>
      </c>
      <c r="D719" s="75">
        <v>0</v>
      </c>
      <c r="E719" s="75">
        <v>75000</v>
      </c>
      <c r="F719" s="75">
        <v>225037.07</v>
      </c>
      <c r="G719" s="75"/>
      <c r="H719" s="71" t="s">
        <v>505</v>
      </c>
      <c r="J719" t="s">
        <v>752</v>
      </c>
    </row>
    <row r="720" spans="1:10" x14ac:dyDescent="0.3">
      <c r="A720" s="70">
        <v>45575</v>
      </c>
      <c r="B720" t="s">
        <v>30</v>
      </c>
      <c r="C720" s="71" t="s">
        <v>1023</v>
      </c>
      <c r="D720" s="75">
        <v>298.7</v>
      </c>
      <c r="E720" s="75">
        <v>0</v>
      </c>
      <c r="F720" s="75">
        <v>224738.37</v>
      </c>
      <c r="G720" s="75"/>
      <c r="H720" s="71" t="s">
        <v>217</v>
      </c>
      <c r="J720" t="s">
        <v>752</v>
      </c>
    </row>
    <row r="721" spans="1:10" x14ac:dyDescent="0.3">
      <c r="A721" s="70">
        <v>45575</v>
      </c>
      <c r="B721" t="s">
        <v>1823</v>
      </c>
      <c r="C721" s="71" t="s">
        <v>1824</v>
      </c>
      <c r="D721" s="75">
        <v>338</v>
      </c>
      <c r="E721" s="75">
        <v>0</v>
      </c>
      <c r="F721" s="75">
        <v>56670.36</v>
      </c>
      <c r="G721" s="75"/>
      <c r="H721" s="71" t="s">
        <v>511</v>
      </c>
      <c r="J721" t="s">
        <v>756</v>
      </c>
    </row>
    <row r="722" spans="1:10" x14ac:dyDescent="0.3">
      <c r="A722" s="70">
        <v>45576</v>
      </c>
      <c r="B722" t="s">
        <v>1024</v>
      </c>
      <c r="C722" s="71" t="s">
        <v>1025</v>
      </c>
      <c r="D722" s="75">
        <v>0</v>
      </c>
      <c r="E722" s="75">
        <v>12020.99</v>
      </c>
      <c r="F722" s="75">
        <v>236759.36</v>
      </c>
      <c r="G722" s="75"/>
      <c r="H722" s="71" t="s">
        <v>2523</v>
      </c>
      <c r="J722" t="s">
        <v>752</v>
      </c>
    </row>
    <row r="723" spans="1:10" x14ac:dyDescent="0.3">
      <c r="A723" s="70">
        <v>45576</v>
      </c>
      <c r="B723" t="s">
        <v>30</v>
      </c>
      <c r="C723" s="71" t="s">
        <v>1026</v>
      </c>
      <c r="D723" s="75">
        <v>86.35</v>
      </c>
      <c r="E723" s="75">
        <v>0</v>
      </c>
      <c r="F723" s="75">
        <v>236673.01</v>
      </c>
      <c r="G723" s="75"/>
      <c r="H723" s="71" t="s">
        <v>217</v>
      </c>
      <c r="J723" t="s">
        <v>752</v>
      </c>
    </row>
    <row r="724" spans="1:10" x14ac:dyDescent="0.3">
      <c r="A724" s="70">
        <v>45576</v>
      </c>
      <c r="B724" t="s">
        <v>1027</v>
      </c>
      <c r="C724" s="71" t="s">
        <v>1028</v>
      </c>
      <c r="D724" s="75">
        <v>0</v>
      </c>
      <c r="E724" s="75">
        <v>14</v>
      </c>
      <c r="F724" s="75">
        <v>236687.01</v>
      </c>
      <c r="G724" s="75"/>
      <c r="H724" s="71" t="s">
        <v>218</v>
      </c>
      <c r="J724" t="s">
        <v>752</v>
      </c>
    </row>
    <row r="725" spans="1:10" x14ac:dyDescent="0.3">
      <c r="A725" s="70">
        <v>45576</v>
      </c>
      <c r="B725" t="s">
        <v>1825</v>
      </c>
      <c r="C725" s="71" t="s">
        <v>1826</v>
      </c>
      <c r="D725" s="75">
        <v>35</v>
      </c>
      <c r="E725" s="75">
        <v>0</v>
      </c>
      <c r="F725" s="75">
        <v>56635.360000000001</v>
      </c>
      <c r="G725" s="75"/>
      <c r="H725" s="71" t="s">
        <v>511</v>
      </c>
      <c r="J725" t="s">
        <v>756</v>
      </c>
    </row>
    <row r="726" spans="1:10" x14ac:dyDescent="0.3">
      <c r="A726" s="70">
        <v>45576</v>
      </c>
      <c r="B726" t="s">
        <v>1827</v>
      </c>
      <c r="C726" s="71" t="s">
        <v>1828</v>
      </c>
      <c r="D726" s="75">
        <v>25</v>
      </c>
      <c r="E726" s="75">
        <v>0</v>
      </c>
      <c r="F726" s="75">
        <v>56610.36</v>
      </c>
      <c r="G726" s="75"/>
      <c r="H726" s="71" t="s">
        <v>511</v>
      </c>
      <c r="J726" t="s">
        <v>756</v>
      </c>
    </row>
    <row r="727" spans="1:10" x14ac:dyDescent="0.3">
      <c r="A727" s="70">
        <v>45576</v>
      </c>
      <c r="B727" t="s">
        <v>1829</v>
      </c>
      <c r="C727" s="71" t="s">
        <v>1830</v>
      </c>
      <c r="D727" s="75">
        <v>15</v>
      </c>
      <c r="E727" s="75">
        <v>0</v>
      </c>
      <c r="F727" s="75">
        <v>56595.360000000001</v>
      </c>
      <c r="G727" s="75"/>
      <c r="H727" s="71" t="s">
        <v>511</v>
      </c>
      <c r="J727" t="s">
        <v>756</v>
      </c>
    </row>
    <row r="728" spans="1:10" x14ac:dyDescent="0.3">
      <c r="A728" s="70">
        <v>45577</v>
      </c>
      <c r="B728" t="s">
        <v>1831</v>
      </c>
      <c r="C728" s="71" t="s">
        <v>1832</v>
      </c>
      <c r="D728" s="75">
        <v>167</v>
      </c>
      <c r="E728" s="75">
        <v>0</v>
      </c>
      <c r="F728" s="75">
        <v>56428.36</v>
      </c>
      <c r="G728" s="75"/>
      <c r="H728" s="71" t="s">
        <v>511</v>
      </c>
      <c r="J728" t="s">
        <v>756</v>
      </c>
    </row>
    <row r="729" spans="1:10" x14ac:dyDescent="0.3">
      <c r="A729" s="70">
        <v>45577</v>
      </c>
      <c r="B729" t="s">
        <v>1833</v>
      </c>
      <c r="C729" s="71" t="s">
        <v>1834</v>
      </c>
      <c r="D729" s="75">
        <v>21</v>
      </c>
      <c r="E729" s="75">
        <v>0</v>
      </c>
      <c r="F729" s="75">
        <v>56407.360000000001</v>
      </c>
      <c r="G729" s="75"/>
      <c r="H729" s="71" t="s">
        <v>511</v>
      </c>
      <c r="J729" t="s">
        <v>756</v>
      </c>
    </row>
    <row r="730" spans="1:10" x14ac:dyDescent="0.3">
      <c r="A730" s="70">
        <v>45577</v>
      </c>
      <c r="B730" t="s">
        <v>1835</v>
      </c>
      <c r="C730" s="71" t="s">
        <v>1836</v>
      </c>
      <c r="D730" s="75">
        <v>21</v>
      </c>
      <c r="E730" s="75">
        <v>0</v>
      </c>
      <c r="F730" s="75">
        <v>56386.36</v>
      </c>
      <c r="G730" s="75"/>
      <c r="H730" s="71" t="s">
        <v>511</v>
      </c>
      <c r="J730" t="s">
        <v>756</v>
      </c>
    </row>
    <row r="731" spans="1:10" x14ac:dyDescent="0.3">
      <c r="A731" s="70">
        <v>45578</v>
      </c>
      <c r="B731" t="s">
        <v>1837</v>
      </c>
      <c r="C731" s="71" t="s">
        <v>1838</v>
      </c>
      <c r="D731" s="75">
        <v>85</v>
      </c>
      <c r="E731" s="75">
        <v>0</v>
      </c>
      <c r="F731" s="75">
        <v>56301.36</v>
      </c>
      <c r="G731" s="75"/>
      <c r="H731" s="71" t="s">
        <v>511</v>
      </c>
      <c r="J731" t="s">
        <v>756</v>
      </c>
    </row>
    <row r="732" spans="1:10" x14ac:dyDescent="0.3">
      <c r="A732" s="70">
        <v>45579</v>
      </c>
      <c r="B732" t="s">
        <v>1029</v>
      </c>
      <c r="C732" s="71" t="s">
        <v>1030</v>
      </c>
      <c r="D732" s="75">
        <v>0</v>
      </c>
      <c r="E732" s="75">
        <v>1755.66</v>
      </c>
      <c r="F732" s="75">
        <v>238442.67</v>
      </c>
      <c r="G732" s="75"/>
      <c r="H732" s="71" t="s">
        <v>2523</v>
      </c>
      <c r="J732" t="s">
        <v>752</v>
      </c>
    </row>
    <row r="733" spans="1:10" x14ac:dyDescent="0.3">
      <c r="A733" s="70">
        <v>45579</v>
      </c>
      <c r="B733" t="s">
        <v>30</v>
      </c>
      <c r="C733" s="71" t="s">
        <v>1031</v>
      </c>
      <c r="D733" s="75">
        <v>676.51</v>
      </c>
      <c r="E733" s="75">
        <v>0</v>
      </c>
      <c r="F733" s="75">
        <v>237766.16</v>
      </c>
      <c r="G733" s="75"/>
      <c r="H733" s="71" t="s">
        <v>217</v>
      </c>
      <c r="J733" t="s">
        <v>752</v>
      </c>
    </row>
    <row r="734" spans="1:10" x14ac:dyDescent="0.3">
      <c r="A734" s="70">
        <v>45579</v>
      </c>
      <c r="B734" t="s">
        <v>1839</v>
      </c>
      <c r="C734" s="71" t="s">
        <v>1840</v>
      </c>
      <c r="D734" s="75">
        <v>65</v>
      </c>
      <c r="E734" s="75">
        <v>0</v>
      </c>
      <c r="F734" s="75">
        <v>56236.36</v>
      </c>
      <c r="G734" s="75"/>
      <c r="H734" s="71" t="s">
        <v>511</v>
      </c>
      <c r="J734" t="s">
        <v>756</v>
      </c>
    </row>
    <row r="735" spans="1:10" x14ac:dyDescent="0.3">
      <c r="A735" s="70">
        <v>45579</v>
      </c>
      <c r="B735" t="s">
        <v>1841</v>
      </c>
      <c r="C735" s="71" t="s">
        <v>1842</v>
      </c>
      <c r="D735" s="75">
        <v>65</v>
      </c>
      <c r="E735" s="75">
        <v>0</v>
      </c>
      <c r="F735" s="75">
        <v>56171.360000000001</v>
      </c>
      <c r="G735" s="75"/>
      <c r="H735" s="71" t="s">
        <v>511</v>
      </c>
      <c r="J735" t="s">
        <v>756</v>
      </c>
    </row>
    <row r="736" spans="1:10" x14ac:dyDescent="0.3">
      <c r="A736" s="70">
        <v>45579</v>
      </c>
      <c r="B736" t="s">
        <v>1843</v>
      </c>
      <c r="C736" s="71" t="s">
        <v>1844</v>
      </c>
      <c r="D736" s="75">
        <v>60</v>
      </c>
      <c r="E736" s="75">
        <v>0</v>
      </c>
      <c r="F736" s="75">
        <v>56111.360000000001</v>
      </c>
      <c r="G736" s="75"/>
      <c r="H736" s="71" t="s">
        <v>511</v>
      </c>
      <c r="J736" t="s">
        <v>756</v>
      </c>
    </row>
    <row r="737" spans="1:10" x14ac:dyDescent="0.3">
      <c r="A737" s="70">
        <v>45580</v>
      </c>
      <c r="B737" t="s">
        <v>1032</v>
      </c>
      <c r="C737" s="71" t="s">
        <v>46</v>
      </c>
      <c r="D737" s="75">
        <v>224.2</v>
      </c>
      <c r="E737" s="75">
        <v>0</v>
      </c>
      <c r="F737" s="75">
        <v>237541.96</v>
      </c>
      <c r="G737" s="75"/>
      <c r="H737" s="71" t="s">
        <v>220</v>
      </c>
      <c r="J737" t="s">
        <v>752</v>
      </c>
    </row>
    <row r="738" spans="1:10" x14ac:dyDescent="0.3">
      <c r="A738" s="70">
        <v>45580</v>
      </c>
      <c r="B738" t="s">
        <v>30</v>
      </c>
      <c r="C738" s="71" t="s">
        <v>1033</v>
      </c>
      <c r="D738" s="75">
        <v>86.83</v>
      </c>
      <c r="E738" s="75">
        <v>0</v>
      </c>
      <c r="F738" s="75">
        <v>237455.13</v>
      </c>
      <c r="G738" s="75"/>
      <c r="H738" s="71" t="s">
        <v>217</v>
      </c>
      <c r="J738" t="s">
        <v>752</v>
      </c>
    </row>
    <row r="739" spans="1:10" x14ac:dyDescent="0.3">
      <c r="A739" s="70">
        <v>45580</v>
      </c>
      <c r="B739" t="s">
        <v>30</v>
      </c>
      <c r="C739" s="71" t="s">
        <v>1034</v>
      </c>
      <c r="D739" s="75">
        <v>1954.43</v>
      </c>
      <c r="E739" s="75">
        <v>0</v>
      </c>
      <c r="F739" s="75">
        <v>235500.7</v>
      </c>
      <c r="G739" s="75"/>
      <c r="H739" s="71" t="s">
        <v>217</v>
      </c>
      <c r="J739" t="s">
        <v>752</v>
      </c>
    </row>
    <row r="740" spans="1:10" x14ac:dyDescent="0.3">
      <c r="A740" s="70">
        <v>45580</v>
      </c>
      <c r="B740" t="s">
        <v>1845</v>
      </c>
      <c r="C740" s="71" t="s">
        <v>1846</v>
      </c>
      <c r="D740" s="75">
        <v>50</v>
      </c>
      <c r="E740" s="75">
        <v>0</v>
      </c>
      <c r="F740" s="75">
        <v>56061.36</v>
      </c>
      <c r="G740" s="75"/>
      <c r="H740" s="71" t="s">
        <v>511</v>
      </c>
      <c r="J740" t="s">
        <v>756</v>
      </c>
    </row>
    <row r="741" spans="1:10" x14ac:dyDescent="0.3">
      <c r="A741" s="70">
        <v>45580</v>
      </c>
      <c r="B741" t="s">
        <v>1847</v>
      </c>
      <c r="C741" s="71" t="s">
        <v>1848</v>
      </c>
      <c r="D741" s="75">
        <v>60</v>
      </c>
      <c r="E741" s="75">
        <v>0</v>
      </c>
      <c r="F741" s="75">
        <v>56001.36</v>
      </c>
      <c r="G741" s="75"/>
      <c r="H741" s="71" t="s">
        <v>511</v>
      </c>
      <c r="J741" t="s">
        <v>756</v>
      </c>
    </row>
    <row r="742" spans="1:10" x14ac:dyDescent="0.3">
      <c r="A742" s="70">
        <v>45581</v>
      </c>
      <c r="B742" t="s">
        <v>1035</v>
      </c>
      <c r="C742" s="71" t="s">
        <v>1036</v>
      </c>
      <c r="D742" s="75">
        <v>0</v>
      </c>
      <c r="E742" s="75">
        <v>31768.06</v>
      </c>
      <c r="F742" s="75">
        <v>267268.76</v>
      </c>
      <c r="G742" s="75"/>
      <c r="H742" s="71" t="s">
        <v>2523</v>
      </c>
      <c r="J742" t="s">
        <v>752</v>
      </c>
    </row>
    <row r="743" spans="1:10" x14ac:dyDescent="0.3">
      <c r="A743" s="70">
        <v>45581</v>
      </c>
      <c r="B743" t="s">
        <v>30</v>
      </c>
      <c r="C743" s="71" t="s">
        <v>1037</v>
      </c>
      <c r="D743" s="75">
        <v>86.13</v>
      </c>
      <c r="E743" s="75">
        <v>0</v>
      </c>
      <c r="F743" s="75">
        <v>267182.63</v>
      </c>
      <c r="G743" s="75"/>
      <c r="H743" s="71" t="s">
        <v>217</v>
      </c>
      <c r="J743" t="s">
        <v>752</v>
      </c>
    </row>
    <row r="744" spans="1:10" x14ac:dyDescent="0.3">
      <c r="A744" s="70">
        <v>45581</v>
      </c>
      <c r="B744" t="s">
        <v>30</v>
      </c>
      <c r="C744" s="71" t="s">
        <v>1038</v>
      </c>
      <c r="D744" s="75">
        <v>377.15</v>
      </c>
      <c r="E744" s="75">
        <v>0</v>
      </c>
      <c r="F744" s="75">
        <v>266805.48</v>
      </c>
      <c r="G744" s="75"/>
      <c r="H744" s="71" t="s">
        <v>217</v>
      </c>
      <c r="J744" t="s">
        <v>752</v>
      </c>
    </row>
    <row r="745" spans="1:10" x14ac:dyDescent="0.3">
      <c r="A745" s="70">
        <v>45581</v>
      </c>
      <c r="B745" t="s">
        <v>1849</v>
      </c>
      <c r="C745" s="71" t="s">
        <v>1850</v>
      </c>
      <c r="D745" s="75">
        <v>20</v>
      </c>
      <c r="E745" s="75">
        <v>0</v>
      </c>
      <c r="F745" s="75">
        <v>55981.36</v>
      </c>
      <c r="G745" s="75"/>
      <c r="H745" s="71" t="s">
        <v>511</v>
      </c>
      <c r="J745" t="s">
        <v>756</v>
      </c>
    </row>
    <row r="746" spans="1:10" x14ac:dyDescent="0.3">
      <c r="A746" s="70">
        <v>45581</v>
      </c>
      <c r="B746" t="s">
        <v>1851</v>
      </c>
      <c r="C746" s="71" t="s">
        <v>1852</v>
      </c>
      <c r="D746" s="75">
        <v>120</v>
      </c>
      <c r="E746" s="75">
        <v>0</v>
      </c>
      <c r="F746" s="75">
        <v>55861.36</v>
      </c>
      <c r="G746" s="75"/>
      <c r="H746" s="71" t="s">
        <v>511</v>
      </c>
      <c r="J746" t="s">
        <v>756</v>
      </c>
    </row>
    <row r="747" spans="1:10" x14ac:dyDescent="0.3">
      <c r="A747" s="70">
        <v>45582</v>
      </c>
      <c r="B747" t="s">
        <v>30</v>
      </c>
      <c r="C747" s="71" t="s">
        <v>1039</v>
      </c>
      <c r="D747" s="75">
        <v>86</v>
      </c>
      <c r="E747" s="75">
        <v>0</v>
      </c>
      <c r="F747" s="75">
        <v>266719.48</v>
      </c>
      <c r="G747" s="75"/>
      <c r="H747" s="71" t="s">
        <v>217</v>
      </c>
      <c r="J747" t="s">
        <v>752</v>
      </c>
    </row>
    <row r="748" spans="1:10" x14ac:dyDescent="0.3">
      <c r="A748" s="70">
        <v>45582</v>
      </c>
      <c r="B748" t="s">
        <v>30</v>
      </c>
      <c r="C748" s="71" t="s">
        <v>1040</v>
      </c>
      <c r="D748" s="75">
        <v>569.25</v>
      </c>
      <c r="E748" s="75">
        <v>0</v>
      </c>
      <c r="F748" s="75">
        <v>266150.23</v>
      </c>
      <c r="G748" s="75"/>
      <c r="H748" s="71" t="s">
        <v>217</v>
      </c>
      <c r="J748" t="s">
        <v>752</v>
      </c>
    </row>
    <row r="749" spans="1:10" x14ac:dyDescent="0.3">
      <c r="A749" s="70">
        <v>45582</v>
      </c>
      <c r="B749" t="s">
        <v>1853</v>
      </c>
      <c r="C749" s="71" t="s">
        <v>1854</v>
      </c>
      <c r="D749" s="75">
        <v>200</v>
      </c>
      <c r="E749" s="75">
        <v>0</v>
      </c>
      <c r="F749" s="75">
        <v>55661.36</v>
      </c>
      <c r="G749" s="75"/>
      <c r="H749" s="71" t="s">
        <v>511</v>
      </c>
      <c r="J749" t="s">
        <v>756</v>
      </c>
    </row>
    <row r="750" spans="1:10" x14ac:dyDescent="0.3">
      <c r="A750" s="70">
        <v>45582</v>
      </c>
      <c r="B750" t="s">
        <v>1855</v>
      </c>
      <c r="C750" s="71" t="s">
        <v>1856</v>
      </c>
      <c r="D750" s="75">
        <v>35</v>
      </c>
      <c r="E750" s="75">
        <v>0</v>
      </c>
      <c r="F750" s="75">
        <v>55626.36</v>
      </c>
      <c r="G750" s="75"/>
      <c r="H750" s="71" t="s">
        <v>511</v>
      </c>
      <c r="J750" t="s">
        <v>756</v>
      </c>
    </row>
    <row r="751" spans="1:10" x14ac:dyDescent="0.3">
      <c r="A751" s="70">
        <v>45582</v>
      </c>
      <c r="B751" t="s">
        <v>1857</v>
      </c>
      <c r="C751" s="71" t="s">
        <v>1858</v>
      </c>
      <c r="D751" s="75">
        <v>3868.1</v>
      </c>
      <c r="E751" s="75">
        <v>0</v>
      </c>
      <c r="F751" s="75">
        <v>51758.26</v>
      </c>
      <c r="G751" s="75"/>
      <c r="H751" s="71" t="s">
        <v>589</v>
      </c>
      <c r="J751" t="s">
        <v>756</v>
      </c>
    </row>
    <row r="752" spans="1:10" x14ac:dyDescent="0.3">
      <c r="A752" s="70">
        <v>45583</v>
      </c>
      <c r="B752" t="s">
        <v>30</v>
      </c>
      <c r="C752" s="71" t="s">
        <v>1041</v>
      </c>
      <c r="D752" s="75">
        <v>85.79</v>
      </c>
      <c r="E752" s="75">
        <v>0</v>
      </c>
      <c r="F752" s="75">
        <v>266064.44</v>
      </c>
      <c r="G752" s="75"/>
      <c r="H752" s="71" t="s">
        <v>217</v>
      </c>
      <c r="J752" t="s">
        <v>752</v>
      </c>
    </row>
    <row r="753" spans="1:10" x14ac:dyDescent="0.3">
      <c r="A753" s="70">
        <v>45583</v>
      </c>
      <c r="B753" t="s">
        <v>30</v>
      </c>
      <c r="C753" s="71" t="s">
        <v>1042</v>
      </c>
      <c r="D753" s="75">
        <v>204.48</v>
      </c>
      <c r="E753" s="75">
        <v>0</v>
      </c>
      <c r="F753" s="75">
        <v>265859.96000000002</v>
      </c>
      <c r="G753" s="75"/>
      <c r="H753" s="71" t="s">
        <v>217</v>
      </c>
      <c r="J753" t="s">
        <v>752</v>
      </c>
    </row>
    <row r="754" spans="1:10" x14ac:dyDescent="0.3">
      <c r="A754" s="70">
        <v>45583</v>
      </c>
      <c r="B754" t="s">
        <v>1859</v>
      </c>
      <c r="C754" s="71" t="s">
        <v>1860</v>
      </c>
      <c r="D754" s="75">
        <v>40</v>
      </c>
      <c r="E754" s="75">
        <v>0</v>
      </c>
      <c r="F754" s="75">
        <v>51718.26</v>
      </c>
      <c r="G754" s="75"/>
      <c r="H754" s="71" t="s">
        <v>511</v>
      </c>
      <c r="J754" t="s">
        <v>756</v>
      </c>
    </row>
    <row r="755" spans="1:10" x14ac:dyDescent="0.3">
      <c r="A755" s="70">
        <v>45583</v>
      </c>
      <c r="B755" t="s">
        <v>1861</v>
      </c>
      <c r="C755" s="71" t="s">
        <v>1862</v>
      </c>
      <c r="D755" s="75">
        <v>30</v>
      </c>
      <c r="E755" s="75">
        <v>0</v>
      </c>
      <c r="F755" s="75">
        <v>51688.26</v>
      </c>
      <c r="G755" s="75"/>
      <c r="H755" s="71" t="s">
        <v>511</v>
      </c>
      <c r="J755" t="s">
        <v>756</v>
      </c>
    </row>
    <row r="756" spans="1:10" x14ac:dyDescent="0.3">
      <c r="A756" s="70">
        <v>45583</v>
      </c>
      <c r="B756" t="s">
        <v>1863</v>
      </c>
      <c r="C756" s="71" t="s">
        <v>1864</v>
      </c>
      <c r="D756" s="75">
        <v>20</v>
      </c>
      <c r="E756" s="75">
        <v>0</v>
      </c>
      <c r="F756" s="75">
        <v>51668.26</v>
      </c>
      <c r="G756" s="75"/>
      <c r="H756" s="71" t="s">
        <v>511</v>
      </c>
      <c r="J756" t="s">
        <v>756</v>
      </c>
    </row>
    <row r="757" spans="1:10" x14ac:dyDescent="0.3">
      <c r="A757" s="70">
        <v>45584</v>
      </c>
      <c r="B757" t="s">
        <v>1452</v>
      </c>
      <c r="C757" s="71" t="s">
        <v>1419</v>
      </c>
      <c r="D757" s="75">
        <v>0</v>
      </c>
      <c r="E757" s="75">
        <v>30</v>
      </c>
      <c r="F757" s="75">
        <v>43328.32</v>
      </c>
      <c r="G757" s="75"/>
      <c r="H757" s="71" t="s">
        <v>511</v>
      </c>
      <c r="J757" t="s">
        <v>753</v>
      </c>
    </row>
    <row r="758" spans="1:10" x14ac:dyDescent="0.3">
      <c r="A758" s="70">
        <v>45584</v>
      </c>
      <c r="B758" t="s">
        <v>1865</v>
      </c>
      <c r="C758" s="71" t="s">
        <v>1866</v>
      </c>
      <c r="D758" s="75">
        <v>30</v>
      </c>
      <c r="E758" s="75">
        <v>0</v>
      </c>
      <c r="F758" s="75">
        <v>51638.26</v>
      </c>
      <c r="G758" s="75"/>
      <c r="H758" s="71" t="s">
        <v>511</v>
      </c>
      <c r="J758" t="s">
        <v>756</v>
      </c>
    </row>
    <row r="759" spans="1:10" x14ac:dyDescent="0.3">
      <c r="A759" s="70">
        <v>45584</v>
      </c>
      <c r="B759" t="s">
        <v>1867</v>
      </c>
      <c r="C759" s="71" t="s">
        <v>1868</v>
      </c>
      <c r="D759" s="75">
        <v>30</v>
      </c>
      <c r="E759" s="75">
        <v>0</v>
      </c>
      <c r="F759" s="75">
        <v>51608.26</v>
      </c>
      <c r="G759" s="75"/>
      <c r="H759" s="71" t="s">
        <v>511</v>
      </c>
      <c r="J759" t="s">
        <v>756</v>
      </c>
    </row>
    <row r="760" spans="1:10" x14ac:dyDescent="0.3">
      <c r="A760" s="70">
        <v>45585</v>
      </c>
      <c r="B760" t="s">
        <v>1869</v>
      </c>
      <c r="C760" s="71" t="s">
        <v>1870</v>
      </c>
      <c r="D760" s="75">
        <v>35</v>
      </c>
      <c r="E760" s="75">
        <v>0</v>
      </c>
      <c r="F760" s="75">
        <v>51573.26</v>
      </c>
      <c r="G760" s="75"/>
      <c r="H760" s="71" t="s">
        <v>511</v>
      </c>
      <c r="J760" t="s">
        <v>756</v>
      </c>
    </row>
    <row r="761" spans="1:10" x14ac:dyDescent="0.3">
      <c r="A761" s="70">
        <v>45585</v>
      </c>
      <c r="B761" t="s">
        <v>1871</v>
      </c>
      <c r="C761" s="71" t="s">
        <v>1872</v>
      </c>
      <c r="D761" s="75">
        <v>50</v>
      </c>
      <c r="E761" s="75">
        <v>0</v>
      </c>
      <c r="F761" s="75">
        <v>51523.26</v>
      </c>
      <c r="G761" s="75"/>
      <c r="H761" s="71" t="s">
        <v>511</v>
      </c>
      <c r="J761" t="s">
        <v>756</v>
      </c>
    </row>
    <row r="762" spans="1:10" x14ac:dyDescent="0.3">
      <c r="A762" s="70">
        <v>45585</v>
      </c>
      <c r="B762" t="s">
        <v>1873</v>
      </c>
      <c r="C762" s="71" t="s">
        <v>1874</v>
      </c>
      <c r="D762" s="75">
        <v>20</v>
      </c>
      <c r="E762" s="75">
        <v>0</v>
      </c>
      <c r="F762" s="75">
        <v>51503.26</v>
      </c>
      <c r="G762" s="75"/>
      <c r="H762" s="71" t="s">
        <v>511</v>
      </c>
      <c r="J762" t="s">
        <v>756</v>
      </c>
    </row>
    <row r="763" spans="1:10" x14ac:dyDescent="0.3">
      <c r="A763" s="70">
        <v>45585</v>
      </c>
      <c r="B763" t="s">
        <v>1875</v>
      </c>
      <c r="C763" s="71" t="s">
        <v>1876</v>
      </c>
      <c r="D763" s="75">
        <v>20</v>
      </c>
      <c r="E763" s="75">
        <v>0</v>
      </c>
      <c r="F763" s="75">
        <v>51483.26</v>
      </c>
      <c r="G763" s="75"/>
      <c r="H763" s="71" t="s">
        <v>511</v>
      </c>
      <c r="J763" t="s">
        <v>756</v>
      </c>
    </row>
    <row r="764" spans="1:10" x14ac:dyDescent="0.3">
      <c r="A764" s="70">
        <v>45586</v>
      </c>
      <c r="B764" t="s">
        <v>1043</v>
      </c>
      <c r="C764" s="71" t="s">
        <v>1044</v>
      </c>
      <c r="D764" s="75">
        <v>0</v>
      </c>
      <c r="E764" s="75">
        <v>33301.120000000003</v>
      </c>
      <c r="F764" s="75">
        <v>299161.08</v>
      </c>
      <c r="G764" s="75"/>
      <c r="H764" s="71" t="s">
        <v>2523</v>
      </c>
      <c r="J764" t="s">
        <v>752</v>
      </c>
    </row>
    <row r="765" spans="1:10" x14ac:dyDescent="0.3">
      <c r="A765" s="70">
        <v>45586</v>
      </c>
      <c r="B765" t="s">
        <v>30</v>
      </c>
      <c r="C765" s="71" t="s">
        <v>1045</v>
      </c>
      <c r="D765" s="75">
        <v>257.16000000000003</v>
      </c>
      <c r="E765" s="75">
        <v>0</v>
      </c>
      <c r="F765" s="75">
        <v>298903.92</v>
      </c>
      <c r="G765" s="75"/>
      <c r="H765" s="71" t="s">
        <v>217</v>
      </c>
      <c r="J765" t="s">
        <v>752</v>
      </c>
    </row>
    <row r="766" spans="1:10" x14ac:dyDescent="0.3">
      <c r="A766" s="70">
        <v>45586</v>
      </c>
      <c r="B766" t="s">
        <v>1877</v>
      </c>
      <c r="C766" s="71" t="s">
        <v>1878</v>
      </c>
      <c r="D766" s="75">
        <v>60</v>
      </c>
      <c r="E766" s="75">
        <v>0</v>
      </c>
      <c r="F766" s="75">
        <v>51423.26</v>
      </c>
      <c r="G766" s="75"/>
      <c r="H766" s="71" t="s">
        <v>511</v>
      </c>
      <c r="J766" t="s">
        <v>756</v>
      </c>
    </row>
    <row r="767" spans="1:10" x14ac:dyDescent="0.3">
      <c r="A767" s="70">
        <v>45586</v>
      </c>
      <c r="B767" t="s">
        <v>1879</v>
      </c>
      <c r="C767" s="71" t="s">
        <v>1880</v>
      </c>
      <c r="D767" s="75">
        <v>20</v>
      </c>
      <c r="E767" s="75">
        <v>0</v>
      </c>
      <c r="F767" s="75">
        <v>51403.26</v>
      </c>
      <c r="G767" s="75"/>
      <c r="H767" s="71" t="s">
        <v>511</v>
      </c>
      <c r="J767" t="s">
        <v>756</v>
      </c>
    </row>
    <row r="768" spans="1:10" x14ac:dyDescent="0.3">
      <c r="A768" s="70">
        <v>45587</v>
      </c>
      <c r="B768" t="s">
        <v>1046</v>
      </c>
      <c r="C768" s="71" t="s">
        <v>1047</v>
      </c>
      <c r="D768" s="75">
        <v>0</v>
      </c>
      <c r="E768" s="75">
        <v>838.81</v>
      </c>
      <c r="F768" s="75">
        <v>299742.73</v>
      </c>
      <c r="G768" s="75"/>
      <c r="H768" s="71" t="s">
        <v>2523</v>
      </c>
      <c r="J768" t="s">
        <v>752</v>
      </c>
    </row>
    <row r="769" spans="1:10" x14ac:dyDescent="0.3">
      <c r="A769" s="70">
        <v>45587</v>
      </c>
      <c r="B769" t="s">
        <v>1048</v>
      </c>
      <c r="C769" s="71" t="s">
        <v>1049</v>
      </c>
      <c r="D769" s="75">
        <v>1.18</v>
      </c>
      <c r="E769" s="75">
        <v>0</v>
      </c>
      <c r="F769" s="75">
        <v>299741.55</v>
      </c>
      <c r="G769" s="75"/>
      <c r="H769" s="71" t="s">
        <v>221</v>
      </c>
      <c r="J769" t="s">
        <v>752</v>
      </c>
    </row>
    <row r="770" spans="1:10" x14ac:dyDescent="0.3">
      <c r="A770" s="70">
        <v>45587</v>
      </c>
      <c r="B770" t="s">
        <v>30</v>
      </c>
      <c r="C770" s="71" t="s">
        <v>1050</v>
      </c>
      <c r="D770" s="75">
        <v>85.72</v>
      </c>
      <c r="E770" s="75">
        <v>0</v>
      </c>
      <c r="F770" s="75">
        <v>299655.83</v>
      </c>
      <c r="G770" s="75"/>
      <c r="H770" s="71" t="s">
        <v>217</v>
      </c>
      <c r="J770" t="s">
        <v>752</v>
      </c>
    </row>
    <row r="771" spans="1:10" x14ac:dyDescent="0.3">
      <c r="A771" s="70">
        <v>45587</v>
      </c>
      <c r="B771" t="s">
        <v>30</v>
      </c>
      <c r="C771" s="71" t="s">
        <v>1051</v>
      </c>
      <c r="D771" s="75">
        <v>16105.2</v>
      </c>
      <c r="E771" s="75">
        <v>0</v>
      </c>
      <c r="F771" s="75">
        <v>283550.63</v>
      </c>
      <c r="G771" s="75"/>
      <c r="H771" s="71" t="s">
        <v>217</v>
      </c>
      <c r="J771" t="s">
        <v>752</v>
      </c>
    </row>
    <row r="772" spans="1:10" x14ac:dyDescent="0.3">
      <c r="A772" s="70">
        <v>45587</v>
      </c>
      <c r="B772" t="s">
        <v>1453</v>
      </c>
      <c r="C772" s="71" t="s">
        <v>252</v>
      </c>
      <c r="D772" s="75">
        <v>0</v>
      </c>
      <c r="E772" s="75">
        <v>50</v>
      </c>
      <c r="F772" s="75">
        <v>43378.32</v>
      </c>
      <c r="G772" s="75"/>
      <c r="H772" s="71" t="s">
        <v>218</v>
      </c>
      <c r="J772" t="s">
        <v>753</v>
      </c>
    </row>
    <row r="773" spans="1:10" x14ac:dyDescent="0.3">
      <c r="A773" s="70">
        <v>45587</v>
      </c>
      <c r="B773" t="s">
        <v>1881</v>
      </c>
      <c r="C773" s="71" t="s">
        <v>1882</v>
      </c>
      <c r="D773" s="75">
        <v>50</v>
      </c>
      <c r="E773" s="75">
        <v>0</v>
      </c>
      <c r="F773" s="75">
        <v>51353.26</v>
      </c>
      <c r="G773" s="75"/>
      <c r="H773" s="71" t="s">
        <v>511</v>
      </c>
      <c r="J773" t="s">
        <v>756</v>
      </c>
    </row>
    <row r="774" spans="1:10" x14ac:dyDescent="0.3">
      <c r="A774" s="70">
        <v>45587</v>
      </c>
      <c r="B774" t="s">
        <v>1883</v>
      </c>
      <c r="C774" s="71" t="s">
        <v>1884</v>
      </c>
      <c r="D774" s="75">
        <v>75</v>
      </c>
      <c r="E774" s="75">
        <v>0</v>
      </c>
      <c r="F774" s="75">
        <v>51278.26</v>
      </c>
      <c r="G774" s="75"/>
      <c r="H774" s="71" t="s">
        <v>511</v>
      </c>
      <c r="J774" t="s">
        <v>756</v>
      </c>
    </row>
    <row r="775" spans="1:10" x14ac:dyDescent="0.3">
      <c r="A775" s="70">
        <v>45587</v>
      </c>
      <c r="B775" t="s">
        <v>1885</v>
      </c>
      <c r="C775" s="71" t="s">
        <v>1886</v>
      </c>
      <c r="D775" s="75">
        <v>20</v>
      </c>
      <c r="E775" s="75">
        <v>0</v>
      </c>
      <c r="F775" s="75">
        <v>51258.26</v>
      </c>
      <c r="G775" s="75"/>
      <c r="H775" s="71" t="s">
        <v>511</v>
      </c>
      <c r="J775" t="s">
        <v>756</v>
      </c>
    </row>
    <row r="776" spans="1:10" x14ac:dyDescent="0.3">
      <c r="A776" s="70">
        <v>45588</v>
      </c>
      <c r="B776" t="s">
        <v>30</v>
      </c>
      <c r="C776" s="71" t="s">
        <v>1052</v>
      </c>
      <c r="D776" s="75">
        <v>80.28</v>
      </c>
      <c r="E776" s="75">
        <v>0</v>
      </c>
      <c r="F776" s="75">
        <v>283470.34999999998</v>
      </c>
      <c r="G776" s="75"/>
      <c r="H776" s="71" t="s">
        <v>217</v>
      </c>
      <c r="J776" t="s">
        <v>752</v>
      </c>
    </row>
    <row r="777" spans="1:10" x14ac:dyDescent="0.3">
      <c r="A777" s="70">
        <v>45588</v>
      </c>
      <c r="B777" t="s">
        <v>1887</v>
      </c>
      <c r="C777" s="71" t="s">
        <v>1888</v>
      </c>
      <c r="D777" s="75">
        <v>75</v>
      </c>
      <c r="E777" s="75">
        <v>0</v>
      </c>
      <c r="F777" s="75">
        <v>51183.26</v>
      </c>
      <c r="G777" s="75"/>
      <c r="H777" s="71" t="s">
        <v>511</v>
      </c>
      <c r="J777" t="s">
        <v>756</v>
      </c>
    </row>
    <row r="778" spans="1:10" x14ac:dyDescent="0.3">
      <c r="A778" s="70">
        <v>45588</v>
      </c>
      <c r="B778" t="s">
        <v>1889</v>
      </c>
      <c r="C778" s="71" t="s">
        <v>1890</v>
      </c>
      <c r="D778" s="75">
        <v>70</v>
      </c>
      <c r="E778" s="75">
        <v>0</v>
      </c>
      <c r="F778" s="75">
        <v>51113.26</v>
      </c>
      <c r="G778" s="75"/>
      <c r="H778" s="71" t="s">
        <v>511</v>
      </c>
      <c r="J778" t="s">
        <v>756</v>
      </c>
    </row>
    <row r="779" spans="1:10" x14ac:dyDescent="0.3">
      <c r="A779" s="70">
        <v>45588</v>
      </c>
      <c r="B779" t="s">
        <v>1891</v>
      </c>
      <c r="C779" s="71" t="s">
        <v>1892</v>
      </c>
      <c r="D779" s="75">
        <v>0</v>
      </c>
      <c r="E779" s="75">
        <v>70</v>
      </c>
      <c r="F779" s="75">
        <v>51183.26</v>
      </c>
      <c r="G779" s="75"/>
      <c r="H779" s="71" t="s">
        <v>511</v>
      </c>
      <c r="J779" t="s">
        <v>756</v>
      </c>
    </row>
    <row r="780" spans="1:10" x14ac:dyDescent="0.3">
      <c r="A780" s="70">
        <v>45589</v>
      </c>
      <c r="B780" t="s">
        <v>1053</v>
      </c>
      <c r="C780" s="71" t="s">
        <v>1054</v>
      </c>
      <c r="D780" s="75">
        <v>0</v>
      </c>
      <c r="E780" s="75">
        <v>3223.25</v>
      </c>
      <c r="F780" s="75">
        <v>286693.59999999998</v>
      </c>
      <c r="G780" s="75"/>
      <c r="H780" s="71" t="s">
        <v>2523</v>
      </c>
      <c r="J780" t="s">
        <v>752</v>
      </c>
    </row>
    <row r="781" spans="1:10" x14ac:dyDescent="0.3">
      <c r="A781" s="70">
        <v>45589</v>
      </c>
      <c r="B781" t="s">
        <v>30</v>
      </c>
      <c r="C781" s="71" t="s">
        <v>1055</v>
      </c>
      <c r="D781" s="75">
        <v>90.19</v>
      </c>
      <c r="E781" s="75">
        <v>0</v>
      </c>
      <c r="F781" s="75">
        <v>286603.40999999997</v>
      </c>
      <c r="G781" s="75"/>
      <c r="H781" s="71" t="s">
        <v>217</v>
      </c>
      <c r="J781" t="s">
        <v>752</v>
      </c>
    </row>
    <row r="782" spans="1:10" x14ac:dyDescent="0.3">
      <c r="A782" s="70">
        <v>45589</v>
      </c>
      <c r="B782" t="s">
        <v>1056</v>
      </c>
      <c r="C782" s="71" t="s">
        <v>1057</v>
      </c>
      <c r="D782" s="75">
        <v>0</v>
      </c>
      <c r="E782" s="75">
        <v>400</v>
      </c>
      <c r="F782" s="75">
        <v>287003.40999999997</v>
      </c>
      <c r="G782" s="75"/>
      <c r="H782" s="71" t="s">
        <v>218</v>
      </c>
      <c r="J782" t="s">
        <v>752</v>
      </c>
    </row>
    <row r="783" spans="1:10" x14ac:dyDescent="0.3">
      <c r="A783" s="70">
        <v>45589</v>
      </c>
      <c r="B783" t="s">
        <v>30</v>
      </c>
      <c r="C783" s="71" t="s">
        <v>1058</v>
      </c>
      <c r="D783" s="75">
        <v>6677.8</v>
      </c>
      <c r="E783" s="75">
        <v>0</v>
      </c>
      <c r="F783" s="75">
        <v>280325.61</v>
      </c>
      <c r="G783" s="75"/>
      <c r="H783" s="71" t="s">
        <v>217</v>
      </c>
      <c r="J783" t="s">
        <v>752</v>
      </c>
    </row>
    <row r="784" spans="1:10" x14ac:dyDescent="0.3">
      <c r="A784" s="70">
        <v>45589</v>
      </c>
      <c r="B784" t="s">
        <v>1893</v>
      </c>
      <c r="C784" s="71" t="s">
        <v>1894</v>
      </c>
      <c r="D784" s="75">
        <v>75</v>
      </c>
      <c r="E784" s="75">
        <v>0</v>
      </c>
      <c r="F784" s="75">
        <v>51108.26</v>
      </c>
      <c r="G784" s="75"/>
      <c r="H784" s="71" t="s">
        <v>511</v>
      </c>
      <c r="J784" t="s">
        <v>756</v>
      </c>
    </row>
    <row r="785" spans="1:10" x14ac:dyDescent="0.3">
      <c r="A785" s="70">
        <v>45589</v>
      </c>
      <c r="B785" t="s">
        <v>1895</v>
      </c>
      <c r="C785" s="71" t="s">
        <v>1896</v>
      </c>
      <c r="D785" s="75">
        <v>212.09</v>
      </c>
      <c r="E785" s="75">
        <v>0</v>
      </c>
      <c r="F785" s="75">
        <v>50896.17</v>
      </c>
      <c r="G785" s="75"/>
      <c r="H785" s="71" t="s">
        <v>511</v>
      </c>
      <c r="J785" t="s">
        <v>756</v>
      </c>
    </row>
    <row r="786" spans="1:10" x14ac:dyDescent="0.3">
      <c r="A786" s="70">
        <v>45589</v>
      </c>
      <c r="B786" t="s">
        <v>1897</v>
      </c>
      <c r="C786" s="71" t="s">
        <v>1898</v>
      </c>
      <c r="D786" s="75">
        <v>20</v>
      </c>
      <c r="E786" s="75">
        <v>0</v>
      </c>
      <c r="F786" s="75">
        <v>50876.17</v>
      </c>
      <c r="G786" s="75"/>
      <c r="H786" s="71" t="s">
        <v>511</v>
      </c>
      <c r="J786" t="s">
        <v>756</v>
      </c>
    </row>
    <row r="787" spans="1:10" x14ac:dyDescent="0.3">
      <c r="A787" s="70">
        <v>45590</v>
      </c>
      <c r="B787" t="s">
        <v>30</v>
      </c>
      <c r="C787" s="71" t="s">
        <v>1059</v>
      </c>
      <c r="D787" s="75">
        <v>88.96</v>
      </c>
      <c r="E787" s="75">
        <v>0</v>
      </c>
      <c r="F787" s="75">
        <v>280236.65000000002</v>
      </c>
      <c r="G787" s="75"/>
      <c r="H787" s="71" t="s">
        <v>217</v>
      </c>
      <c r="J787" t="s">
        <v>752</v>
      </c>
    </row>
    <row r="788" spans="1:10" x14ac:dyDescent="0.3">
      <c r="A788" s="70">
        <v>45590</v>
      </c>
      <c r="B788" t="s">
        <v>1899</v>
      </c>
      <c r="C788" s="71" t="s">
        <v>1900</v>
      </c>
      <c r="D788" s="75">
        <v>75</v>
      </c>
      <c r="E788" s="75">
        <v>0</v>
      </c>
      <c r="F788" s="75">
        <v>50801.17</v>
      </c>
      <c r="G788" s="75"/>
      <c r="H788" s="71" t="s">
        <v>511</v>
      </c>
      <c r="J788" t="s">
        <v>756</v>
      </c>
    </row>
    <row r="789" spans="1:10" x14ac:dyDescent="0.3">
      <c r="A789" s="70">
        <v>45590</v>
      </c>
      <c r="B789" t="s">
        <v>1901</v>
      </c>
      <c r="C789" s="71" t="s">
        <v>1902</v>
      </c>
      <c r="D789" s="75">
        <v>60</v>
      </c>
      <c r="E789" s="75">
        <v>0</v>
      </c>
      <c r="F789" s="75">
        <v>50741.17</v>
      </c>
      <c r="G789" s="75"/>
      <c r="H789" s="71" t="s">
        <v>511</v>
      </c>
      <c r="J789" t="s">
        <v>756</v>
      </c>
    </row>
    <row r="790" spans="1:10" x14ac:dyDescent="0.3">
      <c r="A790" s="70">
        <v>45590</v>
      </c>
      <c r="B790" t="s">
        <v>1903</v>
      </c>
      <c r="C790" s="71" t="s">
        <v>1904</v>
      </c>
      <c r="D790" s="75">
        <v>20</v>
      </c>
      <c r="E790" s="75">
        <v>0</v>
      </c>
      <c r="F790" s="75">
        <v>50721.17</v>
      </c>
      <c r="G790" s="75"/>
      <c r="H790" s="71" t="s">
        <v>511</v>
      </c>
      <c r="J790" t="s">
        <v>756</v>
      </c>
    </row>
    <row r="791" spans="1:10" x14ac:dyDescent="0.3">
      <c r="A791" s="70">
        <v>45591</v>
      </c>
      <c r="B791" t="s">
        <v>30</v>
      </c>
      <c r="C791" s="71" t="s">
        <v>1060</v>
      </c>
      <c r="D791" s="75">
        <v>5527.85</v>
      </c>
      <c r="E791" s="75">
        <v>0</v>
      </c>
      <c r="F791" s="75">
        <v>274708.8</v>
      </c>
      <c r="G791" s="75"/>
      <c r="H791" s="71" t="s">
        <v>217</v>
      </c>
      <c r="J791" t="s">
        <v>752</v>
      </c>
    </row>
    <row r="792" spans="1:10" x14ac:dyDescent="0.3">
      <c r="A792" s="70">
        <v>45591</v>
      </c>
      <c r="B792" t="s">
        <v>1905</v>
      </c>
      <c r="C792" s="71" t="s">
        <v>1906</v>
      </c>
      <c r="D792" s="75">
        <v>10000</v>
      </c>
      <c r="E792" s="75">
        <v>0</v>
      </c>
      <c r="F792" s="75">
        <v>40721.17</v>
      </c>
      <c r="G792" s="75"/>
      <c r="H792" s="71" t="s">
        <v>511</v>
      </c>
      <c r="J792" t="s">
        <v>756</v>
      </c>
    </row>
    <row r="793" spans="1:10" x14ac:dyDescent="0.3">
      <c r="A793" s="70">
        <v>45592</v>
      </c>
      <c r="B793" t="s">
        <v>1061</v>
      </c>
      <c r="C793" s="71" t="s">
        <v>1062</v>
      </c>
      <c r="D793" s="75">
        <v>0</v>
      </c>
      <c r="E793" s="75">
        <v>20000</v>
      </c>
      <c r="F793" s="75">
        <v>294708.8</v>
      </c>
      <c r="G793" s="75"/>
      <c r="H793" s="71" t="s">
        <v>2519</v>
      </c>
      <c r="J793" t="s">
        <v>752</v>
      </c>
    </row>
    <row r="794" spans="1:10" x14ac:dyDescent="0.3">
      <c r="A794" s="70">
        <v>45593</v>
      </c>
      <c r="B794" t="s">
        <v>1063</v>
      </c>
      <c r="C794" s="71" t="s">
        <v>1064</v>
      </c>
      <c r="D794" s="75">
        <v>5000</v>
      </c>
      <c r="E794" s="75">
        <v>0</v>
      </c>
      <c r="F794" s="75">
        <v>289708.79999999999</v>
      </c>
      <c r="G794" s="75"/>
      <c r="H794" s="71" t="s">
        <v>219</v>
      </c>
      <c r="J794" t="s">
        <v>752</v>
      </c>
    </row>
    <row r="795" spans="1:10" x14ac:dyDescent="0.3">
      <c r="A795" s="70">
        <v>45593</v>
      </c>
      <c r="B795" t="s">
        <v>1065</v>
      </c>
      <c r="C795" s="71" t="s">
        <v>1066</v>
      </c>
      <c r="D795" s="75">
        <v>125244</v>
      </c>
      <c r="E795" s="75">
        <v>0</v>
      </c>
      <c r="F795" s="75">
        <v>164464.79999999999</v>
      </c>
      <c r="G795" s="75"/>
      <c r="H795" s="71" t="s">
        <v>2540</v>
      </c>
      <c r="J795" t="s">
        <v>752</v>
      </c>
    </row>
    <row r="796" spans="1:10" x14ac:dyDescent="0.3">
      <c r="A796" s="70">
        <v>45593</v>
      </c>
      <c r="B796" t="s">
        <v>1067</v>
      </c>
      <c r="C796" s="71" t="s">
        <v>1068</v>
      </c>
      <c r="D796" s="75">
        <v>128000</v>
      </c>
      <c r="E796" s="75">
        <v>0</v>
      </c>
      <c r="F796" s="75">
        <v>36464.800000000003</v>
      </c>
      <c r="G796" s="75"/>
      <c r="H796" s="71" t="s">
        <v>2540</v>
      </c>
      <c r="J796" t="s">
        <v>752</v>
      </c>
    </row>
    <row r="797" spans="1:10" x14ac:dyDescent="0.3">
      <c r="A797" s="70">
        <v>45593</v>
      </c>
      <c r="B797" t="s">
        <v>30</v>
      </c>
      <c r="C797" s="71" t="s">
        <v>1069</v>
      </c>
      <c r="D797" s="75">
        <v>282.93</v>
      </c>
      <c r="E797" s="75">
        <v>0</v>
      </c>
      <c r="F797" s="75">
        <v>36181.870000000003</v>
      </c>
      <c r="G797" s="75"/>
      <c r="H797" s="71" t="s">
        <v>217</v>
      </c>
      <c r="J797" t="s">
        <v>752</v>
      </c>
    </row>
    <row r="798" spans="1:10" x14ac:dyDescent="0.3">
      <c r="A798" s="70">
        <v>45593</v>
      </c>
      <c r="B798" t="s">
        <v>1907</v>
      </c>
      <c r="C798" s="71" t="s">
        <v>1908</v>
      </c>
      <c r="D798" s="75">
        <v>60</v>
      </c>
      <c r="E798" s="75">
        <v>0</v>
      </c>
      <c r="F798" s="75">
        <v>40661.17</v>
      </c>
      <c r="G798" s="75"/>
      <c r="H798" s="71" t="s">
        <v>511</v>
      </c>
      <c r="J798" t="s">
        <v>756</v>
      </c>
    </row>
    <row r="799" spans="1:10" x14ac:dyDescent="0.3">
      <c r="A799" s="70">
        <v>45593</v>
      </c>
      <c r="B799" t="s">
        <v>1909</v>
      </c>
      <c r="C799" s="71" t="s">
        <v>1910</v>
      </c>
      <c r="D799" s="75">
        <v>4000</v>
      </c>
      <c r="E799" s="75">
        <v>0</v>
      </c>
      <c r="F799" s="75">
        <v>36661.17</v>
      </c>
      <c r="G799" s="75"/>
      <c r="H799" s="71" t="s">
        <v>511</v>
      </c>
      <c r="J799" t="s">
        <v>756</v>
      </c>
    </row>
    <row r="800" spans="1:10" x14ac:dyDescent="0.3">
      <c r="A800" s="70">
        <v>45594</v>
      </c>
      <c r="B800" t="s">
        <v>1070</v>
      </c>
      <c r="C800" s="71" t="s">
        <v>1071</v>
      </c>
      <c r="D800" s="75">
        <v>0</v>
      </c>
      <c r="E800" s="75">
        <v>1841.7</v>
      </c>
      <c r="F800" s="75">
        <v>38023.57</v>
      </c>
      <c r="G800" s="75"/>
      <c r="H800" s="71" t="s">
        <v>2523</v>
      </c>
      <c r="J800" t="s">
        <v>752</v>
      </c>
    </row>
    <row r="801" spans="1:10" x14ac:dyDescent="0.3">
      <c r="A801" s="70">
        <v>45594</v>
      </c>
      <c r="B801" t="s">
        <v>30</v>
      </c>
      <c r="C801" s="71" t="s">
        <v>1072</v>
      </c>
      <c r="D801" s="75">
        <v>97.06</v>
      </c>
      <c r="E801" s="75">
        <v>0</v>
      </c>
      <c r="F801" s="75">
        <v>37926.51</v>
      </c>
      <c r="G801" s="75"/>
      <c r="H801" s="71" t="s">
        <v>217</v>
      </c>
      <c r="J801" t="s">
        <v>752</v>
      </c>
    </row>
    <row r="802" spans="1:10" x14ac:dyDescent="0.3">
      <c r="A802" s="70">
        <v>45594</v>
      </c>
      <c r="B802" t="s">
        <v>30</v>
      </c>
      <c r="C802" s="71" t="s">
        <v>1073</v>
      </c>
      <c r="D802" s="75">
        <v>3247.27</v>
      </c>
      <c r="E802" s="75">
        <v>0</v>
      </c>
      <c r="F802" s="75">
        <v>34679.24</v>
      </c>
      <c r="G802" s="75"/>
      <c r="H802" s="71" t="s">
        <v>217</v>
      </c>
      <c r="J802" t="s">
        <v>752</v>
      </c>
    </row>
    <row r="803" spans="1:10" x14ac:dyDescent="0.3">
      <c r="A803" s="70">
        <v>45594</v>
      </c>
      <c r="B803" t="s">
        <v>358</v>
      </c>
      <c r="C803" s="71" t="s">
        <v>1911</v>
      </c>
      <c r="D803" s="75">
        <v>0</v>
      </c>
      <c r="E803" s="75">
        <v>68895</v>
      </c>
      <c r="F803" s="75">
        <v>105556.17</v>
      </c>
      <c r="G803" s="75"/>
      <c r="H803" s="71" t="s">
        <v>507</v>
      </c>
      <c r="J803" t="s">
        <v>756</v>
      </c>
    </row>
    <row r="804" spans="1:10" x14ac:dyDescent="0.3">
      <c r="A804" s="70">
        <v>45594</v>
      </c>
      <c r="B804" t="s">
        <v>1912</v>
      </c>
      <c r="C804" s="71" t="s">
        <v>1913</v>
      </c>
      <c r="D804" s="75">
        <v>0</v>
      </c>
      <c r="E804" s="75">
        <v>100</v>
      </c>
      <c r="F804" s="75">
        <v>105656.17</v>
      </c>
      <c r="G804" s="75"/>
      <c r="H804" s="71" t="s">
        <v>511</v>
      </c>
      <c r="J804" t="s">
        <v>756</v>
      </c>
    </row>
    <row r="805" spans="1:10" x14ac:dyDescent="0.3">
      <c r="A805" s="70">
        <v>45594</v>
      </c>
      <c r="B805" t="s">
        <v>1914</v>
      </c>
      <c r="C805" s="71" t="s">
        <v>1915</v>
      </c>
      <c r="D805" s="75">
        <v>100</v>
      </c>
      <c r="E805" s="75">
        <v>0</v>
      </c>
      <c r="F805" s="75">
        <v>105556.17</v>
      </c>
      <c r="G805" s="75"/>
      <c r="H805" s="71" t="s">
        <v>511</v>
      </c>
      <c r="J805" t="s">
        <v>756</v>
      </c>
    </row>
    <row r="806" spans="1:10" x14ac:dyDescent="0.3">
      <c r="A806" s="70">
        <v>45594</v>
      </c>
      <c r="B806" t="s">
        <v>1916</v>
      </c>
      <c r="C806" s="71" t="s">
        <v>1917</v>
      </c>
      <c r="D806" s="75">
        <v>10</v>
      </c>
      <c r="E806" s="75">
        <v>0</v>
      </c>
      <c r="F806" s="75">
        <v>105546.17</v>
      </c>
      <c r="G806" s="75"/>
      <c r="H806" s="71" t="s">
        <v>511</v>
      </c>
      <c r="J806" t="s">
        <v>756</v>
      </c>
    </row>
    <row r="807" spans="1:10" x14ac:dyDescent="0.3">
      <c r="A807" s="70">
        <v>45594</v>
      </c>
      <c r="B807" t="s">
        <v>1918</v>
      </c>
      <c r="C807" s="71" t="s">
        <v>1919</v>
      </c>
      <c r="D807" s="75">
        <v>0</v>
      </c>
      <c r="E807" s="75">
        <v>5</v>
      </c>
      <c r="F807" s="75">
        <v>105551.17</v>
      </c>
      <c r="G807" s="75"/>
      <c r="H807" s="71" t="s">
        <v>511</v>
      </c>
      <c r="J807" t="s">
        <v>756</v>
      </c>
    </row>
    <row r="808" spans="1:10" x14ac:dyDescent="0.3">
      <c r="A808" s="70">
        <v>45594</v>
      </c>
      <c r="B808" t="s">
        <v>1920</v>
      </c>
      <c r="C808" s="71" t="s">
        <v>1921</v>
      </c>
      <c r="D808" s="75">
        <v>0</v>
      </c>
      <c r="E808" s="75">
        <v>10</v>
      </c>
      <c r="F808" s="75">
        <v>105561.17</v>
      </c>
      <c r="G808" s="75"/>
      <c r="H808" s="71" t="s">
        <v>511</v>
      </c>
      <c r="J808" t="s">
        <v>756</v>
      </c>
    </row>
    <row r="809" spans="1:10" x14ac:dyDescent="0.3">
      <c r="A809" s="70">
        <v>45595</v>
      </c>
      <c r="B809" t="s">
        <v>1074</v>
      </c>
      <c r="C809" s="71" t="s">
        <v>1075</v>
      </c>
      <c r="D809" s="75">
        <v>5000</v>
      </c>
      <c r="E809" s="75">
        <v>0</v>
      </c>
      <c r="F809" s="75">
        <v>29679.24</v>
      </c>
      <c r="G809" s="75"/>
      <c r="H809" s="71" t="s">
        <v>219</v>
      </c>
      <c r="J809" t="s">
        <v>752</v>
      </c>
    </row>
    <row r="810" spans="1:10" x14ac:dyDescent="0.3">
      <c r="A810" s="70">
        <v>45595</v>
      </c>
      <c r="B810" t="s">
        <v>30</v>
      </c>
      <c r="C810" s="71" t="s">
        <v>1076</v>
      </c>
      <c r="D810" s="75">
        <v>96.56</v>
      </c>
      <c r="E810" s="75">
        <v>0</v>
      </c>
      <c r="F810" s="75">
        <v>29582.68</v>
      </c>
      <c r="G810" s="75"/>
      <c r="H810" s="71" t="s">
        <v>217</v>
      </c>
      <c r="J810" t="s">
        <v>752</v>
      </c>
    </row>
    <row r="811" spans="1:10" x14ac:dyDescent="0.3">
      <c r="A811" s="70">
        <v>45595</v>
      </c>
      <c r="B811" t="s">
        <v>30</v>
      </c>
      <c r="C811" s="71" t="s">
        <v>1077</v>
      </c>
      <c r="D811" s="75">
        <v>49.8</v>
      </c>
      <c r="E811" s="75">
        <v>0</v>
      </c>
      <c r="F811" s="75">
        <v>29532.880000000001</v>
      </c>
      <c r="G811" s="75"/>
      <c r="H811" s="71" t="s">
        <v>217</v>
      </c>
      <c r="J811" t="s">
        <v>752</v>
      </c>
    </row>
    <row r="812" spans="1:10" x14ac:dyDescent="0.3">
      <c r="A812" s="70">
        <v>45595</v>
      </c>
      <c r="B812" t="s">
        <v>1922</v>
      </c>
      <c r="C812" s="71" t="s">
        <v>1923</v>
      </c>
      <c r="D812" s="75">
        <v>5000</v>
      </c>
      <c r="E812" s="75">
        <v>0</v>
      </c>
      <c r="F812" s="75">
        <v>100561.17</v>
      </c>
      <c r="G812" s="75"/>
      <c r="H812" s="71" t="s">
        <v>511</v>
      </c>
      <c r="J812" t="s">
        <v>756</v>
      </c>
    </row>
    <row r="813" spans="1:10" x14ac:dyDescent="0.3">
      <c r="A813" s="70">
        <v>45596</v>
      </c>
      <c r="B813" t="s">
        <v>30</v>
      </c>
      <c r="C813" s="71" t="s">
        <v>1078</v>
      </c>
      <c r="D813" s="75">
        <v>100.02</v>
      </c>
      <c r="E813" s="75">
        <v>0</v>
      </c>
      <c r="F813" s="75">
        <v>29432.86</v>
      </c>
      <c r="G813" s="75"/>
      <c r="H813" s="71" t="s">
        <v>217</v>
      </c>
      <c r="J813" t="s">
        <v>752</v>
      </c>
    </row>
    <row r="814" spans="1:10" x14ac:dyDescent="0.3">
      <c r="A814" s="70">
        <v>45596</v>
      </c>
      <c r="B814" t="s">
        <v>30</v>
      </c>
      <c r="C814" s="71" t="s">
        <v>1079</v>
      </c>
      <c r="D814" s="75">
        <v>17700.419999999998</v>
      </c>
      <c r="E814" s="75">
        <v>0</v>
      </c>
      <c r="F814" s="75">
        <v>11732.44</v>
      </c>
      <c r="G814" s="75"/>
      <c r="H814" s="71" t="s">
        <v>217</v>
      </c>
      <c r="J814" t="s">
        <v>752</v>
      </c>
    </row>
    <row r="815" spans="1:10" x14ac:dyDescent="0.3">
      <c r="A815" s="70">
        <v>45596</v>
      </c>
      <c r="B815" t="s">
        <v>30</v>
      </c>
      <c r="C815" s="71" t="s">
        <v>1080</v>
      </c>
      <c r="D815" s="75">
        <v>488.32</v>
      </c>
      <c r="E815" s="75">
        <v>0</v>
      </c>
      <c r="F815" s="75">
        <v>11244.12</v>
      </c>
      <c r="G815" s="75"/>
      <c r="H815" s="71" t="s">
        <v>217</v>
      </c>
      <c r="J815" t="s">
        <v>752</v>
      </c>
    </row>
    <row r="816" spans="1:10" x14ac:dyDescent="0.3">
      <c r="A816" s="70">
        <v>45596</v>
      </c>
      <c r="B816" t="s">
        <v>1924</v>
      </c>
      <c r="C816" s="71" t="s">
        <v>1925</v>
      </c>
      <c r="D816" s="75">
        <v>2000</v>
      </c>
      <c r="E816" s="75">
        <v>0</v>
      </c>
      <c r="F816" s="75">
        <v>98561.17</v>
      </c>
      <c r="G816" s="75"/>
      <c r="H816" s="71" t="s">
        <v>511</v>
      </c>
      <c r="J816" t="s">
        <v>756</v>
      </c>
    </row>
    <row r="817" spans="1:10" x14ac:dyDescent="0.3">
      <c r="A817" s="70">
        <v>45596</v>
      </c>
      <c r="B817" t="s">
        <v>1926</v>
      </c>
      <c r="C817" s="71" t="s">
        <v>1927</v>
      </c>
      <c r="D817" s="75">
        <v>0</v>
      </c>
      <c r="E817" s="75">
        <v>77.11</v>
      </c>
      <c r="F817" s="75">
        <v>98638.28</v>
      </c>
      <c r="G817" s="75"/>
      <c r="H817" s="71" t="s">
        <v>511</v>
      </c>
      <c r="J817" t="s">
        <v>756</v>
      </c>
    </row>
    <row r="818" spans="1:10" x14ac:dyDescent="0.3">
      <c r="A818" s="70">
        <v>45596</v>
      </c>
      <c r="B818" t="s">
        <v>1928</v>
      </c>
      <c r="C818" s="71" t="s">
        <v>1929</v>
      </c>
      <c r="D818" s="75">
        <v>7000</v>
      </c>
      <c r="E818" s="75">
        <v>0</v>
      </c>
      <c r="F818" s="75">
        <v>91638.28</v>
      </c>
      <c r="G818" s="75"/>
      <c r="H818" s="71" t="s">
        <v>511</v>
      </c>
      <c r="J818" t="s">
        <v>756</v>
      </c>
    </row>
    <row r="819" spans="1:10" x14ac:dyDescent="0.3">
      <c r="A819" s="70">
        <v>45596</v>
      </c>
      <c r="B819" t="s">
        <v>1930</v>
      </c>
      <c r="C819" s="71" t="s">
        <v>1931</v>
      </c>
      <c r="D819" s="75">
        <v>16000</v>
      </c>
      <c r="E819" s="75">
        <v>0</v>
      </c>
      <c r="F819" s="75">
        <v>75638.28</v>
      </c>
      <c r="G819" s="75"/>
      <c r="H819" s="71" t="s">
        <v>511</v>
      </c>
      <c r="J819" t="s">
        <v>756</v>
      </c>
    </row>
    <row r="820" spans="1:10" x14ac:dyDescent="0.3">
      <c r="A820" s="70">
        <v>45597</v>
      </c>
      <c r="B820" t="s">
        <v>1932</v>
      </c>
      <c r="C820" s="71">
        <v>430605596729</v>
      </c>
      <c r="D820" s="75">
        <v>2</v>
      </c>
      <c r="E820" s="75">
        <v>0</v>
      </c>
      <c r="F820" s="75">
        <v>75636.28</v>
      </c>
      <c r="G820" s="75"/>
      <c r="H820" s="71" t="s">
        <v>589</v>
      </c>
      <c r="J820" t="s">
        <v>756</v>
      </c>
    </row>
    <row r="821" spans="1:10" x14ac:dyDescent="0.3">
      <c r="A821" s="70">
        <v>45597</v>
      </c>
      <c r="B821" t="s">
        <v>1933</v>
      </c>
      <c r="C821" s="71" t="s">
        <v>1934</v>
      </c>
      <c r="D821" s="75">
        <v>1000</v>
      </c>
      <c r="E821" s="75">
        <v>0</v>
      </c>
      <c r="F821" s="75">
        <v>74636.28</v>
      </c>
      <c r="G821" s="75"/>
      <c r="H821" s="71" t="s">
        <v>511</v>
      </c>
      <c r="J821" t="s">
        <v>756</v>
      </c>
    </row>
    <row r="822" spans="1:10" x14ac:dyDescent="0.3">
      <c r="A822" s="70">
        <v>45597</v>
      </c>
      <c r="B822" t="s">
        <v>1935</v>
      </c>
      <c r="C822" s="71" t="s">
        <v>1936</v>
      </c>
      <c r="D822" s="75">
        <v>3000</v>
      </c>
      <c r="E822" s="75">
        <v>0</v>
      </c>
      <c r="F822" s="75">
        <v>71636.28</v>
      </c>
      <c r="G822" s="75"/>
      <c r="H822" s="71" t="s">
        <v>511</v>
      </c>
      <c r="J822" t="s">
        <v>756</v>
      </c>
    </row>
    <row r="823" spans="1:10" x14ac:dyDescent="0.3">
      <c r="A823" s="70">
        <v>45597</v>
      </c>
      <c r="B823" t="s">
        <v>2567</v>
      </c>
      <c r="C823" s="71"/>
      <c r="D823" s="75">
        <v>0</v>
      </c>
      <c r="E823" s="75">
        <v>1</v>
      </c>
      <c r="F823" s="75">
        <v>232</v>
      </c>
      <c r="G823" s="75"/>
      <c r="H823" s="71" t="s">
        <v>227</v>
      </c>
      <c r="J823" t="s">
        <v>2573</v>
      </c>
    </row>
    <row r="824" spans="1:10" x14ac:dyDescent="0.3">
      <c r="A824" s="70">
        <v>45598</v>
      </c>
      <c r="B824" t="s">
        <v>1937</v>
      </c>
      <c r="C824" s="71" t="s">
        <v>1938</v>
      </c>
      <c r="D824" s="75">
        <v>1100</v>
      </c>
      <c r="E824" s="75">
        <v>0</v>
      </c>
      <c r="F824" s="75">
        <v>70536.28</v>
      </c>
      <c r="G824" s="75"/>
      <c r="H824" s="71" t="s">
        <v>511</v>
      </c>
      <c r="J824" t="s">
        <v>756</v>
      </c>
    </row>
    <row r="825" spans="1:10" x14ac:dyDescent="0.3">
      <c r="A825" s="70">
        <v>45598</v>
      </c>
      <c r="B825" t="s">
        <v>1939</v>
      </c>
      <c r="C825" s="71" t="s">
        <v>1940</v>
      </c>
      <c r="D825" s="75">
        <v>2000</v>
      </c>
      <c r="E825" s="75">
        <v>0</v>
      </c>
      <c r="F825" s="75">
        <v>68536.28</v>
      </c>
      <c r="G825" s="75"/>
      <c r="H825" s="71" t="s">
        <v>511</v>
      </c>
      <c r="J825" t="s">
        <v>756</v>
      </c>
    </row>
    <row r="826" spans="1:10" x14ac:dyDescent="0.3">
      <c r="A826" s="70">
        <v>45599</v>
      </c>
      <c r="B826" t="s">
        <v>1941</v>
      </c>
      <c r="C826" s="71" t="s">
        <v>1942</v>
      </c>
      <c r="D826" s="75">
        <v>1500</v>
      </c>
      <c r="E826" s="75">
        <v>0</v>
      </c>
      <c r="F826" s="75">
        <v>67036.28</v>
      </c>
      <c r="G826" s="75"/>
      <c r="H826" s="71" t="s">
        <v>511</v>
      </c>
      <c r="J826" t="s">
        <v>756</v>
      </c>
    </row>
    <row r="827" spans="1:10" x14ac:dyDescent="0.3">
      <c r="A827" s="70">
        <v>45600</v>
      </c>
      <c r="B827" t="s">
        <v>1081</v>
      </c>
      <c r="C827" s="71" t="s">
        <v>1082</v>
      </c>
      <c r="D827" s="75">
        <v>0</v>
      </c>
      <c r="E827" s="75">
        <v>15574.31</v>
      </c>
      <c r="F827" s="75">
        <v>26818.43</v>
      </c>
      <c r="G827" s="75"/>
      <c r="H827" s="71" t="s">
        <v>2523</v>
      </c>
      <c r="J827" t="s">
        <v>752</v>
      </c>
    </row>
    <row r="828" spans="1:10" x14ac:dyDescent="0.3">
      <c r="A828" s="70">
        <v>45600</v>
      </c>
      <c r="B828" t="s">
        <v>1083</v>
      </c>
      <c r="C828" s="71" t="s">
        <v>1084</v>
      </c>
      <c r="D828" s="75">
        <v>0</v>
      </c>
      <c r="E828" s="75">
        <v>9289.3799999999992</v>
      </c>
      <c r="F828" s="75">
        <v>36107.81</v>
      </c>
      <c r="G828" s="75"/>
      <c r="H828" s="71" t="s">
        <v>2523</v>
      </c>
      <c r="J828" t="s">
        <v>752</v>
      </c>
    </row>
    <row r="829" spans="1:10" x14ac:dyDescent="0.3">
      <c r="A829" s="70">
        <v>45600</v>
      </c>
      <c r="B829" t="s">
        <v>30</v>
      </c>
      <c r="C829" s="71" t="s">
        <v>1085</v>
      </c>
      <c r="D829" s="75">
        <v>399.4</v>
      </c>
      <c r="E829" s="75">
        <v>0</v>
      </c>
      <c r="F829" s="75">
        <v>35708.410000000003</v>
      </c>
      <c r="G829" s="75"/>
      <c r="H829" s="71" t="s">
        <v>217</v>
      </c>
      <c r="J829" t="s">
        <v>752</v>
      </c>
    </row>
    <row r="830" spans="1:10" x14ac:dyDescent="0.3">
      <c r="A830" s="70">
        <v>45600</v>
      </c>
      <c r="B830" t="s">
        <v>30</v>
      </c>
      <c r="C830" s="71" t="s">
        <v>1086</v>
      </c>
      <c r="D830" s="75">
        <v>1291.04</v>
      </c>
      <c r="E830" s="75">
        <v>0</v>
      </c>
      <c r="F830" s="75">
        <v>34417.370000000003</v>
      </c>
      <c r="G830" s="75"/>
      <c r="H830" s="71" t="s">
        <v>217</v>
      </c>
      <c r="J830" t="s">
        <v>752</v>
      </c>
    </row>
    <row r="831" spans="1:10" x14ac:dyDescent="0.3">
      <c r="A831" s="70">
        <v>45600</v>
      </c>
      <c r="B831" t="s">
        <v>1943</v>
      </c>
      <c r="C831" s="71" t="s">
        <v>1944</v>
      </c>
      <c r="D831" s="75">
        <v>1000</v>
      </c>
      <c r="E831" s="75">
        <v>0</v>
      </c>
      <c r="F831" s="75">
        <v>66036.28</v>
      </c>
      <c r="G831" s="75"/>
      <c r="H831" s="71" t="s">
        <v>511</v>
      </c>
      <c r="J831" t="s">
        <v>756</v>
      </c>
    </row>
    <row r="832" spans="1:10" x14ac:dyDescent="0.3">
      <c r="A832" s="70">
        <v>45601</v>
      </c>
      <c r="B832" t="s">
        <v>30</v>
      </c>
      <c r="C832" s="71" t="s">
        <v>1087</v>
      </c>
      <c r="D832" s="75">
        <v>90.03</v>
      </c>
      <c r="E832" s="75">
        <v>0</v>
      </c>
      <c r="F832" s="75">
        <v>34327.339999999997</v>
      </c>
      <c r="G832" s="75"/>
      <c r="H832" s="71" t="s">
        <v>217</v>
      </c>
      <c r="J832" t="s">
        <v>752</v>
      </c>
    </row>
    <row r="833" spans="1:10" x14ac:dyDescent="0.3">
      <c r="A833" s="70">
        <v>45601</v>
      </c>
      <c r="B833" t="s">
        <v>1088</v>
      </c>
      <c r="C833" s="71" t="s">
        <v>1089</v>
      </c>
      <c r="D833" s="75">
        <v>0</v>
      </c>
      <c r="E833" s="75">
        <v>130</v>
      </c>
      <c r="F833" s="75">
        <v>34457.339999999997</v>
      </c>
      <c r="G833" s="75"/>
      <c r="H833" s="71" t="s">
        <v>218</v>
      </c>
      <c r="J833" t="s">
        <v>752</v>
      </c>
    </row>
    <row r="834" spans="1:10" x14ac:dyDescent="0.3">
      <c r="A834" s="70">
        <v>45601</v>
      </c>
      <c r="B834" t="s">
        <v>1945</v>
      </c>
      <c r="C834" s="71" t="s">
        <v>1946</v>
      </c>
      <c r="D834" s="75">
        <v>1500</v>
      </c>
      <c r="E834" s="75">
        <v>0</v>
      </c>
      <c r="F834" s="75">
        <v>64536.28</v>
      </c>
      <c r="G834" s="75"/>
      <c r="H834" s="71" t="s">
        <v>511</v>
      </c>
      <c r="J834" t="s">
        <v>756</v>
      </c>
    </row>
    <row r="835" spans="1:10" x14ac:dyDescent="0.3">
      <c r="A835" s="70">
        <v>45602</v>
      </c>
      <c r="B835" t="s">
        <v>1090</v>
      </c>
      <c r="C835" s="71" t="s">
        <v>1091</v>
      </c>
      <c r="D835" s="75">
        <v>0</v>
      </c>
      <c r="E835" s="75">
        <v>491.22</v>
      </c>
      <c r="F835" s="75">
        <v>34948.559999999998</v>
      </c>
      <c r="G835" s="75"/>
      <c r="H835" s="71" t="s">
        <v>2523</v>
      </c>
      <c r="J835" t="s">
        <v>752</v>
      </c>
    </row>
    <row r="836" spans="1:10" x14ac:dyDescent="0.3">
      <c r="A836" s="70">
        <v>45602</v>
      </c>
      <c r="B836" t="s">
        <v>30</v>
      </c>
      <c r="C836" s="71" t="s">
        <v>1092</v>
      </c>
      <c r="D836" s="75">
        <v>90.03</v>
      </c>
      <c r="E836" s="75">
        <v>0</v>
      </c>
      <c r="F836" s="75">
        <v>34858.53</v>
      </c>
      <c r="G836" s="75"/>
      <c r="H836" s="71" t="s">
        <v>217</v>
      </c>
      <c r="J836" t="s">
        <v>752</v>
      </c>
    </row>
    <row r="837" spans="1:10" x14ac:dyDescent="0.3">
      <c r="A837" s="70">
        <v>45602</v>
      </c>
      <c r="B837" t="s">
        <v>1947</v>
      </c>
      <c r="C837" s="71" t="s">
        <v>1948</v>
      </c>
      <c r="D837" s="75">
        <v>1048.3</v>
      </c>
      <c r="E837" s="75">
        <v>0</v>
      </c>
      <c r="F837" s="75">
        <v>63487.98</v>
      </c>
      <c r="G837" s="75"/>
      <c r="H837" s="71" t="s">
        <v>511</v>
      </c>
      <c r="J837" t="s">
        <v>756</v>
      </c>
    </row>
    <row r="838" spans="1:10" x14ac:dyDescent="0.3">
      <c r="A838" s="70">
        <v>45603</v>
      </c>
      <c r="B838" t="s">
        <v>1093</v>
      </c>
      <c r="C838" s="71" t="s">
        <v>1094</v>
      </c>
      <c r="D838" s="75">
        <v>0</v>
      </c>
      <c r="E838" s="75">
        <v>2671.04</v>
      </c>
      <c r="F838" s="75">
        <v>37529.57</v>
      </c>
      <c r="G838" s="75"/>
      <c r="H838" s="71" t="s">
        <v>2523</v>
      </c>
      <c r="J838" t="s">
        <v>752</v>
      </c>
    </row>
    <row r="839" spans="1:10" x14ac:dyDescent="0.3">
      <c r="A839" s="70">
        <v>45603</v>
      </c>
      <c r="B839" t="s">
        <v>30</v>
      </c>
      <c r="C839" s="71" t="s">
        <v>1095</v>
      </c>
      <c r="D839" s="75">
        <v>90.2</v>
      </c>
      <c r="E839" s="75">
        <v>0</v>
      </c>
      <c r="F839" s="75">
        <v>37439.370000000003</v>
      </c>
      <c r="G839" s="75"/>
      <c r="H839" s="71" t="s">
        <v>217</v>
      </c>
      <c r="J839" t="s">
        <v>752</v>
      </c>
    </row>
    <row r="840" spans="1:10" x14ac:dyDescent="0.3">
      <c r="A840" s="70">
        <v>45603</v>
      </c>
      <c r="B840" t="s">
        <v>1096</v>
      </c>
      <c r="C840" s="71" t="s">
        <v>1097</v>
      </c>
      <c r="D840" s="75">
        <v>0</v>
      </c>
      <c r="E840" s="75">
        <v>620</v>
      </c>
      <c r="F840" s="75">
        <v>38059.370000000003</v>
      </c>
      <c r="G840" s="75"/>
      <c r="H840" s="71" t="s">
        <v>218</v>
      </c>
      <c r="J840" t="s">
        <v>752</v>
      </c>
    </row>
    <row r="841" spans="1:10" x14ac:dyDescent="0.3">
      <c r="A841" s="70">
        <v>45603</v>
      </c>
      <c r="B841" t="s">
        <v>1098</v>
      </c>
      <c r="C841" s="71" t="s">
        <v>1099</v>
      </c>
      <c r="D841" s="75">
        <v>0</v>
      </c>
      <c r="E841" s="75">
        <v>1880</v>
      </c>
      <c r="F841" s="75">
        <v>39939.370000000003</v>
      </c>
      <c r="G841" s="75"/>
      <c r="H841" s="71" t="s">
        <v>222</v>
      </c>
      <c r="J841" t="s">
        <v>752</v>
      </c>
    </row>
    <row r="842" spans="1:10" x14ac:dyDescent="0.3">
      <c r="A842" s="70">
        <v>45603</v>
      </c>
      <c r="B842" t="s">
        <v>30</v>
      </c>
      <c r="C842" s="71" t="s">
        <v>1100</v>
      </c>
      <c r="D842" s="75">
        <v>1010.28</v>
      </c>
      <c r="E842" s="75">
        <v>0</v>
      </c>
      <c r="F842" s="75">
        <v>38929.089999999997</v>
      </c>
      <c r="G842" s="75"/>
      <c r="H842" s="71" t="s">
        <v>217</v>
      </c>
      <c r="J842" t="s">
        <v>752</v>
      </c>
    </row>
    <row r="843" spans="1:10" x14ac:dyDescent="0.3">
      <c r="A843" s="70">
        <v>45604</v>
      </c>
      <c r="B843" t="s">
        <v>30</v>
      </c>
      <c r="C843" s="71" t="s">
        <v>1101</v>
      </c>
      <c r="D843" s="75">
        <v>90.79</v>
      </c>
      <c r="E843" s="75">
        <v>0</v>
      </c>
      <c r="F843" s="75">
        <v>38838.300000000003</v>
      </c>
      <c r="G843" s="75"/>
      <c r="H843" s="71" t="s">
        <v>217</v>
      </c>
      <c r="J843" t="s">
        <v>752</v>
      </c>
    </row>
    <row r="844" spans="1:10" x14ac:dyDescent="0.3">
      <c r="A844" s="70">
        <v>45604</v>
      </c>
      <c r="B844" t="s">
        <v>30</v>
      </c>
      <c r="C844" s="71" t="s">
        <v>1102</v>
      </c>
      <c r="D844" s="75">
        <v>984.27</v>
      </c>
      <c r="E844" s="75">
        <v>0</v>
      </c>
      <c r="F844" s="75">
        <v>37854.03</v>
      </c>
      <c r="G844" s="75"/>
      <c r="H844" s="71" t="s">
        <v>217</v>
      </c>
      <c r="J844" t="s">
        <v>752</v>
      </c>
    </row>
    <row r="845" spans="1:10" x14ac:dyDescent="0.3">
      <c r="A845" s="70">
        <v>45604</v>
      </c>
      <c r="B845" t="s">
        <v>1949</v>
      </c>
      <c r="C845" s="71" t="s">
        <v>1950</v>
      </c>
      <c r="D845" s="75">
        <v>15000</v>
      </c>
      <c r="E845" s="75">
        <v>0</v>
      </c>
      <c r="F845" s="75">
        <v>48487.98</v>
      </c>
      <c r="G845" s="75"/>
      <c r="H845" s="71" t="s">
        <v>512</v>
      </c>
      <c r="J845" t="s">
        <v>756</v>
      </c>
    </row>
    <row r="846" spans="1:10" x14ac:dyDescent="0.3">
      <c r="A846" s="70">
        <v>45604</v>
      </c>
      <c r="B846" t="s">
        <v>1951</v>
      </c>
      <c r="C846" s="71" t="s">
        <v>1950</v>
      </c>
      <c r="D846" s="75">
        <v>0</v>
      </c>
      <c r="E846" s="75">
        <v>15000</v>
      </c>
      <c r="F846" s="75">
        <v>63487.98</v>
      </c>
      <c r="G846" s="75"/>
      <c r="H846" s="71" t="s">
        <v>512</v>
      </c>
      <c r="J846" t="s">
        <v>756</v>
      </c>
    </row>
    <row r="847" spans="1:10" x14ac:dyDescent="0.3">
      <c r="A847" s="70">
        <v>45604</v>
      </c>
      <c r="B847" t="s">
        <v>1952</v>
      </c>
      <c r="C847" s="71" t="s">
        <v>1953</v>
      </c>
      <c r="D847" s="75">
        <v>15000</v>
      </c>
      <c r="E847" s="75">
        <v>0</v>
      </c>
      <c r="F847" s="75">
        <v>48487.98</v>
      </c>
      <c r="G847" s="75"/>
      <c r="H847" s="71" t="s">
        <v>512</v>
      </c>
      <c r="J847" t="s">
        <v>756</v>
      </c>
    </row>
    <row r="848" spans="1:10" x14ac:dyDescent="0.3">
      <c r="A848" s="70">
        <v>45604</v>
      </c>
      <c r="B848" t="s">
        <v>1954</v>
      </c>
      <c r="C848" s="71" t="s">
        <v>1953</v>
      </c>
      <c r="D848" s="75">
        <v>0</v>
      </c>
      <c r="E848" s="75">
        <v>15000</v>
      </c>
      <c r="F848" s="75">
        <v>63487.98</v>
      </c>
      <c r="G848" s="75"/>
      <c r="H848" s="71" t="s">
        <v>512</v>
      </c>
      <c r="J848" t="s">
        <v>756</v>
      </c>
    </row>
    <row r="849" spans="1:10" x14ac:dyDescent="0.3">
      <c r="A849" s="70">
        <v>45604</v>
      </c>
      <c r="B849" t="s">
        <v>1955</v>
      </c>
      <c r="C849" s="71" t="s">
        <v>1956</v>
      </c>
      <c r="D849" s="75">
        <v>15000</v>
      </c>
      <c r="E849" s="75">
        <v>0</v>
      </c>
      <c r="F849" s="75">
        <v>48487.98</v>
      </c>
      <c r="G849" s="75"/>
      <c r="H849" s="71" t="s">
        <v>512</v>
      </c>
      <c r="J849" t="s">
        <v>756</v>
      </c>
    </row>
    <row r="850" spans="1:10" x14ac:dyDescent="0.3">
      <c r="A850" s="70">
        <v>45604</v>
      </c>
      <c r="B850" t="s">
        <v>1957</v>
      </c>
      <c r="C850" s="71" t="s">
        <v>1958</v>
      </c>
      <c r="D850" s="75">
        <v>170</v>
      </c>
      <c r="E850" s="75">
        <v>0</v>
      </c>
      <c r="F850" s="75">
        <v>48317.98</v>
      </c>
      <c r="G850" s="75"/>
      <c r="H850" s="71" t="s">
        <v>511</v>
      </c>
      <c r="J850" t="s">
        <v>756</v>
      </c>
    </row>
    <row r="851" spans="1:10" x14ac:dyDescent="0.3">
      <c r="A851" s="70">
        <v>45607</v>
      </c>
      <c r="B851" t="s">
        <v>30</v>
      </c>
      <c r="C851" s="71" t="s">
        <v>1103</v>
      </c>
      <c r="D851" s="75">
        <v>271.32</v>
      </c>
      <c r="E851" s="75">
        <v>0</v>
      </c>
      <c r="F851" s="75">
        <v>37582.71</v>
      </c>
      <c r="G851" s="75"/>
      <c r="H851" s="71" t="s">
        <v>217</v>
      </c>
      <c r="J851" t="s">
        <v>752</v>
      </c>
    </row>
    <row r="852" spans="1:10" x14ac:dyDescent="0.3">
      <c r="A852" s="70">
        <v>45608</v>
      </c>
      <c r="B852" t="s">
        <v>30</v>
      </c>
      <c r="C852" s="71" t="s">
        <v>1104</v>
      </c>
      <c r="D852" s="75">
        <v>150.01</v>
      </c>
      <c r="E852" s="75">
        <v>0</v>
      </c>
      <c r="F852" s="75">
        <v>37432.699999999997</v>
      </c>
      <c r="G852" s="75"/>
      <c r="H852" s="71" t="s">
        <v>217</v>
      </c>
      <c r="J852" t="s">
        <v>752</v>
      </c>
    </row>
    <row r="853" spans="1:10" x14ac:dyDescent="0.3">
      <c r="A853" s="70">
        <v>45608</v>
      </c>
      <c r="B853" t="s">
        <v>30</v>
      </c>
      <c r="C853" s="71" t="s">
        <v>1105</v>
      </c>
      <c r="D853" s="75">
        <v>90.39</v>
      </c>
      <c r="E853" s="75">
        <v>0</v>
      </c>
      <c r="F853" s="75">
        <v>37342.31</v>
      </c>
      <c r="G853" s="75"/>
      <c r="H853" s="71" t="s">
        <v>217</v>
      </c>
      <c r="J853" t="s">
        <v>752</v>
      </c>
    </row>
    <row r="854" spans="1:10" x14ac:dyDescent="0.3">
      <c r="A854" s="70">
        <v>45608</v>
      </c>
      <c r="B854" t="s">
        <v>30</v>
      </c>
      <c r="C854" s="71" t="s">
        <v>1106</v>
      </c>
      <c r="D854" s="75">
        <v>1818.18</v>
      </c>
      <c r="E854" s="75">
        <v>0</v>
      </c>
      <c r="F854" s="75">
        <v>35524.129999999997</v>
      </c>
      <c r="G854" s="75"/>
      <c r="H854" s="71" t="s">
        <v>217</v>
      </c>
      <c r="J854" t="s">
        <v>752</v>
      </c>
    </row>
    <row r="855" spans="1:10" x14ac:dyDescent="0.3">
      <c r="A855" s="70">
        <v>45608</v>
      </c>
      <c r="B855" t="s">
        <v>1959</v>
      </c>
      <c r="C855" s="71" t="s">
        <v>1960</v>
      </c>
      <c r="D855" s="75">
        <v>271.8</v>
      </c>
      <c r="E855" s="75">
        <v>0</v>
      </c>
      <c r="F855" s="75">
        <v>48046.18</v>
      </c>
      <c r="G855" s="75"/>
      <c r="H855" s="71" t="s">
        <v>511</v>
      </c>
      <c r="J855" t="s">
        <v>756</v>
      </c>
    </row>
    <row r="856" spans="1:10" x14ac:dyDescent="0.3">
      <c r="A856" s="70">
        <v>45609</v>
      </c>
      <c r="B856" t="s">
        <v>1107</v>
      </c>
      <c r="C856" s="71" t="s">
        <v>1108</v>
      </c>
      <c r="D856" s="75">
        <v>0</v>
      </c>
      <c r="E856" s="75">
        <v>437.5</v>
      </c>
      <c r="F856" s="75">
        <v>35961.629999999997</v>
      </c>
      <c r="G856" s="75"/>
      <c r="H856" s="71" t="s">
        <v>218</v>
      </c>
      <c r="J856" t="s">
        <v>752</v>
      </c>
    </row>
    <row r="857" spans="1:10" x14ac:dyDescent="0.3">
      <c r="A857" s="70">
        <v>45609</v>
      </c>
      <c r="B857" t="s">
        <v>1109</v>
      </c>
      <c r="C857" s="71" t="s">
        <v>46</v>
      </c>
      <c r="D857" s="75">
        <v>1227.2</v>
      </c>
      <c r="E857" s="75">
        <v>0</v>
      </c>
      <c r="F857" s="75">
        <v>34734.43</v>
      </c>
      <c r="G857" s="75"/>
      <c r="H857" s="71" t="s">
        <v>220</v>
      </c>
      <c r="J857" t="s">
        <v>752</v>
      </c>
    </row>
    <row r="858" spans="1:10" x14ac:dyDescent="0.3">
      <c r="A858" s="70">
        <v>45609</v>
      </c>
      <c r="B858" t="s">
        <v>30</v>
      </c>
      <c r="C858" s="71" t="s">
        <v>1110</v>
      </c>
      <c r="D858" s="75">
        <v>89.74</v>
      </c>
      <c r="E858" s="75">
        <v>0</v>
      </c>
      <c r="F858" s="75">
        <v>34644.69</v>
      </c>
      <c r="G858" s="75"/>
      <c r="H858" s="71" t="s">
        <v>217</v>
      </c>
      <c r="J858" t="s">
        <v>752</v>
      </c>
    </row>
    <row r="859" spans="1:10" x14ac:dyDescent="0.3">
      <c r="A859" s="70">
        <v>45609</v>
      </c>
      <c r="B859" t="s">
        <v>30</v>
      </c>
      <c r="C859" s="71" t="s">
        <v>1111</v>
      </c>
      <c r="D859" s="75">
        <v>3724.48</v>
      </c>
      <c r="E859" s="75">
        <v>0</v>
      </c>
      <c r="F859" s="75">
        <v>30920.21</v>
      </c>
      <c r="G859" s="75"/>
      <c r="H859" s="71" t="s">
        <v>217</v>
      </c>
      <c r="J859" t="s">
        <v>752</v>
      </c>
    </row>
    <row r="860" spans="1:10" x14ac:dyDescent="0.3">
      <c r="A860" s="70">
        <v>45609</v>
      </c>
      <c r="B860" t="s">
        <v>1961</v>
      </c>
      <c r="C860" s="71" t="s">
        <v>1962</v>
      </c>
      <c r="D860" s="75">
        <v>35</v>
      </c>
      <c r="E860" s="75">
        <v>0</v>
      </c>
      <c r="F860" s="75">
        <v>48011.18</v>
      </c>
      <c r="G860" s="75"/>
      <c r="H860" s="71" t="s">
        <v>511</v>
      </c>
      <c r="J860" t="s">
        <v>756</v>
      </c>
    </row>
    <row r="861" spans="1:10" x14ac:dyDescent="0.3">
      <c r="A861" s="70">
        <v>45609</v>
      </c>
      <c r="B861" t="s">
        <v>1963</v>
      </c>
      <c r="C861" s="71" t="s">
        <v>1964</v>
      </c>
      <c r="D861" s="75">
        <v>1500</v>
      </c>
      <c r="E861" s="75">
        <v>0</v>
      </c>
      <c r="F861" s="75">
        <v>46511.18</v>
      </c>
      <c r="G861" s="75"/>
      <c r="H861" s="71" t="s">
        <v>511</v>
      </c>
      <c r="J861" t="s">
        <v>756</v>
      </c>
    </row>
    <row r="862" spans="1:10" x14ac:dyDescent="0.3">
      <c r="A862" s="70">
        <v>45610</v>
      </c>
      <c r="B862" t="s">
        <v>30</v>
      </c>
      <c r="C862" s="71" t="s">
        <v>1112</v>
      </c>
      <c r="D862" s="75">
        <v>88.42</v>
      </c>
      <c r="E862" s="75">
        <v>0</v>
      </c>
      <c r="F862" s="75">
        <v>30831.79</v>
      </c>
      <c r="G862" s="75"/>
      <c r="H862" s="71" t="s">
        <v>217</v>
      </c>
      <c r="J862" t="s">
        <v>752</v>
      </c>
    </row>
    <row r="863" spans="1:10" x14ac:dyDescent="0.3">
      <c r="A863" s="70">
        <v>45610</v>
      </c>
      <c r="B863" t="s">
        <v>30</v>
      </c>
      <c r="C863" s="71" t="s">
        <v>1113</v>
      </c>
      <c r="D863" s="75">
        <v>321.52</v>
      </c>
      <c r="E863" s="75">
        <v>0</v>
      </c>
      <c r="F863" s="75">
        <v>30510.27</v>
      </c>
      <c r="G863" s="75"/>
      <c r="H863" s="71" t="s">
        <v>217</v>
      </c>
      <c r="J863" t="s">
        <v>752</v>
      </c>
    </row>
    <row r="864" spans="1:10" x14ac:dyDescent="0.3">
      <c r="A864" s="70">
        <v>45610</v>
      </c>
      <c r="B864" t="s">
        <v>1965</v>
      </c>
      <c r="C864" s="71" t="s">
        <v>1966</v>
      </c>
      <c r="D864" s="75">
        <v>2000</v>
      </c>
      <c r="E864" s="75">
        <v>0</v>
      </c>
      <c r="F864" s="75">
        <v>44511.18</v>
      </c>
      <c r="G864" s="75"/>
      <c r="H864" s="71" t="s">
        <v>511</v>
      </c>
      <c r="J864" t="s">
        <v>756</v>
      </c>
    </row>
    <row r="865" spans="1:10" x14ac:dyDescent="0.3">
      <c r="A865" s="70">
        <v>45612</v>
      </c>
      <c r="B865" t="s">
        <v>1967</v>
      </c>
      <c r="C865" s="71" t="s">
        <v>1968</v>
      </c>
      <c r="D865" s="75">
        <v>120</v>
      </c>
      <c r="E865" s="75">
        <v>0</v>
      </c>
      <c r="F865" s="75">
        <v>44391.18</v>
      </c>
      <c r="G865" s="75"/>
      <c r="H865" s="71" t="s">
        <v>511</v>
      </c>
      <c r="J865" t="s">
        <v>756</v>
      </c>
    </row>
    <row r="866" spans="1:10" x14ac:dyDescent="0.3">
      <c r="A866" s="70">
        <v>45612</v>
      </c>
      <c r="B866" t="s">
        <v>1969</v>
      </c>
      <c r="C866" s="71" t="s">
        <v>1970</v>
      </c>
      <c r="D866" s="75">
        <v>125</v>
      </c>
      <c r="E866" s="75">
        <v>0</v>
      </c>
      <c r="F866" s="75">
        <v>44266.18</v>
      </c>
      <c r="G866" s="75"/>
      <c r="H866" s="71" t="s">
        <v>511</v>
      </c>
      <c r="J866" t="s">
        <v>756</v>
      </c>
    </row>
    <row r="867" spans="1:10" x14ac:dyDescent="0.3">
      <c r="A867" s="70">
        <v>45612</v>
      </c>
      <c r="B867" t="s">
        <v>1971</v>
      </c>
      <c r="C867" s="71" t="s">
        <v>1972</v>
      </c>
      <c r="D867" s="75">
        <v>437.25</v>
      </c>
      <c r="E867" s="75">
        <v>0</v>
      </c>
      <c r="F867" s="75">
        <v>43828.93</v>
      </c>
      <c r="G867" s="75"/>
      <c r="H867" s="71" t="s">
        <v>511</v>
      </c>
      <c r="J867" t="s">
        <v>756</v>
      </c>
    </row>
    <row r="868" spans="1:10" x14ac:dyDescent="0.3">
      <c r="A868" s="70">
        <v>45612</v>
      </c>
      <c r="B868" t="s">
        <v>1973</v>
      </c>
      <c r="C868" s="71" t="s">
        <v>1974</v>
      </c>
      <c r="D868" s="75">
        <v>0</v>
      </c>
      <c r="E868" s="75">
        <v>200</v>
      </c>
      <c r="F868" s="75">
        <v>44028.93</v>
      </c>
      <c r="G868" s="75"/>
      <c r="H868" s="71" t="s">
        <v>511</v>
      </c>
      <c r="J868" t="s">
        <v>756</v>
      </c>
    </row>
    <row r="869" spans="1:10" x14ac:dyDescent="0.3">
      <c r="A869" s="70">
        <v>45613</v>
      </c>
      <c r="B869" t="s">
        <v>1975</v>
      </c>
      <c r="C869" s="71" t="s">
        <v>1976</v>
      </c>
      <c r="D869" s="75">
        <v>250</v>
      </c>
      <c r="E869" s="75">
        <v>0</v>
      </c>
      <c r="F869" s="75">
        <v>43778.93</v>
      </c>
      <c r="G869" s="75"/>
      <c r="H869" s="71" t="s">
        <v>511</v>
      </c>
      <c r="J869" t="s">
        <v>756</v>
      </c>
    </row>
    <row r="870" spans="1:10" x14ac:dyDescent="0.3">
      <c r="A870" s="70">
        <v>45613</v>
      </c>
      <c r="B870" t="s">
        <v>1977</v>
      </c>
      <c r="C870" s="71" t="s">
        <v>1978</v>
      </c>
      <c r="D870" s="75">
        <v>50</v>
      </c>
      <c r="E870" s="75">
        <v>0</v>
      </c>
      <c r="F870" s="75">
        <v>43728.93</v>
      </c>
      <c r="G870" s="75"/>
      <c r="H870" s="71" t="s">
        <v>511</v>
      </c>
      <c r="J870" t="s">
        <v>756</v>
      </c>
    </row>
    <row r="871" spans="1:10" x14ac:dyDescent="0.3">
      <c r="A871" s="70">
        <v>45613</v>
      </c>
      <c r="B871" t="s">
        <v>1979</v>
      </c>
      <c r="C871" s="71" t="s">
        <v>1980</v>
      </c>
      <c r="D871" s="75">
        <v>110</v>
      </c>
      <c r="E871" s="75">
        <v>0</v>
      </c>
      <c r="F871" s="75">
        <v>43618.93</v>
      </c>
      <c r="G871" s="75"/>
      <c r="H871" s="71" t="s">
        <v>511</v>
      </c>
      <c r="J871" t="s">
        <v>756</v>
      </c>
    </row>
    <row r="872" spans="1:10" x14ac:dyDescent="0.3">
      <c r="A872" s="70">
        <v>45614</v>
      </c>
      <c r="B872" t="s">
        <v>30</v>
      </c>
      <c r="C872" s="71" t="s">
        <v>1114</v>
      </c>
      <c r="D872" s="75">
        <v>353.2</v>
      </c>
      <c r="E872" s="75">
        <v>0</v>
      </c>
      <c r="F872" s="75">
        <v>30157.07</v>
      </c>
      <c r="G872" s="75"/>
      <c r="H872" s="71" t="s">
        <v>217</v>
      </c>
      <c r="J872" t="s">
        <v>752</v>
      </c>
    </row>
    <row r="873" spans="1:10" x14ac:dyDescent="0.3">
      <c r="A873" s="70">
        <v>45614</v>
      </c>
      <c r="B873" t="s">
        <v>30</v>
      </c>
      <c r="C873" s="71" t="s">
        <v>1115</v>
      </c>
      <c r="D873" s="75">
        <v>481.35</v>
      </c>
      <c r="E873" s="75">
        <v>0</v>
      </c>
      <c r="F873" s="75">
        <v>29675.72</v>
      </c>
      <c r="G873" s="75"/>
      <c r="H873" s="71" t="s">
        <v>217</v>
      </c>
      <c r="J873" t="s">
        <v>752</v>
      </c>
    </row>
    <row r="874" spans="1:10" x14ac:dyDescent="0.3">
      <c r="A874" s="70">
        <v>45614</v>
      </c>
      <c r="B874" t="s">
        <v>1981</v>
      </c>
      <c r="C874" s="71" t="s">
        <v>1982</v>
      </c>
      <c r="D874" s="75">
        <v>87</v>
      </c>
      <c r="E874" s="75">
        <v>0</v>
      </c>
      <c r="F874" s="75">
        <v>43531.93</v>
      </c>
      <c r="G874" s="75"/>
      <c r="H874" s="71" t="s">
        <v>511</v>
      </c>
      <c r="J874" t="s">
        <v>756</v>
      </c>
    </row>
    <row r="875" spans="1:10" x14ac:dyDescent="0.3">
      <c r="A875" s="70">
        <v>45614</v>
      </c>
      <c r="B875" t="s">
        <v>1983</v>
      </c>
      <c r="C875" s="71" t="s">
        <v>1984</v>
      </c>
      <c r="D875" s="75">
        <v>0</v>
      </c>
      <c r="E875" s="75">
        <v>2.5</v>
      </c>
      <c r="F875" s="75">
        <v>43534.43</v>
      </c>
      <c r="G875" s="75"/>
      <c r="H875" s="71" t="s">
        <v>218</v>
      </c>
      <c r="J875" t="s">
        <v>756</v>
      </c>
    </row>
    <row r="876" spans="1:10" x14ac:dyDescent="0.3">
      <c r="A876" s="70">
        <v>45615</v>
      </c>
      <c r="B876" t="s">
        <v>30</v>
      </c>
      <c r="C876" s="71" t="s">
        <v>1116</v>
      </c>
      <c r="D876" s="75">
        <v>88.13</v>
      </c>
      <c r="E876" s="75">
        <v>0</v>
      </c>
      <c r="F876" s="75">
        <v>29587.59</v>
      </c>
      <c r="G876" s="75"/>
      <c r="H876" s="71" t="s">
        <v>217</v>
      </c>
      <c r="J876" t="s">
        <v>752</v>
      </c>
    </row>
    <row r="877" spans="1:10" x14ac:dyDescent="0.3">
      <c r="A877" s="70">
        <v>45615</v>
      </c>
      <c r="B877" t="s">
        <v>30</v>
      </c>
      <c r="C877" s="71" t="s">
        <v>1117</v>
      </c>
      <c r="D877" s="75">
        <v>999.68</v>
      </c>
      <c r="E877" s="75">
        <v>0</v>
      </c>
      <c r="F877" s="75">
        <v>28587.91</v>
      </c>
      <c r="G877" s="75"/>
      <c r="H877" s="71" t="s">
        <v>217</v>
      </c>
      <c r="J877" t="s">
        <v>752</v>
      </c>
    </row>
    <row r="878" spans="1:10" x14ac:dyDescent="0.3">
      <c r="A878" s="70">
        <v>45615</v>
      </c>
      <c r="B878" t="s">
        <v>1985</v>
      </c>
      <c r="C878" s="71" t="s">
        <v>1986</v>
      </c>
      <c r="D878" s="75">
        <v>0</v>
      </c>
      <c r="E878" s="75">
        <v>475</v>
      </c>
      <c r="F878" s="75">
        <v>44009.43</v>
      </c>
      <c r="G878" s="75"/>
      <c r="H878" s="71" t="s">
        <v>218</v>
      </c>
      <c r="J878" t="s">
        <v>756</v>
      </c>
    </row>
    <row r="879" spans="1:10" x14ac:dyDescent="0.3">
      <c r="A879" s="70">
        <v>45615</v>
      </c>
      <c r="B879" t="s">
        <v>1987</v>
      </c>
      <c r="C879" s="71" t="s">
        <v>1988</v>
      </c>
      <c r="D879" s="75">
        <v>2000</v>
      </c>
      <c r="E879" s="75">
        <v>0</v>
      </c>
      <c r="F879" s="75">
        <v>42009.43</v>
      </c>
      <c r="G879" s="75"/>
      <c r="H879" s="71" t="s">
        <v>511</v>
      </c>
      <c r="J879" t="s">
        <v>756</v>
      </c>
    </row>
    <row r="880" spans="1:10" x14ac:dyDescent="0.3">
      <c r="A880" s="70">
        <v>45616</v>
      </c>
      <c r="B880" t="s">
        <v>1989</v>
      </c>
      <c r="C880" s="71" t="s">
        <v>1990</v>
      </c>
      <c r="D880" s="75">
        <v>1000</v>
      </c>
      <c r="E880" s="75">
        <v>0</v>
      </c>
      <c r="F880" s="75">
        <v>41009.43</v>
      </c>
      <c r="G880" s="75"/>
      <c r="H880" s="71" t="s">
        <v>511</v>
      </c>
      <c r="J880" t="s">
        <v>756</v>
      </c>
    </row>
    <row r="881" spans="1:10" x14ac:dyDescent="0.3">
      <c r="A881" s="70">
        <v>45617</v>
      </c>
      <c r="B881" t="s">
        <v>30</v>
      </c>
      <c r="C881" s="71" t="s">
        <v>1118</v>
      </c>
      <c r="D881" s="75">
        <v>175.54</v>
      </c>
      <c r="E881" s="75">
        <v>0</v>
      </c>
      <c r="F881" s="75">
        <v>28412.37</v>
      </c>
      <c r="G881" s="75"/>
      <c r="H881" s="71" t="s">
        <v>217</v>
      </c>
      <c r="J881" t="s">
        <v>752</v>
      </c>
    </row>
    <row r="882" spans="1:10" x14ac:dyDescent="0.3">
      <c r="A882" s="70">
        <v>45617</v>
      </c>
      <c r="B882" t="s">
        <v>1119</v>
      </c>
      <c r="C882" s="71" t="s">
        <v>1120</v>
      </c>
      <c r="D882" s="75">
        <v>0</v>
      </c>
      <c r="E882" s="75">
        <v>600</v>
      </c>
      <c r="F882" s="75">
        <v>29012.37</v>
      </c>
      <c r="G882" s="75"/>
      <c r="H882" s="71" t="s">
        <v>218</v>
      </c>
      <c r="J882" t="s">
        <v>752</v>
      </c>
    </row>
    <row r="883" spans="1:10" x14ac:dyDescent="0.3">
      <c r="A883" s="70">
        <v>45617</v>
      </c>
      <c r="B883" t="s">
        <v>30</v>
      </c>
      <c r="C883" s="71" t="s">
        <v>1121</v>
      </c>
      <c r="D883" s="75">
        <v>3164.36</v>
      </c>
      <c r="E883" s="75">
        <v>0</v>
      </c>
      <c r="F883" s="75">
        <v>25848.01</v>
      </c>
      <c r="G883" s="75"/>
      <c r="H883" s="71" t="s">
        <v>217</v>
      </c>
      <c r="J883" t="s">
        <v>752</v>
      </c>
    </row>
    <row r="884" spans="1:10" x14ac:dyDescent="0.3">
      <c r="A884" s="70">
        <v>45617</v>
      </c>
      <c r="B884" t="s">
        <v>1454</v>
      </c>
      <c r="C884" s="71" t="s">
        <v>572</v>
      </c>
      <c r="D884" s="75">
        <v>0</v>
      </c>
      <c r="E884" s="75">
        <v>120</v>
      </c>
      <c r="F884" s="75">
        <v>43498.32</v>
      </c>
      <c r="G884" s="75"/>
      <c r="H884" s="71" t="s">
        <v>511</v>
      </c>
      <c r="J884" t="s">
        <v>753</v>
      </c>
    </row>
    <row r="885" spans="1:10" x14ac:dyDescent="0.3">
      <c r="A885" s="70">
        <v>45617</v>
      </c>
      <c r="B885" t="s">
        <v>1991</v>
      </c>
      <c r="C885" s="71" t="s">
        <v>1992</v>
      </c>
      <c r="D885" s="75">
        <v>1000</v>
      </c>
      <c r="E885" s="75">
        <v>0</v>
      </c>
      <c r="F885" s="75">
        <v>40009.43</v>
      </c>
      <c r="G885" s="75"/>
      <c r="H885" s="71" t="s">
        <v>511</v>
      </c>
      <c r="J885" t="s">
        <v>756</v>
      </c>
    </row>
    <row r="886" spans="1:10" x14ac:dyDescent="0.3">
      <c r="A886" s="70">
        <v>45618</v>
      </c>
      <c r="B886" t="s">
        <v>30</v>
      </c>
      <c r="C886" s="71" t="s">
        <v>1122</v>
      </c>
      <c r="D886" s="75">
        <v>86.65</v>
      </c>
      <c r="E886" s="75">
        <v>0</v>
      </c>
      <c r="F886" s="75">
        <v>25761.360000000001</v>
      </c>
      <c r="G886" s="75"/>
      <c r="H886" s="71" t="s">
        <v>217</v>
      </c>
      <c r="J886" t="s">
        <v>752</v>
      </c>
    </row>
    <row r="887" spans="1:10" x14ac:dyDescent="0.3">
      <c r="A887" s="70">
        <v>45618</v>
      </c>
      <c r="B887" t="s">
        <v>1993</v>
      </c>
      <c r="C887" s="71" t="s">
        <v>1994</v>
      </c>
      <c r="D887" s="75">
        <v>1000</v>
      </c>
      <c r="E887" s="75">
        <v>0</v>
      </c>
      <c r="F887" s="75">
        <v>39009.43</v>
      </c>
      <c r="G887" s="75"/>
      <c r="H887" s="71" t="s">
        <v>511</v>
      </c>
      <c r="J887" t="s">
        <v>756</v>
      </c>
    </row>
    <row r="888" spans="1:10" x14ac:dyDescent="0.3">
      <c r="A888" s="70">
        <v>45619</v>
      </c>
      <c r="B888" t="s">
        <v>1995</v>
      </c>
      <c r="C888" s="71" t="s">
        <v>1996</v>
      </c>
      <c r="D888" s="75">
        <v>1000</v>
      </c>
      <c r="E888" s="75">
        <v>0</v>
      </c>
      <c r="F888" s="75">
        <v>38009.43</v>
      </c>
      <c r="G888" s="75"/>
      <c r="H888" s="71" t="s">
        <v>511</v>
      </c>
      <c r="J888" t="s">
        <v>756</v>
      </c>
    </row>
    <row r="889" spans="1:10" x14ac:dyDescent="0.3">
      <c r="A889" s="70">
        <v>45620</v>
      </c>
      <c r="B889" t="s">
        <v>1997</v>
      </c>
      <c r="C889" s="71" t="s">
        <v>1998</v>
      </c>
      <c r="D889" s="75">
        <v>323</v>
      </c>
      <c r="E889" s="75">
        <v>0</v>
      </c>
      <c r="F889" s="75">
        <v>37686.43</v>
      </c>
      <c r="G889" s="75"/>
      <c r="H889" s="71" t="s">
        <v>511</v>
      </c>
      <c r="J889" t="s">
        <v>756</v>
      </c>
    </row>
    <row r="890" spans="1:10" x14ac:dyDescent="0.3">
      <c r="A890" s="70">
        <v>45620</v>
      </c>
      <c r="B890" t="s">
        <v>1999</v>
      </c>
      <c r="C890" s="71" t="s">
        <v>2000</v>
      </c>
      <c r="D890" s="75">
        <v>1000</v>
      </c>
      <c r="E890" s="75">
        <v>0</v>
      </c>
      <c r="F890" s="75">
        <v>36686.43</v>
      </c>
      <c r="G890" s="75"/>
      <c r="H890" s="71" t="s">
        <v>511</v>
      </c>
      <c r="J890" t="s">
        <v>756</v>
      </c>
    </row>
    <row r="891" spans="1:10" x14ac:dyDescent="0.3">
      <c r="A891" s="70">
        <v>45621</v>
      </c>
      <c r="B891" t="s">
        <v>1123</v>
      </c>
      <c r="C891" s="71" t="s">
        <v>1124</v>
      </c>
      <c r="D891" s="75">
        <v>0</v>
      </c>
      <c r="E891" s="75">
        <v>3399.23</v>
      </c>
      <c r="F891" s="75">
        <v>29160.59</v>
      </c>
      <c r="G891" s="75"/>
      <c r="H891" s="71" t="s">
        <v>2523</v>
      </c>
      <c r="J891" t="s">
        <v>752</v>
      </c>
    </row>
    <row r="892" spans="1:10" x14ac:dyDescent="0.3">
      <c r="A892" s="70">
        <v>45621</v>
      </c>
      <c r="B892" t="s">
        <v>30</v>
      </c>
      <c r="C892" s="71" t="s">
        <v>1125</v>
      </c>
      <c r="D892" s="75">
        <v>259.95</v>
      </c>
      <c r="E892" s="75">
        <v>0</v>
      </c>
      <c r="F892" s="75">
        <v>28900.639999999999</v>
      </c>
      <c r="G892" s="75"/>
      <c r="H892" s="71" t="s">
        <v>217</v>
      </c>
      <c r="J892" t="s">
        <v>752</v>
      </c>
    </row>
    <row r="893" spans="1:10" x14ac:dyDescent="0.3">
      <c r="A893" s="70">
        <v>45621</v>
      </c>
      <c r="B893" t="s">
        <v>2001</v>
      </c>
      <c r="C893" s="71" t="s">
        <v>2002</v>
      </c>
      <c r="D893" s="75">
        <v>500</v>
      </c>
      <c r="E893" s="75">
        <v>0</v>
      </c>
      <c r="F893" s="75">
        <v>36186.43</v>
      </c>
      <c r="G893" s="75"/>
      <c r="H893" s="71" t="s">
        <v>511</v>
      </c>
      <c r="J893" t="s">
        <v>756</v>
      </c>
    </row>
    <row r="894" spans="1:10" x14ac:dyDescent="0.3">
      <c r="A894" s="70">
        <v>45622</v>
      </c>
      <c r="B894" t="s">
        <v>1126</v>
      </c>
      <c r="C894" s="71" t="s">
        <v>1127</v>
      </c>
      <c r="D894" s="75">
        <v>0</v>
      </c>
      <c r="E894" s="75">
        <v>4446.21</v>
      </c>
      <c r="F894" s="75">
        <v>33346.85</v>
      </c>
      <c r="G894" s="75"/>
      <c r="H894" s="71" t="s">
        <v>2523</v>
      </c>
      <c r="J894" t="s">
        <v>752</v>
      </c>
    </row>
    <row r="895" spans="1:10" x14ac:dyDescent="0.3">
      <c r="A895" s="70">
        <v>45622</v>
      </c>
      <c r="B895" t="s">
        <v>1128</v>
      </c>
      <c r="C895" s="71" t="s">
        <v>1129</v>
      </c>
      <c r="D895" s="75">
        <v>0</v>
      </c>
      <c r="E895" s="75">
        <v>44662.98</v>
      </c>
      <c r="F895" s="75">
        <v>78009.83</v>
      </c>
      <c r="G895" s="75"/>
      <c r="H895" s="71" t="s">
        <v>2523</v>
      </c>
      <c r="J895" t="s">
        <v>752</v>
      </c>
    </row>
    <row r="896" spans="1:10" x14ac:dyDescent="0.3">
      <c r="A896" s="70">
        <v>45622</v>
      </c>
      <c r="B896" t="s">
        <v>30</v>
      </c>
      <c r="C896" s="71" t="s">
        <v>1130</v>
      </c>
      <c r="D896" s="75">
        <v>87.86</v>
      </c>
      <c r="E896" s="75">
        <v>0</v>
      </c>
      <c r="F896" s="75">
        <v>77921.97</v>
      </c>
      <c r="G896" s="75"/>
      <c r="H896" s="71" t="s">
        <v>217</v>
      </c>
      <c r="J896" t="s">
        <v>752</v>
      </c>
    </row>
    <row r="897" spans="1:10" x14ac:dyDescent="0.3">
      <c r="A897" s="70">
        <v>45622</v>
      </c>
      <c r="B897" t="s">
        <v>2003</v>
      </c>
      <c r="C897" s="71" t="s">
        <v>2004</v>
      </c>
      <c r="D897" s="75">
        <v>1101</v>
      </c>
      <c r="E897" s="75">
        <v>0</v>
      </c>
      <c r="F897" s="75">
        <v>35085.43</v>
      </c>
      <c r="G897" s="75"/>
      <c r="H897" s="71" t="s">
        <v>511</v>
      </c>
      <c r="J897" t="s">
        <v>756</v>
      </c>
    </row>
    <row r="898" spans="1:10" x14ac:dyDescent="0.3">
      <c r="A898" s="70">
        <v>45622</v>
      </c>
      <c r="B898" t="s">
        <v>2005</v>
      </c>
      <c r="C898" s="71" t="s">
        <v>2006</v>
      </c>
      <c r="D898" s="75">
        <v>529.04999999999995</v>
      </c>
      <c r="E898" s="75">
        <v>0</v>
      </c>
      <c r="F898" s="75">
        <v>34556.379999999997</v>
      </c>
      <c r="G898" s="75"/>
      <c r="H898" s="71" t="s">
        <v>511</v>
      </c>
      <c r="J898" t="s">
        <v>756</v>
      </c>
    </row>
    <row r="899" spans="1:10" x14ac:dyDescent="0.3">
      <c r="A899" s="70">
        <v>45622</v>
      </c>
      <c r="B899" t="s">
        <v>2007</v>
      </c>
      <c r="C899" s="71" t="s">
        <v>2008</v>
      </c>
      <c r="D899" s="75">
        <v>50</v>
      </c>
      <c r="E899" s="75">
        <v>0</v>
      </c>
      <c r="F899" s="75">
        <v>34506.379999999997</v>
      </c>
      <c r="G899" s="75"/>
      <c r="H899" s="71" t="s">
        <v>511</v>
      </c>
      <c r="J899" t="s">
        <v>756</v>
      </c>
    </row>
    <row r="900" spans="1:10" x14ac:dyDescent="0.3">
      <c r="A900" s="70">
        <v>45622</v>
      </c>
      <c r="B900" t="s">
        <v>2009</v>
      </c>
      <c r="C900" s="71" t="s">
        <v>2010</v>
      </c>
      <c r="D900" s="75">
        <v>0</v>
      </c>
      <c r="E900" s="75">
        <v>55.36</v>
      </c>
      <c r="F900" s="75">
        <v>34561.74</v>
      </c>
      <c r="G900" s="75"/>
      <c r="H900" s="71" t="s">
        <v>511</v>
      </c>
      <c r="J900" t="s">
        <v>756</v>
      </c>
    </row>
    <row r="901" spans="1:10" x14ac:dyDescent="0.3">
      <c r="A901" s="70">
        <v>45622</v>
      </c>
      <c r="B901" t="s">
        <v>2011</v>
      </c>
      <c r="C901" s="71" t="s">
        <v>2012</v>
      </c>
      <c r="D901" s="75">
        <v>40</v>
      </c>
      <c r="E901" s="75">
        <v>0</v>
      </c>
      <c r="F901" s="75">
        <v>34521.74</v>
      </c>
      <c r="G901" s="75"/>
      <c r="H901" s="71" t="s">
        <v>511</v>
      </c>
      <c r="J901" t="s">
        <v>756</v>
      </c>
    </row>
    <row r="902" spans="1:10" x14ac:dyDescent="0.3">
      <c r="A902" s="70">
        <v>45623</v>
      </c>
      <c r="B902" t="s">
        <v>1131</v>
      </c>
      <c r="C902" s="71" t="s">
        <v>1132</v>
      </c>
      <c r="D902" s="75">
        <v>0</v>
      </c>
      <c r="E902" s="75">
        <v>894.1</v>
      </c>
      <c r="F902" s="75">
        <v>78816.070000000007</v>
      </c>
      <c r="G902" s="75"/>
      <c r="H902" s="71" t="s">
        <v>2523</v>
      </c>
      <c r="J902" t="s">
        <v>752</v>
      </c>
    </row>
    <row r="903" spans="1:10" x14ac:dyDescent="0.3">
      <c r="A903" s="70">
        <v>45623</v>
      </c>
      <c r="B903" t="s">
        <v>30</v>
      </c>
      <c r="C903" s="71" t="s">
        <v>1133</v>
      </c>
      <c r="D903" s="75">
        <v>89.44</v>
      </c>
      <c r="E903" s="75">
        <v>0</v>
      </c>
      <c r="F903" s="75">
        <v>78726.63</v>
      </c>
      <c r="G903" s="75"/>
      <c r="H903" s="71" t="s">
        <v>217</v>
      </c>
      <c r="J903" t="s">
        <v>752</v>
      </c>
    </row>
    <row r="904" spans="1:10" x14ac:dyDescent="0.3">
      <c r="A904" s="70">
        <v>45623</v>
      </c>
      <c r="B904" t="s">
        <v>2013</v>
      </c>
      <c r="C904" s="71" t="s">
        <v>2014</v>
      </c>
      <c r="D904" s="75">
        <v>1000</v>
      </c>
      <c r="E904" s="75">
        <v>0</v>
      </c>
      <c r="F904" s="75">
        <v>33521.74</v>
      </c>
      <c r="G904" s="75"/>
      <c r="H904" s="71" t="s">
        <v>511</v>
      </c>
      <c r="J904" t="s">
        <v>756</v>
      </c>
    </row>
    <row r="905" spans="1:10" x14ac:dyDescent="0.3">
      <c r="A905" s="70">
        <v>45624</v>
      </c>
      <c r="B905" t="s">
        <v>1134</v>
      </c>
      <c r="C905" s="71" t="s">
        <v>1135</v>
      </c>
      <c r="D905" s="75">
        <v>0</v>
      </c>
      <c r="E905" s="75">
        <v>2212</v>
      </c>
      <c r="F905" s="75">
        <v>80938.63</v>
      </c>
      <c r="G905" s="75"/>
      <c r="H905" s="71" t="s">
        <v>2523</v>
      </c>
      <c r="J905" t="s">
        <v>752</v>
      </c>
    </row>
    <row r="906" spans="1:10" x14ac:dyDescent="0.3">
      <c r="A906" s="70">
        <v>45624</v>
      </c>
      <c r="B906" t="s">
        <v>1136</v>
      </c>
      <c r="C906" s="71" t="s">
        <v>1137</v>
      </c>
      <c r="D906" s="75">
        <v>5000</v>
      </c>
      <c r="E906" s="75">
        <v>0</v>
      </c>
      <c r="F906" s="75">
        <v>75938.63</v>
      </c>
      <c r="G906" s="75"/>
      <c r="H906" s="71" t="s">
        <v>219</v>
      </c>
      <c r="J906" t="s">
        <v>752</v>
      </c>
    </row>
    <row r="907" spans="1:10" x14ac:dyDescent="0.3">
      <c r="A907" s="70">
        <v>45624</v>
      </c>
      <c r="B907" t="s">
        <v>30</v>
      </c>
      <c r="C907" s="71" t="s">
        <v>1138</v>
      </c>
      <c r="D907" s="75">
        <v>89.76</v>
      </c>
      <c r="E907" s="75">
        <v>0</v>
      </c>
      <c r="F907" s="75">
        <v>75848.87</v>
      </c>
      <c r="G907" s="75"/>
      <c r="H907" s="71" t="s">
        <v>217</v>
      </c>
      <c r="J907" t="s">
        <v>752</v>
      </c>
    </row>
    <row r="908" spans="1:10" x14ac:dyDescent="0.3">
      <c r="A908" s="70">
        <v>45624</v>
      </c>
      <c r="B908" t="s">
        <v>2015</v>
      </c>
      <c r="C908" s="71" t="s">
        <v>2016</v>
      </c>
      <c r="D908" s="75">
        <v>1652.41</v>
      </c>
      <c r="E908" s="75">
        <v>0</v>
      </c>
      <c r="F908" s="75">
        <v>31869.33</v>
      </c>
      <c r="G908" s="75"/>
      <c r="H908" s="71" t="s">
        <v>511</v>
      </c>
      <c r="J908" t="s">
        <v>756</v>
      </c>
    </row>
    <row r="909" spans="1:10" x14ac:dyDescent="0.3">
      <c r="A909" s="70">
        <v>45624</v>
      </c>
      <c r="B909" t="s">
        <v>2017</v>
      </c>
      <c r="C909" s="71" t="s">
        <v>2018</v>
      </c>
      <c r="D909" s="75">
        <v>7000</v>
      </c>
      <c r="E909" s="75">
        <v>0</v>
      </c>
      <c r="F909" s="75">
        <v>24869.33</v>
      </c>
      <c r="G909" s="75"/>
      <c r="H909" s="71" t="s">
        <v>2532</v>
      </c>
      <c r="J909" t="s">
        <v>756</v>
      </c>
    </row>
    <row r="910" spans="1:10" x14ac:dyDescent="0.3">
      <c r="A910" s="70">
        <v>45624</v>
      </c>
      <c r="B910" t="s">
        <v>2019</v>
      </c>
      <c r="C910" s="71" t="s">
        <v>2020</v>
      </c>
      <c r="D910" s="75">
        <v>50</v>
      </c>
      <c r="E910" s="75">
        <v>0</v>
      </c>
      <c r="F910" s="75">
        <v>24819.33</v>
      </c>
      <c r="G910" s="75"/>
      <c r="H910" s="71" t="s">
        <v>511</v>
      </c>
      <c r="J910" t="s">
        <v>756</v>
      </c>
    </row>
    <row r="911" spans="1:10" x14ac:dyDescent="0.3">
      <c r="A911" s="70">
        <v>45624</v>
      </c>
      <c r="B911" t="s">
        <v>358</v>
      </c>
      <c r="C911" s="71" t="s">
        <v>2021</v>
      </c>
      <c r="D911" s="75">
        <v>0</v>
      </c>
      <c r="E911" s="75">
        <v>68895</v>
      </c>
      <c r="F911" s="75">
        <v>93714.33</v>
      </c>
      <c r="G911" s="75"/>
      <c r="H911" s="71" t="s">
        <v>507</v>
      </c>
      <c r="J911" t="s">
        <v>756</v>
      </c>
    </row>
    <row r="912" spans="1:10" x14ac:dyDescent="0.3">
      <c r="A912" s="70">
        <v>45624</v>
      </c>
      <c r="B912" t="s">
        <v>2022</v>
      </c>
      <c r="C912" s="71" t="s">
        <v>2023</v>
      </c>
      <c r="D912" s="75">
        <v>20</v>
      </c>
      <c r="E912" s="75">
        <v>0</v>
      </c>
      <c r="F912" s="75">
        <v>93694.33</v>
      </c>
      <c r="G912" s="75"/>
      <c r="H912" s="71" t="s">
        <v>511</v>
      </c>
      <c r="J912" t="s">
        <v>756</v>
      </c>
    </row>
    <row r="913" spans="1:10" x14ac:dyDescent="0.3">
      <c r="A913" s="70">
        <v>45625</v>
      </c>
      <c r="B913" t="s">
        <v>30</v>
      </c>
      <c r="C913" s="71" t="s">
        <v>1139</v>
      </c>
      <c r="D913" s="75">
        <v>812.57</v>
      </c>
      <c r="E913" s="75">
        <v>0</v>
      </c>
      <c r="F913" s="75">
        <v>75036.3</v>
      </c>
      <c r="G913" s="75"/>
      <c r="H913" s="71" t="s">
        <v>217</v>
      </c>
      <c r="J913" t="s">
        <v>752</v>
      </c>
    </row>
    <row r="914" spans="1:10" x14ac:dyDescent="0.3">
      <c r="A914" s="70">
        <v>45625</v>
      </c>
      <c r="B914" t="s">
        <v>30</v>
      </c>
      <c r="C914" s="71" t="s">
        <v>1140</v>
      </c>
      <c r="D914" s="75">
        <v>90.26</v>
      </c>
      <c r="E914" s="75">
        <v>0</v>
      </c>
      <c r="F914" s="75">
        <v>74946.039999999994</v>
      </c>
      <c r="G914" s="75"/>
      <c r="H914" s="71" t="s">
        <v>217</v>
      </c>
      <c r="J914" t="s">
        <v>752</v>
      </c>
    </row>
    <row r="915" spans="1:10" x14ac:dyDescent="0.3">
      <c r="A915" s="70">
        <v>45625</v>
      </c>
      <c r="B915" t="s">
        <v>2024</v>
      </c>
      <c r="C915" s="71" t="s">
        <v>2025</v>
      </c>
      <c r="D915" s="75">
        <v>50</v>
      </c>
      <c r="E915" s="75">
        <v>0</v>
      </c>
      <c r="F915" s="75">
        <v>93644.33</v>
      </c>
      <c r="G915" s="75"/>
      <c r="H915" s="71" t="s">
        <v>511</v>
      </c>
      <c r="J915" t="s">
        <v>756</v>
      </c>
    </row>
    <row r="916" spans="1:10" x14ac:dyDescent="0.3">
      <c r="A916" s="70">
        <v>45626</v>
      </c>
      <c r="B916" t="s">
        <v>30</v>
      </c>
      <c r="C916" s="71" t="s">
        <v>1141</v>
      </c>
      <c r="D916" s="75">
        <v>13601.67</v>
      </c>
      <c r="E916" s="75">
        <v>0</v>
      </c>
      <c r="F916" s="75">
        <v>61344.37</v>
      </c>
      <c r="G916" s="75"/>
      <c r="H916" s="71" t="s">
        <v>217</v>
      </c>
      <c r="J916" t="s">
        <v>752</v>
      </c>
    </row>
    <row r="917" spans="1:10" x14ac:dyDescent="0.3">
      <c r="A917" s="70">
        <v>45626</v>
      </c>
      <c r="B917" t="s">
        <v>2026</v>
      </c>
      <c r="C917" s="71" t="s">
        <v>2027</v>
      </c>
      <c r="D917" s="75">
        <v>60</v>
      </c>
      <c r="E917" s="75">
        <v>0</v>
      </c>
      <c r="F917" s="75">
        <v>93584.33</v>
      </c>
      <c r="G917" s="75"/>
      <c r="H917" s="71" t="s">
        <v>511</v>
      </c>
      <c r="J917" t="s">
        <v>756</v>
      </c>
    </row>
    <row r="918" spans="1:10" x14ac:dyDescent="0.3">
      <c r="A918" s="70">
        <v>45627</v>
      </c>
      <c r="B918" t="s">
        <v>2568</v>
      </c>
      <c r="C918" s="71"/>
      <c r="D918" s="75">
        <v>0</v>
      </c>
      <c r="E918" s="75">
        <v>1</v>
      </c>
      <c r="F918" s="75">
        <v>233</v>
      </c>
      <c r="G918" s="75"/>
      <c r="H918" s="71" t="s">
        <v>227</v>
      </c>
      <c r="J918" t="s">
        <v>2573</v>
      </c>
    </row>
    <row r="919" spans="1:10" x14ac:dyDescent="0.3">
      <c r="A919" s="70">
        <v>45628</v>
      </c>
      <c r="B919" t="s">
        <v>1142</v>
      </c>
      <c r="C919" s="71" t="s">
        <v>1143</v>
      </c>
      <c r="D919" s="75">
        <v>5000</v>
      </c>
      <c r="E919" s="75">
        <v>0</v>
      </c>
      <c r="F919" s="75">
        <v>56344.37</v>
      </c>
      <c r="G919" s="75"/>
      <c r="H919" s="71" t="s">
        <v>219</v>
      </c>
      <c r="J919" t="s">
        <v>752</v>
      </c>
    </row>
    <row r="920" spans="1:10" x14ac:dyDescent="0.3">
      <c r="A920" s="70">
        <v>45628</v>
      </c>
      <c r="B920" t="s">
        <v>30</v>
      </c>
      <c r="C920" s="71" t="s">
        <v>1144</v>
      </c>
      <c r="D920" s="75">
        <v>256.23</v>
      </c>
      <c r="E920" s="75">
        <v>0</v>
      </c>
      <c r="F920" s="75">
        <v>56088.14</v>
      </c>
      <c r="G920" s="75"/>
      <c r="H920" s="71" t="s">
        <v>217</v>
      </c>
      <c r="J920" t="s">
        <v>752</v>
      </c>
    </row>
    <row r="921" spans="1:10" x14ac:dyDescent="0.3">
      <c r="A921" s="70">
        <v>45628</v>
      </c>
      <c r="B921" t="s">
        <v>30</v>
      </c>
      <c r="C921" s="71" t="s">
        <v>1145</v>
      </c>
      <c r="D921" s="75">
        <v>838.51</v>
      </c>
      <c r="E921" s="75">
        <v>0</v>
      </c>
      <c r="F921" s="75">
        <v>55249.63</v>
      </c>
      <c r="G921" s="75"/>
      <c r="H921" s="71" t="s">
        <v>217</v>
      </c>
      <c r="J921" t="s">
        <v>752</v>
      </c>
    </row>
    <row r="922" spans="1:10" x14ac:dyDescent="0.3">
      <c r="A922" s="70">
        <v>45628</v>
      </c>
      <c r="B922" t="s">
        <v>2028</v>
      </c>
      <c r="C922" s="71" t="s">
        <v>2029</v>
      </c>
      <c r="D922" s="75">
        <v>395</v>
      </c>
      <c r="E922" s="75">
        <v>0</v>
      </c>
      <c r="F922" s="75">
        <v>93189.33</v>
      </c>
      <c r="G922" s="75"/>
      <c r="H922" s="71" t="s">
        <v>511</v>
      </c>
      <c r="J922" t="s">
        <v>756</v>
      </c>
    </row>
    <row r="923" spans="1:10" x14ac:dyDescent="0.3">
      <c r="A923" s="70">
        <v>45628</v>
      </c>
      <c r="B923" t="s">
        <v>2030</v>
      </c>
      <c r="C923" s="71" t="s">
        <v>2031</v>
      </c>
      <c r="D923" s="75">
        <v>120</v>
      </c>
      <c r="E923" s="75">
        <v>0</v>
      </c>
      <c r="F923" s="75">
        <v>93069.33</v>
      </c>
      <c r="G923" s="75"/>
      <c r="H923" s="71" t="s">
        <v>511</v>
      </c>
      <c r="J923" t="s">
        <v>756</v>
      </c>
    </row>
    <row r="924" spans="1:10" x14ac:dyDescent="0.3">
      <c r="A924" s="70">
        <v>45629</v>
      </c>
      <c r="B924" t="s">
        <v>30</v>
      </c>
      <c r="C924" s="71" t="s">
        <v>1146</v>
      </c>
      <c r="D924" s="75">
        <v>98.26</v>
      </c>
      <c r="E924" s="75">
        <v>0</v>
      </c>
      <c r="F924" s="75">
        <v>55151.37</v>
      </c>
      <c r="G924" s="75"/>
      <c r="H924" s="71" t="s">
        <v>217</v>
      </c>
      <c r="J924" t="s">
        <v>752</v>
      </c>
    </row>
    <row r="925" spans="1:10" x14ac:dyDescent="0.3">
      <c r="A925" s="70">
        <v>45629</v>
      </c>
      <c r="B925" t="s">
        <v>30</v>
      </c>
      <c r="C925" s="71" t="s">
        <v>1147</v>
      </c>
      <c r="D925" s="75">
        <v>12308.55</v>
      </c>
      <c r="E925" s="75">
        <v>0</v>
      </c>
      <c r="F925" s="75">
        <v>42842.82</v>
      </c>
      <c r="G925" s="75"/>
      <c r="H925" s="71" t="s">
        <v>217</v>
      </c>
      <c r="J925" t="s">
        <v>752</v>
      </c>
    </row>
    <row r="926" spans="1:10" x14ac:dyDescent="0.3">
      <c r="A926" s="70">
        <v>45629</v>
      </c>
      <c r="B926" t="s">
        <v>2032</v>
      </c>
      <c r="C926" s="71" t="s">
        <v>2033</v>
      </c>
      <c r="D926" s="75">
        <v>50</v>
      </c>
      <c r="E926" s="75">
        <v>0</v>
      </c>
      <c r="F926" s="75">
        <v>93019.33</v>
      </c>
      <c r="G926" s="75"/>
      <c r="H926" s="71" t="s">
        <v>511</v>
      </c>
      <c r="J926" t="s">
        <v>756</v>
      </c>
    </row>
    <row r="927" spans="1:10" x14ac:dyDescent="0.3">
      <c r="A927" s="70">
        <v>45629</v>
      </c>
      <c r="B927" t="s">
        <v>2034</v>
      </c>
      <c r="C927" s="71" t="s">
        <v>2035</v>
      </c>
      <c r="D927" s="75">
        <v>60</v>
      </c>
      <c r="E927" s="75">
        <v>0</v>
      </c>
      <c r="F927" s="75">
        <v>92959.33</v>
      </c>
      <c r="G927" s="75"/>
      <c r="H927" s="71" t="s">
        <v>511</v>
      </c>
      <c r="J927" t="s">
        <v>756</v>
      </c>
    </row>
    <row r="928" spans="1:10" x14ac:dyDescent="0.3">
      <c r="A928" s="70">
        <v>45629</v>
      </c>
      <c r="B928" t="s">
        <v>2036</v>
      </c>
      <c r="C928" s="71" t="s">
        <v>2037</v>
      </c>
      <c r="D928" s="75">
        <v>0</v>
      </c>
      <c r="E928" s="75">
        <v>25</v>
      </c>
      <c r="F928" s="75">
        <v>92984.33</v>
      </c>
      <c r="G928" s="75"/>
      <c r="H928" s="71" t="s">
        <v>218</v>
      </c>
      <c r="J928" t="s">
        <v>756</v>
      </c>
    </row>
    <row r="929" spans="1:10" x14ac:dyDescent="0.3">
      <c r="A929" s="70">
        <v>45629</v>
      </c>
      <c r="B929" t="s">
        <v>2038</v>
      </c>
      <c r="C929" s="71" t="s">
        <v>2039</v>
      </c>
      <c r="D929" s="75">
        <v>15000</v>
      </c>
      <c r="E929" s="75">
        <v>0</v>
      </c>
      <c r="F929" s="75">
        <v>77984.33</v>
      </c>
      <c r="G929" s="75"/>
      <c r="H929" s="71" t="s">
        <v>512</v>
      </c>
      <c r="J929" t="s">
        <v>756</v>
      </c>
    </row>
    <row r="930" spans="1:10" x14ac:dyDescent="0.3">
      <c r="A930" s="70">
        <v>45630</v>
      </c>
      <c r="B930" t="s">
        <v>30</v>
      </c>
      <c r="C930" s="71" t="s">
        <v>1148</v>
      </c>
      <c r="D930" s="75">
        <v>93.88</v>
      </c>
      <c r="E930" s="75">
        <v>0</v>
      </c>
      <c r="F930" s="75">
        <v>42748.94</v>
      </c>
      <c r="G930" s="75"/>
      <c r="H930" s="71" t="s">
        <v>217</v>
      </c>
      <c r="J930" t="s">
        <v>752</v>
      </c>
    </row>
    <row r="931" spans="1:10" x14ac:dyDescent="0.3">
      <c r="A931" s="70">
        <v>45630</v>
      </c>
      <c r="B931" t="s">
        <v>30</v>
      </c>
      <c r="C931" s="71" t="s">
        <v>1149</v>
      </c>
      <c r="D931" s="75">
        <v>4796.38</v>
      </c>
      <c r="E931" s="75">
        <v>0</v>
      </c>
      <c r="F931" s="75">
        <v>37952.559999999998</v>
      </c>
      <c r="G931" s="75"/>
      <c r="H931" s="71" t="s">
        <v>217</v>
      </c>
      <c r="J931" t="s">
        <v>752</v>
      </c>
    </row>
    <row r="932" spans="1:10" x14ac:dyDescent="0.3">
      <c r="A932" s="70">
        <v>45631</v>
      </c>
      <c r="B932" t="s">
        <v>30</v>
      </c>
      <c r="C932" s="71" t="s">
        <v>1150</v>
      </c>
      <c r="D932" s="75">
        <v>104.72</v>
      </c>
      <c r="E932" s="75">
        <v>0</v>
      </c>
      <c r="F932" s="75">
        <v>37847.839999999997</v>
      </c>
      <c r="G932" s="75"/>
      <c r="H932" s="71" t="s">
        <v>217</v>
      </c>
      <c r="J932" t="s">
        <v>752</v>
      </c>
    </row>
    <row r="933" spans="1:10" x14ac:dyDescent="0.3">
      <c r="A933" s="70">
        <v>45631</v>
      </c>
      <c r="B933" t="s">
        <v>30</v>
      </c>
      <c r="C933" s="71" t="s">
        <v>1151</v>
      </c>
      <c r="D933" s="75">
        <v>254.4</v>
      </c>
      <c r="E933" s="75">
        <v>0</v>
      </c>
      <c r="F933" s="75">
        <v>37593.440000000002</v>
      </c>
      <c r="G933" s="75"/>
      <c r="H933" s="71" t="s">
        <v>217</v>
      </c>
      <c r="J933" t="s">
        <v>752</v>
      </c>
    </row>
    <row r="934" spans="1:10" x14ac:dyDescent="0.3">
      <c r="A934" s="70">
        <v>45631</v>
      </c>
      <c r="B934" t="s">
        <v>2040</v>
      </c>
      <c r="C934" s="71" t="s">
        <v>2041</v>
      </c>
      <c r="D934" s="75">
        <v>45</v>
      </c>
      <c r="E934" s="75">
        <v>0</v>
      </c>
      <c r="F934" s="75">
        <v>77939.33</v>
      </c>
      <c r="G934" s="75"/>
      <c r="H934" s="71" t="s">
        <v>511</v>
      </c>
      <c r="J934" t="s">
        <v>756</v>
      </c>
    </row>
    <row r="935" spans="1:10" x14ac:dyDescent="0.3">
      <c r="A935" s="70">
        <v>45632</v>
      </c>
      <c r="B935" t="s">
        <v>30</v>
      </c>
      <c r="C935" s="71" t="s">
        <v>1152</v>
      </c>
      <c r="D935" s="75">
        <v>109.03</v>
      </c>
      <c r="E935" s="75">
        <v>0</v>
      </c>
      <c r="F935" s="75">
        <v>37484.410000000003</v>
      </c>
      <c r="G935" s="75"/>
      <c r="H935" s="71" t="s">
        <v>217</v>
      </c>
      <c r="J935" t="s">
        <v>752</v>
      </c>
    </row>
    <row r="936" spans="1:10" x14ac:dyDescent="0.3">
      <c r="A936" s="70">
        <v>45632</v>
      </c>
      <c r="B936" t="s">
        <v>34</v>
      </c>
      <c r="C936" s="71" t="s">
        <v>1153</v>
      </c>
      <c r="D936" s="75">
        <v>0</v>
      </c>
      <c r="E936" s="75">
        <v>584.53</v>
      </c>
      <c r="F936" s="75">
        <v>38068.94</v>
      </c>
      <c r="G936" s="75"/>
      <c r="H936" s="71" t="s">
        <v>217</v>
      </c>
      <c r="J936" t="s">
        <v>752</v>
      </c>
    </row>
    <row r="937" spans="1:10" x14ac:dyDescent="0.3">
      <c r="A937" s="70">
        <v>45633</v>
      </c>
      <c r="B937" t="s">
        <v>1154</v>
      </c>
      <c r="C937" s="71" t="s">
        <v>1155</v>
      </c>
      <c r="D937" s="75">
        <v>0</v>
      </c>
      <c r="E937" s="75">
        <v>1880</v>
      </c>
      <c r="F937" s="75">
        <v>39948.94</v>
      </c>
      <c r="G937" s="75"/>
      <c r="H937" s="71" t="s">
        <v>222</v>
      </c>
      <c r="J937" t="s">
        <v>752</v>
      </c>
    </row>
    <row r="938" spans="1:10" x14ac:dyDescent="0.3">
      <c r="A938" s="70">
        <v>45633</v>
      </c>
      <c r="B938" t="s">
        <v>2042</v>
      </c>
      <c r="C938" s="71" t="s">
        <v>2043</v>
      </c>
      <c r="D938" s="75">
        <v>50</v>
      </c>
      <c r="E938" s="75">
        <v>0</v>
      </c>
      <c r="F938" s="75">
        <v>77889.33</v>
      </c>
      <c r="G938" s="75"/>
      <c r="H938" s="71" t="s">
        <v>511</v>
      </c>
      <c r="J938" t="s">
        <v>756</v>
      </c>
    </row>
    <row r="939" spans="1:10" x14ac:dyDescent="0.3">
      <c r="A939" s="70">
        <v>45633</v>
      </c>
      <c r="B939" t="s">
        <v>2044</v>
      </c>
      <c r="C939" s="71" t="s">
        <v>2045</v>
      </c>
      <c r="D939" s="75">
        <v>129</v>
      </c>
      <c r="E939" s="75">
        <v>0</v>
      </c>
      <c r="F939" s="75">
        <v>77760.33</v>
      </c>
      <c r="G939" s="75"/>
      <c r="H939" s="71" t="s">
        <v>511</v>
      </c>
      <c r="J939" t="s">
        <v>756</v>
      </c>
    </row>
    <row r="940" spans="1:10" x14ac:dyDescent="0.3">
      <c r="A940" s="70">
        <v>45633</v>
      </c>
      <c r="B940" t="s">
        <v>2046</v>
      </c>
      <c r="C940" s="71" t="s">
        <v>2047</v>
      </c>
      <c r="D940" s="75">
        <v>127</v>
      </c>
      <c r="E940" s="75">
        <v>0</v>
      </c>
      <c r="F940" s="75">
        <v>77633.33</v>
      </c>
      <c r="G940" s="75"/>
      <c r="H940" s="71" t="s">
        <v>511</v>
      </c>
      <c r="J940" t="s">
        <v>756</v>
      </c>
    </row>
    <row r="941" spans="1:10" x14ac:dyDescent="0.3">
      <c r="A941" s="70">
        <v>45633</v>
      </c>
      <c r="B941" t="s">
        <v>2048</v>
      </c>
      <c r="C941" s="71" t="s">
        <v>2049</v>
      </c>
      <c r="D941" s="75">
        <v>105</v>
      </c>
      <c r="E941" s="75">
        <v>0</v>
      </c>
      <c r="F941" s="75">
        <v>77528.33</v>
      </c>
      <c r="G941" s="75"/>
      <c r="H941" s="71" t="s">
        <v>511</v>
      </c>
      <c r="J941" t="s">
        <v>756</v>
      </c>
    </row>
    <row r="942" spans="1:10" x14ac:dyDescent="0.3">
      <c r="A942" s="70">
        <v>45634</v>
      </c>
      <c r="B942" t="s">
        <v>2050</v>
      </c>
      <c r="C942" s="71" t="s">
        <v>2051</v>
      </c>
      <c r="D942" s="75">
        <v>111</v>
      </c>
      <c r="E942" s="75">
        <v>0</v>
      </c>
      <c r="F942" s="75">
        <v>77417.33</v>
      </c>
      <c r="G942" s="75"/>
      <c r="H942" s="71" t="s">
        <v>511</v>
      </c>
      <c r="J942" t="s">
        <v>756</v>
      </c>
    </row>
    <row r="943" spans="1:10" x14ac:dyDescent="0.3">
      <c r="A943" s="70">
        <v>45634</v>
      </c>
      <c r="B943" t="s">
        <v>2052</v>
      </c>
      <c r="C943" s="71" t="s">
        <v>2053</v>
      </c>
      <c r="D943" s="75">
        <v>820</v>
      </c>
      <c r="E943" s="75">
        <v>0</v>
      </c>
      <c r="F943" s="75">
        <v>76597.33</v>
      </c>
      <c r="G943" s="75"/>
      <c r="H943" s="71" t="s">
        <v>511</v>
      </c>
      <c r="J943" t="s">
        <v>756</v>
      </c>
    </row>
    <row r="944" spans="1:10" x14ac:dyDescent="0.3">
      <c r="A944" s="70">
        <v>45634</v>
      </c>
      <c r="B944" t="s">
        <v>2054</v>
      </c>
      <c r="C944" s="71" t="s">
        <v>2055</v>
      </c>
      <c r="D944" s="75">
        <v>20000</v>
      </c>
      <c r="E944" s="75">
        <v>0</v>
      </c>
      <c r="F944" s="75">
        <v>56597.33</v>
      </c>
      <c r="G944" s="75"/>
      <c r="H944" s="71" t="s">
        <v>511</v>
      </c>
      <c r="J944" t="s">
        <v>756</v>
      </c>
    </row>
    <row r="945" spans="1:10" x14ac:dyDescent="0.3">
      <c r="A945" s="70">
        <v>45635</v>
      </c>
      <c r="B945" t="s">
        <v>30</v>
      </c>
      <c r="C945" s="71" t="s">
        <v>1156</v>
      </c>
      <c r="D945" s="75">
        <v>327.72</v>
      </c>
      <c r="E945" s="75">
        <v>0</v>
      </c>
      <c r="F945" s="75">
        <v>39621.22</v>
      </c>
      <c r="G945" s="75"/>
      <c r="H945" s="71" t="s">
        <v>217</v>
      </c>
      <c r="J945" t="s">
        <v>752</v>
      </c>
    </row>
    <row r="946" spans="1:10" x14ac:dyDescent="0.3">
      <c r="A946" s="70">
        <v>45635</v>
      </c>
      <c r="B946" t="s">
        <v>30</v>
      </c>
      <c r="C946" s="71" t="s">
        <v>1157</v>
      </c>
      <c r="D946" s="75">
        <v>152.9</v>
      </c>
      <c r="E946" s="75">
        <v>0</v>
      </c>
      <c r="F946" s="75">
        <v>39468.32</v>
      </c>
      <c r="G946" s="75"/>
      <c r="H946" s="71" t="s">
        <v>217</v>
      </c>
      <c r="J946" t="s">
        <v>752</v>
      </c>
    </row>
    <row r="947" spans="1:10" x14ac:dyDescent="0.3">
      <c r="A947" s="70">
        <v>45635</v>
      </c>
      <c r="B947" t="s">
        <v>1455</v>
      </c>
      <c r="C947" s="71" t="s">
        <v>547</v>
      </c>
      <c r="D947" s="75">
        <v>0</v>
      </c>
      <c r="E947" s="75">
        <v>20</v>
      </c>
      <c r="F947" s="75">
        <v>43518.32</v>
      </c>
      <c r="G947" s="75"/>
      <c r="H947" s="71" t="s">
        <v>511</v>
      </c>
      <c r="J947" t="s">
        <v>753</v>
      </c>
    </row>
    <row r="948" spans="1:10" x14ac:dyDescent="0.3">
      <c r="A948" s="70">
        <v>45635</v>
      </c>
      <c r="B948" t="s">
        <v>2056</v>
      </c>
      <c r="C948" s="71" t="s">
        <v>2057</v>
      </c>
      <c r="D948" s="75">
        <v>0</v>
      </c>
      <c r="E948" s="75">
        <v>122.22</v>
      </c>
      <c r="F948" s="75">
        <v>56719.55</v>
      </c>
      <c r="G948" s="75"/>
      <c r="H948" s="71" t="s">
        <v>2535</v>
      </c>
      <c r="J948" t="s">
        <v>756</v>
      </c>
    </row>
    <row r="949" spans="1:10" x14ac:dyDescent="0.3">
      <c r="A949" s="70">
        <v>45635</v>
      </c>
      <c r="B949" t="s">
        <v>2058</v>
      </c>
      <c r="C949" s="71" t="s">
        <v>2059</v>
      </c>
      <c r="D949" s="75">
        <v>0</v>
      </c>
      <c r="E949" s="75">
        <v>18</v>
      </c>
      <c r="F949" s="75">
        <v>56737.55</v>
      </c>
      <c r="G949" s="75"/>
      <c r="H949" s="71" t="s">
        <v>511</v>
      </c>
      <c r="J949" t="s">
        <v>756</v>
      </c>
    </row>
    <row r="950" spans="1:10" x14ac:dyDescent="0.3">
      <c r="A950" s="70">
        <v>45636</v>
      </c>
      <c r="B950" t="s">
        <v>30</v>
      </c>
      <c r="C950" s="71" t="s">
        <v>1158</v>
      </c>
      <c r="D950" s="75">
        <v>109.18</v>
      </c>
      <c r="E950" s="75">
        <v>0</v>
      </c>
      <c r="F950" s="75">
        <v>39359.14</v>
      </c>
      <c r="G950" s="75"/>
      <c r="H950" s="71" t="s">
        <v>217</v>
      </c>
      <c r="J950" t="s">
        <v>752</v>
      </c>
    </row>
    <row r="951" spans="1:10" x14ac:dyDescent="0.3">
      <c r="A951" s="70">
        <v>45636</v>
      </c>
      <c r="B951" t="s">
        <v>1456</v>
      </c>
      <c r="C951" s="71" t="s">
        <v>1457</v>
      </c>
      <c r="D951" s="75">
        <v>0</v>
      </c>
      <c r="E951" s="75">
        <v>2084.2600000000002</v>
      </c>
      <c r="F951" s="75">
        <v>45602.58</v>
      </c>
      <c r="G951" s="75"/>
      <c r="H951" s="71" t="s">
        <v>2530</v>
      </c>
      <c r="J951" t="s">
        <v>753</v>
      </c>
    </row>
    <row r="952" spans="1:10" x14ac:dyDescent="0.3">
      <c r="A952" s="70">
        <v>45636</v>
      </c>
      <c r="B952" t="s">
        <v>2060</v>
      </c>
      <c r="C952" s="71" t="s">
        <v>2061</v>
      </c>
      <c r="D952" s="75">
        <v>50</v>
      </c>
      <c r="E952" s="75">
        <v>0</v>
      </c>
      <c r="F952" s="75">
        <v>56687.55</v>
      </c>
      <c r="G952" s="75"/>
      <c r="H952" s="71" t="s">
        <v>511</v>
      </c>
      <c r="J952" t="s">
        <v>756</v>
      </c>
    </row>
    <row r="953" spans="1:10" x14ac:dyDescent="0.3">
      <c r="A953" s="70">
        <v>45637</v>
      </c>
      <c r="B953" t="s">
        <v>1159</v>
      </c>
      <c r="C953" s="71" t="s">
        <v>1160</v>
      </c>
      <c r="D953" s="75">
        <v>0</v>
      </c>
      <c r="E953" s="75">
        <v>3068.94</v>
      </c>
      <c r="F953" s="75">
        <v>42428.08</v>
      </c>
      <c r="G953" s="75"/>
      <c r="H953" s="71" t="s">
        <v>2523</v>
      </c>
      <c r="J953" t="s">
        <v>752</v>
      </c>
    </row>
    <row r="954" spans="1:10" x14ac:dyDescent="0.3">
      <c r="A954" s="70">
        <v>45637</v>
      </c>
      <c r="B954" t="s">
        <v>30</v>
      </c>
      <c r="C954" s="71" t="s">
        <v>1161</v>
      </c>
      <c r="D954" s="75">
        <v>109.18</v>
      </c>
      <c r="E954" s="75">
        <v>0</v>
      </c>
      <c r="F954" s="75">
        <v>42318.9</v>
      </c>
      <c r="G954" s="75"/>
      <c r="H954" s="71" t="s">
        <v>217</v>
      </c>
      <c r="J954" t="s">
        <v>752</v>
      </c>
    </row>
    <row r="955" spans="1:10" x14ac:dyDescent="0.3">
      <c r="A955" s="70">
        <v>45637</v>
      </c>
      <c r="B955" t="s">
        <v>1162</v>
      </c>
      <c r="C955" s="71" t="s">
        <v>1163</v>
      </c>
      <c r="D955" s="75">
        <v>0</v>
      </c>
      <c r="E955" s="75">
        <v>800</v>
      </c>
      <c r="F955" s="75">
        <v>43118.9</v>
      </c>
      <c r="G955" s="75"/>
      <c r="H955" s="71" t="s">
        <v>218</v>
      </c>
      <c r="J955" t="s">
        <v>752</v>
      </c>
    </row>
    <row r="956" spans="1:10" x14ac:dyDescent="0.3">
      <c r="A956" s="70">
        <v>45637</v>
      </c>
      <c r="B956" t="s">
        <v>30</v>
      </c>
      <c r="C956" s="71" t="s">
        <v>1164</v>
      </c>
      <c r="D956" s="75">
        <v>67.39</v>
      </c>
      <c r="E956" s="75">
        <v>0</v>
      </c>
      <c r="F956" s="75">
        <v>43051.51</v>
      </c>
      <c r="G956" s="75"/>
      <c r="H956" s="71" t="s">
        <v>217</v>
      </c>
      <c r="J956" t="s">
        <v>752</v>
      </c>
    </row>
    <row r="957" spans="1:10" x14ac:dyDescent="0.3">
      <c r="A957" s="70">
        <v>45638</v>
      </c>
      <c r="B957" t="s">
        <v>30</v>
      </c>
      <c r="C957" s="71" t="s">
        <v>1165</v>
      </c>
      <c r="D957" s="75">
        <v>110.25</v>
      </c>
      <c r="E957" s="75">
        <v>0</v>
      </c>
      <c r="F957" s="75">
        <v>42941.26</v>
      </c>
      <c r="G957" s="75"/>
      <c r="H957" s="71" t="s">
        <v>217</v>
      </c>
      <c r="J957" t="s">
        <v>752</v>
      </c>
    </row>
    <row r="958" spans="1:10" x14ac:dyDescent="0.3">
      <c r="A958" s="70">
        <v>45638</v>
      </c>
      <c r="B958" t="s">
        <v>30</v>
      </c>
      <c r="C958" s="71" t="s">
        <v>1166</v>
      </c>
      <c r="D958" s="75">
        <v>1276.49</v>
      </c>
      <c r="E958" s="75">
        <v>0</v>
      </c>
      <c r="F958" s="75">
        <v>41664.769999999997</v>
      </c>
      <c r="G958" s="75"/>
      <c r="H958" s="71" t="s">
        <v>217</v>
      </c>
      <c r="J958" t="s">
        <v>752</v>
      </c>
    </row>
    <row r="959" spans="1:10" x14ac:dyDescent="0.3">
      <c r="A959" s="70">
        <v>45639</v>
      </c>
      <c r="B959" t="s">
        <v>30</v>
      </c>
      <c r="C959" s="71" t="s">
        <v>1167</v>
      </c>
      <c r="D959" s="75">
        <v>109.8</v>
      </c>
      <c r="E959" s="75">
        <v>0</v>
      </c>
      <c r="F959" s="75">
        <v>41554.97</v>
      </c>
      <c r="G959" s="75"/>
      <c r="H959" s="71" t="s">
        <v>217</v>
      </c>
      <c r="J959" t="s">
        <v>752</v>
      </c>
    </row>
    <row r="960" spans="1:10" x14ac:dyDescent="0.3">
      <c r="A960" s="70">
        <v>45639</v>
      </c>
      <c r="B960" t="s">
        <v>30</v>
      </c>
      <c r="C960" s="71" t="s">
        <v>1168</v>
      </c>
      <c r="D960" s="75">
        <v>100.77</v>
      </c>
      <c r="E960" s="75">
        <v>0</v>
      </c>
      <c r="F960" s="75">
        <v>41454.199999999997</v>
      </c>
      <c r="G960" s="75"/>
      <c r="H960" s="71" t="s">
        <v>217</v>
      </c>
      <c r="J960" t="s">
        <v>752</v>
      </c>
    </row>
    <row r="961" spans="1:10" x14ac:dyDescent="0.3">
      <c r="A961" s="70">
        <v>45640</v>
      </c>
      <c r="B961" t="s">
        <v>2062</v>
      </c>
      <c r="C961" s="71" t="s">
        <v>2063</v>
      </c>
      <c r="D961" s="75">
        <v>60</v>
      </c>
      <c r="E961" s="75">
        <v>0</v>
      </c>
      <c r="F961" s="75">
        <v>56627.55</v>
      </c>
      <c r="G961" s="75"/>
      <c r="H961" s="71" t="s">
        <v>511</v>
      </c>
      <c r="J961" t="s">
        <v>756</v>
      </c>
    </row>
    <row r="962" spans="1:10" x14ac:dyDescent="0.3">
      <c r="A962" s="70">
        <v>45640</v>
      </c>
      <c r="B962" t="s">
        <v>2064</v>
      </c>
      <c r="C962" s="71" t="s">
        <v>2065</v>
      </c>
      <c r="D962" s="75">
        <v>25</v>
      </c>
      <c r="E962" s="75">
        <v>0</v>
      </c>
      <c r="F962" s="75">
        <v>56602.55</v>
      </c>
      <c r="G962" s="75"/>
      <c r="H962" s="71" t="s">
        <v>511</v>
      </c>
      <c r="J962" t="s">
        <v>756</v>
      </c>
    </row>
    <row r="963" spans="1:10" x14ac:dyDescent="0.3">
      <c r="A963" s="70">
        <v>45640</v>
      </c>
      <c r="B963" t="s">
        <v>2066</v>
      </c>
      <c r="C963" s="71" t="s">
        <v>2067</v>
      </c>
      <c r="D963" s="75">
        <v>97</v>
      </c>
      <c r="E963" s="75">
        <v>0</v>
      </c>
      <c r="F963" s="75">
        <v>56505.55</v>
      </c>
      <c r="G963" s="75"/>
      <c r="H963" s="71" t="s">
        <v>511</v>
      </c>
      <c r="J963" t="s">
        <v>756</v>
      </c>
    </row>
    <row r="964" spans="1:10" x14ac:dyDescent="0.3">
      <c r="A964" s="70">
        <v>45640</v>
      </c>
      <c r="B964" t="s">
        <v>2068</v>
      </c>
      <c r="C964" s="71" t="s">
        <v>2069</v>
      </c>
      <c r="D964" s="75">
        <v>1500</v>
      </c>
      <c r="E964" s="75">
        <v>0</v>
      </c>
      <c r="F964" s="75">
        <v>55005.55</v>
      </c>
      <c r="G964" s="75"/>
      <c r="H964" s="71" t="s">
        <v>511</v>
      </c>
      <c r="J964" t="s">
        <v>756</v>
      </c>
    </row>
    <row r="965" spans="1:10" x14ac:dyDescent="0.3">
      <c r="A965" s="70">
        <v>45641</v>
      </c>
      <c r="B965" t="s">
        <v>2070</v>
      </c>
      <c r="C965" s="71" t="s">
        <v>2071</v>
      </c>
      <c r="D965" s="75">
        <v>1500</v>
      </c>
      <c r="E965" s="75">
        <v>0</v>
      </c>
      <c r="F965" s="75">
        <v>53505.55</v>
      </c>
      <c r="G965" s="75"/>
      <c r="H965" s="71" t="s">
        <v>511</v>
      </c>
      <c r="J965" t="s">
        <v>756</v>
      </c>
    </row>
    <row r="966" spans="1:10" x14ac:dyDescent="0.3">
      <c r="A966" s="70">
        <v>45641</v>
      </c>
      <c r="B966" t="s">
        <v>2072</v>
      </c>
      <c r="C966" s="71" t="s">
        <v>2073</v>
      </c>
      <c r="D966" s="75">
        <v>102</v>
      </c>
      <c r="E966" s="75">
        <v>0</v>
      </c>
      <c r="F966" s="75">
        <v>53403.55</v>
      </c>
      <c r="G966" s="75"/>
      <c r="H966" s="71" t="s">
        <v>511</v>
      </c>
      <c r="J966" t="s">
        <v>756</v>
      </c>
    </row>
    <row r="967" spans="1:10" x14ac:dyDescent="0.3">
      <c r="A967" s="70">
        <v>45641</v>
      </c>
      <c r="B967" t="s">
        <v>2074</v>
      </c>
      <c r="C967" s="71" t="s">
        <v>2075</v>
      </c>
      <c r="D967" s="75">
        <v>198</v>
      </c>
      <c r="E967" s="75">
        <v>0</v>
      </c>
      <c r="F967" s="75">
        <v>53205.55</v>
      </c>
      <c r="G967" s="75"/>
      <c r="H967" s="71" t="s">
        <v>511</v>
      </c>
      <c r="J967" t="s">
        <v>756</v>
      </c>
    </row>
    <row r="968" spans="1:10" x14ac:dyDescent="0.3">
      <c r="A968" s="70">
        <v>45641</v>
      </c>
      <c r="B968" t="s">
        <v>2076</v>
      </c>
      <c r="C968" s="71" t="s">
        <v>2077</v>
      </c>
      <c r="D968" s="75">
        <v>0</v>
      </c>
      <c r="E968" s="75">
        <v>430</v>
      </c>
      <c r="F968" s="75">
        <v>53635.55</v>
      </c>
      <c r="G968" s="75"/>
      <c r="H968" s="71" t="s">
        <v>511</v>
      </c>
      <c r="J968" t="s">
        <v>756</v>
      </c>
    </row>
    <row r="969" spans="1:10" x14ac:dyDescent="0.3">
      <c r="A969" s="70">
        <v>45642</v>
      </c>
      <c r="B969" t="s">
        <v>30</v>
      </c>
      <c r="C969" s="71" t="s">
        <v>1169</v>
      </c>
      <c r="D969" s="75">
        <v>329.28</v>
      </c>
      <c r="E969" s="75">
        <v>0</v>
      </c>
      <c r="F969" s="75">
        <v>41124.92</v>
      </c>
      <c r="G969" s="75"/>
      <c r="H969" s="71" t="s">
        <v>217</v>
      </c>
      <c r="J969" t="s">
        <v>752</v>
      </c>
    </row>
    <row r="970" spans="1:10" x14ac:dyDescent="0.3">
      <c r="A970" s="70">
        <v>45642</v>
      </c>
      <c r="B970" t="s">
        <v>2078</v>
      </c>
      <c r="C970" s="71" t="s">
        <v>2079</v>
      </c>
      <c r="D970" s="75">
        <v>1500</v>
      </c>
      <c r="E970" s="75">
        <v>0</v>
      </c>
      <c r="F970" s="75">
        <v>52135.55</v>
      </c>
      <c r="G970" s="75"/>
      <c r="H970" s="71" t="s">
        <v>511</v>
      </c>
      <c r="J970" t="s">
        <v>756</v>
      </c>
    </row>
    <row r="971" spans="1:10" x14ac:dyDescent="0.3">
      <c r="A971" s="70">
        <v>45642</v>
      </c>
      <c r="B971" t="s">
        <v>2080</v>
      </c>
      <c r="C971" s="71" t="s">
        <v>2081</v>
      </c>
      <c r="D971" s="75">
        <v>99</v>
      </c>
      <c r="E971" s="75">
        <v>0</v>
      </c>
      <c r="F971" s="75">
        <v>52036.55</v>
      </c>
      <c r="G971" s="75"/>
      <c r="H971" s="71" t="s">
        <v>511</v>
      </c>
      <c r="J971" t="s">
        <v>756</v>
      </c>
    </row>
    <row r="972" spans="1:10" x14ac:dyDescent="0.3">
      <c r="A972" s="70">
        <v>45643</v>
      </c>
      <c r="B972" t="s">
        <v>1170</v>
      </c>
      <c r="C972" s="71" t="s">
        <v>1171</v>
      </c>
      <c r="D972" s="75">
        <v>0</v>
      </c>
      <c r="E972" s="75">
        <v>40.29</v>
      </c>
      <c r="F972" s="75">
        <v>41165.21</v>
      </c>
      <c r="G972" s="75"/>
      <c r="H972" s="71" t="s">
        <v>2523</v>
      </c>
      <c r="J972" t="s">
        <v>752</v>
      </c>
    </row>
    <row r="973" spans="1:10" x14ac:dyDescent="0.3">
      <c r="A973" s="70">
        <v>45643</v>
      </c>
      <c r="B973" t="s">
        <v>30</v>
      </c>
      <c r="C973" s="71" t="s">
        <v>1172</v>
      </c>
      <c r="D973" s="75">
        <v>109.76</v>
      </c>
      <c r="E973" s="75">
        <v>0</v>
      </c>
      <c r="F973" s="75">
        <v>41055.449999999997</v>
      </c>
      <c r="G973" s="75"/>
      <c r="H973" s="71" t="s">
        <v>217</v>
      </c>
      <c r="J973" t="s">
        <v>752</v>
      </c>
    </row>
    <row r="974" spans="1:10" x14ac:dyDescent="0.3">
      <c r="A974" s="70">
        <v>45643</v>
      </c>
      <c r="B974" t="s">
        <v>1173</v>
      </c>
      <c r="C974" s="71" t="s">
        <v>46</v>
      </c>
      <c r="D974" s="75">
        <v>153.4</v>
      </c>
      <c r="E974" s="75">
        <v>0</v>
      </c>
      <c r="F974" s="75">
        <v>40902.050000000003</v>
      </c>
      <c r="G974" s="75"/>
      <c r="H974" s="71" t="s">
        <v>220</v>
      </c>
      <c r="J974" t="s">
        <v>752</v>
      </c>
    </row>
    <row r="975" spans="1:10" x14ac:dyDescent="0.3">
      <c r="A975" s="70">
        <v>45643</v>
      </c>
      <c r="B975" t="s">
        <v>30</v>
      </c>
      <c r="C975" s="71" t="s">
        <v>1174</v>
      </c>
      <c r="D975" s="75">
        <v>921.59</v>
      </c>
      <c r="E975" s="75">
        <v>0</v>
      </c>
      <c r="F975" s="75">
        <v>39980.46</v>
      </c>
      <c r="G975" s="75"/>
      <c r="H975" s="71" t="s">
        <v>217</v>
      </c>
      <c r="J975" t="s">
        <v>752</v>
      </c>
    </row>
    <row r="976" spans="1:10" x14ac:dyDescent="0.3">
      <c r="A976" s="70">
        <v>45643</v>
      </c>
      <c r="B976" t="s">
        <v>2082</v>
      </c>
      <c r="C976" s="71" t="s">
        <v>2083</v>
      </c>
      <c r="D976" s="75">
        <v>50</v>
      </c>
      <c r="E976" s="75">
        <v>0</v>
      </c>
      <c r="F976" s="75">
        <v>51986.55</v>
      </c>
      <c r="G976" s="75"/>
      <c r="H976" s="71" t="s">
        <v>511</v>
      </c>
      <c r="J976" t="s">
        <v>756</v>
      </c>
    </row>
    <row r="977" spans="1:10" x14ac:dyDescent="0.3">
      <c r="A977" s="70">
        <v>45643</v>
      </c>
      <c r="B977" t="s">
        <v>2084</v>
      </c>
      <c r="C977" s="71" t="s">
        <v>2085</v>
      </c>
      <c r="D977" s="75">
        <v>70</v>
      </c>
      <c r="E977" s="75">
        <v>0</v>
      </c>
      <c r="F977" s="75">
        <v>51916.55</v>
      </c>
      <c r="G977" s="75"/>
      <c r="H977" s="71" t="s">
        <v>511</v>
      </c>
      <c r="J977" t="s">
        <v>756</v>
      </c>
    </row>
    <row r="978" spans="1:10" x14ac:dyDescent="0.3">
      <c r="A978" s="70">
        <v>45643</v>
      </c>
      <c r="B978" t="s">
        <v>2086</v>
      </c>
      <c r="C978" s="71" t="s">
        <v>2087</v>
      </c>
      <c r="D978" s="75">
        <v>5000</v>
      </c>
      <c r="E978" s="75">
        <v>0</v>
      </c>
      <c r="F978" s="75">
        <v>46916.55</v>
      </c>
      <c r="G978" s="75"/>
      <c r="H978" s="71" t="s">
        <v>2550</v>
      </c>
      <c r="J978" t="s">
        <v>756</v>
      </c>
    </row>
    <row r="979" spans="1:10" x14ac:dyDescent="0.3">
      <c r="A979" s="70">
        <v>45644</v>
      </c>
      <c r="B979" t="s">
        <v>30</v>
      </c>
      <c r="C979" s="71" t="s">
        <v>1175</v>
      </c>
      <c r="D979" s="75">
        <v>109.45</v>
      </c>
      <c r="E979" s="75">
        <v>0</v>
      </c>
      <c r="F979" s="75">
        <v>39871.01</v>
      </c>
      <c r="G979" s="75"/>
      <c r="H979" s="71" t="s">
        <v>217</v>
      </c>
      <c r="J979" t="s">
        <v>752</v>
      </c>
    </row>
    <row r="980" spans="1:10" x14ac:dyDescent="0.3">
      <c r="A980" s="70">
        <v>45644</v>
      </c>
      <c r="B980" t="s">
        <v>30</v>
      </c>
      <c r="C980" s="71" t="s">
        <v>1176</v>
      </c>
      <c r="D980" s="75">
        <v>3188.14</v>
      </c>
      <c r="E980" s="75">
        <v>0</v>
      </c>
      <c r="F980" s="75">
        <v>36682.870000000003</v>
      </c>
      <c r="G980" s="75"/>
      <c r="H980" s="71" t="s">
        <v>217</v>
      </c>
      <c r="J980" t="s">
        <v>752</v>
      </c>
    </row>
    <row r="981" spans="1:10" x14ac:dyDescent="0.3">
      <c r="A981" s="70">
        <v>45644</v>
      </c>
      <c r="B981" t="s">
        <v>2088</v>
      </c>
      <c r="C981" s="71" t="s">
        <v>2089</v>
      </c>
      <c r="D981" s="75">
        <v>72</v>
      </c>
      <c r="E981" s="75">
        <v>0</v>
      </c>
      <c r="F981" s="75">
        <v>46844.55</v>
      </c>
      <c r="G981" s="75"/>
      <c r="H981" s="71" t="s">
        <v>511</v>
      </c>
      <c r="J981" t="s">
        <v>756</v>
      </c>
    </row>
    <row r="982" spans="1:10" x14ac:dyDescent="0.3">
      <c r="A982" s="70">
        <v>45644</v>
      </c>
      <c r="B982" t="s">
        <v>2090</v>
      </c>
      <c r="C982" s="71" t="s">
        <v>2091</v>
      </c>
      <c r="D982" s="75">
        <v>1500</v>
      </c>
      <c r="E982" s="75">
        <v>0</v>
      </c>
      <c r="F982" s="75">
        <v>45344.55</v>
      </c>
      <c r="G982" s="75"/>
      <c r="H982" s="71" t="s">
        <v>511</v>
      </c>
      <c r="J982" t="s">
        <v>756</v>
      </c>
    </row>
    <row r="983" spans="1:10" x14ac:dyDescent="0.3">
      <c r="A983" s="70">
        <v>45644</v>
      </c>
      <c r="B983" t="s">
        <v>2092</v>
      </c>
      <c r="C983" s="71" t="s">
        <v>2093</v>
      </c>
      <c r="D983" s="75">
        <v>75</v>
      </c>
      <c r="E983" s="75">
        <v>0</v>
      </c>
      <c r="F983" s="75">
        <v>45269.55</v>
      </c>
      <c r="G983" s="75"/>
      <c r="H983" s="71" t="s">
        <v>511</v>
      </c>
      <c r="J983" t="s">
        <v>756</v>
      </c>
    </row>
    <row r="984" spans="1:10" x14ac:dyDescent="0.3">
      <c r="A984" s="70">
        <v>45644</v>
      </c>
      <c r="B984" t="s">
        <v>2094</v>
      </c>
      <c r="C984" s="71" t="s">
        <v>2095</v>
      </c>
      <c r="D984" s="75">
        <v>1</v>
      </c>
      <c r="E984" s="75">
        <v>0</v>
      </c>
      <c r="F984" s="75">
        <v>45268.55</v>
      </c>
      <c r="G984" s="75"/>
      <c r="H984" s="71" t="s">
        <v>2550</v>
      </c>
      <c r="J984" t="s">
        <v>756</v>
      </c>
    </row>
    <row r="985" spans="1:10" x14ac:dyDescent="0.3">
      <c r="A985" s="70">
        <v>45644</v>
      </c>
      <c r="B985" t="s">
        <v>2096</v>
      </c>
      <c r="C985" s="71" t="s">
        <v>2097</v>
      </c>
      <c r="D985" s="75">
        <v>4999</v>
      </c>
      <c r="E985" s="75">
        <v>0</v>
      </c>
      <c r="F985" s="75">
        <v>40269.550000000003</v>
      </c>
      <c r="G985" s="75"/>
      <c r="H985" s="71" t="s">
        <v>2550</v>
      </c>
      <c r="J985" t="s">
        <v>756</v>
      </c>
    </row>
    <row r="986" spans="1:10" x14ac:dyDescent="0.3">
      <c r="A986" s="70">
        <v>45645</v>
      </c>
      <c r="B986" t="s">
        <v>1177</v>
      </c>
      <c r="C986" s="71" t="s">
        <v>1178</v>
      </c>
      <c r="D986" s="75">
        <v>2.36</v>
      </c>
      <c r="E986" s="75">
        <v>0</v>
      </c>
      <c r="F986" s="75">
        <v>36680.51</v>
      </c>
      <c r="G986" s="75"/>
      <c r="H986" s="71" t="s">
        <v>221</v>
      </c>
      <c r="J986" t="s">
        <v>752</v>
      </c>
    </row>
    <row r="987" spans="1:10" x14ac:dyDescent="0.3">
      <c r="A987" s="70">
        <v>45645</v>
      </c>
      <c r="B987" t="s">
        <v>30</v>
      </c>
      <c r="C987" s="71" t="s">
        <v>1179</v>
      </c>
      <c r="D987" s="75">
        <v>108.31</v>
      </c>
      <c r="E987" s="75">
        <v>0</v>
      </c>
      <c r="F987" s="75">
        <v>36572.199999999997</v>
      </c>
      <c r="G987" s="75"/>
      <c r="H987" s="71" t="s">
        <v>217</v>
      </c>
      <c r="J987" t="s">
        <v>752</v>
      </c>
    </row>
    <row r="988" spans="1:10" x14ac:dyDescent="0.3">
      <c r="A988" s="70">
        <v>45645</v>
      </c>
      <c r="B988" t="s">
        <v>30</v>
      </c>
      <c r="C988" s="71" t="s">
        <v>1180</v>
      </c>
      <c r="D988" s="75">
        <v>1010.87</v>
      </c>
      <c r="E988" s="75">
        <v>0</v>
      </c>
      <c r="F988" s="75">
        <v>35561.33</v>
      </c>
      <c r="G988" s="75"/>
      <c r="H988" s="71" t="s">
        <v>217</v>
      </c>
      <c r="J988" t="s">
        <v>752</v>
      </c>
    </row>
    <row r="989" spans="1:10" x14ac:dyDescent="0.3">
      <c r="A989" s="70">
        <v>45645</v>
      </c>
      <c r="B989" t="s">
        <v>2098</v>
      </c>
      <c r="C989" s="71" t="s">
        <v>2099</v>
      </c>
      <c r="D989" s="75">
        <v>45</v>
      </c>
      <c r="E989" s="75">
        <v>0</v>
      </c>
      <c r="F989" s="75">
        <v>40224.550000000003</v>
      </c>
      <c r="G989" s="75"/>
      <c r="H989" s="71" t="s">
        <v>511</v>
      </c>
      <c r="J989" t="s">
        <v>756</v>
      </c>
    </row>
    <row r="990" spans="1:10" x14ac:dyDescent="0.3">
      <c r="A990" s="70">
        <v>45646</v>
      </c>
      <c r="B990" t="s">
        <v>30</v>
      </c>
      <c r="C990" s="71" t="s">
        <v>1181</v>
      </c>
      <c r="D990" s="75">
        <v>110.12</v>
      </c>
      <c r="E990" s="75">
        <v>0</v>
      </c>
      <c r="F990" s="75">
        <v>35451.21</v>
      </c>
      <c r="G990" s="75"/>
      <c r="H990" s="71" t="s">
        <v>217</v>
      </c>
      <c r="J990" t="s">
        <v>752</v>
      </c>
    </row>
    <row r="991" spans="1:10" x14ac:dyDescent="0.3">
      <c r="A991" s="70">
        <v>45646</v>
      </c>
      <c r="B991" t="s">
        <v>30</v>
      </c>
      <c r="C991" s="71" t="s">
        <v>1182</v>
      </c>
      <c r="D991" s="75">
        <v>1898.9</v>
      </c>
      <c r="E991" s="75">
        <v>0</v>
      </c>
      <c r="F991" s="75">
        <v>33552.31</v>
      </c>
      <c r="G991" s="75"/>
      <c r="H991" s="71" t="s">
        <v>217</v>
      </c>
      <c r="J991" t="s">
        <v>752</v>
      </c>
    </row>
    <row r="992" spans="1:10" x14ac:dyDescent="0.3">
      <c r="A992" s="70">
        <v>45646</v>
      </c>
      <c r="B992" t="s">
        <v>2100</v>
      </c>
      <c r="C992" s="71" t="s">
        <v>2101</v>
      </c>
      <c r="D992" s="75">
        <v>1500</v>
      </c>
      <c r="E992" s="75">
        <v>0</v>
      </c>
      <c r="F992" s="75">
        <v>38724.550000000003</v>
      </c>
      <c r="G992" s="75"/>
      <c r="H992" s="71" t="s">
        <v>511</v>
      </c>
      <c r="J992" t="s">
        <v>756</v>
      </c>
    </row>
    <row r="993" spans="1:10" x14ac:dyDescent="0.3">
      <c r="A993" s="70">
        <v>45646</v>
      </c>
      <c r="B993" t="s">
        <v>2102</v>
      </c>
      <c r="C993" s="71" t="s">
        <v>2103</v>
      </c>
      <c r="D993" s="75">
        <v>80</v>
      </c>
      <c r="E993" s="75">
        <v>0</v>
      </c>
      <c r="F993" s="75">
        <v>38644.550000000003</v>
      </c>
      <c r="G993" s="75"/>
      <c r="H993" s="71" t="s">
        <v>511</v>
      </c>
      <c r="J993" t="s">
        <v>756</v>
      </c>
    </row>
    <row r="994" spans="1:10" x14ac:dyDescent="0.3">
      <c r="A994" s="70">
        <v>45647</v>
      </c>
      <c r="B994" t="s">
        <v>2104</v>
      </c>
      <c r="C994" s="71" t="s">
        <v>2105</v>
      </c>
      <c r="D994" s="75">
        <v>1500</v>
      </c>
      <c r="E994" s="75">
        <v>0</v>
      </c>
      <c r="F994" s="75">
        <v>37144.550000000003</v>
      </c>
      <c r="G994" s="75"/>
      <c r="H994" s="71" t="s">
        <v>511</v>
      </c>
      <c r="J994" t="s">
        <v>756</v>
      </c>
    </row>
    <row r="995" spans="1:10" x14ac:dyDescent="0.3">
      <c r="A995" s="70">
        <v>45647</v>
      </c>
      <c r="B995" t="s">
        <v>2106</v>
      </c>
      <c r="C995" s="71" t="s">
        <v>2107</v>
      </c>
      <c r="D995" s="75">
        <v>300</v>
      </c>
      <c r="E995" s="75">
        <v>0</v>
      </c>
      <c r="F995" s="75">
        <v>36844.550000000003</v>
      </c>
      <c r="G995" s="75"/>
      <c r="H995" s="71" t="s">
        <v>511</v>
      </c>
      <c r="J995" t="s">
        <v>756</v>
      </c>
    </row>
    <row r="996" spans="1:10" x14ac:dyDescent="0.3">
      <c r="A996" s="70">
        <v>45647</v>
      </c>
      <c r="B996" t="s">
        <v>2108</v>
      </c>
      <c r="C996" s="71" t="s">
        <v>2109</v>
      </c>
      <c r="D996" s="75">
        <v>40</v>
      </c>
      <c r="E996" s="75">
        <v>0</v>
      </c>
      <c r="F996" s="75">
        <v>36804.550000000003</v>
      </c>
      <c r="G996" s="75"/>
      <c r="H996" s="71" t="s">
        <v>511</v>
      </c>
      <c r="J996" t="s">
        <v>756</v>
      </c>
    </row>
    <row r="997" spans="1:10" x14ac:dyDescent="0.3">
      <c r="A997" s="70">
        <v>45648</v>
      </c>
      <c r="B997" t="s">
        <v>2110</v>
      </c>
      <c r="C997" s="71" t="s">
        <v>2111</v>
      </c>
      <c r="D997" s="75">
        <v>1500</v>
      </c>
      <c r="E997" s="75">
        <v>0</v>
      </c>
      <c r="F997" s="75">
        <v>35304.550000000003</v>
      </c>
      <c r="G997" s="75"/>
      <c r="H997" s="71" t="s">
        <v>511</v>
      </c>
      <c r="J997" t="s">
        <v>756</v>
      </c>
    </row>
    <row r="998" spans="1:10" x14ac:dyDescent="0.3">
      <c r="A998" s="70">
        <v>45648</v>
      </c>
      <c r="B998" t="s">
        <v>2112</v>
      </c>
      <c r="C998" s="71" t="s">
        <v>2113</v>
      </c>
      <c r="D998" s="75">
        <v>2397</v>
      </c>
      <c r="E998" s="75">
        <v>0</v>
      </c>
      <c r="F998" s="75">
        <v>32907.550000000003</v>
      </c>
      <c r="G998" s="75"/>
      <c r="H998" s="71" t="s">
        <v>511</v>
      </c>
      <c r="J998" t="s">
        <v>756</v>
      </c>
    </row>
    <row r="999" spans="1:10" x14ac:dyDescent="0.3">
      <c r="A999" s="70">
        <v>45648</v>
      </c>
      <c r="B999" t="s">
        <v>2114</v>
      </c>
      <c r="C999" s="71" t="s">
        <v>2115</v>
      </c>
      <c r="D999" s="75">
        <v>7200</v>
      </c>
      <c r="E999" s="75">
        <v>0</v>
      </c>
      <c r="F999" s="75">
        <v>25707.55</v>
      </c>
      <c r="G999" s="75"/>
      <c r="H999" s="71" t="s">
        <v>511</v>
      </c>
      <c r="J999" t="s">
        <v>756</v>
      </c>
    </row>
    <row r="1000" spans="1:10" x14ac:dyDescent="0.3">
      <c r="A1000" s="70">
        <v>45649</v>
      </c>
      <c r="B1000" t="s">
        <v>30</v>
      </c>
      <c r="C1000" s="71" t="s">
        <v>1183</v>
      </c>
      <c r="D1000" s="75">
        <v>328.35</v>
      </c>
      <c r="E1000" s="75">
        <v>0</v>
      </c>
      <c r="F1000" s="75">
        <v>33223.96</v>
      </c>
      <c r="G1000" s="75"/>
      <c r="H1000" s="71" t="s">
        <v>217</v>
      </c>
      <c r="J1000" t="s">
        <v>752</v>
      </c>
    </row>
    <row r="1001" spans="1:10" x14ac:dyDescent="0.3">
      <c r="A1001" s="70">
        <v>45649</v>
      </c>
      <c r="B1001" t="s">
        <v>30</v>
      </c>
      <c r="C1001" s="71" t="s">
        <v>1184</v>
      </c>
      <c r="D1001" s="75">
        <v>15512.44</v>
      </c>
      <c r="E1001" s="75">
        <v>0</v>
      </c>
      <c r="F1001" s="75">
        <v>17711.52</v>
      </c>
      <c r="G1001" s="75"/>
      <c r="H1001" s="71" t="s">
        <v>217</v>
      </c>
      <c r="J1001" t="s">
        <v>752</v>
      </c>
    </row>
    <row r="1002" spans="1:10" x14ac:dyDescent="0.3">
      <c r="A1002" s="70">
        <v>45649</v>
      </c>
      <c r="B1002" t="s">
        <v>2116</v>
      </c>
      <c r="C1002" s="71" t="s">
        <v>2117</v>
      </c>
      <c r="D1002" s="75">
        <v>1500</v>
      </c>
      <c r="E1002" s="75">
        <v>0</v>
      </c>
      <c r="F1002" s="75">
        <v>24207.55</v>
      </c>
      <c r="G1002" s="75"/>
      <c r="H1002" s="71" t="s">
        <v>511</v>
      </c>
      <c r="J1002" t="s">
        <v>756</v>
      </c>
    </row>
    <row r="1003" spans="1:10" x14ac:dyDescent="0.3">
      <c r="A1003" s="70">
        <v>45649</v>
      </c>
      <c r="B1003" t="s">
        <v>2118</v>
      </c>
      <c r="C1003" s="71" t="s">
        <v>2119</v>
      </c>
      <c r="D1003" s="75">
        <v>50</v>
      </c>
      <c r="E1003" s="75">
        <v>0</v>
      </c>
      <c r="F1003" s="75">
        <v>24157.55</v>
      </c>
      <c r="G1003" s="75"/>
      <c r="H1003" s="71" t="s">
        <v>511</v>
      </c>
      <c r="J1003" t="s">
        <v>756</v>
      </c>
    </row>
    <row r="1004" spans="1:10" x14ac:dyDescent="0.3">
      <c r="A1004" s="70">
        <v>45649</v>
      </c>
      <c r="B1004" t="s">
        <v>2120</v>
      </c>
      <c r="C1004" s="71" t="s">
        <v>2121</v>
      </c>
      <c r="D1004" s="75">
        <v>10157</v>
      </c>
      <c r="E1004" s="75">
        <v>0</v>
      </c>
      <c r="F1004" s="75">
        <v>14000.55</v>
      </c>
      <c r="G1004" s="75"/>
      <c r="H1004" s="71" t="s">
        <v>511</v>
      </c>
      <c r="J1004" t="s">
        <v>756</v>
      </c>
    </row>
    <row r="1005" spans="1:10" x14ac:dyDescent="0.3">
      <c r="A1005" s="70">
        <v>45650</v>
      </c>
      <c r="B1005" t="s">
        <v>30</v>
      </c>
      <c r="C1005" s="71" t="s">
        <v>1185</v>
      </c>
      <c r="D1005" s="75">
        <v>103.92</v>
      </c>
      <c r="E1005" s="75">
        <v>0</v>
      </c>
      <c r="F1005" s="75">
        <v>17607.599999999999</v>
      </c>
      <c r="G1005" s="75"/>
      <c r="H1005" s="71" t="s">
        <v>217</v>
      </c>
      <c r="J1005" t="s">
        <v>752</v>
      </c>
    </row>
    <row r="1006" spans="1:10" x14ac:dyDescent="0.3">
      <c r="A1006" s="70">
        <v>45650</v>
      </c>
      <c r="B1006" t="s">
        <v>2122</v>
      </c>
      <c r="C1006" s="71" t="s">
        <v>2123</v>
      </c>
      <c r="D1006" s="75">
        <v>1446.19</v>
      </c>
      <c r="E1006" s="75">
        <v>0</v>
      </c>
      <c r="F1006" s="75">
        <v>12554.36</v>
      </c>
      <c r="G1006" s="75"/>
      <c r="H1006" s="71" t="s">
        <v>511</v>
      </c>
      <c r="J1006" t="s">
        <v>756</v>
      </c>
    </row>
    <row r="1007" spans="1:10" x14ac:dyDescent="0.3">
      <c r="A1007" s="70">
        <v>45650</v>
      </c>
      <c r="B1007" t="s">
        <v>2124</v>
      </c>
      <c r="C1007" s="71" t="s">
        <v>2125</v>
      </c>
      <c r="D1007" s="75">
        <v>50</v>
      </c>
      <c r="E1007" s="75">
        <v>0</v>
      </c>
      <c r="F1007" s="75">
        <v>12504.36</v>
      </c>
      <c r="G1007" s="75"/>
      <c r="H1007" s="71" t="s">
        <v>511</v>
      </c>
      <c r="J1007" t="s">
        <v>756</v>
      </c>
    </row>
    <row r="1008" spans="1:10" x14ac:dyDescent="0.3">
      <c r="A1008" s="70">
        <v>45650</v>
      </c>
      <c r="B1008" t="s">
        <v>2126</v>
      </c>
      <c r="C1008" s="71" t="s">
        <v>2127</v>
      </c>
      <c r="D1008" s="75">
        <v>62</v>
      </c>
      <c r="E1008" s="75">
        <v>0</v>
      </c>
      <c r="F1008" s="75">
        <v>12442.36</v>
      </c>
      <c r="G1008" s="75"/>
      <c r="H1008" s="71" t="s">
        <v>511</v>
      </c>
      <c r="J1008" t="s">
        <v>756</v>
      </c>
    </row>
    <row r="1009" spans="1:10" x14ac:dyDescent="0.3">
      <c r="A1009" s="70">
        <v>45650</v>
      </c>
      <c r="B1009" t="s">
        <v>2128</v>
      </c>
      <c r="C1009" s="71" t="s">
        <v>2129</v>
      </c>
      <c r="D1009" s="75">
        <v>0</v>
      </c>
      <c r="E1009" s="75">
        <v>1273</v>
      </c>
      <c r="F1009" s="75">
        <v>13715.36</v>
      </c>
      <c r="G1009" s="75"/>
      <c r="H1009" s="71" t="s">
        <v>511</v>
      </c>
      <c r="J1009" t="s">
        <v>756</v>
      </c>
    </row>
    <row r="1010" spans="1:10" x14ac:dyDescent="0.3">
      <c r="A1010" s="70">
        <v>45651</v>
      </c>
      <c r="B1010" t="s">
        <v>586</v>
      </c>
      <c r="C1010" s="71" t="s">
        <v>252</v>
      </c>
      <c r="D1010" s="75">
        <v>0</v>
      </c>
      <c r="E1010" s="75">
        <v>296</v>
      </c>
      <c r="F1010" s="75">
        <v>45898.58</v>
      </c>
      <c r="G1010" s="75"/>
      <c r="H1010" s="71" t="s">
        <v>227</v>
      </c>
      <c r="J1010" t="s">
        <v>753</v>
      </c>
    </row>
    <row r="1011" spans="1:10" x14ac:dyDescent="0.3">
      <c r="A1011" s="70">
        <v>45651</v>
      </c>
      <c r="B1011" t="s">
        <v>2130</v>
      </c>
      <c r="C1011" s="71" t="s">
        <v>2131</v>
      </c>
      <c r="D1011" s="75">
        <v>0</v>
      </c>
      <c r="E1011" s="75">
        <v>88.3</v>
      </c>
      <c r="F1011" s="75">
        <v>13803.66</v>
      </c>
      <c r="G1011" s="75"/>
      <c r="H1011" s="71" t="s">
        <v>511</v>
      </c>
      <c r="J1011" t="s">
        <v>756</v>
      </c>
    </row>
    <row r="1012" spans="1:10" x14ac:dyDescent="0.3">
      <c r="A1012" s="70">
        <v>45651</v>
      </c>
      <c r="B1012" t="s">
        <v>2132</v>
      </c>
      <c r="C1012" s="71" t="s">
        <v>2133</v>
      </c>
      <c r="D1012" s="75">
        <v>99</v>
      </c>
      <c r="E1012" s="75">
        <v>0</v>
      </c>
      <c r="F1012" s="75">
        <v>13704.66</v>
      </c>
      <c r="G1012" s="75"/>
      <c r="H1012" s="71" t="s">
        <v>511</v>
      </c>
      <c r="J1012" t="s">
        <v>756</v>
      </c>
    </row>
    <row r="1013" spans="1:10" x14ac:dyDescent="0.3">
      <c r="A1013" s="70">
        <v>45651</v>
      </c>
      <c r="B1013" t="s">
        <v>2134</v>
      </c>
      <c r="C1013" s="71" t="s">
        <v>2135</v>
      </c>
      <c r="D1013" s="75">
        <v>45</v>
      </c>
      <c r="E1013" s="75">
        <v>0</v>
      </c>
      <c r="F1013" s="75">
        <v>13659.66</v>
      </c>
      <c r="G1013" s="75"/>
      <c r="H1013" s="71" t="s">
        <v>511</v>
      </c>
      <c r="J1013" t="s">
        <v>756</v>
      </c>
    </row>
    <row r="1014" spans="1:10" x14ac:dyDescent="0.3">
      <c r="A1014" s="70">
        <v>45652</v>
      </c>
      <c r="B1014" t="s">
        <v>1186</v>
      </c>
      <c r="C1014" s="71" t="s">
        <v>1187</v>
      </c>
      <c r="D1014" s="75">
        <v>0</v>
      </c>
      <c r="E1014" s="75">
        <v>138.88999999999999</v>
      </c>
      <c r="F1014" s="75">
        <v>17746.490000000002</v>
      </c>
      <c r="G1014" s="75"/>
      <c r="H1014" s="71" t="s">
        <v>2523</v>
      </c>
      <c r="J1014" t="s">
        <v>752</v>
      </c>
    </row>
    <row r="1015" spans="1:10" x14ac:dyDescent="0.3">
      <c r="A1015" s="70">
        <v>45652</v>
      </c>
      <c r="B1015" t="s">
        <v>30</v>
      </c>
      <c r="C1015" s="71" t="s">
        <v>1188</v>
      </c>
      <c r="D1015" s="75">
        <v>203.7</v>
      </c>
      <c r="E1015" s="75">
        <v>0</v>
      </c>
      <c r="F1015" s="75">
        <v>17542.79</v>
      </c>
      <c r="G1015" s="75"/>
      <c r="H1015" s="71" t="s">
        <v>217</v>
      </c>
      <c r="J1015" t="s">
        <v>752</v>
      </c>
    </row>
    <row r="1016" spans="1:10" x14ac:dyDescent="0.3">
      <c r="A1016" s="70">
        <v>45652</v>
      </c>
      <c r="B1016" t="s">
        <v>30</v>
      </c>
      <c r="C1016" s="71" t="s">
        <v>1189</v>
      </c>
      <c r="D1016" s="75">
        <v>718.11</v>
      </c>
      <c r="E1016" s="75">
        <v>0</v>
      </c>
      <c r="F1016" s="75">
        <v>16824.68</v>
      </c>
      <c r="G1016" s="75"/>
      <c r="H1016" s="71" t="s">
        <v>217</v>
      </c>
      <c r="J1016" t="s">
        <v>752</v>
      </c>
    </row>
    <row r="1017" spans="1:10" x14ac:dyDescent="0.3">
      <c r="A1017" s="70">
        <v>45652</v>
      </c>
      <c r="B1017" t="s">
        <v>2136</v>
      </c>
      <c r="C1017" s="71" t="s">
        <v>2137</v>
      </c>
      <c r="D1017" s="75">
        <v>99</v>
      </c>
      <c r="E1017" s="75">
        <v>0</v>
      </c>
      <c r="F1017" s="75">
        <v>13560.66</v>
      </c>
      <c r="G1017" s="75"/>
      <c r="H1017" s="71" t="s">
        <v>511</v>
      </c>
      <c r="J1017" t="s">
        <v>756</v>
      </c>
    </row>
    <row r="1018" spans="1:10" x14ac:dyDescent="0.3">
      <c r="A1018" s="70">
        <v>45652</v>
      </c>
      <c r="B1018" t="s">
        <v>2138</v>
      </c>
      <c r="C1018" s="71" t="s">
        <v>2139</v>
      </c>
      <c r="D1018" s="75">
        <v>0</v>
      </c>
      <c r="E1018" s="75">
        <v>10000</v>
      </c>
      <c r="F1018" s="75">
        <v>23560.66</v>
      </c>
      <c r="G1018" s="75"/>
      <c r="H1018" s="71" t="s">
        <v>508</v>
      </c>
      <c r="J1018" t="s">
        <v>756</v>
      </c>
    </row>
    <row r="1019" spans="1:10" x14ac:dyDescent="0.3">
      <c r="A1019" s="70">
        <v>45652</v>
      </c>
      <c r="B1019" t="s">
        <v>2140</v>
      </c>
      <c r="C1019" s="71" t="s">
        <v>2141</v>
      </c>
      <c r="D1019" s="75">
        <v>147</v>
      </c>
      <c r="E1019" s="75">
        <v>0</v>
      </c>
      <c r="F1019" s="75">
        <v>23413.66</v>
      </c>
      <c r="G1019" s="75"/>
      <c r="H1019" s="71" t="s">
        <v>511</v>
      </c>
      <c r="J1019" t="s">
        <v>756</v>
      </c>
    </row>
    <row r="1020" spans="1:10" x14ac:dyDescent="0.3">
      <c r="A1020" s="70">
        <v>45652</v>
      </c>
      <c r="B1020" t="s">
        <v>2142</v>
      </c>
      <c r="C1020" s="71" t="s">
        <v>2143</v>
      </c>
      <c r="D1020" s="75">
        <v>26</v>
      </c>
      <c r="E1020" s="75">
        <v>0</v>
      </c>
      <c r="F1020" s="75">
        <v>23387.66</v>
      </c>
      <c r="G1020" s="75"/>
      <c r="H1020" s="71" t="s">
        <v>511</v>
      </c>
      <c r="J1020" t="s">
        <v>756</v>
      </c>
    </row>
    <row r="1021" spans="1:10" x14ac:dyDescent="0.3">
      <c r="A1021" s="70">
        <v>45653</v>
      </c>
      <c r="B1021" t="s">
        <v>30</v>
      </c>
      <c r="C1021" s="71" t="s">
        <v>1190</v>
      </c>
      <c r="D1021" s="75">
        <v>101.64</v>
      </c>
      <c r="E1021" s="75">
        <v>0</v>
      </c>
      <c r="F1021" s="75">
        <v>16723.04</v>
      </c>
      <c r="G1021" s="75"/>
      <c r="H1021" s="71" t="s">
        <v>217</v>
      </c>
      <c r="J1021" t="s">
        <v>752</v>
      </c>
    </row>
    <row r="1022" spans="1:10" x14ac:dyDescent="0.3">
      <c r="A1022" s="70">
        <v>45653</v>
      </c>
      <c r="B1022" t="s">
        <v>30</v>
      </c>
      <c r="C1022" s="71" t="s">
        <v>1191</v>
      </c>
      <c r="D1022" s="75">
        <v>17.440000000000001</v>
      </c>
      <c r="E1022" s="75">
        <v>0</v>
      </c>
      <c r="F1022" s="75">
        <v>16705.599999999999</v>
      </c>
      <c r="G1022" s="75"/>
      <c r="H1022" s="71" t="s">
        <v>217</v>
      </c>
      <c r="J1022" t="s">
        <v>752</v>
      </c>
    </row>
    <row r="1023" spans="1:10" x14ac:dyDescent="0.3">
      <c r="A1023" s="70">
        <v>45653</v>
      </c>
      <c r="B1023" t="s">
        <v>2144</v>
      </c>
      <c r="C1023" s="71" t="s">
        <v>2145</v>
      </c>
      <c r="D1023" s="75">
        <v>25</v>
      </c>
      <c r="E1023" s="75">
        <v>0</v>
      </c>
      <c r="F1023" s="75">
        <v>23362.66</v>
      </c>
      <c r="G1023" s="75"/>
      <c r="H1023" s="71" t="s">
        <v>511</v>
      </c>
      <c r="J1023" t="s">
        <v>756</v>
      </c>
    </row>
    <row r="1024" spans="1:10" x14ac:dyDescent="0.3">
      <c r="A1024" s="70">
        <v>45653</v>
      </c>
      <c r="B1024" t="s">
        <v>2146</v>
      </c>
      <c r="C1024" s="71" t="s">
        <v>2147</v>
      </c>
      <c r="D1024" s="75">
        <v>90</v>
      </c>
      <c r="E1024" s="75">
        <v>0</v>
      </c>
      <c r="F1024" s="75">
        <v>23272.66</v>
      </c>
      <c r="G1024" s="75"/>
      <c r="H1024" s="71" t="s">
        <v>511</v>
      </c>
      <c r="J1024" t="s">
        <v>756</v>
      </c>
    </row>
    <row r="1025" spans="1:10" x14ac:dyDescent="0.3">
      <c r="A1025" s="70">
        <v>45653</v>
      </c>
      <c r="B1025" t="s">
        <v>2148</v>
      </c>
      <c r="C1025" s="71" t="s">
        <v>2149</v>
      </c>
      <c r="D1025" s="75">
        <v>1250</v>
      </c>
      <c r="E1025" s="75">
        <v>0</v>
      </c>
      <c r="F1025" s="75">
        <v>22022.66</v>
      </c>
      <c r="G1025" s="75"/>
      <c r="H1025" s="71" t="s">
        <v>511</v>
      </c>
      <c r="J1025" t="s">
        <v>756</v>
      </c>
    </row>
    <row r="1026" spans="1:10" x14ac:dyDescent="0.3">
      <c r="A1026" s="70">
        <v>45654</v>
      </c>
      <c r="B1026" t="s">
        <v>2150</v>
      </c>
      <c r="C1026" s="71" t="s">
        <v>2151</v>
      </c>
      <c r="D1026" s="75">
        <v>7000</v>
      </c>
      <c r="E1026" s="75">
        <v>0</v>
      </c>
      <c r="F1026" s="75">
        <v>15022.66</v>
      </c>
      <c r="G1026" s="75"/>
      <c r="H1026" s="71" t="s">
        <v>2532</v>
      </c>
      <c r="J1026" t="s">
        <v>756</v>
      </c>
    </row>
    <row r="1027" spans="1:10" x14ac:dyDescent="0.3">
      <c r="A1027" s="70">
        <v>45654</v>
      </c>
      <c r="B1027" t="s">
        <v>2152</v>
      </c>
      <c r="C1027" s="71" t="s">
        <v>2153</v>
      </c>
      <c r="D1027" s="75">
        <v>0</v>
      </c>
      <c r="E1027" s="75">
        <v>10000</v>
      </c>
      <c r="F1027" s="75">
        <v>25022.66</v>
      </c>
      <c r="G1027" s="75"/>
      <c r="H1027" s="71" t="s">
        <v>511</v>
      </c>
      <c r="J1027" t="s">
        <v>756</v>
      </c>
    </row>
    <row r="1028" spans="1:10" x14ac:dyDescent="0.3">
      <c r="A1028" s="70">
        <v>45654</v>
      </c>
      <c r="B1028" t="s">
        <v>2154</v>
      </c>
      <c r="C1028" s="71" t="s">
        <v>2155</v>
      </c>
      <c r="D1028" s="75">
        <v>0</v>
      </c>
      <c r="E1028" s="75">
        <v>1</v>
      </c>
      <c r="F1028" s="75">
        <v>25023.66</v>
      </c>
      <c r="G1028" s="75"/>
      <c r="H1028" s="71" t="s">
        <v>511</v>
      </c>
      <c r="J1028" t="s">
        <v>756</v>
      </c>
    </row>
    <row r="1029" spans="1:10" x14ac:dyDescent="0.3">
      <c r="A1029" s="70">
        <v>45654</v>
      </c>
      <c r="B1029" t="s">
        <v>2156</v>
      </c>
      <c r="C1029" s="71" t="s">
        <v>2157</v>
      </c>
      <c r="D1029" s="75">
        <v>10000</v>
      </c>
      <c r="E1029" s="75">
        <v>0</v>
      </c>
      <c r="F1029" s="75">
        <v>15023.66</v>
      </c>
      <c r="G1029" s="75"/>
      <c r="H1029" s="71" t="s">
        <v>2550</v>
      </c>
      <c r="J1029" t="s">
        <v>756</v>
      </c>
    </row>
    <row r="1030" spans="1:10" x14ac:dyDescent="0.3">
      <c r="A1030" s="70">
        <v>45654</v>
      </c>
      <c r="B1030" t="s">
        <v>2158</v>
      </c>
      <c r="C1030" s="71" t="s">
        <v>2159</v>
      </c>
      <c r="D1030" s="75">
        <v>35</v>
      </c>
      <c r="E1030" s="75">
        <v>0</v>
      </c>
      <c r="F1030" s="75">
        <v>14988.66</v>
      </c>
      <c r="G1030" s="75"/>
      <c r="H1030" s="71" t="s">
        <v>511</v>
      </c>
      <c r="J1030" t="s">
        <v>756</v>
      </c>
    </row>
    <row r="1031" spans="1:10" x14ac:dyDescent="0.3">
      <c r="A1031" s="70">
        <v>45655</v>
      </c>
      <c r="B1031" t="s">
        <v>2160</v>
      </c>
      <c r="C1031" s="71" t="s">
        <v>2161</v>
      </c>
      <c r="D1031" s="75">
        <v>10000</v>
      </c>
      <c r="E1031" s="75">
        <v>0</v>
      </c>
      <c r="F1031" s="75">
        <v>4988.66</v>
      </c>
      <c r="G1031" s="75"/>
      <c r="H1031" s="71" t="s">
        <v>2550</v>
      </c>
      <c r="J1031" t="s">
        <v>756</v>
      </c>
    </row>
    <row r="1032" spans="1:10" x14ac:dyDescent="0.3">
      <c r="A1032" s="70">
        <v>45655</v>
      </c>
      <c r="B1032" t="s">
        <v>2162</v>
      </c>
      <c r="C1032" s="71" t="s">
        <v>2163</v>
      </c>
      <c r="D1032" s="75">
        <v>27</v>
      </c>
      <c r="E1032" s="75">
        <v>0</v>
      </c>
      <c r="F1032" s="75">
        <v>4961.66</v>
      </c>
      <c r="G1032" s="75"/>
      <c r="H1032" s="71" t="s">
        <v>511</v>
      </c>
      <c r="J1032" t="s">
        <v>756</v>
      </c>
    </row>
    <row r="1033" spans="1:10" x14ac:dyDescent="0.3">
      <c r="A1033" s="70">
        <v>45655</v>
      </c>
      <c r="B1033" t="s">
        <v>2164</v>
      </c>
      <c r="C1033" s="71" t="s">
        <v>2165</v>
      </c>
      <c r="D1033" s="75">
        <v>15</v>
      </c>
      <c r="E1033" s="75">
        <v>0</v>
      </c>
      <c r="F1033" s="75">
        <v>4946.66</v>
      </c>
      <c r="G1033" s="75"/>
      <c r="H1033" s="71" t="s">
        <v>511</v>
      </c>
      <c r="J1033" t="s">
        <v>756</v>
      </c>
    </row>
    <row r="1034" spans="1:10" x14ac:dyDescent="0.3">
      <c r="A1034" s="70">
        <v>45656</v>
      </c>
      <c r="B1034" t="s">
        <v>1192</v>
      </c>
      <c r="C1034" s="71" t="s">
        <v>1193</v>
      </c>
      <c r="D1034" s="75">
        <v>5000</v>
      </c>
      <c r="E1034" s="75">
        <v>0</v>
      </c>
      <c r="F1034" s="75">
        <v>11705.6</v>
      </c>
      <c r="G1034" s="75"/>
      <c r="H1034" s="71" t="s">
        <v>219</v>
      </c>
      <c r="J1034" t="s">
        <v>752</v>
      </c>
    </row>
    <row r="1035" spans="1:10" x14ac:dyDescent="0.3">
      <c r="A1035" s="70">
        <v>45656</v>
      </c>
      <c r="B1035" t="s">
        <v>1194</v>
      </c>
      <c r="C1035" s="71" t="s">
        <v>1195</v>
      </c>
      <c r="D1035" s="75">
        <v>5000</v>
      </c>
      <c r="E1035" s="75">
        <v>0</v>
      </c>
      <c r="F1035" s="75">
        <v>6705.6</v>
      </c>
      <c r="G1035" s="75"/>
      <c r="H1035" s="71" t="s">
        <v>219</v>
      </c>
      <c r="J1035" t="s">
        <v>752</v>
      </c>
    </row>
    <row r="1036" spans="1:10" x14ac:dyDescent="0.3">
      <c r="A1036" s="70">
        <v>45656</v>
      </c>
      <c r="B1036" t="s">
        <v>30</v>
      </c>
      <c r="C1036" s="71" t="s">
        <v>1196</v>
      </c>
      <c r="D1036" s="75">
        <v>304.92</v>
      </c>
      <c r="E1036" s="75">
        <v>0</v>
      </c>
      <c r="F1036" s="75">
        <v>6400.68</v>
      </c>
      <c r="G1036" s="75"/>
      <c r="H1036" s="71" t="s">
        <v>217</v>
      </c>
      <c r="J1036" t="s">
        <v>752</v>
      </c>
    </row>
    <row r="1037" spans="1:10" x14ac:dyDescent="0.3">
      <c r="A1037" s="70">
        <v>45656</v>
      </c>
      <c r="B1037" t="s">
        <v>2166</v>
      </c>
      <c r="C1037" s="71" t="s">
        <v>2167</v>
      </c>
      <c r="D1037" s="75">
        <v>0</v>
      </c>
      <c r="E1037" s="75">
        <v>1018.6</v>
      </c>
      <c r="F1037" s="75">
        <v>5965.26</v>
      </c>
      <c r="G1037" s="75"/>
      <c r="H1037" s="71" t="s">
        <v>2539</v>
      </c>
      <c r="J1037" t="s">
        <v>756</v>
      </c>
    </row>
    <row r="1038" spans="1:10" x14ac:dyDescent="0.3">
      <c r="A1038" s="70">
        <v>45656</v>
      </c>
      <c r="B1038" t="s">
        <v>358</v>
      </c>
      <c r="C1038" s="71" t="s">
        <v>2168</v>
      </c>
      <c r="D1038" s="75">
        <v>0</v>
      </c>
      <c r="E1038" s="75">
        <v>68846</v>
      </c>
      <c r="F1038" s="75">
        <v>74811.259999999995</v>
      </c>
      <c r="G1038" s="75"/>
      <c r="H1038" s="71" t="s">
        <v>507</v>
      </c>
      <c r="J1038" t="s">
        <v>756</v>
      </c>
    </row>
    <row r="1039" spans="1:10" x14ac:dyDescent="0.3">
      <c r="A1039" s="70">
        <v>45656</v>
      </c>
      <c r="B1039" t="s">
        <v>2169</v>
      </c>
      <c r="C1039" s="71" t="s">
        <v>2170</v>
      </c>
      <c r="D1039" s="75">
        <v>0</v>
      </c>
      <c r="E1039" s="75">
        <v>40000</v>
      </c>
      <c r="F1039" s="75">
        <v>114811.26</v>
      </c>
      <c r="G1039" s="75"/>
      <c r="H1039" s="71" t="s">
        <v>508</v>
      </c>
      <c r="J1039" t="s">
        <v>756</v>
      </c>
    </row>
    <row r="1040" spans="1:10" x14ac:dyDescent="0.3">
      <c r="A1040" s="70">
        <v>45657</v>
      </c>
      <c r="B1040" t="s">
        <v>1197</v>
      </c>
      <c r="C1040" s="71" t="s">
        <v>1198</v>
      </c>
      <c r="D1040" s="75">
        <v>0</v>
      </c>
      <c r="E1040" s="75">
        <v>318.27</v>
      </c>
      <c r="F1040" s="75">
        <v>6718.95</v>
      </c>
      <c r="G1040" s="75"/>
      <c r="H1040" s="71" t="s">
        <v>2523</v>
      </c>
      <c r="J1040" t="s">
        <v>752</v>
      </c>
    </row>
    <row r="1041" spans="1:10" x14ac:dyDescent="0.3">
      <c r="A1041" s="70">
        <v>45657</v>
      </c>
      <c r="B1041" t="s">
        <v>30</v>
      </c>
      <c r="C1041" s="71" t="s">
        <v>1199</v>
      </c>
      <c r="D1041" s="75">
        <v>101.64</v>
      </c>
      <c r="E1041" s="75">
        <v>0</v>
      </c>
      <c r="F1041" s="75">
        <v>6617.31</v>
      </c>
      <c r="G1041" s="75"/>
      <c r="H1041" s="71" t="s">
        <v>217</v>
      </c>
      <c r="J1041" t="s">
        <v>752</v>
      </c>
    </row>
    <row r="1042" spans="1:10" x14ac:dyDescent="0.3">
      <c r="A1042" s="70">
        <v>45657</v>
      </c>
      <c r="B1042" t="s">
        <v>30</v>
      </c>
      <c r="C1042" s="71" t="s">
        <v>1200</v>
      </c>
      <c r="D1042" s="75">
        <v>527.37</v>
      </c>
      <c r="E1042" s="75">
        <v>0</v>
      </c>
      <c r="F1042" s="75">
        <v>6089.94</v>
      </c>
      <c r="G1042" s="75"/>
      <c r="H1042" s="71" t="s">
        <v>217</v>
      </c>
      <c r="J1042" t="s">
        <v>752</v>
      </c>
    </row>
    <row r="1043" spans="1:10" x14ac:dyDescent="0.3">
      <c r="A1043" s="70">
        <v>45657</v>
      </c>
      <c r="B1043" t="s">
        <v>1201</v>
      </c>
      <c r="C1043" s="71" t="s">
        <v>46</v>
      </c>
      <c r="D1043" s="75">
        <v>0</v>
      </c>
      <c r="E1043" s="75">
        <v>642</v>
      </c>
      <c r="F1043" s="75">
        <v>6731.94</v>
      </c>
      <c r="G1043" s="75"/>
      <c r="H1043" s="71" t="s">
        <v>227</v>
      </c>
      <c r="J1043" t="s">
        <v>752</v>
      </c>
    </row>
    <row r="1044" spans="1:10" x14ac:dyDescent="0.3">
      <c r="A1044" s="70">
        <v>45657</v>
      </c>
      <c r="B1044" t="s">
        <v>2171</v>
      </c>
      <c r="C1044" s="71" t="s">
        <v>2172</v>
      </c>
      <c r="D1044" s="75">
        <v>5000</v>
      </c>
      <c r="E1044" s="75">
        <v>0</v>
      </c>
      <c r="F1044" s="75">
        <v>109811.26</v>
      </c>
      <c r="G1044" s="75"/>
      <c r="H1044" s="71" t="s">
        <v>2550</v>
      </c>
      <c r="J1044" t="s">
        <v>756</v>
      </c>
    </row>
    <row r="1045" spans="1:10" x14ac:dyDescent="0.3">
      <c r="A1045" s="70">
        <v>45657</v>
      </c>
      <c r="B1045" t="s">
        <v>2173</v>
      </c>
      <c r="C1045" s="71" t="s">
        <v>2174</v>
      </c>
      <c r="D1045" s="75">
        <v>200</v>
      </c>
      <c r="E1045" s="75">
        <v>0</v>
      </c>
      <c r="F1045" s="75">
        <v>109611.26</v>
      </c>
      <c r="G1045" s="75"/>
      <c r="H1045" s="71" t="s">
        <v>511</v>
      </c>
      <c r="J1045" t="s">
        <v>756</v>
      </c>
    </row>
    <row r="1046" spans="1:10" x14ac:dyDescent="0.3">
      <c r="A1046" s="70">
        <v>45657</v>
      </c>
      <c r="B1046" t="s">
        <v>2175</v>
      </c>
      <c r="C1046" s="71"/>
      <c r="D1046" s="75">
        <v>0</v>
      </c>
      <c r="E1046" s="75">
        <v>431</v>
      </c>
      <c r="F1046" s="75">
        <v>110042.26</v>
      </c>
      <c r="G1046" s="75"/>
      <c r="H1046" s="71" t="s">
        <v>227</v>
      </c>
      <c r="J1046" t="s">
        <v>756</v>
      </c>
    </row>
    <row r="1047" spans="1:10" x14ac:dyDescent="0.3">
      <c r="A1047" s="70">
        <v>45658</v>
      </c>
      <c r="B1047" t="s">
        <v>807</v>
      </c>
      <c r="C1047" s="71" t="s">
        <v>252</v>
      </c>
      <c r="D1047" s="75">
        <v>0</v>
      </c>
      <c r="E1047" s="75">
        <v>129</v>
      </c>
      <c r="F1047" s="75">
        <v>17229.03</v>
      </c>
      <c r="G1047" s="75"/>
      <c r="H1047" s="71" t="s">
        <v>227</v>
      </c>
      <c r="J1047" s="76" t="s">
        <v>755</v>
      </c>
    </row>
    <row r="1048" spans="1:10" x14ac:dyDescent="0.3">
      <c r="A1048" s="70">
        <v>45658</v>
      </c>
      <c r="B1048" t="s">
        <v>30</v>
      </c>
      <c r="C1048" s="71" t="s">
        <v>1202</v>
      </c>
      <c r="D1048" s="75">
        <v>101.56</v>
      </c>
      <c r="E1048" s="75">
        <v>0</v>
      </c>
      <c r="F1048" s="75">
        <v>6630.38</v>
      </c>
      <c r="G1048" s="75"/>
      <c r="H1048" s="71" t="s">
        <v>217</v>
      </c>
      <c r="J1048" t="s">
        <v>752</v>
      </c>
    </row>
    <row r="1049" spans="1:10" x14ac:dyDescent="0.3">
      <c r="A1049" s="70">
        <v>45658</v>
      </c>
      <c r="B1049" t="s">
        <v>2176</v>
      </c>
      <c r="C1049" s="71" t="s">
        <v>2177</v>
      </c>
      <c r="D1049" s="75">
        <v>120</v>
      </c>
      <c r="E1049" s="75">
        <v>0</v>
      </c>
      <c r="F1049" s="75">
        <v>109922.26</v>
      </c>
      <c r="G1049" s="75"/>
      <c r="H1049" s="71" t="s">
        <v>511</v>
      </c>
      <c r="J1049" t="s">
        <v>756</v>
      </c>
    </row>
    <row r="1050" spans="1:10" x14ac:dyDescent="0.3">
      <c r="A1050" s="70">
        <v>45658</v>
      </c>
      <c r="B1050" t="s">
        <v>2178</v>
      </c>
      <c r="C1050" s="71" t="s">
        <v>2179</v>
      </c>
      <c r="D1050" s="75">
        <v>1005</v>
      </c>
      <c r="E1050" s="75">
        <v>0</v>
      </c>
      <c r="F1050" s="75">
        <v>108917.26</v>
      </c>
      <c r="G1050" s="75"/>
      <c r="H1050" s="71" t="s">
        <v>511</v>
      </c>
      <c r="J1050" t="s">
        <v>756</v>
      </c>
    </row>
    <row r="1051" spans="1:10" x14ac:dyDescent="0.3">
      <c r="A1051" s="70">
        <v>45658</v>
      </c>
      <c r="B1051" t="s">
        <v>2180</v>
      </c>
      <c r="C1051" s="71" t="s">
        <v>2181</v>
      </c>
      <c r="D1051" s="75">
        <v>1200</v>
      </c>
      <c r="E1051" s="75">
        <v>0</v>
      </c>
      <c r="F1051" s="75">
        <v>107717.26</v>
      </c>
      <c r="G1051" s="75"/>
      <c r="H1051" s="71" t="s">
        <v>511</v>
      </c>
      <c r="J1051" t="s">
        <v>756</v>
      </c>
    </row>
    <row r="1052" spans="1:10" x14ac:dyDescent="0.3">
      <c r="A1052" s="70">
        <v>45658</v>
      </c>
      <c r="B1052" t="s">
        <v>2182</v>
      </c>
      <c r="C1052" s="71" t="s">
        <v>2183</v>
      </c>
      <c r="D1052" s="75">
        <v>3000</v>
      </c>
      <c r="E1052" s="75">
        <v>0</v>
      </c>
      <c r="F1052" s="75">
        <v>104717.26</v>
      </c>
      <c r="G1052" s="75"/>
      <c r="H1052" s="71" t="s">
        <v>2550</v>
      </c>
      <c r="J1052" t="s">
        <v>756</v>
      </c>
    </row>
    <row r="1053" spans="1:10" x14ac:dyDescent="0.3">
      <c r="A1053" s="70">
        <v>45658</v>
      </c>
      <c r="B1053" t="s">
        <v>2184</v>
      </c>
      <c r="C1053" s="71" t="s">
        <v>2185</v>
      </c>
      <c r="D1053" s="75">
        <v>37000</v>
      </c>
      <c r="E1053" s="75">
        <v>0</v>
      </c>
      <c r="F1053" s="75">
        <v>67717.259999999995</v>
      </c>
      <c r="G1053" s="75"/>
      <c r="H1053" s="71" t="s">
        <v>2550</v>
      </c>
      <c r="J1053" t="s">
        <v>756</v>
      </c>
    </row>
    <row r="1054" spans="1:10" x14ac:dyDescent="0.3">
      <c r="A1054" s="70">
        <v>45658</v>
      </c>
      <c r="B1054" t="s">
        <v>2186</v>
      </c>
      <c r="C1054" s="71" t="s">
        <v>2187</v>
      </c>
      <c r="D1054" s="75">
        <v>80</v>
      </c>
      <c r="E1054" s="75">
        <v>0</v>
      </c>
      <c r="F1054" s="75">
        <v>67637.259999999995</v>
      </c>
      <c r="G1054" s="75"/>
      <c r="H1054" s="71" t="s">
        <v>511</v>
      </c>
      <c r="J1054" t="s">
        <v>756</v>
      </c>
    </row>
    <row r="1055" spans="1:10" x14ac:dyDescent="0.3">
      <c r="A1055" s="70">
        <v>45658</v>
      </c>
      <c r="B1055" t="s">
        <v>2188</v>
      </c>
      <c r="C1055" s="71" t="s">
        <v>2189</v>
      </c>
      <c r="D1055" s="75">
        <v>140</v>
      </c>
      <c r="E1055" s="75">
        <v>0</v>
      </c>
      <c r="F1055" s="75">
        <v>67497.259999999995</v>
      </c>
      <c r="G1055" s="75"/>
      <c r="H1055" s="71" t="s">
        <v>511</v>
      </c>
      <c r="J1055" t="s">
        <v>756</v>
      </c>
    </row>
    <row r="1056" spans="1:10" x14ac:dyDescent="0.3">
      <c r="A1056" s="70">
        <v>45658</v>
      </c>
      <c r="B1056" t="s">
        <v>2569</v>
      </c>
      <c r="C1056" s="71"/>
      <c r="D1056" s="75">
        <v>0</v>
      </c>
      <c r="E1056" s="75">
        <v>1</v>
      </c>
      <c r="F1056" s="75">
        <v>234</v>
      </c>
      <c r="G1056" s="75"/>
      <c r="H1056" s="71" t="s">
        <v>227</v>
      </c>
      <c r="J1056" t="s">
        <v>2573</v>
      </c>
    </row>
    <row r="1057" spans="1:10" x14ac:dyDescent="0.3">
      <c r="A1057" s="70">
        <v>45659</v>
      </c>
      <c r="B1057" t="s">
        <v>1203</v>
      </c>
      <c r="C1057" s="71" t="s">
        <v>1204</v>
      </c>
      <c r="D1057" s="75">
        <v>0</v>
      </c>
      <c r="E1057" s="75">
        <v>19857.53</v>
      </c>
      <c r="F1057" s="75">
        <v>26487.91</v>
      </c>
      <c r="G1057" s="75"/>
      <c r="H1057" s="71" t="s">
        <v>2523</v>
      </c>
      <c r="J1057" t="s">
        <v>752</v>
      </c>
    </row>
    <row r="1058" spans="1:10" x14ac:dyDescent="0.3">
      <c r="A1058" s="70">
        <v>45659</v>
      </c>
      <c r="B1058" t="s">
        <v>1205</v>
      </c>
      <c r="C1058" s="71" t="s">
        <v>1206</v>
      </c>
      <c r="D1058" s="75">
        <v>0</v>
      </c>
      <c r="E1058" s="75">
        <v>100000</v>
      </c>
      <c r="F1058" s="75">
        <v>126487.91</v>
      </c>
      <c r="G1058" s="75"/>
      <c r="H1058" s="71" t="s">
        <v>2520</v>
      </c>
      <c r="J1058" t="s">
        <v>752</v>
      </c>
    </row>
    <row r="1059" spans="1:10" x14ac:dyDescent="0.3">
      <c r="A1059" s="70">
        <v>45659</v>
      </c>
      <c r="B1059" t="s">
        <v>30</v>
      </c>
      <c r="C1059" s="71" t="s">
        <v>1207</v>
      </c>
      <c r="D1059" s="75">
        <v>101.56</v>
      </c>
      <c r="E1059" s="75">
        <v>0</v>
      </c>
      <c r="F1059" s="75">
        <v>126386.35</v>
      </c>
      <c r="G1059" s="75"/>
      <c r="H1059" s="71" t="s">
        <v>217</v>
      </c>
      <c r="J1059" t="s">
        <v>752</v>
      </c>
    </row>
    <row r="1060" spans="1:10" x14ac:dyDescent="0.3">
      <c r="A1060" s="70">
        <v>45659</v>
      </c>
      <c r="B1060" t="s">
        <v>30</v>
      </c>
      <c r="C1060" s="71" t="s">
        <v>1208</v>
      </c>
      <c r="D1060" s="75">
        <v>32529.78</v>
      </c>
      <c r="E1060" s="75">
        <v>0</v>
      </c>
      <c r="F1060" s="75">
        <v>93856.57</v>
      </c>
      <c r="G1060" s="75"/>
      <c r="H1060" s="71" t="s">
        <v>217</v>
      </c>
      <c r="J1060" t="s">
        <v>752</v>
      </c>
    </row>
    <row r="1061" spans="1:10" x14ac:dyDescent="0.3">
      <c r="A1061" s="70">
        <v>45659</v>
      </c>
      <c r="B1061" t="s">
        <v>30</v>
      </c>
      <c r="C1061" s="71" t="s">
        <v>1209</v>
      </c>
      <c r="D1061" s="75">
        <v>5548.07</v>
      </c>
      <c r="E1061" s="75">
        <v>0</v>
      </c>
      <c r="F1061" s="75">
        <v>88308.5</v>
      </c>
      <c r="G1061" s="75"/>
      <c r="H1061" s="71" t="s">
        <v>217</v>
      </c>
      <c r="J1061" t="s">
        <v>752</v>
      </c>
    </row>
    <row r="1062" spans="1:10" x14ac:dyDescent="0.3">
      <c r="A1062" s="70">
        <v>45659</v>
      </c>
      <c r="B1062" t="s">
        <v>2190</v>
      </c>
      <c r="C1062" s="71" t="s">
        <v>2191</v>
      </c>
      <c r="D1062" s="75">
        <v>50</v>
      </c>
      <c r="E1062" s="75">
        <v>0</v>
      </c>
      <c r="F1062" s="75">
        <v>67447.259999999995</v>
      </c>
      <c r="G1062" s="75"/>
      <c r="H1062" s="71" t="s">
        <v>511</v>
      </c>
      <c r="J1062" t="s">
        <v>756</v>
      </c>
    </row>
    <row r="1063" spans="1:10" x14ac:dyDescent="0.3">
      <c r="A1063" s="70">
        <v>45659</v>
      </c>
      <c r="B1063" t="s">
        <v>2192</v>
      </c>
      <c r="C1063" s="71" t="s">
        <v>2193</v>
      </c>
      <c r="D1063" s="75">
        <v>3500</v>
      </c>
      <c r="E1063" s="75">
        <v>0</v>
      </c>
      <c r="F1063" s="75">
        <v>63947.26</v>
      </c>
      <c r="G1063" s="75"/>
      <c r="H1063" s="71" t="s">
        <v>511</v>
      </c>
      <c r="J1063" t="s">
        <v>756</v>
      </c>
    </row>
    <row r="1064" spans="1:10" x14ac:dyDescent="0.3">
      <c r="A1064" s="70">
        <v>45659</v>
      </c>
      <c r="B1064" t="s">
        <v>2194</v>
      </c>
      <c r="C1064" s="71" t="s">
        <v>2195</v>
      </c>
      <c r="D1064" s="75">
        <v>114</v>
      </c>
      <c r="E1064" s="75">
        <v>0</v>
      </c>
      <c r="F1064" s="75">
        <v>63833.26</v>
      </c>
      <c r="G1064" s="75"/>
      <c r="H1064" s="71" t="s">
        <v>511</v>
      </c>
      <c r="J1064" t="s">
        <v>756</v>
      </c>
    </row>
    <row r="1065" spans="1:10" x14ac:dyDescent="0.3">
      <c r="A1065" s="70">
        <v>45660</v>
      </c>
      <c r="B1065" t="s">
        <v>30</v>
      </c>
      <c r="C1065" s="71" t="s">
        <v>1210</v>
      </c>
      <c r="D1065" s="75">
        <v>90.12</v>
      </c>
      <c r="E1065" s="75">
        <v>0</v>
      </c>
      <c r="F1065" s="75">
        <v>88218.38</v>
      </c>
      <c r="G1065" s="75"/>
      <c r="H1065" s="71" t="s">
        <v>217</v>
      </c>
      <c r="J1065" t="s">
        <v>752</v>
      </c>
    </row>
    <row r="1066" spans="1:10" x14ac:dyDescent="0.3">
      <c r="A1066" s="70">
        <v>45660</v>
      </c>
      <c r="B1066" t="s">
        <v>30</v>
      </c>
      <c r="C1066" s="71" t="s">
        <v>1211</v>
      </c>
      <c r="D1066" s="75">
        <v>24679.84</v>
      </c>
      <c r="E1066" s="75">
        <v>0</v>
      </c>
      <c r="F1066" s="75">
        <v>63538.54</v>
      </c>
      <c r="G1066" s="75"/>
      <c r="H1066" s="71" t="s">
        <v>217</v>
      </c>
      <c r="J1066" t="s">
        <v>752</v>
      </c>
    </row>
    <row r="1067" spans="1:10" x14ac:dyDescent="0.3">
      <c r="A1067" s="70">
        <v>45660</v>
      </c>
      <c r="B1067" t="s">
        <v>2196</v>
      </c>
      <c r="C1067" s="71" t="s">
        <v>2197</v>
      </c>
      <c r="D1067" s="75">
        <v>1100</v>
      </c>
      <c r="E1067" s="75">
        <v>0</v>
      </c>
      <c r="F1067" s="75">
        <v>62733.26</v>
      </c>
      <c r="G1067" s="75"/>
      <c r="H1067" s="71" t="s">
        <v>511</v>
      </c>
      <c r="J1067" t="s">
        <v>756</v>
      </c>
    </row>
    <row r="1068" spans="1:10" x14ac:dyDescent="0.3">
      <c r="A1068" s="70">
        <v>45660</v>
      </c>
      <c r="B1068" t="s">
        <v>2198</v>
      </c>
      <c r="C1068" s="71" t="s">
        <v>2199</v>
      </c>
      <c r="D1068" s="75">
        <v>10000</v>
      </c>
      <c r="E1068" s="75">
        <v>0</v>
      </c>
      <c r="F1068" s="75">
        <v>52733.26</v>
      </c>
      <c r="G1068" s="75"/>
      <c r="H1068" s="71" t="s">
        <v>2550</v>
      </c>
      <c r="J1068" t="s">
        <v>756</v>
      </c>
    </row>
    <row r="1069" spans="1:10" x14ac:dyDescent="0.3">
      <c r="A1069" s="70">
        <v>45660</v>
      </c>
      <c r="B1069" t="s">
        <v>2200</v>
      </c>
      <c r="C1069" s="71" t="s">
        <v>2201</v>
      </c>
      <c r="D1069" s="75">
        <v>0</v>
      </c>
      <c r="E1069" s="75">
        <v>3614.03</v>
      </c>
      <c r="F1069" s="75">
        <v>56347.29</v>
      </c>
      <c r="G1069" s="75"/>
      <c r="H1069" s="71" t="s">
        <v>2539</v>
      </c>
      <c r="J1069" t="s">
        <v>756</v>
      </c>
    </row>
    <row r="1070" spans="1:10" x14ac:dyDescent="0.3">
      <c r="A1070" s="70">
        <v>45660</v>
      </c>
      <c r="B1070" t="s">
        <v>2202</v>
      </c>
      <c r="C1070" s="71" t="s">
        <v>2203</v>
      </c>
      <c r="D1070" s="75">
        <v>50</v>
      </c>
      <c r="E1070" s="75">
        <v>0</v>
      </c>
      <c r="F1070" s="75">
        <v>56297.29</v>
      </c>
      <c r="G1070" s="75"/>
      <c r="H1070" s="71" t="s">
        <v>511</v>
      </c>
      <c r="J1070" t="s">
        <v>756</v>
      </c>
    </row>
    <row r="1071" spans="1:10" x14ac:dyDescent="0.3">
      <c r="A1071" s="70">
        <v>45660</v>
      </c>
      <c r="B1071" t="s">
        <v>2204</v>
      </c>
      <c r="C1071" s="71" t="s">
        <v>2205</v>
      </c>
      <c r="D1071" s="75">
        <v>19000</v>
      </c>
      <c r="E1071" s="75">
        <v>0</v>
      </c>
      <c r="F1071" s="75">
        <v>37297.29</v>
      </c>
      <c r="G1071" s="75"/>
      <c r="H1071" s="71" t="s">
        <v>2549</v>
      </c>
      <c r="J1071" t="s">
        <v>756</v>
      </c>
    </row>
    <row r="1072" spans="1:10" x14ac:dyDescent="0.3">
      <c r="A1072" s="70">
        <v>45660</v>
      </c>
      <c r="B1072" t="s">
        <v>2206</v>
      </c>
      <c r="C1072" s="71" t="s">
        <v>2207</v>
      </c>
      <c r="D1072" s="75">
        <v>0</v>
      </c>
      <c r="E1072" s="75">
        <v>19000</v>
      </c>
      <c r="F1072" s="75">
        <v>56297.29</v>
      </c>
      <c r="G1072" s="75"/>
      <c r="H1072" s="71" t="s">
        <v>2549</v>
      </c>
      <c r="J1072" t="s">
        <v>756</v>
      </c>
    </row>
    <row r="1073" spans="1:10" x14ac:dyDescent="0.3">
      <c r="A1073" s="70">
        <v>45660</v>
      </c>
      <c r="B1073" t="s">
        <v>2208</v>
      </c>
      <c r="C1073" s="71" t="s">
        <v>2209</v>
      </c>
      <c r="D1073" s="75">
        <v>19000</v>
      </c>
      <c r="E1073" s="75">
        <v>0</v>
      </c>
      <c r="F1073" s="75">
        <v>37297.29</v>
      </c>
      <c r="G1073" s="75"/>
      <c r="H1073" s="71" t="s">
        <v>2549</v>
      </c>
      <c r="J1073" t="s">
        <v>756</v>
      </c>
    </row>
    <row r="1074" spans="1:10" x14ac:dyDescent="0.3">
      <c r="A1074" s="70">
        <v>45660</v>
      </c>
      <c r="B1074" t="s">
        <v>2210</v>
      </c>
      <c r="C1074" s="71" t="s">
        <v>2211</v>
      </c>
      <c r="D1074" s="75">
        <v>0</v>
      </c>
      <c r="E1074" s="75">
        <v>19000</v>
      </c>
      <c r="F1074" s="75">
        <v>56297.29</v>
      </c>
      <c r="G1074" s="75"/>
      <c r="H1074" s="71" t="s">
        <v>2549</v>
      </c>
      <c r="J1074" t="s">
        <v>756</v>
      </c>
    </row>
    <row r="1075" spans="1:10" x14ac:dyDescent="0.3">
      <c r="A1075" s="70">
        <v>45660</v>
      </c>
      <c r="B1075" t="s">
        <v>2212</v>
      </c>
      <c r="C1075" s="71" t="s">
        <v>2213</v>
      </c>
      <c r="D1075" s="75">
        <v>19000</v>
      </c>
      <c r="E1075" s="75">
        <v>0</v>
      </c>
      <c r="F1075" s="75">
        <v>37297.29</v>
      </c>
      <c r="G1075" s="75"/>
      <c r="H1075" s="71" t="s">
        <v>2549</v>
      </c>
      <c r="J1075" t="s">
        <v>756</v>
      </c>
    </row>
    <row r="1076" spans="1:10" x14ac:dyDescent="0.3">
      <c r="A1076" s="70">
        <v>45660</v>
      </c>
      <c r="B1076" t="s">
        <v>2214</v>
      </c>
      <c r="C1076" s="71" t="s">
        <v>2213</v>
      </c>
      <c r="D1076" s="75">
        <v>0</v>
      </c>
      <c r="E1076" s="75">
        <v>19000</v>
      </c>
      <c r="F1076" s="75">
        <v>56297.29</v>
      </c>
      <c r="G1076" s="75"/>
      <c r="H1076" s="71" t="s">
        <v>2549</v>
      </c>
      <c r="J1076" t="s">
        <v>756</v>
      </c>
    </row>
    <row r="1077" spans="1:10" x14ac:dyDescent="0.3">
      <c r="A1077" s="70">
        <v>45660</v>
      </c>
      <c r="B1077" t="s">
        <v>2215</v>
      </c>
      <c r="C1077" s="71" t="s">
        <v>2216</v>
      </c>
      <c r="D1077" s="75">
        <v>19000</v>
      </c>
      <c r="E1077" s="75">
        <v>0</v>
      </c>
      <c r="F1077" s="75">
        <v>37297.29</v>
      </c>
      <c r="G1077" s="75"/>
      <c r="H1077" s="71" t="s">
        <v>2550</v>
      </c>
      <c r="J1077" t="s">
        <v>756</v>
      </c>
    </row>
    <row r="1078" spans="1:10" x14ac:dyDescent="0.3">
      <c r="A1078" s="70">
        <v>45660</v>
      </c>
      <c r="B1078" t="s">
        <v>2217</v>
      </c>
      <c r="C1078" s="71" t="s">
        <v>2218</v>
      </c>
      <c r="D1078" s="75">
        <v>262.7</v>
      </c>
      <c r="E1078" s="75">
        <v>0</v>
      </c>
      <c r="F1078" s="75">
        <v>37034.589999999997</v>
      </c>
      <c r="G1078" s="75"/>
      <c r="H1078" s="71" t="s">
        <v>511</v>
      </c>
      <c r="J1078" t="s">
        <v>756</v>
      </c>
    </row>
    <row r="1079" spans="1:10" x14ac:dyDescent="0.3">
      <c r="A1079" s="70">
        <v>45661</v>
      </c>
      <c r="B1079" t="s">
        <v>2219</v>
      </c>
      <c r="C1079" s="71" t="s">
        <v>2220</v>
      </c>
      <c r="D1079" s="75">
        <v>0</v>
      </c>
      <c r="E1079" s="75">
        <v>1283.68</v>
      </c>
      <c r="F1079" s="75">
        <v>38318.269999999997</v>
      </c>
      <c r="G1079" s="75"/>
      <c r="H1079" s="71" t="s">
        <v>508</v>
      </c>
      <c r="J1079" t="s">
        <v>756</v>
      </c>
    </row>
    <row r="1080" spans="1:10" x14ac:dyDescent="0.3">
      <c r="A1080" s="70">
        <v>45661</v>
      </c>
      <c r="B1080" t="s">
        <v>2221</v>
      </c>
      <c r="C1080" s="71" t="s">
        <v>2222</v>
      </c>
      <c r="D1080" s="75">
        <v>180</v>
      </c>
      <c r="E1080" s="75">
        <v>0</v>
      </c>
      <c r="F1080" s="75">
        <v>38138.269999999997</v>
      </c>
      <c r="G1080" s="75"/>
      <c r="H1080" s="71" t="s">
        <v>511</v>
      </c>
      <c r="J1080" t="s">
        <v>756</v>
      </c>
    </row>
    <row r="1081" spans="1:10" x14ac:dyDescent="0.3">
      <c r="A1081" s="70">
        <v>45661</v>
      </c>
      <c r="B1081" t="s">
        <v>2223</v>
      </c>
      <c r="C1081" s="71" t="s">
        <v>2224</v>
      </c>
      <c r="D1081" s="75">
        <v>60</v>
      </c>
      <c r="E1081" s="75">
        <v>0</v>
      </c>
      <c r="F1081" s="75">
        <v>38078.269999999997</v>
      </c>
      <c r="G1081" s="75"/>
      <c r="H1081" s="71" t="s">
        <v>511</v>
      </c>
      <c r="J1081" t="s">
        <v>756</v>
      </c>
    </row>
    <row r="1082" spans="1:10" x14ac:dyDescent="0.3">
      <c r="A1082" s="70">
        <v>45661</v>
      </c>
      <c r="B1082" t="s">
        <v>2225</v>
      </c>
      <c r="C1082" s="71" t="s">
        <v>2226</v>
      </c>
      <c r="D1082" s="75">
        <v>70</v>
      </c>
      <c r="E1082" s="75">
        <v>0</v>
      </c>
      <c r="F1082" s="75">
        <v>38008.269999999997</v>
      </c>
      <c r="G1082" s="75"/>
      <c r="H1082" s="71" t="s">
        <v>511</v>
      </c>
      <c r="J1082" t="s">
        <v>756</v>
      </c>
    </row>
    <row r="1083" spans="1:10" x14ac:dyDescent="0.3">
      <c r="A1083" s="70">
        <v>45661</v>
      </c>
      <c r="B1083" t="s">
        <v>2227</v>
      </c>
      <c r="C1083" s="71" t="s">
        <v>2228</v>
      </c>
      <c r="D1083" s="75">
        <v>400</v>
      </c>
      <c r="E1083" s="75">
        <v>0</v>
      </c>
      <c r="F1083" s="75">
        <v>37608.269999999997</v>
      </c>
      <c r="G1083" s="75"/>
      <c r="H1083" s="71" t="s">
        <v>511</v>
      </c>
      <c r="J1083" t="s">
        <v>756</v>
      </c>
    </row>
    <row r="1084" spans="1:10" x14ac:dyDescent="0.3">
      <c r="A1084" s="70">
        <v>45661</v>
      </c>
      <c r="B1084" t="s">
        <v>2229</v>
      </c>
      <c r="C1084" s="71" t="s">
        <v>2230</v>
      </c>
      <c r="D1084" s="75">
        <v>210</v>
      </c>
      <c r="E1084" s="75">
        <v>0</v>
      </c>
      <c r="F1084" s="75">
        <v>37398.269999999997</v>
      </c>
      <c r="G1084" s="75"/>
      <c r="H1084" s="71" t="s">
        <v>511</v>
      </c>
      <c r="J1084" t="s">
        <v>756</v>
      </c>
    </row>
    <row r="1085" spans="1:10" x14ac:dyDescent="0.3">
      <c r="A1085" s="70">
        <v>45661</v>
      </c>
      <c r="B1085" t="s">
        <v>2231</v>
      </c>
      <c r="C1085" s="71" t="s">
        <v>2232</v>
      </c>
      <c r="D1085" s="75">
        <v>20</v>
      </c>
      <c r="E1085" s="75">
        <v>0</v>
      </c>
      <c r="F1085" s="75">
        <v>37378.269999999997</v>
      </c>
      <c r="G1085" s="75"/>
      <c r="H1085" s="71" t="s">
        <v>511</v>
      </c>
      <c r="J1085" t="s">
        <v>756</v>
      </c>
    </row>
    <row r="1086" spans="1:10" x14ac:dyDescent="0.3">
      <c r="A1086" s="70">
        <v>45661</v>
      </c>
      <c r="B1086" t="s">
        <v>2233</v>
      </c>
      <c r="C1086" s="71" t="s">
        <v>2234</v>
      </c>
      <c r="D1086" s="75">
        <v>12</v>
      </c>
      <c r="E1086" s="75">
        <v>0</v>
      </c>
      <c r="F1086" s="75">
        <v>37366.269999999997</v>
      </c>
      <c r="G1086" s="75"/>
      <c r="H1086" s="71" t="s">
        <v>511</v>
      </c>
      <c r="J1086" t="s">
        <v>756</v>
      </c>
    </row>
    <row r="1087" spans="1:10" x14ac:dyDescent="0.3">
      <c r="A1087" s="70">
        <v>45662</v>
      </c>
      <c r="B1087" t="s">
        <v>2235</v>
      </c>
      <c r="C1087" s="71" t="s">
        <v>2236</v>
      </c>
      <c r="D1087" s="75">
        <v>75</v>
      </c>
      <c r="E1087" s="75">
        <v>0</v>
      </c>
      <c r="F1087" s="75">
        <v>37291.269999999997</v>
      </c>
      <c r="G1087" s="75"/>
      <c r="H1087" s="71" t="s">
        <v>511</v>
      </c>
      <c r="J1087" t="s">
        <v>756</v>
      </c>
    </row>
    <row r="1088" spans="1:10" x14ac:dyDescent="0.3">
      <c r="A1088" s="70">
        <v>45662</v>
      </c>
      <c r="B1088" t="s">
        <v>2237</v>
      </c>
      <c r="C1088" s="71" t="s">
        <v>2238</v>
      </c>
      <c r="D1088" s="75">
        <v>0</v>
      </c>
      <c r="E1088" s="75">
        <v>7000</v>
      </c>
      <c r="F1088" s="75">
        <v>44291.27</v>
      </c>
      <c r="G1088" s="75"/>
      <c r="H1088" s="71" t="s">
        <v>511</v>
      </c>
      <c r="J1088" t="s">
        <v>756</v>
      </c>
    </row>
    <row r="1089" spans="1:10" x14ac:dyDescent="0.3">
      <c r="A1089" s="70">
        <v>45662</v>
      </c>
      <c r="B1089" t="s">
        <v>2239</v>
      </c>
      <c r="C1089" s="71" t="s">
        <v>2240</v>
      </c>
      <c r="D1089" s="75">
        <v>1900</v>
      </c>
      <c r="E1089" s="75">
        <v>0</v>
      </c>
      <c r="F1089" s="75">
        <v>42391.27</v>
      </c>
      <c r="G1089" s="75"/>
      <c r="H1089" s="71" t="s">
        <v>511</v>
      </c>
      <c r="J1089" t="s">
        <v>756</v>
      </c>
    </row>
    <row r="1090" spans="1:10" x14ac:dyDescent="0.3">
      <c r="A1090" s="70">
        <v>45662</v>
      </c>
      <c r="B1090" t="s">
        <v>2241</v>
      </c>
      <c r="C1090" s="71" t="s">
        <v>2242</v>
      </c>
      <c r="D1090" s="75">
        <v>0</v>
      </c>
      <c r="E1090" s="75">
        <v>1900</v>
      </c>
      <c r="F1090" s="75">
        <v>44291.27</v>
      </c>
      <c r="G1090" s="75"/>
      <c r="H1090" s="71" t="s">
        <v>511</v>
      </c>
      <c r="J1090" t="s">
        <v>756</v>
      </c>
    </row>
    <row r="1091" spans="1:10" x14ac:dyDescent="0.3">
      <c r="A1091" s="70">
        <v>45663</v>
      </c>
      <c r="B1091" t="s">
        <v>30</v>
      </c>
      <c r="C1091" s="71" t="s">
        <v>1212</v>
      </c>
      <c r="D1091" s="75">
        <v>259.89</v>
      </c>
      <c r="E1091" s="75">
        <v>0</v>
      </c>
      <c r="F1091" s="75">
        <v>63278.65</v>
      </c>
      <c r="G1091" s="75"/>
      <c r="H1091" s="71" t="s">
        <v>217</v>
      </c>
      <c r="J1091" t="s">
        <v>752</v>
      </c>
    </row>
    <row r="1092" spans="1:10" x14ac:dyDescent="0.3">
      <c r="A1092" s="70">
        <v>45663</v>
      </c>
      <c r="B1092" t="s">
        <v>30</v>
      </c>
      <c r="C1092" s="71" t="s">
        <v>1213</v>
      </c>
      <c r="D1092" s="75">
        <v>7402.78</v>
      </c>
      <c r="E1092" s="75">
        <v>0</v>
      </c>
      <c r="F1092" s="75">
        <v>55875.87</v>
      </c>
      <c r="G1092" s="75"/>
      <c r="H1092" s="71" t="s">
        <v>217</v>
      </c>
      <c r="J1092" t="s">
        <v>752</v>
      </c>
    </row>
    <row r="1093" spans="1:10" x14ac:dyDescent="0.3">
      <c r="A1093" s="70">
        <v>45663</v>
      </c>
      <c r="B1093" t="s">
        <v>2243</v>
      </c>
      <c r="C1093" s="71" t="s">
        <v>2244</v>
      </c>
      <c r="D1093" s="75">
        <v>50</v>
      </c>
      <c r="E1093" s="75">
        <v>0</v>
      </c>
      <c r="F1093" s="75">
        <v>44241.27</v>
      </c>
      <c r="G1093" s="75"/>
      <c r="H1093" s="71" t="s">
        <v>511</v>
      </c>
      <c r="J1093" t="s">
        <v>756</v>
      </c>
    </row>
    <row r="1094" spans="1:10" x14ac:dyDescent="0.3">
      <c r="A1094" s="70">
        <v>45663</v>
      </c>
      <c r="B1094" t="s">
        <v>2245</v>
      </c>
      <c r="C1094" s="71" t="s">
        <v>2246</v>
      </c>
      <c r="D1094" s="75">
        <v>104</v>
      </c>
      <c r="E1094" s="75">
        <v>0</v>
      </c>
      <c r="F1094" s="75">
        <v>44137.27</v>
      </c>
      <c r="G1094" s="75"/>
      <c r="H1094" s="71" t="s">
        <v>511</v>
      </c>
      <c r="J1094" t="s">
        <v>756</v>
      </c>
    </row>
    <row r="1095" spans="1:10" x14ac:dyDescent="0.3">
      <c r="A1095" s="70">
        <v>45663</v>
      </c>
      <c r="B1095" t="s">
        <v>2247</v>
      </c>
      <c r="C1095" s="71" t="s">
        <v>2248</v>
      </c>
      <c r="D1095" s="75">
        <v>50</v>
      </c>
      <c r="E1095" s="75">
        <v>0</v>
      </c>
      <c r="F1095" s="75">
        <v>44087.27</v>
      </c>
      <c r="G1095" s="75"/>
      <c r="H1095" s="71" t="s">
        <v>511</v>
      </c>
      <c r="J1095" t="s">
        <v>756</v>
      </c>
    </row>
    <row r="1096" spans="1:10" x14ac:dyDescent="0.3">
      <c r="A1096" s="70">
        <v>45663</v>
      </c>
      <c r="B1096" t="s">
        <v>2249</v>
      </c>
      <c r="C1096" s="71" t="s">
        <v>2250</v>
      </c>
      <c r="D1096" s="75">
        <v>80</v>
      </c>
      <c r="E1096" s="75">
        <v>0</v>
      </c>
      <c r="F1096" s="75">
        <v>44007.27</v>
      </c>
      <c r="G1096" s="75"/>
      <c r="H1096" s="71" t="s">
        <v>511</v>
      </c>
      <c r="J1096" t="s">
        <v>756</v>
      </c>
    </row>
    <row r="1097" spans="1:10" x14ac:dyDescent="0.3">
      <c r="A1097" s="70">
        <v>45664</v>
      </c>
      <c r="B1097" t="s">
        <v>30</v>
      </c>
      <c r="C1097" s="71" t="s">
        <v>1214</v>
      </c>
      <c r="D1097" s="75">
        <v>84</v>
      </c>
      <c r="E1097" s="75">
        <v>0</v>
      </c>
      <c r="F1097" s="75">
        <v>55791.87</v>
      </c>
      <c r="G1097" s="75"/>
      <c r="H1097" s="71" t="s">
        <v>217</v>
      </c>
      <c r="J1097" t="s">
        <v>752</v>
      </c>
    </row>
    <row r="1098" spans="1:10" x14ac:dyDescent="0.3">
      <c r="A1098" s="70">
        <v>45664</v>
      </c>
      <c r="B1098" t="s">
        <v>1215</v>
      </c>
      <c r="C1098" s="71" t="s">
        <v>1216</v>
      </c>
      <c r="D1098" s="75">
        <v>0</v>
      </c>
      <c r="E1098" s="75">
        <v>1880</v>
      </c>
      <c r="F1098" s="75">
        <v>57671.87</v>
      </c>
      <c r="G1098" s="75"/>
      <c r="H1098" s="71" t="s">
        <v>222</v>
      </c>
      <c r="J1098" t="s">
        <v>752</v>
      </c>
    </row>
    <row r="1099" spans="1:10" x14ac:dyDescent="0.3">
      <c r="A1099" s="70">
        <v>45664</v>
      </c>
      <c r="B1099" t="s">
        <v>2251</v>
      </c>
      <c r="C1099" s="71" t="s">
        <v>2252</v>
      </c>
      <c r="D1099" s="75">
        <v>50</v>
      </c>
      <c r="E1099" s="75">
        <v>0</v>
      </c>
      <c r="F1099" s="75">
        <v>43957.27</v>
      </c>
      <c r="G1099" s="75"/>
      <c r="H1099" s="71" t="s">
        <v>511</v>
      </c>
      <c r="J1099" t="s">
        <v>756</v>
      </c>
    </row>
    <row r="1100" spans="1:10" x14ac:dyDescent="0.3">
      <c r="A1100" s="70">
        <v>45664</v>
      </c>
      <c r="B1100" t="s">
        <v>2253</v>
      </c>
      <c r="C1100" s="71" t="s">
        <v>2254</v>
      </c>
      <c r="D1100" s="75">
        <v>114</v>
      </c>
      <c r="E1100" s="75">
        <v>0</v>
      </c>
      <c r="F1100" s="75">
        <v>43843.27</v>
      </c>
      <c r="G1100" s="75"/>
      <c r="H1100" s="71" t="s">
        <v>511</v>
      </c>
      <c r="J1100" t="s">
        <v>756</v>
      </c>
    </row>
    <row r="1101" spans="1:10" x14ac:dyDescent="0.3">
      <c r="A1101" s="70">
        <v>45665</v>
      </c>
      <c r="B1101" t="s">
        <v>1217</v>
      </c>
      <c r="C1101" s="71" t="s">
        <v>1218</v>
      </c>
      <c r="D1101" s="75">
        <v>0</v>
      </c>
      <c r="E1101" s="75">
        <v>1633.99</v>
      </c>
      <c r="F1101" s="75">
        <v>59305.86</v>
      </c>
      <c r="G1101" s="75"/>
      <c r="H1101" s="71" t="s">
        <v>2523</v>
      </c>
      <c r="J1101" t="s">
        <v>752</v>
      </c>
    </row>
    <row r="1102" spans="1:10" x14ac:dyDescent="0.3">
      <c r="A1102" s="70">
        <v>45665</v>
      </c>
      <c r="B1102" t="s">
        <v>1219</v>
      </c>
      <c r="C1102" s="71" t="s">
        <v>1220</v>
      </c>
      <c r="D1102" s="75">
        <v>0</v>
      </c>
      <c r="E1102" s="75">
        <v>51991.49</v>
      </c>
      <c r="F1102" s="75">
        <v>111297.35</v>
      </c>
      <c r="G1102" s="75"/>
      <c r="H1102" s="71" t="s">
        <v>2539</v>
      </c>
      <c r="J1102" t="s">
        <v>752</v>
      </c>
    </row>
    <row r="1103" spans="1:10" x14ac:dyDescent="0.3">
      <c r="A1103" s="70">
        <v>45665</v>
      </c>
      <c r="B1103" t="s">
        <v>30</v>
      </c>
      <c r="C1103" s="71" t="s">
        <v>1221</v>
      </c>
      <c r="D1103" s="75">
        <v>84</v>
      </c>
      <c r="E1103" s="75">
        <v>0</v>
      </c>
      <c r="F1103" s="75">
        <v>111213.35</v>
      </c>
      <c r="G1103" s="75"/>
      <c r="H1103" s="71" t="s">
        <v>217</v>
      </c>
      <c r="J1103" t="s">
        <v>752</v>
      </c>
    </row>
    <row r="1104" spans="1:10" x14ac:dyDescent="0.3">
      <c r="A1104" s="70">
        <v>45665</v>
      </c>
      <c r="B1104" t="s">
        <v>30</v>
      </c>
      <c r="C1104" s="71" t="s">
        <v>1222</v>
      </c>
      <c r="D1104" s="75">
        <v>160.37</v>
      </c>
      <c r="E1104" s="75">
        <v>0</v>
      </c>
      <c r="F1104" s="75">
        <v>111052.98</v>
      </c>
      <c r="G1104" s="75"/>
      <c r="H1104" s="71" t="s">
        <v>217</v>
      </c>
      <c r="J1104" t="s">
        <v>752</v>
      </c>
    </row>
    <row r="1105" spans="1:10" x14ac:dyDescent="0.3">
      <c r="A1105" s="70">
        <v>45665</v>
      </c>
      <c r="B1105" t="s">
        <v>2255</v>
      </c>
      <c r="C1105" s="71" t="s">
        <v>2256</v>
      </c>
      <c r="D1105" s="75">
        <v>50</v>
      </c>
      <c r="E1105" s="75">
        <v>0</v>
      </c>
      <c r="F1105" s="75">
        <v>43793.27</v>
      </c>
      <c r="G1105" s="75"/>
      <c r="H1105" s="71" t="s">
        <v>511</v>
      </c>
      <c r="J1105" t="s">
        <v>756</v>
      </c>
    </row>
    <row r="1106" spans="1:10" x14ac:dyDescent="0.3">
      <c r="A1106" s="70">
        <v>45665</v>
      </c>
      <c r="B1106" t="s">
        <v>2257</v>
      </c>
      <c r="C1106" s="71" t="s">
        <v>2258</v>
      </c>
      <c r="D1106" s="75">
        <v>0</v>
      </c>
      <c r="E1106" s="75">
        <v>30309.34</v>
      </c>
      <c r="F1106" s="75">
        <v>74102.61</v>
      </c>
      <c r="G1106" s="75"/>
      <c r="H1106" s="71" t="s">
        <v>2539</v>
      </c>
      <c r="J1106" t="s">
        <v>756</v>
      </c>
    </row>
    <row r="1107" spans="1:10" x14ac:dyDescent="0.3">
      <c r="A1107" s="70">
        <v>45665</v>
      </c>
      <c r="B1107" t="s">
        <v>2259</v>
      </c>
      <c r="C1107" s="71" t="s">
        <v>2260</v>
      </c>
      <c r="D1107" s="75">
        <v>50</v>
      </c>
      <c r="E1107" s="75">
        <v>0</v>
      </c>
      <c r="F1107" s="75">
        <v>74052.61</v>
      </c>
      <c r="G1107" s="75"/>
      <c r="H1107" s="71" t="s">
        <v>511</v>
      </c>
      <c r="J1107" t="s">
        <v>756</v>
      </c>
    </row>
    <row r="1108" spans="1:10" x14ac:dyDescent="0.3">
      <c r="A1108" s="70">
        <v>45665</v>
      </c>
      <c r="B1108" t="s">
        <v>2261</v>
      </c>
      <c r="C1108" s="71" t="s">
        <v>2262</v>
      </c>
      <c r="D1108" s="75">
        <v>100</v>
      </c>
      <c r="E1108" s="75">
        <v>0</v>
      </c>
      <c r="F1108" s="75">
        <v>73952.61</v>
      </c>
      <c r="G1108" s="75"/>
      <c r="H1108" s="71" t="s">
        <v>511</v>
      </c>
      <c r="J1108" t="s">
        <v>756</v>
      </c>
    </row>
    <row r="1109" spans="1:10" x14ac:dyDescent="0.3">
      <c r="A1109" s="70">
        <v>45665</v>
      </c>
      <c r="B1109" t="s">
        <v>2263</v>
      </c>
      <c r="C1109" s="71" t="s">
        <v>2264</v>
      </c>
      <c r="D1109" s="75">
        <v>126</v>
      </c>
      <c r="E1109" s="75">
        <v>0</v>
      </c>
      <c r="F1109" s="75">
        <v>73826.61</v>
      </c>
      <c r="G1109" s="75"/>
      <c r="H1109" s="71" t="s">
        <v>511</v>
      </c>
      <c r="J1109" t="s">
        <v>756</v>
      </c>
    </row>
    <row r="1110" spans="1:10" x14ac:dyDescent="0.3">
      <c r="A1110" s="70">
        <v>45666</v>
      </c>
      <c r="B1110" t="s">
        <v>30</v>
      </c>
      <c r="C1110" s="71" t="s">
        <v>1223</v>
      </c>
      <c r="D1110" s="75">
        <v>84.52</v>
      </c>
      <c r="E1110" s="75">
        <v>0</v>
      </c>
      <c r="F1110" s="75">
        <v>110968.46</v>
      </c>
      <c r="G1110" s="75"/>
      <c r="H1110" s="71" t="s">
        <v>217</v>
      </c>
      <c r="J1110" t="s">
        <v>752</v>
      </c>
    </row>
    <row r="1111" spans="1:10" x14ac:dyDescent="0.3">
      <c r="A1111" s="70">
        <v>45666</v>
      </c>
      <c r="B1111" t="s">
        <v>30</v>
      </c>
      <c r="C1111" s="71" t="s">
        <v>1224</v>
      </c>
      <c r="D1111" s="75">
        <v>1427.42</v>
      </c>
      <c r="E1111" s="75">
        <v>0</v>
      </c>
      <c r="F1111" s="75">
        <v>109541.04</v>
      </c>
      <c r="G1111" s="75"/>
      <c r="H1111" s="71" t="s">
        <v>217</v>
      </c>
      <c r="J1111" t="s">
        <v>752</v>
      </c>
    </row>
    <row r="1112" spans="1:10" x14ac:dyDescent="0.3">
      <c r="A1112" s="70">
        <v>45666</v>
      </c>
      <c r="B1112" t="s">
        <v>2265</v>
      </c>
      <c r="C1112" s="71" t="s">
        <v>2266</v>
      </c>
      <c r="D1112" s="75">
        <v>200</v>
      </c>
      <c r="E1112" s="75">
        <v>0</v>
      </c>
      <c r="F1112" s="75">
        <v>73626.61</v>
      </c>
      <c r="G1112" s="75"/>
      <c r="H1112" s="71" t="s">
        <v>511</v>
      </c>
      <c r="J1112" t="s">
        <v>756</v>
      </c>
    </row>
    <row r="1113" spans="1:10" x14ac:dyDescent="0.3">
      <c r="A1113" s="70">
        <v>45666</v>
      </c>
      <c r="B1113" t="s">
        <v>2267</v>
      </c>
      <c r="C1113" s="71" t="s">
        <v>2268</v>
      </c>
      <c r="D1113" s="75">
        <v>104</v>
      </c>
      <c r="E1113" s="75">
        <v>0</v>
      </c>
      <c r="F1113" s="75">
        <v>73522.61</v>
      </c>
      <c r="G1113" s="75"/>
      <c r="H1113" s="71" t="s">
        <v>511</v>
      </c>
      <c r="J1113" t="s">
        <v>756</v>
      </c>
    </row>
    <row r="1114" spans="1:10" x14ac:dyDescent="0.3">
      <c r="A1114" s="70">
        <v>45666</v>
      </c>
      <c r="B1114" t="s">
        <v>2269</v>
      </c>
      <c r="C1114" s="71" t="s">
        <v>2270</v>
      </c>
      <c r="D1114" s="75">
        <v>45</v>
      </c>
      <c r="E1114" s="75">
        <v>0</v>
      </c>
      <c r="F1114" s="75">
        <v>73477.61</v>
      </c>
      <c r="G1114" s="75"/>
      <c r="H1114" s="71" t="s">
        <v>511</v>
      </c>
      <c r="J1114" t="s">
        <v>756</v>
      </c>
    </row>
    <row r="1115" spans="1:10" x14ac:dyDescent="0.3">
      <c r="A1115" s="70">
        <v>45666</v>
      </c>
      <c r="B1115" t="s">
        <v>2271</v>
      </c>
      <c r="C1115" s="71">
        <v>500913592233</v>
      </c>
      <c r="D1115" s="75">
        <v>2</v>
      </c>
      <c r="E1115" s="75">
        <v>0</v>
      </c>
      <c r="F1115" s="75">
        <v>73475.61</v>
      </c>
      <c r="G1115" s="75"/>
      <c r="H1115" s="71" t="s">
        <v>589</v>
      </c>
      <c r="J1115" t="s">
        <v>756</v>
      </c>
    </row>
    <row r="1116" spans="1:10" x14ac:dyDescent="0.3">
      <c r="A1116" s="70">
        <v>45666</v>
      </c>
      <c r="B1116" t="s">
        <v>2272</v>
      </c>
      <c r="C1116" s="71" t="s">
        <v>2273</v>
      </c>
      <c r="D1116" s="75">
        <v>393</v>
      </c>
      <c r="E1116" s="75">
        <v>0</v>
      </c>
      <c r="F1116" s="75">
        <v>73082.61</v>
      </c>
      <c r="G1116" s="75"/>
      <c r="H1116" s="71" t="s">
        <v>511</v>
      </c>
      <c r="J1116" t="s">
        <v>756</v>
      </c>
    </row>
    <row r="1117" spans="1:10" x14ac:dyDescent="0.3">
      <c r="A1117" s="70">
        <v>45667</v>
      </c>
      <c r="B1117" t="s">
        <v>30</v>
      </c>
      <c r="C1117" s="71" t="s">
        <v>1225</v>
      </c>
      <c r="D1117" s="75">
        <v>84.01</v>
      </c>
      <c r="E1117" s="75">
        <v>0</v>
      </c>
      <c r="F1117" s="75">
        <v>109457.03</v>
      </c>
      <c r="G1117" s="75"/>
      <c r="H1117" s="71" t="s">
        <v>217</v>
      </c>
      <c r="J1117" t="s">
        <v>752</v>
      </c>
    </row>
    <row r="1118" spans="1:10" x14ac:dyDescent="0.3">
      <c r="A1118" s="70">
        <v>45667</v>
      </c>
      <c r="B1118" t="s">
        <v>30</v>
      </c>
      <c r="C1118" s="71" t="s">
        <v>1226</v>
      </c>
      <c r="D1118" s="75">
        <v>4522.53</v>
      </c>
      <c r="E1118" s="75">
        <v>0</v>
      </c>
      <c r="F1118" s="75">
        <v>104934.5</v>
      </c>
      <c r="G1118" s="75"/>
      <c r="H1118" s="71" t="s">
        <v>217</v>
      </c>
      <c r="J1118" t="s">
        <v>752</v>
      </c>
    </row>
    <row r="1119" spans="1:10" x14ac:dyDescent="0.3">
      <c r="A1119" s="70">
        <v>45667</v>
      </c>
      <c r="B1119" t="s">
        <v>2274</v>
      </c>
      <c r="C1119" s="71" t="s">
        <v>2275</v>
      </c>
      <c r="D1119" s="75">
        <v>1</v>
      </c>
      <c r="E1119" s="75">
        <v>0</v>
      </c>
      <c r="F1119" s="75">
        <v>73081.61</v>
      </c>
      <c r="G1119" s="75"/>
      <c r="H1119" s="71" t="s">
        <v>511</v>
      </c>
      <c r="J1119" t="s">
        <v>756</v>
      </c>
    </row>
    <row r="1120" spans="1:10" x14ac:dyDescent="0.3">
      <c r="A1120" s="70">
        <v>45667</v>
      </c>
      <c r="B1120" t="s">
        <v>2276</v>
      </c>
      <c r="C1120" s="71" t="s">
        <v>2277</v>
      </c>
      <c r="D1120" s="75">
        <v>0</v>
      </c>
      <c r="E1120" s="75">
        <v>501</v>
      </c>
      <c r="F1120" s="75">
        <v>73582.61</v>
      </c>
      <c r="G1120" s="75"/>
      <c r="H1120" s="71" t="s">
        <v>2539</v>
      </c>
      <c r="J1120" t="s">
        <v>756</v>
      </c>
    </row>
    <row r="1121" spans="1:10" x14ac:dyDescent="0.3">
      <c r="A1121" s="70">
        <v>45667</v>
      </c>
      <c r="B1121" t="s">
        <v>2278</v>
      </c>
      <c r="C1121" s="71" t="s">
        <v>2279</v>
      </c>
      <c r="D1121" s="75">
        <v>0</v>
      </c>
      <c r="E1121" s="75">
        <v>1</v>
      </c>
      <c r="F1121" s="75">
        <v>73583.61</v>
      </c>
      <c r="G1121" s="75"/>
      <c r="H1121" s="71" t="s">
        <v>511</v>
      </c>
      <c r="J1121" t="s">
        <v>756</v>
      </c>
    </row>
    <row r="1122" spans="1:10" x14ac:dyDescent="0.3">
      <c r="A1122" s="70">
        <v>45668</v>
      </c>
      <c r="B1122" t="s">
        <v>2280</v>
      </c>
      <c r="C1122" s="71" t="s">
        <v>2281</v>
      </c>
      <c r="D1122" s="75">
        <v>350</v>
      </c>
      <c r="E1122" s="75">
        <v>0</v>
      </c>
      <c r="F1122" s="75">
        <v>73233.61</v>
      </c>
      <c r="G1122" s="75"/>
      <c r="H1122" s="71" t="s">
        <v>511</v>
      </c>
      <c r="J1122" t="s">
        <v>756</v>
      </c>
    </row>
    <row r="1123" spans="1:10" x14ac:dyDescent="0.3">
      <c r="A1123" s="70">
        <v>45668</v>
      </c>
      <c r="B1123" t="s">
        <v>2282</v>
      </c>
      <c r="C1123" s="71" t="s">
        <v>2283</v>
      </c>
      <c r="D1123" s="75">
        <v>50</v>
      </c>
      <c r="E1123" s="75">
        <v>0</v>
      </c>
      <c r="F1123" s="75">
        <v>73183.61</v>
      </c>
      <c r="G1123" s="75"/>
      <c r="H1123" s="71" t="s">
        <v>511</v>
      </c>
      <c r="J1123" t="s">
        <v>756</v>
      </c>
    </row>
    <row r="1124" spans="1:10" x14ac:dyDescent="0.3">
      <c r="A1124" s="70">
        <v>45670</v>
      </c>
      <c r="B1124" t="s">
        <v>30</v>
      </c>
      <c r="C1124" s="71" t="s">
        <v>1227</v>
      </c>
      <c r="D1124" s="75">
        <v>247.2</v>
      </c>
      <c r="E1124" s="75">
        <v>0</v>
      </c>
      <c r="F1124" s="75">
        <v>104687.3</v>
      </c>
      <c r="G1124" s="75"/>
      <c r="H1124" s="71" t="s">
        <v>217</v>
      </c>
      <c r="J1124" t="s">
        <v>752</v>
      </c>
    </row>
    <row r="1125" spans="1:10" x14ac:dyDescent="0.3">
      <c r="A1125" s="70">
        <v>45670</v>
      </c>
      <c r="B1125" t="s">
        <v>1228</v>
      </c>
      <c r="C1125" s="71" t="s">
        <v>46</v>
      </c>
      <c r="D1125" s="75">
        <v>200.6</v>
      </c>
      <c r="E1125" s="75">
        <v>0</v>
      </c>
      <c r="F1125" s="75">
        <v>104486.7</v>
      </c>
      <c r="G1125" s="75"/>
      <c r="H1125" s="71" t="s">
        <v>220</v>
      </c>
      <c r="J1125" t="s">
        <v>752</v>
      </c>
    </row>
    <row r="1126" spans="1:10" x14ac:dyDescent="0.3">
      <c r="A1126" s="70">
        <v>45670</v>
      </c>
      <c r="B1126" t="s">
        <v>30</v>
      </c>
      <c r="C1126" s="71" t="s">
        <v>1229</v>
      </c>
      <c r="D1126" s="75">
        <v>7864.69</v>
      </c>
      <c r="E1126" s="75">
        <v>0</v>
      </c>
      <c r="F1126" s="75">
        <v>96622.01</v>
      </c>
      <c r="G1126" s="75"/>
      <c r="H1126" s="71" t="s">
        <v>217</v>
      </c>
      <c r="J1126" t="s">
        <v>752</v>
      </c>
    </row>
    <row r="1127" spans="1:10" x14ac:dyDescent="0.3">
      <c r="A1127" s="70">
        <v>45670</v>
      </c>
      <c r="B1127" t="s">
        <v>2284</v>
      </c>
      <c r="C1127" s="71" t="s">
        <v>2285</v>
      </c>
      <c r="D1127" s="75">
        <v>0</v>
      </c>
      <c r="E1127" s="75">
        <v>72.77</v>
      </c>
      <c r="F1127" s="75">
        <v>73256.38</v>
      </c>
      <c r="G1127" s="75"/>
      <c r="H1127" s="71" t="s">
        <v>511</v>
      </c>
      <c r="J1127" t="s">
        <v>756</v>
      </c>
    </row>
    <row r="1128" spans="1:10" x14ac:dyDescent="0.3">
      <c r="A1128" s="70">
        <v>45670</v>
      </c>
      <c r="B1128" t="s">
        <v>2286</v>
      </c>
      <c r="C1128" s="71" t="s">
        <v>2287</v>
      </c>
      <c r="D1128" s="75">
        <v>0</v>
      </c>
      <c r="E1128" s="75">
        <v>1100</v>
      </c>
      <c r="F1128" s="75">
        <v>74356.38</v>
      </c>
      <c r="G1128" s="75"/>
      <c r="H1128" s="71" t="s">
        <v>228</v>
      </c>
      <c r="J1128" t="s">
        <v>756</v>
      </c>
    </row>
    <row r="1129" spans="1:10" x14ac:dyDescent="0.3">
      <c r="A1129" s="70">
        <v>45671</v>
      </c>
      <c r="B1129" t="s">
        <v>30</v>
      </c>
      <c r="C1129" s="71" t="s">
        <v>1230</v>
      </c>
      <c r="D1129" s="75">
        <v>79.599999999999994</v>
      </c>
      <c r="E1129" s="75">
        <v>0</v>
      </c>
      <c r="F1129" s="75">
        <v>96542.41</v>
      </c>
      <c r="G1129" s="75"/>
      <c r="H1129" s="71" t="s">
        <v>217</v>
      </c>
      <c r="J1129" t="s">
        <v>752</v>
      </c>
    </row>
    <row r="1130" spans="1:10" x14ac:dyDescent="0.3">
      <c r="A1130" s="70">
        <v>45671</v>
      </c>
      <c r="B1130" t="s">
        <v>2288</v>
      </c>
      <c r="C1130" s="71" t="s">
        <v>2289</v>
      </c>
      <c r="D1130" s="75">
        <v>150</v>
      </c>
      <c r="E1130" s="75">
        <v>0</v>
      </c>
      <c r="F1130" s="75">
        <v>74206.38</v>
      </c>
      <c r="G1130" s="75"/>
      <c r="H1130" s="71" t="s">
        <v>511</v>
      </c>
      <c r="J1130" t="s">
        <v>756</v>
      </c>
    </row>
    <row r="1131" spans="1:10" x14ac:dyDescent="0.3">
      <c r="A1131" s="70">
        <v>45672</v>
      </c>
      <c r="B1131" t="s">
        <v>1231</v>
      </c>
      <c r="C1131" s="71" t="s">
        <v>1232</v>
      </c>
      <c r="D1131" s="75">
        <v>0</v>
      </c>
      <c r="E1131" s="75">
        <v>6345.12</v>
      </c>
      <c r="F1131" s="75">
        <v>102887.53</v>
      </c>
      <c r="G1131" s="75"/>
      <c r="H1131" s="71" t="s">
        <v>2523</v>
      </c>
      <c r="J1131" t="s">
        <v>752</v>
      </c>
    </row>
    <row r="1132" spans="1:10" x14ac:dyDescent="0.3">
      <c r="A1132" s="70">
        <v>45672</v>
      </c>
      <c r="B1132" t="s">
        <v>30</v>
      </c>
      <c r="C1132" s="71" t="s">
        <v>1233</v>
      </c>
      <c r="D1132" s="75">
        <v>79.599999999999994</v>
      </c>
      <c r="E1132" s="75">
        <v>0</v>
      </c>
      <c r="F1132" s="75">
        <v>102807.93</v>
      </c>
      <c r="G1132" s="75"/>
      <c r="H1132" s="71" t="s">
        <v>217</v>
      </c>
      <c r="J1132" t="s">
        <v>752</v>
      </c>
    </row>
    <row r="1133" spans="1:10" x14ac:dyDescent="0.3">
      <c r="A1133" s="70">
        <v>45672</v>
      </c>
      <c r="B1133" t="s">
        <v>30</v>
      </c>
      <c r="C1133" s="71" t="s">
        <v>1234</v>
      </c>
      <c r="D1133" s="75">
        <v>1375.4</v>
      </c>
      <c r="E1133" s="75">
        <v>0</v>
      </c>
      <c r="F1133" s="75">
        <v>101432.53</v>
      </c>
      <c r="G1133" s="75"/>
      <c r="H1133" s="71" t="s">
        <v>217</v>
      </c>
      <c r="J1133" t="s">
        <v>752</v>
      </c>
    </row>
    <row r="1134" spans="1:10" x14ac:dyDescent="0.3">
      <c r="A1134" s="70">
        <v>45673</v>
      </c>
      <c r="B1134" t="s">
        <v>30</v>
      </c>
      <c r="C1134" s="71" t="s">
        <v>1235</v>
      </c>
      <c r="D1134" s="75">
        <v>81.37</v>
      </c>
      <c r="E1134" s="75">
        <v>0</v>
      </c>
      <c r="F1134" s="75">
        <v>101351.16</v>
      </c>
      <c r="G1134" s="75"/>
      <c r="H1134" s="71" t="s">
        <v>217</v>
      </c>
      <c r="J1134" t="s">
        <v>752</v>
      </c>
    </row>
    <row r="1135" spans="1:10" x14ac:dyDescent="0.3">
      <c r="A1135" s="70">
        <v>45673</v>
      </c>
      <c r="B1135" t="s">
        <v>2290</v>
      </c>
      <c r="C1135" s="71" t="s">
        <v>2291</v>
      </c>
      <c r="D1135" s="75">
        <v>2000</v>
      </c>
      <c r="E1135" s="75">
        <v>0</v>
      </c>
      <c r="F1135" s="75">
        <v>72206.38</v>
      </c>
      <c r="G1135" s="75"/>
      <c r="H1135" s="71" t="s">
        <v>511</v>
      </c>
      <c r="J1135" t="s">
        <v>756</v>
      </c>
    </row>
    <row r="1136" spans="1:10" x14ac:dyDescent="0.3">
      <c r="A1136" s="70">
        <v>45674</v>
      </c>
      <c r="B1136" t="s">
        <v>1236</v>
      </c>
      <c r="C1136" s="71" t="s">
        <v>1237</v>
      </c>
      <c r="D1136" s="75">
        <v>0</v>
      </c>
      <c r="E1136" s="75">
        <v>3353.16</v>
      </c>
      <c r="F1136" s="75">
        <v>104704.32000000001</v>
      </c>
      <c r="G1136" s="75"/>
      <c r="H1136" s="71" t="s">
        <v>2523</v>
      </c>
      <c r="J1136" t="s">
        <v>752</v>
      </c>
    </row>
    <row r="1137" spans="1:10" x14ac:dyDescent="0.3">
      <c r="A1137" s="70">
        <v>45674</v>
      </c>
      <c r="B1137" t="s">
        <v>30</v>
      </c>
      <c r="C1137" s="71" t="s">
        <v>1238</v>
      </c>
      <c r="D1137" s="75">
        <v>81.37</v>
      </c>
      <c r="E1137" s="75">
        <v>0</v>
      </c>
      <c r="F1137" s="75">
        <v>104622.95</v>
      </c>
      <c r="G1137" s="75"/>
      <c r="H1137" s="71" t="s">
        <v>217</v>
      </c>
      <c r="J1137" t="s">
        <v>752</v>
      </c>
    </row>
    <row r="1138" spans="1:10" x14ac:dyDescent="0.3">
      <c r="A1138" s="70">
        <v>45674</v>
      </c>
      <c r="B1138" t="s">
        <v>30</v>
      </c>
      <c r="C1138" s="71" t="s">
        <v>1239</v>
      </c>
      <c r="D1138" s="75">
        <v>691.59</v>
      </c>
      <c r="E1138" s="75">
        <v>0</v>
      </c>
      <c r="F1138" s="75">
        <v>103931.36</v>
      </c>
      <c r="G1138" s="75"/>
      <c r="H1138" s="71" t="s">
        <v>217</v>
      </c>
      <c r="J1138" t="s">
        <v>752</v>
      </c>
    </row>
    <row r="1139" spans="1:10" x14ac:dyDescent="0.3">
      <c r="A1139" s="70">
        <v>45675</v>
      </c>
      <c r="B1139" t="s">
        <v>2292</v>
      </c>
      <c r="C1139" s="71" t="s">
        <v>2293</v>
      </c>
      <c r="D1139" s="75">
        <v>894</v>
      </c>
      <c r="E1139" s="75">
        <v>0</v>
      </c>
      <c r="F1139" s="75">
        <v>71312.38</v>
      </c>
      <c r="G1139" s="75"/>
      <c r="H1139" s="71" t="s">
        <v>511</v>
      </c>
      <c r="J1139" t="s">
        <v>756</v>
      </c>
    </row>
    <row r="1140" spans="1:10" x14ac:dyDescent="0.3">
      <c r="A1140" s="70">
        <v>45676</v>
      </c>
      <c r="B1140" t="s">
        <v>2294</v>
      </c>
      <c r="C1140" s="71" t="s">
        <v>2295</v>
      </c>
      <c r="D1140" s="75">
        <v>20000</v>
      </c>
      <c r="E1140" s="75">
        <v>0</v>
      </c>
      <c r="F1140" s="75">
        <v>51312.38</v>
      </c>
      <c r="G1140" s="75"/>
      <c r="H1140" s="71" t="s">
        <v>511</v>
      </c>
      <c r="J1140" t="s">
        <v>756</v>
      </c>
    </row>
    <row r="1141" spans="1:10" x14ac:dyDescent="0.3">
      <c r="A1141" s="70">
        <v>45676</v>
      </c>
      <c r="B1141" t="s">
        <v>2296</v>
      </c>
      <c r="C1141" s="71" t="s">
        <v>2297</v>
      </c>
      <c r="D1141" s="75">
        <v>30000</v>
      </c>
      <c r="E1141" s="75">
        <v>0</v>
      </c>
      <c r="F1141" s="75">
        <v>21312.38</v>
      </c>
      <c r="G1141" s="75"/>
      <c r="H1141" s="71" t="s">
        <v>511</v>
      </c>
      <c r="J1141" t="s">
        <v>756</v>
      </c>
    </row>
    <row r="1142" spans="1:10" x14ac:dyDescent="0.3">
      <c r="A1142" s="70">
        <v>45676</v>
      </c>
      <c r="B1142" t="s">
        <v>2298</v>
      </c>
      <c r="C1142" s="71" t="s">
        <v>2299</v>
      </c>
      <c r="D1142" s="75">
        <v>500</v>
      </c>
      <c r="E1142" s="75">
        <v>0</v>
      </c>
      <c r="F1142" s="75">
        <v>20812.38</v>
      </c>
      <c r="G1142" s="75"/>
      <c r="H1142" s="71" t="s">
        <v>511</v>
      </c>
      <c r="J1142" t="s">
        <v>756</v>
      </c>
    </row>
    <row r="1143" spans="1:10" x14ac:dyDescent="0.3">
      <c r="A1143" s="70">
        <v>45677</v>
      </c>
      <c r="B1143" t="s">
        <v>30</v>
      </c>
      <c r="C1143" s="71" t="s">
        <v>1240</v>
      </c>
      <c r="D1143" s="75">
        <v>246.96</v>
      </c>
      <c r="E1143" s="75">
        <v>0</v>
      </c>
      <c r="F1143" s="75">
        <v>103684.4</v>
      </c>
      <c r="G1143" s="75"/>
      <c r="H1143" s="71" t="s">
        <v>217</v>
      </c>
      <c r="J1143" t="s">
        <v>752</v>
      </c>
    </row>
    <row r="1144" spans="1:10" x14ac:dyDescent="0.3">
      <c r="A1144" s="70">
        <v>45678</v>
      </c>
      <c r="B1144" t="s">
        <v>1241</v>
      </c>
      <c r="C1144" s="71" t="s">
        <v>1242</v>
      </c>
      <c r="D1144" s="75">
        <v>0</v>
      </c>
      <c r="E1144" s="75">
        <v>2129.64</v>
      </c>
      <c r="F1144" s="75">
        <v>105814.04</v>
      </c>
      <c r="G1144" s="75"/>
      <c r="H1144" s="71" t="s">
        <v>2523</v>
      </c>
      <c r="J1144" t="s">
        <v>752</v>
      </c>
    </row>
    <row r="1145" spans="1:10" x14ac:dyDescent="0.3">
      <c r="A1145" s="70">
        <v>45678</v>
      </c>
      <c r="B1145" t="s">
        <v>30</v>
      </c>
      <c r="C1145" s="71" t="s">
        <v>1243</v>
      </c>
      <c r="D1145" s="75">
        <v>82.32</v>
      </c>
      <c r="E1145" s="75">
        <v>0</v>
      </c>
      <c r="F1145" s="75">
        <v>105731.72</v>
      </c>
      <c r="G1145" s="75"/>
      <c r="H1145" s="71" t="s">
        <v>217</v>
      </c>
      <c r="J1145" t="s">
        <v>752</v>
      </c>
    </row>
    <row r="1146" spans="1:10" x14ac:dyDescent="0.3">
      <c r="A1146" s="70">
        <v>45678</v>
      </c>
      <c r="B1146" t="s">
        <v>30</v>
      </c>
      <c r="C1146" s="71" t="s">
        <v>1244</v>
      </c>
      <c r="D1146" s="75">
        <v>2642.04</v>
      </c>
      <c r="E1146" s="75">
        <v>0</v>
      </c>
      <c r="F1146" s="75">
        <v>103089.68</v>
      </c>
      <c r="G1146" s="75"/>
      <c r="H1146" s="71" t="s">
        <v>217</v>
      </c>
      <c r="J1146" t="s">
        <v>752</v>
      </c>
    </row>
    <row r="1147" spans="1:10" x14ac:dyDescent="0.3">
      <c r="A1147" s="70">
        <v>45678</v>
      </c>
      <c r="B1147" t="s">
        <v>2300</v>
      </c>
      <c r="C1147" s="71" t="s">
        <v>2301</v>
      </c>
      <c r="D1147" s="75">
        <v>2000</v>
      </c>
      <c r="E1147" s="75">
        <v>0</v>
      </c>
      <c r="F1147" s="75">
        <v>18812.38</v>
      </c>
      <c r="G1147" s="75"/>
      <c r="H1147" s="71" t="s">
        <v>511</v>
      </c>
      <c r="J1147" t="s">
        <v>756</v>
      </c>
    </row>
    <row r="1148" spans="1:10" x14ac:dyDescent="0.3">
      <c r="A1148" s="70">
        <v>45679</v>
      </c>
      <c r="B1148" t="s">
        <v>30</v>
      </c>
      <c r="C1148" s="71" t="s">
        <v>1245</v>
      </c>
      <c r="D1148" s="75">
        <v>82.14</v>
      </c>
      <c r="E1148" s="75">
        <v>0</v>
      </c>
      <c r="F1148" s="75">
        <v>103007.54</v>
      </c>
      <c r="G1148" s="75"/>
      <c r="H1148" s="71" t="s">
        <v>217</v>
      </c>
      <c r="J1148" t="s">
        <v>752</v>
      </c>
    </row>
    <row r="1149" spans="1:10" x14ac:dyDescent="0.3">
      <c r="A1149" s="70">
        <v>45679</v>
      </c>
      <c r="B1149" t="s">
        <v>30</v>
      </c>
      <c r="C1149" s="71" t="s">
        <v>1246</v>
      </c>
      <c r="D1149" s="75">
        <v>365.35</v>
      </c>
      <c r="E1149" s="75">
        <v>0</v>
      </c>
      <c r="F1149" s="75">
        <v>102642.19</v>
      </c>
      <c r="G1149" s="75"/>
      <c r="H1149" s="71" t="s">
        <v>217</v>
      </c>
      <c r="J1149" t="s">
        <v>752</v>
      </c>
    </row>
    <row r="1150" spans="1:10" x14ac:dyDescent="0.3">
      <c r="A1150" s="70">
        <v>45679</v>
      </c>
      <c r="B1150" t="s">
        <v>2302</v>
      </c>
      <c r="C1150" s="71" t="s">
        <v>2303</v>
      </c>
      <c r="D1150" s="75">
        <v>1500</v>
      </c>
      <c r="E1150" s="75">
        <v>0</v>
      </c>
      <c r="F1150" s="75">
        <v>17312.38</v>
      </c>
      <c r="G1150" s="75"/>
      <c r="H1150" s="71" t="s">
        <v>511</v>
      </c>
      <c r="J1150" t="s">
        <v>756</v>
      </c>
    </row>
    <row r="1151" spans="1:10" x14ac:dyDescent="0.3">
      <c r="A1151" s="70">
        <v>45680</v>
      </c>
      <c r="B1151" t="s">
        <v>30</v>
      </c>
      <c r="C1151" s="71" t="s">
        <v>1247</v>
      </c>
      <c r="D1151" s="75">
        <v>82.01</v>
      </c>
      <c r="E1151" s="75">
        <v>0</v>
      </c>
      <c r="F1151" s="75">
        <v>102560.18</v>
      </c>
      <c r="G1151" s="75"/>
      <c r="H1151" s="71" t="s">
        <v>217</v>
      </c>
      <c r="J1151" t="s">
        <v>752</v>
      </c>
    </row>
    <row r="1152" spans="1:10" x14ac:dyDescent="0.3">
      <c r="A1152" s="70">
        <v>45680</v>
      </c>
      <c r="B1152" t="s">
        <v>30</v>
      </c>
      <c r="C1152" s="71" t="s">
        <v>1248</v>
      </c>
      <c r="D1152" s="75">
        <v>22709.88</v>
      </c>
      <c r="E1152" s="75">
        <v>0</v>
      </c>
      <c r="F1152" s="75">
        <v>79850.3</v>
      </c>
      <c r="G1152" s="75"/>
      <c r="H1152" s="71" t="s">
        <v>217</v>
      </c>
      <c r="J1152" t="s">
        <v>752</v>
      </c>
    </row>
    <row r="1153" spans="1:10" x14ac:dyDescent="0.3">
      <c r="A1153" s="70">
        <v>45680</v>
      </c>
      <c r="B1153" t="s">
        <v>2304</v>
      </c>
      <c r="C1153" s="71" t="s">
        <v>2305</v>
      </c>
      <c r="D1153" s="75">
        <v>1500</v>
      </c>
      <c r="E1153" s="75">
        <v>0</v>
      </c>
      <c r="F1153" s="75">
        <v>15812.38</v>
      </c>
      <c r="G1153" s="75"/>
      <c r="H1153" s="71" t="s">
        <v>511</v>
      </c>
      <c r="J1153" t="s">
        <v>756</v>
      </c>
    </row>
    <row r="1154" spans="1:10" x14ac:dyDescent="0.3">
      <c r="A1154" s="70">
        <v>45681</v>
      </c>
      <c r="B1154" t="s">
        <v>1249</v>
      </c>
      <c r="C1154" s="71" t="s">
        <v>1250</v>
      </c>
      <c r="D1154" s="75">
        <v>0</v>
      </c>
      <c r="E1154" s="75">
        <v>2421.16</v>
      </c>
      <c r="F1154" s="75">
        <v>82271.460000000006</v>
      </c>
      <c r="G1154" s="75"/>
      <c r="H1154" s="71" t="s">
        <v>2523</v>
      </c>
      <c r="J1154" t="s">
        <v>752</v>
      </c>
    </row>
    <row r="1155" spans="1:10" x14ac:dyDescent="0.3">
      <c r="A1155" s="70">
        <v>45681</v>
      </c>
      <c r="B1155" t="s">
        <v>30</v>
      </c>
      <c r="C1155" s="71" t="s">
        <v>1251</v>
      </c>
      <c r="D1155" s="75">
        <v>82.01</v>
      </c>
      <c r="E1155" s="75">
        <v>0</v>
      </c>
      <c r="F1155" s="75">
        <v>82189.45</v>
      </c>
      <c r="G1155" s="75"/>
      <c r="H1155" s="71" t="s">
        <v>217</v>
      </c>
      <c r="J1155" t="s">
        <v>752</v>
      </c>
    </row>
    <row r="1156" spans="1:10" x14ac:dyDescent="0.3">
      <c r="A1156" s="70">
        <v>45681</v>
      </c>
      <c r="B1156" t="s">
        <v>30</v>
      </c>
      <c r="C1156" s="71" t="s">
        <v>1252</v>
      </c>
      <c r="D1156" s="75">
        <v>9112.92</v>
      </c>
      <c r="E1156" s="75">
        <v>0</v>
      </c>
      <c r="F1156" s="75">
        <v>73076.53</v>
      </c>
      <c r="G1156" s="75"/>
      <c r="H1156" s="71" t="s">
        <v>217</v>
      </c>
      <c r="J1156" t="s">
        <v>752</v>
      </c>
    </row>
    <row r="1157" spans="1:10" x14ac:dyDescent="0.3">
      <c r="A1157" s="70">
        <v>45682</v>
      </c>
      <c r="B1157" t="s">
        <v>1458</v>
      </c>
      <c r="C1157" s="71" t="s">
        <v>556</v>
      </c>
      <c r="D1157" s="75">
        <v>5000</v>
      </c>
      <c r="E1157" s="75">
        <v>0</v>
      </c>
      <c r="F1157" s="75">
        <v>40898.58</v>
      </c>
      <c r="G1157" s="75"/>
      <c r="H1157" s="71" t="s">
        <v>511</v>
      </c>
      <c r="J1157" t="s">
        <v>753</v>
      </c>
    </row>
    <row r="1158" spans="1:10" x14ac:dyDescent="0.3">
      <c r="A1158" s="70">
        <v>45682</v>
      </c>
      <c r="B1158" t="s">
        <v>2306</v>
      </c>
      <c r="C1158" s="71" t="s">
        <v>2307</v>
      </c>
      <c r="D1158" s="75">
        <v>1500</v>
      </c>
      <c r="E1158" s="75">
        <v>0</v>
      </c>
      <c r="F1158" s="75">
        <v>14312.38</v>
      </c>
      <c r="G1158" s="75"/>
      <c r="H1158" s="71" t="s">
        <v>511</v>
      </c>
      <c r="J1158" t="s">
        <v>756</v>
      </c>
    </row>
    <row r="1159" spans="1:10" x14ac:dyDescent="0.3">
      <c r="A1159" s="70">
        <v>45682</v>
      </c>
      <c r="B1159" t="s">
        <v>2308</v>
      </c>
      <c r="C1159" s="71" t="s">
        <v>2309</v>
      </c>
      <c r="D1159" s="75">
        <v>0</v>
      </c>
      <c r="E1159" s="75">
        <v>5000</v>
      </c>
      <c r="F1159" s="75">
        <v>19312.38</v>
      </c>
      <c r="G1159" s="75"/>
      <c r="H1159" s="71" t="s">
        <v>511</v>
      </c>
      <c r="J1159" t="s">
        <v>756</v>
      </c>
    </row>
    <row r="1160" spans="1:10" x14ac:dyDescent="0.3">
      <c r="A1160" s="70">
        <v>45684</v>
      </c>
      <c r="B1160" t="s">
        <v>30</v>
      </c>
      <c r="C1160" s="71" t="s">
        <v>1253</v>
      </c>
      <c r="D1160" s="75">
        <v>238.86</v>
      </c>
      <c r="E1160" s="75">
        <v>0</v>
      </c>
      <c r="F1160" s="75">
        <v>72837.67</v>
      </c>
      <c r="G1160" s="75"/>
      <c r="H1160" s="71" t="s">
        <v>217</v>
      </c>
      <c r="J1160" t="s">
        <v>752</v>
      </c>
    </row>
    <row r="1161" spans="1:10" x14ac:dyDescent="0.3">
      <c r="A1161" s="70">
        <v>45684</v>
      </c>
      <c r="B1161" t="s">
        <v>30</v>
      </c>
      <c r="C1161" s="71" t="s">
        <v>1254</v>
      </c>
      <c r="D1161" s="75">
        <v>4938.5200000000004</v>
      </c>
      <c r="E1161" s="75">
        <v>0</v>
      </c>
      <c r="F1161" s="75">
        <v>67899.149999999994</v>
      </c>
      <c r="G1161" s="75"/>
      <c r="H1161" s="71" t="s">
        <v>217</v>
      </c>
      <c r="J1161" t="s">
        <v>752</v>
      </c>
    </row>
    <row r="1162" spans="1:10" x14ac:dyDescent="0.3">
      <c r="A1162" s="70">
        <v>45684</v>
      </c>
      <c r="B1162" t="s">
        <v>2310</v>
      </c>
      <c r="C1162" s="71" t="s">
        <v>2311</v>
      </c>
      <c r="D1162" s="75">
        <v>1500</v>
      </c>
      <c r="E1162" s="75">
        <v>0</v>
      </c>
      <c r="F1162" s="75">
        <v>17812.38</v>
      </c>
      <c r="G1162" s="75"/>
      <c r="H1162" s="71" t="s">
        <v>511</v>
      </c>
      <c r="J1162" t="s">
        <v>756</v>
      </c>
    </row>
    <row r="1163" spans="1:10" x14ac:dyDescent="0.3">
      <c r="A1163" s="70">
        <v>45685</v>
      </c>
      <c r="B1163" t="s">
        <v>1255</v>
      </c>
      <c r="C1163" s="71" t="s">
        <v>1256</v>
      </c>
      <c r="D1163" s="75">
        <v>5000</v>
      </c>
      <c r="E1163" s="75">
        <v>0</v>
      </c>
      <c r="F1163" s="75">
        <v>62899.15</v>
      </c>
      <c r="G1163" s="75"/>
      <c r="H1163" s="71" t="s">
        <v>219</v>
      </c>
      <c r="J1163" t="s">
        <v>752</v>
      </c>
    </row>
    <row r="1164" spans="1:10" x14ac:dyDescent="0.3">
      <c r="A1164" s="70">
        <v>45685</v>
      </c>
      <c r="B1164" t="s">
        <v>30</v>
      </c>
      <c r="C1164" s="71" t="s">
        <v>1257</v>
      </c>
      <c r="D1164" s="75">
        <v>77.87</v>
      </c>
      <c r="E1164" s="75">
        <v>0</v>
      </c>
      <c r="F1164" s="75">
        <v>62821.279999999999</v>
      </c>
      <c r="G1164" s="75"/>
      <c r="H1164" s="71" t="s">
        <v>217</v>
      </c>
      <c r="J1164" t="s">
        <v>752</v>
      </c>
    </row>
    <row r="1165" spans="1:10" x14ac:dyDescent="0.3">
      <c r="A1165" s="70">
        <v>45685</v>
      </c>
      <c r="B1165" t="s">
        <v>1258</v>
      </c>
      <c r="C1165" s="71" t="s">
        <v>46</v>
      </c>
      <c r="D1165" s="75">
        <v>0</v>
      </c>
      <c r="E1165" s="75">
        <v>127000</v>
      </c>
      <c r="F1165" s="75">
        <v>189821.28</v>
      </c>
      <c r="G1165" s="75"/>
      <c r="H1165" s="71" t="s">
        <v>2521</v>
      </c>
      <c r="J1165" t="s">
        <v>752</v>
      </c>
    </row>
    <row r="1166" spans="1:10" x14ac:dyDescent="0.3">
      <c r="A1166" s="70">
        <v>45685</v>
      </c>
      <c r="B1166" t="s">
        <v>30</v>
      </c>
      <c r="C1166" s="71" t="s">
        <v>1259</v>
      </c>
      <c r="D1166" s="75">
        <v>1074.56</v>
      </c>
      <c r="E1166" s="75">
        <v>0</v>
      </c>
      <c r="F1166" s="75">
        <v>188746.72</v>
      </c>
      <c r="G1166" s="75"/>
      <c r="H1166" s="71" t="s">
        <v>217</v>
      </c>
      <c r="J1166" t="s">
        <v>752</v>
      </c>
    </row>
    <row r="1167" spans="1:10" x14ac:dyDescent="0.3">
      <c r="A1167" s="70">
        <v>45685</v>
      </c>
      <c r="B1167" t="s">
        <v>2312</v>
      </c>
      <c r="C1167" s="71" t="s">
        <v>2313</v>
      </c>
      <c r="D1167" s="75">
        <v>7000</v>
      </c>
      <c r="E1167" s="75">
        <v>0</v>
      </c>
      <c r="F1167" s="75">
        <v>10812.38</v>
      </c>
      <c r="G1167" s="75"/>
      <c r="H1167" s="71" t="s">
        <v>2532</v>
      </c>
      <c r="J1167" t="s">
        <v>756</v>
      </c>
    </row>
    <row r="1168" spans="1:10" x14ac:dyDescent="0.3">
      <c r="A1168" s="70">
        <v>45685</v>
      </c>
      <c r="B1168" t="s">
        <v>2314</v>
      </c>
      <c r="C1168" s="71" t="s">
        <v>2315</v>
      </c>
      <c r="D1168" s="75">
        <v>1500</v>
      </c>
      <c r="E1168" s="75">
        <v>0</v>
      </c>
      <c r="F1168" s="75">
        <v>9312.3799999999992</v>
      </c>
      <c r="G1168" s="75"/>
      <c r="H1168" s="71" t="s">
        <v>511</v>
      </c>
      <c r="J1168" t="s">
        <v>756</v>
      </c>
    </row>
    <row r="1169" spans="1:10" x14ac:dyDescent="0.3">
      <c r="A1169" s="70">
        <v>45686</v>
      </c>
      <c r="B1169" t="s">
        <v>1260</v>
      </c>
      <c r="C1169" s="71" t="s">
        <v>1261</v>
      </c>
      <c r="D1169" s="75">
        <v>5.9</v>
      </c>
      <c r="E1169" s="75">
        <v>0</v>
      </c>
      <c r="F1169" s="75">
        <v>188740.82</v>
      </c>
      <c r="G1169" s="75"/>
      <c r="H1169" s="71" t="s">
        <v>221</v>
      </c>
      <c r="J1169" t="s">
        <v>752</v>
      </c>
    </row>
    <row r="1170" spans="1:10" x14ac:dyDescent="0.3">
      <c r="A1170" s="70">
        <v>45686</v>
      </c>
      <c r="B1170" t="s">
        <v>30</v>
      </c>
      <c r="C1170" s="71" t="s">
        <v>1262</v>
      </c>
      <c r="D1170" s="75">
        <v>77.48</v>
      </c>
      <c r="E1170" s="75">
        <v>0</v>
      </c>
      <c r="F1170" s="75">
        <v>188663.34</v>
      </c>
      <c r="G1170" s="75"/>
      <c r="H1170" s="71" t="s">
        <v>217</v>
      </c>
      <c r="J1170" t="s">
        <v>752</v>
      </c>
    </row>
    <row r="1171" spans="1:10" x14ac:dyDescent="0.3">
      <c r="A1171" s="70">
        <v>45686</v>
      </c>
      <c r="B1171" t="s">
        <v>2316</v>
      </c>
      <c r="C1171" s="71" t="s">
        <v>2317</v>
      </c>
      <c r="D1171" s="75">
        <v>1500</v>
      </c>
      <c r="E1171" s="75">
        <v>0</v>
      </c>
      <c r="F1171" s="75">
        <v>7812.38</v>
      </c>
      <c r="G1171" s="75"/>
      <c r="H1171" s="71" t="s">
        <v>511</v>
      </c>
      <c r="J1171" t="s">
        <v>756</v>
      </c>
    </row>
    <row r="1172" spans="1:10" x14ac:dyDescent="0.3">
      <c r="A1172" s="70">
        <v>45687</v>
      </c>
      <c r="B1172" t="s">
        <v>1263</v>
      </c>
      <c r="C1172" s="71" t="s">
        <v>1264</v>
      </c>
      <c r="D1172" s="75">
        <v>0</v>
      </c>
      <c r="E1172" s="75">
        <v>5823.56</v>
      </c>
      <c r="F1172" s="75">
        <v>194486.9</v>
      </c>
      <c r="G1172" s="75"/>
      <c r="H1172" s="71" t="s">
        <v>2523</v>
      </c>
      <c r="J1172" t="s">
        <v>752</v>
      </c>
    </row>
    <row r="1173" spans="1:10" x14ac:dyDescent="0.3">
      <c r="A1173" s="70">
        <v>45687</v>
      </c>
      <c r="B1173" t="s">
        <v>1265</v>
      </c>
      <c r="C1173" s="71" t="s">
        <v>1266</v>
      </c>
      <c r="D1173" s="75">
        <v>5000</v>
      </c>
      <c r="E1173" s="75">
        <v>0</v>
      </c>
      <c r="F1173" s="75">
        <v>189486.9</v>
      </c>
      <c r="G1173" s="75"/>
      <c r="H1173" s="71" t="s">
        <v>219</v>
      </c>
      <c r="J1173" t="s">
        <v>752</v>
      </c>
    </row>
    <row r="1174" spans="1:10" x14ac:dyDescent="0.3">
      <c r="A1174" s="70">
        <v>45687</v>
      </c>
      <c r="B1174" t="s">
        <v>30</v>
      </c>
      <c r="C1174" s="71" t="s">
        <v>1267</v>
      </c>
      <c r="D1174" s="75">
        <v>77.48</v>
      </c>
      <c r="E1174" s="75">
        <v>0</v>
      </c>
      <c r="F1174" s="75">
        <v>189409.42</v>
      </c>
      <c r="G1174" s="75"/>
      <c r="H1174" s="71" t="s">
        <v>217</v>
      </c>
      <c r="J1174" t="s">
        <v>752</v>
      </c>
    </row>
    <row r="1175" spans="1:10" x14ac:dyDescent="0.3">
      <c r="A1175" s="70">
        <v>45687</v>
      </c>
      <c r="B1175" t="s">
        <v>2318</v>
      </c>
      <c r="C1175" s="71" t="s">
        <v>2319</v>
      </c>
      <c r="D1175" s="75">
        <v>1679.68</v>
      </c>
      <c r="E1175" s="75">
        <v>0</v>
      </c>
      <c r="F1175" s="75">
        <v>6132.7</v>
      </c>
      <c r="G1175" s="75"/>
      <c r="H1175" s="71" t="s">
        <v>511</v>
      </c>
      <c r="J1175" t="s">
        <v>756</v>
      </c>
    </row>
    <row r="1176" spans="1:10" x14ac:dyDescent="0.3">
      <c r="A1176" s="70">
        <v>45687</v>
      </c>
      <c r="B1176" t="s">
        <v>358</v>
      </c>
      <c r="C1176" s="71" t="s">
        <v>2320</v>
      </c>
      <c r="D1176" s="75">
        <v>0</v>
      </c>
      <c r="E1176" s="75">
        <v>68924</v>
      </c>
      <c r="F1176" s="75">
        <v>75056.7</v>
      </c>
      <c r="G1176" s="75"/>
      <c r="H1176" s="71" t="s">
        <v>507</v>
      </c>
      <c r="J1176" t="s">
        <v>756</v>
      </c>
    </row>
    <row r="1177" spans="1:10" x14ac:dyDescent="0.3">
      <c r="A1177" s="70">
        <v>45688</v>
      </c>
      <c r="B1177" t="s">
        <v>1268</v>
      </c>
      <c r="C1177" s="71" t="s">
        <v>1269</v>
      </c>
      <c r="D1177" s="75">
        <v>0</v>
      </c>
      <c r="E1177" s="75">
        <v>3231.94</v>
      </c>
      <c r="F1177" s="75">
        <v>192641.36</v>
      </c>
      <c r="G1177" s="75"/>
      <c r="H1177" s="71" t="s">
        <v>2523</v>
      </c>
      <c r="J1177" t="s">
        <v>752</v>
      </c>
    </row>
    <row r="1178" spans="1:10" x14ac:dyDescent="0.3">
      <c r="A1178" s="70">
        <v>45688</v>
      </c>
      <c r="B1178" t="s">
        <v>30</v>
      </c>
      <c r="C1178" s="71" t="s">
        <v>1270</v>
      </c>
      <c r="D1178" s="75">
        <v>79.56</v>
      </c>
      <c r="E1178" s="75">
        <v>0</v>
      </c>
      <c r="F1178" s="75">
        <v>192561.8</v>
      </c>
      <c r="G1178" s="75"/>
      <c r="H1178" s="71" t="s">
        <v>217</v>
      </c>
      <c r="J1178" t="s">
        <v>752</v>
      </c>
    </row>
    <row r="1179" spans="1:10" x14ac:dyDescent="0.3">
      <c r="A1179" s="70">
        <v>45688</v>
      </c>
      <c r="B1179" t="s">
        <v>2321</v>
      </c>
      <c r="C1179" s="71" t="s">
        <v>2322</v>
      </c>
      <c r="D1179" s="75">
        <v>3200</v>
      </c>
      <c r="E1179" s="75">
        <v>0</v>
      </c>
      <c r="F1179" s="75">
        <v>71856.7</v>
      </c>
      <c r="G1179" s="75"/>
      <c r="H1179" s="71" t="s">
        <v>511</v>
      </c>
      <c r="J1179" t="s">
        <v>756</v>
      </c>
    </row>
    <row r="1180" spans="1:10" x14ac:dyDescent="0.3">
      <c r="A1180" s="70">
        <v>45689</v>
      </c>
      <c r="B1180" t="s">
        <v>2323</v>
      </c>
      <c r="C1180" s="71" t="s">
        <v>2324</v>
      </c>
      <c r="D1180" s="75">
        <v>45</v>
      </c>
      <c r="E1180" s="75">
        <v>0</v>
      </c>
      <c r="F1180" s="75">
        <v>71811.7</v>
      </c>
      <c r="G1180" s="75"/>
      <c r="H1180" s="71" t="s">
        <v>511</v>
      </c>
      <c r="J1180" t="s">
        <v>756</v>
      </c>
    </row>
    <row r="1181" spans="1:10" x14ac:dyDescent="0.3">
      <c r="A1181" s="70">
        <v>45689</v>
      </c>
      <c r="B1181" t="s">
        <v>2570</v>
      </c>
      <c r="C1181" s="71"/>
      <c r="D1181" s="75">
        <v>0</v>
      </c>
      <c r="E1181" s="75">
        <v>1</v>
      </c>
      <c r="F1181" s="75">
        <v>235</v>
      </c>
      <c r="G1181" s="75"/>
      <c r="H1181" s="71" t="s">
        <v>227</v>
      </c>
      <c r="J1181" t="s">
        <v>2573</v>
      </c>
    </row>
    <row r="1182" spans="1:10" x14ac:dyDescent="0.3">
      <c r="A1182" s="70">
        <v>45690</v>
      </c>
      <c r="B1182" t="s">
        <v>30</v>
      </c>
      <c r="C1182" s="71" t="s">
        <v>1271</v>
      </c>
      <c r="D1182" s="75">
        <v>374.05</v>
      </c>
      <c r="E1182" s="75">
        <v>0</v>
      </c>
      <c r="F1182" s="75">
        <v>192187.75</v>
      </c>
      <c r="G1182" s="75"/>
      <c r="H1182" s="71" t="s">
        <v>217</v>
      </c>
      <c r="J1182" t="s">
        <v>752</v>
      </c>
    </row>
    <row r="1183" spans="1:10" x14ac:dyDescent="0.3">
      <c r="A1183" s="70">
        <v>45690</v>
      </c>
      <c r="B1183" t="s">
        <v>2325</v>
      </c>
      <c r="C1183" s="71" t="s">
        <v>2326</v>
      </c>
      <c r="D1183" s="75">
        <v>40</v>
      </c>
      <c r="E1183" s="75">
        <v>0</v>
      </c>
      <c r="F1183" s="75">
        <v>71771.7</v>
      </c>
      <c r="G1183" s="75"/>
      <c r="H1183" s="71" t="s">
        <v>511</v>
      </c>
      <c r="J1183" t="s">
        <v>756</v>
      </c>
    </row>
    <row r="1184" spans="1:10" x14ac:dyDescent="0.3">
      <c r="A1184" s="70">
        <v>45690</v>
      </c>
      <c r="B1184" t="s">
        <v>2327</v>
      </c>
      <c r="C1184" s="71" t="s">
        <v>2328</v>
      </c>
      <c r="D1184" s="75">
        <v>350</v>
      </c>
      <c r="E1184" s="75">
        <v>0</v>
      </c>
      <c r="F1184" s="75">
        <v>71421.7</v>
      </c>
      <c r="G1184" s="75"/>
      <c r="H1184" s="71" t="s">
        <v>511</v>
      </c>
      <c r="J1184" t="s">
        <v>756</v>
      </c>
    </row>
    <row r="1185" spans="1:10" x14ac:dyDescent="0.3">
      <c r="A1185" s="70">
        <v>45690</v>
      </c>
      <c r="B1185" t="s">
        <v>2329</v>
      </c>
      <c r="C1185" s="71" t="s">
        <v>2330</v>
      </c>
      <c r="D1185" s="75">
        <v>70</v>
      </c>
      <c r="E1185" s="75">
        <v>0</v>
      </c>
      <c r="F1185" s="75">
        <v>71351.7</v>
      </c>
      <c r="G1185" s="75"/>
      <c r="H1185" s="71" t="s">
        <v>511</v>
      </c>
      <c r="J1185" t="s">
        <v>756</v>
      </c>
    </row>
    <row r="1186" spans="1:10" x14ac:dyDescent="0.3">
      <c r="A1186" s="70">
        <v>45691</v>
      </c>
      <c r="B1186" t="s">
        <v>1272</v>
      </c>
      <c r="C1186" s="71" t="s">
        <v>1273</v>
      </c>
      <c r="D1186" s="75">
        <v>0</v>
      </c>
      <c r="E1186" s="75">
        <v>988</v>
      </c>
      <c r="F1186" s="75">
        <v>193175.75</v>
      </c>
      <c r="G1186" s="75"/>
      <c r="H1186" s="71" t="s">
        <v>218</v>
      </c>
      <c r="J1186" t="s">
        <v>752</v>
      </c>
    </row>
    <row r="1187" spans="1:10" x14ac:dyDescent="0.3">
      <c r="A1187" s="70">
        <v>45691</v>
      </c>
      <c r="B1187" t="s">
        <v>30</v>
      </c>
      <c r="C1187" s="71" t="s">
        <v>1274</v>
      </c>
      <c r="D1187" s="75">
        <v>3930.75</v>
      </c>
      <c r="E1187" s="75">
        <v>0</v>
      </c>
      <c r="F1187" s="75">
        <v>189245</v>
      </c>
      <c r="G1187" s="75"/>
      <c r="H1187" s="71" t="s">
        <v>217</v>
      </c>
      <c r="J1187" t="s">
        <v>752</v>
      </c>
    </row>
    <row r="1188" spans="1:10" x14ac:dyDescent="0.3">
      <c r="A1188" s="70">
        <v>45691</v>
      </c>
      <c r="B1188" t="s">
        <v>2331</v>
      </c>
      <c r="C1188" s="71" t="s">
        <v>2332</v>
      </c>
      <c r="D1188" s="75">
        <v>0</v>
      </c>
      <c r="E1188" s="75">
        <v>100</v>
      </c>
      <c r="F1188" s="75">
        <v>71451.7</v>
      </c>
      <c r="G1188" s="75"/>
      <c r="H1188" s="71" t="s">
        <v>511</v>
      </c>
      <c r="J1188" t="s">
        <v>756</v>
      </c>
    </row>
    <row r="1189" spans="1:10" x14ac:dyDescent="0.3">
      <c r="A1189" s="70">
        <v>45691</v>
      </c>
      <c r="B1189" t="s">
        <v>2333</v>
      </c>
      <c r="C1189" s="71" t="s">
        <v>2334</v>
      </c>
      <c r="D1189" s="75">
        <v>2500</v>
      </c>
      <c r="E1189" s="75">
        <v>0</v>
      </c>
      <c r="F1189" s="75">
        <v>68951.7</v>
      </c>
      <c r="G1189" s="75"/>
      <c r="H1189" s="71" t="s">
        <v>511</v>
      </c>
      <c r="J1189" t="s">
        <v>756</v>
      </c>
    </row>
    <row r="1190" spans="1:10" x14ac:dyDescent="0.3">
      <c r="A1190" s="70">
        <v>45692</v>
      </c>
      <c r="B1190" t="s">
        <v>30</v>
      </c>
      <c r="C1190" s="71" t="s">
        <v>1275</v>
      </c>
      <c r="D1190" s="75">
        <v>79.260000000000005</v>
      </c>
      <c r="E1190" s="75">
        <v>0</v>
      </c>
      <c r="F1190" s="75">
        <v>189165.74</v>
      </c>
      <c r="G1190" s="75"/>
      <c r="H1190" s="71" t="s">
        <v>217</v>
      </c>
      <c r="J1190" t="s">
        <v>752</v>
      </c>
    </row>
    <row r="1191" spans="1:10" x14ac:dyDescent="0.3">
      <c r="A1191" s="70">
        <v>45692</v>
      </c>
      <c r="B1191" t="s">
        <v>30</v>
      </c>
      <c r="C1191" s="71" t="s">
        <v>1276</v>
      </c>
      <c r="D1191" s="75">
        <v>30663.59</v>
      </c>
      <c r="E1191" s="75">
        <v>0</v>
      </c>
      <c r="F1191" s="75">
        <v>158502.15</v>
      </c>
      <c r="G1191" s="75"/>
      <c r="H1191" s="71" t="s">
        <v>217</v>
      </c>
      <c r="J1191" t="s">
        <v>752</v>
      </c>
    </row>
    <row r="1192" spans="1:10" x14ac:dyDescent="0.3">
      <c r="A1192" s="70">
        <v>45692</v>
      </c>
      <c r="B1192" t="s">
        <v>2335</v>
      </c>
      <c r="C1192" s="71" t="s">
        <v>2336</v>
      </c>
      <c r="D1192" s="75">
        <v>23000</v>
      </c>
      <c r="E1192" s="75">
        <v>0</v>
      </c>
      <c r="F1192" s="75">
        <v>45951.7</v>
      </c>
      <c r="G1192" s="75"/>
      <c r="H1192" s="71" t="s">
        <v>2548</v>
      </c>
      <c r="J1192" t="s">
        <v>756</v>
      </c>
    </row>
    <row r="1193" spans="1:10" x14ac:dyDescent="0.3">
      <c r="A1193" s="70">
        <v>45693</v>
      </c>
      <c r="B1193" t="s">
        <v>1277</v>
      </c>
      <c r="C1193" s="71" t="s">
        <v>1278</v>
      </c>
      <c r="D1193" s="75">
        <v>0</v>
      </c>
      <c r="E1193" s="75">
        <v>13085.02</v>
      </c>
      <c r="F1193" s="75">
        <v>171587.17</v>
      </c>
      <c r="G1193" s="75"/>
      <c r="H1193" s="71" t="s">
        <v>2523</v>
      </c>
      <c r="J1193" t="s">
        <v>752</v>
      </c>
    </row>
    <row r="1194" spans="1:10" x14ac:dyDescent="0.3">
      <c r="A1194" s="70">
        <v>45693</v>
      </c>
      <c r="B1194" t="s">
        <v>30</v>
      </c>
      <c r="C1194" s="71" t="s">
        <v>1279</v>
      </c>
      <c r="D1194" s="75">
        <v>68.34</v>
      </c>
      <c r="E1194" s="75">
        <v>0</v>
      </c>
      <c r="F1194" s="75">
        <v>171518.83</v>
      </c>
      <c r="G1194" s="75"/>
      <c r="H1194" s="71" t="s">
        <v>217</v>
      </c>
      <c r="J1194" t="s">
        <v>752</v>
      </c>
    </row>
    <row r="1195" spans="1:10" x14ac:dyDescent="0.3">
      <c r="A1195" s="70">
        <v>45693</v>
      </c>
      <c r="B1195" t="s">
        <v>30</v>
      </c>
      <c r="C1195" s="71" t="s">
        <v>1280</v>
      </c>
      <c r="D1195" s="75">
        <v>9748.49</v>
      </c>
      <c r="E1195" s="75">
        <v>0</v>
      </c>
      <c r="F1195" s="75">
        <v>161770.34</v>
      </c>
      <c r="G1195" s="75"/>
      <c r="H1195" s="71" t="s">
        <v>217</v>
      </c>
      <c r="J1195" t="s">
        <v>752</v>
      </c>
    </row>
    <row r="1196" spans="1:10" x14ac:dyDescent="0.3">
      <c r="A1196" s="70">
        <v>45693</v>
      </c>
      <c r="B1196" t="s">
        <v>30</v>
      </c>
      <c r="C1196" s="71" t="s">
        <v>1281</v>
      </c>
      <c r="D1196" s="75">
        <v>38250.67</v>
      </c>
      <c r="E1196" s="75">
        <v>0</v>
      </c>
      <c r="F1196" s="75">
        <v>123519.67</v>
      </c>
      <c r="G1196" s="75"/>
      <c r="H1196" s="71" t="s">
        <v>217</v>
      </c>
      <c r="J1196" t="s">
        <v>752</v>
      </c>
    </row>
    <row r="1197" spans="1:10" x14ac:dyDescent="0.3">
      <c r="A1197" s="70">
        <v>45693</v>
      </c>
      <c r="B1197" t="s">
        <v>2337</v>
      </c>
      <c r="C1197" s="71" t="s">
        <v>2338</v>
      </c>
      <c r="D1197" s="75">
        <v>1000</v>
      </c>
      <c r="E1197" s="75">
        <v>0</v>
      </c>
      <c r="F1197" s="75">
        <v>44951.7</v>
      </c>
      <c r="G1197" s="75"/>
      <c r="H1197" s="71" t="s">
        <v>511</v>
      </c>
      <c r="J1197" t="s">
        <v>756</v>
      </c>
    </row>
    <row r="1198" spans="1:10" x14ac:dyDescent="0.3">
      <c r="A1198" s="70">
        <v>45694</v>
      </c>
      <c r="B1198" t="s">
        <v>30</v>
      </c>
      <c r="C1198" s="71" t="s">
        <v>1282</v>
      </c>
      <c r="D1198" s="75">
        <v>82.17</v>
      </c>
      <c r="E1198" s="75">
        <v>0</v>
      </c>
      <c r="F1198" s="75">
        <v>123437.5</v>
      </c>
      <c r="G1198" s="75"/>
      <c r="H1198" s="71" t="s">
        <v>217</v>
      </c>
      <c r="J1198" t="s">
        <v>752</v>
      </c>
    </row>
    <row r="1199" spans="1:10" x14ac:dyDescent="0.3">
      <c r="A1199" s="70">
        <v>45694</v>
      </c>
      <c r="B1199" t="s">
        <v>30</v>
      </c>
      <c r="C1199" s="71" t="s">
        <v>1283</v>
      </c>
      <c r="D1199" s="75">
        <v>1066.0999999999999</v>
      </c>
      <c r="E1199" s="75">
        <v>0</v>
      </c>
      <c r="F1199" s="75">
        <v>122371.4</v>
      </c>
      <c r="G1199" s="75"/>
      <c r="H1199" s="71" t="s">
        <v>217</v>
      </c>
      <c r="J1199" t="s">
        <v>752</v>
      </c>
    </row>
    <row r="1200" spans="1:10" x14ac:dyDescent="0.3">
      <c r="A1200" s="70">
        <v>45695</v>
      </c>
      <c r="B1200" t="s">
        <v>1284</v>
      </c>
      <c r="C1200" s="71" t="s">
        <v>1285</v>
      </c>
      <c r="D1200" s="75">
        <v>0</v>
      </c>
      <c r="E1200" s="75">
        <v>18098.79</v>
      </c>
      <c r="F1200" s="75">
        <v>140470.19</v>
      </c>
      <c r="G1200" s="75"/>
      <c r="H1200" s="71" t="s">
        <v>2523</v>
      </c>
      <c r="J1200" t="s">
        <v>752</v>
      </c>
    </row>
    <row r="1201" spans="1:10" x14ac:dyDescent="0.3">
      <c r="A1201" s="70">
        <v>45695</v>
      </c>
      <c r="B1201" t="s">
        <v>1286</v>
      </c>
      <c r="C1201" s="71" t="s">
        <v>1287</v>
      </c>
      <c r="D1201" s="75">
        <v>0</v>
      </c>
      <c r="E1201" s="75">
        <v>1880</v>
      </c>
      <c r="F1201" s="75">
        <v>142350.19</v>
      </c>
      <c r="G1201" s="75"/>
      <c r="H1201" s="71" t="s">
        <v>222</v>
      </c>
      <c r="J1201" t="s">
        <v>752</v>
      </c>
    </row>
    <row r="1202" spans="1:10" x14ac:dyDescent="0.3">
      <c r="A1202" s="70">
        <v>45695</v>
      </c>
      <c r="B1202" t="s">
        <v>30</v>
      </c>
      <c r="C1202" s="71" t="s">
        <v>1288</v>
      </c>
      <c r="D1202" s="75">
        <v>92.17</v>
      </c>
      <c r="E1202" s="75">
        <v>0</v>
      </c>
      <c r="F1202" s="75">
        <v>142258.01999999999</v>
      </c>
      <c r="G1202" s="75"/>
      <c r="H1202" s="71" t="s">
        <v>217</v>
      </c>
      <c r="J1202" t="s">
        <v>752</v>
      </c>
    </row>
    <row r="1203" spans="1:10" x14ac:dyDescent="0.3">
      <c r="A1203" s="70">
        <v>45695</v>
      </c>
      <c r="B1203" t="s">
        <v>1289</v>
      </c>
      <c r="C1203" s="71" t="s">
        <v>1290</v>
      </c>
      <c r="D1203" s="75">
        <v>236</v>
      </c>
      <c r="E1203" s="75">
        <v>0</v>
      </c>
      <c r="F1203" s="75">
        <v>142022.01999999999</v>
      </c>
      <c r="G1203" s="75"/>
      <c r="H1203" s="71" t="s">
        <v>221</v>
      </c>
      <c r="J1203" t="s">
        <v>752</v>
      </c>
    </row>
    <row r="1204" spans="1:10" x14ac:dyDescent="0.3">
      <c r="A1204" s="70">
        <v>45695</v>
      </c>
      <c r="B1204" t="s">
        <v>30</v>
      </c>
      <c r="C1204" s="71" t="s">
        <v>1291</v>
      </c>
      <c r="D1204" s="75">
        <v>14193.44</v>
      </c>
      <c r="E1204" s="75">
        <v>0</v>
      </c>
      <c r="F1204" s="75">
        <v>127828.58</v>
      </c>
      <c r="G1204" s="75"/>
      <c r="H1204" s="71" t="s">
        <v>217</v>
      </c>
      <c r="J1204" t="s">
        <v>752</v>
      </c>
    </row>
    <row r="1205" spans="1:10" x14ac:dyDescent="0.3">
      <c r="A1205" s="70">
        <v>45695</v>
      </c>
      <c r="B1205" t="s">
        <v>2339</v>
      </c>
      <c r="C1205" s="71" t="s">
        <v>2340</v>
      </c>
      <c r="D1205" s="75">
        <v>170</v>
      </c>
      <c r="E1205" s="75">
        <v>0</v>
      </c>
      <c r="F1205" s="75">
        <v>44781.7</v>
      </c>
      <c r="G1205" s="75"/>
      <c r="H1205" s="71" t="s">
        <v>511</v>
      </c>
      <c r="J1205" t="s">
        <v>756</v>
      </c>
    </row>
    <row r="1206" spans="1:10" x14ac:dyDescent="0.3">
      <c r="A1206" s="70">
        <v>45698</v>
      </c>
      <c r="B1206" t="s">
        <v>30</v>
      </c>
      <c r="C1206" s="71" t="s">
        <v>1292</v>
      </c>
      <c r="D1206" s="75">
        <v>261.33</v>
      </c>
      <c r="E1206" s="75">
        <v>0</v>
      </c>
      <c r="F1206" s="75">
        <v>127567.25</v>
      </c>
      <c r="G1206" s="75"/>
      <c r="H1206" s="71" t="s">
        <v>217</v>
      </c>
      <c r="J1206" t="s">
        <v>752</v>
      </c>
    </row>
    <row r="1207" spans="1:10" x14ac:dyDescent="0.3">
      <c r="A1207" s="70">
        <v>45698</v>
      </c>
      <c r="B1207" t="s">
        <v>2341</v>
      </c>
      <c r="C1207" s="71" t="s">
        <v>2342</v>
      </c>
      <c r="D1207" s="75">
        <v>3000</v>
      </c>
      <c r="E1207" s="75">
        <v>0</v>
      </c>
      <c r="F1207" s="75">
        <v>41781.699999999997</v>
      </c>
      <c r="G1207" s="75"/>
      <c r="H1207" s="71" t="s">
        <v>511</v>
      </c>
      <c r="J1207" t="s">
        <v>756</v>
      </c>
    </row>
    <row r="1208" spans="1:10" x14ac:dyDescent="0.3">
      <c r="A1208" s="70">
        <v>45698</v>
      </c>
      <c r="B1208" t="s">
        <v>2343</v>
      </c>
      <c r="C1208" s="71" t="s">
        <v>2344</v>
      </c>
      <c r="D1208" s="75">
        <v>2000</v>
      </c>
      <c r="E1208" s="75">
        <v>0</v>
      </c>
      <c r="F1208" s="75">
        <v>39781.699999999997</v>
      </c>
      <c r="G1208" s="75"/>
      <c r="H1208" s="71" t="s">
        <v>511</v>
      </c>
      <c r="J1208" t="s">
        <v>756</v>
      </c>
    </row>
    <row r="1209" spans="1:10" x14ac:dyDescent="0.3">
      <c r="A1209" s="70">
        <v>45698</v>
      </c>
      <c r="B1209" t="s">
        <v>2345</v>
      </c>
      <c r="C1209" s="71" t="s">
        <v>2346</v>
      </c>
      <c r="D1209" s="75">
        <v>2000</v>
      </c>
      <c r="E1209" s="75">
        <v>0</v>
      </c>
      <c r="F1209" s="75">
        <v>37781.699999999997</v>
      </c>
      <c r="G1209" s="75"/>
      <c r="H1209" s="71" t="s">
        <v>511</v>
      </c>
      <c r="J1209" t="s">
        <v>756</v>
      </c>
    </row>
    <row r="1210" spans="1:10" x14ac:dyDescent="0.3">
      <c r="A1210" s="70">
        <v>45699</v>
      </c>
      <c r="B1210" t="s">
        <v>30</v>
      </c>
      <c r="C1210" s="71" t="s">
        <v>1293</v>
      </c>
      <c r="D1210" s="75">
        <v>8571.92</v>
      </c>
      <c r="E1210" s="75">
        <v>0</v>
      </c>
      <c r="F1210" s="75">
        <v>118995.33</v>
      </c>
      <c r="G1210" s="75"/>
      <c r="H1210" s="71" t="s">
        <v>217</v>
      </c>
      <c r="J1210" t="s">
        <v>752</v>
      </c>
    </row>
    <row r="1211" spans="1:10" x14ac:dyDescent="0.3">
      <c r="A1211" s="70">
        <v>45699</v>
      </c>
      <c r="B1211" t="s">
        <v>30</v>
      </c>
      <c r="C1211" s="71" t="s">
        <v>1294</v>
      </c>
      <c r="D1211" s="75">
        <v>98.31</v>
      </c>
      <c r="E1211" s="75">
        <v>0</v>
      </c>
      <c r="F1211" s="75">
        <v>118897.02</v>
      </c>
      <c r="G1211" s="75"/>
      <c r="H1211" s="71" t="s">
        <v>217</v>
      </c>
      <c r="J1211" t="s">
        <v>752</v>
      </c>
    </row>
    <row r="1212" spans="1:10" x14ac:dyDescent="0.3">
      <c r="A1212" s="70">
        <v>45699</v>
      </c>
      <c r="B1212" t="s">
        <v>30</v>
      </c>
      <c r="C1212" s="71" t="s">
        <v>1295</v>
      </c>
      <c r="D1212" s="75">
        <v>8036.9</v>
      </c>
      <c r="E1212" s="75">
        <v>0</v>
      </c>
      <c r="F1212" s="75">
        <v>110860.12</v>
      </c>
      <c r="G1212" s="75"/>
      <c r="H1212" s="71" t="s">
        <v>217</v>
      </c>
      <c r="J1212" t="s">
        <v>752</v>
      </c>
    </row>
    <row r="1213" spans="1:10" x14ac:dyDescent="0.3">
      <c r="A1213" s="70">
        <v>45699</v>
      </c>
      <c r="B1213" t="s">
        <v>1296</v>
      </c>
      <c r="C1213" s="71" t="s">
        <v>1297</v>
      </c>
      <c r="D1213" s="75">
        <v>10000</v>
      </c>
      <c r="E1213" s="75">
        <v>0</v>
      </c>
      <c r="F1213" s="75">
        <v>100860.12</v>
      </c>
      <c r="G1213" s="75"/>
      <c r="H1213" s="71" t="s">
        <v>225</v>
      </c>
      <c r="J1213" t="s">
        <v>752</v>
      </c>
    </row>
    <row r="1214" spans="1:10" x14ac:dyDescent="0.3">
      <c r="A1214" s="70">
        <v>45699</v>
      </c>
      <c r="B1214" t="s">
        <v>2347</v>
      </c>
      <c r="C1214" s="71" t="s">
        <v>2348</v>
      </c>
      <c r="D1214" s="75">
        <v>2000</v>
      </c>
      <c r="E1214" s="75">
        <v>0</v>
      </c>
      <c r="F1214" s="75">
        <v>35781.699999999997</v>
      </c>
      <c r="G1214" s="75"/>
      <c r="H1214" s="71" t="s">
        <v>511</v>
      </c>
      <c r="J1214" t="s">
        <v>756</v>
      </c>
    </row>
    <row r="1215" spans="1:10" x14ac:dyDescent="0.3">
      <c r="A1215" s="70">
        <v>45700</v>
      </c>
      <c r="B1215" t="s">
        <v>30</v>
      </c>
      <c r="C1215" s="71" t="s">
        <v>1298</v>
      </c>
      <c r="D1215" s="75">
        <v>102.52</v>
      </c>
      <c r="E1215" s="75">
        <v>0</v>
      </c>
      <c r="F1215" s="75">
        <v>100757.6</v>
      </c>
      <c r="G1215" s="75"/>
      <c r="H1215" s="71" t="s">
        <v>217</v>
      </c>
      <c r="J1215" t="s">
        <v>752</v>
      </c>
    </row>
    <row r="1216" spans="1:10" x14ac:dyDescent="0.3">
      <c r="A1216" s="70">
        <v>45700</v>
      </c>
      <c r="B1216" t="s">
        <v>30</v>
      </c>
      <c r="C1216" s="71" t="s">
        <v>1299</v>
      </c>
      <c r="D1216" s="75">
        <v>6345.92</v>
      </c>
      <c r="E1216" s="75">
        <v>0</v>
      </c>
      <c r="F1216" s="75">
        <v>94411.68</v>
      </c>
      <c r="G1216" s="75"/>
      <c r="H1216" s="71" t="s">
        <v>217</v>
      </c>
      <c r="J1216" t="s">
        <v>752</v>
      </c>
    </row>
    <row r="1217" spans="1:10" x14ac:dyDescent="0.3">
      <c r="A1217" s="70">
        <v>45700</v>
      </c>
      <c r="B1217" t="s">
        <v>30</v>
      </c>
      <c r="C1217" s="71" t="s">
        <v>1300</v>
      </c>
      <c r="D1217" s="75">
        <v>14734.21</v>
      </c>
      <c r="E1217" s="75">
        <v>0</v>
      </c>
      <c r="F1217" s="75">
        <v>79677.47</v>
      </c>
      <c r="G1217" s="75"/>
      <c r="H1217" s="71" t="s">
        <v>217</v>
      </c>
      <c r="J1217" t="s">
        <v>752</v>
      </c>
    </row>
    <row r="1218" spans="1:10" x14ac:dyDescent="0.3">
      <c r="A1218" s="70">
        <v>45700</v>
      </c>
      <c r="B1218" t="s">
        <v>2349</v>
      </c>
      <c r="C1218" s="71" t="s">
        <v>2350</v>
      </c>
      <c r="D1218" s="75">
        <v>0</v>
      </c>
      <c r="E1218" s="75">
        <v>501</v>
      </c>
      <c r="F1218" s="75">
        <v>36282.699999999997</v>
      </c>
      <c r="G1218" s="75"/>
      <c r="H1218" s="71" t="s">
        <v>2539</v>
      </c>
      <c r="J1218" t="s">
        <v>756</v>
      </c>
    </row>
    <row r="1219" spans="1:10" x14ac:dyDescent="0.3">
      <c r="A1219" s="70">
        <v>45700</v>
      </c>
      <c r="B1219" t="s">
        <v>2351</v>
      </c>
      <c r="C1219" s="71" t="s">
        <v>2352</v>
      </c>
      <c r="D1219" s="75">
        <v>91.36</v>
      </c>
      <c r="E1219" s="75">
        <v>0</v>
      </c>
      <c r="F1219" s="75">
        <v>36191.339999999997</v>
      </c>
      <c r="G1219" s="75"/>
      <c r="H1219" s="71" t="s">
        <v>511</v>
      </c>
      <c r="J1219" t="s">
        <v>756</v>
      </c>
    </row>
    <row r="1220" spans="1:10" x14ac:dyDescent="0.3">
      <c r="A1220" s="70">
        <v>45701</v>
      </c>
      <c r="B1220" t="s">
        <v>30</v>
      </c>
      <c r="C1220" s="71" t="s">
        <v>1301</v>
      </c>
      <c r="D1220" s="75">
        <v>95.01</v>
      </c>
      <c r="E1220" s="75">
        <v>0</v>
      </c>
      <c r="F1220" s="75">
        <v>79582.460000000006</v>
      </c>
      <c r="G1220" s="75"/>
      <c r="H1220" s="71" t="s">
        <v>217</v>
      </c>
      <c r="J1220" t="s">
        <v>752</v>
      </c>
    </row>
    <row r="1221" spans="1:10" x14ac:dyDescent="0.3">
      <c r="A1221" s="70">
        <v>45701</v>
      </c>
      <c r="B1221" t="s">
        <v>30</v>
      </c>
      <c r="C1221" s="71" t="s">
        <v>1302</v>
      </c>
      <c r="D1221" s="75">
        <v>2202.7399999999998</v>
      </c>
      <c r="E1221" s="75">
        <v>0</v>
      </c>
      <c r="F1221" s="75">
        <v>77379.72</v>
      </c>
      <c r="G1221" s="75"/>
      <c r="H1221" s="71" t="s">
        <v>217</v>
      </c>
      <c r="J1221" t="s">
        <v>752</v>
      </c>
    </row>
    <row r="1222" spans="1:10" x14ac:dyDescent="0.3">
      <c r="A1222" s="70">
        <v>45702</v>
      </c>
      <c r="B1222" t="s">
        <v>1303</v>
      </c>
      <c r="C1222" s="71" t="s">
        <v>1304</v>
      </c>
      <c r="D1222" s="75">
        <v>20000</v>
      </c>
      <c r="E1222" s="75">
        <v>0</v>
      </c>
      <c r="F1222" s="75">
        <v>57379.72</v>
      </c>
      <c r="G1222" s="75"/>
      <c r="H1222" s="71" t="s">
        <v>225</v>
      </c>
      <c r="J1222" t="s">
        <v>752</v>
      </c>
    </row>
    <row r="1223" spans="1:10" x14ac:dyDescent="0.3">
      <c r="A1223" s="70">
        <v>45702</v>
      </c>
      <c r="B1223" t="s">
        <v>30</v>
      </c>
      <c r="C1223" s="71" t="s">
        <v>1305</v>
      </c>
      <c r="D1223" s="75">
        <v>108.11</v>
      </c>
      <c r="E1223" s="75">
        <v>0</v>
      </c>
      <c r="F1223" s="75">
        <v>57271.61</v>
      </c>
      <c r="G1223" s="75"/>
      <c r="H1223" s="71" t="s">
        <v>217</v>
      </c>
      <c r="J1223" t="s">
        <v>752</v>
      </c>
    </row>
    <row r="1224" spans="1:10" x14ac:dyDescent="0.3">
      <c r="A1224" s="70">
        <v>45702</v>
      </c>
      <c r="B1224" t="s">
        <v>1306</v>
      </c>
      <c r="C1224" s="71" t="s">
        <v>46</v>
      </c>
      <c r="D1224" s="75">
        <v>188.8</v>
      </c>
      <c r="E1224" s="75">
        <v>0</v>
      </c>
      <c r="F1224" s="75">
        <v>57082.81</v>
      </c>
      <c r="G1224" s="75"/>
      <c r="H1224" s="71" t="s">
        <v>220</v>
      </c>
      <c r="J1224" t="s">
        <v>752</v>
      </c>
    </row>
    <row r="1225" spans="1:10" x14ac:dyDescent="0.3">
      <c r="A1225" s="70">
        <v>45702</v>
      </c>
      <c r="B1225" t="s">
        <v>30</v>
      </c>
      <c r="C1225" s="71" t="s">
        <v>1307</v>
      </c>
      <c r="D1225" s="75">
        <v>5174.0600000000004</v>
      </c>
      <c r="E1225" s="75">
        <v>0</v>
      </c>
      <c r="F1225" s="75">
        <v>51908.75</v>
      </c>
      <c r="G1225" s="75"/>
      <c r="H1225" s="71" t="s">
        <v>217</v>
      </c>
      <c r="J1225" t="s">
        <v>752</v>
      </c>
    </row>
    <row r="1226" spans="1:10" x14ac:dyDescent="0.3">
      <c r="A1226" s="70">
        <v>45703</v>
      </c>
      <c r="B1226" t="s">
        <v>1308</v>
      </c>
      <c r="C1226" s="71" t="s">
        <v>1309</v>
      </c>
      <c r="D1226" s="75">
        <v>0</v>
      </c>
      <c r="E1226" s="75">
        <v>144</v>
      </c>
      <c r="F1226" s="75">
        <v>52052.75</v>
      </c>
      <c r="G1226" s="75"/>
      <c r="H1226" s="71" t="s">
        <v>218</v>
      </c>
      <c r="J1226" t="s">
        <v>752</v>
      </c>
    </row>
    <row r="1227" spans="1:10" x14ac:dyDescent="0.3">
      <c r="A1227" s="70">
        <v>45703</v>
      </c>
      <c r="B1227" t="s">
        <v>1310</v>
      </c>
      <c r="C1227" s="71" t="s">
        <v>1311</v>
      </c>
      <c r="D1227" s="75">
        <v>20000</v>
      </c>
      <c r="E1227" s="75">
        <v>0</v>
      </c>
      <c r="F1227" s="75">
        <v>32052.75</v>
      </c>
      <c r="G1227" s="75"/>
      <c r="H1227" s="71" t="s">
        <v>225</v>
      </c>
      <c r="J1227" t="s">
        <v>752</v>
      </c>
    </row>
    <row r="1228" spans="1:10" x14ac:dyDescent="0.3">
      <c r="A1228" s="70">
        <v>45703</v>
      </c>
      <c r="B1228" t="s">
        <v>1459</v>
      </c>
      <c r="C1228" s="71" t="s">
        <v>556</v>
      </c>
      <c r="D1228" s="75">
        <v>45</v>
      </c>
      <c r="E1228" s="75">
        <v>0</v>
      </c>
      <c r="F1228" s="75">
        <v>40853.58</v>
      </c>
      <c r="G1228" s="75"/>
      <c r="H1228" s="71" t="s">
        <v>511</v>
      </c>
      <c r="J1228" t="s">
        <v>753</v>
      </c>
    </row>
    <row r="1229" spans="1:10" x14ac:dyDescent="0.3">
      <c r="A1229" s="70">
        <v>45703</v>
      </c>
      <c r="B1229" t="s">
        <v>2353</v>
      </c>
      <c r="C1229" s="71" t="s">
        <v>2354</v>
      </c>
      <c r="D1229" s="75">
        <v>70</v>
      </c>
      <c r="E1229" s="75">
        <v>0</v>
      </c>
      <c r="F1229" s="75">
        <v>36121.339999999997</v>
      </c>
      <c r="G1229" s="75"/>
      <c r="H1229" s="71" t="s">
        <v>511</v>
      </c>
      <c r="J1229" t="s">
        <v>756</v>
      </c>
    </row>
    <row r="1230" spans="1:10" x14ac:dyDescent="0.3">
      <c r="A1230" s="70">
        <v>45703</v>
      </c>
      <c r="B1230" t="s">
        <v>2355</v>
      </c>
      <c r="C1230" s="71" t="s">
        <v>2356</v>
      </c>
      <c r="D1230" s="75">
        <v>30</v>
      </c>
      <c r="E1230" s="75">
        <v>0</v>
      </c>
      <c r="F1230" s="75">
        <v>36091.339999999997</v>
      </c>
      <c r="G1230" s="75"/>
      <c r="H1230" s="71" t="s">
        <v>511</v>
      </c>
      <c r="J1230" t="s">
        <v>756</v>
      </c>
    </row>
    <row r="1231" spans="1:10" x14ac:dyDescent="0.3">
      <c r="A1231" s="70">
        <v>45703</v>
      </c>
      <c r="B1231" t="s">
        <v>2357</v>
      </c>
      <c r="C1231" s="71" t="s">
        <v>2358</v>
      </c>
      <c r="D1231" s="75">
        <v>32</v>
      </c>
      <c r="E1231" s="75">
        <v>0</v>
      </c>
      <c r="F1231" s="75">
        <v>36059.339999999997</v>
      </c>
      <c r="G1231" s="75"/>
      <c r="H1231" s="71" t="s">
        <v>511</v>
      </c>
      <c r="J1231" t="s">
        <v>756</v>
      </c>
    </row>
    <row r="1232" spans="1:10" x14ac:dyDescent="0.3">
      <c r="A1232" s="70">
        <v>45703</v>
      </c>
      <c r="B1232" t="s">
        <v>2359</v>
      </c>
      <c r="C1232" s="71" t="s">
        <v>2360</v>
      </c>
      <c r="D1232" s="75">
        <v>236.8</v>
      </c>
      <c r="E1232" s="75">
        <v>0</v>
      </c>
      <c r="F1232" s="75">
        <v>35822.54</v>
      </c>
      <c r="G1232" s="75"/>
      <c r="H1232" s="71" t="s">
        <v>511</v>
      </c>
      <c r="J1232" t="s">
        <v>756</v>
      </c>
    </row>
    <row r="1233" spans="1:10" x14ac:dyDescent="0.3">
      <c r="A1233" s="70">
        <v>45703</v>
      </c>
      <c r="B1233" t="s">
        <v>2361</v>
      </c>
      <c r="C1233" s="71" t="s">
        <v>2362</v>
      </c>
      <c r="D1233" s="75">
        <v>2828</v>
      </c>
      <c r="E1233" s="75">
        <v>0</v>
      </c>
      <c r="F1233" s="75">
        <v>32994.54</v>
      </c>
      <c r="G1233" s="75"/>
      <c r="H1233" s="71" t="s">
        <v>511</v>
      </c>
      <c r="J1233" t="s">
        <v>756</v>
      </c>
    </row>
    <row r="1234" spans="1:10" x14ac:dyDescent="0.3">
      <c r="A1234" s="70">
        <v>45703</v>
      </c>
      <c r="B1234" t="s">
        <v>2363</v>
      </c>
      <c r="C1234" s="71" t="s">
        <v>2364</v>
      </c>
      <c r="D1234" s="75">
        <v>45</v>
      </c>
      <c r="E1234" s="75">
        <v>0</v>
      </c>
      <c r="F1234" s="75">
        <v>32949.54</v>
      </c>
      <c r="G1234" s="75"/>
      <c r="H1234" s="71" t="s">
        <v>511</v>
      </c>
      <c r="J1234" t="s">
        <v>756</v>
      </c>
    </row>
    <row r="1235" spans="1:10" x14ac:dyDescent="0.3">
      <c r="A1235" s="70">
        <v>45703</v>
      </c>
      <c r="B1235" t="s">
        <v>2365</v>
      </c>
      <c r="C1235" s="71" t="s">
        <v>2366</v>
      </c>
      <c r="D1235" s="75">
        <v>268.14999999999998</v>
      </c>
      <c r="E1235" s="75">
        <v>0</v>
      </c>
      <c r="F1235" s="75">
        <v>32681.39</v>
      </c>
      <c r="G1235" s="75"/>
      <c r="H1235" s="71" t="s">
        <v>511</v>
      </c>
      <c r="J1235" t="s">
        <v>756</v>
      </c>
    </row>
    <row r="1236" spans="1:10" x14ac:dyDescent="0.3">
      <c r="A1236" s="70">
        <v>45703</v>
      </c>
      <c r="B1236" t="s">
        <v>2367</v>
      </c>
      <c r="C1236" s="71" t="s">
        <v>2368</v>
      </c>
      <c r="D1236" s="75">
        <v>40</v>
      </c>
      <c r="E1236" s="75">
        <v>0</v>
      </c>
      <c r="F1236" s="75">
        <v>32641.39</v>
      </c>
      <c r="G1236" s="75"/>
      <c r="H1236" s="71" t="s">
        <v>511</v>
      </c>
      <c r="J1236" t="s">
        <v>756</v>
      </c>
    </row>
    <row r="1237" spans="1:10" x14ac:dyDescent="0.3">
      <c r="A1237" s="70">
        <v>45703</v>
      </c>
      <c r="B1237" t="s">
        <v>2369</v>
      </c>
      <c r="C1237" s="71" t="s">
        <v>2370</v>
      </c>
      <c r="D1237" s="75">
        <v>18</v>
      </c>
      <c r="E1237" s="75">
        <v>0</v>
      </c>
      <c r="F1237" s="75">
        <v>32623.39</v>
      </c>
      <c r="G1237" s="75"/>
      <c r="H1237" s="71" t="s">
        <v>511</v>
      </c>
      <c r="J1237" t="s">
        <v>756</v>
      </c>
    </row>
    <row r="1238" spans="1:10" x14ac:dyDescent="0.3">
      <c r="A1238" s="70">
        <v>45703</v>
      </c>
      <c r="B1238" t="s">
        <v>2371</v>
      </c>
      <c r="C1238" s="71" t="s">
        <v>2372</v>
      </c>
      <c r="D1238" s="75">
        <v>0</v>
      </c>
      <c r="E1238" s="75">
        <v>45</v>
      </c>
      <c r="F1238" s="75">
        <v>32668.39</v>
      </c>
      <c r="G1238" s="75"/>
      <c r="H1238" s="71" t="s">
        <v>511</v>
      </c>
      <c r="J1238" t="s">
        <v>756</v>
      </c>
    </row>
    <row r="1239" spans="1:10" x14ac:dyDescent="0.3">
      <c r="A1239" s="70">
        <v>45704</v>
      </c>
      <c r="B1239" t="s">
        <v>1460</v>
      </c>
      <c r="C1239" s="71" t="s">
        <v>556</v>
      </c>
      <c r="D1239" s="75">
        <v>38</v>
      </c>
      <c r="E1239" s="75">
        <v>0</v>
      </c>
      <c r="F1239" s="75">
        <v>40815.58</v>
      </c>
      <c r="G1239" s="75"/>
      <c r="H1239" s="71" t="s">
        <v>511</v>
      </c>
      <c r="J1239" t="s">
        <v>753</v>
      </c>
    </row>
    <row r="1240" spans="1:10" x14ac:dyDescent="0.3">
      <c r="A1240" s="70">
        <v>45704</v>
      </c>
      <c r="B1240" t="s">
        <v>2373</v>
      </c>
      <c r="C1240" s="71" t="s">
        <v>2374</v>
      </c>
      <c r="D1240" s="75">
        <v>45</v>
      </c>
      <c r="E1240" s="75">
        <v>0</v>
      </c>
      <c r="F1240" s="75">
        <v>32623.39</v>
      </c>
      <c r="G1240" s="75"/>
      <c r="H1240" s="71" t="s">
        <v>511</v>
      </c>
      <c r="J1240" t="s">
        <v>756</v>
      </c>
    </row>
    <row r="1241" spans="1:10" x14ac:dyDescent="0.3">
      <c r="A1241" s="70">
        <v>45704</v>
      </c>
      <c r="B1241" t="s">
        <v>2375</v>
      </c>
      <c r="C1241" s="71" t="s">
        <v>2376</v>
      </c>
      <c r="D1241" s="75">
        <v>18</v>
      </c>
      <c r="E1241" s="75">
        <v>0</v>
      </c>
      <c r="F1241" s="75">
        <v>32605.39</v>
      </c>
      <c r="G1241" s="75"/>
      <c r="H1241" s="71" t="s">
        <v>511</v>
      </c>
      <c r="J1241" t="s">
        <v>756</v>
      </c>
    </row>
    <row r="1242" spans="1:10" x14ac:dyDescent="0.3">
      <c r="A1242" s="70">
        <v>45704</v>
      </c>
      <c r="B1242" t="s">
        <v>2377</v>
      </c>
      <c r="C1242" s="71" t="s">
        <v>2378</v>
      </c>
      <c r="D1242" s="75">
        <v>25</v>
      </c>
      <c r="E1242" s="75">
        <v>0</v>
      </c>
      <c r="F1242" s="75">
        <v>32580.39</v>
      </c>
      <c r="G1242" s="75"/>
      <c r="H1242" s="71" t="s">
        <v>511</v>
      </c>
      <c r="J1242" t="s">
        <v>756</v>
      </c>
    </row>
    <row r="1243" spans="1:10" x14ac:dyDescent="0.3">
      <c r="A1243" s="70">
        <v>45704</v>
      </c>
      <c r="B1243" t="s">
        <v>2379</v>
      </c>
      <c r="C1243" s="71" t="s">
        <v>2380</v>
      </c>
      <c r="D1243" s="75">
        <v>30</v>
      </c>
      <c r="E1243" s="75">
        <v>0</v>
      </c>
      <c r="F1243" s="75">
        <v>32550.39</v>
      </c>
      <c r="G1243" s="75"/>
      <c r="H1243" s="71" t="s">
        <v>511</v>
      </c>
      <c r="J1243" t="s">
        <v>756</v>
      </c>
    </row>
    <row r="1244" spans="1:10" x14ac:dyDescent="0.3">
      <c r="A1244" s="70">
        <v>45704</v>
      </c>
      <c r="B1244" t="s">
        <v>2381</v>
      </c>
      <c r="C1244" s="71" t="s">
        <v>2382</v>
      </c>
      <c r="D1244" s="75">
        <v>124.95</v>
      </c>
      <c r="E1244" s="75">
        <v>0</v>
      </c>
      <c r="F1244" s="75">
        <v>32425.439999999999</v>
      </c>
      <c r="G1244" s="75"/>
      <c r="H1244" s="71" t="s">
        <v>511</v>
      </c>
      <c r="J1244" t="s">
        <v>756</v>
      </c>
    </row>
    <row r="1245" spans="1:10" x14ac:dyDescent="0.3">
      <c r="A1245" s="70">
        <v>45704</v>
      </c>
      <c r="B1245" t="s">
        <v>2383</v>
      </c>
      <c r="C1245" s="71" t="s">
        <v>2384</v>
      </c>
      <c r="D1245" s="75">
        <v>20</v>
      </c>
      <c r="E1245" s="75">
        <v>0</v>
      </c>
      <c r="F1245" s="75">
        <v>32405.439999999999</v>
      </c>
      <c r="G1245" s="75"/>
      <c r="H1245" s="71" t="s">
        <v>511</v>
      </c>
      <c r="J1245" t="s">
        <v>756</v>
      </c>
    </row>
    <row r="1246" spans="1:10" x14ac:dyDescent="0.3">
      <c r="A1246" s="70">
        <v>45704</v>
      </c>
      <c r="B1246" t="s">
        <v>2385</v>
      </c>
      <c r="C1246" s="71" t="s">
        <v>2386</v>
      </c>
      <c r="D1246" s="75">
        <v>40</v>
      </c>
      <c r="E1246" s="75">
        <v>0</v>
      </c>
      <c r="F1246" s="75">
        <v>32365.439999999999</v>
      </c>
      <c r="G1246" s="75"/>
      <c r="H1246" s="71" t="s">
        <v>511</v>
      </c>
      <c r="J1246" t="s">
        <v>756</v>
      </c>
    </row>
    <row r="1247" spans="1:10" x14ac:dyDescent="0.3">
      <c r="A1247" s="70">
        <v>45704</v>
      </c>
      <c r="B1247" t="s">
        <v>2387</v>
      </c>
      <c r="C1247" s="71" t="s">
        <v>2388</v>
      </c>
      <c r="D1247" s="75">
        <v>18</v>
      </c>
      <c r="E1247" s="75">
        <v>0</v>
      </c>
      <c r="F1247" s="75">
        <v>32347.439999999999</v>
      </c>
      <c r="G1247" s="75"/>
      <c r="H1247" s="71" t="s">
        <v>511</v>
      </c>
      <c r="J1247" t="s">
        <v>756</v>
      </c>
    </row>
    <row r="1248" spans="1:10" x14ac:dyDescent="0.3">
      <c r="A1248" s="70">
        <v>45704</v>
      </c>
      <c r="B1248" t="s">
        <v>2389</v>
      </c>
      <c r="C1248" s="71" t="s">
        <v>2390</v>
      </c>
      <c r="D1248" s="75">
        <v>1160</v>
      </c>
      <c r="E1248" s="75">
        <v>0</v>
      </c>
      <c r="F1248" s="75">
        <v>31187.439999999999</v>
      </c>
      <c r="G1248" s="75"/>
      <c r="H1248" s="71" t="s">
        <v>511</v>
      </c>
      <c r="J1248" t="s">
        <v>756</v>
      </c>
    </row>
    <row r="1249" spans="1:10" x14ac:dyDescent="0.3">
      <c r="A1249" s="70">
        <v>45705</v>
      </c>
      <c r="B1249" t="s">
        <v>30</v>
      </c>
      <c r="C1249" s="71" t="s">
        <v>1312</v>
      </c>
      <c r="D1249" s="75">
        <v>318.81</v>
      </c>
      <c r="E1249" s="75">
        <v>0</v>
      </c>
      <c r="F1249" s="75">
        <v>31733.94</v>
      </c>
      <c r="G1249" s="75"/>
      <c r="H1249" s="71" t="s">
        <v>217</v>
      </c>
      <c r="J1249" t="s">
        <v>752</v>
      </c>
    </row>
    <row r="1250" spans="1:10" x14ac:dyDescent="0.3">
      <c r="A1250" s="70">
        <v>45705</v>
      </c>
      <c r="B1250" t="s">
        <v>30</v>
      </c>
      <c r="C1250" s="71" t="s">
        <v>1313</v>
      </c>
      <c r="D1250" s="75">
        <v>1721.54</v>
      </c>
      <c r="E1250" s="75">
        <v>0</v>
      </c>
      <c r="F1250" s="75">
        <v>30012.400000000001</v>
      </c>
      <c r="G1250" s="75"/>
      <c r="H1250" s="71" t="s">
        <v>217</v>
      </c>
      <c r="J1250" t="s">
        <v>752</v>
      </c>
    </row>
    <row r="1251" spans="1:10" x14ac:dyDescent="0.3">
      <c r="A1251" s="70">
        <v>45705</v>
      </c>
      <c r="B1251" t="s">
        <v>2391</v>
      </c>
      <c r="C1251" s="71" t="s">
        <v>2392</v>
      </c>
      <c r="D1251" s="75">
        <v>25</v>
      </c>
      <c r="E1251" s="75">
        <v>0</v>
      </c>
      <c r="F1251" s="75">
        <v>31162.44</v>
      </c>
      <c r="G1251" s="75"/>
      <c r="H1251" s="71" t="s">
        <v>511</v>
      </c>
      <c r="J1251" t="s">
        <v>756</v>
      </c>
    </row>
    <row r="1252" spans="1:10" x14ac:dyDescent="0.3">
      <c r="A1252" s="70">
        <v>45705</v>
      </c>
      <c r="B1252" t="s">
        <v>2393</v>
      </c>
      <c r="C1252" s="71" t="s">
        <v>2394</v>
      </c>
      <c r="D1252" s="75">
        <v>50</v>
      </c>
      <c r="E1252" s="75">
        <v>0</v>
      </c>
      <c r="F1252" s="75">
        <v>31112.44</v>
      </c>
      <c r="G1252" s="75"/>
      <c r="H1252" s="71" t="s">
        <v>511</v>
      </c>
      <c r="J1252" t="s">
        <v>756</v>
      </c>
    </row>
    <row r="1253" spans="1:10" x14ac:dyDescent="0.3">
      <c r="A1253" s="70">
        <v>45705</v>
      </c>
      <c r="B1253" t="s">
        <v>2395</v>
      </c>
      <c r="C1253" s="71" t="s">
        <v>2396</v>
      </c>
      <c r="D1253" s="75">
        <v>24400</v>
      </c>
      <c r="E1253" s="75">
        <v>0</v>
      </c>
      <c r="F1253" s="75">
        <v>6712.44</v>
      </c>
      <c r="G1253" s="75"/>
      <c r="H1253" s="71" t="s">
        <v>511</v>
      </c>
      <c r="J1253" t="s">
        <v>756</v>
      </c>
    </row>
    <row r="1254" spans="1:10" x14ac:dyDescent="0.3">
      <c r="A1254" s="70">
        <v>45705</v>
      </c>
      <c r="B1254" t="s">
        <v>2397</v>
      </c>
      <c r="C1254" s="71" t="s">
        <v>2398</v>
      </c>
      <c r="D1254" s="75">
        <v>46</v>
      </c>
      <c r="E1254" s="75">
        <v>0</v>
      </c>
      <c r="F1254" s="75">
        <v>6666.44</v>
      </c>
      <c r="G1254" s="75"/>
      <c r="H1254" s="71" t="s">
        <v>511</v>
      </c>
      <c r="J1254" t="s">
        <v>756</v>
      </c>
    </row>
    <row r="1255" spans="1:10" x14ac:dyDescent="0.3">
      <c r="A1255" s="70">
        <v>45706</v>
      </c>
      <c r="B1255" t="s">
        <v>30</v>
      </c>
      <c r="C1255" s="71" t="s">
        <v>1314</v>
      </c>
      <c r="D1255" s="75">
        <v>105.65</v>
      </c>
      <c r="E1255" s="75">
        <v>0</v>
      </c>
      <c r="F1255" s="75">
        <v>29906.75</v>
      </c>
      <c r="G1255" s="75"/>
      <c r="H1255" s="71" t="s">
        <v>217</v>
      </c>
      <c r="J1255" t="s">
        <v>752</v>
      </c>
    </row>
    <row r="1256" spans="1:10" x14ac:dyDescent="0.3">
      <c r="A1256" s="70">
        <v>45706</v>
      </c>
      <c r="B1256" t="s">
        <v>1315</v>
      </c>
      <c r="C1256" s="71" t="s">
        <v>1316</v>
      </c>
      <c r="D1256" s="75">
        <v>0</v>
      </c>
      <c r="E1256" s="75">
        <v>187.5</v>
      </c>
      <c r="F1256" s="75">
        <v>30094.25</v>
      </c>
      <c r="G1256" s="75"/>
      <c r="H1256" s="71" t="s">
        <v>218</v>
      </c>
      <c r="J1256" t="s">
        <v>752</v>
      </c>
    </row>
    <row r="1257" spans="1:10" x14ac:dyDescent="0.3">
      <c r="A1257" s="70">
        <v>45706</v>
      </c>
      <c r="B1257" t="s">
        <v>30</v>
      </c>
      <c r="C1257" s="71" t="s">
        <v>1317</v>
      </c>
      <c r="D1257" s="75">
        <v>333.44</v>
      </c>
      <c r="E1257" s="75">
        <v>0</v>
      </c>
      <c r="F1257" s="75">
        <v>29760.81</v>
      </c>
      <c r="G1257" s="75"/>
      <c r="H1257" s="71" t="s">
        <v>217</v>
      </c>
      <c r="J1257" t="s">
        <v>752</v>
      </c>
    </row>
    <row r="1258" spans="1:10" x14ac:dyDescent="0.3">
      <c r="A1258" s="70">
        <v>45706</v>
      </c>
      <c r="B1258" t="s">
        <v>2399</v>
      </c>
      <c r="C1258" s="71" t="s">
        <v>2400</v>
      </c>
      <c r="D1258" s="75">
        <v>0</v>
      </c>
      <c r="E1258" s="75">
        <v>2.5</v>
      </c>
      <c r="F1258" s="75">
        <v>6668.94</v>
      </c>
      <c r="G1258" s="75"/>
      <c r="H1258" s="71" t="s">
        <v>218</v>
      </c>
      <c r="J1258" t="s">
        <v>756</v>
      </c>
    </row>
    <row r="1259" spans="1:10" x14ac:dyDescent="0.3">
      <c r="A1259" s="70">
        <v>45706</v>
      </c>
      <c r="B1259" t="s">
        <v>2401</v>
      </c>
      <c r="C1259" s="71" t="s">
        <v>2402</v>
      </c>
      <c r="D1259" s="75">
        <v>0</v>
      </c>
      <c r="E1259" s="75">
        <v>245</v>
      </c>
      <c r="F1259" s="75">
        <v>6913.94</v>
      </c>
      <c r="G1259" s="75"/>
      <c r="H1259" s="71" t="s">
        <v>218</v>
      </c>
      <c r="J1259" t="s">
        <v>756</v>
      </c>
    </row>
    <row r="1260" spans="1:10" x14ac:dyDescent="0.3">
      <c r="A1260" s="70">
        <v>45707</v>
      </c>
      <c r="B1260" t="s">
        <v>30</v>
      </c>
      <c r="C1260" s="71" t="s">
        <v>1318</v>
      </c>
      <c r="D1260" s="75">
        <v>105.53</v>
      </c>
      <c r="E1260" s="75">
        <v>0</v>
      </c>
      <c r="F1260" s="75">
        <v>29655.279999999999</v>
      </c>
      <c r="G1260" s="75"/>
      <c r="H1260" s="71" t="s">
        <v>217</v>
      </c>
      <c r="J1260" t="s">
        <v>752</v>
      </c>
    </row>
    <row r="1261" spans="1:10" x14ac:dyDescent="0.3">
      <c r="A1261" s="70">
        <v>45707</v>
      </c>
      <c r="B1261" t="s">
        <v>2403</v>
      </c>
      <c r="C1261" s="71" t="s">
        <v>2404</v>
      </c>
      <c r="D1261" s="75">
        <v>30</v>
      </c>
      <c r="E1261" s="75">
        <v>0</v>
      </c>
      <c r="F1261" s="75">
        <v>6883.94</v>
      </c>
      <c r="G1261" s="75"/>
      <c r="H1261" s="71" t="s">
        <v>511</v>
      </c>
      <c r="J1261" t="s">
        <v>756</v>
      </c>
    </row>
    <row r="1262" spans="1:10" x14ac:dyDescent="0.3">
      <c r="A1262" s="70">
        <v>45707</v>
      </c>
      <c r="B1262" t="s">
        <v>2405</v>
      </c>
      <c r="C1262" s="71" t="s">
        <v>2406</v>
      </c>
      <c r="D1262" s="75">
        <v>69</v>
      </c>
      <c r="E1262" s="75">
        <v>0</v>
      </c>
      <c r="F1262" s="75">
        <v>6814.94</v>
      </c>
      <c r="G1262" s="75"/>
      <c r="H1262" s="71" t="s">
        <v>511</v>
      </c>
      <c r="J1262" t="s">
        <v>756</v>
      </c>
    </row>
    <row r="1263" spans="1:10" x14ac:dyDescent="0.3">
      <c r="A1263" s="70">
        <v>45707</v>
      </c>
      <c r="B1263" t="s">
        <v>2407</v>
      </c>
      <c r="C1263" s="71" t="s">
        <v>2408</v>
      </c>
      <c r="D1263" s="75">
        <v>45</v>
      </c>
      <c r="E1263" s="75">
        <v>0</v>
      </c>
      <c r="F1263" s="75">
        <v>6769.94</v>
      </c>
      <c r="G1263" s="75"/>
      <c r="H1263" s="71" t="s">
        <v>511</v>
      </c>
      <c r="J1263" t="s">
        <v>756</v>
      </c>
    </row>
    <row r="1264" spans="1:10" x14ac:dyDescent="0.3">
      <c r="A1264" s="70">
        <v>45708</v>
      </c>
      <c r="B1264" t="s">
        <v>1319</v>
      </c>
      <c r="C1264" s="71" t="s">
        <v>1320</v>
      </c>
      <c r="D1264" s="75">
        <v>0</v>
      </c>
      <c r="E1264" s="75">
        <v>3065.4</v>
      </c>
      <c r="F1264" s="75">
        <v>32720.68</v>
      </c>
      <c r="G1264" s="75"/>
      <c r="H1264" s="71" t="s">
        <v>2523</v>
      </c>
      <c r="J1264" t="s">
        <v>752</v>
      </c>
    </row>
    <row r="1265" spans="1:10" x14ac:dyDescent="0.3">
      <c r="A1265" s="70">
        <v>45708</v>
      </c>
      <c r="B1265" t="s">
        <v>1321</v>
      </c>
      <c r="C1265" s="71" t="s">
        <v>1322</v>
      </c>
      <c r="D1265" s="75">
        <v>0</v>
      </c>
      <c r="E1265" s="75">
        <v>10326.120000000001</v>
      </c>
      <c r="F1265" s="75">
        <v>43046.8</v>
      </c>
      <c r="G1265" s="75"/>
      <c r="H1265" s="71" t="s">
        <v>2523</v>
      </c>
      <c r="J1265" t="s">
        <v>752</v>
      </c>
    </row>
    <row r="1266" spans="1:10" x14ac:dyDescent="0.3">
      <c r="A1266" s="70">
        <v>45708</v>
      </c>
      <c r="B1266" t="s">
        <v>30</v>
      </c>
      <c r="C1266" s="71" t="s">
        <v>1323</v>
      </c>
      <c r="D1266" s="75">
        <v>105.53</v>
      </c>
      <c r="E1266" s="75">
        <v>0</v>
      </c>
      <c r="F1266" s="75">
        <v>42941.27</v>
      </c>
      <c r="G1266" s="75"/>
      <c r="H1266" s="71" t="s">
        <v>217</v>
      </c>
      <c r="J1266" t="s">
        <v>752</v>
      </c>
    </row>
    <row r="1267" spans="1:10" x14ac:dyDescent="0.3">
      <c r="A1267" s="70">
        <v>45709</v>
      </c>
      <c r="B1267" t="s">
        <v>1324</v>
      </c>
      <c r="C1267" s="71" t="s">
        <v>1325</v>
      </c>
      <c r="D1267" s="75">
        <v>0</v>
      </c>
      <c r="E1267" s="75">
        <v>2236.5100000000002</v>
      </c>
      <c r="F1267" s="75">
        <v>45177.78</v>
      </c>
      <c r="G1267" s="75"/>
      <c r="H1267" s="71" t="s">
        <v>2523</v>
      </c>
      <c r="J1267" t="s">
        <v>752</v>
      </c>
    </row>
    <row r="1268" spans="1:10" x14ac:dyDescent="0.3">
      <c r="A1268" s="70">
        <v>45709</v>
      </c>
      <c r="B1268" t="s">
        <v>30</v>
      </c>
      <c r="C1268" s="71" t="s">
        <v>1326</v>
      </c>
      <c r="D1268" s="75">
        <v>106.63</v>
      </c>
      <c r="E1268" s="75">
        <v>0</v>
      </c>
      <c r="F1268" s="75">
        <v>45071.15</v>
      </c>
      <c r="G1268" s="75"/>
      <c r="H1268" s="71" t="s">
        <v>217</v>
      </c>
      <c r="J1268" t="s">
        <v>752</v>
      </c>
    </row>
    <row r="1269" spans="1:10" x14ac:dyDescent="0.3">
      <c r="A1269" s="70">
        <v>45709</v>
      </c>
      <c r="B1269" t="s">
        <v>30</v>
      </c>
      <c r="C1269" s="71" t="s">
        <v>1327</v>
      </c>
      <c r="D1269" s="75">
        <v>4936.38</v>
      </c>
      <c r="E1269" s="75">
        <v>0</v>
      </c>
      <c r="F1269" s="75">
        <v>40134.769999999997</v>
      </c>
      <c r="G1269" s="75"/>
      <c r="H1269" s="71" t="s">
        <v>217</v>
      </c>
      <c r="J1269" t="s">
        <v>752</v>
      </c>
    </row>
    <row r="1270" spans="1:10" x14ac:dyDescent="0.3">
      <c r="A1270" s="70">
        <v>45709</v>
      </c>
      <c r="B1270" t="s">
        <v>2409</v>
      </c>
      <c r="C1270" s="71" t="s">
        <v>2410</v>
      </c>
      <c r="D1270" s="75">
        <v>100</v>
      </c>
      <c r="E1270" s="75">
        <v>0</v>
      </c>
      <c r="F1270" s="75">
        <v>6669.94</v>
      </c>
      <c r="G1270" s="75"/>
      <c r="H1270" s="71" t="s">
        <v>511</v>
      </c>
      <c r="J1270" t="s">
        <v>756</v>
      </c>
    </row>
    <row r="1271" spans="1:10" x14ac:dyDescent="0.3">
      <c r="A1271" s="70">
        <v>45709</v>
      </c>
      <c r="B1271" t="s">
        <v>2411</v>
      </c>
      <c r="C1271" s="71" t="s">
        <v>2412</v>
      </c>
      <c r="D1271" s="75">
        <v>1700</v>
      </c>
      <c r="E1271" s="75">
        <v>0</v>
      </c>
      <c r="F1271" s="75">
        <v>4969.9399999999996</v>
      </c>
      <c r="G1271" s="75"/>
      <c r="H1271" s="71" t="s">
        <v>511</v>
      </c>
      <c r="J1271" t="s">
        <v>756</v>
      </c>
    </row>
    <row r="1272" spans="1:10" x14ac:dyDescent="0.3">
      <c r="A1272" s="70">
        <v>45709</v>
      </c>
      <c r="B1272" t="s">
        <v>2413</v>
      </c>
      <c r="C1272" s="71" t="s">
        <v>2414</v>
      </c>
      <c r="D1272" s="75">
        <v>20</v>
      </c>
      <c r="E1272" s="75">
        <v>0</v>
      </c>
      <c r="F1272" s="75">
        <v>4949.9399999999996</v>
      </c>
      <c r="G1272" s="75"/>
      <c r="H1272" s="71" t="s">
        <v>511</v>
      </c>
      <c r="J1272" t="s">
        <v>756</v>
      </c>
    </row>
    <row r="1273" spans="1:10" x14ac:dyDescent="0.3">
      <c r="A1273" s="70">
        <v>45709</v>
      </c>
      <c r="B1273" t="s">
        <v>2415</v>
      </c>
      <c r="C1273" s="71" t="s">
        <v>2416</v>
      </c>
      <c r="D1273" s="75">
        <v>25</v>
      </c>
      <c r="E1273" s="75">
        <v>0</v>
      </c>
      <c r="F1273" s="75">
        <v>4924.9399999999996</v>
      </c>
      <c r="G1273" s="75"/>
      <c r="H1273" s="71" t="s">
        <v>511</v>
      </c>
      <c r="J1273" t="s">
        <v>756</v>
      </c>
    </row>
    <row r="1274" spans="1:10" x14ac:dyDescent="0.3">
      <c r="A1274" s="70">
        <v>45710</v>
      </c>
      <c r="B1274" t="s">
        <v>2417</v>
      </c>
      <c r="C1274" s="71" t="s">
        <v>2418</v>
      </c>
      <c r="D1274" s="75">
        <v>35</v>
      </c>
      <c r="E1274" s="75">
        <v>0</v>
      </c>
      <c r="F1274" s="75">
        <v>4889.9399999999996</v>
      </c>
      <c r="G1274" s="75"/>
      <c r="H1274" s="71" t="s">
        <v>511</v>
      </c>
      <c r="J1274" t="s">
        <v>756</v>
      </c>
    </row>
    <row r="1275" spans="1:10" x14ac:dyDescent="0.3">
      <c r="A1275" s="70">
        <v>45711</v>
      </c>
      <c r="B1275" t="s">
        <v>1461</v>
      </c>
      <c r="C1275" s="71" t="s">
        <v>545</v>
      </c>
      <c r="D1275" s="75">
        <v>15250</v>
      </c>
      <c r="E1275" s="75">
        <v>0</v>
      </c>
      <c r="F1275" s="75">
        <v>25565.58</v>
      </c>
      <c r="G1275" s="75"/>
      <c r="H1275" s="71" t="s">
        <v>511</v>
      </c>
      <c r="J1275" t="s">
        <v>753</v>
      </c>
    </row>
    <row r="1276" spans="1:10" x14ac:dyDescent="0.3">
      <c r="A1276" s="70">
        <v>45711</v>
      </c>
      <c r="B1276" t="s">
        <v>2419</v>
      </c>
      <c r="C1276" s="71" t="s">
        <v>2420</v>
      </c>
      <c r="D1276" s="75">
        <v>45</v>
      </c>
      <c r="E1276" s="75">
        <v>0</v>
      </c>
      <c r="F1276" s="75">
        <v>4844.9399999999996</v>
      </c>
      <c r="G1276" s="75"/>
      <c r="H1276" s="71" t="s">
        <v>511</v>
      </c>
      <c r="J1276" t="s">
        <v>756</v>
      </c>
    </row>
    <row r="1277" spans="1:10" x14ac:dyDescent="0.3">
      <c r="A1277" s="70">
        <v>45711</v>
      </c>
      <c r="B1277" t="s">
        <v>2421</v>
      </c>
      <c r="C1277" s="71" t="s">
        <v>2422</v>
      </c>
      <c r="D1277" s="75">
        <v>18</v>
      </c>
      <c r="E1277" s="75">
        <v>0</v>
      </c>
      <c r="F1277" s="75">
        <v>4826.9399999999996</v>
      </c>
      <c r="G1277" s="75"/>
      <c r="H1277" s="71" t="s">
        <v>511</v>
      </c>
      <c r="J1277" t="s">
        <v>756</v>
      </c>
    </row>
    <row r="1278" spans="1:10" x14ac:dyDescent="0.3">
      <c r="A1278" s="70">
        <v>45711</v>
      </c>
      <c r="B1278" t="s">
        <v>2423</v>
      </c>
      <c r="C1278" s="71" t="s">
        <v>2424</v>
      </c>
      <c r="D1278" s="75">
        <v>35</v>
      </c>
      <c r="E1278" s="75">
        <v>0</v>
      </c>
      <c r="F1278" s="75">
        <v>4791.9399999999996</v>
      </c>
      <c r="G1278" s="75"/>
      <c r="H1278" s="71" t="s">
        <v>511</v>
      </c>
      <c r="J1278" t="s">
        <v>756</v>
      </c>
    </row>
    <row r="1279" spans="1:10" x14ac:dyDescent="0.3">
      <c r="A1279" s="70">
        <v>45711</v>
      </c>
      <c r="B1279" t="s">
        <v>2425</v>
      </c>
      <c r="C1279" s="71" t="s">
        <v>2426</v>
      </c>
      <c r="D1279" s="75">
        <v>171</v>
      </c>
      <c r="E1279" s="75">
        <v>0</v>
      </c>
      <c r="F1279" s="75">
        <v>4620.9399999999996</v>
      </c>
      <c r="G1279" s="75"/>
      <c r="H1279" s="71" t="s">
        <v>511</v>
      </c>
      <c r="J1279" t="s">
        <v>756</v>
      </c>
    </row>
    <row r="1280" spans="1:10" x14ac:dyDescent="0.3">
      <c r="A1280" s="70">
        <v>45711</v>
      </c>
      <c r="B1280" t="s">
        <v>2427</v>
      </c>
      <c r="C1280" s="71" t="s">
        <v>2428</v>
      </c>
      <c r="D1280" s="75">
        <v>800</v>
      </c>
      <c r="E1280" s="75">
        <v>0</v>
      </c>
      <c r="F1280" s="75">
        <v>3820.94</v>
      </c>
      <c r="G1280" s="75"/>
      <c r="H1280" s="71" t="s">
        <v>511</v>
      </c>
      <c r="J1280" t="s">
        <v>756</v>
      </c>
    </row>
    <row r="1281" spans="1:10" x14ac:dyDescent="0.3">
      <c r="A1281" s="70">
        <v>45711</v>
      </c>
      <c r="B1281" t="s">
        <v>2429</v>
      </c>
      <c r="C1281" s="71" t="s">
        <v>2430</v>
      </c>
      <c r="D1281" s="75">
        <v>193</v>
      </c>
      <c r="E1281" s="75">
        <v>0</v>
      </c>
      <c r="F1281" s="75">
        <v>3627.94</v>
      </c>
      <c r="G1281" s="75"/>
      <c r="H1281" s="71" t="s">
        <v>511</v>
      </c>
      <c r="J1281" t="s">
        <v>756</v>
      </c>
    </row>
    <row r="1282" spans="1:10" x14ac:dyDescent="0.3">
      <c r="A1282" s="70">
        <v>45711</v>
      </c>
      <c r="B1282" t="s">
        <v>2431</v>
      </c>
      <c r="C1282" s="71" t="s">
        <v>2432</v>
      </c>
      <c r="D1282" s="75">
        <v>149</v>
      </c>
      <c r="E1282" s="75">
        <v>0</v>
      </c>
      <c r="F1282" s="75">
        <v>3478.94</v>
      </c>
      <c r="G1282" s="75"/>
      <c r="H1282" s="71" t="s">
        <v>511</v>
      </c>
      <c r="J1282" t="s">
        <v>756</v>
      </c>
    </row>
    <row r="1283" spans="1:10" x14ac:dyDescent="0.3">
      <c r="A1283" s="70">
        <v>45711</v>
      </c>
      <c r="B1283" t="s">
        <v>2433</v>
      </c>
      <c r="C1283" s="71" t="s">
        <v>2434</v>
      </c>
      <c r="D1283" s="75">
        <v>24</v>
      </c>
      <c r="E1283" s="75">
        <v>0</v>
      </c>
      <c r="F1283" s="75">
        <v>3454.94</v>
      </c>
      <c r="G1283" s="75"/>
      <c r="H1283" s="71" t="s">
        <v>511</v>
      </c>
      <c r="J1283" t="s">
        <v>756</v>
      </c>
    </row>
    <row r="1284" spans="1:10" x14ac:dyDescent="0.3">
      <c r="A1284" s="70">
        <v>45712</v>
      </c>
      <c r="B1284" t="s">
        <v>30</v>
      </c>
      <c r="C1284" s="71" t="s">
        <v>1328</v>
      </c>
      <c r="D1284" s="75">
        <v>316.98</v>
      </c>
      <c r="E1284" s="75">
        <v>0</v>
      </c>
      <c r="F1284" s="75">
        <v>39817.79</v>
      </c>
      <c r="G1284" s="75"/>
      <c r="H1284" s="71" t="s">
        <v>217</v>
      </c>
      <c r="J1284" t="s">
        <v>752</v>
      </c>
    </row>
    <row r="1285" spans="1:10" x14ac:dyDescent="0.3">
      <c r="A1285" s="70">
        <v>45712</v>
      </c>
      <c r="B1285" t="s">
        <v>1329</v>
      </c>
      <c r="C1285" s="71" t="s">
        <v>1330</v>
      </c>
      <c r="D1285" s="75">
        <v>0</v>
      </c>
      <c r="E1285" s="75">
        <v>800</v>
      </c>
      <c r="F1285" s="75">
        <v>40617.79</v>
      </c>
      <c r="G1285" s="75"/>
      <c r="H1285" s="71" t="s">
        <v>509</v>
      </c>
      <c r="J1285" t="s">
        <v>752</v>
      </c>
    </row>
    <row r="1286" spans="1:10" x14ac:dyDescent="0.3">
      <c r="A1286" s="70">
        <v>45712</v>
      </c>
      <c r="B1286" t="s">
        <v>30</v>
      </c>
      <c r="C1286" s="71" t="s">
        <v>1331</v>
      </c>
      <c r="D1286" s="75">
        <v>6052.68</v>
      </c>
      <c r="E1286" s="75">
        <v>0</v>
      </c>
      <c r="F1286" s="75">
        <v>34565.11</v>
      </c>
      <c r="G1286" s="75"/>
      <c r="H1286" s="71" t="s">
        <v>217</v>
      </c>
      <c r="J1286" t="s">
        <v>752</v>
      </c>
    </row>
    <row r="1287" spans="1:10" x14ac:dyDescent="0.3">
      <c r="A1287" s="70">
        <v>45712</v>
      </c>
      <c r="B1287" t="s">
        <v>2435</v>
      </c>
      <c r="C1287" s="71" t="s">
        <v>2436</v>
      </c>
      <c r="D1287" s="75">
        <v>50</v>
      </c>
      <c r="E1287" s="75">
        <v>0</v>
      </c>
      <c r="F1287" s="75">
        <v>3404.94</v>
      </c>
      <c r="G1287" s="75"/>
      <c r="H1287" s="71" t="s">
        <v>511</v>
      </c>
      <c r="J1287" t="s">
        <v>756</v>
      </c>
    </row>
    <row r="1288" spans="1:10" x14ac:dyDescent="0.3">
      <c r="A1288" s="70">
        <v>45712</v>
      </c>
      <c r="B1288" t="s">
        <v>2437</v>
      </c>
      <c r="C1288" s="71" t="s">
        <v>2438</v>
      </c>
      <c r="D1288" s="75">
        <v>33</v>
      </c>
      <c r="E1288" s="75">
        <v>0</v>
      </c>
      <c r="F1288" s="75">
        <v>3371.94</v>
      </c>
      <c r="G1288" s="75"/>
      <c r="H1288" s="71" t="s">
        <v>511</v>
      </c>
      <c r="J1288" t="s">
        <v>756</v>
      </c>
    </row>
    <row r="1289" spans="1:10" x14ac:dyDescent="0.3">
      <c r="A1289" s="70">
        <v>45713</v>
      </c>
      <c r="B1289" t="s">
        <v>30</v>
      </c>
      <c r="C1289" s="71" t="s">
        <v>1332</v>
      </c>
      <c r="D1289" s="75">
        <v>103.51</v>
      </c>
      <c r="E1289" s="75">
        <v>0</v>
      </c>
      <c r="F1289" s="75">
        <v>34461.599999999999</v>
      </c>
      <c r="G1289" s="75"/>
      <c r="H1289" s="71" t="s">
        <v>217</v>
      </c>
      <c r="J1289" t="s">
        <v>752</v>
      </c>
    </row>
    <row r="1290" spans="1:10" x14ac:dyDescent="0.3">
      <c r="A1290" s="70">
        <v>45713</v>
      </c>
      <c r="B1290" t="s">
        <v>1333</v>
      </c>
      <c r="C1290" s="71" t="s">
        <v>1334</v>
      </c>
      <c r="D1290" s="75">
        <v>0</v>
      </c>
      <c r="E1290" s="75">
        <v>700</v>
      </c>
      <c r="F1290" s="75">
        <v>35161.599999999999</v>
      </c>
      <c r="G1290" s="75"/>
      <c r="H1290" s="71" t="s">
        <v>218</v>
      </c>
      <c r="J1290" t="s">
        <v>752</v>
      </c>
    </row>
    <row r="1291" spans="1:10" x14ac:dyDescent="0.3">
      <c r="A1291" s="70">
        <v>45713</v>
      </c>
      <c r="B1291" t="s">
        <v>1462</v>
      </c>
      <c r="C1291" s="71" t="s">
        <v>582</v>
      </c>
      <c r="D1291" s="75">
        <v>606.54</v>
      </c>
      <c r="E1291" s="75">
        <v>0</v>
      </c>
      <c r="F1291" s="75">
        <v>24959.040000000001</v>
      </c>
      <c r="G1291" s="75"/>
      <c r="H1291" s="71" t="s">
        <v>511</v>
      </c>
      <c r="J1291" t="s">
        <v>753</v>
      </c>
    </row>
    <row r="1292" spans="1:10" x14ac:dyDescent="0.3">
      <c r="A1292" s="70">
        <v>45713</v>
      </c>
      <c r="B1292" t="s">
        <v>2439</v>
      </c>
      <c r="C1292" s="71" t="s">
        <v>2440</v>
      </c>
      <c r="D1292" s="75">
        <v>109</v>
      </c>
      <c r="E1292" s="75">
        <v>0</v>
      </c>
      <c r="F1292" s="75">
        <v>3262.94</v>
      </c>
      <c r="G1292" s="75"/>
      <c r="H1292" s="71" t="s">
        <v>511</v>
      </c>
      <c r="J1292" t="s">
        <v>756</v>
      </c>
    </row>
    <row r="1293" spans="1:10" x14ac:dyDescent="0.3">
      <c r="A1293" s="70">
        <v>45713</v>
      </c>
      <c r="B1293" t="s">
        <v>2441</v>
      </c>
      <c r="C1293" s="71" t="s">
        <v>2442</v>
      </c>
      <c r="D1293" s="75">
        <v>2200</v>
      </c>
      <c r="E1293" s="75">
        <v>0</v>
      </c>
      <c r="F1293" s="75">
        <v>1062.94</v>
      </c>
      <c r="G1293" s="75"/>
      <c r="H1293" s="71" t="s">
        <v>511</v>
      </c>
      <c r="J1293" t="s">
        <v>756</v>
      </c>
    </row>
    <row r="1294" spans="1:10" x14ac:dyDescent="0.3">
      <c r="A1294" s="70">
        <v>45713</v>
      </c>
      <c r="B1294" t="s">
        <v>2443</v>
      </c>
      <c r="C1294" s="71" t="s">
        <v>2444</v>
      </c>
      <c r="D1294" s="75">
        <v>140</v>
      </c>
      <c r="E1294" s="75">
        <v>0</v>
      </c>
      <c r="F1294" s="75">
        <v>922.94</v>
      </c>
      <c r="G1294" s="75"/>
      <c r="H1294" s="71" t="s">
        <v>511</v>
      </c>
      <c r="J1294" t="s">
        <v>756</v>
      </c>
    </row>
    <row r="1295" spans="1:10" x14ac:dyDescent="0.3">
      <c r="A1295" s="70">
        <v>45714</v>
      </c>
      <c r="B1295" t="s">
        <v>30</v>
      </c>
      <c r="C1295" s="71" t="s">
        <v>1335</v>
      </c>
      <c r="D1295" s="75">
        <v>2289.2199999999998</v>
      </c>
      <c r="E1295" s="75">
        <v>0</v>
      </c>
      <c r="F1295" s="75">
        <v>32872.379999999997</v>
      </c>
      <c r="G1295" s="75"/>
      <c r="H1295" s="71" t="s">
        <v>217</v>
      </c>
      <c r="J1295" t="s">
        <v>752</v>
      </c>
    </row>
    <row r="1296" spans="1:10" x14ac:dyDescent="0.3">
      <c r="A1296" s="70">
        <v>45714</v>
      </c>
      <c r="B1296" t="s">
        <v>1463</v>
      </c>
      <c r="C1296" s="71" t="s">
        <v>564</v>
      </c>
      <c r="D1296" s="75">
        <v>78</v>
      </c>
      <c r="E1296" s="75">
        <v>0</v>
      </c>
      <c r="F1296" s="75">
        <v>24881.040000000001</v>
      </c>
      <c r="G1296" s="75"/>
      <c r="H1296" s="71" t="s">
        <v>511</v>
      </c>
      <c r="J1296" t="s">
        <v>753</v>
      </c>
    </row>
    <row r="1297" spans="1:10" x14ac:dyDescent="0.3">
      <c r="A1297" s="70">
        <v>45714</v>
      </c>
      <c r="B1297" t="s">
        <v>1464</v>
      </c>
      <c r="C1297" s="71" t="s">
        <v>564</v>
      </c>
      <c r="D1297" s="75">
        <v>10</v>
      </c>
      <c r="E1297" s="75">
        <v>0</v>
      </c>
      <c r="F1297" s="75">
        <v>24871.040000000001</v>
      </c>
      <c r="G1297" s="75"/>
      <c r="H1297" s="71" t="s">
        <v>511</v>
      </c>
      <c r="J1297" t="s">
        <v>753</v>
      </c>
    </row>
    <row r="1298" spans="1:10" x14ac:dyDescent="0.3">
      <c r="A1298" s="70">
        <v>45714</v>
      </c>
      <c r="B1298" t="s">
        <v>1465</v>
      </c>
      <c r="C1298" s="71" t="s">
        <v>564</v>
      </c>
      <c r="D1298" s="75">
        <v>5</v>
      </c>
      <c r="E1298" s="75">
        <v>0</v>
      </c>
      <c r="F1298" s="75">
        <v>24866.04</v>
      </c>
      <c r="G1298" s="75"/>
      <c r="H1298" s="71" t="s">
        <v>511</v>
      </c>
      <c r="J1298" t="s">
        <v>753</v>
      </c>
    </row>
    <row r="1299" spans="1:10" x14ac:dyDescent="0.3">
      <c r="A1299" s="70">
        <v>45714</v>
      </c>
      <c r="B1299" t="s">
        <v>1466</v>
      </c>
      <c r="C1299" s="71" t="s">
        <v>564</v>
      </c>
      <c r="D1299" s="75">
        <v>440</v>
      </c>
      <c r="E1299" s="75">
        <v>0</v>
      </c>
      <c r="F1299" s="75">
        <v>24426.04</v>
      </c>
      <c r="G1299" s="75"/>
      <c r="H1299" s="71" t="s">
        <v>511</v>
      </c>
      <c r="J1299" t="s">
        <v>753</v>
      </c>
    </row>
    <row r="1300" spans="1:10" x14ac:dyDescent="0.3">
      <c r="A1300" s="70">
        <v>45714</v>
      </c>
      <c r="B1300" t="s">
        <v>1467</v>
      </c>
      <c r="C1300" s="71" t="s">
        <v>564</v>
      </c>
      <c r="D1300" s="75">
        <v>7000</v>
      </c>
      <c r="E1300" s="75">
        <v>0</v>
      </c>
      <c r="F1300" s="75">
        <v>17426.04</v>
      </c>
      <c r="G1300" s="75"/>
      <c r="H1300" s="71" t="s">
        <v>511</v>
      </c>
      <c r="J1300" t="s">
        <v>753</v>
      </c>
    </row>
    <row r="1301" spans="1:10" x14ac:dyDescent="0.3">
      <c r="A1301" s="70">
        <v>45714</v>
      </c>
      <c r="B1301" t="s">
        <v>2445</v>
      </c>
      <c r="C1301" s="71" t="s">
        <v>2446</v>
      </c>
      <c r="D1301" s="75">
        <v>80</v>
      </c>
      <c r="E1301" s="75">
        <v>0</v>
      </c>
      <c r="F1301" s="75">
        <v>842.94</v>
      </c>
      <c r="G1301" s="75"/>
      <c r="H1301" s="71" t="s">
        <v>511</v>
      </c>
      <c r="J1301" t="s">
        <v>756</v>
      </c>
    </row>
    <row r="1302" spans="1:10" x14ac:dyDescent="0.3">
      <c r="A1302" s="70">
        <v>45714</v>
      </c>
      <c r="B1302" t="s">
        <v>2447</v>
      </c>
      <c r="C1302" s="71" t="s">
        <v>2448</v>
      </c>
      <c r="D1302" s="75">
        <v>0</v>
      </c>
      <c r="E1302" s="75">
        <v>7000</v>
      </c>
      <c r="F1302" s="75">
        <v>7842.94</v>
      </c>
      <c r="G1302" s="75"/>
      <c r="H1302" s="71" t="s">
        <v>511</v>
      </c>
      <c r="J1302" t="s">
        <v>756</v>
      </c>
    </row>
    <row r="1303" spans="1:10" x14ac:dyDescent="0.3">
      <c r="A1303" s="70">
        <v>45715</v>
      </c>
      <c r="B1303" t="s">
        <v>30</v>
      </c>
      <c r="C1303" s="71" t="s">
        <v>1336</v>
      </c>
      <c r="D1303" s="75">
        <v>213.52</v>
      </c>
      <c r="E1303" s="75">
        <v>0</v>
      </c>
      <c r="F1303" s="75">
        <v>32658.86</v>
      </c>
      <c r="G1303" s="75"/>
      <c r="H1303" s="71" t="s">
        <v>217</v>
      </c>
      <c r="J1303" t="s">
        <v>752</v>
      </c>
    </row>
    <row r="1304" spans="1:10" x14ac:dyDescent="0.3">
      <c r="A1304" s="70">
        <v>45715</v>
      </c>
      <c r="B1304" t="s">
        <v>30</v>
      </c>
      <c r="C1304" s="71" t="s">
        <v>1337</v>
      </c>
      <c r="D1304" s="75">
        <v>17681.82</v>
      </c>
      <c r="E1304" s="75">
        <v>0</v>
      </c>
      <c r="F1304" s="75">
        <v>14977.04</v>
      </c>
      <c r="G1304" s="75"/>
      <c r="H1304" s="71" t="s">
        <v>217</v>
      </c>
      <c r="J1304" t="s">
        <v>752</v>
      </c>
    </row>
    <row r="1305" spans="1:10" x14ac:dyDescent="0.3">
      <c r="A1305" s="70">
        <v>45715</v>
      </c>
      <c r="B1305" t="s">
        <v>1468</v>
      </c>
      <c r="C1305" s="71" t="s">
        <v>572</v>
      </c>
      <c r="D1305" s="75">
        <v>0</v>
      </c>
      <c r="E1305" s="75">
        <v>20000</v>
      </c>
      <c r="F1305" s="75">
        <v>37426.04</v>
      </c>
      <c r="G1305" s="75"/>
      <c r="H1305" s="71" t="s">
        <v>511</v>
      </c>
      <c r="J1305" t="s">
        <v>753</v>
      </c>
    </row>
    <row r="1306" spans="1:10" x14ac:dyDescent="0.3">
      <c r="A1306" s="70">
        <v>45715</v>
      </c>
      <c r="B1306" t="s">
        <v>2449</v>
      </c>
      <c r="C1306" s="71" t="s">
        <v>2450</v>
      </c>
      <c r="D1306" s="75">
        <v>0</v>
      </c>
      <c r="E1306" s="75">
        <v>28.5</v>
      </c>
      <c r="F1306" s="75">
        <v>7871.44</v>
      </c>
      <c r="G1306" s="75"/>
      <c r="H1306" s="71" t="s">
        <v>218</v>
      </c>
      <c r="J1306" t="s">
        <v>756</v>
      </c>
    </row>
    <row r="1307" spans="1:10" x14ac:dyDescent="0.3">
      <c r="A1307" s="70">
        <v>45715</v>
      </c>
      <c r="B1307" t="s">
        <v>2451</v>
      </c>
      <c r="C1307" s="71" t="s">
        <v>2452</v>
      </c>
      <c r="D1307" s="75">
        <v>0</v>
      </c>
      <c r="E1307" s="75">
        <v>200</v>
      </c>
      <c r="F1307" s="75">
        <v>8071.44</v>
      </c>
      <c r="G1307" s="75"/>
      <c r="H1307" s="71" t="s">
        <v>511</v>
      </c>
      <c r="J1307" t="s">
        <v>756</v>
      </c>
    </row>
    <row r="1308" spans="1:10" x14ac:dyDescent="0.3">
      <c r="A1308" s="70">
        <v>45716</v>
      </c>
      <c r="B1308" t="s">
        <v>1338</v>
      </c>
      <c r="C1308" s="71" t="s">
        <v>1339</v>
      </c>
      <c r="D1308" s="75">
        <v>5000</v>
      </c>
      <c r="E1308" s="75">
        <v>0</v>
      </c>
      <c r="F1308" s="75">
        <v>9977.0400000000009</v>
      </c>
      <c r="G1308" s="75"/>
      <c r="H1308" s="71" t="s">
        <v>219</v>
      </c>
      <c r="J1308" t="s">
        <v>752</v>
      </c>
    </row>
    <row r="1309" spans="1:10" x14ac:dyDescent="0.3">
      <c r="A1309" s="70">
        <v>45716</v>
      </c>
      <c r="B1309" t="s">
        <v>1340</v>
      </c>
      <c r="C1309" s="71" t="s">
        <v>1341</v>
      </c>
      <c r="D1309" s="75">
        <v>5000</v>
      </c>
      <c r="E1309" s="75">
        <v>0</v>
      </c>
      <c r="F1309" s="75">
        <v>4977.04</v>
      </c>
      <c r="G1309" s="75"/>
      <c r="H1309" s="71" t="s">
        <v>219</v>
      </c>
      <c r="J1309" t="s">
        <v>752</v>
      </c>
    </row>
    <row r="1310" spans="1:10" x14ac:dyDescent="0.3">
      <c r="A1310" s="70">
        <v>45716</v>
      </c>
      <c r="B1310" t="s">
        <v>30</v>
      </c>
      <c r="C1310" s="71" t="s">
        <v>1342</v>
      </c>
      <c r="D1310" s="75">
        <v>100.46</v>
      </c>
      <c r="E1310" s="75">
        <v>0</v>
      </c>
      <c r="F1310" s="75">
        <v>4876.58</v>
      </c>
      <c r="G1310" s="75"/>
      <c r="H1310" s="71" t="s">
        <v>217</v>
      </c>
      <c r="J1310" t="s">
        <v>752</v>
      </c>
    </row>
    <row r="1311" spans="1:10" x14ac:dyDescent="0.3">
      <c r="A1311" s="70">
        <v>45716</v>
      </c>
      <c r="B1311" t="s">
        <v>1343</v>
      </c>
      <c r="C1311" s="71" t="s">
        <v>1344</v>
      </c>
      <c r="D1311" s="75">
        <v>0</v>
      </c>
      <c r="E1311" s="75">
        <v>171</v>
      </c>
      <c r="F1311" s="75">
        <v>5047.58</v>
      </c>
      <c r="G1311" s="75"/>
      <c r="H1311" s="71" t="s">
        <v>218</v>
      </c>
      <c r="J1311" t="s">
        <v>752</v>
      </c>
    </row>
    <row r="1312" spans="1:10" x14ac:dyDescent="0.3">
      <c r="A1312" s="70">
        <v>45716</v>
      </c>
      <c r="B1312" t="s">
        <v>1469</v>
      </c>
      <c r="C1312" s="71" t="s">
        <v>1416</v>
      </c>
      <c r="D1312" s="75">
        <v>140.30000000000001</v>
      </c>
      <c r="E1312" s="75">
        <v>0</v>
      </c>
      <c r="F1312" s="75">
        <v>37285.74</v>
      </c>
      <c r="G1312" s="75"/>
      <c r="H1312" s="71" t="s">
        <v>511</v>
      </c>
      <c r="J1312" t="s">
        <v>753</v>
      </c>
    </row>
    <row r="1313" spans="1:10" x14ac:dyDescent="0.3">
      <c r="A1313" s="70">
        <v>45716</v>
      </c>
      <c r="B1313" t="s">
        <v>1470</v>
      </c>
      <c r="C1313" s="71" t="s">
        <v>1416</v>
      </c>
      <c r="D1313" s="75">
        <v>100</v>
      </c>
      <c r="E1313" s="75">
        <v>0</v>
      </c>
      <c r="F1313" s="75">
        <v>37185.74</v>
      </c>
      <c r="G1313" s="75"/>
      <c r="H1313" s="71" t="s">
        <v>511</v>
      </c>
      <c r="J1313" t="s">
        <v>753</v>
      </c>
    </row>
    <row r="1314" spans="1:10" x14ac:dyDescent="0.3">
      <c r="A1314" s="70">
        <v>45716</v>
      </c>
      <c r="B1314" t="s">
        <v>2453</v>
      </c>
      <c r="C1314" s="71" t="s">
        <v>2454</v>
      </c>
      <c r="D1314" s="75">
        <v>7000</v>
      </c>
      <c r="E1314" s="75">
        <v>0</v>
      </c>
      <c r="F1314" s="75">
        <v>1071.44</v>
      </c>
      <c r="G1314" s="75"/>
      <c r="H1314" s="71" t="s">
        <v>2532</v>
      </c>
      <c r="J1314" t="s">
        <v>756</v>
      </c>
    </row>
    <row r="1315" spans="1:10" x14ac:dyDescent="0.3">
      <c r="A1315" s="70">
        <v>45716</v>
      </c>
      <c r="B1315" t="s">
        <v>2455</v>
      </c>
      <c r="C1315" s="71" t="s">
        <v>2456</v>
      </c>
      <c r="D1315" s="75">
        <v>0</v>
      </c>
      <c r="E1315" s="75">
        <v>150</v>
      </c>
      <c r="F1315" s="75">
        <v>1221.44</v>
      </c>
      <c r="G1315" s="75"/>
      <c r="H1315" s="71" t="s">
        <v>511</v>
      </c>
      <c r="J1315" t="s">
        <v>756</v>
      </c>
    </row>
    <row r="1316" spans="1:10" x14ac:dyDescent="0.3">
      <c r="A1316" s="70">
        <v>45717</v>
      </c>
      <c r="B1316" t="s">
        <v>30</v>
      </c>
      <c r="C1316" s="71" t="s">
        <v>1345</v>
      </c>
      <c r="D1316" s="75">
        <v>5047.58</v>
      </c>
      <c r="E1316" s="75">
        <v>0</v>
      </c>
      <c r="F1316" s="75">
        <v>0</v>
      </c>
      <c r="G1316" s="75"/>
      <c r="H1316" s="71" t="s">
        <v>217</v>
      </c>
      <c r="J1316" t="s">
        <v>752</v>
      </c>
    </row>
    <row r="1317" spans="1:10" x14ac:dyDescent="0.3">
      <c r="A1317" s="70">
        <v>45717</v>
      </c>
      <c r="B1317" t="s">
        <v>1471</v>
      </c>
      <c r="C1317" s="71" t="s">
        <v>556</v>
      </c>
      <c r="D1317" s="75">
        <v>50</v>
      </c>
      <c r="E1317" s="75">
        <v>0</v>
      </c>
      <c r="F1317" s="75">
        <v>37135.74</v>
      </c>
      <c r="G1317" s="75"/>
      <c r="H1317" s="71" t="s">
        <v>511</v>
      </c>
      <c r="J1317" t="s">
        <v>753</v>
      </c>
    </row>
    <row r="1318" spans="1:10" x14ac:dyDescent="0.3">
      <c r="A1318" s="70">
        <v>45717</v>
      </c>
      <c r="B1318" t="s">
        <v>1472</v>
      </c>
      <c r="C1318" s="71" t="s">
        <v>556</v>
      </c>
      <c r="D1318" s="75">
        <v>23000</v>
      </c>
      <c r="E1318" s="75">
        <v>0</v>
      </c>
      <c r="F1318" s="75">
        <v>14135.74</v>
      </c>
      <c r="G1318" s="75"/>
      <c r="H1318" s="71" t="s">
        <v>2548</v>
      </c>
      <c r="J1318" t="s">
        <v>753</v>
      </c>
    </row>
    <row r="1319" spans="1:10" x14ac:dyDescent="0.3">
      <c r="A1319" s="70">
        <v>45717</v>
      </c>
      <c r="B1319" t="s">
        <v>1473</v>
      </c>
      <c r="C1319" s="71" t="s">
        <v>556</v>
      </c>
      <c r="D1319" s="75">
        <v>1000</v>
      </c>
      <c r="E1319" s="75">
        <v>0</v>
      </c>
      <c r="F1319" s="75">
        <v>13135.74</v>
      </c>
      <c r="G1319" s="75"/>
      <c r="H1319" s="71" t="s">
        <v>511</v>
      </c>
      <c r="J1319" t="s">
        <v>753</v>
      </c>
    </row>
    <row r="1320" spans="1:10" x14ac:dyDescent="0.3">
      <c r="A1320" s="70">
        <v>45717</v>
      </c>
      <c r="B1320" t="s">
        <v>2571</v>
      </c>
      <c r="C1320" s="71"/>
      <c r="D1320" s="75">
        <v>0</v>
      </c>
      <c r="E1320" s="75">
        <v>1</v>
      </c>
      <c r="F1320" s="75">
        <v>236</v>
      </c>
      <c r="G1320" s="75"/>
      <c r="H1320" s="71" t="s">
        <v>227</v>
      </c>
      <c r="J1320" t="s">
        <v>2573</v>
      </c>
    </row>
    <row r="1321" spans="1:10" x14ac:dyDescent="0.3">
      <c r="A1321" s="70">
        <v>45718</v>
      </c>
      <c r="B1321" t="s">
        <v>1346</v>
      </c>
      <c r="C1321" s="71" t="s">
        <v>1347</v>
      </c>
      <c r="D1321" s="75">
        <v>0</v>
      </c>
      <c r="E1321" s="75">
        <v>25000</v>
      </c>
      <c r="F1321" s="75">
        <v>25000</v>
      </c>
      <c r="G1321" s="75"/>
      <c r="H1321" s="71" t="s">
        <v>2520</v>
      </c>
      <c r="J1321" t="s">
        <v>752</v>
      </c>
    </row>
    <row r="1322" spans="1:10" x14ac:dyDescent="0.3">
      <c r="A1322" s="70">
        <v>45718</v>
      </c>
      <c r="B1322" t="s">
        <v>1474</v>
      </c>
      <c r="C1322" s="71" t="s">
        <v>545</v>
      </c>
      <c r="D1322" s="75">
        <v>1000</v>
      </c>
      <c r="E1322" s="75">
        <v>0</v>
      </c>
      <c r="F1322" s="75">
        <v>12135.74</v>
      </c>
      <c r="G1322" s="75"/>
      <c r="H1322" s="71" t="s">
        <v>511</v>
      </c>
      <c r="J1322" t="s">
        <v>753</v>
      </c>
    </row>
    <row r="1323" spans="1:10" x14ac:dyDescent="0.3">
      <c r="A1323" s="70">
        <v>45718</v>
      </c>
      <c r="B1323" t="s">
        <v>1475</v>
      </c>
      <c r="C1323" s="71" t="s">
        <v>545</v>
      </c>
      <c r="D1323" s="75">
        <v>50</v>
      </c>
      <c r="E1323" s="75">
        <v>0</v>
      </c>
      <c r="F1323" s="75">
        <v>12085.74</v>
      </c>
      <c r="G1323" s="75"/>
      <c r="H1323" s="71" t="s">
        <v>511</v>
      </c>
      <c r="J1323" t="s">
        <v>753</v>
      </c>
    </row>
    <row r="1324" spans="1:10" x14ac:dyDescent="0.3">
      <c r="A1324" s="70">
        <v>45718</v>
      </c>
      <c r="B1324" t="s">
        <v>1476</v>
      </c>
      <c r="C1324" s="71" t="s">
        <v>545</v>
      </c>
      <c r="D1324" s="75">
        <v>100</v>
      </c>
      <c r="E1324" s="75">
        <v>0</v>
      </c>
      <c r="F1324" s="75">
        <v>11985.74</v>
      </c>
      <c r="G1324" s="75"/>
      <c r="H1324" s="71" t="s">
        <v>511</v>
      </c>
      <c r="J1324" t="s">
        <v>753</v>
      </c>
    </row>
    <row r="1325" spans="1:10" x14ac:dyDescent="0.3">
      <c r="A1325" s="70">
        <v>45718</v>
      </c>
      <c r="B1325" t="s">
        <v>1477</v>
      </c>
      <c r="C1325" s="71" t="s">
        <v>545</v>
      </c>
      <c r="D1325" s="75">
        <v>105</v>
      </c>
      <c r="E1325" s="75">
        <v>0</v>
      </c>
      <c r="F1325" s="75">
        <v>11880.74</v>
      </c>
      <c r="G1325" s="75"/>
      <c r="H1325" s="71" t="s">
        <v>511</v>
      </c>
      <c r="J1325" t="s">
        <v>753</v>
      </c>
    </row>
    <row r="1326" spans="1:10" x14ac:dyDescent="0.3">
      <c r="A1326" s="70">
        <v>45718</v>
      </c>
      <c r="B1326" t="s">
        <v>1478</v>
      </c>
      <c r="C1326" s="71" t="s">
        <v>545</v>
      </c>
      <c r="D1326" s="75">
        <v>59</v>
      </c>
      <c r="E1326" s="75">
        <v>0</v>
      </c>
      <c r="F1326" s="75">
        <v>11821.74</v>
      </c>
      <c r="G1326" s="75"/>
      <c r="H1326" s="71" t="s">
        <v>511</v>
      </c>
      <c r="J1326" t="s">
        <v>753</v>
      </c>
    </row>
    <row r="1327" spans="1:10" x14ac:dyDescent="0.3">
      <c r="A1327" s="70">
        <v>45719</v>
      </c>
      <c r="B1327" t="s">
        <v>30</v>
      </c>
      <c r="C1327" s="71" t="s">
        <v>1348</v>
      </c>
      <c r="D1327" s="75">
        <v>4497.54</v>
      </c>
      <c r="E1327" s="75">
        <v>0</v>
      </c>
      <c r="F1327" s="75">
        <v>20502.46</v>
      </c>
      <c r="G1327" s="75"/>
      <c r="H1327" s="71" t="s">
        <v>217</v>
      </c>
      <c r="J1327" t="s">
        <v>752</v>
      </c>
    </row>
    <row r="1328" spans="1:10" x14ac:dyDescent="0.3">
      <c r="A1328" s="70">
        <v>45719</v>
      </c>
      <c r="B1328" t="s">
        <v>30</v>
      </c>
      <c r="C1328" s="71" t="s">
        <v>1349</v>
      </c>
      <c r="D1328" s="75">
        <v>328.47</v>
      </c>
      <c r="E1328" s="75">
        <v>0</v>
      </c>
      <c r="F1328" s="75">
        <v>20173.990000000002</v>
      </c>
      <c r="G1328" s="75"/>
      <c r="H1328" s="71" t="s">
        <v>217</v>
      </c>
      <c r="J1328" t="s">
        <v>752</v>
      </c>
    </row>
    <row r="1329" spans="1:13" x14ac:dyDescent="0.3">
      <c r="A1329" s="70">
        <v>45719</v>
      </c>
      <c r="B1329" t="s">
        <v>30</v>
      </c>
      <c r="C1329" s="71" t="s">
        <v>1350</v>
      </c>
      <c r="D1329" s="75">
        <v>140.41</v>
      </c>
      <c r="E1329" s="75">
        <v>0</v>
      </c>
      <c r="F1329" s="75">
        <v>20033.580000000002</v>
      </c>
      <c r="G1329" s="75"/>
      <c r="H1329" s="71" t="s">
        <v>217</v>
      </c>
      <c r="J1329" t="s">
        <v>752</v>
      </c>
    </row>
    <row r="1330" spans="1:13" x14ac:dyDescent="0.3">
      <c r="A1330" s="70">
        <v>45719</v>
      </c>
      <c r="B1330" t="s">
        <v>1479</v>
      </c>
      <c r="C1330" s="71" t="s">
        <v>1480</v>
      </c>
      <c r="D1330" s="75">
        <v>0</v>
      </c>
      <c r="E1330" s="75">
        <v>1</v>
      </c>
      <c r="F1330" s="75">
        <v>11822.74</v>
      </c>
      <c r="G1330" s="75"/>
      <c r="H1330" s="71" t="s">
        <v>226</v>
      </c>
      <c r="J1330" t="s">
        <v>753</v>
      </c>
    </row>
    <row r="1331" spans="1:13" x14ac:dyDescent="0.3">
      <c r="A1331" s="70">
        <v>45719</v>
      </c>
      <c r="B1331" t="s">
        <v>1481</v>
      </c>
      <c r="C1331" s="71" t="s">
        <v>574</v>
      </c>
      <c r="D1331" s="75">
        <v>1000</v>
      </c>
      <c r="E1331" s="75">
        <v>0</v>
      </c>
      <c r="F1331" s="75">
        <v>10822.74</v>
      </c>
      <c r="G1331" s="75"/>
      <c r="H1331" s="71" t="s">
        <v>511</v>
      </c>
      <c r="J1331" t="s">
        <v>753</v>
      </c>
    </row>
    <row r="1332" spans="1:13" x14ac:dyDescent="0.3">
      <c r="A1332" s="70">
        <v>45719</v>
      </c>
      <c r="B1332" t="s">
        <v>1482</v>
      </c>
      <c r="C1332" s="71" t="s">
        <v>547</v>
      </c>
      <c r="D1332" s="75">
        <v>0</v>
      </c>
      <c r="E1332" s="75">
        <v>41850</v>
      </c>
      <c r="F1332" s="75">
        <v>52672.74</v>
      </c>
      <c r="G1332" s="75"/>
      <c r="H1332" s="71" t="s">
        <v>511</v>
      </c>
      <c r="J1332" t="s">
        <v>753</v>
      </c>
    </row>
    <row r="1333" spans="1:13" x14ac:dyDescent="0.3">
      <c r="A1333" s="70">
        <v>45719</v>
      </c>
      <c r="B1333" t="s">
        <v>1483</v>
      </c>
      <c r="C1333" s="71" t="s">
        <v>1484</v>
      </c>
      <c r="D1333" s="75">
        <v>26023</v>
      </c>
      <c r="E1333" s="75">
        <v>0</v>
      </c>
      <c r="F1333" s="75">
        <v>26649.74</v>
      </c>
      <c r="G1333" s="75"/>
      <c r="H1333" s="71" t="s">
        <v>2540</v>
      </c>
      <c r="J1333" t="s">
        <v>753</v>
      </c>
      <c r="L1333" s="89">
        <f>22053-D1333</f>
        <v>-3970</v>
      </c>
      <c r="M1333" s="91">
        <f>L1333/22053</f>
        <v>-0.18002085884006711</v>
      </c>
    </row>
    <row r="1334" spans="1:13" x14ac:dyDescent="0.3">
      <c r="A1334" s="70">
        <v>45719</v>
      </c>
      <c r="B1334" t="s">
        <v>2457</v>
      </c>
      <c r="C1334" s="71" t="s">
        <v>2458</v>
      </c>
      <c r="D1334" s="75">
        <v>0</v>
      </c>
      <c r="E1334" s="75">
        <v>60</v>
      </c>
      <c r="F1334" s="75">
        <v>1281.44</v>
      </c>
      <c r="G1334" s="75"/>
      <c r="H1334" s="71" t="s">
        <v>218</v>
      </c>
      <c r="J1334" t="s">
        <v>756</v>
      </c>
    </row>
    <row r="1335" spans="1:13" x14ac:dyDescent="0.3">
      <c r="A1335" s="70">
        <v>45719</v>
      </c>
      <c r="B1335" t="s">
        <v>2459</v>
      </c>
      <c r="C1335" s="71" t="s">
        <v>2460</v>
      </c>
      <c r="D1335" s="75">
        <v>0</v>
      </c>
      <c r="E1335" s="75">
        <v>1</v>
      </c>
      <c r="F1335" s="75">
        <v>1282.44</v>
      </c>
      <c r="G1335" s="75"/>
      <c r="H1335" s="71" t="s">
        <v>226</v>
      </c>
      <c r="J1335" t="s">
        <v>756</v>
      </c>
    </row>
    <row r="1336" spans="1:13" x14ac:dyDescent="0.3">
      <c r="A1336" s="70">
        <v>45720</v>
      </c>
      <c r="B1336" t="s">
        <v>30</v>
      </c>
      <c r="C1336" s="71" t="s">
        <v>1351</v>
      </c>
      <c r="D1336" s="75">
        <v>107.84</v>
      </c>
      <c r="E1336" s="75">
        <v>0</v>
      </c>
      <c r="F1336" s="75">
        <v>19925.740000000002</v>
      </c>
      <c r="G1336" s="75"/>
      <c r="H1336" s="71" t="s">
        <v>217</v>
      </c>
      <c r="J1336" t="s">
        <v>752</v>
      </c>
    </row>
    <row r="1337" spans="1:13" x14ac:dyDescent="0.3">
      <c r="A1337" s="70">
        <v>45720</v>
      </c>
      <c r="B1337" t="s">
        <v>1485</v>
      </c>
      <c r="C1337" s="71" t="s">
        <v>582</v>
      </c>
      <c r="D1337" s="75">
        <v>1000</v>
      </c>
      <c r="E1337" s="75">
        <v>0</v>
      </c>
      <c r="F1337" s="75">
        <v>25649.74</v>
      </c>
      <c r="G1337" s="75"/>
      <c r="H1337" s="71" t="s">
        <v>511</v>
      </c>
      <c r="J1337" t="s">
        <v>753</v>
      </c>
    </row>
    <row r="1338" spans="1:13" x14ac:dyDescent="0.3">
      <c r="A1338" s="70">
        <v>45720</v>
      </c>
      <c r="B1338" t="s">
        <v>1486</v>
      </c>
      <c r="C1338" s="71" t="s">
        <v>582</v>
      </c>
      <c r="D1338" s="75">
        <v>3000</v>
      </c>
      <c r="E1338" s="75">
        <v>0</v>
      </c>
      <c r="F1338" s="75">
        <v>22649.74</v>
      </c>
      <c r="G1338" s="75"/>
      <c r="H1338" s="71" t="s">
        <v>511</v>
      </c>
      <c r="J1338" t="s">
        <v>753</v>
      </c>
    </row>
    <row r="1339" spans="1:13" x14ac:dyDescent="0.3">
      <c r="A1339" s="70">
        <v>45720</v>
      </c>
      <c r="B1339" t="s">
        <v>1487</v>
      </c>
      <c r="C1339" s="71" t="s">
        <v>582</v>
      </c>
      <c r="D1339" s="75">
        <v>139</v>
      </c>
      <c r="E1339" s="75">
        <v>0</v>
      </c>
      <c r="F1339" s="75">
        <v>22510.74</v>
      </c>
      <c r="G1339" s="75"/>
      <c r="H1339" s="71" t="s">
        <v>511</v>
      </c>
      <c r="J1339" t="s">
        <v>753</v>
      </c>
    </row>
    <row r="1340" spans="1:13" x14ac:dyDescent="0.3">
      <c r="A1340" s="70">
        <v>45721</v>
      </c>
      <c r="B1340" t="s">
        <v>1352</v>
      </c>
      <c r="C1340" s="71" t="s">
        <v>1353</v>
      </c>
      <c r="D1340" s="75">
        <v>0</v>
      </c>
      <c r="E1340" s="75">
        <v>1205.07</v>
      </c>
      <c r="F1340" s="75">
        <v>21130.81</v>
      </c>
      <c r="G1340" s="75"/>
      <c r="H1340" s="71" t="s">
        <v>2523</v>
      </c>
      <c r="J1340" t="s">
        <v>752</v>
      </c>
    </row>
    <row r="1341" spans="1:13" x14ac:dyDescent="0.3">
      <c r="A1341" s="70">
        <v>45721</v>
      </c>
      <c r="B1341" t="s">
        <v>30</v>
      </c>
      <c r="C1341" s="71" t="s">
        <v>1354</v>
      </c>
      <c r="D1341" s="75">
        <v>107.84</v>
      </c>
      <c r="E1341" s="75">
        <v>0</v>
      </c>
      <c r="F1341" s="75">
        <v>21022.97</v>
      </c>
      <c r="G1341" s="75"/>
      <c r="H1341" s="71" t="s">
        <v>217</v>
      </c>
      <c r="J1341" t="s">
        <v>752</v>
      </c>
    </row>
    <row r="1342" spans="1:13" x14ac:dyDescent="0.3">
      <c r="A1342" s="70">
        <v>45721</v>
      </c>
      <c r="B1342" t="s">
        <v>1355</v>
      </c>
      <c r="C1342" s="71" t="s">
        <v>1356</v>
      </c>
      <c r="D1342" s="75">
        <v>0</v>
      </c>
      <c r="E1342" s="75">
        <v>150000</v>
      </c>
      <c r="F1342" s="75">
        <v>171022.97</v>
      </c>
      <c r="G1342" s="75"/>
      <c r="H1342" s="71" t="s">
        <v>2520</v>
      </c>
      <c r="J1342" t="s">
        <v>752</v>
      </c>
    </row>
    <row r="1343" spans="1:13" x14ac:dyDescent="0.3">
      <c r="A1343" s="70">
        <v>45721</v>
      </c>
      <c r="B1343" t="s">
        <v>1488</v>
      </c>
      <c r="C1343" s="71" t="s">
        <v>564</v>
      </c>
      <c r="D1343" s="75">
        <v>1500</v>
      </c>
      <c r="E1343" s="75">
        <v>0</v>
      </c>
      <c r="F1343" s="75">
        <v>21010.74</v>
      </c>
      <c r="G1343" s="75"/>
      <c r="H1343" s="71" t="s">
        <v>511</v>
      </c>
      <c r="J1343" t="s">
        <v>753</v>
      </c>
    </row>
    <row r="1344" spans="1:13" x14ac:dyDescent="0.3">
      <c r="A1344" s="70">
        <v>45721</v>
      </c>
      <c r="B1344" t="s">
        <v>1489</v>
      </c>
      <c r="C1344" s="71" t="s">
        <v>564</v>
      </c>
      <c r="D1344" s="75">
        <v>50</v>
      </c>
      <c r="E1344" s="75">
        <v>0</v>
      </c>
      <c r="F1344" s="75">
        <v>20960.740000000002</v>
      </c>
      <c r="G1344" s="75"/>
      <c r="H1344" s="71" t="s">
        <v>511</v>
      </c>
      <c r="J1344" t="s">
        <v>753</v>
      </c>
    </row>
    <row r="1345" spans="1:10" x14ac:dyDescent="0.3">
      <c r="A1345" s="70">
        <v>45722</v>
      </c>
      <c r="B1345" t="s">
        <v>1357</v>
      </c>
      <c r="C1345" s="71" t="s">
        <v>1358</v>
      </c>
      <c r="D1345" s="75">
        <v>0</v>
      </c>
      <c r="E1345" s="75">
        <v>8902.19</v>
      </c>
      <c r="F1345" s="75">
        <v>179925.16</v>
      </c>
      <c r="G1345" s="75"/>
      <c r="H1345" s="71" t="s">
        <v>2523</v>
      </c>
      <c r="J1345" t="s">
        <v>752</v>
      </c>
    </row>
    <row r="1346" spans="1:10" x14ac:dyDescent="0.3">
      <c r="A1346" s="70">
        <v>45722</v>
      </c>
      <c r="B1346" t="s">
        <v>30</v>
      </c>
      <c r="C1346" s="71" t="s">
        <v>1359</v>
      </c>
      <c r="D1346" s="75">
        <v>108.26</v>
      </c>
      <c r="E1346" s="75">
        <v>0</v>
      </c>
      <c r="F1346" s="75">
        <v>179816.9</v>
      </c>
      <c r="G1346" s="75"/>
      <c r="H1346" s="71" t="s">
        <v>217</v>
      </c>
      <c r="J1346" t="s">
        <v>752</v>
      </c>
    </row>
    <row r="1347" spans="1:10" x14ac:dyDescent="0.3">
      <c r="A1347" s="70">
        <v>45722</v>
      </c>
      <c r="B1347" t="s">
        <v>1490</v>
      </c>
      <c r="C1347" s="71" t="s">
        <v>1444</v>
      </c>
      <c r="D1347" s="75">
        <v>1500</v>
      </c>
      <c r="E1347" s="75">
        <v>0</v>
      </c>
      <c r="F1347" s="75">
        <v>19460.740000000002</v>
      </c>
      <c r="G1347" s="75"/>
      <c r="H1347" s="71" t="s">
        <v>511</v>
      </c>
      <c r="J1347" t="s">
        <v>753</v>
      </c>
    </row>
    <row r="1348" spans="1:10" x14ac:dyDescent="0.3">
      <c r="A1348" s="70">
        <v>45722</v>
      </c>
      <c r="B1348" t="s">
        <v>2461</v>
      </c>
      <c r="C1348" s="71" t="s">
        <v>2462</v>
      </c>
      <c r="D1348" s="75">
        <v>0</v>
      </c>
      <c r="E1348" s="75">
        <v>95.75</v>
      </c>
      <c r="F1348" s="75">
        <v>1378.19</v>
      </c>
      <c r="G1348" s="75"/>
      <c r="H1348" s="71" t="s">
        <v>511</v>
      </c>
      <c r="J1348" t="s">
        <v>756</v>
      </c>
    </row>
    <row r="1349" spans="1:10" x14ac:dyDescent="0.3">
      <c r="A1349" s="70">
        <v>45723</v>
      </c>
      <c r="B1349" t="s">
        <v>1360</v>
      </c>
      <c r="C1349" s="71" t="s">
        <v>46</v>
      </c>
      <c r="D1349" s="75">
        <v>102250</v>
      </c>
      <c r="E1349" s="75">
        <v>0</v>
      </c>
      <c r="F1349" s="75">
        <v>77566.899999999994</v>
      </c>
      <c r="G1349" s="75"/>
      <c r="H1349" s="71" t="s">
        <v>509</v>
      </c>
      <c r="J1349" t="s">
        <v>752</v>
      </c>
    </row>
    <row r="1350" spans="1:10" x14ac:dyDescent="0.3">
      <c r="A1350" s="70">
        <v>45723</v>
      </c>
      <c r="B1350" t="s">
        <v>1361</v>
      </c>
      <c r="C1350" s="71" t="s">
        <v>1362</v>
      </c>
      <c r="D1350" s="75">
        <v>0</v>
      </c>
      <c r="E1350" s="75">
        <v>3627.5</v>
      </c>
      <c r="F1350" s="75">
        <v>81194.399999999994</v>
      </c>
      <c r="G1350" s="75"/>
      <c r="H1350" s="71" t="s">
        <v>2523</v>
      </c>
      <c r="J1350" t="s">
        <v>752</v>
      </c>
    </row>
    <row r="1351" spans="1:10" x14ac:dyDescent="0.3">
      <c r="A1351" s="70">
        <v>45723</v>
      </c>
      <c r="B1351" t="s">
        <v>30</v>
      </c>
      <c r="C1351" s="71" t="s">
        <v>1363</v>
      </c>
      <c r="D1351" s="75">
        <v>111.44</v>
      </c>
      <c r="E1351" s="75">
        <v>0</v>
      </c>
      <c r="F1351" s="75">
        <v>81082.960000000006</v>
      </c>
      <c r="G1351" s="75"/>
      <c r="H1351" s="71" t="s">
        <v>217</v>
      </c>
      <c r="J1351" t="s">
        <v>752</v>
      </c>
    </row>
    <row r="1352" spans="1:10" x14ac:dyDescent="0.3">
      <c r="A1352" s="70">
        <v>45723</v>
      </c>
      <c r="B1352" t="s">
        <v>1162</v>
      </c>
      <c r="C1352" s="71" t="s">
        <v>1364</v>
      </c>
      <c r="D1352" s="75">
        <v>0</v>
      </c>
      <c r="E1352" s="75">
        <v>1000</v>
      </c>
      <c r="F1352" s="75">
        <v>82082.960000000006</v>
      </c>
      <c r="G1352" s="75"/>
      <c r="H1352" s="71" t="s">
        <v>218</v>
      </c>
      <c r="J1352" t="s">
        <v>752</v>
      </c>
    </row>
    <row r="1353" spans="1:10" x14ac:dyDescent="0.3">
      <c r="A1353" s="70">
        <v>45723</v>
      </c>
      <c r="B1353" t="s">
        <v>1365</v>
      </c>
      <c r="C1353" s="71" t="s">
        <v>1366</v>
      </c>
      <c r="D1353" s="75">
        <v>0</v>
      </c>
      <c r="E1353" s="75">
        <v>1880</v>
      </c>
      <c r="F1353" s="75">
        <v>83962.96</v>
      </c>
      <c r="G1353" s="75"/>
      <c r="H1353" s="71" t="s">
        <v>222</v>
      </c>
      <c r="J1353" t="s">
        <v>752</v>
      </c>
    </row>
    <row r="1354" spans="1:10" x14ac:dyDescent="0.3">
      <c r="A1354" s="70">
        <v>45723</v>
      </c>
      <c r="B1354" t="s">
        <v>30</v>
      </c>
      <c r="C1354" s="71" t="s">
        <v>1367</v>
      </c>
      <c r="D1354" s="75">
        <v>321.02</v>
      </c>
      <c r="E1354" s="75">
        <v>0</v>
      </c>
      <c r="F1354" s="75">
        <v>83641.94</v>
      </c>
      <c r="G1354" s="75"/>
      <c r="H1354" s="71" t="s">
        <v>217</v>
      </c>
      <c r="J1354" t="s">
        <v>752</v>
      </c>
    </row>
    <row r="1355" spans="1:10" x14ac:dyDescent="0.3">
      <c r="A1355" s="70">
        <v>45723</v>
      </c>
      <c r="B1355" t="s">
        <v>1491</v>
      </c>
      <c r="C1355" s="71" t="s">
        <v>1416</v>
      </c>
      <c r="D1355" s="75">
        <v>1506.51</v>
      </c>
      <c r="E1355" s="75">
        <v>0</v>
      </c>
      <c r="F1355" s="75">
        <v>17954.23</v>
      </c>
      <c r="G1355" s="75"/>
      <c r="H1355" s="71" t="s">
        <v>511</v>
      </c>
      <c r="J1355" t="s">
        <v>753</v>
      </c>
    </row>
    <row r="1356" spans="1:10" x14ac:dyDescent="0.3">
      <c r="A1356" s="70">
        <v>45723</v>
      </c>
      <c r="B1356" t="s">
        <v>2463</v>
      </c>
      <c r="C1356" s="71" t="s">
        <v>2464</v>
      </c>
      <c r="D1356" s="75">
        <v>0</v>
      </c>
      <c r="E1356" s="75">
        <v>130</v>
      </c>
      <c r="F1356" s="75">
        <v>1508.19</v>
      </c>
      <c r="G1356" s="75"/>
      <c r="H1356" s="71" t="s">
        <v>218</v>
      </c>
      <c r="J1356" t="s">
        <v>756</v>
      </c>
    </row>
    <row r="1357" spans="1:10" x14ac:dyDescent="0.3">
      <c r="A1357" s="70">
        <v>45724</v>
      </c>
      <c r="B1357" t="s">
        <v>1368</v>
      </c>
      <c r="C1357" s="71" t="s">
        <v>1369</v>
      </c>
      <c r="D1357" s="75">
        <v>45000</v>
      </c>
      <c r="E1357" s="75">
        <v>0</v>
      </c>
      <c r="F1357" s="75">
        <v>38641.94</v>
      </c>
      <c r="G1357" s="75"/>
      <c r="H1357" s="71" t="s">
        <v>2518</v>
      </c>
      <c r="J1357" t="s">
        <v>752</v>
      </c>
    </row>
    <row r="1358" spans="1:10" x14ac:dyDescent="0.3">
      <c r="A1358" s="70">
        <v>45724</v>
      </c>
      <c r="B1358" t="s">
        <v>2465</v>
      </c>
      <c r="C1358" s="71" t="s">
        <v>2466</v>
      </c>
      <c r="D1358" s="75">
        <v>70</v>
      </c>
      <c r="E1358" s="75">
        <v>0</v>
      </c>
      <c r="F1358" s="75">
        <v>1438.19</v>
      </c>
      <c r="G1358" s="75"/>
      <c r="H1358" s="71" t="s">
        <v>511</v>
      </c>
      <c r="J1358" t="s">
        <v>756</v>
      </c>
    </row>
    <row r="1359" spans="1:10" x14ac:dyDescent="0.3">
      <c r="A1359" s="70">
        <v>45725</v>
      </c>
      <c r="B1359" t="s">
        <v>1492</v>
      </c>
      <c r="C1359" s="71" t="s">
        <v>1422</v>
      </c>
      <c r="D1359" s="75">
        <v>0</v>
      </c>
      <c r="E1359" s="75">
        <v>1</v>
      </c>
      <c r="F1359" s="75">
        <v>17955.23</v>
      </c>
      <c r="G1359" s="75"/>
      <c r="H1359" s="71" t="s">
        <v>511</v>
      </c>
      <c r="J1359" t="s">
        <v>753</v>
      </c>
    </row>
    <row r="1360" spans="1:10" x14ac:dyDescent="0.3">
      <c r="A1360" s="70">
        <v>45725</v>
      </c>
      <c r="B1360" t="s">
        <v>1493</v>
      </c>
      <c r="C1360" s="71" t="s">
        <v>1422</v>
      </c>
      <c r="D1360" s="75">
        <v>0</v>
      </c>
      <c r="E1360" s="75">
        <v>10</v>
      </c>
      <c r="F1360" s="75">
        <v>17965.23</v>
      </c>
      <c r="G1360" s="75"/>
      <c r="H1360" s="71" t="s">
        <v>511</v>
      </c>
      <c r="J1360" t="s">
        <v>753</v>
      </c>
    </row>
    <row r="1361" spans="1:10" x14ac:dyDescent="0.3">
      <c r="A1361" s="70">
        <v>45725</v>
      </c>
      <c r="B1361" t="s">
        <v>2467</v>
      </c>
      <c r="C1361" s="71" t="s">
        <v>2468</v>
      </c>
      <c r="D1361" s="75">
        <v>24</v>
      </c>
      <c r="E1361" s="75">
        <v>0</v>
      </c>
      <c r="F1361" s="75">
        <v>1414.19</v>
      </c>
      <c r="G1361" s="75"/>
      <c r="H1361" s="71" t="s">
        <v>511</v>
      </c>
      <c r="J1361" t="s">
        <v>756</v>
      </c>
    </row>
    <row r="1362" spans="1:10" x14ac:dyDescent="0.3">
      <c r="A1362" s="70">
        <v>45726</v>
      </c>
      <c r="B1362" t="s">
        <v>30</v>
      </c>
      <c r="C1362" s="71" t="s">
        <v>1370</v>
      </c>
      <c r="D1362" s="75">
        <v>337.83</v>
      </c>
      <c r="E1362" s="75">
        <v>0</v>
      </c>
      <c r="F1362" s="75">
        <v>38304.11</v>
      </c>
      <c r="G1362" s="75"/>
      <c r="H1362" s="71" t="s">
        <v>217</v>
      </c>
      <c r="J1362" t="s">
        <v>752</v>
      </c>
    </row>
    <row r="1363" spans="1:10" x14ac:dyDescent="0.3">
      <c r="A1363" s="70">
        <v>45726</v>
      </c>
      <c r="B1363" t="s">
        <v>30</v>
      </c>
      <c r="C1363" s="71" t="s">
        <v>1371</v>
      </c>
      <c r="D1363" s="75">
        <v>6468.95</v>
      </c>
      <c r="E1363" s="75">
        <v>0</v>
      </c>
      <c r="F1363" s="75">
        <v>31835.16</v>
      </c>
      <c r="G1363" s="75"/>
      <c r="H1363" s="71" t="s">
        <v>217</v>
      </c>
      <c r="J1363" t="s">
        <v>752</v>
      </c>
    </row>
    <row r="1364" spans="1:10" x14ac:dyDescent="0.3">
      <c r="A1364" s="70">
        <v>45726</v>
      </c>
      <c r="B1364" t="s">
        <v>2469</v>
      </c>
      <c r="C1364" s="71" t="s">
        <v>2470</v>
      </c>
      <c r="D1364" s="75">
        <v>25</v>
      </c>
      <c r="E1364" s="75">
        <v>0</v>
      </c>
      <c r="F1364" s="75">
        <v>1389.19</v>
      </c>
      <c r="G1364" s="75"/>
      <c r="H1364" s="71" t="s">
        <v>511</v>
      </c>
      <c r="J1364" t="s">
        <v>756</v>
      </c>
    </row>
    <row r="1365" spans="1:10" x14ac:dyDescent="0.3">
      <c r="A1365" s="70">
        <v>45726</v>
      </c>
      <c r="B1365" t="s">
        <v>2471</v>
      </c>
      <c r="C1365" s="71" t="s">
        <v>2472</v>
      </c>
      <c r="D1365" s="75">
        <v>26</v>
      </c>
      <c r="E1365" s="75">
        <v>0</v>
      </c>
      <c r="F1365" s="75">
        <v>1363.19</v>
      </c>
      <c r="G1365" s="75"/>
      <c r="H1365" s="71" t="s">
        <v>511</v>
      </c>
      <c r="J1365" t="s">
        <v>756</v>
      </c>
    </row>
    <row r="1366" spans="1:10" x14ac:dyDescent="0.3">
      <c r="A1366" s="70">
        <v>45727</v>
      </c>
      <c r="B1366" t="s">
        <v>30</v>
      </c>
      <c r="C1366" s="71" t="s">
        <v>1372</v>
      </c>
      <c r="D1366" s="75">
        <v>110.31</v>
      </c>
      <c r="E1366" s="75">
        <v>0</v>
      </c>
      <c r="F1366" s="75">
        <v>31724.85</v>
      </c>
      <c r="G1366" s="75"/>
      <c r="H1366" s="71" t="s">
        <v>217</v>
      </c>
      <c r="J1366" t="s">
        <v>752</v>
      </c>
    </row>
    <row r="1367" spans="1:10" x14ac:dyDescent="0.3">
      <c r="A1367" s="70">
        <v>45727</v>
      </c>
      <c r="B1367" t="s">
        <v>30</v>
      </c>
      <c r="C1367" s="71" t="s">
        <v>1373</v>
      </c>
      <c r="D1367" s="75">
        <v>581.54</v>
      </c>
      <c r="E1367" s="75">
        <v>0</v>
      </c>
      <c r="F1367" s="75">
        <v>31143.31</v>
      </c>
      <c r="G1367" s="75"/>
      <c r="H1367" s="71" t="s">
        <v>217</v>
      </c>
      <c r="J1367" t="s">
        <v>752</v>
      </c>
    </row>
    <row r="1368" spans="1:10" x14ac:dyDescent="0.3">
      <c r="A1368" s="70">
        <v>45727</v>
      </c>
      <c r="B1368" t="s">
        <v>2473</v>
      </c>
      <c r="C1368" s="71" t="s">
        <v>2474</v>
      </c>
      <c r="D1368" s="75">
        <v>129</v>
      </c>
      <c r="E1368" s="75">
        <v>0</v>
      </c>
      <c r="F1368" s="75">
        <v>1234.19</v>
      </c>
      <c r="G1368" s="75"/>
      <c r="H1368" s="71" t="s">
        <v>511</v>
      </c>
      <c r="J1368" t="s">
        <v>756</v>
      </c>
    </row>
    <row r="1369" spans="1:10" x14ac:dyDescent="0.3">
      <c r="A1369" s="70">
        <v>45727</v>
      </c>
      <c r="B1369" t="s">
        <v>2475</v>
      </c>
      <c r="C1369" s="71" t="s">
        <v>2476</v>
      </c>
      <c r="D1369" s="75">
        <v>61</v>
      </c>
      <c r="E1369" s="75">
        <v>0</v>
      </c>
      <c r="F1369" s="75">
        <v>1173.19</v>
      </c>
      <c r="G1369" s="75"/>
      <c r="H1369" s="71" t="s">
        <v>511</v>
      </c>
      <c r="J1369" t="s">
        <v>756</v>
      </c>
    </row>
    <row r="1370" spans="1:10" x14ac:dyDescent="0.3">
      <c r="A1370" s="70">
        <v>45727</v>
      </c>
      <c r="B1370" t="s">
        <v>2477</v>
      </c>
      <c r="C1370" s="71" t="s">
        <v>2478</v>
      </c>
      <c r="D1370" s="75">
        <v>53</v>
      </c>
      <c r="E1370" s="75">
        <v>0</v>
      </c>
      <c r="F1370" s="75">
        <v>1120.19</v>
      </c>
      <c r="G1370" s="75"/>
      <c r="H1370" s="71" t="s">
        <v>511</v>
      </c>
      <c r="J1370" t="s">
        <v>756</v>
      </c>
    </row>
    <row r="1371" spans="1:10" x14ac:dyDescent="0.3">
      <c r="A1371" s="70">
        <v>45728</v>
      </c>
      <c r="B1371" t="s">
        <v>30</v>
      </c>
      <c r="C1371" s="71" t="s">
        <v>1374</v>
      </c>
      <c r="D1371" s="75">
        <v>110.1</v>
      </c>
      <c r="E1371" s="75">
        <v>0</v>
      </c>
      <c r="F1371" s="75">
        <v>31033.21</v>
      </c>
      <c r="G1371" s="75"/>
      <c r="H1371" s="71" t="s">
        <v>217</v>
      </c>
      <c r="J1371" t="s">
        <v>752</v>
      </c>
    </row>
    <row r="1372" spans="1:10" x14ac:dyDescent="0.3">
      <c r="A1372" s="70">
        <v>45728</v>
      </c>
      <c r="B1372" t="s">
        <v>30</v>
      </c>
      <c r="C1372" s="71" t="s">
        <v>1375</v>
      </c>
      <c r="D1372" s="75">
        <v>3403.19</v>
      </c>
      <c r="E1372" s="75">
        <v>0</v>
      </c>
      <c r="F1372" s="75">
        <v>27630.02</v>
      </c>
      <c r="G1372" s="75"/>
      <c r="H1372" s="71" t="s">
        <v>217</v>
      </c>
      <c r="J1372" t="s">
        <v>752</v>
      </c>
    </row>
    <row r="1373" spans="1:10" x14ac:dyDescent="0.3">
      <c r="A1373" s="70">
        <v>45728</v>
      </c>
      <c r="B1373" t="s">
        <v>1494</v>
      </c>
      <c r="C1373" s="71" t="s">
        <v>564</v>
      </c>
      <c r="D1373" s="75">
        <v>100</v>
      </c>
      <c r="E1373" s="75">
        <v>0</v>
      </c>
      <c r="F1373" s="75">
        <v>17865.23</v>
      </c>
      <c r="G1373" s="75"/>
      <c r="H1373" s="71" t="s">
        <v>511</v>
      </c>
      <c r="J1373" t="s">
        <v>753</v>
      </c>
    </row>
    <row r="1374" spans="1:10" x14ac:dyDescent="0.3">
      <c r="A1374" s="70">
        <v>45728</v>
      </c>
      <c r="B1374" t="s">
        <v>1495</v>
      </c>
      <c r="C1374" s="71" t="s">
        <v>564</v>
      </c>
      <c r="D1374" s="75">
        <v>25</v>
      </c>
      <c r="E1374" s="75">
        <v>0</v>
      </c>
      <c r="F1374" s="75">
        <v>17840.23</v>
      </c>
      <c r="G1374" s="75"/>
      <c r="H1374" s="71" t="s">
        <v>511</v>
      </c>
      <c r="J1374" t="s">
        <v>753</v>
      </c>
    </row>
    <row r="1375" spans="1:10" x14ac:dyDescent="0.3">
      <c r="A1375" s="70">
        <v>45728</v>
      </c>
      <c r="B1375" t="s">
        <v>2479</v>
      </c>
      <c r="C1375" s="71" t="s">
        <v>2480</v>
      </c>
      <c r="D1375" s="75">
        <v>0</v>
      </c>
      <c r="E1375" s="75">
        <v>501</v>
      </c>
      <c r="F1375" s="75">
        <v>1621.19</v>
      </c>
      <c r="G1375" s="75"/>
      <c r="H1375" s="71" t="s">
        <v>2539</v>
      </c>
      <c r="J1375" t="s">
        <v>756</v>
      </c>
    </row>
    <row r="1376" spans="1:10" x14ac:dyDescent="0.3">
      <c r="A1376" s="70">
        <v>45728</v>
      </c>
      <c r="B1376" t="s">
        <v>2481</v>
      </c>
      <c r="C1376" s="71" t="s">
        <v>2482</v>
      </c>
      <c r="D1376" s="75">
        <v>60</v>
      </c>
      <c r="E1376" s="75">
        <v>0</v>
      </c>
      <c r="F1376" s="75">
        <v>1561.19</v>
      </c>
      <c r="G1376" s="75"/>
      <c r="H1376" s="71" t="s">
        <v>511</v>
      </c>
      <c r="J1376" t="s">
        <v>756</v>
      </c>
    </row>
    <row r="1377" spans="1:10" x14ac:dyDescent="0.3">
      <c r="A1377" s="70">
        <v>45729</v>
      </c>
      <c r="B1377" t="s">
        <v>30</v>
      </c>
      <c r="C1377" s="71" t="s">
        <v>1376</v>
      </c>
      <c r="D1377" s="75">
        <v>108.89</v>
      </c>
      <c r="E1377" s="75">
        <v>0</v>
      </c>
      <c r="F1377" s="75">
        <v>27521.13</v>
      </c>
      <c r="G1377" s="75"/>
      <c r="H1377" s="71" t="s">
        <v>217</v>
      </c>
      <c r="J1377" t="s">
        <v>752</v>
      </c>
    </row>
    <row r="1378" spans="1:10" x14ac:dyDescent="0.3">
      <c r="A1378" s="70">
        <v>45729</v>
      </c>
      <c r="B1378" t="s">
        <v>30</v>
      </c>
      <c r="C1378" s="71" t="s">
        <v>1377</v>
      </c>
      <c r="D1378" s="75">
        <v>1255.3</v>
      </c>
      <c r="E1378" s="75">
        <v>0</v>
      </c>
      <c r="F1378" s="75">
        <v>26265.83</v>
      </c>
      <c r="G1378" s="75"/>
      <c r="H1378" s="71" t="s">
        <v>217</v>
      </c>
      <c r="J1378" t="s">
        <v>752</v>
      </c>
    </row>
    <row r="1379" spans="1:10" x14ac:dyDescent="0.3">
      <c r="A1379" s="70">
        <v>45729</v>
      </c>
      <c r="B1379" t="s">
        <v>1496</v>
      </c>
      <c r="C1379" s="71" t="s">
        <v>1444</v>
      </c>
      <c r="D1379" s="75">
        <v>1650</v>
      </c>
      <c r="E1379" s="75">
        <v>0</v>
      </c>
      <c r="F1379" s="75">
        <v>16190.23</v>
      </c>
      <c r="G1379" s="75"/>
      <c r="H1379" s="71" t="s">
        <v>511</v>
      </c>
      <c r="J1379" t="s">
        <v>753</v>
      </c>
    </row>
    <row r="1380" spans="1:10" x14ac:dyDescent="0.3">
      <c r="A1380" s="70">
        <v>45729</v>
      </c>
      <c r="B1380" t="s">
        <v>1497</v>
      </c>
      <c r="C1380" s="71" t="s">
        <v>1444</v>
      </c>
      <c r="D1380" s="75">
        <v>244</v>
      </c>
      <c r="E1380" s="75">
        <v>0</v>
      </c>
      <c r="F1380" s="75">
        <v>15946.23</v>
      </c>
      <c r="G1380" s="75"/>
      <c r="H1380" s="71" t="s">
        <v>511</v>
      </c>
      <c r="J1380" t="s">
        <v>753</v>
      </c>
    </row>
    <row r="1381" spans="1:10" x14ac:dyDescent="0.3">
      <c r="A1381" s="70">
        <v>45730</v>
      </c>
      <c r="B1381" t="s">
        <v>1498</v>
      </c>
      <c r="C1381" s="71" t="s">
        <v>1416</v>
      </c>
      <c r="D1381" s="75">
        <v>200</v>
      </c>
      <c r="E1381" s="75">
        <v>0</v>
      </c>
      <c r="F1381" s="75">
        <v>15746.23</v>
      </c>
      <c r="G1381" s="75"/>
      <c r="H1381" s="71" t="s">
        <v>511</v>
      </c>
      <c r="J1381" t="s">
        <v>753</v>
      </c>
    </row>
    <row r="1382" spans="1:10" x14ac:dyDescent="0.3">
      <c r="A1382" s="70">
        <v>45731</v>
      </c>
      <c r="B1382" t="s">
        <v>1378</v>
      </c>
      <c r="C1382" s="71" t="s">
        <v>46</v>
      </c>
      <c r="D1382" s="75">
        <v>649</v>
      </c>
      <c r="E1382" s="75">
        <v>0</v>
      </c>
      <c r="F1382" s="75">
        <v>25616.83</v>
      </c>
      <c r="G1382" s="75"/>
      <c r="H1382" s="71" t="s">
        <v>220</v>
      </c>
      <c r="J1382" t="s">
        <v>752</v>
      </c>
    </row>
    <row r="1383" spans="1:10" x14ac:dyDescent="0.3">
      <c r="A1383" s="70">
        <v>45731</v>
      </c>
      <c r="B1383" t="s">
        <v>1499</v>
      </c>
      <c r="C1383" s="71" t="s">
        <v>556</v>
      </c>
      <c r="D1383" s="75">
        <v>2000</v>
      </c>
      <c r="E1383" s="75">
        <v>0</v>
      </c>
      <c r="F1383" s="75">
        <v>13746.23</v>
      </c>
      <c r="G1383" s="75"/>
      <c r="H1383" s="71" t="s">
        <v>511</v>
      </c>
      <c r="J1383" t="s">
        <v>753</v>
      </c>
    </row>
    <row r="1384" spans="1:10" x14ac:dyDescent="0.3">
      <c r="A1384" s="70">
        <v>45731</v>
      </c>
      <c r="B1384" t="s">
        <v>1500</v>
      </c>
      <c r="C1384" s="71" t="s">
        <v>556</v>
      </c>
      <c r="D1384" s="75">
        <v>44</v>
      </c>
      <c r="E1384" s="75">
        <v>0</v>
      </c>
      <c r="F1384" s="75">
        <v>13702.23</v>
      </c>
      <c r="G1384" s="75"/>
      <c r="H1384" s="71" t="s">
        <v>511</v>
      </c>
      <c r="J1384" t="s">
        <v>753</v>
      </c>
    </row>
    <row r="1385" spans="1:10" x14ac:dyDescent="0.3">
      <c r="A1385" s="70">
        <v>45731</v>
      </c>
      <c r="B1385" t="s">
        <v>2483</v>
      </c>
      <c r="C1385" s="71" t="s">
        <v>2484</v>
      </c>
      <c r="D1385" s="75">
        <v>250</v>
      </c>
      <c r="E1385" s="75">
        <v>0</v>
      </c>
      <c r="F1385" s="75">
        <v>1311.19</v>
      </c>
      <c r="G1385" s="75"/>
      <c r="H1385" s="71" t="s">
        <v>511</v>
      </c>
      <c r="J1385" t="s">
        <v>756</v>
      </c>
    </row>
    <row r="1386" spans="1:10" x14ac:dyDescent="0.3">
      <c r="A1386" s="70">
        <v>45731</v>
      </c>
      <c r="B1386" t="s">
        <v>2485</v>
      </c>
      <c r="C1386" s="71" t="s">
        <v>2486</v>
      </c>
      <c r="D1386" s="75">
        <v>26</v>
      </c>
      <c r="E1386" s="75">
        <v>0</v>
      </c>
      <c r="F1386" s="75">
        <v>1285.19</v>
      </c>
      <c r="G1386" s="75"/>
      <c r="H1386" s="71" t="s">
        <v>511</v>
      </c>
      <c r="J1386" t="s">
        <v>756</v>
      </c>
    </row>
    <row r="1387" spans="1:10" x14ac:dyDescent="0.3">
      <c r="A1387" s="70">
        <v>45731</v>
      </c>
      <c r="B1387" t="s">
        <v>2487</v>
      </c>
      <c r="C1387" s="71" t="s">
        <v>2488</v>
      </c>
      <c r="D1387" s="75">
        <v>0</v>
      </c>
      <c r="E1387" s="75">
        <v>2</v>
      </c>
      <c r="F1387" s="75">
        <v>1287.19</v>
      </c>
      <c r="G1387" s="75"/>
      <c r="H1387" s="71" t="s">
        <v>511</v>
      </c>
      <c r="J1387" t="s">
        <v>756</v>
      </c>
    </row>
    <row r="1388" spans="1:10" x14ac:dyDescent="0.3">
      <c r="A1388" s="70">
        <v>45731</v>
      </c>
      <c r="B1388" t="s">
        <v>2489</v>
      </c>
      <c r="C1388" s="71" t="s">
        <v>2490</v>
      </c>
      <c r="D1388" s="75">
        <v>0</v>
      </c>
      <c r="E1388" s="75">
        <v>5</v>
      </c>
      <c r="F1388" s="75">
        <v>1292.19</v>
      </c>
      <c r="G1388" s="75"/>
      <c r="H1388" s="71" t="s">
        <v>511</v>
      </c>
      <c r="J1388" t="s">
        <v>756</v>
      </c>
    </row>
    <row r="1389" spans="1:10" x14ac:dyDescent="0.3">
      <c r="A1389" s="70">
        <v>45733</v>
      </c>
      <c r="B1389" t="s">
        <v>30</v>
      </c>
      <c r="C1389" s="71" t="s">
        <v>1379</v>
      </c>
      <c r="D1389" s="75">
        <v>433.76</v>
      </c>
      <c r="E1389" s="75">
        <v>0</v>
      </c>
      <c r="F1389" s="75">
        <v>25183.07</v>
      </c>
      <c r="G1389" s="75"/>
      <c r="H1389" s="71" t="s">
        <v>217</v>
      </c>
      <c r="J1389" t="s">
        <v>752</v>
      </c>
    </row>
    <row r="1390" spans="1:10" x14ac:dyDescent="0.3">
      <c r="A1390" s="70">
        <v>45733</v>
      </c>
      <c r="B1390" t="s">
        <v>30</v>
      </c>
      <c r="C1390" s="71" t="s">
        <v>1380</v>
      </c>
      <c r="D1390" s="75">
        <v>4457.45</v>
      </c>
      <c r="E1390" s="75">
        <v>0</v>
      </c>
      <c r="F1390" s="75">
        <v>20725.62</v>
      </c>
      <c r="G1390" s="75"/>
      <c r="H1390" s="71" t="s">
        <v>217</v>
      </c>
      <c r="J1390" t="s">
        <v>752</v>
      </c>
    </row>
    <row r="1391" spans="1:10" x14ac:dyDescent="0.3">
      <c r="A1391" s="70">
        <v>45733</v>
      </c>
      <c r="B1391" t="s">
        <v>1501</v>
      </c>
      <c r="C1391" s="71" t="s">
        <v>574</v>
      </c>
      <c r="D1391" s="75">
        <v>308.7</v>
      </c>
      <c r="E1391" s="75">
        <v>0</v>
      </c>
      <c r="F1391" s="75">
        <v>13393.53</v>
      </c>
      <c r="G1391" s="75"/>
      <c r="H1391" s="71" t="s">
        <v>511</v>
      </c>
      <c r="J1391" t="s">
        <v>753</v>
      </c>
    </row>
    <row r="1392" spans="1:10" x14ac:dyDescent="0.3">
      <c r="A1392" s="70">
        <v>45733</v>
      </c>
      <c r="B1392" t="s">
        <v>1502</v>
      </c>
      <c r="C1392" s="71" t="s">
        <v>574</v>
      </c>
      <c r="D1392" s="75">
        <v>950</v>
      </c>
      <c r="E1392" s="75">
        <v>0</v>
      </c>
      <c r="F1392" s="75">
        <v>12443.53</v>
      </c>
      <c r="G1392" s="75"/>
      <c r="H1392" s="71" t="s">
        <v>511</v>
      </c>
      <c r="J1392" t="s">
        <v>753</v>
      </c>
    </row>
    <row r="1393" spans="1:10" x14ac:dyDescent="0.3">
      <c r="A1393" s="70">
        <v>45733</v>
      </c>
      <c r="B1393" t="s">
        <v>2491</v>
      </c>
      <c r="C1393" s="71" t="s">
        <v>2492</v>
      </c>
      <c r="D1393" s="75">
        <v>100</v>
      </c>
      <c r="E1393" s="75">
        <v>0</v>
      </c>
      <c r="F1393" s="75">
        <v>1192.19</v>
      </c>
      <c r="G1393" s="75"/>
      <c r="H1393" s="71" t="s">
        <v>511</v>
      </c>
      <c r="J1393" t="s">
        <v>756</v>
      </c>
    </row>
    <row r="1394" spans="1:10" x14ac:dyDescent="0.3">
      <c r="A1394" s="70">
        <v>45734</v>
      </c>
      <c r="B1394" t="s">
        <v>1381</v>
      </c>
      <c r="C1394" s="71" t="s">
        <v>1382</v>
      </c>
      <c r="D1394" s="75">
        <v>0</v>
      </c>
      <c r="E1394" s="75">
        <v>69302.36</v>
      </c>
      <c r="F1394" s="75">
        <v>90027.98</v>
      </c>
      <c r="G1394" s="75"/>
      <c r="H1394" s="71" t="s">
        <v>2523</v>
      </c>
      <c r="J1394" t="s">
        <v>752</v>
      </c>
    </row>
    <row r="1395" spans="1:10" x14ac:dyDescent="0.3">
      <c r="A1395" s="70">
        <v>45734</v>
      </c>
      <c r="B1395" t="s">
        <v>30</v>
      </c>
      <c r="C1395" s="71" t="s">
        <v>1383</v>
      </c>
      <c r="D1395" s="75">
        <v>106.86</v>
      </c>
      <c r="E1395" s="75">
        <v>0</v>
      </c>
      <c r="F1395" s="75">
        <v>89921.12</v>
      </c>
      <c r="G1395" s="75"/>
      <c r="H1395" s="71" t="s">
        <v>217</v>
      </c>
      <c r="J1395" t="s">
        <v>752</v>
      </c>
    </row>
    <row r="1396" spans="1:10" x14ac:dyDescent="0.3">
      <c r="A1396" s="70">
        <v>45734</v>
      </c>
      <c r="B1396" t="s">
        <v>30</v>
      </c>
      <c r="C1396" s="71" t="s">
        <v>1384</v>
      </c>
      <c r="D1396" s="75">
        <v>786.89</v>
      </c>
      <c r="E1396" s="75">
        <v>0</v>
      </c>
      <c r="F1396" s="75">
        <v>89134.23</v>
      </c>
      <c r="G1396" s="75"/>
      <c r="H1396" s="71" t="s">
        <v>217</v>
      </c>
      <c r="J1396" t="s">
        <v>752</v>
      </c>
    </row>
    <row r="1397" spans="1:10" x14ac:dyDescent="0.3">
      <c r="A1397" s="70">
        <v>45734</v>
      </c>
      <c r="B1397" t="s">
        <v>1503</v>
      </c>
      <c r="C1397" s="71" t="s">
        <v>582</v>
      </c>
      <c r="D1397" s="75">
        <v>1000</v>
      </c>
      <c r="E1397" s="75">
        <v>0</v>
      </c>
      <c r="F1397" s="75">
        <v>11443.53</v>
      </c>
      <c r="G1397" s="75"/>
      <c r="H1397" s="71" t="s">
        <v>511</v>
      </c>
      <c r="J1397" t="s">
        <v>753</v>
      </c>
    </row>
    <row r="1398" spans="1:10" x14ac:dyDescent="0.3">
      <c r="A1398" s="70">
        <v>45735</v>
      </c>
      <c r="B1398" t="s">
        <v>30</v>
      </c>
      <c r="C1398" s="71" t="s">
        <v>1385</v>
      </c>
      <c r="D1398" s="75">
        <v>111.66</v>
      </c>
      <c r="E1398" s="75">
        <v>0</v>
      </c>
      <c r="F1398" s="75">
        <v>89022.57</v>
      </c>
      <c r="G1398" s="75"/>
      <c r="H1398" s="71" t="s">
        <v>217</v>
      </c>
      <c r="J1398" t="s">
        <v>752</v>
      </c>
    </row>
    <row r="1399" spans="1:10" x14ac:dyDescent="0.3">
      <c r="A1399" s="70">
        <v>45735</v>
      </c>
      <c r="B1399" t="s">
        <v>30</v>
      </c>
      <c r="C1399" s="71" t="s">
        <v>1386</v>
      </c>
      <c r="D1399" s="75">
        <v>12413.43</v>
      </c>
      <c r="E1399" s="75">
        <v>0</v>
      </c>
      <c r="F1399" s="75">
        <v>76609.14</v>
      </c>
      <c r="G1399" s="75"/>
      <c r="H1399" s="71" t="s">
        <v>217</v>
      </c>
      <c r="J1399" t="s">
        <v>752</v>
      </c>
    </row>
    <row r="1400" spans="1:10" x14ac:dyDescent="0.3">
      <c r="A1400" s="70">
        <v>45736</v>
      </c>
      <c r="B1400" t="s">
        <v>959</v>
      </c>
      <c r="C1400" s="71" t="s">
        <v>1387</v>
      </c>
      <c r="D1400" s="75">
        <v>40000</v>
      </c>
      <c r="E1400" s="75">
        <v>0</v>
      </c>
      <c r="F1400" s="75">
        <v>36609.14</v>
      </c>
      <c r="G1400" s="75"/>
      <c r="H1400" s="71" t="s">
        <v>225</v>
      </c>
      <c r="J1400" t="s">
        <v>752</v>
      </c>
    </row>
    <row r="1401" spans="1:10" x14ac:dyDescent="0.3">
      <c r="A1401" s="70">
        <v>45736</v>
      </c>
      <c r="B1401" t="s">
        <v>30</v>
      </c>
      <c r="C1401" s="71" t="s">
        <v>1388</v>
      </c>
      <c r="D1401" s="75">
        <v>113.22</v>
      </c>
      <c r="E1401" s="75">
        <v>0</v>
      </c>
      <c r="F1401" s="75">
        <v>36495.919999999998</v>
      </c>
      <c r="G1401" s="75"/>
      <c r="H1401" s="71" t="s">
        <v>217</v>
      </c>
      <c r="J1401" t="s">
        <v>752</v>
      </c>
    </row>
    <row r="1402" spans="1:10" x14ac:dyDescent="0.3">
      <c r="A1402" s="70">
        <v>45737</v>
      </c>
      <c r="B1402" t="s">
        <v>1389</v>
      </c>
      <c r="C1402" s="71" t="s">
        <v>1390</v>
      </c>
      <c r="D1402" s="75">
        <v>0</v>
      </c>
      <c r="E1402" s="75">
        <v>1261.94</v>
      </c>
      <c r="F1402" s="75">
        <v>37757.86</v>
      </c>
      <c r="G1402" s="75"/>
      <c r="H1402" s="71" t="s">
        <v>2523</v>
      </c>
      <c r="J1402" t="s">
        <v>752</v>
      </c>
    </row>
    <row r="1403" spans="1:10" x14ac:dyDescent="0.3">
      <c r="A1403" s="70">
        <v>45737</v>
      </c>
      <c r="B1403" t="s">
        <v>1391</v>
      </c>
      <c r="C1403" s="71" t="s">
        <v>1392</v>
      </c>
      <c r="D1403" s="75">
        <v>20000</v>
      </c>
      <c r="E1403" s="75">
        <v>0</v>
      </c>
      <c r="F1403" s="75">
        <v>17757.86</v>
      </c>
      <c r="G1403" s="75"/>
      <c r="H1403" s="71" t="s">
        <v>2518</v>
      </c>
      <c r="J1403" t="s">
        <v>752</v>
      </c>
    </row>
    <row r="1404" spans="1:10" x14ac:dyDescent="0.3">
      <c r="A1404" s="70">
        <v>45737</v>
      </c>
      <c r="B1404" t="s">
        <v>30</v>
      </c>
      <c r="C1404" s="71" t="s">
        <v>1393</v>
      </c>
      <c r="D1404" s="75">
        <v>17757.86</v>
      </c>
      <c r="E1404" s="75">
        <v>0</v>
      </c>
      <c r="F1404" s="75">
        <v>0</v>
      </c>
      <c r="G1404" s="75"/>
      <c r="H1404" s="71" t="s">
        <v>217</v>
      </c>
      <c r="J1404" t="s">
        <v>752</v>
      </c>
    </row>
    <row r="1405" spans="1:10" x14ac:dyDescent="0.3">
      <c r="A1405" s="70">
        <v>45737</v>
      </c>
      <c r="B1405" t="s">
        <v>34</v>
      </c>
      <c r="C1405" s="71" t="s">
        <v>1394</v>
      </c>
      <c r="D1405" s="75">
        <v>0</v>
      </c>
      <c r="E1405" s="75">
        <v>16316.42</v>
      </c>
      <c r="F1405" s="75">
        <v>16316.42</v>
      </c>
      <c r="G1405" s="75"/>
      <c r="H1405" s="71" t="s">
        <v>217</v>
      </c>
      <c r="J1405" t="s">
        <v>752</v>
      </c>
    </row>
    <row r="1406" spans="1:10" x14ac:dyDescent="0.3">
      <c r="A1406" s="70">
        <v>45737</v>
      </c>
      <c r="B1406" t="s">
        <v>1504</v>
      </c>
      <c r="C1406" s="71" t="s">
        <v>1416</v>
      </c>
      <c r="D1406" s="75">
        <v>224</v>
      </c>
      <c r="E1406" s="75">
        <v>0</v>
      </c>
      <c r="F1406" s="75">
        <v>11219.53</v>
      </c>
      <c r="G1406" s="75"/>
      <c r="H1406" s="71" t="s">
        <v>511</v>
      </c>
      <c r="J1406" t="s">
        <v>753</v>
      </c>
    </row>
    <row r="1407" spans="1:10" x14ac:dyDescent="0.3">
      <c r="A1407" s="70">
        <v>45738</v>
      </c>
      <c r="B1407" t="s">
        <v>1505</v>
      </c>
      <c r="C1407" s="71" t="s">
        <v>556</v>
      </c>
      <c r="D1407" s="75">
        <v>156</v>
      </c>
      <c r="E1407" s="75">
        <v>0</v>
      </c>
      <c r="F1407" s="75">
        <v>11063.53</v>
      </c>
      <c r="G1407" s="75"/>
      <c r="H1407" s="71" t="s">
        <v>511</v>
      </c>
      <c r="J1407" t="s">
        <v>753</v>
      </c>
    </row>
    <row r="1408" spans="1:10" x14ac:dyDescent="0.3">
      <c r="A1408" s="70">
        <v>45738</v>
      </c>
      <c r="B1408" t="s">
        <v>1506</v>
      </c>
      <c r="C1408" s="71" t="s">
        <v>556</v>
      </c>
      <c r="D1408" s="75">
        <v>272.5</v>
      </c>
      <c r="E1408" s="75">
        <v>0</v>
      </c>
      <c r="F1408" s="75">
        <v>10791.03</v>
      </c>
      <c r="G1408" s="75"/>
      <c r="H1408" s="71" t="s">
        <v>511</v>
      </c>
      <c r="J1408" t="s">
        <v>753</v>
      </c>
    </row>
    <row r="1409" spans="1:10" x14ac:dyDescent="0.3">
      <c r="A1409" s="70">
        <v>45739</v>
      </c>
      <c r="B1409" t="s">
        <v>1507</v>
      </c>
      <c r="C1409" s="71" t="s">
        <v>545</v>
      </c>
      <c r="D1409" s="75">
        <v>35</v>
      </c>
      <c r="E1409" s="75">
        <v>0</v>
      </c>
      <c r="F1409" s="75">
        <v>10756.03</v>
      </c>
      <c r="G1409" s="75"/>
      <c r="H1409" s="71" t="s">
        <v>511</v>
      </c>
      <c r="J1409" t="s">
        <v>753</v>
      </c>
    </row>
    <row r="1410" spans="1:10" x14ac:dyDescent="0.3">
      <c r="A1410" s="70">
        <v>45739</v>
      </c>
      <c r="B1410" t="s">
        <v>2493</v>
      </c>
      <c r="C1410" s="71" t="s">
        <v>2494</v>
      </c>
      <c r="D1410" s="75">
        <v>110</v>
      </c>
      <c r="E1410" s="75">
        <v>0</v>
      </c>
      <c r="F1410" s="75">
        <v>1082.19</v>
      </c>
      <c r="G1410" s="75"/>
      <c r="H1410" s="71" t="s">
        <v>511</v>
      </c>
      <c r="J1410" t="s">
        <v>756</v>
      </c>
    </row>
    <row r="1411" spans="1:10" x14ac:dyDescent="0.3">
      <c r="A1411" s="70">
        <v>45740</v>
      </c>
      <c r="B1411" t="s">
        <v>30</v>
      </c>
      <c r="C1411" s="71" t="s">
        <v>1395</v>
      </c>
      <c r="D1411" s="75">
        <v>395.52</v>
      </c>
      <c r="E1411" s="75">
        <v>0</v>
      </c>
      <c r="F1411" s="75">
        <v>15920.9</v>
      </c>
      <c r="G1411" s="75"/>
      <c r="H1411" s="71" t="s">
        <v>217</v>
      </c>
      <c r="J1411" t="s">
        <v>752</v>
      </c>
    </row>
    <row r="1412" spans="1:10" x14ac:dyDescent="0.3">
      <c r="A1412" s="70">
        <v>45740</v>
      </c>
      <c r="B1412" t="s">
        <v>30</v>
      </c>
      <c r="C1412" s="71" t="s">
        <v>1396</v>
      </c>
      <c r="D1412" s="75">
        <v>3331.18</v>
      </c>
      <c r="E1412" s="75">
        <v>0</v>
      </c>
      <c r="F1412" s="75">
        <v>12589.72</v>
      </c>
      <c r="G1412" s="75"/>
      <c r="H1412" s="71" t="s">
        <v>217</v>
      </c>
      <c r="J1412" t="s">
        <v>752</v>
      </c>
    </row>
    <row r="1413" spans="1:10" x14ac:dyDescent="0.3">
      <c r="A1413" s="70">
        <v>45740</v>
      </c>
      <c r="B1413" t="s">
        <v>2495</v>
      </c>
      <c r="C1413" s="71" t="s">
        <v>2496</v>
      </c>
      <c r="D1413" s="75">
        <v>30</v>
      </c>
      <c r="E1413" s="75">
        <v>0</v>
      </c>
      <c r="F1413" s="75">
        <v>1052.19</v>
      </c>
      <c r="G1413" s="75"/>
      <c r="H1413" s="71" t="s">
        <v>511</v>
      </c>
      <c r="J1413" t="s">
        <v>756</v>
      </c>
    </row>
    <row r="1414" spans="1:10" x14ac:dyDescent="0.3">
      <c r="A1414" s="70">
        <v>45741</v>
      </c>
      <c r="B1414" t="s">
        <v>30</v>
      </c>
      <c r="C1414" s="71" t="s">
        <v>1397</v>
      </c>
      <c r="D1414" s="75">
        <v>142.22</v>
      </c>
      <c r="E1414" s="75">
        <v>0</v>
      </c>
      <c r="F1414" s="75">
        <v>12447.5</v>
      </c>
      <c r="G1414" s="75"/>
      <c r="H1414" s="71" t="s">
        <v>217</v>
      </c>
      <c r="J1414" t="s">
        <v>752</v>
      </c>
    </row>
    <row r="1415" spans="1:10" x14ac:dyDescent="0.3">
      <c r="A1415" s="70">
        <v>45741</v>
      </c>
      <c r="B1415" t="s">
        <v>30</v>
      </c>
      <c r="C1415" s="71" t="s">
        <v>1398</v>
      </c>
      <c r="D1415" s="75">
        <v>4006.14</v>
      </c>
      <c r="E1415" s="75">
        <v>0</v>
      </c>
      <c r="F1415" s="75">
        <v>8441.36</v>
      </c>
      <c r="G1415" s="75"/>
      <c r="H1415" s="71" t="s">
        <v>217</v>
      </c>
      <c r="J1415" t="s">
        <v>752</v>
      </c>
    </row>
    <row r="1416" spans="1:10" x14ac:dyDescent="0.3">
      <c r="A1416" s="70">
        <v>45741</v>
      </c>
      <c r="B1416" t="s">
        <v>586</v>
      </c>
      <c r="C1416" s="71" t="s">
        <v>252</v>
      </c>
      <c r="D1416" s="75">
        <v>0</v>
      </c>
      <c r="E1416" s="75">
        <v>230</v>
      </c>
      <c r="F1416" s="75">
        <v>10986.03</v>
      </c>
      <c r="G1416" s="75"/>
      <c r="H1416" s="71" t="s">
        <v>227</v>
      </c>
      <c r="J1416" t="s">
        <v>753</v>
      </c>
    </row>
    <row r="1417" spans="1:10" x14ac:dyDescent="0.3">
      <c r="A1417" s="70">
        <v>45741</v>
      </c>
      <c r="B1417" t="s">
        <v>2497</v>
      </c>
      <c r="C1417" s="71" t="s">
        <v>2498</v>
      </c>
      <c r="D1417" s="75">
        <v>210</v>
      </c>
      <c r="E1417" s="75">
        <v>0</v>
      </c>
      <c r="F1417" s="75">
        <v>842.19</v>
      </c>
      <c r="G1417" s="75"/>
      <c r="H1417" s="71" t="s">
        <v>511</v>
      </c>
      <c r="J1417" t="s">
        <v>756</v>
      </c>
    </row>
    <row r="1418" spans="1:10" x14ac:dyDescent="0.3">
      <c r="A1418" s="70">
        <v>45741</v>
      </c>
      <c r="B1418" t="s">
        <v>2499</v>
      </c>
      <c r="C1418" s="71" t="s">
        <v>2500</v>
      </c>
      <c r="D1418" s="75">
        <v>135</v>
      </c>
      <c r="E1418" s="75">
        <v>0</v>
      </c>
      <c r="F1418" s="75">
        <v>707.19</v>
      </c>
      <c r="G1418" s="75"/>
      <c r="H1418" s="71" t="s">
        <v>511</v>
      </c>
      <c r="J1418" t="s">
        <v>756</v>
      </c>
    </row>
    <row r="1419" spans="1:10" x14ac:dyDescent="0.3">
      <c r="A1419" s="70">
        <v>45741</v>
      </c>
      <c r="B1419" t="s">
        <v>2501</v>
      </c>
      <c r="C1419" s="71" t="s">
        <v>2502</v>
      </c>
      <c r="D1419" s="75">
        <v>72</v>
      </c>
      <c r="E1419" s="75">
        <v>0</v>
      </c>
      <c r="F1419" s="75">
        <v>635.19000000000005</v>
      </c>
      <c r="G1419" s="75"/>
      <c r="H1419" s="71" t="s">
        <v>511</v>
      </c>
      <c r="J1419" t="s">
        <v>756</v>
      </c>
    </row>
    <row r="1420" spans="1:10" x14ac:dyDescent="0.3">
      <c r="A1420" s="70">
        <v>45742</v>
      </c>
      <c r="B1420" t="s">
        <v>1399</v>
      </c>
      <c r="C1420" s="71" t="s">
        <v>1400</v>
      </c>
      <c r="D1420" s="75">
        <v>0</v>
      </c>
      <c r="E1420" s="75">
        <v>25199.360000000001</v>
      </c>
      <c r="F1420" s="75">
        <v>33640.720000000001</v>
      </c>
      <c r="G1420" s="75"/>
      <c r="H1420" s="71" t="s">
        <v>2523</v>
      </c>
      <c r="J1420" t="s">
        <v>752</v>
      </c>
    </row>
    <row r="1421" spans="1:10" x14ac:dyDescent="0.3">
      <c r="A1421" s="70">
        <v>45742</v>
      </c>
      <c r="B1421" t="s">
        <v>30</v>
      </c>
      <c r="C1421" s="71" t="s">
        <v>1401</v>
      </c>
      <c r="D1421" s="75">
        <v>149.74</v>
      </c>
      <c r="E1421" s="75">
        <v>0</v>
      </c>
      <c r="F1421" s="75">
        <v>33490.980000000003</v>
      </c>
      <c r="G1421" s="75"/>
      <c r="H1421" s="71" t="s">
        <v>217</v>
      </c>
      <c r="J1421" t="s">
        <v>752</v>
      </c>
    </row>
    <row r="1422" spans="1:10" x14ac:dyDescent="0.3">
      <c r="A1422" s="70">
        <v>45742</v>
      </c>
      <c r="B1422" t="s">
        <v>30</v>
      </c>
      <c r="C1422" s="71" t="s">
        <v>1402</v>
      </c>
      <c r="D1422" s="75">
        <v>3003.66</v>
      </c>
      <c r="E1422" s="75">
        <v>0</v>
      </c>
      <c r="F1422" s="75">
        <v>30487.32</v>
      </c>
      <c r="G1422" s="75"/>
      <c r="H1422" s="71" t="s">
        <v>217</v>
      </c>
      <c r="J1422" t="s">
        <v>752</v>
      </c>
    </row>
    <row r="1423" spans="1:10" x14ac:dyDescent="0.3">
      <c r="A1423" s="70">
        <v>45742</v>
      </c>
      <c r="B1423" t="s">
        <v>2503</v>
      </c>
      <c r="C1423" s="71" t="s">
        <v>2504</v>
      </c>
      <c r="D1423" s="75">
        <v>0</v>
      </c>
      <c r="E1423" s="75">
        <v>1250</v>
      </c>
      <c r="F1423" s="75">
        <v>1885.19</v>
      </c>
      <c r="G1423" s="75"/>
      <c r="H1423" s="71" t="s">
        <v>511</v>
      </c>
      <c r="J1423" t="s">
        <v>756</v>
      </c>
    </row>
    <row r="1424" spans="1:10" x14ac:dyDescent="0.3">
      <c r="A1424" s="70">
        <v>45743</v>
      </c>
      <c r="B1424" t="s">
        <v>30</v>
      </c>
      <c r="C1424" s="71" t="s">
        <v>1403</v>
      </c>
      <c r="D1424" s="75">
        <v>148.66999999999999</v>
      </c>
      <c r="E1424" s="75">
        <v>0</v>
      </c>
      <c r="F1424" s="75">
        <v>30338.65</v>
      </c>
      <c r="G1424" s="75"/>
      <c r="H1424" s="71" t="s">
        <v>217</v>
      </c>
      <c r="J1424" t="s">
        <v>752</v>
      </c>
    </row>
    <row r="1425" spans="1:10" x14ac:dyDescent="0.3">
      <c r="A1425" s="70">
        <v>45743</v>
      </c>
      <c r="B1425" t="s">
        <v>2505</v>
      </c>
      <c r="C1425" s="71" t="s">
        <v>2506</v>
      </c>
      <c r="D1425" s="75">
        <v>0</v>
      </c>
      <c r="E1425" s="75">
        <v>7000</v>
      </c>
      <c r="F1425" s="75">
        <v>8885.19</v>
      </c>
      <c r="G1425" s="75"/>
      <c r="H1425" s="71" t="s">
        <v>511</v>
      </c>
      <c r="J1425" t="s">
        <v>756</v>
      </c>
    </row>
    <row r="1426" spans="1:10" x14ac:dyDescent="0.3">
      <c r="A1426" s="70">
        <v>45744</v>
      </c>
      <c r="B1426" t="s">
        <v>1404</v>
      </c>
      <c r="C1426" s="71" t="s">
        <v>1405</v>
      </c>
      <c r="D1426" s="75">
        <v>5000</v>
      </c>
      <c r="E1426" s="75">
        <v>0</v>
      </c>
      <c r="F1426" s="75">
        <v>25338.65</v>
      </c>
      <c r="G1426" s="75"/>
      <c r="H1426" s="71" t="s">
        <v>219</v>
      </c>
      <c r="J1426" t="s">
        <v>752</v>
      </c>
    </row>
    <row r="1427" spans="1:10" x14ac:dyDescent="0.3">
      <c r="A1427" s="70">
        <v>45744</v>
      </c>
      <c r="B1427" t="s">
        <v>1406</v>
      </c>
      <c r="C1427" s="71" t="s">
        <v>1407</v>
      </c>
      <c r="D1427" s="75">
        <v>0</v>
      </c>
      <c r="E1427" s="75">
        <v>3885.5</v>
      </c>
      <c r="F1427" s="75">
        <v>29224.15</v>
      </c>
      <c r="G1427" s="75"/>
      <c r="H1427" s="71" t="s">
        <v>2523</v>
      </c>
      <c r="J1427" t="s">
        <v>752</v>
      </c>
    </row>
    <row r="1428" spans="1:10" x14ac:dyDescent="0.3">
      <c r="A1428" s="70">
        <v>45744</v>
      </c>
      <c r="B1428" t="s">
        <v>30</v>
      </c>
      <c r="C1428" s="71" t="s">
        <v>1408</v>
      </c>
      <c r="D1428" s="75">
        <v>148.66999999999999</v>
      </c>
      <c r="E1428" s="75">
        <v>0</v>
      </c>
      <c r="F1428" s="75">
        <v>29075.48</v>
      </c>
      <c r="G1428" s="75"/>
      <c r="H1428" s="71" t="s">
        <v>217</v>
      </c>
      <c r="J1428" t="s">
        <v>752</v>
      </c>
    </row>
    <row r="1429" spans="1:10" x14ac:dyDescent="0.3">
      <c r="A1429" s="70">
        <v>45744</v>
      </c>
      <c r="B1429" t="s">
        <v>2507</v>
      </c>
      <c r="C1429" s="71" t="s">
        <v>2508</v>
      </c>
      <c r="D1429" s="75">
        <v>7000</v>
      </c>
      <c r="E1429" s="75">
        <v>0</v>
      </c>
      <c r="F1429" s="75">
        <v>1885.19</v>
      </c>
      <c r="G1429" s="75"/>
      <c r="H1429" s="71" t="s">
        <v>2532</v>
      </c>
      <c r="J1429" t="s">
        <v>756</v>
      </c>
    </row>
    <row r="1430" spans="1:10" x14ac:dyDescent="0.3">
      <c r="A1430" s="70">
        <v>45744</v>
      </c>
      <c r="B1430" t="s">
        <v>2509</v>
      </c>
      <c r="C1430" s="71" t="s">
        <v>2510</v>
      </c>
      <c r="D1430" s="75">
        <v>105</v>
      </c>
      <c r="E1430" s="75">
        <v>0</v>
      </c>
      <c r="F1430" s="75">
        <v>1780.19</v>
      </c>
      <c r="G1430" s="75"/>
      <c r="H1430" s="71" t="s">
        <v>511</v>
      </c>
      <c r="J1430" t="s">
        <v>756</v>
      </c>
    </row>
    <row r="1431" spans="1:10" x14ac:dyDescent="0.3">
      <c r="A1431" s="70">
        <v>45744</v>
      </c>
      <c r="B1431" t="s">
        <v>2511</v>
      </c>
      <c r="C1431" s="71" t="s">
        <v>2512</v>
      </c>
      <c r="D1431" s="75">
        <v>180</v>
      </c>
      <c r="E1431" s="75">
        <v>0</v>
      </c>
      <c r="F1431" s="75">
        <v>1600.19</v>
      </c>
      <c r="G1431" s="75"/>
      <c r="H1431" s="71" t="s">
        <v>511</v>
      </c>
      <c r="J1431" t="s">
        <v>756</v>
      </c>
    </row>
    <row r="1432" spans="1:10" x14ac:dyDescent="0.3">
      <c r="A1432" s="70">
        <v>45745</v>
      </c>
      <c r="B1432" t="s">
        <v>1409</v>
      </c>
      <c r="C1432" s="71" t="s">
        <v>1410</v>
      </c>
      <c r="D1432" s="75">
        <v>295</v>
      </c>
      <c r="E1432" s="75">
        <v>0</v>
      </c>
      <c r="F1432" s="75">
        <v>28780.48</v>
      </c>
      <c r="G1432" s="75"/>
      <c r="H1432" s="71" t="s">
        <v>221</v>
      </c>
      <c r="J1432" t="s">
        <v>752</v>
      </c>
    </row>
    <row r="1433" spans="1:10" x14ac:dyDescent="0.3">
      <c r="A1433" s="70">
        <v>45747</v>
      </c>
      <c r="B1433" t="s">
        <v>808</v>
      </c>
      <c r="C1433" s="71" t="s">
        <v>252</v>
      </c>
      <c r="D1433" s="75">
        <v>0</v>
      </c>
      <c r="E1433" s="75">
        <v>127</v>
      </c>
      <c r="F1433" s="75">
        <v>17356.03</v>
      </c>
      <c r="G1433" s="75"/>
      <c r="H1433" s="71" t="s">
        <v>227</v>
      </c>
      <c r="J1433" s="76" t="s">
        <v>755</v>
      </c>
    </row>
    <row r="1434" spans="1:10" x14ac:dyDescent="0.3">
      <c r="A1434" s="70">
        <v>45747</v>
      </c>
      <c r="B1434" t="s">
        <v>2513</v>
      </c>
      <c r="C1434" s="71" t="s">
        <v>2514</v>
      </c>
      <c r="D1434" s="75">
        <v>50</v>
      </c>
      <c r="E1434" s="75">
        <v>0</v>
      </c>
      <c r="F1434" s="75">
        <v>1550.19</v>
      </c>
      <c r="G1434" s="75"/>
      <c r="H1434" s="71" t="s">
        <v>511</v>
      </c>
      <c r="J1434" t="s">
        <v>756</v>
      </c>
    </row>
    <row r="1435" spans="1:10" x14ac:dyDescent="0.3">
      <c r="A1435" s="70">
        <v>45747</v>
      </c>
      <c r="B1435" t="s">
        <v>2515</v>
      </c>
      <c r="C1435" s="71" t="s">
        <v>2516</v>
      </c>
      <c r="D1435" s="75">
        <v>7</v>
      </c>
      <c r="E1435" s="75">
        <v>0</v>
      </c>
      <c r="F1435" s="75">
        <v>1543.19</v>
      </c>
      <c r="G1435" s="75"/>
      <c r="H1435" s="71" t="s">
        <v>511</v>
      </c>
      <c r="J1435" t="s">
        <v>756</v>
      </c>
    </row>
    <row r="1436" spans="1:10" x14ac:dyDescent="0.3">
      <c r="A1436" s="70">
        <v>45747</v>
      </c>
      <c r="B1436" t="s">
        <v>2517</v>
      </c>
      <c r="C1436" s="71"/>
      <c r="D1436" s="75">
        <v>0</v>
      </c>
      <c r="E1436" s="75">
        <v>190</v>
      </c>
      <c r="F1436" s="75">
        <v>1733.19</v>
      </c>
      <c r="G1436" s="75"/>
      <c r="H1436" s="71" t="s">
        <v>227</v>
      </c>
      <c r="J1436" t="s">
        <v>756</v>
      </c>
    </row>
    <row r="1437" spans="1:10" x14ac:dyDescent="0.3">
      <c r="A1437" s="70">
        <v>45747</v>
      </c>
      <c r="B1437" t="s">
        <v>2551</v>
      </c>
      <c r="C1437" s="71" t="s">
        <v>46</v>
      </c>
      <c r="D1437" s="75">
        <v>0</v>
      </c>
      <c r="E1437" s="75">
        <v>541</v>
      </c>
      <c r="F1437" s="75">
        <v>29321.48</v>
      </c>
      <c r="G1437" s="75"/>
      <c r="H1437" s="71" t="s">
        <v>227</v>
      </c>
      <c r="J1437" t="s">
        <v>752</v>
      </c>
    </row>
    <row r="1438" spans="1:10" x14ac:dyDescent="0.3">
      <c r="A1438" s="70">
        <v>45747</v>
      </c>
      <c r="B1438" t="s">
        <v>2572</v>
      </c>
      <c r="C1438" s="71"/>
      <c r="D1438" s="75">
        <v>0</v>
      </c>
      <c r="E1438" s="75">
        <v>1</v>
      </c>
      <c r="F1438" s="75">
        <v>237</v>
      </c>
      <c r="G1438" s="75"/>
      <c r="H1438" s="71" t="s">
        <v>227</v>
      </c>
      <c r="J1438" t="s">
        <v>2573</v>
      </c>
    </row>
  </sheetData>
  <autoFilter ref="A3:J1438" xr:uid="{312DC79C-436D-479E-B207-5052C69D5D5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15B4-D3D2-429F-9255-647CBAE968CF}">
  <dimension ref="B1:P53"/>
  <sheetViews>
    <sheetView workbookViewId="0">
      <selection activeCell="E30" sqref="E30"/>
    </sheetView>
  </sheetViews>
  <sheetFormatPr defaultRowHeight="14.4" x14ac:dyDescent="0.3"/>
  <cols>
    <col min="2" max="2" width="23.33203125" bestFit="1" customWidth="1"/>
    <col min="3" max="3" width="13.109375" bestFit="1" customWidth="1"/>
    <col min="4" max="4" width="23.33203125" bestFit="1" customWidth="1"/>
    <col min="5" max="5" width="13.109375" bestFit="1" customWidth="1"/>
    <col min="7" max="7" width="9.5546875" bestFit="1" customWidth="1"/>
    <col min="10" max="11" width="9.88671875" bestFit="1" customWidth="1"/>
  </cols>
  <sheetData>
    <row r="1" spans="2:16" ht="15" thickBot="1" x14ac:dyDescent="0.35"/>
    <row r="2" spans="2:16" ht="15" thickBot="1" x14ac:dyDescent="0.35">
      <c r="B2" s="98" t="s">
        <v>2541</v>
      </c>
      <c r="C2" s="99"/>
      <c r="D2" s="99"/>
      <c r="E2" s="100"/>
    </row>
    <row r="3" spans="2:16" ht="15" thickBot="1" x14ac:dyDescent="0.35">
      <c r="B3" s="98" t="s">
        <v>2542</v>
      </c>
      <c r="C3" s="99"/>
      <c r="D3" s="99"/>
      <c r="E3" s="100"/>
    </row>
    <row r="4" spans="2:16" ht="15" thickBot="1" x14ac:dyDescent="0.35">
      <c r="B4" s="98" t="s">
        <v>2545</v>
      </c>
      <c r="C4" s="99"/>
      <c r="D4" s="99"/>
      <c r="E4" s="100"/>
    </row>
    <row r="5" spans="2:16" ht="15" thickBot="1" x14ac:dyDescent="0.35">
      <c r="B5" s="79" t="s">
        <v>632</v>
      </c>
      <c r="C5" s="79" t="s">
        <v>2543</v>
      </c>
      <c r="D5" s="79" t="s">
        <v>632</v>
      </c>
      <c r="E5" s="79" t="s">
        <v>2543</v>
      </c>
    </row>
    <row r="6" spans="2:16" x14ac:dyDescent="0.3">
      <c r="B6" s="80" t="s">
        <v>2544</v>
      </c>
      <c r="C6" s="81">
        <f>J51</f>
        <v>172996.98</v>
      </c>
      <c r="D6" s="82"/>
      <c r="E6" s="83"/>
    </row>
    <row r="7" spans="2:16" x14ac:dyDescent="0.3">
      <c r="B7" s="84"/>
      <c r="C7" s="84"/>
      <c r="D7" s="84"/>
      <c r="E7" s="84"/>
      <c r="P7">
        <v>0</v>
      </c>
    </row>
    <row r="8" spans="2:16" x14ac:dyDescent="0.3">
      <c r="B8" s="85" t="s">
        <v>228</v>
      </c>
      <c r="C8" s="86">
        <f>SUMIFS(Conso!$E:$E,Conso!$H:$H,B8)</f>
        <v>1100</v>
      </c>
      <c r="D8" t="s">
        <v>228</v>
      </c>
      <c r="E8" s="86">
        <f>SUMIFS(Conso!$D:$D,Conso!$H:$H,D8)</f>
        <v>15050</v>
      </c>
      <c r="P8" t="s">
        <v>228</v>
      </c>
    </row>
    <row r="9" spans="2:16" x14ac:dyDescent="0.3">
      <c r="B9" s="85" t="s">
        <v>2531</v>
      </c>
      <c r="C9" s="86">
        <f>SUMIFS(Conso!$E:$E,Conso!$H:$H,B9)</f>
        <v>0</v>
      </c>
      <c r="D9" t="s">
        <v>2531</v>
      </c>
      <c r="E9" s="86">
        <f>SUMIFS(Conso!$D:$D,Conso!$H:$H,D9)</f>
        <v>4000</v>
      </c>
      <c r="P9" t="s">
        <v>2531</v>
      </c>
    </row>
    <row r="10" spans="2:16" x14ac:dyDescent="0.3">
      <c r="B10" s="85" t="s">
        <v>222</v>
      </c>
      <c r="C10" s="86">
        <f>SUMIFS(Conso!$E:$E,Conso!$H:$H,B10)</f>
        <v>22560</v>
      </c>
      <c r="D10" t="s">
        <v>222</v>
      </c>
      <c r="E10" s="86">
        <f>SUMIFS(Conso!$D:$D,Conso!$H:$H,D10)</f>
        <v>0</v>
      </c>
      <c r="P10" t="s">
        <v>222</v>
      </c>
    </row>
    <row r="11" spans="2:16" x14ac:dyDescent="0.3">
      <c r="B11" s="85" t="s">
        <v>223</v>
      </c>
      <c r="C11" s="86">
        <f>SUMIFS(Conso!$E:$E,Conso!$H:$H,B11)</f>
        <v>0</v>
      </c>
      <c r="D11" t="s">
        <v>223</v>
      </c>
      <c r="E11" s="86">
        <f>SUMIFS(Conso!$D:$D,Conso!$H:$H,D11)</f>
        <v>5000</v>
      </c>
      <c r="P11" t="s">
        <v>223</v>
      </c>
    </row>
    <row r="12" spans="2:16" x14ac:dyDescent="0.3">
      <c r="B12" s="85" t="s">
        <v>221</v>
      </c>
      <c r="C12" s="86">
        <f>SUMIFS(Conso!$E:$E,Conso!$H:$H,B12)</f>
        <v>0</v>
      </c>
      <c r="D12" t="s">
        <v>221</v>
      </c>
      <c r="E12" s="86">
        <f>SUMIFS(Conso!$D:$D,Conso!$H:$H,D12)</f>
        <v>1158.06</v>
      </c>
      <c r="P12" t="s">
        <v>221</v>
      </c>
    </row>
    <row r="13" spans="2:16" x14ac:dyDescent="0.3">
      <c r="B13" s="85" t="s">
        <v>227</v>
      </c>
      <c r="C13" s="86">
        <f>SUMIFS(Conso!$E:$E,Conso!$H:$H,B13)</f>
        <v>5768</v>
      </c>
      <c r="D13" t="s">
        <v>227</v>
      </c>
      <c r="E13" s="86">
        <f>SUMIFS(Conso!$D:$D,Conso!$H:$H,D13)</f>
        <v>0</v>
      </c>
      <c r="P13" t="s">
        <v>227</v>
      </c>
    </row>
    <row r="14" spans="2:16" x14ac:dyDescent="0.3">
      <c r="B14" s="85" t="s">
        <v>2526</v>
      </c>
      <c r="C14" s="86">
        <f>SUMIFS(Conso!$E:$E,Conso!$H:$H,B14)</f>
        <v>0</v>
      </c>
      <c r="D14" t="s">
        <v>2526</v>
      </c>
      <c r="E14" s="86">
        <f>SUMIFS(Conso!$D:$D,Conso!$H:$H,D14)</f>
        <v>11240</v>
      </c>
      <c r="P14" t="s">
        <v>2526</v>
      </c>
    </row>
    <row r="15" spans="2:16" x14ac:dyDescent="0.3">
      <c r="B15" s="85" t="s">
        <v>2521</v>
      </c>
      <c r="C15" s="86">
        <f>SUMIFS(Conso!$E:$E,Conso!$H:$H,B15)</f>
        <v>127000</v>
      </c>
      <c r="D15" t="s">
        <v>2521</v>
      </c>
      <c r="E15" s="86">
        <f>SUMIFS(Conso!$D:$D,Conso!$H:$H,D15)</f>
        <v>0</v>
      </c>
      <c r="P15" t="s">
        <v>2521</v>
      </c>
    </row>
    <row r="16" spans="2:16" x14ac:dyDescent="0.3">
      <c r="B16" s="85" t="s">
        <v>2535</v>
      </c>
      <c r="C16" s="86">
        <f>SUMIFS(Conso!$E:$E,Conso!$H:$H,B16)</f>
        <v>244.44</v>
      </c>
      <c r="D16" t="s">
        <v>2535</v>
      </c>
      <c r="E16" s="86">
        <f>SUMIFS(Conso!$D:$D,Conso!$H:$H,D16)</f>
        <v>0</v>
      </c>
      <c r="P16" t="s">
        <v>2535</v>
      </c>
    </row>
    <row r="17" spans="2:16" x14ac:dyDescent="0.3">
      <c r="B17" s="85" t="s">
        <v>746</v>
      </c>
      <c r="C17" s="86">
        <f>SUMIFS(Conso!$E:$E,Conso!$H:$H,B17)</f>
        <v>3135.19</v>
      </c>
      <c r="D17" t="s">
        <v>746</v>
      </c>
      <c r="E17" s="86">
        <f>SUMIFS(Conso!$D:$D,Conso!$H:$H,D17)</f>
        <v>12015</v>
      </c>
      <c r="P17" t="s">
        <v>746</v>
      </c>
    </row>
    <row r="18" spans="2:16" x14ac:dyDescent="0.3">
      <c r="B18" s="85" t="s">
        <v>747</v>
      </c>
      <c r="C18" s="86">
        <f>SUMIFS(Conso!$E:$E,Conso!$H:$H,B18)</f>
        <v>79409.22</v>
      </c>
      <c r="D18" t="s">
        <v>747</v>
      </c>
      <c r="E18" s="86">
        <f>SUMIFS(Conso!$D:$D,Conso!$H:$H,D18)</f>
        <v>31186</v>
      </c>
      <c r="P18" t="s">
        <v>747</v>
      </c>
    </row>
    <row r="19" spans="2:16" x14ac:dyDescent="0.3">
      <c r="B19" s="85" t="s">
        <v>745</v>
      </c>
      <c r="C19" s="86">
        <f>SUMIFS(Conso!$E:$E,Conso!$H:$H,B19)</f>
        <v>30001</v>
      </c>
      <c r="D19" t="s">
        <v>745</v>
      </c>
      <c r="E19" s="86">
        <f>SUMIFS(Conso!$D:$D,Conso!$H:$H,D19)</f>
        <v>69344.41</v>
      </c>
      <c r="P19" t="s">
        <v>745</v>
      </c>
    </row>
    <row r="20" spans="2:16" x14ac:dyDescent="0.3">
      <c r="B20" s="85" t="s">
        <v>2528</v>
      </c>
      <c r="C20" s="86">
        <f>SUMIFS(Conso!$E:$E,Conso!$H:$H,B20)</f>
        <v>0</v>
      </c>
      <c r="D20" t="s">
        <v>2528</v>
      </c>
      <c r="E20" s="86">
        <f>SUMIFS(Conso!$D:$D,Conso!$H:$H,D20)</f>
        <v>5600</v>
      </c>
      <c r="P20" t="s">
        <v>2528</v>
      </c>
    </row>
    <row r="21" spans="2:16" x14ac:dyDescent="0.3">
      <c r="B21" s="85" t="s">
        <v>220</v>
      </c>
      <c r="C21" s="86">
        <f>SUMIFS(Conso!$E:$E,Conso!$H:$H,B21)</f>
        <v>0</v>
      </c>
      <c r="D21" t="s">
        <v>220</v>
      </c>
      <c r="E21" s="86">
        <f>SUMIFS(Conso!$D:$D,Conso!$H:$H,D21)</f>
        <v>5005.37</v>
      </c>
      <c r="P21" t="s">
        <v>220</v>
      </c>
    </row>
    <row r="22" spans="2:16" x14ac:dyDescent="0.3">
      <c r="B22" s="85" t="s">
        <v>218</v>
      </c>
      <c r="C22" s="86">
        <f>SUMIFS(Conso!$E:$E,Conso!$H:$H,B22)</f>
        <v>27432.85</v>
      </c>
      <c r="D22" t="s">
        <v>218</v>
      </c>
      <c r="E22" s="86">
        <f>SUMIFS(Conso!$D:$D,Conso!$H:$H,D22)</f>
        <v>0</v>
      </c>
      <c r="P22" t="s">
        <v>218</v>
      </c>
    </row>
    <row r="23" spans="2:16" x14ac:dyDescent="0.3">
      <c r="B23" s="85" t="s">
        <v>2540</v>
      </c>
      <c r="C23" s="86">
        <f>SUMIFS(Conso!$E:$E,Conso!$H:$H,B23)</f>
        <v>0</v>
      </c>
      <c r="D23" t="s">
        <v>2540</v>
      </c>
      <c r="E23" s="86">
        <f>SUMIFS(Conso!$D:$D,Conso!$H:$H,D23)</f>
        <v>279267</v>
      </c>
      <c r="P23" t="s">
        <v>2540</v>
      </c>
    </row>
    <row r="24" spans="2:16" x14ac:dyDescent="0.3">
      <c r="B24" s="85" t="s">
        <v>2525</v>
      </c>
      <c r="C24" s="86">
        <f>SUMIFS(Conso!$E:$E,Conso!$H:$H,B24)</f>
        <v>0</v>
      </c>
      <c r="D24" t="s">
        <v>2525</v>
      </c>
      <c r="E24" s="86">
        <f>SUMIFS(Conso!$D:$D,Conso!$H:$H,D24)</f>
        <v>50000</v>
      </c>
      <c r="P24" t="s">
        <v>2525</v>
      </c>
    </row>
    <row r="25" spans="2:16" x14ac:dyDescent="0.3">
      <c r="B25" s="85" t="s">
        <v>217</v>
      </c>
      <c r="C25" s="86">
        <f>SUMIFS(Conso!$E:$E,Conso!$H:$H,B25)</f>
        <v>717264.83</v>
      </c>
      <c r="D25" t="s">
        <v>217</v>
      </c>
      <c r="E25" s="86">
        <f>SUMIFS(Conso!$D:$D,Conso!$H:$H,D25)</f>
        <v>936448.80000000051</v>
      </c>
      <c r="P25" t="s">
        <v>217</v>
      </c>
    </row>
    <row r="26" spans="2:16" x14ac:dyDescent="0.3">
      <c r="B26" s="85" t="s">
        <v>2534</v>
      </c>
      <c r="C26" s="86">
        <f>SUMIFS(Conso!$E:$E,Conso!$H:$H,B26)</f>
        <v>15150</v>
      </c>
      <c r="D26" t="s">
        <v>2534</v>
      </c>
      <c r="E26" s="86">
        <f>SUMIFS(Conso!$D:$D,Conso!$H:$H,D26)</f>
        <v>0</v>
      </c>
      <c r="P26" t="s">
        <v>2534</v>
      </c>
    </row>
    <row r="27" spans="2:16" x14ac:dyDescent="0.3">
      <c r="B27" s="85" t="s">
        <v>2539</v>
      </c>
      <c r="C27" s="86">
        <f>SUMIFS(Conso!$E:$E,Conso!$H:$H,B27)</f>
        <v>89436.459999999992</v>
      </c>
      <c r="D27" t="s">
        <v>2539</v>
      </c>
      <c r="E27" s="86">
        <f>SUMIFS(Conso!$D:$D,Conso!$H:$H,D27)</f>
        <v>0</v>
      </c>
      <c r="P27" t="s">
        <v>2539</v>
      </c>
    </row>
    <row r="28" spans="2:16" x14ac:dyDescent="0.3">
      <c r="B28" s="85" t="s">
        <v>226</v>
      </c>
      <c r="C28" s="86">
        <f>SUMIFS(Conso!$E:$E,Conso!$H:$H,B28)</f>
        <v>4</v>
      </c>
      <c r="D28" t="s">
        <v>226</v>
      </c>
      <c r="E28" s="86">
        <f>SUMIFS(Conso!$D:$D,Conso!$H:$H,D28)</f>
        <v>0</v>
      </c>
      <c r="P28" t="s">
        <v>226</v>
      </c>
    </row>
    <row r="29" spans="2:16" x14ac:dyDescent="0.3">
      <c r="B29" s="85" t="s">
        <v>589</v>
      </c>
      <c r="C29" s="86">
        <f>SUMIFS(Conso!$E:$E,Conso!$H:$H,B29)</f>
        <v>3865</v>
      </c>
      <c r="D29" t="s">
        <v>589</v>
      </c>
      <c r="E29" s="86">
        <f>SUMIFS(Conso!$D:$D,Conso!$H:$H,D29)</f>
        <v>14157.720000000001</v>
      </c>
      <c r="P29" t="s">
        <v>589</v>
      </c>
    </row>
    <row r="30" spans="2:16" x14ac:dyDescent="0.3">
      <c r="B30" s="85" t="s">
        <v>512</v>
      </c>
      <c r="C30" s="86">
        <f>SUMIFS(Conso!$E:$E,Conso!$H:$H,B30)</f>
        <v>30000</v>
      </c>
      <c r="D30" t="s">
        <v>512</v>
      </c>
      <c r="E30" s="86">
        <f>SUMIFS(Conso!$D:$D,Conso!$H:$H,D30)</f>
        <v>165000</v>
      </c>
      <c r="P30" t="s">
        <v>512</v>
      </c>
    </row>
    <row r="31" spans="2:16" x14ac:dyDescent="0.3">
      <c r="B31" s="85" t="s">
        <v>507</v>
      </c>
      <c r="C31" s="86">
        <f>SUMIFS(Conso!$E:$E,Conso!$H:$H,B31)</f>
        <v>685034</v>
      </c>
      <c r="D31" t="s">
        <v>507</v>
      </c>
      <c r="E31" s="86">
        <f>SUMIFS(Conso!$D:$D,Conso!$H:$H,D31)</f>
        <v>0</v>
      </c>
      <c r="P31" t="s">
        <v>507</v>
      </c>
    </row>
    <row r="32" spans="2:16" x14ac:dyDescent="0.3">
      <c r="B32" s="85" t="s">
        <v>2538</v>
      </c>
      <c r="C32" s="86">
        <f>SUMIFS(Conso!$E:$E,Conso!$H:$H,B32)</f>
        <v>0</v>
      </c>
      <c r="D32" t="s">
        <v>2538</v>
      </c>
      <c r="E32" s="86">
        <f>SUMIFS(Conso!$D:$D,Conso!$H:$H,D32)</f>
        <v>12000</v>
      </c>
      <c r="P32" t="s">
        <v>2538</v>
      </c>
    </row>
    <row r="33" spans="2:16" x14ac:dyDescent="0.3">
      <c r="B33" s="85" t="s">
        <v>2533</v>
      </c>
      <c r="C33" s="86">
        <f>SUMIFS(Conso!$E:$E,Conso!$H:$H,B33)</f>
        <v>0</v>
      </c>
      <c r="D33" t="s">
        <v>2533</v>
      </c>
      <c r="E33" s="86">
        <f>SUMIFS(Conso!$D:$D,Conso!$H:$H,D33)</f>
        <v>20000</v>
      </c>
      <c r="P33" t="s">
        <v>2533</v>
      </c>
    </row>
    <row r="34" spans="2:16" x14ac:dyDescent="0.3">
      <c r="B34" s="85" t="s">
        <v>219</v>
      </c>
      <c r="C34" s="86">
        <f>SUMIFS(Conso!$E:$E,Conso!$H:$H,B34)</f>
        <v>0</v>
      </c>
      <c r="D34" t="s">
        <v>219</v>
      </c>
      <c r="E34" s="86">
        <f>SUMIFS(Conso!$D:$D,Conso!$H:$H,D34)</f>
        <v>150000</v>
      </c>
      <c r="P34" t="s">
        <v>219</v>
      </c>
    </row>
    <row r="35" spans="2:16" x14ac:dyDescent="0.3">
      <c r="B35" s="85" t="s">
        <v>2532</v>
      </c>
      <c r="C35" s="86">
        <f>SUMIFS(Conso!$E:$E,Conso!$H:$H,B35)</f>
        <v>0</v>
      </c>
      <c r="D35" t="s">
        <v>2532</v>
      </c>
      <c r="E35" s="86">
        <f>SUMIFS(Conso!$D:$D,Conso!$H:$H,D35)</f>
        <v>35000</v>
      </c>
      <c r="P35" t="s">
        <v>2532</v>
      </c>
    </row>
    <row r="36" spans="2:16" x14ac:dyDescent="0.3">
      <c r="B36" s="85" t="s">
        <v>2520</v>
      </c>
      <c r="C36" s="86">
        <f>SUMIFS(Conso!$E:$E,Conso!$H:$H,B36)</f>
        <v>275000</v>
      </c>
      <c r="D36" t="s">
        <v>2520</v>
      </c>
      <c r="E36" s="86">
        <f>SUMIFS(Conso!$D:$D,Conso!$H:$H,D36)</f>
        <v>0</v>
      </c>
      <c r="P36" t="s">
        <v>2520</v>
      </c>
    </row>
    <row r="37" spans="2:16" x14ac:dyDescent="0.3">
      <c r="B37" s="85" t="s">
        <v>505</v>
      </c>
      <c r="C37" s="86">
        <f>SUMIFS(Conso!$E:$E,Conso!$H:$H,B37)</f>
        <v>130400</v>
      </c>
      <c r="D37" t="s">
        <v>505</v>
      </c>
      <c r="E37" s="86">
        <f>SUMIFS(Conso!$D:$D,Conso!$H:$H,D37)</f>
        <v>0</v>
      </c>
      <c r="P37" t="s">
        <v>505</v>
      </c>
    </row>
    <row r="38" spans="2:16" x14ac:dyDescent="0.3">
      <c r="B38" s="85" t="s">
        <v>2519</v>
      </c>
      <c r="C38" s="86">
        <f>SUMIFS(Conso!$E:$E,Conso!$H:$H,B38)</f>
        <v>125000</v>
      </c>
      <c r="D38" t="s">
        <v>2519</v>
      </c>
      <c r="E38" s="86">
        <f>SUMIFS(Conso!$D:$D,Conso!$H:$H,D38)</f>
        <v>0</v>
      </c>
      <c r="P38" t="s">
        <v>2519</v>
      </c>
    </row>
    <row r="39" spans="2:16" x14ac:dyDescent="0.3">
      <c r="B39" s="85" t="s">
        <v>2518</v>
      </c>
      <c r="C39" s="86">
        <f>SUMIFS(Conso!$E:$E,Conso!$H:$H,B39)</f>
        <v>0</v>
      </c>
      <c r="D39" t="s">
        <v>2518</v>
      </c>
      <c r="E39" s="86">
        <f>SUMIFS(Conso!$D:$D,Conso!$H:$H,D39)</f>
        <v>165000</v>
      </c>
      <c r="P39" t="s">
        <v>2518</v>
      </c>
    </row>
    <row r="40" spans="2:16" x14ac:dyDescent="0.3">
      <c r="B40" s="85" t="s">
        <v>225</v>
      </c>
      <c r="C40" s="86">
        <f>SUMIFS(Conso!$E:$E,Conso!$H:$H,B40)</f>
        <v>0</v>
      </c>
      <c r="D40" t="s">
        <v>225</v>
      </c>
      <c r="E40" s="86">
        <f>SUMIFS(Conso!$D:$D,Conso!$H:$H,D40)</f>
        <v>216000</v>
      </c>
      <c r="P40" t="s">
        <v>225</v>
      </c>
    </row>
    <row r="41" spans="2:16" x14ac:dyDescent="0.3">
      <c r="B41" s="85" t="s">
        <v>224</v>
      </c>
      <c r="C41" s="86">
        <f>SUMIFS(Conso!$E:$E,Conso!$H:$H,B41)</f>
        <v>0</v>
      </c>
      <c r="D41" t="s">
        <v>224</v>
      </c>
      <c r="E41" s="86">
        <f>SUMIFS(Conso!$D:$D,Conso!$H:$H,D41)</f>
        <v>105000</v>
      </c>
      <c r="P41" t="s">
        <v>224</v>
      </c>
    </row>
    <row r="42" spans="2:16" x14ac:dyDescent="0.3">
      <c r="B42" s="85" t="s">
        <v>511</v>
      </c>
      <c r="C42" s="86">
        <f>SUMIFS(Conso!$E:$E,Conso!$H:$H,B42)</f>
        <v>138746.29</v>
      </c>
      <c r="D42" t="s">
        <v>511</v>
      </c>
      <c r="E42" s="86">
        <f>SUMIFS(Conso!$D:$D,Conso!$H:$H,D42)</f>
        <v>505767.18999999994</v>
      </c>
      <c r="P42" t="s">
        <v>511</v>
      </c>
    </row>
    <row r="43" spans="2:16" x14ac:dyDescent="0.3">
      <c r="B43" s="85" t="s">
        <v>743</v>
      </c>
      <c r="C43" s="86">
        <f>SUMIFS(Conso!$E:$E,Conso!$H:$H,B43)</f>
        <v>0</v>
      </c>
      <c r="D43" t="s">
        <v>743</v>
      </c>
      <c r="E43" s="86">
        <f>SUMIFS(Conso!$D:$D,Conso!$H:$H,D43)</f>
        <v>7306.9</v>
      </c>
      <c r="P43" t="s">
        <v>743</v>
      </c>
    </row>
    <row r="44" spans="2:16" x14ac:dyDescent="0.3">
      <c r="B44" s="85" t="s">
        <v>2530</v>
      </c>
      <c r="C44" s="86">
        <f>SUMIFS(Conso!$E:$E,Conso!$H:$H,B44)</f>
        <v>2084.2600000000002</v>
      </c>
      <c r="D44" t="s">
        <v>2530</v>
      </c>
      <c r="E44" s="86">
        <f>SUMIFS(Conso!$D:$D,Conso!$H:$H,D44)</f>
        <v>0</v>
      </c>
      <c r="P44" t="s">
        <v>2530</v>
      </c>
    </row>
    <row r="45" spans="2:16" x14ac:dyDescent="0.3">
      <c r="B45" s="85" t="s">
        <v>509</v>
      </c>
      <c r="C45" s="86">
        <f>SUMIFS(Conso!$E:$E,Conso!$H:$H,B45)</f>
        <v>1605</v>
      </c>
      <c r="D45" t="s">
        <v>509</v>
      </c>
      <c r="E45" s="86">
        <f>SUMIFS(Conso!$D:$D,Conso!$H:$H,D45)</f>
        <v>175864.9</v>
      </c>
      <c r="J45" t="s">
        <v>2546</v>
      </c>
      <c r="K45" t="s">
        <v>2547</v>
      </c>
      <c r="P45" t="s">
        <v>509</v>
      </c>
    </row>
    <row r="46" spans="2:16" x14ac:dyDescent="0.3">
      <c r="B46" s="85" t="s">
        <v>2523</v>
      </c>
      <c r="C46" s="86">
        <f>SUMIFS(Conso!$E:$E,Conso!$H:$H,B46)</f>
        <v>467832.97</v>
      </c>
      <c r="D46" t="s">
        <v>2523</v>
      </c>
      <c r="E46" s="86">
        <f>SUMIFS(Conso!$D:$D,Conso!$H:$H,D46)</f>
        <v>0</v>
      </c>
      <c r="I46" t="s">
        <v>752</v>
      </c>
      <c r="J46" s="1">
        <f>HDFC!G21+HDFC!E21</f>
        <v>43050.89</v>
      </c>
      <c r="K46" s="1">
        <f>HDFC!G638</f>
        <v>28780.48</v>
      </c>
      <c r="P46" t="s">
        <v>2523</v>
      </c>
    </row>
    <row r="47" spans="2:16" x14ac:dyDescent="0.3">
      <c r="B47" s="85" t="s">
        <v>508</v>
      </c>
      <c r="C47" s="86">
        <f>SUMIFS(Conso!$E:$E,Conso!$H:$H,B47)</f>
        <v>75749.59</v>
      </c>
      <c r="D47" t="s">
        <v>508</v>
      </c>
      <c r="E47" s="86">
        <f>SUMIFS(Conso!$D:$D,Conso!$H:$H,D47)</f>
        <v>21000</v>
      </c>
      <c r="I47" t="s">
        <v>755</v>
      </c>
      <c r="J47" s="1">
        <f>AXIS!G18+AXIS!E18</f>
        <v>16847.21</v>
      </c>
      <c r="K47" s="1">
        <f>AXIS!G22</f>
        <v>17356.03</v>
      </c>
      <c r="P47" t="s">
        <v>508</v>
      </c>
    </row>
    <row r="48" spans="2:16" x14ac:dyDescent="0.3">
      <c r="B48" s="85"/>
      <c r="C48" s="86"/>
      <c r="D48" s="85"/>
      <c r="E48" s="86"/>
      <c r="I48" t="s">
        <v>753</v>
      </c>
      <c r="J48" s="1">
        <f>SBI!G21+SBI!E21</f>
        <v>52605.78</v>
      </c>
      <c r="K48" s="1">
        <f>SBI!G141</f>
        <v>10986.03</v>
      </c>
    </row>
    <row r="49" spans="2:11" x14ac:dyDescent="0.3">
      <c r="B49" s="85"/>
      <c r="C49" s="86"/>
      <c r="D49" s="85"/>
      <c r="E49" s="86"/>
      <c r="I49" t="s">
        <v>757</v>
      </c>
      <c r="J49" s="1">
        <f>FEDERAL!I20+FEDERAL!G20</f>
        <v>771.09</v>
      </c>
      <c r="K49" s="1">
        <f>FEDERAL!I66</f>
        <v>0</v>
      </c>
    </row>
    <row r="50" spans="2:11" x14ac:dyDescent="0.3">
      <c r="B50" s="85"/>
      <c r="C50" s="85"/>
      <c r="D50" s="85"/>
      <c r="E50" s="86">
        <f>C52-SUM(E6:E47)</f>
        <v>209408.72999999905</v>
      </c>
      <c r="G50" s="90">
        <f>E50-K51</f>
        <v>150552.99999999907</v>
      </c>
      <c r="I50" t="s">
        <v>756</v>
      </c>
      <c r="J50" s="1">
        <f>KOTAK!L15+KOTAK!J15</f>
        <v>59722.01</v>
      </c>
      <c r="K50" s="1">
        <f>KOTAK!L645</f>
        <v>1733.19</v>
      </c>
    </row>
    <row r="51" spans="2:11" x14ac:dyDescent="0.3">
      <c r="B51" s="85"/>
      <c r="C51" s="85"/>
      <c r="D51" s="85"/>
      <c r="E51" s="85"/>
      <c r="H51" s="89">
        <f>J51+E50-K51</f>
        <v>323549.97999999905</v>
      </c>
      <c r="J51" s="1">
        <f>SUM(J46:J50)</f>
        <v>172996.98</v>
      </c>
      <c r="K51" s="1">
        <f>SUM(K46:K50)</f>
        <v>58855.729999999996</v>
      </c>
    </row>
    <row r="52" spans="2:11" ht="15" thickBot="1" x14ac:dyDescent="0.35">
      <c r="B52" s="85"/>
      <c r="C52" s="87">
        <f>SUM(C6:C51)</f>
        <v>3226820.0799999991</v>
      </c>
      <c r="D52" s="85"/>
      <c r="E52" s="87">
        <f>SUM(E6:E51)</f>
        <v>3226820.0799999991</v>
      </c>
    </row>
    <row r="53" spans="2:11" ht="15.6" thickTop="1" thickBot="1" x14ac:dyDescent="0.35">
      <c r="B53" s="88"/>
      <c r="C53" s="88"/>
      <c r="D53" s="88"/>
      <c r="E53" s="88"/>
    </row>
  </sheetData>
  <autoFilter ref="P7:P47" xr:uid="{874B15B4-D3D2-429F-9255-647CBAE968CF}">
    <sortState xmlns:xlrd2="http://schemas.microsoft.com/office/spreadsheetml/2017/richdata2" ref="P8:P47">
      <sortCondition ref="P7:P47"/>
    </sortState>
  </autoFilter>
  <mergeCells count="3">
    <mergeCell ref="B2:E2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HDFC</vt:lpstr>
      <vt:lpstr>AXIS</vt:lpstr>
      <vt:lpstr>SBI</vt:lpstr>
      <vt:lpstr>FEDERAL</vt:lpstr>
      <vt:lpstr>KOTAK</vt:lpstr>
      <vt:lpstr>SBM Bank</vt:lpstr>
      <vt:lpstr>For Tally</vt:lpstr>
      <vt:lpstr>Conso</vt:lpstr>
      <vt:lpstr>Bank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Gupta</dc:creator>
  <cp:lastModifiedBy>Archit Gupta</cp:lastModifiedBy>
  <dcterms:created xsi:type="dcterms:W3CDTF">2024-07-05T04:19:47Z</dcterms:created>
  <dcterms:modified xsi:type="dcterms:W3CDTF">2025-10-24T07:57:20Z</dcterms:modified>
</cp:coreProperties>
</file>